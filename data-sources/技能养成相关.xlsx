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8800" windowHeight="11655" activeTab="4"/>
  </bookViews>
  <sheets>
    <sheet name="SkillActive" sheetId="1" r:id="rId1"/>
    <sheet name="SkillSlot" sheetId="14" r:id="rId2"/>
    <sheet name="SkillGem" sheetId="12" r:id="rId3"/>
    <sheet name="SkillBook" sheetId="13" r:id="rId4"/>
    <sheet name="SkillPassive" sheetId="10" r:id="rId5"/>
    <sheet name="SkillPassiveOptional" sheetId="17" r:id="rId6"/>
    <sheet name="SkillSet" sheetId="15" r:id="rId7"/>
    <sheet name="SkillSect" sheetId="11" r:id="rId8"/>
    <sheet name="SkillSelectBox" sheetId="16" r:id="rId9"/>
  </sheets>
  <definedNames>
    <definedName name="_xlnm._FilterDatabase" localSheetId="4" hidden="1">SkillPassive!$F$1:$F$151</definedName>
    <definedName name="_xlnm._FilterDatabase" localSheetId="7" hidden="1">SkillSect!$A$1:$V$183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F1" authorId="2">
      <text>
        <r>
          <rPr>
            <sz val="9"/>
            <rFont val="宋体"/>
            <charset val="134"/>
          </rPr>
          <t>1 小
2 中
3 大</t>
        </r>
      </text>
    </comment>
    <comment ref="K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comments5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6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<sst xmlns="http://schemas.openxmlformats.org/spreadsheetml/2006/main" count="3885" uniqueCount="1737">
  <si>
    <t>技能</t>
  </si>
  <si>
    <t>技能名称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</si>
  <si>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</si>
  <si>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</si>
  <si>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</si>
  <si>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</si>
  <si>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</si>
  <si>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</si>
  <si>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</si>
  <si>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</si>
  <si>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</si>
  <si>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</si>
  <si>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</si>
  <si>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</si>
  <si>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</si>
  <si>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</si>
  <si>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</si>
  <si>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是否投放</t>
  </si>
  <si>
    <t>id.p</t>
  </si>
  <si>
    <t>name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</si>
  <si>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</si>
  <si>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</si>
  <si>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</si>
  <si>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</si>
  <si>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</si>
  <si>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</si>
  <si>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</si>
  <si>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</si>
  <si>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</si>
  <si>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</si>
  <si>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</si>
  <si>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</si>
  <si>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</si>
  <si>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</si>
  <si>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</si>
  <si>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isUse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</si>
  <si>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</si>
  <si>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</si>
  <si>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</si>
  <si>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</si>
  <si>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</si>
  <si>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</si>
  <si>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</si>
  <si>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1|2|3|4|5|6|7|8|9|10|11|12|13|14|15|16|17|18|19|20|21|22|23|24|25|26|27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</si>
  <si>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</si>
  <si>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</si>
  <si>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</si>
  <si>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</si>
  <si>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</si>
  <si>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</si>
  <si>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</si>
  <si>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</si>
  <si>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</si>
  <si>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</si>
  <si>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</si>
  <si>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</si>
  <si>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</si>
  <si>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</si>
  <si>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linshi/1</t>
  </si>
  <si>
    <t>向前单个敌人刺击造成{0}，击中时默认产生3个穿透幻影冲刺造成{1}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</si>
  <si>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</si>
  <si>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</si>
  <si>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</si>
  <si>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</si>
  <si>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</si>
  <si>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</si>
  <si>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</si>
  <si>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自身一定范围内形成一圈冰环，造成{0}</t>
  </si>
  <si>
    <t>[[1121100130]]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</si>
  <si>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</si>
  <si>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</si>
  <si>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</si>
  <si>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</si>
  <si>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</si>
  <si>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</si>
  <si>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</si>
  <si>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</si>
  <si>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</si>
  <si>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并且在爆炸位置生成火焰地面，并在爆炸时产生8发小型火球，小型火球造成{2}\n爆炸每4秒只会被强化一次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</si>
  <si>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</si>
  <si>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</si>
  <si>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</si>
  <si>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</si>
  <si>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</si>
  <si>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</si>
  <si>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</si>
  <si>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</si>
  <si>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</si>
  <si>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</si>
  <si>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</si>
  <si>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</si>
  <si>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</si>
  <si>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</si>
  <si>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</si>
  <si>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</si>
  <si>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</si>
  <si>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</si>
  <si>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</si>
  <si>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</si>
  <si>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</si>
  <si>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</si>
  <si>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</si>
  <si>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</si>
  <si>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</si>
  <si>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</si>
  <si>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</si>
  <si>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</si>
  <si>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</si>
  <si>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获得相当于伤害10%的冰冷伤害。\n每次使用寒刃技能攻击敌人时会召唤4发剑影，击中敌人时产生造成{0}，持续8秒\n1发剑影最多攻击5名敌人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</si>
  <si>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</si>
  <si>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</si>
  <si>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</si>
  <si>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可以使下一个可重复技能额外释放1次</t>
  </si>
  <si>
    <t>极地战吼</t>
  </si>
  <si>
    <t>zengyi/jidizhanhou</t>
  </si>
  <si>
    <t>发出极地战吼，对周围5米范围内的敌人造成{0}，冰冻积蓄值额外增加80%</t>
  </si>
  <si>
    <t>[[1141000020]]</t>
  </si>
  <si>
    <t>冰霜之捷</t>
  </si>
  <si>
    <t>linshi/7</t>
  </si>
  <si>
    <t>佩戴时，非捷技能击中一名冰冻敌人并击杀时会产生冰霜爆炸，对范围内敌方单位造成{0}</t>
  </si>
  <si>
    <t>[[2111100030]]</t>
  </si>
  <si>
    <t>大地之怒</t>
  </si>
  <si>
    <t>zengyi/dadizhinu</t>
  </si>
  <si>
    <t>召唤一支冰冷之手，对范围内敌人造成{0}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</si>
  <si>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</si>
  <si>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</si>
  <si>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</si>
  <si>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</si>
  <si>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</si>
  <si>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</si>
  <si>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</si>
  <si>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</si>
  <si>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</si>
  <si>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</si>
  <si>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</si>
  <si>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</si>
  <si>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</si>
  <si>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</si>
  <si>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</si>
  <si>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</si>
  <si>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</si>
  <si>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</si>
  <si>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fashu/blood_splash</t>
  </si>
  <si>
    <t>佩戴时，击败流血的敌人会将其流血效果扩散给周围的其他敌人</t>
  </si>
  <si>
    <t>瘟疫之捷</t>
  </si>
  <si>
    <t>fashu/poison_green</t>
  </si>
  <si>
    <t>佩戴时，击败中毒的敌人会将其中毒效果扩散给周围的其他敌人</t>
  </si>
  <si>
    <t>物理诅咒</t>
  </si>
  <si>
    <t>fashu/earth_swirl</t>
  </si>
  <si>
    <t>火焰诅咒</t>
  </si>
  <si>
    <t>fashu/fire</t>
  </si>
  <si>
    <t>寒冰诅咒</t>
  </si>
  <si>
    <t>fashu/storm_ice</t>
  </si>
  <si>
    <t>闪电诅咒</t>
  </si>
  <si>
    <t>fashu/lightning</t>
  </si>
  <si>
    <t>混沌诅咒</t>
  </si>
  <si>
    <t>fashu/void_dark</t>
  </si>
  <si>
    <t>附身电球</t>
  </si>
  <si>
    <t>召唤4个围绕自身盘旋的电球，电球在碰到敌人后会附着在敌人身上，每隔1.5秒对周围敌人造成{0}，每个电球可以生成3次电弧。</t>
  </si>
  <si>
    <t>[[1121000150]]</t>
  </si>
  <si>
    <t>火焰龙卷</t>
  </si>
  <si>
    <t>召唤一道可以跟随自身移动的火焰龙卷，对经过的敌人造成{0}。\n火焰龙卷的数量无法被修改</t>
  </si>
  <si>
    <t>[[1121000170]]</t>
  </si>
  <si>
    <t>id</t>
  </si>
  <si>
    <t>解锁等级</t>
  </si>
  <si>
    <t>备注(nouse)</t>
  </si>
  <si>
    <t>优先级</t>
  </si>
  <si>
    <t>level</t>
  </si>
  <si>
    <t>desc999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</si>
  <si>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</si>
  <si>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</si>
  <si>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</si>
  <si>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</si>
  <si>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</si>
  <si>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</si>
  <si>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</si>
  <si>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</si>
  <si>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</si>
  <si>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</si>
  <si>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</si>
  <si>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</si>
  <si>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</si>
  <si>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</si>
  <si>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</si>
  <si>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</si>
  <si>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</si>
  <si>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</si>
  <si>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</si>
  <si>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不朽宝石</t>
  </si>
  <si>
    <t>group</t>
  </si>
  <si>
    <t>order</t>
  </si>
  <si>
    <t>skillAffix</t>
  </si>
  <si>
    <t>affixValue</t>
  </si>
  <si>
    <t>stuntValue</t>
  </si>
  <si>
    <t>attr</t>
  </si>
  <si>
    <t>selectLimitLevel</t>
  </si>
  <si>
    <t>stageLevel</t>
  </si>
  <si>
    <t>special</t>
  </si>
  <si>
    <t>skill/sect/101101</t>
  </si>
  <si>
    <t>大范围·一</t>
  </si>
  <si>
    <t>辅助有范围标签的技能，范围效果扩大25%</t>
  </si>
  <si>
    <t>[[0.25]]</t>
  </si>
  <si>
    <t>skill/sect/101102</t>
  </si>
  <si>
    <t>大范围·二</t>
  </si>
  <si>
    <t>辅助有范围标签的技能，范围效果扩大50%</t>
  </si>
  <si>
    <t>[[0.5]]</t>
  </si>
  <si>
    <t>skill/sect/101201</t>
  </si>
  <si>
    <t>加弹·一</t>
  </si>
  <si>
    <t>辅助有投射物标签的技能，使其生成的投射物数量+1，造成的伤害额外降低30%</t>
  </si>
  <si>
    <t>10038|10146</t>
  </si>
  <si>
    <t>[[1],[-0.3]]</t>
  </si>
  <si>
    <t>加弹·二</t>
  </si>
  <si>
    <t>辅助有投射物标签的技能，使其生成的投射物数量+2，造成的伤害额外降低30%</t>
  </si>
  <si>
    <t>[[2],[-0.3]]</t>
  </si>
  <si>
    <t>新星</t>
  </si>
  <si>
    <t>投射物数量+5，投射物变更为环形发射，投射物伤害总降50%</t>
  </si>
  <si>
    <t>skill/sect/101301</t>
  </si>
  <si>
    <t>快攻·一</t>
  </si>
  <si>
    <t>辅助有攻击标签的技能，攻击速度提高15%</t>
  </si>
  <si>
    <t>[[0.15]]</t>
  </si>
  <si>
    <t>skill/sect/101302</t>
  </si>
  <si>
    <t>快攻·二</t>
  </si>
  <si>
    <t>辅助有攻击标签的技能，攻击速度提高30%</t>
  </si>
  <si>
    <t>[[0.3]]</t>
  </si>
  <si>
    <t>skill/sect/102101</t>
  </si>
  <si>
    <t>集中·一</t>
  </si>
  <si>
    <t>辅助有范围标签的技能，使其范围总降50%，伤害额外提高15%</t>
  </si>
  <si>
    <t>skill/sect/102102</t>
  </si>
  <si>
    <t>集中·二</t>
  </si>
  <si>
    <t>辅助有范围标签的技能，使其范围总降50%，伤害额外提高30%</t>
  </si>
  <si>
    <t>skill/sect/102103</t>
  </si>
  <si>
    <t>冰冻·一</t>
  </si>
  <si>
    <t>辅助有冰霜标签的技能，使其冻结的积蓄值额外提高25%</t>
  </si>
  <si>
    <t>skill/sect/102104</t>
  </si>
  <si>
    <t>冰冻·二</t>
  </si>
  <si>
    <t>辅助有冰霜标签的技能，使其冻结的积蓄值额外提高50%</t>
  </si>
  <si>
    <t>加时·一</t>
  </si>
  <si>
    <t>辅助有持续性技能标签的技能，使其持续时间提高20%</t>
  </si>
  <si>
    <t>[[0.2]]</t>
  </si>
  <si>
    <t>skill/sect/102201</t>
  </si>
  <si>
    <t>加时·二</t>
  </si>
  <si>
    <t>辅助有持续性技能标签的技能，使其持续时间提高30%</t>
  </si>
  <si>
    <t>skill/sect/102202</t>
  </si>
  <si>
    <t>减冷·一</t>
  </si>
  <si>
    <t>辅助技能，使其冷却回复率增加15%</t>
  </si>
  <si>
    <t>skill/sect/102203</t>
  </si>
  <si>
    <t>减冷·二</t>
  </si>
  <si>
    <t>辅助技能，使其冷却回复率增加25%</t>
  </si>
  <si>
    <t>skill/sect/102204</t>
  </si>
  <si>
    <t>多重</t>
  </si>
  <si>
    <t>辅助有触发标签的技能，使其伤害总降20%，重复使用技能3次，不能对同一目标使用</t>
  </si>
  <si>
    <r>
      <rPr>
        <sz val="11"/>
        <color rgb="FFFF0000"/>
        <rFont val="宋体"/>
        <charset val="134"/>
      </rPr>
      <t>无限</t>
    </r>
    <r>
      <rPr>
        <sz val="11"/>
        <color rgb="FFFF0000"/>
        <rFont val="Helvetica"/>
        <charset val="134"/>
      </rPr>
      <t>·</t>
    </r>
    <r>
      <rPr>
        <sz val="11"/>
        <color rgb="FFFF0000"/>
        <rFont val="宋体"/>
        <charset val="134"/>
      </rPr>
      <t>一</t>
    </r>
  </si>
  <si>
    <t>使获得的能量提高25%</t>
  </si>
  <si>
    <r>
      <rPr>
        <sz val="11"/>
        <color rgb="FFFF0000"/>
        <rFont val="宋体"/>
        <charset val="134"/>
      </rPr>
      <t>无限</t>
    </r>
    <r>
      <rPr>
        <sz val="11"/>
        <color rgb="FFFF0000"/>
        <rFont val="Helvetica"/>
        <charset val="134"/>
      </rPr>
      <t>·</t>
    </r>
    <r>
      <rPr>
        <sz val="11"/>
        <color rgb="FFFF0000"/>
        <rFont val="宋体"/>
        <charset val="134"/>
      </rPr>
      <t>二</t>
    </r>
  </si>
  <si>
    <t>使获得的能量提高50%</t>
  </si>
  <si>
    <t>冻久·一</t>
  </si>
  <si>
    <t>被冰冻敌人的冻结时间额外提高25%</t>
  </si>
  <si>
    <t>冻久·二</t>
  </si>
  <si>
    <t>被冰冻敌人的冻结时间额外提高50%</t>
  </si>
  <si>
    <t>元素·一</t>
  </si>
  <si>
    <t>元素伤害额外提高15%</t>
  </si>
  <si>
    <t>元素·二</t>
  </si>
  <si>
    <t>元素伤害额外提高25%</t>
  </si>
  <si>
    <t>闪偏</t>
  </si>
  <si>
    <t>闪电倍率提高25%，火焰倍率和冰冷倍率下降25%</t>
  </si>
  <si>
    <t>冰偏</t>
  </si>
  <si>
    <t>冰冷倍率提高25%，火焰倍率和闪电倍率下降25%</t>
  </si>
  <si>
    <t>火偏</t>
  </si>
  <si>
    <t>火焰倍率提高25%，闪电倍率和冰冷倍率下降25%</t>
  </si>
  <si>
    <t>重击·一</t>
  </si>
  <si>
    <t>攻击速度降低10%，近战物理伤害额外提高15%</t>
  </si>
  <si>
    <t>重击·二</t>
  </si>
  <si>
    <t>攻击速度降低10%，近战物理伤害额外提高30%</t>
  </si>
  <si>
    <t>迎寒·一</t>
  </si>
  <si>
    <t>被辅助技能冻结敌人时，获得15%的额外冰冷伤害，持续6秒</t>
  </si>
  <si>
    <t>迎寒·二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</si>
  <si>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</si>
  <si>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</si>
  <si>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</si>
  <si>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</si>
  <si>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</si>
  <si>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</si>
  <si>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</si>
  <si>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</si>
  <si>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</si>
  <si>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</si>
  <si>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</si>
  <si>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</si>
  <si>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</si>
  <si>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</si>
  <si>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</si>
  <si>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</si>
  <si>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</si>
  <si>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</si>
  <si>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</si>
  <si>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</si>
  <si>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</si>
  <si>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</si>
  <si>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</si>
  <si>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</si>
  <si>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弹速·一</t>
  </si>
  <si>
    <t>辅助有投射物标签的技能，使其生成的投射物飞行速度额外加快20%</t>
  </si>
  <si>
    <t>弹速·二</t>
  </si>
  <si>
    <t>辅助有投射物标签的技能，使其生成的投射物飞行速度额外加快40%</t>
  </si>
  <si>
    <t>[[0.4]]</t>
  </si>
  <si>
    <t>弹速·三</t>
  </si>
  <si>
    <t>辅助有投射物标签的技能，使其生成的投射物飞行速度额外加快40%。投射物伤害增加30%</t>
  </si>
  <si>
    <t>10147|10064</t>
  </si>
  <si>
    <t>[[0.4],[0.3]]</t>
  </si>
  <si>
    <t>冻核</t>
  </si>
  <si>
    <t>被辅助技能冻结敌人时，在被冻结者脚底生成一片冰冷地面</t>
  </si>
  <si>
    <t>快施·一</t>
  </si>
  <si>
    <t>辅助有法术标签的技能，法术释放速度提高15%</t>
  </si>
  <si>
    <t>快施·二</t>
  </si>
  <si>
    <t>辅助有法术标签的技能，法术施放速度提高30%</t>
  </si>
  <si>
    <t>暴击</t>
  </si>
  <si>
    <t>辅助法术技能，技能携带该辅助宝石时，当你对敌人造成暴击时会获得20点能量，达到100点能量后触发镶嵌的法术；被辅助的技能无法主动释放</t>
  </si>
  <si>
    <t>移动</t>
  </si>
  <si>
    <t>辅助法术技能，技能携带该辅助宝石时，当你移动一定距离后会获得20点能量，达到100点能量后触发镶嵌的法术；被辅助的技能无法主动释放</t>
  </si>
  <si>
    <t>格挡</t>
  </si>
  <si>
    <t>辅助法术技能，技能携带该辅助宝石时，当你格挡时会获得20点能量，达到100点能量后触发镶嵌的法术；被辅助的技能无法主动释放</t>
  </si>
  <si>
    <t>流血·一</t>
  </si>
  <si>
    <t>被辅助的技能，流血几率增加20%</t>
  </si>
  <si>
    <t>[[11054,0.2]]</t>
  </si>
  <si>
    <t>流血·二</t>
  </si>
  <si>
    <t>被辅助的技能，流血几率增加35%</t>
  </si>
  <si>
    <t>[[11054,0.35]]</t>
  </si>
  <si>
    <t>点燃·一</t>
  </si>
  <si>
    <t>被辅助的技能，点燃几率增加20%</t>
  </si>
  <si>
    <t>[[11006,0.2]]</t>
  </si>
  <si>
    <t>点燃·二</t>
  </si>
  <si>
    <t>被辅助的技能，点燃几率增加35%</t>
  </si>
  <si>
    <t>[[11006,0.35]]</t>
  </si>
  <si>
    <t>感电·一</t>
  </si>
  <si>
    <t>被辅助的技能，感电几率增加20%</t>
  </si>
  <si>
    <t>[[11009,0.2]]</t>
  </si>
  <si>
    <t>感电·二</t>
  </si>
  <si>
    <t>被辅助的技能，感电几率增加35%</t>
  </si>
  <si>
    <t>[[11009,0.35]]</t>
  </si>
  <si>
    <t>技能书id</t>
  </si>
  <si>
    <t>技能书组</t>
  </si>
  <si>
    <t>等级</t>
  </si>
  <si>
    <t>(nouse)策划说明</t>
  </si>
  <si>
    <t>关联的节点id</t>
  </si>
  <si>
    <t>技能界面位置</t>
  </si>
  <si>
    <t>节点大小</t>
  </si>
  <si>
    <t>词缀值</t>
  </si>
  <si>
    <t>linkPoint</t>
  </si>
  <si>
    <t>viewPos</t>
  </si>
  <si>
    <t>size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</si>
  <si>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</si>
  <si>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</si>
  <si>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</si>
  <si>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</si>
  <si>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</si>
  <si>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</si>
  <si>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</si>
  <si>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</si>
  <si>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</si>
  <si>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</si>
  <si>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</si>
  <si>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</si>
  <si>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</si>
  <si>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</si>
  <si>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</si>
  <si>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</si>
  <si>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</si>
  <si>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</si>
  <si>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</si>
  <si>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</si>
  <si>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</si>
  <si>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</si>
  <si>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</si>
  <si>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</si>
  <si>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</si>
  <si>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</si>
  <si>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</si>
  <si>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</si>
  <si>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</si>
  <si>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</si>
  <si>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</si>
  <si>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</si>
  <si>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</si>
  <si>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</si>
  <si>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</si>
  <si>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</si>
  <si>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</si>
  <si>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</si>
  <si>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</si>
  <si>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</si>
  <si>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</si>
  <si>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</si>
  <si>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</si>
  <si>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</si>
  <si>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</si>
  <si>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</si>
  <si>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</si>
  <si>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</si>
  <si>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</si>
  <si>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</si>
  <si>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</si>
  <si>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</si>
  <si>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</si>
  <si>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</si>
  <si>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</si>
  <si>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</si>
  <si>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</si>
  <si>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</si>
  <si>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</si>
  <si>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</si>
  <si>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</si>
  <si>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</si>
  <si>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</si>
  <si>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</si>
  <si>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</si>
  <si>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</si>
  <si>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</si>
  <si>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</si>
  <si>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</si>
  <si>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</si>
  <si>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</si>
  <si>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</si>
  <si>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</si>
  <si>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</si>
  <si>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</si>
  <si>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</si>
  <si>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</si>
  <si>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</si>
  <si>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</si>
  <si>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</si>
  <si>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</si>
  <si>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</si>
  <si>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</si>
  <si>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</si>
  <si>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</si>
  <si>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</si>
  <si>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</si>
  <si>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</si>
  <si>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</si>
  <si>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</si>
  <si>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</si>
  <si>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</si>
  <si>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</si>
  <si>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</si>
  <si>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</si>
  <si>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</si>
  <si>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</si>
  <si>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</si>
  <si>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</si>
  <si>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</si>
  <si>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</si>
  <si>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</si>
  <si>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</si>
  <si>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</si>
  <si>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</si>
  <si>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</si>
  <si>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</si>
  <si>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</si>
  <si>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</si>
  <si>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</si>
  <si>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</si>
  <si>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</si>
  <si>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</si>
  <si>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</si>
  <si>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</si>
  <si>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</si>
  <si>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</si>
  <si>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</si>
  <si>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</si>
  <si>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</si>
  <si>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</si>
  <si>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</si>
  <si>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</si>
  <si>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</si>
  <si>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</si>
  <si>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</si>
  <si>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</si>
  <si>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</si>
  <si>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</si>
  <si>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</si>
  <si>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</si>
  <si>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</si>
  <si>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</si>
  <si>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</si>
  <si>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</si>
  <si>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</si>
  <si>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</si>
  <si>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</si>
  <si>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</si>
  <si>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</si>
  <si>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</si>
  <si>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</si>
  <si>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</si>
  <si>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</si>
  <si>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</si>
  <si>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</si>
  <si>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</si>
  <si>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</si>
  <si>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</si>
  <si>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</si>
  <si>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</si>
  <si>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</si>
  <si>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</si>
  <si>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</si>
  <si>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</si>
  <si>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</si>
  <si>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</si>
  <si>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</si>
  <si>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</si>
  <si>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</si>
  <si>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</si>
  <si>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</si>
  <si>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</si>
  <si>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</si>
  <si>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</si>
  <si>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</si>
  <si>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</si>
  <si>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</si>
  <si>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</si>
  <si>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</si>
  <si>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</si>
  <si>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</si>
  <si>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</si>
  <si>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</si>
  <si>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</si>
  <si>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</si>
  <si>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</si>
  <si>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</si>
  <si>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</si>
  <si>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</si>
  <si>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</si>
  <si>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</si>
  <si>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</si>
  <si>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</si>
  <si>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</si>
  <si>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</si>
  <si>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</si>
  <si>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</si>
  <si>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</si>
  <si>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</si>
  <si>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</si>
  <si>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</si>
  <si>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</si>
  <si>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</si>
  <si>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</si>
  <si>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</si>
  <si>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</si>
  <si>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</si>
  <si>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</si>
  <si>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</si>
  <si>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</si>
  <si>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</si>
  <si>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</si>
  <si>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</si>
  <si>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</si>
  <si>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</si>
  <si>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</si>
  <si>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</si>
  <si>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</si>
  <si>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</si>
  <si>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</si>
  <si>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</si>
  <si>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</si>
  <si>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</si>
  <si>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</si>
  <si>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</si>
  <si>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</si>
  <si>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</si>
  <si>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</si>
  <si>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</si>
  <si>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</si>
  <si>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</si>
  <si>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</si>
  <si>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</si>
  <si>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</si>
  <si>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</si>
  <si>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</si>
  <si>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</si>
  <si>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</si>
  <si>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</si>
  <si>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</si>
  <si>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</si>
  <si>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</si>
  <si>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</si>
  <si>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</si>
  <si>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</si>
  <si>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</si>
  <si>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</si>
  <si>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</si>
  <si>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</si>
  <si>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</si>
  <si>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</si>
  <si>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</si>
  <si>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</si>
  <si>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</si>
  <si>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</si>
  <si>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</si>
  <si>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</si>
  <si>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</si>
  <si>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</si>
  <si>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</si>
  <si>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</si>
  <si>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</si>
  <si>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</si>
  <si>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</si>
  <si>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</si>
  <si>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</si>
  <si>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</si>
  <si>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</si>
  <si>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</si>
  <si>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</si>
  <si>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</si>
  <si>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</si>
  <si>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</si>
  <si>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</si>
  <si>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</si>
  <si>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</si>
  <si>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</si>
  <si>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</si>
  <si>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</si>
  <si>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</si>
  <si>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</si>
  <si>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</si>
  <si>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</si>
  <si>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</si>
  <si>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</si>
  <si>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</si>
  <si>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</si>
  <si>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</si>
  <si>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</si>
  <si>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</si>
  <si>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</si>
  <si>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</si>
  <si>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</si>
  <si>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</si>
  <si>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</si>
  <si>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</si>
  <si>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</si>
  <si>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</si>
  <si>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</si>
  <si>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</si>
  <si>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</si>
  <si>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</si>
  <si>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</si>
  <si>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</si>
  <si>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</si>
  <si>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</si>
  <si>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</si>
  <si>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</si>
  <si>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</si>
  <si>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</si>
  <si>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</si>
  <si>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</si>
  <si>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</si>
  <si>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</si>
  <si>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</si>
  <si>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</si>
  <si>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</si>
  <si>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</si>
  <si>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</si>
  <si>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</si>
  <si>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</si>
  <si>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</si>
  <si>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</si>
  <si>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</si>
  <si>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</si>
  <si>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</si>
  <si>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</si>
  <si>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</si>
  <si>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</si>
  <si>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</si>
  <si>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</si>
  <si>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</si>
  <si>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</si>
  <si>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</si>
  <si>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</si>
  <si>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</si>
  <si>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</si>
  <si>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</si>
  <si>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</si>
  <si>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</si>
  <si>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</si>
  <si>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</si>
  <si>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</si>
  <si>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</si>
  <si>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</si>
  <si>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</si>
  <si>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</si>
  <si>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</si>
  <si>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</si>
  <si>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</si>
  <si>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</si>
  <si>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</si>
  <si>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</si>
  <si>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</si>
  <si>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</si>
  <si>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</si>
  <si>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</si>
  <si>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</si>
  <si>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</si>
  <si>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</si>
  <si>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</si>
  <si>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</si>
  <si>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</si>
  <si>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</si>
  <si>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</si>
  <si>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</si>
  <si>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</si>
  <si>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</si>
  <si>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</si>
  <si>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</si>
  <si>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</si>
  <si>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</si>
  <si>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</si>
  <si>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</si>
  <si>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</si>
  <si>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</si>
  <si>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</si>
  <si>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</si>
  <si>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</si>
  <si>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</si>
  <si>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</si>
  <si>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</si>
  <si>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</si>
  <si>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</si>
  <si>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</si>
  <si>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</si>
  <si>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</si>
  <si>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</si>
  <si>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</si>
  <si>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</si>
  <si>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</si>
  <si>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</si>
  <si>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</si>
  <si>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</si>
  <si>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</si>
  <si>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</si>
  <si>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</si>
  <si>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</si>
  <si>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</si>
  <si>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</si>
  <si>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</si>
  <si>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</si>
  <si>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</si>
  <si>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</si>
  <si>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</si>
  <si>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</si>
  <si>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</si>
  <si>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</si>
  <si>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剑客1-天赋2</t>
  </si>
  <si>
    <t>1003004|1003006|1003012</t>
  </si>
  <si>
    <t>240|-250</t>
  </si>
  <si>
    <t>talent/skill/kuaigong</t>
  </si>
  <si>
    <t>唯快不破</t>
  </si>
  <si>
    <t>第一个技能获得攻击速度额外提高20%</t>
  </si>
  <si>
    <t>剑客1-天赋4</t>
  </si>
  <si>
    <t>1003002|1003010</t>
  </si>
  <si>
    <t>0|-100</t>
  </si>
  <si>
    <t>talent/skill/kanpo</t>
  </si>
  <si>
    <t>我麻了</t>
  </si>
  <si>
    <t>对自身造成感电效果，攻击速度/施法速度提高50%</t>
  </si>
  <si>
    <t>剑客1-天赋6</t>
  </si>
  <si>
    <t>1003002|1003008</t>
  </si>
  <si>
    <t>-240|-100</t>
  </si>
  <si>
    <t>talent/skill/liufeng</t>
  </si>
  <si>
    <t>速度与激情</t>
  </si>
  <si>
    <t>对于移动速度的增加或减少的20% 同时作用于额外攻击伤害，最多额外+30% 攻击伤害</t>
  </si>
  <si>
    <t>剑客1-天赋8</t>
  </si>
  <si>
    <t>-240|150</t>
  </si>
  <si>
    <t>talent/skill/jihan</t>
  </si>
  <si>
    <t>脚底抹油</t>
  </si>
  <si>
    <t>移动速度增加大于100%时，受到伤害额外减少5%</t>
  </si>
  <si>
    <t>剑客1-天赋10</t>
  </si>
  <si>
    <t>0|150</t>
  </si>
  <si>
    <t>talent/skill/baoxue</t>
  </si>
  <si>
    <t>偶尔漏电</t>
  </si>
  <si>
    <t>攻击伤害击中时，有10%的几率触发10级[电圈]</t>
  </si>
  <si>
    <t>剑客1-天赋12</t>
  </si>
  <si>
    <t>1003002|1003014</t>
  </si>
  <si>
    <t>240|150</t>
  </si>
  <si>
    <t>talent/skill/xinyan</t>
  </si>
  <si>
    <t>上头</t>
  </si>
  <si>
    <t>10秒内连续释放4次攻击技能时获得[心眼]状态\n[心眼]：攻击速度额外增加8%；技能范围额外增加8%，上限为3层，持续2秒</t>
  </si>
  <si>
    <t>剑客1-天赋14</t>
  </si>
  <si>
    <t>240|450</t>
  </si>
  <si>
    <t>talent/skill/wuxin</t>
  </si>
  <si>
    <t>一刀999</t>
  </si>
  <si>
    <t>心眼达到层数上限时，获得[巅峰]\n[巅峰]:向前斩击造成999%的攻击物理伤害，冷却时间5秒</t>
  </si>
  <si>
    <t>巫术魔典-天赋2</t>
  </si>
  <si>
    <t>1005004|1005008|1005010</t>
  </si>
  <si>
    <t>0|450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</si>
  <si>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</si>
  <si>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</si>
  <si>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</si>
  <si>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巫术魔典-天赋4</t>
  </si>
  <si>
    <t>1005002|1005006|1005012|1005014</t>
  </si>
  <si>
    <t>talent/skill/zhongdu03</t>
  </si>
  <si>
    <t>剧毒倍化</t>
  </si>
  <si>
    <t>中毒层数上限翻倍，中毒持续时间总降 50%</t>
  </si>
  <si>
    <t>巫术魔典-天赋6</t>
  </si>
  <si>
    <t>0|-250</t>
  </si>
  <si>
    <t>talent/skill/zhongdu08</t>
  </si>
  <si>
    <t>万伤成毒</t>
  </si>
  <si>
    <t>所有伤害均造成中毒</t>
  </si>
  <si>
    <t>巫术魔典-天赋8</t>
  </si>
  <si>
    <t>-180|150</t>
  </si>
  <si>
    <t>talent/skill/zhongdu05</t>
  </si>
  <si>
    <t>伤势缓冲</t>
  </si>
  <si>
    <t>获得30%的受伤缓冲</t>
  </si>
  <si>
    <t>[[11042,0.3]]</t>
  </si>
  <si>
    <t>巫术魔典-天赋10</t>
  </si>
  <si>
    <t>180|150</t>
  </si>
  <si>
    <t>talent/skill/zhongdu06</t>
  </si>
  <si>
    <t>剧毒加深</t>
  </si>
  <si>
    <t>中毒层数上限+1</t>
  </si>
  <si>
    <t>[[11046,1]]</t>
  </si>
  <si>
    <t>巫术魔典-天赋12</t>
  </si>
  <si>
    <t>-260|-250</t>
  </si>
  <si>
    <t>talent/skill/zhongdu02</t>
  </si>
  <si>
    <t>余响复诵</t>
  </si>
  <si>
    <t>可“回响”的技能有20%产生回响</t>
  </si>
  <si>
    <t>巫术魔典-天赋14</t>
  </si>
  <si>
    <t>260|-250</t>
  </si>
  <si>
    <t>talent/skill/zhongdu04</t>
  </si>
  <si>
    <t>毒咒侵蚀</t>
  </si>
  <si>
    <t>法术击中时+25%中毒几率，中毒效果额外提高40%</t>
  </si>
  <si>
    <t>幻影魔典-天赋2</t>
  </si>
  <si>
    <t>1004004|1004012|1004014</t>
  </si>
  <si>
    <t>talent/skill/huanying02</t>
  </si>
  <si>
    <t>幻影残响</t>
  </si>
  <si>
    <t>使用法术技能造成伤害后，在原地生成“幻影”，持续4秒，冷却10秒，幻影上限为1</t>
  </si>
  <si>
    <t>幻影魔典-天赋4</t>
  </si>
  <si>
    <t>1004002|1004006|1004008|1004010</t>
  </si>
  <si>
    <t>0|230</t>
  </si>
  <si>
    <t>talent/skill/huanying03</t>
  </si>
  <si>
    <t>急速回流</t>
  </si>
  <si>
    <t>每有 +5% 冷却回复速度，+8%施法速度，上限50%</t>
  </si>
  <si>
    <t>幻影魔典-天赋6</t>
  </si>
  <si>
    <t>-160|-250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</si>
  <si>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</si>
  <si>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</si>
  <si>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</si>
  <si>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</si>
  <si>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幻影魔典-天赋8</t>
  </si>
  <si>
    <t>160|-250</t>
  </si>
  <si>
    <t>talent/skill/huanying05</t>
  </si>
  <si>
    <t>虚影增幅</t>
  </si>
  <si>
    <t>对于施法速度加成的50%同样作用于幻影的额外伤害，上限 300%</t>
  </si>
  <si>
    <t>幻影魔典-天赋10</t>
  </si>
  <si>
    <t>0|0</t>
  </si>
  <si>
    <t>talent/skill/huanying06</t>
  </si>
  <si>
    <t>幻影重重</t>
  </si>
  <si>
    <t>幻影数量+1</t>
  </si>
  <si>
    <t>幻影魔典-天赋12</t>
  </si>
  <si>
    <t>-240|230</t>
  </si>
  <si>
    <t>talent/skill/huanying07</t>
  </si>
  <si>
    <t>幻影疾咏</t>
  </si>
  <si>
    <t>+40% “幻影”的施法速度</t>
  </si>
  <si>
    <t>幻影魔典-天赋14</t>
  </si>
  <si>
    <t>240|230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</si>
  <si>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</si>
  <si>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</si>
  <si>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</si>
  <si>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塑能法杖-天赋2</t>
  </si>
  <si>
    <t>1006004|1006008|1006012</t>
  </si>
  <si>
    <t>195|-250</t>
  </si>
  <si>
    <t>talent/yuansu/yuansu02</t>
  </si>
  <si>
    <t>升环法术</t>
  </si>
  <si>
    <t>使用投射物技能时额外增加1个</t>
  </si>
  <si>
    <t>塑能法杖-天赋4</t>
  </si>
  <si>
    <t>1006002|1006006</t>
  </si>
  <si>
    <t>200|200</t>
  </si>
  <si>
    <t>talent/yuansu/yuansu03</t>
  </si>
  <si>
    <t>原爆点</t>
  </si>
  <si>
    <t>投射物飞行结束后会触发1次100%法术物理伤害的冲击波</t>
  </si>
  <si>
    <t>塑能法杖-天赋6</t>
  </si>
  <si>
    <t>-250|450</t>
  </si>
  <si>
    <t>talent/yuansu/yuansu01</t>
  </si>
  <si>
    <t>狂风</t>
  </si>
  <si>
    <t>移动速度加成同样作用于投射物速度加成，最多提高30%</t>
  </si>
  <si>
    <t>塑能法杖-天赋8</t>
  </si>
  <si>
    <t>1006002|1006010</t>
  </si>
  <si>
    <t>60|150</t>
  </si>
  <si>
    <t>talent/yuansu/yuansu04</t>
  </si>
  <si>
    <t>法术迸发</t>
  </si>
  <si>
    <t>基础暴击率+8%</t>
  </si>
  <si>
    <t>[[10100,0.08]]</t>
  </si>
  <si>
    <t>塑能法杖-天赋10</t>
  </si>
  <si>
    <t>-250|300</t>
  </si>
  <si>
    <t>talent/yuansu/yuansu05</t>
  </si>
  <si>
    <t>元素之子</t>
  </si>
  <si>
    <t>站在元素地面上时，可以获得对应元素50%的伤害</t>
  </si>
  <si>
    <t>塑能法杖-天赋12</t>
  </si>
  <si>
    <t>1006002|1006014</t>
  </si>
  <si>
    <t>-75|100</t>
  </si>
  <si>
    <t>talent/yuansu/yuansu06</t>
  </si>
  <si>
    <t>元素掌握</t>
  </si>
  <si>
    <t>敌人处于元素异常状态时，可以使敌人对该类型元素的抗性降低40%</t>
  </si>
  <si>
    <t>塑能法杖-天赋14</t>
  </si>
  <si>
    <t>-250|130</t>
  </si>
  <si>
    <t>talent/yuansu/yuansu07</t>
  </si>
  <si>
    <t>注能循环</t>
  </si>
  <si>
    <t>获得注能时，额外获得一层注能</t>
  </si>
  <si>
    <t>元素法杖-天赋2</t>
  </si>
  <si>
    <t>1007004|1007008|1007012</t>
  </si>
  <si>
    <t>talent/zhuneng/zhuneng01</t>
  </si>
  <si>
    <t>注能轮转</t>
  </si>
  <si>
    <t>每6秒获得一层随机注能，注能的持续时间额外降低20%</t>
  </si>
  <si>
    <t>[[-0.2]]</t>
  </si>
  <si>
    <t>元素法杖-天赋4</t>
  </si>
  <si>
    <t>1007002|1007006</t>
  </si>
  <si>
    <t>talent/zhuneng/zhuneng03</t>
  </si>
  <si>
    <t>轮转一心</t>
  </si>
  <si>
    <t>注能轮转的冷却时间变为3秒</t>
  </si>
  <si>
    <t>元素法杖-天赋6</t>
  </si>
  <si>
    <t>-42|350</t>
  </si>
  <si>
    <t>talent/zhuneng/zhuneng02</t>
  </si>
  <si>
    <t>注能亲和</t>
  </si>
  <si>
    <t>所有注能的上限层数+1</t>
  </si>
  <si>
    <t>元素法杖-天赋8</t>
  </si>
  <si>
    <t>1007002|1007010</t>
  </si>
  <si>
    <t>-300|0</t>
  </si>
  <si>
    <t>talent/zhuneng/zhuneng04</t>
  </si>
  <si>
    <t>强效施法</t>
  </si>
  <si>
    <t>使用强化技能时，有50%的概率不消耗额外资源即可触发最低限度的强化效果</t>
  </si>
  <si>
    <t>元素法杖-天赋10</t>
  </si>
  <si>
    <t>-250|250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</si>
  <si>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</si>
  <si>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</si>
  <si>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</si>
  <si>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元素法杖-天赋12</t>
  </si>
  <si>
    <t>1007002|1007014</t>
  </si>
  <si>
    <t>250|-150</t>
  </si>
  <si>
    <t>talent/zhuneng/zhuneng06</t>
  </si>
  <si>
    <t>共鸣</t>
  </si>
  <si>
    <t>技能所需的特定注能可以用其他类型的注能替代，只可以被一种注能替代</t>
  </si>
  <si>
    <t>元素法杖-天赋14</t>
  </si>
  <si>
    <t>225|225</t>
  </si>
  <si>
    <t>talent/zhuneng/zhuneng07</t>
  </si>
  <si>
    <t>深度聚集</t>
  </si>
  <si>
    <t>每拥有一种不同种类的注能，法术伤害总增10%，魔力回复率提高20%。</t>
  </si>
  <si>
    <t>冰刃-天赋2</t>
  </si>
  <si>
    <t>1008004|1008010</t>
  </si>
  <si>
    <t>100|400</t>
  </si>
  <si>
    <t>看破</t>
  </si>
  <si>
    <t>冰刃-天赋4</t>
  </si>
  <si>
    <t>1008002|1008006|1008008</t>
  </si>
  <si>
    <t>100|-150</t>
  </si>
  <si>
    <t>刺骨寒意</t>
  </si>
  <si>
    <t>第一个技能的冻结积蓄值额外提高100%</t>
  </si>
  <si>
    <t>10086|10249</t>
  </si>
  <si>
    <t>冰刃-天赋6</t>
  </si>
  <si>
    <t>300|-150</t>
  </si>
  <si>
    <t>冷场</t>
  </si>
  <si>
    <t>被冻结敌人的元素抗性会降低40%，持续6秒（周围敌人的冰冷抗性-20%，周围敌人减速20%）</t>
  </si>
  <si>
    <t>冰刃-天赋8</t>
  </si>
  <si>
    <t>-150|-100</t>
  </si>
  <si>
    <t>在这停顿</t>
  </si>
  <si>
    <t>每隔6秒有50%几率可以将附近未被敌人冻结0.6秒，冻结效果无视敌人的元素异常抵抗，冻结累积值的10%同等作用于该冻结时间。冰冷伤害总增15%，无法被冰冻</t>
  </si>
  <si>
    <t>冰刃-天赋10</t>
  </si>
  <si>
    <t>1008002|1008012|1008014</t>
  </si>
  <si>
    <t>-300|270</t>
  </si>
  <si>
    <t>暴血</t>
  </si>
  <si>
    <t>每拥有1%的暴击率，就会增加2%的攻击伤害，最多增加200%的攻击伤害</t>
  </si>
  <si>
    <t>[[2]]</t>
  </si>
  <si>
    <t>冰刃-天赋12</t>
  </si>
  <si>
    <t>-170|430</t>
  </si>
  <si>
    <t>双重人格</t>
  </si>
  <si>
    <t>对满血敌人的暴击率提高100%，对低血敌人的暴击伤害提高100%，暴击可以终结</t>
  </si>
  <si>
    <t>10247|10248</t>
  </si>
  <si>
    <t>[[1],[1]]</t>
  </si>
  <si>
    <t>冰刃-天赋14</t>
  </si>
  <si>
    <t>-300|70</t>
  </si>
  <si>
    <t>蓄力</t>
  </si>
  <si>
    <t>暴击时15%概率获得一层洞察注能，非暴击时30%概率获得一层洞察注能，洞察注能上限+1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</si>
  <si>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</si>
  <si>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</si>
  <si>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</si>
  <si>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</si>
  <si>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</si>
  <si>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</si>
  <si>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</si>
  <si>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</si>
  <si>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</si>
  <si>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</si>
  <si>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</si>
  <si>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</si>
  <si>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</si>
  <si>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</si>
  <si>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</si>
  <si>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</si>
  <si>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</si>
  <si>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</si>
  <si>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</si>
  <si>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</si>
  <si>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</si>
  <si>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</si>
  <si>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</si>
  <si>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</si>
  <si>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第一个技能的冻结积蓄值总增100%</t>
  </si>
  <si>
    <t>快攻</t>
  </si>
  <si>
    <t>第一个技能获得10级攻速增加效果</t>
  </si>
  <si>
    <t>剑客1-天赋3</t>
  </si>
  <si>
    <t>流风增击</t>
  </si>
  <si>
    <t>心眼</t>
  </si>
  <si>
    <t>无心则利刃</t>
  </si>
  <si>
    <t>心眼达到层数上限时，获得[巅峰]\n[巅峰]:向前斩击造成1000%的攻击物理伤害，冷却时间5秒</t>
  </si>
  <si>
    <t>极寒侵体</t>
  </si>
  <si>
    <t>被冻结敌人的元素抗性会降低40%，持续6秒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</si>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</sst>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b/>
      <sz val="14"/>
      <color rgb="FF1F3864"/>
      <name val="Helvetica"/>
      <charset val="134"/>
    </font>
    <font>
      <sz val="11"/>
      <color rgb="FFFF0000"/>
      <name val="宋体"/>
      <charset val="134"/>
    </font>
    <font>
      <sz val="11"/>
      <color rgb="FF000000"/>
      <name val="Helvetica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rgb="FFFF0000"/>
      <name val="Helvetica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1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5" applyNumberFormat="0" applyAlignment="0" applyProtection="0">
      <alignment vertical="center"/>
    </xf>
    <xf numFmtId="0" fontId="18" fillId="16" borderId="6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5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5" fillId="11" borderId="1" xfId="0" applyFont="1" applyFill="1" applyBorder="1" applyAlignment="1">
      <alignment vertical="center" wrapText="1"/>
    </xf>
    <xf numFmtId="0" fontId="1" fillId="9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6" fillId="0" borderId="0" xfId="0" applyFont="1">
      <alignment vertical="center"/>
    </xf>
    <xf numFmtId="0" fontId="6" fillId="11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1" fillId="3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42"/>
  <sheetViews>
    <sheetView workbookViewId="0">
      <pane xSplit="2" ySplit="3" topLeftCell="M31" activePane="bottomRight" state="frozen"/>
      <selection/>
      <selection pane="topRight"/>
      <selection pane="bottomLeft"/>
      <selection pane="bottomRight" activeCell="S20" sqref="S20"/>
    </sheetView>
  </sheetViews>
  <sheetFormatPr defaultColWidth="9" defaultRowHeight="13.5"/>
  <cols>
    <col min="1" max="1" width="7.5" style="48" customWidth="1"/>
    <col min="2" max="2" width="15.125" style="48" customWidth="1"/>
    <col min="3" max="3" width="14.875" style="48" customWidth="1"/>
    <col min="4" max="4" width="19.375" style="48" customWidth="1"/>
    <col min="5" max="5" width="8.375" style="48" customWidth="1"/>
    <col min="6" max="6" width="15.75" style="48" customWidth="1"/>
    <col min="7" max="7" width="11.5" style="48" customWidth="1"/>
    <col min="8" max="8" width="12.875" style="48" customWidth="1"/>
    <col min="9" max="9" width="32.625" style="48" customWidth="1"/>
    <col min="10" max="10" width="16.5" style="48" customWidth="1"/>
    <col min="11" max="11" width="12.5" style="48" customWidth="1"/>
    <col min="12" max="12" width="23.25" style="48" customWidth="1"/>
    <col min="13" max="13" width="89.625" style="47" customWidth="1"/>
    <col min="14" max="14" width="51.5" style="48" customWidth="1"/>
    <col min="15" max="15" width="24.875" style="48" customWidth="1"/>
    <col min="16" max="16" width="12.5" style="48" customWidth="1"/>
    <col min="17" max="17" width="17.5" style="48" customWidth="1"/>
    <col min="18" max="18" width="8.125" style="48" customWidth="1"/>
    <col min="19" max="16384" width="9" style="48"/>
  </cols>
  <sheetData>
    <row r="1" s="47" customFormat="1" ht="27" spans="1:18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8" t="s">
        <v>7</v>
      </c>
      <c r="I1" s="48" t="s">
        <v>8</v>
      </c>
      <c r="J1" s="47" t="s">
        <v>9</v>
      </c>
      <c r="K1" s="47" t="s">
        <v>10</v>
      </c>
      <c r="L1" s="47" t="s">
        <v>11</v>
      </c>
      <c r="M1" s="47" t="s">
        <v>12</v>
      </c>
      <c r="N1" s="47" t="s">
        <v>13</v>
      </c>
      <c r="O1" s="47" t="s">
        <v>14</v>
      </c>
      <c r="P1" s="47" t="s">
        <v>15</v>
      </c>
      <c r="Q1" s="47" t="s">
        <v>16</v>
      </c>
      <c r="R1" s="47" t="s">
        <v>17</v>
      </c>
    </row>
    <row r="2" s="48" customFormat="1" spans="1:18">
      <c r="A2" s="51" t="s">
        <v>18</v>
      </c>
      <c r="B2" s="51" t="s">
        <v>19</v>
      </c>
      <c r="C2" s="51" t="s">
        <v>20</v>
      </c>
      <c r="D2" s="51" t="s">
        <v>21</v>
      </c>
      <c r="E2" s="51" t="s">
        <v>22</v>
      </c>
      <c r="F2" s="51" t="s">
        <v>23</v>
      </c>
      <c r="G2" s="51" t="s">
        <v>24</v>
      </c>
      <c r="H2" s="51" t="s">
        <v>25</v>
      </c>
      <c r="I2" s="51" t="s">
        <v>26</v>
      </c>
      <c r="J2" s="51" t="s">
        <v>27</v>
      </c>
      <c r="K2" s="51" t="s">
        <v>28</v>
      </c>
      <c r="L2" s="51" t="s">
        <v>29</v>
      </c>
      <c r="M2" s="52" t="s">
        <v>30</v>
      </c>
      <c r="N2" s="51" t="s">
        <v>31</v>
      </c>
      <c r="O2" s="51" t="s">
        <v>32</v>
      </c>
      <c r="P2" s="51" t="s">
        <v>33</v>
      </c>
      <c r="Q2" s="51" t="s">
        <v>34</v>
      </c>
      <c r="R2" s="51" t="s">
        <v>35</v>
      </c>
    </row>
    <row r="3" s="48" customFormat="1" spans="1:18">
      <c r="A3" s="53" t="s">
        <v>36</v>
      </c>
      <c r="B3" s="53" t="s">
        <v>37</v>
      </c>
      <c r="C3" s="53" t="s">
        <v>38</v>
      </c>
      <c r="D3" s="53" t="s">
        <v>38</v>
      </c>
      <c r="E3" s="53" t="s">
        <v>37</v>
      </c>
      <c r="F3" s="53" t="s">
        <v>39</v>
      </c>
      <c r="G3" s="53" t="s">
        <v>39</v>
      </c>
      <c r="H3" s="53" t="s">
        <v>36</v>
      </c>
      <c r="I3" s="53" t="s">
        <v>38</v>
      </c>
      <c r="J3" s="53" t="s">
        <v>37</v>
      </c>
      <c r="K3" s="53" t="s">
        <v>36</v>
      </c>
      <c r="L3" s="53" t="s">
        <v>37</v>
      </c>
      <c r="M3" s="54" t="s">
        <v>37</v>
      </c>
      <c r="N3" s="53" t="s">
        <v>40</v>
      </c>
      <c r="O3" s="53" t="s">
        <v>37</v>
      </c>
      <c r="P3" s="53" t="s">
        <v>38</v>
      </c>
      <c r="Q3" s="53" t="s">
        <v>38</v>
      </c>
      <c r="R3" s="53" t="s">
        <v>36</v>
      </c>
    </row>
    <row r="4" spans="1:18">
      <c r="A4" s="48">
        <v>100001</v>
      </c>
      <c r="B4" s="48" t="s">
        <v>41</v>
      </c>
      <c r="C4" s="48" t="s">
        <v>42</v>
      </c>
      <c r="D4" s="48">
        <v>11002</v>
      </c>
      <c r="E4" s="48">
        <v>1</v>
      </c>
      <c r="F4" s="48">
        <v>1110000050</v>
      </c>
      <c r="H4" s="48">
        <f>A4</f>
        <v>100001</v>
      </c>
      <c r="I4" s="48" t="s">
        <v>43</v>
      </c>
      <c r="K4" s="48" cm="1">
        <f t="array" ref="K4">_xlfn.SWITCH(E4,1,0,2,7,3,15,4,25,5,50)</f>
        <v>0</v>
      </c>
      <c r="L4" s="48" t="s">
        <v>44</v>
      </c>
      <c r="M4" s="47" t="s">
        <v>45</v>
      </c>
      <c r="N4" s="48" t="s">
        <v>46</v>
      </c>
      <c r="O4" s="48" t="s">
        <v>47</v>
      </c>
      <c r="P4" s="48" t="s">
        <v>48</v>
      </c>
      <c r="R4" s="48">
        <v>1</v>
      </c>
    </row>
    <row r="5" spans="1:18">
      <c r="A5" s="48">
        <v>100002</v>
      </c>
      <c r="B5" s="48" t="s">
        <v>49</v>
      </c>
      <c r="C5" s="48" t="s">
        <v>42</v>
      </c>
      <c r="D5" s="48">
        <v>11002</v>
      </c>
      <c r="E5" s="48">
        <v>1</v>
      </c>
      <c r="F5" s="48">
        <v>1110000040</v>
      </c>
      <c r="H5" s="48">
        <f>A5</f>
        <v>100002</v>
      </c>
      <c r="I5" s="48" t="s">
        <v>43</v>
      </c>
      <c r="K5" s="48" cm="1">
        <f t="array" ref="K5">_xlfn.SWITCH(E5,1,0,2,7,3,15,4,25,5,50)</f>
        <v>0</v>
      </c>
      <c r="L5" s="48" t="s">
        <v>50</v>
      </c>
      <c r="M5" s="47" t="s">
        <v>51</v>
      </c>
      <c r="N5" s="48" t="s">
        <v>52</v>
      </c>
      <c r="O5" s="48" t="s">
        <v>47</v>
      </c>
      <c r="P5" s="48" t="s">
        <v>48</v>
      </c>
      <c r="R5" s="48">
        <v>1</v>
      </c>
    </row>
    <row r="6" spans="1:18">
      <c r="A6" s="48">
        <v>100003</v>
      </c>
      <c r="B6" s="48" t="s">
        <v>53</v>
      </c>
      <c r="C6" s="48" t="s">
        <v>42</v>
      </c>
      <c r="D6" s="48">
        <v>11002</v>
      </c>
      <c r="E6" s="48">
        <v>1</v>
      </c>
      <c r="F6" s="48">
        <v>1110000010</v>
      </c>
      <c r="H6" s="48">
        <f t="shared" ref="H4:H12" si="0">A6</f>
        <v>100003</v>
      </c>
      <c r="I6" s="48" t="s">
        <v>43</v>
      </c>
      <c r="K6" s="48" cm="1">
        <f t="array" ref="K6">_xlfn.SWITCH(E6,1,0,2,7,3,15,4,25,5,50)</f>
        <v>0</v>
      </c>
      <c r="L6" s="48" t="s">
        <v>54</v>
      </c>
      <c r="M6" s="55" t="s">
        <v>55</v>
      </c>
      <c r="N6" s="56" t="s">
        <v>56</v>
      </c>
      <c r="O6" s="48" t="s">
        <v>47</v>
      </c>
      <c r="P6" s="48" t="s">
        <v>48</v>
      </c>
      <c r="R6" s="48">
        <v>1</v>
      </c>
    </row>
    <row r="7" spans="1:18">
      <c r="A7" s="48">
        <v>100004</v>
      </c>
      <c r="B7" s="48" t="s">
        <v>57</v>
      </c>
      <c r="C7" s="48" t="s">
        <v>42</v>
      </c>
      <c r="D7" s="48">
        <v>11002</v>
      </c>
      <c r="E7" s="48">
        <v>1</v>
      </c>
      <c r="F7" s="48">
        <v>1110000030</v>
      </c>
      <c r="H7" s="48">
        <f t="shared" si="0"/>
        <v>100004</v>
      </c>
      <c r="I7" s="48" t="s">
        <v>43</v>
      </c>
      <c r="K7" s="48" cm="1">
        <f t="array" ref="K7">_xlfn.SWITCH(E7,1,0,2,7,3,15,4,25,5,50)</f>
        <v>0</v>
      </c>
      <c r="L7" s="48" t="s">
        <v>58</v>
      </c>
      <c r="M7" s="47" t="s">
        <v>59</v>
      </c>
      <c r="N7" s="48" t="s">
        <v>60</v>
      </c>
      <c r="O7" s="48" t="s">
        <v>47</v>
      </c>
      <c r="P7" s="48" t="s">
        <v>48</v>
      </c>
      <c r="R7" s="48">
        <v>1</v>
      </c>
    </row>
    <row r="8" spans="1:18">
      <c r="A8" s="48">
        <v>100005</v>
      </c>
      <c r="B8" s="48" t="s">
        <v>61</v>
      </c>
      <c r="C8" s="48" t="s">
        <v>42</v>
      </c>
      <c r="D8" s="48">
        <v>11003</v>
      </c>
      <c r="E8" s="48">
        <v>1</v>
      </c>
      <c r="F8" s="48">
        <v>1120000040</v>
      </c>
      <c r="H8" s="48">
        <f t="shared" si="0"/>
        <v>100005</v>
      </c>
      <c r="I8" s="48" t="s">
        <v>43</v>
      </c>
      <c r="K8" s="48" cm="1">
        <f t="array" ref="K8">_xlfn.SWITCH(E8,1,0,2,7,3,15,4,25,5,50)</f>
        <v>0</v>
      </c>
      <c r="L8" s="48" t="s">
        <v>62</v>
      </c>
      <c r="M8" s="47" t="s">
        <v>63</v>
      </c>
      <c r="N8" s="48" t="s">
        <v>64</v>
      </c>
      <c r="O8" s="48" t="s">
        <v>47</v>
      </c>
      <c r="P8" s="48" t="s">
        <v>48</v>
      </c>
      <c r="R8" s="48">
        <v>1</v>
      </c>
    </row>
    <row r="9" spans="1:18">
      <c r="A9" s="48">
        <v>100006</v>
      </c>
      <c r="B9" s="48" t="s">
        <v>65</v>
      </c>
      <c r="C9" s="48" t="s">
        <v>42</v>
      </c>
      <c r="D9" s="48">
        <v>11001</v>
      </c>
      <c r="E9" s="48">
        <v>1</v>
      </c>
      <c r="F9" s="48">
        <v>1120000130</v>
      </c>
      <c r="H9" s="48">
        <f t="shared" si="0"/>
        <v>100006</v>
      </c>
      <c r="I9" s="48" t="s">
        <v>43</v>
      </c>
      <c r="K9" s="48" cm="1">
        <f t="array" ref="K9">_xlfn.SWITCH(E9,1,0,2,7,3,15,4,25,5,50)</f>
        <v>0</v>
      </c>
      <c r="L9" s="48" t="s">
        <v>66</v>
      </c>
      <c r="M9" s="47" t="s">
        <v>67</v>
      </c>
      <c r="N9" s="48" t="s">
        <v>68</v>
      </c>
      <c r="O9" s="48" t="s">
        <v>47</v>
      </c>
      <c r="P9" s="48" t="s">
        <v>48</v>
      </c>
      <c r="R9" s="48">
        <v>1</v>
      </c>
    </row>
    <row r="10" ht="27" spans="1:18">
      <c r="A10" s="48">
        <v>100007</v>
      </c>
      <c r="B10" s="48" t="s">
        <v>69</v>
      </c>
      <c r="C10" s="48" t="s">
        <v>42</v>
      </c>
      <c r="D10" s="48">
        <v>0</v>
      </c>
      <c r="E10" s="48">
        <v>1</v>
      </c>
      <c r="G10" s="48">
        <v>2120000011</v>
      </c>
      <c r="H10" s="48">
        <f t="shared" si="0"/>
        <v>100007</v>
      </c>
      <c r="I10" s="48" t="s">
        <v>43</v>
      </c>
      <c r="K10" s="48" cm="1">
        <f t="array" ref="K10">_xlfn.SWITCH(E10,1,0,2,7,3,15,4,25,5,50)</f>
        <v>0</v>
      </c>
      <c r="L10" s="48" t="s">
        <v>70</v>
      </c>
      <c r="M10" s="47" t="s">
        <v>71</v>
      </c>
      <c r="O10" s="48" t="s">
        <v>47</v>
      </c>
      <c r="P10" s="48" t="s">
        <v>48</v>
      </c>
      <c r="Q10" s="48">
        <v>2122100011</v>
      </c>
      <c r="R10" s="48">
        <v>1</v>
      </c>
    </row>
    <row r="11" spans="1:18">
      <c r="A11" s="48">
        <v>100008</v>
      </c>
      <c r="B11" s="48" t="s">
        <v>72</v>
      </c>
      <c r="C11" s="48" t="s">
        <v>42</v>
      </c>
      <c r="D11" s="48">
        <v>11001</v>
      </c>
      <c r="E11" s="48">
        <v>1</v>
      </c>
      <c r="F11" s="48">
        <v>1120000020</v>
      </c>
      <c r="H11" s="48">
        <f t="shared" si="0"/>
        <v>100008</v>
      </c>
      <c r="I11" s="48" t="s">
        <v>43</v>
      </c>
      <c r="K11" s="48" cm="1">
        <f t="array" ref="K11">_xlfn.SWITCH(E11,1,0,2,7,3,15,4,25,5,50)</f>
        <v>0</v>
      </c>
      <c r="L11" s="48" t="s">
        <v>73</v>
      </c>
      <c r="M11" s="56" t="s">
        <v>74</v>
      </c>
      <c r="N11" s="56" t="s">
        <v>75</v>
      </c>
      <c r="O11" s="48" t="s">
        <v>47</v>
      </c>
      <c r="P11" s="48" t="s">
        <v>48</v>
      </c>
      <c r="R11" s="48">
        <v>1</v>
      </c>
    </row>
    <row r="12" spans="1:18">
      <c r="A12" s="48">
        <v>100009</v>
      </c>
      <c r="B12" s="48" t="s">
        <v>76</v>
      </c>
      <c r="C12" s="48" t="s">
        <v>42</v>
      </c>
      <c r="D12" s="48">
        <v>11001</v>
      </c>
      <c r="E12" s="48">
        <v>1</v>
      </c>
      <c r="F12" s="48">
        <v>1120000080</v>
      </c>
      <c r="H12" s="48">
        <f t="shared" si="0"/>
        <v>100009</v>
      </c>
      <c r="I12" s="48" t="s">
        <v>43</v>
      </c>
      <c r="K12" s="48" cm="1">
        <f t="array" ref="K12">_xlfn.SWITCH(E12,1,0,2,7,3,15,4,25,5,50)</f>
        <v>0</v>
      </c>
      <c r="L12" s="48" t="s">
        <v>77</v>
      </c>
      <c r="M12" s="56" t="s">
        <v>78</v>
      </c>
      <c r="N12" s="56" t="s">
        <v>79</v>
      </c>
      <c r="O12" s="48" t="s">
        <v>47</v>
      </c>
      <c r="P12" s="48" t="s">
        <v>48</v>
      </c>
      <c r="R12" s="48">
        <v>1</v>
      </c>
    </row>
    <row r="13" ht="27" spans="1:18">
      <c r="A13" s="48">
        <v>100010</v>
      </c>
      <c r="B13" s="48" t="s">
        <v>80</v>
      </c>
      <c r="C13" s="48" t="s">
        <v>42</v>
      </c>
      <c r="D13" s="48">
        <v>11003</v>
      </c>
      <c r="E13" s="48">
        <v>1</v>
      </c>
      <c r="F13" s="48">
        <v>1120000140</v>
      </c>
      <c r="H13" s="48">
        <f t="shared" ref="H13" si="1">A13</f>
        <v>100010</v>
      </c>
      <c r="I13" s="48" t="s">
        <v>43</v>
      </c>
      <c r="K13" s="48" cm="1">
        <f t="array" ref="K13">_xlfn.SWITCH(E13,1,0,2,7,3,15,4,25,5,50)</f>
        <v>0</v>
      </c>
      <c r="L13" s="48" t="s">
        <v>81</v>
      </c>
      <c r="M13" s="47" t="s">
        <v>82</v>
      </c>
      <c r="N13" s="48" t="s">
        <v>83</v>
      </c>
      <c r="O13" s="48" t="s">
        <v>47</v>
      </c>
      <c r="P13" s="48" t="s">
        <v>48</v>
      </c>
      <c r="R13" s="48">
        <v>1</v>
      </c>
    </row>
    <row r="14" spans="1:18">
      <c r="A14" s="48">
        <v>100011</v>
      </c>
      <c r="B14" s="48" t="s">
        <v>84</v>
      </c>
      <c r="C14" s="48" t="s">
        <v>42</v>
      </c>
      <c r="D14" s="48">
        <v>0</v>
      </c>
      <c r="E14" s="48">
        <v>2</v>
      </c>
      <c r="G14" s="48">
        <v>2110000010</v>
      </c>
      <c r="H14" s="48">
        <f t="shared" ref="H14:H18" si="2">A14</f>
        <v>100011</v>
      </c>
      <c r="I14" s="48" t="s">
        <v>43</v>
      </c>
      <c r="K14" s="48" cm="1">
        <f t="array" ref="K14">_xlfn.SWITCH(E14,1,0,2,7,3,15,4,25,5,50)</f>
        <v>7</v>
      </c>
      <c r="L14" s="48" t="s">
        <v>85</v>
      </c>
      <c r="M14" s="47" t="s">
        <v>86</v>
      </c>
      <c r="N14" s="48" t="s">
        <v>87</v>
      </c>
      <c r="O14" s="48" t="s">
        <v>47</v>
      </c>
      <c r="P14" s="48" t="s">
        <v>48</v>
      </c>
      <c r="Q14" s="48">
        <v>2112000012</v>
      </c>
      <c r="R14" s="48">
        <v>1</v>
      </c>
    </row>
    <row r="15" spans="1:18">
      <c r="A15" s="48">
        <v>100012</v>
      </c>
      <c r="B15" s="48" t="s">
        <v>88</v>
      </c>
      <c r="C15" s="48" t="s">
        <v>42</v>
      </c>
      <c r="D15" s="48">
        <v>11002</v>
      </c>
      <c r="E15" s="48">
        <v>2</v>
      </c>
      <c r="F15" s="48">
        <v>1110000020</v>
      </c>
      <c r="H15" s="48">
        <f t="shared" si="2"/>
        <v>100012</v>
      </c>
      <c r="I15" s="48" t="s">
        <v>43</v>
      </c>
      <c r="K15" s="48" cm="1">
        <f t="array" ref="K15">_xlfn.SWITCH(E15,1,0,2,7,3,15,4,25,5,50)</f>
        <v>7</v>
      </c>
      <c r="L15" s="48" t="s">
        <v>89</v>
      </c>
      <c r="M15" s="55" t="s">
        <v>90</v>
      </c>
      <c r="N15" s="56" t="s">
        <v>91</v>
      </c>
      <c r="O15" s="48" t="s">
        <v>47</v>
      </c>
      <c r="P15" s="48" t="s">
        <v>48</v>
      </c>
      <c r="R15" s="48">
        <v>1</v>
      </c>
    </row>
    <row r="16" ht="27" spans="1:18">
      <c r="A16" s="48">
        <v>100013</v>
      </c>
      <c r="B16" s="48" t="s">
        <v>92</v>
      </c>
      <c r="C16" s="48" t="s">
        <v>42</v>
      </c>
      <c r="D16" s="48">
        <v>11002</v>
      </c>
      <c r="E16" s="48">
        <v>2</v>
      </c>
      <c r="F16" s="48">
        <v>1110000060</v>
      </c>
      <c r="H16" s="48">
        <f t="shared" si="2"/>
        <v>100013</v>
      </c>
      <c r="I16" s="48" t="s">
        <v>43</v>
      </c>
      <c r="K16" s="48" cm="1">
        <f t="array" ref="K16">_xlfn.SWITCH(E16,1,0,2,7,3,15,4,25,5,50)</f>
        <v>7</v>
      </c>
      <c r="L16" s="48" t="s">
        <v>93</v>
      </c>
      <c r="M16" s="55" t="s">
        <v>94</v>
      </c>
      <c r="N16" s="56" t="s">
        <v>95</v>
      </c>
      <c r="O16" s="56" t="s">
        <v>47</v>
      </c>
      <c r="P16" s="56" t="s">
        <v>48</v>
      </c>
      <c r="R16" s="48">
        <v>1</v>
      </c>
    </row>
    <row r="17" spans="1:18">
      <c r="A17" s="48">
        <v>100014</v>
      </c>
      <c r="B17" s="48" t="s">
        <v>96</v>
      </c>
      <c r="C17" s="48" t="s">
        <v>42</v>
      </c>
      <c r="D17" s="48">
        <v>11001</v>
      </c>
      <c r="E17" s="48">
        <v>2</v>
      </c>
      <c r="F17" s="48">
        <v>1120000050</v>
      </c>
      <c r="H17" s="48">
        <f t="shared" si="2"/>
        <v>100014</v>
      </c>
      <c r="I17" s="48" t="s">
        <v>43</v>
      </c>
      <c r="K17" s="48" cm="1">
        <f t="array" ref="K17">_xlfn.SWITCH(E17,1,0,2,7,3,15,4,25,5,50)</f>
        <v>7</v>
      </c>
      <c r="L17" s="48" t="s">
        <v>97</v>
      </c>
      <c r="M17" s="56" t="s">
        <v>98</v>
      </c>
      <c r="N17" s="56" t="s">
        <v>99</v>
      </c>
      <c r="O17" s="56" t="s">
        <v>47</v>
      </c>
      <c r="P17" s="56" t="s">
        <v>48</v>
      </c>
      <c r="R17" s="48">
        <v>1</v>
      </c>
    </row>
    <row r="18" s="49" customFormat="1" spans="1:18">
      <c r="A18" s="49">
        <v>100015</v>
      </c>
      <c r="B18" s="49" t="s">
        <v>100</v>
      </c>
      <c r="C18" s="49"/>
      <c r="D18" s="49"/>
      <c r="E18" s="49">
        <v>2</v>
      </c>
      <c r="F18" s="49"/>
      <c r="G18" s="49">
        <v>2140000140</v>
      </c>
      <c r="H18" s="49">
        <f t="shared" si="2"/>
        <v>100015</v>
      </c>
      <c r="I18" s="48" t="s">
        <v>43</v>
      </c>
      <c r="K18" s="49" cm="1">
        <f t="array" ref="K18">_xlfn.SWITCH(E18,1,0,2,7,3,15,4,25,5,50)</f>
        <v>7</v>
      </c>
      <c r="M18" s="57" t="s">
        <v>101</v>
      </c>
      <c r="N18" s="56"/>
      <c r="O18" s="56"/>
      <c r="P18" s="56" t="s">
        <v>48</v>
      </c>
      <c r="R18" s="49">
        <v>0</v>
      </c>
    </row>
    <row r="19" ht="28" customHeight="1" spans="1:18">
      <c r="A19" s="48">
        <v>100016</v>
      </c>
      <c r="B19" s="48" t="s">
        <v>102</v>
      </c>
      <c r="C19" s="48" t="s">
        <v>42</v>
      </c>
      <c r="D19" s="48">
        <v>0</v>
      </c>
      <c r="E19" s="48">
        <v>2</v>
      </c>
      <c r="G19" s="48">
        <v>2110000020</v>
      </c>
      <c r="H19" s="48">
        <f t="shared" ref="H19:H22" si="3">A19</f>
        <v>100016</v>
      </c>
      <c r="I19" s="48" t="s">
        <v>43</v>
      </c>
      <c r="K19" s="48" cm="1">
        <f t="array" ref="K19">_xlfn.SWITCH(E19,1,0,2,7,3,15,4,25,5,50)</f>
        <v>7</v>
      </c>
      <c r="L19" s="48" t="s">
        <v>103</v>
      </c>
      <c r="M19" s="47" t="s">
        <v>104</v>
      </c>
      <c r="N19" s="48" t="s">
        <v>105</v>
      </c>
      <c r="O19" s="48" t="s">
        <v>47</v>
      </c>
      <c r="P19" s="48" t="s">
        <v>48</v>
      </c>
      <c r="Q19" s="48">
        <v>2112000021</v>
      </c>
      <c r="R19" s="48">
        <v>1</v>
      </c>
    </row>
    <row r="20" ht="28" customHeight="1" spans="1:18">
      <c r="A20" s="48">
        <v>100017</v>
      </c>
      <c r="B20" s="48" t="s">
        <v>106</v>
      </c>
      <c r="C20" s="48" t="s">
        <v>42</v>
      </c>
      <c r="D20" s="48">
        <v>11002</v>
      </c>
      <c r="E20" s="48">
        <v>3</v>
      </c>
      <c r="F20" s="48">
        <v>1140000010</v>
      </c>
      <c r="H20" s="48">
        <f t="shared" si="3"/>
        <v>100017</v>
      </c>
      <c r="I20" s="48" t="s">
        <v>43</v>
      </c>
      <c r="K20" s="48" cm="1">
        <f t="array" ref="K20">_xlfn.SWITCH(E20,1,0,2,7,3,15,4,25,5,50)</f>
        <v>15</v>
      </c>
      <c r="L20" s="48" t="s">
        <v>107</v>
      </c>
      <c r="M20" s="55" t="s">
        <v>108</v>
      </c>
      <c r="N20" s="56" t="s">
        <v>109</v>
      </c>
      <c r="O20" s="56" t="s">
        <v>47</v>
      </c>
      <c r="P20" s="56" t="s">
        <v>48</v>
      </c>
      <c r="R20" s="48">
        <v>1</v>
      </c>
    </row>
    <row r="21" ht="28" customHeight="1" spans="1:18">
      <c r="A21" s="48">
        <v>100018</v>
      </c>
      <c r="B21" s="48" t="s">
        <v>110</v>
      </c>
      <c r="C21" s="48" t="s">
        <v>42</v>
      </c>
      <c r="D21" s="48">
        <v>11001</v>
      </c>
      <c r="E21" s="48">
        <v>3</v>
      </c>
      <c r="F21" s="48">
        <v>1120000010</v>
      </c>
      <c r="H21" s="48">
        <f t="shared" si="3"/>
        <v>100018</v>
      </c>
      <c r="I21" s="48" t="s">
        <v>43</v>
      </c>
      <c r="K21" s="48" cm="1">
        <f t="array" ref="K21">_xlfn.SWITCH(E21,1,0,2,7,3,15,4,25,5,50)</f>
        <v>15</v>
      </c>
      <c r="L21" s="48" t="s">
        <v>111</v>
      </c>
      <c r="M21" s="56" t="s">
        <v>112</v>
      </c>
      <c r="N21" s="56"/>
      <c r="O21" s="56"/>
      <c r="P21" s="56"/>
      <c r="Q21" s="48">
        <v>1122000010</v>
      </c>
      <c r="R21" s="48">
        <v>1</v>
      </c>
    </row>
    <row r="22" ht="28" customHeight="1" spans="1:18">
      <c r="A22" s="48">
        <v>100019</v>
      </c>
      <c r="B22" s="48" t="s">
        <v>113</v>
      </c>
      <c r="C22" s="48" t="s">
        <v>42</v>
      </c>
      <c r="D22" s="48">
        <v>0</v>
      </c>
      <c r="E22" s="48">
        <v>3</v>
      </c>
      <c r="F22" s="48">
        <v>1140000020</v>
      </c>
      <c r="H22" s="48">
        <f t="shared" si="3"/>
        <v>100019</v>
      </c>
      <c r="I22" s="48" t="s">
        <v>43</v>
      </c>
      <c r="K22" s="48" cm="1">
        <f t="array" ref="K22">_xlfn.SWITCH(E22,1,0,2,7,3,15,4,25,5,50)</f>
        <v>15</v>
      </c>
      <c r="L22" s="48" t="s">
        <v>114</v>
      </c>
      <c r="M22" s="56" t="s">
        <v>115</v>
      </c>
      <c r="N22" s="56" t="s">
        <v>116</v>
      </c>
      <c r="O22" s="56" t="s">
        <v>47</v>
      </c>
      <c r="P22" s="56" t="s">
        <v>48</v>
      </c>
      <c r="Q22" s="48">
        <v>1142000020</v>
      </c>
      <c r="R22" s="48">
        <v>1</v>
      </c>
    </row>
    <row r="23" ht="28" customHeight="1" spans="1:18">
      <c r="A23" s="48">
        <v>100020</v>
      </c>
      <c r="B23" s="48" t="s">
        <v>117</v>
      </c>
      <c r="C23" s="48" t="s">
        <v>42</v>
      </c>
      <c r="D23" s="48">
        <v>0</v>
      </c>
      <c r="E23" s="48">
        <v>2</v>
      </c>
      <c r="G23" s="48">
        <v>2110000030</v>
      </c>
      <c r="H23" s="48">
        <f t="shared" ref="H23:H26" si="4">A23</f>
        <v>100020</v>
      </c>
      <c r="I23" s="48" t="s">
        <v>43</v>
      </c>
      <c r="K23" s="48" cm="1">
        <f t="array" ref="K23">_xlfn.SWITCH(E23,1,0,2,7,3,15,4,25,5,50)</f>
        <v>7</v>
      </c>
      <c r="L23" s="48" t="s">
        <v>118</v>
      </c>
      <c r="M23" s="47" t="s">
        <v>119</v>
      </c>
      <c r="N23" s="48" t="s">
        <v>120</v>
      </c>
      <c r="O23" s="48" t="s">
        <v>47</v>
      </c>
      <c r="P23" s="48" t="s">
        <v>48</v>
      </c>
      <c r="Q23" s="48">
        <v>2112000031</v>
      </c>
      <c r="R23" s="48">
        <v>1</v>
      </c>
    </row>
    <row r="24" ht="28" customHeight="1" spans="1:18">
      <c r="A24" s="48">
        <v>100021</v>
      </c>
      <c r="B24" s="48" t="s">
        <v>121</v>
      </c>
      <c r="C24" s="48" t="s">
        <v>42</v>
      </c>
      <c r="D24" s="48">
        <v>11001</v>
      </c>
      <c r="E24" s="48">
        <v>4</v>
      </c>
      <c r="F24" s="48">
        <v>1120000031</v>
      </c>
      <c r="H24" s="48">
        <f t="shared" si="4"/>
        <v>100021</v>
      </c>
      <c r="I24" s="48" t="s">
        <v>43</v>
      </c>
      <c r="K24" s="48" cm="1">
        <f t="array" ref="K24">_xlfn.SWITCH(E24,1,0,2,7,3,15,4,25,5,50)</f>
        <v>25</v>
      </c>
      <c r="L24" s="48" t="s">
        <v>122</v>
      </c>
      <c r="M24" s="56" t="s">
        <v>123</v>
      </c>
      <c r="N24" s="56" t="s">
        <v>124</v>
      </c>
      <c r="O24" s="56" t="s">
        <v>47</v>
      </c>
      <c r="P24" s="56" t="s">
        <v>48</v>
      </c>
      <c r="R24" s="48">
        <v>1</v>
      </c>
    </row>
    <row r="25" s="50" customFormat="1" spans="1:18">
      <c r="A25" s="50">
        <v>100022</v>
      </c>
      <c r="B25" s="50" t="s">
        <v>125</v>
      </c>
      <c r="C25" s="50"/>
      <c r="D25" s="50"/>
      <c r="E25" s="50">
        <v>4</v>
      </c>
      <c r="G25" s="50">
        <v>2140000080</v>
      </c>
      <c r="H25" s="50">
        <f t="shared" si="4"/>
        <v>100022</v>
      </c>
      <c r="I25" s="48" t="s">
        <v>43</v>
      </c>
      <c r="K25" s="50" cm="1">
        <f t="array" ref="K25">_xlfn.SWITCH(E25,1,0,2,7,3,15,4,25,5,50)</f>
        <v>25</v>
      </c>
      <c r="M25" s="57" t="s">
        <v>126</v>
      </c>
      <c r="N25" s="50" t="s">
        <v>52</v>
      </c>
      <c r="O25" s="50" t="s">
        <v>47</v>
      </c>
      <c r="P25" s="50" t="s">
        <v>48</v>
      </c>
      <c r="R25" s="50">
        <v>0</v>
      </c>
    </row>
    <row r="26" s="49" customFormat="1" spans="1:18">
      <c r="A26" s="49">
        <v>100023</v>
      </c>
      <c r="B26" s="49" t="s">
        <v>127</v>
      </c>
      <c r="C26" s="49"/>
      <c r="D26" s="49"/>
      <c r="E26" s="49">
        <v>4</v>
      </c>
      <c r="F26" s="49"/>
      <c r="G26" s="49">
        <v>2140000110</v>
      </c>
      <c r="H26" s="49">
        <f t="shared" si="4"/>
        <v>100023</v>
      </c>
      <c r="I26" s="48" t="s">
        <v>43</v>
      </c>
      <c r="K26" s="49" cm="1">
        <f t="array" ref="K26">_xlfn.SWITCH(E26,1,0,2,7,3,15,4,25,5,50)</f>
        <v>25</v>
      </c>
      <c r="M26" s="58" t="s">
        <v>128</v>
      </c>
      <c r="N26" s="49" t="s">
        <v>52</v>
      </c>
      <c r="O26" s="49" t="s">
        <v>47</v>
      </c>
      <c r="P26" s="49" t="s">
        <v>48</v>
      </c>
      <c r="R26" s="49">
        <v>0</v>
      </c>
    </row>
    <row r="27" s="50" customFormat="1" spans="1:18">
      <c r="A27" s="50">
        <v>100024</v>
      </c>
      <c r="B27" s="50" t="s">
        <v>129</v>
      </c>
      <c r="E27" s="50">
        <v>5</v>
      </c>
      <c r="G27" s="50">
        <v>2114000020</v>
      </c>
      <c r="H27" s="50">
        <f t="shared" ref="H27:H33" si="5">A27</f>
        <v>100024</v>
      </c>
      <c r="I27" s="48" t="s">
        <v>43</v>
      </c>
      <c r="K27" s="50" cm="1">
        <f t="array" ref="K27">_xlfn.SWITCH(E27,1,0,2,7,3,15,4,25,5,50)</f>
        <v>50</v>
      </c>
      <c r="M27" s="57" t="s">
        <v>101</v>
      </c>
      <c r="N27" s="50" t="s">
        <v>52</v>
      </c>
      <c r="O27" s="50" t="s">
        <v>47</v>
      </c>
      <c r="P27" s="50" t="s">
        <v>48</v>
      </c>
      <c r="R27" s="50">
        <v>0</v>
      </c>
    </row>
    <row r="28" s="50" customFormat="1" spans="1:18">
      <c r="A28" s="50">
        <v>100025</v>
      </c>
      <c r="B28" s="50" t="s">
        <v>130</v>
      </c>
      <c r="E28" s="50">
        <v>5</v>
      </c>
      <c r="G28" s="50">
        <v>2150000020</v>
      </c>
      <c r="H28" s="50">
        <f t="shared" si="5"/>
        <v>100025</v>
      </c>
      <c r="I28" s="48" t="s">
        <v>43</v>
      </c>
      <c r="K28" s="50" cm="1">
        <f t="array" ref="K28">_xlfn.SWITCH(E28,1,0,2,7,3,15,4,25,5,50)</f>
        <v>50</v>
      </c>
      <c r="M28" s="57" t="s">
        <v>101</v>
      </c>
      <c r="N28" s="50" t="s">
        <v>52</v>
      </c>
      <c r="O28" s="50" t="s">
        <v>47</v>
      </c>
      <c r="P28" s="50" t="s">
        <v>48</v>
      </c>
      <c r="R28" s="50">
        <v>0</v>
      </c>
    </row>
    <row r="29" spans="1:18">
      <c r="A29" s="48">
        <v>100026</v>
      </c>
      <c r="B29" s="48" t="s">
        <v>129</v>
      </c>
      <c r="C29" s="48" t="s">
        <v>42</v>
      </c>
      <c r="D29" s="48">
        <v>0</v>
      </c>
      <c r="E29" s="48">
        <v>5</v>
      </c>
      <c r="G29" s="48">
        <v>2114000020</v>
      </c>
      <c r="H29" s="48">
        <f t="shared" si="5"/>
        <v>100026</v>
      </c>
      <c r="I29" s="48" t="s">
        <v>43</v>
      </c>
      <c r="K29" s="48" cm="1">
        <f t="array" ref="K29">_xlfn.SWITCH(E29,1,0,2,7,3,15,4,25,5,50)</f>
        <v>50</v>
      </c>
      <c r="L29" s="48" t="s">
        <v>131</v>
      </c>
      <c r="M29" s="47" t="s">
        <v>132</v>
      </c>
      <c r="Q29" s="48">
        <v>2142000020</v>
      </c>
      <c r="R29" s="48">
        <v>1</v>
      </c>
    </row>
    <row r="30" spans="1:18">
      <c r="A30" s="48">
        <v>100027</v>
      </c>
      <c r="B30" s="48" t="s">
        <v>133</v>
      </c>
      <c r="C30" s="48" t="s">
        <v>42</v>
      </c>
      <c r="D30" s="48">
        <v>0</v>
      </c>
      <c r="E30" s="48">
        <v>5</v>
      </c>
      <c r="G30" s="48">
        <v>2140000040</v>
      </c>
      <c r="H30" s="48">
        <f t="shared" si="5"/>
        <v>100027</v>
      </c>
      <c r="I30" s="48" t="s">
        <v>43</v>
      </c>
      <c r="K30" s="48" cm="1">
        <f t="array" ref="K30">_xlfn.SWITCH(E30,1,0,2,7,3,15,4,25,5,50)</f>
        <v>50</v>
      </c>
      <c r="L30" s="48" t="s">
        <v>134</v>
      </c>
      <c r="M30" s="47" t="s">
        <v>132</v>
      </c>
      <c r="Q30" s="48">
        <v>2142000040</v>
      </c>
      <c r="R30" s="48">
        <v>1</v>
      </c>
    </row>
    <row r="31" spans="1:18">
      <c r="A31" s="48">
        <v>100028</v>
      </c>
      <c r="B31" s="48" t="s">
        <v>135</v>
      </c>
      <c r="C31" s="48" t="s">
        <v>42</v>
      </c>
      <c r="D31" s="48">
        <v>0</v>
      </c>
      <c r="E31" s="48">
        <v>5</v>
      </c>
      <c r="G31" s="48">
        <v>2140000050</v>
      </c>
      <c r="H31" s="48">
        <f t="shared" si="5"/>
        <v>100028</v>
      </c>
      <c r="I31" s="48" t="s">
        <v>43</v>
      </c>
      <c r="K31" s="48" cm="1">
        <f t="array" ref="K31">_xlfn.SWITCH(E31,1,0,2,7,3,15,4,25,5,50)</f>
        <v>50</v>
      </c>
      <c r="L31" s="48" t="s">
        <v>136</v>
      </c>
      <c r="M31" s="47" t="s">
        <v>132</v>
      </c>
      <c r="Q31" s="48">
        <v>2142000050</v>
      </c>
      <c r="R31" s="48">
        <v>1</v>
      </c>
    </row>
    <row r="32" spans="1:18">
      <c r="A32" s="48">
        <v>100029</v>
      </c>
      <c r="B32" s="48" t="s">
        <v>137</v>
      </c>
      <c r="C32" s="48" t="s">
        <v>42</v>
      </c>
      <c r="D32" s="48">
        <v>0</v>
      </c>
      <c r="E32" s="48">
        <v>5</v>
      </c>
      <c r="G32" s="48">
        <v>2140000060</v>
      </c>
      <c r="H32" s="48">
        <f t="shared" si="5"/>
        <v>100029</v>
      </c>
      <c r="I32" s="48" t="s">
        <v>43</v>
      </c>
      <c r="K32" s="48" cm="1">
        <f t="array" ref="K32">_xlfn.SWITCH(E32,1,0,2,7,3,15,4,25,5,50)</f>
        <v>50</v>
      </c>
      <c r="L32" s="48" t="s">
        <v>138</v>
      </c>
      <c r="M32" s="47" t="s">
        <v>132</v>
      </c>
      <c r="Q32" s="48">
        <v>2142000060</v>
      </c>
      <c r="R32" s="48">
        <v>1</v>
      </c>
    </row>
    <row r="33" spans="1:18">
      <c r="A33" s="48">
        <v>100030</v>
      </c>
      <c r="B33" s="48" t="s">
        <v>139</v>
      </c>
      <c r="C33" s="48" t="s">
        <v>42</v>
      </c>
      <c r="D33" s="48">
        <v>0</v>
      </c>
      <c r="E33" s="48">
        <v>5</v>
      </c>
      <c r="G33" s="48">
        <v>2140000070</v>
      </c>
      <c r="H33" s="48">
        <f t="shared" si="5"/>
        <v>100030</v>
      </c>
      <c r="I33" s="48" t="s">
        <v>43</v>
      </c>
      <c r="K33" s="48" cm="1">
        <f t="array" ref="K33">_xlfn.SWITCH(E33,1,0,2,7,3,15,4,25,5,50)</f>
        <v>50</v>
      </c>
      <c r="L33" s="48" t="s">
        <v>140</v>
      </c>
      <c r="M33" s="47" t="s">
        <v>132</v>
      </c>
      <c r="Q33" s="48">
        <v>2142000070</v>
      </c>
      <c r="R33" s="48">
        <v>1</v>
      </c>
    </row>
    <row r="34" spans="1:18">
      <c r="A34" s="48">
        <v>100031</v>
      </c>
      <c r="B34" s="48" t="s">
        <v>141</v>
      </c>
      <c r="C34" s="48" t="s">
        <v>42</v>
      </c>
      <c r="D34" s="48">
        <v>0</v>
      </c>
      <c r="E34" s="48">
        <v>2</v>
      </c>
      <c r="G34" s="48">
        <v>2120000090</v>
      </c>
      <c r="H34" s="48">
        <f t="shared" ref="H34:H42" si="6">A34</f>
        <v>100031</v>
      </c>
      <c r="I34" s="48" t="s">
        <v>43</v>
      </c>
      <c r="K34" s="48" cm="1">
        <f t="array" ref="K34">_xlfn.SWITCH(E34,1,0,2,7,3,15,4,25,5,50)</f>
        <v>7</v>
      </c>
      <c r="L34" s="48" t="s">
        <v>142</v>
      </c>
      <c r="M34" s="47" t="s">
        <v>143</v>
      </c>
      <c r="Q34" s="48">
        <v>2122100090</v>
      </c>
      <c r="R34" s="48">
        <v>1</v>
      </c>
    </row>
    <row r="35" spans="1:18">
      <c r="A35" s="48">
        <v>100032</v>
      </c>
      <c r="B35" s="48" t="s">
        <v>144</v>
      </c>
      <c r="C35" s="48" t="s">
        <v>42</v>
      </c>
      <c r="D35" s="48">
        <v>0</v>
      </c>
      <c r="E35" s="48">
        <v>2</v>
      </c>
      <c r="G35" s="48">
        <v>2120000080</v>
      </c>
      <c r="H35" s="48">
        <f t="shared" si="6"/>
        <v>100032</v>
      </c>
      <c r="I35" s="48" t="s">
        <v>43</v>
      </c>
      <c r="K35" s="48" cm="1">
        <f t="array" ref="K35">_xlfn.SWITCH(E35,1,0,2,7,3,15,4,25,5,50)</f>
        <v>7</v>
      </c>
      <c r="L35" s="48" t="s">
        <v>145</v>
      </c>
      <c r="M35" s="47" t="s">
        <v>146</v>
      </c>
      <c r="Q35" s="48">
        <v>2122100080</v>
      </c>
      <c r="R35" s="48">
        <v>1</v>
      </c>
    </row>
    <row r="36" spans="1:18">
      <c r="A36" s="48">
        <v>100033</v>
      </c>
      <c r="B36" s="48" t="s">
        <v>147</v>
      </c>
      <c r="C36" s="48" t="s">
        <v>42</v>
      </c>
      <c r="D36" s="48">
        <v>0</v>
      </c>
      <c r="E36" s="48">
        <v>3</v>
      </c>
      <c r="F36" s="48">
        <v>1120000180</v>
      </c>
      <c r="H36" s="48">
        <f t="shared" si="6"/>
        <v>100033</v>
      </c>
      <c r="I36" s="48" t="s">
        <v>43</v>
      </c>
      <c r="K36" s="48" cm="1">
        <f t="array" ref="K36">_xlfn.SWITCH(E36,1,0,2,7,3,15,4,25,5,50)</f>
        <v>15</v>
      </c>
      <c r="L36" s="48" t="s">
        <v>148</v>
      </c>
      <c r="Q36" s="48">
        <v>1122000180</v>
      </c>
      <c r="R36" s="48">
        <v>1</v>
      </c>
    </row>
    <row r="37" spans="1:18">
      <c r="A37" s="48">
        <v>100034</v>
      </c>
      <c r="B37" s="48" t="s">
        <v>149</v>
      </c>
      <c r="C37" s="48" t="s">
        <v>42</v>
      </c>
      <c r="D37" s="48">
        <v>0</v>
      </c>
      <c r="E37" s="48">
        <v>3</v>
      </c>
      <c r="F37" s="48">
        <v>1120000190</v>
      </c>
      <c r="H37" s="48">
        <f t="shared" si="6"/>
        <v>100034</v>
      </c>
      <c r="I37" s="48" t="s">
        <v>43</v>
      </c>
      <c r="K37" s="48" cm="1">
        <f t="array" ref="K37">_xlfn.SWITCH(E37,1,0,2,7,3,15,4,25,5,50)</f>
        <v>15</v>
      </c>
      <c r="L37" s="48" t="s">
        <v>150</v>
      </c>
      <c r="Q37" s="48">
        <v>1122000190</v>
      </c>
      <c r="R37" s="48">
        <v>1</v>
      </c>
    </row>
    <row r="38" spans="1:18">
      <c r="A38" s="48">
        <v>100035</v>
      </c>
      <c r="B38" s="48" t="s">
        <v>151</v>
      </c>
      <c r="C38" s="48" t="s">
        <v>42</v>
      </c>
      <c r="D38" s="48">
        <v>0</v>
      </c>
      <c r="E38" s="48">
        <v>3</v>
      </c>
      <c r="F38" s="48">
        <v>1120000200</v>
      </c>
      <c r="H38" s="48">
        <f t="shared" si="6"/>
        <v>100035</v>
      </c>
      <c r="I38" s="48" t="s">
        <v>43</v>
      </c>
      <c r="K38" s="48" cm="1">
        <f t="array" ref="K38">_xlfn.SWITCH(E38,1,0,2,7,3,15,4,25,5,50)</f>
        <v>15</v>
      </c>
      <c r="L38" s="48" t="s">
        <v>152</v>
      </c>
      <c r="Q38" s="48">
        <v>1122000200</v>
      </c>
      <c r="R38" s="48">
        <v>1</v>
      </c>
    </row>
    <row r="39" spans="1:18">
      <c r="A39" s="48">
        <v>100036</v>
      </c>
      <c r="B39" s="48" t="s">
        <v>153</v>
      </c>
      <c r="C39" s="48" t="s">
        <v>42</v>
      </c>
      <c r="D39" s="48">
        <v>0</v>
      </c>
      <c r="E39" s="48">
        <v>3</v>
      </c>
      <c r="F39" s="48">
        <v>1120000210</v>
      </c>
      <c r="H39" s="48">
        <f t="shared" si="6"/>
        <v>100036</v>
      </c>
      <c r="I39" s="48" t="s">
        <v>43</v>
      </c>
      <c r="K39" s="48" cm="1">
        <f t="array" ref="K39">_xlfn.SWITCH(E39,1,0,2,7,3,15,4,25,5,50)</f>
        <v>15</v>
      </c>
      <c r="L39" s="48" t="s">
        <v>154</v>
      </c>
      <c r="Q39" s="48">
        <v>1122000210</v>
      </c>
      <c r="R39" s="48">
        <v>1</v>
      </c>
    </row>
    <row r="40" spans="1:18">
      <c r="A40" s="48">
        <v>100037</v>
      </c>
      <c r="B40" s="48" t="s">
        <v>155</v>
      </c>
      <c r="C40" s="48" t="s">
        <v>42</v>
      </c>
      <c r="D40" s="48">
        <v>0</v>
      </c>
      <c r="E40" s="48">
        <v>3</v>
      </c>
      <c r="F40" s="48">
        <v>1120000220</v>
      </c>
      <c r="H40" s="48">
        <f t="shared" si="6"/>
        <v>100037</v>
      </c>
      <c r="I40" s="48" t="s">
        <v>43</v>
      </c>
      <c r="K40" s="48" cm="1">
        <f t="array" ref="K40">_xlfn.SWITCH(E40,1,0,2,7,3,15,4,25,5,50)</f>
        <v>15</v>
      </c>
      <c r="L40" s="48" t="s">
        <v>156</v>
      </c>
      <c r="Q40" s="48">
        <v>1122000220</v>
      </c>
      <c r="R40" s="48">
        <v>1</v>
      </c>
    </row>
    <row r="41" spans="1:18">
      <c r="A41" s="48">
        <v>100038</v>
      </c>
      <c r="B41" s="48" t="s">
        <v>157</v>
      </c>
      <c r="C41" s="48" t="s">
        <v>42</v>
      </c>
      <c r="D41" s="48">
        <v>11001</v>
      </c>
      <c r="E41" s="48">
        <v>2</v>
      </c>
      <c r="F41" s="48">
        <v>1120000150</v>
      </c>
      <c r="H41" s="48">
        <f t="shared" si="6"/>
        <v>100038</v>
      </c>
      <c r="I41" s="48" t="s">
        <v>43</v>
      </c>
      <c r="K41" s="48" cm="1">
        <f t="array" ref="K41">_xlfn.SWITCH(E41,1,0,2,7,3,15,4,25,5,50)</f>
        <v>7</v>
      </c>
      <c r="L41" s="48" t="s">
        <v>97</v>
      </c>
      <c r="M41" s="56" t="s">
        <v>158</v>
      </c>
      <c r="N41" s="56" t="s">
        <v>159</v>
      </c>
      <c r="O41" s="56" t="s">
        <v>47</v>
      </c>
      <c r="P41" s="56" t="s">
        <v>48</v>
      </c>
      <c r="R41" s="48">
        <v>1</v>
      </c>
    </row>
    <row r="42" spans="1:18">
      <c r="A42" s="48">
        <v>100039</v>
      </c>
      <c r="B42" s="48" t="s">
        <v>160</v>
      </c>
      <c r="C42" s="48" t="s">
        <v>42</v>
      </c>
      <c r="D42" s="48">
        <v>11003</v>
      </c>
      <c r="E42" s="48">
        <v>3</v>
      </c>
      <c r="F42" s="48">
        <v>1120000170</v>
      </c>
      <c r="H42" s="48">
        <f t="shared" si="6"/>
        <v>100039</v>
      </c>
      <c r="I42" s="48" t="s">
        <v>43</v>
      </c>
      <c r="K42" s="48" cm="1">
        <f t="array" ref="K42">_xlfn.SWITCH(E42,1,0,2,7,3,15,4,25,5,50)</f>
        <v>15</v>
      </c>
      <c r="L42" s="48" t="s">
        <v>97</v>
      </c>
      <c r="M42" s="56" t="s">
        <v>161</v>
      </c>
      <c r="N42" s="56" t="s">
        <v>162</v>
      </c>
      <c r="O42" s="56" t="s">
        <v>47</v>
      </c>
      <c r="P42" s="56" t="s">
        <v>48</v>
      </c>
      <c r="R42" s="48">
        <v>1</v>
      </c>
    </row>
  </sheetData>
  <conditionalFormatting sqref="A1:A2">
    <cfRule type="duplicateValues" dxfId="0" priority="37"/>
  </conditionalFormatting>
  <conditionalFormatting sqref="A43:A1048576">
    <cfRule type="duplicateValues" dxfId="0" priority="145"/>
  </conditionalFormatting>
  <conditionalFormatting sqref="B1:B2">
    <cfRule type="duplicateValues" dxfId="0" priority="36"/>
  </conditionalFormatting>
  <conditionalFormatting sqref="H1:H2">
    <cfRule type="duplicateValues" dxfId="0" priority="30"/>
  </conditionalFormatting>
  <conditionalFormatting sqref="J1:J2">
    <cfRule type="duplicateValues" dxfId="0" priority="31"/>
  </conditionalFormatting>
  <conditionalFormatting sqref="K1:K2">
    <cfRule type="duplicateValues" dxfId="0" priority="3"/>
  </conditionalFormatting>
  <conditionalFormatting sqref="L1:L2">
    <cfRule type="duplicateValues" dxfId="0" priority="2"/>
  </conditionalFormatting>
  <conditionalFormatting sqref="C1:E2">
    <cfRule type="duplicateValues" dxfId="0" priority="35"/>
  </conditionalFormatting>
  <conditionalFormatting sqref="F1:G2 I1:I2">
    <cfRule type="duplicateValues" dxfId="0" priority="34"/>
  </conditionalFormatting>
  <conditionalFormatting sqref="A4:A17 A19:A24 A29:A42">
    <cfRule type="duplicateValues" dxfId="0" priority="27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5"/>
    <col min="3" max="3" width="12.375" style="5" customWidth="1"/>
    <col min="4" max="4" width="9.375" customWidth="1"/>
  </cols>
  <sheetData>
    <row r="1" spans="1:4">
      <c r="A1" s="6" t="s">
        <v>163</v>
      </c>
      <c r="B1" s="6" t="s">
        <v>164</v>
      </c>
      <c r="C1" s="5" t="s">
        <v>165</v>
      </c>
      <c r="D1" s="5" t="s">
        <v>166</v>
      </c>
    </row>
    <row r="2" spans="1:4">
      <c r="A2" s="7" t="s">
        <v>18</v>
      </c>
      <c r="B2" s="7" t="s">
        <v>167</v>
      </c>
      <c r="C2" s="7" t="s">
        <v>168</v>
      </c>
      <c r="D2" s="7" t="s">
        <v>169</v>
      </c>
    </row>
    <row r="3" spans="1:4">
      <c r="A3" s="8" t="s">
        <v>36</v>
      </c>
      <c r="B3" s="8" t="s">
        <v>36</v>
      </c>
      <c r="C3" s="8" t="s">
        <v>37</v>
      </c>
      <c r="D3" s="8" t="s">
        <v>36</v>
      </c>
    </row>
    <row r="4" spans="1:4">
      <c r="A4" s="5">
        <v>1</v>
      </c>
      <c r="B4" s="5">
        <v>0</v>
      </c>
      <c r="C4" s="5" t="s">
        <v>170</v>
      </c>
      <c r="D4">
        <v>5</v>
      </c>
    </row>
    <row r="5" spans="1:4">
      <c r="A5" s="5">
        <v>2</v>
      </c>
      <c r="B5" s="5">
        <v>2</v>
      </c>
      <c r="C5" s="5" t="s">
        <v>171</v>
      </c>
      <c r="D5">
        <v>4</v>
      </c>
    </row>
    <row r="6" spans="1:4">
      <c r="A6" s="5">
        <v>3</v>
      </c>
      <c r="B6" s="5">
        <v>5</v>
      </c>
      <c r="C6" s="5" t="s">
        <v>172</v>
      </c>
      <c r="D6">
        <v>3</v>
      </c>
    </row>
    <row r="7" spans="1:4">
      <c r="A7" s="5">
        <v>4</v>
      </c>
      <c r="B7" s="5">
        <v>10</v>
      </c>
      <c r="C7" s="5" t="s">
        <v>173</v>
      </c>
      <c r="D7">
        <v>2</v>
      </c>
    </row>
    <row r="8" spans="1:4">
      <c r="A8" s="5">
        <v>5</v>
      </c>
      <c r="B8" s="5">
        <v>15</v>
      </c>
      <c r="C8" s="5" t="s">
        <v>174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O55"/>
  <sheetViews>
    <sheetView zoomScale="85" zoomScaleNormal="85" topLeftCell="B1" workbookViewId="0">
      <pane ySplit="3" topLeftCell="A16" activePane="bottomLeft" state="frozen"/>
      <selection/>
      <selection pane="bottomLeft" activeCell="B19" sqref="B19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style="37" customWidth="1"/>
    <col min="7" max="7" width="65.875" style="5" customWidth="1"/>
    <col min="8" max="9" width="13.125" style="37" customWidth="1"/>
    <col min="10" max="10" width="13.5" style="5" customWidth="1"/>
    <col min="11" max="11" width="12.875" style="37" customWidth="1"/>
    <col min="12" max="12" width="29.375" customWidth="1"/>
    <col min="13" max="13" width="12.625" customWidth="1"/>
    <col min="14" max="14" width="11.5" customWidth="1"/>
  </cols>
  <sheetData>
    <row r="1" ht="27" spans="1:15">
      <c r="A1" s="37" t="s">
        <v>175</v>
      </c>
      <c r="B1" s="1" t="s">
        <v>176</v>
      </c>
      <c r="C1" s="1" t="s">
        <v>177</v>
      </c>
      <c r="D1" s="1" t="s">
        <v>178</v>
      </c>
      <c r="E1" s="1" t="s">
        <v>179</v>
      </c>
      <c r="F1" s="1" t="s">
        <v>180</v>
      </c>
      <c r="G1" s="6" t="s">
        <v>181</v>
      </c>
      <c r="H1" s="1" t="s">
        <v>182</v>
      </c>
      <c r="I1" s="1" t="s">
        <v>183</v>
      </c>
      <c r="J1" s="6" t="s">
        <v>184</v>
      </c>
      <c r="K1" s="1" t="s">
        <v>183</v>
      </c>
      <c r="L1" s="1" t="s">
        <v>185</v>
      </c>
      <c r="M1" s="1" t="s">
        <v>186</v>
      </c>
      <c r="N1" s="1" t="s">
        <v>187</v>
      </c>
      <c r="O1" s="1" t="s">
        <v>188</v>
      </c>
    </row>
    <row r="2" spans="1:15">
      <c r="A2" s="2" t="s">
        <v>18</v>
      </c>
      <c r="B2" s="2" t="s">
        <v>189</v>
      </c>
      <c r="C2" s="2" t="s">
        <v>190</v>
      </c>
      <c r="D2" s="2" t="s">
        <v>167</v>
      </c>
      <c r="E2" s="2" t="s">
        <v>29</v>
      </c>
      <c r="F2" s="2" t="s">
        <v>19</v>
      </c>
      <c r="G2" s="7" t="s">
        <v>30</v>
      </c>
      <c r="H2" s="2" t="s">
        <v>191</v>
      </c>
      <c r="I2" s="2" t="s">
        <v>192</v>
      </c>
      <c r="J2" s="7" t="s">
        <v>24</v>
      </c>
      <c r="K2" s="2" t="s">
        <v>193</v>
      </c>
      <c r="L2" s="2" t="s">
        <v>194</v>
      </c>
      <c r="M2" s="2" t="s">
        <v>195</v>
      </c>
      <c r="N2" s="2" t="s">
        <v>196</v>
      </c>
      <c r="O2" s="2" t="s">
        <v>197</v>
      </c>
    </row>
    <row r="3" spans="1:15">
      <c r="A3" s="3" t="s">
        <v>36</v>
      </c>
      <c r="B3" s="3" t="s">
        <v>36</v>
      </c>
      <c r="C3" s="3" t="s">
        <v>37</v>
      </c>
      <c r="D3" s="3" t="s">
        <v>36</v>
      </c>
      <c r="E3" s="3" t="s">
        <v>37</v>
      </c>
      <c r="F3" s="3" t="s">
        <v>37</v>
      </c>
      <c r="G3" s="8" t="s">
        <v>37</v>
      </c>
      <c r="H3" s="8" t="s">
        <v>38</v>
      </c>
      <c r="I3" s="8" t="s">
        <v>40</v>
      </c>
      <c r="J3" s="8" t="s">
        <v>38</v>
      </c>
      <c r="K3" s="8" t="s">
        <v>40</v>
      </c>
      <c r="L3" s="3" t="s">
        <v>40</v>
      </c>
      <c r="M3" s="3" t="s">
        <v>36</v>
      </c>
      <c r="N3" s="3" t="s">
        <v>36</v>
      </c>
      <c r="O3" s="3" t="s">
        <v>36</v>
      </c>
    </row>
    <row r="4" ht="14.25" spans="1:15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198</v>
      </c>
      <c r="F4" s="38" t="s">
        <v>199</v>
      </c>
      <c r="G4" t="s">
        <v>200</v>
      </c>
      <c r="H4" s="37">
        <v>10032</v>
      </c>
      <c r="I4" s="37" t="s">
        <v>201</v>
      </c>
      <c r="M4" s="39">
        <v>1</v>
      </c>
      <c r="N4" s="39">
        <f t="shared" ref="N4:N9" si="1">M4</f>
        <v>1</v>
      </c>
      <c r="O4" s="39">
        <v>0</v>
      </c>
    </row>
    <row r="5" ht="14.25" spans="1:15">
      <c r="A5">
        <f t="shared" si="0"/>
        <v>100102</v>
      </c>
      <c r="B5">
        <v>1</v>
      </c>
      <c r="C5">
        <v>2</v>
      </c>
      <c r="D5">
        <v>2</v>
      </c>
      <c r="E5" t="s">
        <v>202</v>
      </c>
      <c r="F5" s="38" t="s">
        <v>203</v>
      </c>
      <c r="G5" t="s">
        <v>204</v>
      </c>
      <c r="H5" s="37">
        <v>10032</v>
      </c>
      <c r="I5" s="37" t="s">
        <v>205</v>
      </c>
      <c r="M5" s="39">
        <v>4</v>
      </c>
      <c r="N5" s="39">
        <v>4</v>
      </c>
      <c r="O5" s="39">
        <v>0</v>
      </c>
    </row>
    <row r="6" ht="14.25" spans="1:15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206</v>
      </c>
      <c r="F6" s="38" t="s">
        <v>207</v>
      </c>
      <c r="G6" s="40" t="s">
        <v>208</v>
      </c>
      <c r="H6" s="41" t="s">
        <v>209</v>
      </c>
      <c r="I6" s="41" t="s">
        <v>210</v>
      </c>
      <c r="K6" s="41"/>
      <c r="M6" s="39">
        <v>2</v>
      </c>
      <c r="N6" s="39">
        <f t="shared" si="1"/>
        <v>2</v>
      </c>
      <c r="O6" s="39">
        <v>0</v>
      </c>
    </row>
    <row r="7" ht="14.25" spans="1:15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206</v>
      </c>
      <c r="F7" s="38" t="s">
        <v>211</v>
      </c>
      <c r="G7" s="40" t="s">
        <v>212</v>
      </c>
      <c r="H7" s="41" t="s">
        <v>209</v>
      </c>
      <c r="I7" s="41" t="s">
        <v>213</v>
      </c>
      <c r="K7" s="41"/>
      <c r="M7" s="39">
        <v>4</v>
      </c>
      <c r="N7" s="39">
        <v>4</v>
      </c>
      <c r="O7" s="39">
        <v>0</v>
      </c>
    </row>
    <row r="8" spans="1:15">
      <c r="A8">
        <f t="shared" si="0"/>
        <v>100204</v>
      </c>
      <c r="B8">
        <v>2</v>
      </c>
      <c r="C8">
        <v>4</v>
      </c>
      <c r="D8">
        <v>5</v>
      </c>
      <c r="E8" t="s">
        <v>206</v>
      </c>
      <c r="F8" s="38" t="s">
        <v>214</v>
      </c>
      <c r="G8" t="s">
        <v>215</v>
      </c>
      <c r="H8" s="41">
        <v>10043</v>
      </c>
      <c r="I8" s="41"/>
      <c r="K8" s="41"/>
      <c r="M8" s="39">
        <v>5</v>
      </c>
      <c r="N8" s="39">
        <f t="shared" si="1"/>
        <v>5</v>
      </c>
      <c r="O8" s="39">
        <v>0</v>
      </c>
    </row>
    <row r="9" ht="14.25" spans="1:15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216</v>
      </c>
      <c r="F9" s="38" t="s">
        <v>217</v>
      </c>
      <c r="G9" t="s">
        <v>218</v>
      </c>
      <c r="H9" s="37">
        <v>10031</v>
      </c>
      <c r="I9" s="37" t="s">
        <v>219</v>
      </c>
      <c r="M9" s="39">
        <v>1</v>
      </c>
      <c r="N9" s="39">
        <f t="shared" si="1"/>
        <v>1</v>
      </c>
      <c r="O9" s="39">
        <v>0</v>
      </c>
    </row>
    <row r="10" ht="14.25" spans="1:15">
      <c r="A10">
        <f t="shared" si="3"/>
        <v>100302</v>
      </c>
      <c r="B10">
        <v>3</v>
      </c>
      <c r="C10">
        <v>2</v>
      </c>
      <c r="D10">
        <v>2</v>
      </c>
      <c r="E10" t="s">
        <v>220</v>
      </c>
      <c r="F10" s="38" t="s">
        <v>221</v>
      </c>
      <c r="G10" t="s">
        <v>222</v>
      </c>
      <c r="H10" s="37">
        <v>10031</v>
      </c>
      <c r="I10" s="37" t="s">
        <v>223</v>
      </c>
      <c r="M10" s="39">
        <v>3</v>
      </c>
      <c r="N10" s="39">
        <v>3</v>
      </c>
      <c r="O10" s="39">
        <v>0</v>
      </c>
    </row>
    <row r="11" ht="14.25" spans="1:15">
      <c r="A11">
        <f t="shared" si="3"/>
        <v>100401</v>
      </c>
      <c r="B11">
        <v>4</v>
      </c>
      <c r="C11">
        <v>1</v>
      </c>
      <c r="D11">
        <v>1</v>
      </c>
      <c r="E11" t="s">
        <v>224</v>
      </c>
      <c r="F11" s="38" t="s">
        <v>225</v>
      </c>
      <c r="G11" s="10" t="s">
        <v>226</v>
      </c>
      <c r="H11" s="41">
        <v>10037</v>
      </c>
      <c r="I11" s="41" t="s">
        <v>219</v>
      </c>
      <c r="J11" s="10"/>
      <c r="K11" s="41"/>
      <c r="M11" s="39">
        <v>1</v>
      </c>
      <c r="N11" s="39">
        <v>1</v>
      </c>
      <c r="O11" s="39">
        <v>0</v>
      </c>
    </row>
    <row r="12" ht="14.25" spans="1:15">
      <c r="A12">
        <f t="shared" si="3"/>
        <v>100402</v>
      </c>
      <c r="B12">
        <v>4</v>
      </c>
      <c r="C12">
        <v>2</v>
      </c>
      <c r="D12">
        <v>2</v>
      </c>
      <c r="E12" t="s">
        <v>227</v>
      </c>
      <c r="F12" s="38" t="s">
        <v>228</v>
      </c>
      <c r="G12" s="10" t="s">
        <v>229</v>
      </c>
      <c r="H12" s="41">
        <v>10037</v>
      </c>
      <c r="I12" s="41" t="s">
        <v>223</v>
      </c>
      <c r="J12" s="10"/>
      <c r="K12" s="41"/>
      <c r="M12" s="39">
        <v>4</v>
      </c>
      <c r="N12" s="39">
        <f t="shared" ref="N12:N16" si="4">M12</f>
        <v>4</v>
      </c>
      <c r="O12" s="39">
        <v>0</v>
      </c>
    </row>
    <row r="13" ht="14.25" spans="1:15">
      <c r="A13">
        <f t="shared" si="3"/>
        <v>100501</v>
      </c>
      <c r="B13">
        <v>5</v>
      </c>
      <c r="C13">
        <v>1</v>
      </c>
      <c r="D13">
        <v>3</v>
      </c>
      <c r="E13" t="s">
        <v>230</v>
      </c>
      <c r="F13" s="38" t="s">
        <v>231</v>
      </c>
      <c r="G13" s="10" t="s">
        <v>232</v>
      </c>
      <c r="H13" s="41">
        <v>10033</v>
      </c>
      <c r="I13" s="41" t="s">
        <v>201</v>
      </c>
      <c r="J13" s="10"/>
      <c r="K13" s="41"/>
      <c r="M13" s="39">
        <v>2</v>
      </c>
      <c r="N13" s="39">
        <v>2</v>
      </c>
      <c r="O13" s="39">
        <v>0</v>
      </c>
    </row>
    <row r="14" ht="14.25" spans="1:15">
      <c r="A14">
        <f t="shared" si="3"/>
        <v>100502</v>
      </c>
      <c r="B14">
        <v>5</v>
      </c>
      <c r="C14">
        <v>2</v>
      </c>
      <c r="D14">
        <v>4</v>
      </c>
      <c r="E14" t="s">
        <v>233</v>
      </c>
      <c r="F14" s="38" t="s">
        <v>234</v>
      </c>
      <c r="G14" s="10" t="s">
        <v>235</v>
      </c>
      <c r="H14" s="41">
        <v>10033</v>
      </c>
      <c r="I14" s="41" t="s">
        <v>205</v>
      </c>
      <c r="J14" s="10"/>
      <c r="K14" s="41"/>
      <c r="M14" s="39">
        <v>5</v>
      </c>
      <c r="N14" s="39">
        <f t="shared" si="4"/>
        <v>5</v>
      </c>
      <c r="O14" s="39">
        <v>0</v>
      </c>
    </row>
    <row r="15" ht="14.25" spans="1:15">
      <c r="A15">
        <f t="shared" si="3"/>
        <v>100601</v>
      </c>
      <c r="B15">
        <v>6</v>
      </c>
      <c r="C15">
        <v>1</v>
      </c>
      <c r="D15">
        <v>5</v>
      </c>
      <c r="E15" t="s">
        <v>233</v>
      </c>
      <c r="F15" s="38" t="s">
        <v>236</v>
      </c>
      <c r="G15" s="10" t="s">
        <v>237</v>
      </c>
      <c r="H15" s="41">
        <v>10034</v>
      </c>
      <c r="I15" s="41" t="s">
        <v>238</v>
      </c>
      <c r="J15" s="10"/>
      <c r="K15" s="41"/>
      <c r="M15" s="39">
        <v>2</v>
      </c>
      <c r="N15" s="39">
        <f t="shared" si="4"/>
        <v>2</v>
      </c>
      <c r="O15" s="39">
        <v>0</v>
      </c>
    </row>
    <row r="16" ht="14.25" spans="1:15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239</v>
      </c>
      <c r="F16" s="38" t="s">
        <v>240</v>
      </c>
      <c r="G16" s="10" t="s">
        <v>241</v>
      </c>
      <c r="H16" s="41">
        <v>10034</v>
      </c>
      <c r="I16" s="41" t="s">
        <v>223</v>
      </c>
      <c r="K16" s="41"/>
      <c r="M16" s="39">
        <v>4</v>
      </c>
      <c r="N16" s="39">
        <f t="shared" si="4"/>
        <v>4</v>
      </c>
      <c r="O16" s="39">
        <v>0</v>
      </c>
    </row>
    <row r="17" ht="14.25" spans="1:15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242</v>
      </c>
      <c r="F17" s="38" t="s">
        <v>243</v>
      </c>
      <c r="G17" s="10" t="s">
        <v>244</v>
      </c>
      <c r="H17" s="41">
        <v>10106</v>
      </c>
      <c r="I17" s="41" t="s">
        <v>219</v>
      </c>
      <c r="J17" s="10"/>
      <c r="K17" s="41"/>
      <c r="M17" s="39">
        <v>2</v>
      </c>
      <c r="N17" s="39">
        <v>2</v>
      </c>
      <c r="O17" s="39">
        <v>0</v>
      </c>
    </row>
    <row r="18" ht="14.25" spans="1:15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245</v>
      </c>
      <c r="F18" s="38" t="s">
        <v>246</v>
      </c>
      <c r="G18" s="10" t="s">
        <v>247</v>
      </c>
      <c r="H18" s="41">
        <v>10106</v>
      </c>
      <c r="I18" s="41" t="s">
        <v>201</v>
      </c>
      <c r="J18" s="10"/>
      <c r="K18" s="41"/>
      <c r="M18" s="39">
        <v>5</v>
      </c>
      <c r="N18" s="39">
        <f t="shared" ref="N18:N21" si="6">M18</f>
        <v>5</v>
      </c>
      <c r="O18" s="39">
        <v>0</v>
      </c>
    </row>
    <row r="19" spans="1:15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248</v>
      </c>
      <c r="F19" s="38" t="s">
        <v>249</v>
      </c>
      <c r="G19" s="10" t="s">
        <v>250</v>
      </c>
      <c r="H19" s="41">
        <v>10036</v>
      </c>
      <c r="I19" s="41"/>
      <c r="J19" s="10"/>
      <c r="K19" s="41"/>
      <c r="M19" s="39">
        <v>3</v>
      </c>
      <c r="N19" s="39">
        <f t="shared" si="6"/>
        <v>3</v>
      </c>
      <c r="O19" s="39">
        <v>0</v>
      </c>
    </row>
    <row r="20" ht="14.25" spans="1:15">
      <c r="A20" s="42">
        <f t="shared" si="3"/>
        <v>100901</v>
      </c>
      <c r="B20" s="42">
        <v>9</v>
      </c>
      <c r="C20" s="42">
        <v>1</v>
      </c>
      <c r="D20" s="42">
        <v>2</v>
      </c>
      <c r="E20" s="42" t="s">
        <v>248</v>
      </c>
      <c r="F20" s="43" t="s">
        <v>251</v>
      </c>
      <c r="G20" s="42" t="s">
        <v>252</v>
      </c>
      <c r="H20" s="44">
        <v>10040</v>
      </c>
      <c r="I20" s="44" t="s">
        <v>201</v>
      </c>
      <c r="J20" s="45"/>
      <c r="K20" s="44"/>
      <c r="L20" s="42"/>
      <c r="M20" s="46">
        <v>2</v>
      </c>
      <c r="N20" s="46">
        <f t="shared" si="6"/>
        <v>2</v>
      </c>
      <c r="O20" s="39">
        <v>0</v>
      </c>
    </row>
    <row r="21" ht="14.25" spans="1:15">
      <c r="A21" s="42">
        <f t="shared" si="3"/>
        <v>100902</v>
      </c>
      <c r="B21" s="42">
        <v>9</v>
      </c>
      <c r="C21" s="42">
        <v>2</v>
      </c>
      <c r="D21" s="42">
        <v>4</v>
      </c>
      <c r="E21" s="42" t="s">
        <v>248</v>
      </c>
      <c r="F21" s="43" t="s">
        <v>253</v>
      </c>
      <c r="G21" s="42" t="s">
        <v>254</v>
      </c>
      <c r="H21" s="44">
        <v>10040</v>
      </c>
      <c r="I21" s="44" t="s">
        <v>205</v>
      </c>
      <c r="J21" s="45"/>
      <c r="K21" s="44"/>
      <c r="L21" s="42"/>
      <c r="M21" s="46">
        <v>4</v>
      </c>
      <c r="N21" s="46">
        <f t="shared" si="6"/>
        <v>4</v>
      </c>
      <c r="O21" s="39">
        <v>0</v>
      </c>
    </row>
    <row r="22" ht="14.25" spans="1:15">
      <c r="A22">
        <f t="shared" si="3"/>
        <v>101001</v>
      </c>
      <c r="B22">
        <v>10</v>
      </c>
      <c r="C22">
        <v>1</v>
      </c>
      <c r="D22">
        <v>3</v>
      </c>
      <c r="E22" t="s">
        <v>248</v>
      </c>
      <c r="F22" s="38" t="s">
        <v>255</v>
      </c>
      <c r="G22" t="s">
        <v>256</v>
      </c>
      <c r="H22" s="41">
        <v>10041</v>
      </c>
      <c r="I22" s="41" t="s">
        <v>201</v>
      </c>
      <c r="J22" s="10"/>
      <c r="K22" s="41"/>
      <c r="M22" s="39">
        <v>1</v>
      </c>
      <c r="N22" s="39">
        <v>1</v>
      </c>
      <c r="O22" s="39">
        <v>0</v>
      </c>
    </row>
    <row r="23" ht="14.25" spans="1:15">
      <c r="A23">
        <f t="shared" si="3"/>
        <v>101002</v>
      </c>
      <c r="B23">
        <v>10</v>
      </c>
      <c r="C23">
        <v>2</v>
      </c>
      <c r="D23">
        <v>5</v>
      </c>
      <c r="E23" t="s">
        <v>248</v>
      </c>
      <c r="F23" s="38" t="s">
        <v>257</v>
      </c>
      <c r="G23" t="s">
        <v>258</v>
      </c>
      <c r="H23" s="41">
        <v>10041</v>
      </c>
      <c r="I23" s="41" t="s">
        <v>205</v>
      </c>
      <c r="J23" s="10"/>
      <c r="K23" s="41"/>
      <c r="M23" s="39">
        <v>3</v>
      </c>
      <c r="N23" s="39">
        <v>3</v>
      </c>
      <c r="O23" s="39">
        <v>0</v>
      </c>
    </row>
    <row r="24" ht="14.25" spans="1:15">
      <c r="A24">
        <f t="shared" si="3"/>
        <v>101101</v>
      </c>
      <c r="B24">
        <v>11</v>
      </c>
      <c r="C24">
        <v>1</v>
      </c>
      <c r="D24">
        <v>2</v>
      </c>
      <c r="E24" t="s">
        <v>248</v>
      </c>
      <c r="F24" s="38" t="s">
        <v>259</v>
      </c>
      <c r="G24" t="s">
        <v>260</v>
      </c>
      <c r="H24" s="41">
        <v>10042</v>
      </c>
      <c r="I24" s="41" t="s">
        <v>219</v>
      </c>
      <c r="J24" s="10"/>
      <c r="K24" s="41"/>
      <c r="M24" s="39">
        <v>1</v>
      </c>
      <c r="N24" s="39">
        <v>1</v>
      </c>
      <c r="O24" s="39">
        <v>0</v>
      </c>
    </row>
    <row r="25" ht="14.25" spans="1:15">
      <c r="A25">
        <f t="shared" si="3"/>
        <v>101102</v>
      </c>
      <c r="B25">
        <v>11</v>
      </c>
      <c r="C25">
        <v>2</v>
      </c>
      <c r="D25">
        <v>5</v>
      </c>
      <c r="E25" t="s">
        <v>248</v>
      </c>
      <c r="F25" s="38" t="s">
        <v>261</v>
      </c>
      <c r="G25" t="s">
        <v>262</v>
      </c>
      <c r="H25" s="41">
        <v>10042</v>
      </c>
      <c r="I25" s="41" t="s">
        <v>201</v>
      </c>
      <c r="J25" s="10"/>
      <c r="K25" s="41"/>
      <c r="M25" s="39">
        <v>4</v>
      </c>
      <c r="N25" s="39">
        <v>4</v>
      </c>
      <c r="O25" s="39">
        <v>0</v>
      </c>
    </row>
    <row r="26" spans="1:15">
      <c r="A26">
        <f t="shared" si="3"/>
        <v>101201</v>
      </c>
      <c r="B26">
        <v>12</v>
      </c>
      <c r="C26">
        <v>1</v>
      </c>
      <c r="D26">
        <v>3</v>
      </c>
      <c r="E26" t="s">
        <v>248</v>
      </c>
      <c r="F26" s="38" t="s">
        <v>263</v>
      </c>
      <c r="G26" t="s">
        <v>264</v>
      </c>
      <c r="H26" s="41">
        <v>10044</v>
      </c>
      <c r="I26" s="41"/>
      <c r="J26" s="10"/>
      <c r="K26" s="41"/>
      <c r="M26" s="39">
        <v>2</v>
      </c>
      <c r="N26" s="39">
        <v>2</v>
      </c>
      <c r="O26" s="39">
        <v>0</v>
      </c>
    </row>
    <row r="27" spans="1:15">
      <c r="A27">
        <f t="shared" si="3"/>
        <v>101301</v>
      </c>
      <c r="B27">
        <v>13</v>
      </c>
      <c r="C27">
        <v>1</v>
      </c>
      <c r="D27">
        <v>4</v>
      </c>
      <c r="E27" t="s">
        <v>248</v>
      </c>
      <c r="F27" s="38" t="s">
        <v>265</v>
      </c>
      <c r="G27" t="s">
        <v>266</v>
      </c>
      <c r="H27" s="41">
        <v>10045</v>
      </c>
      <c r="I27" s="41"/>
      <c r="J27" s="10"/>
      <c r="K27" s="41"/>
      <c r="M27" s="39">
        <v>2</v>
      </c>
      <c r="N27" s="39">
        <v>2</v>
      </c>
      <c r="O27" s="39">
        <v>0</v>
      </c>
    </row>
    <row r="28" spans="1:15">
      <c r="A28">
        <f t="shared" si="3"/>
        <v>101401</v>
      </c>
      <c r="B28">
        <v>14</v>
      </c>
      <c r="C28">
        <v>1</v>
      </c>
      <c r="D28">
        <v>5</v>
      </c>
      <c r="E28" t="s">
        <v>248</v>
      </c>
      <c r="F28" s="38" t="s">
        <v>267</v>
      </c>
      <c r="G28" t="s">
        <v>268</v>
      </c>
      <c r="H28" s="41">
        <v>10046</v>
      </c>
      <c r="I28" s="41"/>
      <c r="J28" s="10"/>
      <c r="K28" s="41"/>
      <c r="M28" s="39">
        <v>2</v>
      </c>
      <c r="N28" s="39">
        <v>2</v>
      </c>
      <c r="O28" s="39">
        <v>0</v>
      </c>
    </row>
    <row r="29" ht="14.25" spans="1:15">
      <c r="A29">
        <f t="shared" si="3"/>
        <v>101501</v>
      </c>
      <c r="B29">
        <v>15</v>
      </c>
      <c r="C29">
        <v>1</v>
      </c>
      <c r="D29">
        <v>1</v>
      </c>
      <c r="E29" t="s">
        <v>224</v>
      </c>
      <c r="F29" s="38" t="s">
        <v>269</v>
      </c>
      <c r="G29" s="10" t="s">
        <v>270</v>
      </c>
      <c r="H29" s="41">
        <v>10047</v>
      </c>
      <c r="I29" s="41" t="s">
        <v>219</v>
      </c>
      <c r="J29" s="10"/>
      <c r="K29" s="41"/>
      <c r="M29" s="39">
        <v>2</v>
      </c>
      <c r="N29" s="39">
        <v>2</v>
      </c>
      <c r="O29" s="39">
        <v>0</v>
      </c>
    </row>
    <row r="30" ht="14.25" spans="1:15">
      <c r="A30">
        <f t="shared" si="3"/>
        <v>101502</v>
      </c>
      <c r="B30">
        <v>15</v>
      </c>
      <c r="C30">
        <v>2</v>
      </c>
      <c r="D30">
        <v>2</v>
      </c>
      <c r="E30" t="s">
        <v>227</v>
      </c>
      <c r="F30" s="38" t="s">
        <v>271</v>
      </c>
      <c r="G30" s="10" t="s">
        <v>272</v>
      </c>
      <c r="H30" s="41">
        <v>10047</v>
      </c>
      <c r="I30" s="41" t="s">
        <v>223</v>
      </c>
      <c r="J30" s="10"/>
      <c r="K30" s="41"/>
      <c r="M30" s="39">
        <v>4</v>
      </c>
      <c r="N30" s="39">
        <f t="shared" ref="N30:N34" si="7">M30</f>
        <v>4</v>
      </c>
      <c r="O30" s="39">
        <v>0</v>
      </c>
    </row>
    <row r="31" ht="14.25" spans="1:15">
      <c r="A31">
        <f t="shared" si="3"/>
        <v>101601</v>
      </c>
      <c r="B31">
        <v>16</v>
      </c>
      <c r="C31">
        <v>1</v>
      </c>
      <c r="D31">
        <v>1</v>
      </c>
      <c r="E31" t="s">
        <v>224</v>
      </c>
      <c r="F31" s="38" t="s">
        <v>273</v>
      </c>
      <c r="G31" t="s">
        <v>274</v>
      </c>
      <c r="H31" s="41">
        <v>10048</v>
      </c>
      <c r="I31" s="41" t="s">
        <v>219</v>
      </c>
      <c r="J31" s="10"/>
      <c r="K31" s="41"/>
      <c r="M31" s="39">
        <v>2</v>
      </c>
      <c r="N31" s="39">
        <v>2</v>
      </c>
      <c r="O31" s="39">
        <v>0</v>
      </c>
    </row>
    <row r="32" ht="14.25" spans="1:15">
      <c r="A32">
        <f t="shared" si="3"/>
        <v>101602</v>
      </c>
      <c r="B32">
        <v>16</v>
      </c>
      <c r="C32">
        <v>2</v>
      </c>
      <c r="D32">
        <v>2</v>
      </c>
      <c r="E32" t="s">
        <v>227</v>
      </c>
      <c r="F32" s="38" t="s">
        <v>275</v>
      </c>
      <c r="G32" t="s">
        <v>276</v>
      </c>
      <c r="H32" s="41">
        <v>10048</v>
      </c>
      <c r="I32" s="41" t="s">
        <v>201</v>
      </c>
      <c r="J32" s="10"/>
      <c r="K32" s="41"/>
      <c r="M32" s="39">
        <v>5</v>
      </c>
      <c r="N32" s="39">
        <f t="shared" si="7"/>
        <v>5</v>
      </c>
      <c r="O32" s="39">
        <v>0</v>
      </c>
    </row>
    <row r="33" ht="14.25" spans="1:15">
      <c r="A33">
        <f t="shared" si="3"/>
        <v>101701</v>
      </c>
      <c r="B33">
        <v>17</v>
      </c>
      <c r="C33">
        <v>1</v>
      </c>
      <c r="D33">
        <v>1</v>
      </c>
      <c r="E33" t="s">
        <v>224</v>
      </c>
      <c r="F33" s="38" t="s">
        <v>277</v>
      </c>
      <c r="G33" t="s">
        <v>278</v>
      </c>
      <c r="H33" s="41"/>
      <c r="I33" s="41"/>
      <c r="J33">
        <v>3140000040</v>
      </c>
      <c r="K33" s="41" t="s">
        <v>279</v>
      </c>
      <c r="M33" s="39">
        <v>2</v>
      </c>
      <c r="N33" s="39">
        <v>2</v>
      </c>
      <c r="O33" s="39">
        <v>0</v>
      </c>
    </row>
    <row r="34" ht="14.25" spans="1:15">
      <c r="A34">
        <f t="shared" si="3"/>
        <v>101702</v>
      </c>
      <c r="B34">
        <v>17</v>
      </c>
      <c r="C34">
        <v>2</v>
      </c>
      <c r="D34">
        <v>2</v>
      </c>
      <c r="E34" t="s">
        <v>227</v>
      </c>
      <c r="F34" s="38" t="s">
        <v>280</v>
      </c>
      <c r="G34" t="s">
        <v>281</v>
      </c>
      <c r="H34" s="41"/>
      <c r="I34" s="41"/>
      <c r="J34">
        <v>3140000040</v>
      </c>
      <c r="K34" s="41" t="s">
        <v>282</v>
      </c>
      <c r="M34" s="39">
        <v>5</v>
      </c>
      <c r="N34" s="39">
        <f t="shared" si="7"/>
        <v>5</v>
      </c>
      <c r="O34" s="39">
        <v>0</v>
      </c>
    </row>
    <row r="35" ht="14.25" spans="1:15">
      <c r="A35">
        <f t="shared" si="3"/>
        <v>101801</v>
      </c>
      <c r="B35">
        <v>18</v>
      </c>
      <c r="C35">
        <v>1</v>
      </c>
      <c r="D35">
        <v>1</v>
      </c>
      <c r="E35" t="s">
        <v>224</v>
      </c>
      <c r="F35" s="38" t="s">
        <v>283</v>
      </c>
      <c r="G35" t="s">
        <v>284</v>
      </c>
      <c r="H35" s="41" t="s">
        <v>285</v>
      </c>
      <c r="I35" s="41" t="s">
        <v>286</v>
      </c>
      <c r="J35" s="10"/>
      <c r="K35" s="41"/>
      <c r="M35" s="39">
        <v>2</v>
      </c>
      <c r="N35" s="39">
        <v>2</v>
      </c>
      <c r="O35" s="39">
        <v>0</v>
      </c>
    </row>
    <row r="36" ht="14.25" spans="1:15">
      <c r="A36">
        <f t="shared" si="3"/>
        <v>101802</v>
      </c>
      <c r="B36">
        <v>18</v>
      </c>
      <c r="C36">
        <v>2</v>
      </c>
      <c r="D36">
        <v>2</v>
      </c>
      <c r="E36" t="s">
        <v>227</v>
      </c>
      <c r="F36" s="38" t="s">
        <v>287</v>
      </c>
      <c r="G36" t="s">
        <v>288</v>
      </c>
      <c r="H36" s="41" t="s">
        <v>285</v>
      </c>
      <c r="I36" s="41" t="s">
        <v>289</v>
      </c>
      <c r="J36" s="10"/>
      <c r="K36" s="41"/>
      <c r="M36" s="39">
        <v>4</v>
      </c>
      <c r="N36" s="39">
        <f>M36</f>
        <v>4</v>
      </c>
      <c r="O36" s="39">
        <v>0</v>
      </c>
    </row>
    <row r="37" customFormat="1" ht="14.25" spans="1:15">
      <c r="A37">
        <f t="shared" si="3"/>
        <v>101901</v>
      </c>
      <c r="B37">
        <v>19</v>
      </c>
      <c r="C37">
        <v>1</v>
      </c>
      <c r="D37">
        <v>1</v>
      </c>
      <c r="E37" t="s">
        <v>224</v>
      </c>
      <c r="F37" s="38" t="s">
        <v>290</v>
      </c>
      <c r="G37" t="s">
        <v>291</v>
      </c>
      <c r="H37" s="41" t="s">
        <v>292</v>
      </c>
      <c r="I37" s="41" t="s">
        <v>210</v>
      </c>
      <c r="J37" s="10"/>
      <c r="K37" s="41"/>
      <c r="M37" s="39">
        <v>3</v>
      </c>
      <c r="N37" s="39">
        <v>3</v>
      </c>
      <c r="O37" s="39">
        <v>0</v>
      </c>
    </row>
    <row r="38" customFormat="1" ht="14.25" spans="1:15">
      <c r="A38">
        <f t="shared" si="3"/>
        <v>101902</v>
      </c>
      <c r="B38">
        <v>19</v>
      </c>
      <c r="C38">
        <v>2</v>
      </c>
      <c r="D38">
        <v>2</v>
      </c>
      <c r="E38" t="s">
        <v>227</v>
      </c>
      <c r="F38" s="38" t="s">
        <v>293</v>
      </c>
      <c r="G38" t="s">
        <v>294</v>
      </c>
      <c r="H38" s="41">
        <v>10131</v>
      </c>
      <c r="I38" s="41" t="s">
        <v>295</v>
      </c>
      <c r="J38" s="10"/>
      <c r="K38" s="41"/>
      <c r="M38" s="39">
        <v>5</v>
      </c>
      <c r="N38" s="39">
        <v>5</v>
      </c>
      <c r="O38" s="39">
        <v>0</v>
      </c>
    </row>
    <row r="39" customFormat="1" ht="14.25" spans="1:15">
      <c r="A39">
        <f t="shared" si="3"/>
        <v>102001</v>
      </c>
      <c r="B39">
        <v>20</v>
      </c>
      <c r="C39">
        <v>1</v>
      </c>
      <c r="D39">
        <v>1</v>
      </c>
      <c r="E39" t="s">
        <v>224</v>
      </c>
      <c r="F39" s="38" t="s">
        <v>296</v>
      </c>
      <c r="G39" t="s">
        <v>297</v>
      </c>
      <c r="H39" s="41">
        <v>10132</v>
      </c>
      <c r="I39" s="41" t="s">
        <v>223</v>
      </c>
      <c r="J39" s="10"/>
      <c r="K39" s="41"/>
      <c r="M39" s="39">
        <v>3</v>
      </c>
      <c r="N39" s="39">
        <v>3</v>
      </c>
      <c r="O39" s="39">
        <v>0</v>
      </c>
    </row>
    <row r="40" customFormat="1" ht="14.25" spans="1:15">
      <c r="A40">
        <f t="shared" si="3"/>
        <v>102002</v>
      </c>
      <c r="B40">
        <v>20</v>
      </c>
      <c r="C40">
        <v>2</v>
      </c>
      <c r="D40">
        <v>2</v>
      </c>
      <c r="E40" t="s">
        <v>227</v>
      </c>
      <c r="F40" s="38" t="s">
        <v>298</v>
      </c>
      <c r="G40" t="s">
        <v>299</v>
      </c>
      <c r="H40" s="41">
        <v>10132</v>
      </c>
      <c r="I40" s="41" t="s">
        <v>205</v>
      </c>
      <c r="J40" s="10"/>
      <c r="K40" s="41"/>
      <c r="M40" s="39">
        <v>5</v>
      </c>
      <c r="N40" s="39">
        <v>5</v>
      </c>
      <c r="O40" s="39">
        <v>0</v>
      </c>
    </row>
    <row r="41" customFormat="1" ht="14.25" spans="1:15">
      <c r="A41">
        <f t="shared" si="3"/>
        <v>102101</v>
      </c>
      <c r="B41">
        <v>21</v>
      </c>
      <c r="C41">
        <v>1</v>
      </c>
      <c r="D41">
        <v>1</v>
      </c>
      <c r="E41" t="s">
        <v>224</v>
      </c>
      <c r="F41" s="38" t="s">
        <v>300</v>
      </c>
      <c r="G41" s="40" t="s">
        <v>301</v>
      </c>
      <c r="H41" s="41">
        <v>10147</v>
      </c>
      <c r="I41" s="41" t="s">
        <v>238</v>
      </c>
      <c r="J41" s="10"/>
      <c r="K41" s="41"/>
      <c r="M41" s="39">
        <v>1</v>
      </c>
      <c r="N41" s="39">
        <v>1</v>
      </c>
      <c r="O41" s="39">
        <v>0</v>
      </c>
    </row>
    <row r="42" customFormat="1" ht="14.25" spans="1:15">
      <c r="A42">
        <f t="shared" ref="A42:A46" si="8">100000+B42*100+C42</f>
        <v>102102</v>
      </c>
      <c r="B42">
        <v>21</v>
      </c>
      <c r="C42">
        <v>2</v>
      </c>
      <c r="D42">
        <v>1</v>
      </c>
      <c r="E42" t="s">
        <v>227</v>
      </c>
      <c r="F42" s="38" t="s">
        <v>302</v>
      </c>
      <c r="G42" s="40" t="s">
        <v>303</v>
      </c>
      <c r="H42" s="41">
        <v>10147</v>
      </c>
      <c r="I42" s="41" t="s">
        <v>304</v>
      </c>
      <c r="J42" s="10"/>
      <c r="K42" s="41"/>
      <c r="M42" s="39">
        <v>3</v>
      </c>
      <c r="N42" s="39">
        <v>3</v>
      </c>
      <c r="O42" s="39">
        <v>0</v>
      </c>
    </row>
    <row r="43" ht="14.25" spans="1:15">
      <c r="A43">
        <f t="shared" si="8"/>
        <v>102103</v>
      </c>
      <c r="B43">
        <v>21</v>
      </c>
      <c r="C43">
        <v>3</v>
      </c>
      <c r="D43">
        <v>1</v>
      </c>
      <c r="E43" t="s">
        <v>230</v>
      </c>
      <c r="F43" s="38" t="s">
        <v>305</v>
      </c>
      <c r="G43" s="40" t="s">
        <v>306</v>
      </c>
      <c r="H43" s="41" t="s">
        <v>307</v>
      </c>
      <c r="I43" s="41" t="s">
        <v>308</v>
      </c>
      <c r="J43" s="10"/>
      <c r="K43" s="41"/>
      <c r="M43" s="39">
        <v>5</v>
      </c>
      <c r="N43" s="39">
        <v>5</v>
      </c>
      <c r="O43" s="39">
        <v>0</v>
      </c>
    </row>
    <row r="44" customFormat="1" spans="1:15">
      <c r="A44">
        <f t="shared" si="8"/>
        <v>102201</v>
      </c>
      <c r="B44">
        <v>22</v>
      </c>
      <c r="C44">
        <v>1</v>
      </c>
      <c r="D44">
        <v>1</v>
      </c>
      <c r="E44" t="s">
        <v>224</v>
      </c>
      <c r="F44" s="38" t="s">
        <v>309</v>
      </c>
      <c r="G44" t="s">
        <v>310</v>
      </c>
      <c r="H44" s="41"/>
      <c r="I44" s="41"/>
      <c r="J44" s="10">
        <v>3140000050</v>
      </c>
      <c r="K44" s="41"/>
      <c r="M44" s="39">
        <v>2</v>
      </c>
      <c r="N44" s="39">
        <v>2</v>
      </c>
      <c r="O44" s="39">
        <v>0</v>
      </c>
    </row>
    <row r="45" customFormat="1" ht="14.25" spans="1:15">
      <c r="A45">
        <f t="shared" si="8"/>
        <v>102301</v>
      </c>
      <c r="B45">
        <v>23</v>
      </c>
      <c r="C45">
        <v>1</v>
      </c>
      <c r="D45">
        <f>M45</f>
        <v>1</v>
      </c>
      <c r="E45" s="42" t="s">
        <v>216</v>
      </c>
      <c r="F45" s="38" t="s">
        <v>311</v>
      </c>
      <c r="G45" t="s">
        <v>312</v>
      </c>
      <c r="H45" s="37">
        <v>10050</v>
      </c>
      <c r="I45" s="37" t="s">
        <v>219</v>
      </c>
      <c r="J45" s="5"/>
      <c r="K45" s="37"/>
      <c r="M45" s="39">
        <v>1</v>
      </c>
      <c r="N45" s="39">
        <f>M45</f>
        <v>1</v>
      </c>
      <c r="O45" s="39">
        <v>0</v>
      </c>
    </row>
    <row r="46" customFormat="1" ht="14.25" spans="1:15">
      <c r="A46">
        <f t="shared" si="8"/>
        <v>102302</v>
      </c>
      <c r="B46">
        <v>23</v>
      </c>
      <c r="C46">
        <v>2</v>
      </c>
      <c r="D46">
        <v>2</v>
      </c>
      <c r="E46" s="42" t="s">
        <v>220</v>
      </c>
      <c r="F46" s="38" t="s">
        <v>313</v>
      </c>
      <c r="G46" t="s">
        <v>314</v>
      </c>
      <c r="H46" s="37">
        <v>10050</v>
      </c>
      <c r="I46" s="37" t="s">
        <v>223</v>
      </c>
      <c r="J46" s="5"/>
      <c r="K46" s="37"/>
      <c r="M46" s="39">
        <v>4</v>
      </c>
      <c r="N46" s="39">
        <v>4</v>
      </c>
      <c r="O46" s="39">
        <v>0</v>
      </c>
    </row>
    <row r="47" spans="1:15">
      <c r="A47">
        <v>102401</v>
      </c>
      <c r="B47">
        <v>24</v>
      </c>
      <c r="C47">
        <v>1</v>
      </c>
      <c r="D47">
        <v>1</v>
      </c>
      <c r="E47" s="42" t="s">
        <v>224</v>
      </c>
      <c r="F47" s="38" t="s">
        <v>315</v>
      </c>
      <c r="G47" s="5" t="s">
        <v>316</v>
      </c>
      <c r="H47" s="37">
        <v>10244</v>
      </c>
      <c r="M47" s="39">
        <v>999</v>
      </c>
      <c r="N47" s="39">
        <v>999</v>
      </c>
      <c r="O47" s="39">
        <v>1</v>
      </c>
    </row>
    <row r="48" spans="1:15">
      <c r="A48">
        <v>102402</v>
      </c>
      <c r="B48">
        <v>24</v>
      </c>
      <c r="C48">
        <v>2</v>
      </c>
      <c r="D48">
        <v>1</v>
      </c>
      <c r="E48" s="42" t="s">
        <v>227</v>
      </c>
      <c r="F48" s="38" t="s">
        <v>317</v>
      </c>
      <c r="G48" s="5" t="s">
        <v>318</v>
      </c>
      <c r="H48" s="37">
        <v>10245</v>
      </c>
      <c r="M48" s="39">
        <v>999</v>
      </c>
      <c r="N48" s="39">
        <v>999</v>
      </c>
      <c r="O48" s="39">
        <v>1</v>
      </c>
    </row>
    <row r="49" spans="1:15">
      <c r="A49">
        <v>102403</v>
      </c>
      <c r="B49">
        <v>24</v>
      </c>
      <c r="C49">
        <v>3</v>
      </c>
      <c r="D49">
        <v>1</v>
      </c>
      <c r="E49" s="42" t="s">
        <v>230</v>
      </c>
      <c r="F49" s="38" t="s">
        <v>319</v>
      </c>
      <c r="G49" s="5" t="s">
        <v>320</v>
      </c>
      <c r="H49" s="37">
        <v>10246</v>
      </c>
      <c r="M49" s="39">
        <v>999</v>
      </c>
      <c r="N49" s="39">
        <v>999</v>
      </c>
      <c r="O49" s="39">
        <v>1</v>
      </c>
    </row>
    <row r="50" ht="14.25" spans="1:15">
      <c r="A50">
        <f t="shared" ref="A50:A56" si="9">100000+B50*100+C50</f>
        <v>102501</v>
      </c>
      <c r="B50">
        <v>25</v>
      </c>
      <c r="C50">
        <v>1</v>
      </c>
      <c r="D50">
        <v>1</v>
      </c>
      <c r="E50" t="s">
        <v>224</v>
      </c>
      <c r="F50" s="38" t="s">
        <v>321</v>
      </c>
      <c r="G50" s="5" t="s">
        <v>322</v>
      </c>
      <c r="L50" t="s">
        <v>323</v>
      </c>
      <c r="M50" s="39">
        <v>2</v>
      </c>
      <c r="N50" s="39">
        <v>2</v>
      </c>
      <c r="O50" s="39">
        <v>0</v>
      </c>
    </row>
    <row r="51" ht="14.25" spans="1:15">
      <c r="A51">
        <f t="shared" si="9"/>
        <v>102502</v>
      </c>
      <c r="B51">
        <v>25</v>
      </c>
      <c r="C51">
        <v>2</v>
      </c>
      <c r="D51">
        <v>1</v>
      </c>
      <c r="E51" t="s">
        <v>227</v>
      </c>
      <c r="F51" s="38" t="s">
        <v>324</v>
      </c>
      <c r="G51" s="5" t="s">
        <v>325</v>
      </c>
      <c r="L51" t="s">
        <v>326</v>
      </c>
      <c r="M51" s="39">
        <v>5</v>
      </c>
      <c r="N51" s="39">
        <f t="shared" ref="N51:N55" si="10">M51</f>
        <v>5</v>
      </c>
      <c r="O51" s="39">
        <v>0</v>
      </c>
    </row>
    <row r="52" ht="14.25" spans="1:15">
      <c r="A52">
        <f t="shared" si="9"/>
        <v>102601</v>
      </c>
      <c r="B52">
        <v>26</v>
      </c>
      <c r="C52">
        <v>1</v>
      </c>
      <c r="D52">
        <v>1</v>
      </c>
      <c r="E52" t="s">
        <v>224</v>
      </c>
      <c r="F52" s="38" t="s">
        <v>327</v>
      </c>
      <c r="G52" s="5" t="s">
        <v>328</v>
      </c>
      <c r="L52" t="s">
        <v>329</v>
      </c>
      <c r="M52" s="39">
        <v>2</v>
      </c>
      <c r="N52" s="39">
        <v>2</v>
      </c>
      <c r="O52" s="39">
        <v>0</v>
      </c>
    </row>
    <row r="53" ht="14.25" spans="1:15">
      <c r="A53">
        <f t="shared" si="9"/>
        <v>102602</v>
      </c>
      <c r="B53">
        <v>26</v>
      </c>
      <c r="C53">
        <v>2</v>
      </c>
      <c r="D53">
        <v>1</v>
      </c>
      <c r="E53" t="s">
        <v>227</v>
      </c>
      <c r="F53" s="38" t="s">
        <v>330</v>
      </c>
      <c r="G53" s="5" t="s">
        <v>331</v>
      </c>
      <c r="L53" t="s">
        <v>332</v>
      </c>
      <c r="M53" s="39">
        <v>5</v>
      </c>
      <c r="N53" s="39">
        <f t="shared" si="10"/>
        <v>5</v>
      </c>
      <c r="O53" s="39">
        <v>0</v>
      </c>
    </row>
    <row r="54" ht="14.25" spans="1:15">
      <c r="A54">
        <f t="shared" si="9"/>
        <v>102701</v>
      </c>
      <c r="B54">
        <v>27</v>
      </c>
      <c r="C54">
        <v>1</v>
      </c>
      <c r="D54">
        <v>1</v>
      </c>
      <c r="E54" t="s">
        <v>224</v>
      </c>
      <c r="F54" s="38" t="s">
        <v>333</v>
      </c>
      <c r="G54" s="5" t="s">
        <v>334</v>
      </c>
      <c r="L54" t="s">
        <v>335</v>
      </c>
      <c r="M54" s="39">
        <v>2</v>
      </c>
      <c r="N54" s="39">
        <v>2</v>
      </c>
      <c r="O54" s="39">
        <v>0</v>
      </c>
    </row>
    <row r="55" ht="14.25" spans="1:15">
      <c r="A55">
        <f t="shared" si="9"/>
        <v>102702</v>
      </c>
      <c r="B55">
        <v>27</v>
      </c>
      <c r="C55">
        <v>2</v>
      </c>
      <c r="D55">
        <v>1</v>
      </c>
      <c r="E55" t="s">
        <v>227</v>
      </c>
      <c r="F55" s="38" t="s">
        <v>336</v>
      </c>
      <c r="G55" s="5" t="s">
        <v>337</v>
      </c>
      <c r="L55" t="s">
        <v>338</v>
      </c>
      <c r="M55" s="39">
        <v>5</v>
      </c>
      <c r="N55" s="39">
        <f t="shared" si="10"/>
        <v>5</v>
      </c>
      <c r="O55" s="39">
        <v>0</v>
      </c>
    </row>
  </sheetData>
  <conditionalFormatting sqref="A1:A2">
    <cfRule type="duplicateValues" dxfId="0" priority="20"/>
  </conditionalFormatting>
  <conditionalFormatting sqref="B1:B2">
    <cfRule type="duplicateValues" dxfId="0" priority="13"/>
  </conditionalFormatting>
  <conditionalFormatting sqref="C1:C2">
    <cfRule type="duplicateValues" dxfId="0" priority="6"/>
  </conditionalFormatting>
  <conditionalFormatting sqref="D1:D2">
    <cfRule type="duplicateValues" dxfId="0" priority="12"/>
  </conditionalFormatting>
  <conditionalFormatting sqref="E1:E2">
    <cfRule type="duplicateValues" dxfId="0" priority="19"/>
  </conditionalFormatting>
  <conditionalFormatting sqref="F1:F2">
    <cfRule type="duplicateValues" dxfId="0" priority="18"/>
  </conditionalFormatting>
  <conditionalFormatting sqref="G1:G2">
    <cfRule type="duplicateValues" dxfId="0" priority="17"/>
  </conditionalFormatting>
  <conditionalFormatting sqref="H1:H2">
    <cfRule type="duplicateValues" dxfId="0" priority="16"/>
  </conditionalFormatting>
  <conditionalFormatting sqref="I1:I2">
    <cfRule type="duplicateValues" dxfId="0" priority="5"/>
  </conditionalFormatting>
  <conditionalFormatting sqref="J1:J2">
    <cfRule type="duplicateValues" dxfId="0" priority="2"/>
  </conditionalFormatting>
  <conditionalFormatting sqref="K1:K2">
    <cfRule type="duplicateValues" dxfId="0" priority="3"/>
  </conditionalFormatting>
  <conditionalFormatting sqref="L1:L2">
    <cfRule type="duplicateValues" dxfId="0" priority="14"/>
  </conditionalFormatting>
  <conditionalFormatting sqref="M1:M2">
    <cfRule type="duplicateValues" dxfId="0" priority="8"/>
  </conditionalFormatting>
  <conditionalFormatting sqref="N1:N2">
    <cfRule type="duplicateValues" dxfId="0" priority="7"/>
  </conditionalFormatting>
  <conditionalFormatting sqref="O1:O2">
    <cfRule type="duplicateValues" dxfId="0" priority="1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627"/>
  <sheetViews>
    <sheetView workbookViewId="0">
      <pane ySplit="3" topLeftCell="A181" activePane="bottomLeft" state="frozen"/>
      <selection/>
      <selection pane="bottomLeft" activeCell="N120" sqref="N120"/>
    </sheetView>
  </sheetViews>
  <sheetFormatPr defaultColWidth="9" defaultRowHeight="13.5" outlineLevelCol="7"/>
  <cols>
    <col min="1" max="1" width="12.25" style="5" customWidth="1"/>
    <col min="2" max="2" width="18.625" style="33" customWidth="1"/>
    <col min="3" max="3" width="15.5" style="5" customWidth="1"/>
    <col min="4" max="4" width="8.125" style="5" customWidth="1"/>
    <col min="5" max="5" width="12.375" style="5" customWidth="1"/>
    <col min="6" max="6" width="18.25" customWidth="1"/>
    <col min="7" max="7" width="11.5" customWidth="1"/>
  </cols>
  <sheetData>
    <row r="1" spans="1:8">
      <c r="A1" s="6" t="s">
        <v>339</v>
      </c>
      <c r="B1" s="6" t="s">
        <v>2</v>
      </c>
      <c r="C1" s="6" t="s">
        <v>340</v>
      </c>
      <c r="D1" s="6" t="s">
        <v>341</v>
      </c>
      <c r="E1" s="6" t="s">
        <v>165</v>
      </c>
      <c r="F1" s="1" t="s">
        <v>186</v>
      </c>
      <c r="G1" s="1" t="s">
        <v>187</v>
      </c>
      <c r="H1" s="34" t="s">
        <v>164</v>
      </c>
    </row>
    <row r="2" spans="1:8">
      <c r="A2" s="7" t="s">
        <v>18</v>
      </c>
      <c r="B2" s="7" t="s">
        <v>20</v>
      </c>
      <c r="C2" s="7" t="s">
        <v>189</v>
      </c>
      <c r="D2" s="7" t="s">
        <v>167</v>
      </c>
      <c r="E2" s="7" t="s">
        <v>168</v>
      </c>
      <c r="F2" s="2" t="s">
        <v>195</v>
      </c>
      <c r="G2" s="2" t="s">
        <v>196</v>
      </c>
      <c r="H2" s="35" t="s">
        <v>28</v>
      </c>
    </row>
    <row r="3" spans="1:8">
      <c r="A3" s="8" t="s">
        <v>36</v>
      </c>
      <c r="B3" s="8" t="s">
        <v>38</v>
      </c>
      <c r="C3" s="8" t="s">
        <v>36</v>
      </c>
      <c r="D3" s="8" t="s">
        <v>36</v>
      </c>
      <c r="E3" s="8" t="s">
        <v>37</v>
      </c>
      <c r="F3" s="3" t="s">
        <v>36</v>
      </c>
      <c r="G3" s="3" t="s">
        <v>36</v>
      </c>
      <c r="H3" s="36" t="s">
        <v>36</v>
      </c>
    </row>
    <row r="4" spans="1:8">
      <c r="A4" s="5">
        <f t="shared" ref="A4:A67" si="0">C4*100+D4</f>
        <v>10000101</v>
      </c>
      <c r="B4" s="33" t="str">
        <f>_xlfn.XLOOKUP(C4,SkillActive!$A:$A,SkillActive!C:C,,0)</f>
        <v>1|2|3|4|5|6|7</v>
      </c>
      <c r="C4" s="5">
        <v>100001</v>
      </c>
      <c r="D4" s="5">
        <v>1</v>
      </c>
      <c r="E4" s="5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5">
        <f t="shared" si="0"/>
        <v>10000102</v>
      </c>
      <c r="B5" s="33" t="str">
        <f>_xlfn.XLOOKUP(C5,SkillActive!$A:$A,SkillActive!C:C,,0)</f>
        <v>1|2|3|4|5|6|7</v>
      </c>
      <c r="C5" s="5">
        <f t="shared" ref="C5:C19" si="2">C4</f>
        <v>100001</v>
      </c>
      <c r="D5" s="5">
        <v>2</v>
      </c>
      <c r="E5" s="5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5">
        <f t="shared" si="0"/>
        <v>10000103</v>
      </c>
      <c r="B6" s="33" t="str">
        <f>_xlfn.XLOOKUP(C6,SkillActive!$A:$A,SkillActive!C:C,,0)</f>
        <v>1|2|3|4|5|6|7</v>
      </c>
      <c r="C6" s="5">
        <f t="shared" si="2"/>
        <v>100001</v>
      </c>
      <c r="D6" s="5">
        <v>3</v>
      </c>
      <c r="E6" s="5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5">
        <f t="shared" si="0"/>
        <v>10000104</v>
      </c>
      <c r="B7" s="33" t="str">
        <f>_xlfn.XLOOKUP(C7,SkillActive!$A:$A,SkillActive!C:C,,0)</f>
        <v>1|2|3|4|5|6|7</v>
      </c>
      <c r="C7" s="5">
        <f t="shared" si="2"/>
        <v>100001</v>
      </c>
      <c r="D7" s="5">
        <v>4</v>
      </c>
      <c r="E7" s="5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5">
        <f t="shared" si="0"/>
        <v>10000105</v>
      </c>
      <c r="B8" s="33" t="str">
        <f>_xlfn.XLOOKUP(C8,SkillActive!$A:$A,SkillActive!C:C,,0)</f>
        <v>1|2|3|4|5|6|7</v>
      </c>
      <c r="C8" s="5">
        <f t="shared" si="2"/>
        <v>100001</v>
      </c>
      <c r="D8" s="5">
        <v>5</v>
      </c>
      <c r="E8" s="5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5">
        <f t="shared" si="0"/>
        <v>10000106</v>
      </c>
      <c r="B9" s="33" t="str">
        <f>_xlfn.XLOOKUP(C9,SkillActive!$A:$A,SkillActive!C:C,,0)</f>
        <v>1|2|3|4|5|6|7</v>
      </c>
      <c r="C9" s="5">
        <f t="shared" si="2"/>
        <v>100001</v>
      </c>
      <c r="D9" s="5">
        <v>6</v>
      </c>
      <c r="E9" s="5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5">
        <f t="shared" si="0"/>
        <v>10000107</v>
      </c>
      <c r="B10" s="33" t="str">
        <f>_xlfn.XLOOKUP(C10,SkillActive!$A:$A,SkillActive!C:C,,0)</f>
        <v>1|2|3|4|5|6|7</v>
      </c>
      <c r="C10" s="5">
        <f t="shared" si="2"/>
        <v>100001</v>
      </c>
      <c r="D10" s="5">
        <v>7</v>
      </c>
      <c r="E10" s="5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5">
        <f t="shared" si="0"/>
        <v>10000108</v>
      </c>
      <c r="B11" s="33" t="str">
        <f>_xlfn.XLOOKUP(C11,SkillActive!$A:$A,SkillActive!C:C,,0)</f>
        <v>1|2|3|4|5|6|7</v>
      </c>
      <c r="C11" s="5">
        <f t="shared" si="2"/>
        <v>100001</v>
      </c>
      <c r="D11" s="5">
        <v>8</v>
      </c>
      <c r="E11" s="5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5">
        <f t="shared" si="0"/>
        <v>10000109</v>
      </c>
      <c r="B12" s="33" t="str">
        <f>_xlfn.XLOOKUP(C12,SkillActive!$A:$A,SkillActive!C:C,,0)</f>
        <v>1|2|3|4|5|6|7</v>
      </c>
      <c r="C12" s="5">
        <f t="shared" si="2"/>
        <v>100001</v>
      </c>
      <c r="D12" s="5">
        <v>9</v>
      </c>
      <c r="E12" s="5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5">
        <f t="shared" si="0"/>
        <v>10000110</v>
      </c>
      <c r="B13" s="33" t="str">
        <f>_xlfn.XLOOKUP(C13,SkillActive!$A:$A,SkillActive!C:C,,0)</f>
        <v>1|2|3|4|5|6|7</v>
      </c>
      <c r="C13" s="5">
        <f t="shared" si="2"/>
        <v>100001</v>
      </c>
      <c r="D13" s="5">
        <v>10</v>
      </c>
      <c r="E13" s="5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5">
        <f t="shared" si="0"/>
        <v>10000111</v>
      </c>
      <c r="B14" s="33" t="str">
        <f>_xlfn.XLOOKUP(C14,SkillActive!$A:$A,SkillActive!C:C,,0)</f>
        <v>1|2|3|4|5|6|7</v>
      </c>
      <c r="C14" s="5">
        <f t="shared" si="2"/>
        <v>100001</v>
      </c>
      <c r="D14" s="5">
        <v>11</v>
      </c>
      <c r="E14" s="5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5">
        <f t="shared" si="0"/>
        <v>10000112</v>
      </c>
      <c r="B15" s="33" t="str">
        <f>_xlfn.XLOOKUP(C15,SkillActive!$A:$A,SkillActive!C:C,,0)</f>
        <v>1|2|3|4|5|6|7</v>
      </c>
      <c r="C15" s="5">
        <f t="shared" si="2"/>
        <v>100001</v>
      </c>
      <c r="D15" s="5">
        <v>12</v>
      </c>
      <c r="E15" s="5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5">
        <f t="shared" si="0"/>
        <v>10000113</v>
      </c>
      <c r="B16" s="33" t="str">
        <f>_xlfn.XLOOKUP(C16,SkillActive!$A:$A,SkillActive!C:C,,0)</f>
        <v>1|2|3|4|5|6|7</v>
      </c>
      <c r="C16" s="5">
        <f t="shared" si="2"/>
        <v>100001</v>
      </c>
      <c r="D16" s="5">
        <v>13</v>
      </c>
      <c r="E16" s="5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5">
        <f t="shared" si="0"/>
        <v>10000114</v>
      </c>
      <c r="B17" s="33" t="str">
        <f>_xlfn.XLOOKUP(C17,SkillActive!$A:$A,SkillActive!C:C,,0)</f>
        <v>1|2|3|4|5|6|7</v>
      </c>
      <c r="C17" s="5">
        <f t="shared" si="2"/>
        <v>100001</v>
      </c>
      <c r="D17" s="5">
        <v>14</v>
      </c>
      <c r="E17" s="5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5">
        <f t="shared" si="0"/>
        <v>10000115</v>
      </c>
      <c r="B18" s="33" t="str">
        <f>_xlfn.XLOOKUP(C18,SkillActive!$A:$A,SkillActive!C:C,,0)</f>
        <v>1|2|3|4|5|6|7</v>
      </c>
      <c r="C18" s="5">
        <f t="shared" si="2"/>
        <v>100001</v>
      </c>
      <c r="D18" s="5">
        <v>15</v>
      </c>
      <c r="E18" s="5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5">
        <f t="shared" si="0"/>
        <v>10000116</v>
      </c>
      <c r="B19" s="33" t="str">
        <f>_xlfn.XLOOKUP(C19,SkillActive!$A:$A,SkillActive!C:C,,0)</f>
        <v>1|2|3|4|5|6|7</v>
      </c>
      <c r="C19" s="5">
        <f t="shared" si="2"/>
        <v>100001</v>
      </c>
      <c r="D19" s="5">
        <v>16</v>
      </c>
      <c r="E19" s="5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5">
        <f t="shared" si="0"/>
        <v>10000201</v>
      </c>
      <c r="B20" s="33" t="str">
        <f>_xlfn.XLOOKUP(C20,SkillActive!$A:$A,SkillActive!C:C,,0)</f>
        <v>1|2|3|4|5|6|7</v>
      </c>
      <c r="C20" s="5">
        <f t="shared" ref="C20:C83" si="3">C4+1</f>
        <v>100002</v>
      </c>
      <c r="D20" s="5">
        <f t="shared" ref="D20:D83" si="4">D4</f>
        <v>1</v>
      </c>
      <c r="E20" s="5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5">
        <f t="shared" si="0"/>
        <v>10000202</v>
      </c>
      <c r="B21" s="33" t="str">
        <f>_xlfn.XLOOKUP(C21,SkillActive!$A:$A,SkillActive!C:C,,0)</f>
        <v>1|2|3|4|5|6|7</v>
      </c>
      <c r="C21" s="5">
        <f t="shared" si="3"/>
        <v>100002</v>
      </c>
      <c r="D21" s="5">
        <f t="shared" si="4"/>
        <v>2</v>
      </c>
      <c r="E21" s="5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5">
        <f t="shared" si="0"/>
        <v>10000203</v>
      </c>
      <c r="B22" s="33" t="str">
        <f>_xlfn.XLOOKUP(C22,SkillActive!$A:$A,SkillActive!C:C,,0)</f>
        <v>1|2|3|4|5|6|7</v>
      </c>
      <c r="C22" s="5">
        <f t="shared" si="3"/>
        <v>100002</v>
      </c>
      <c r="D22" s="5">
        <f t="shared" si="4"/>
        <v>3</v>
      </c>
      <c r="E22" s="5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5">
        <f t="shared" si="0"/>
        <v>10000204</v>
      </c>
      <c r="B23" s="33" t="str">
        <f>_xlfn.XLOOKUP(C23,SkillActive!$A:$A,SkillActive!C:C,,0)</f>
        <v>1|2|3|4|5|6|7</v>
      </c>
      <c r="C23" s="5">
        <f t="shared" si="3"/>
        <v>100002</v>
      </c>
      <c r="D23" s="5">
        <f t="shared" si="4"/>
        <v>4</v>
      </c>
      <c r="E23" s="5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5">
        <f t="shared" si="0"/>
        <v>10000205</v>
      </c>
      <c r="B24" s="33" t="str">
        <f>_xlfn.XLOOKUP(C24,SkillActive!$A:$A,SkillActive!C:C,,0)</f>
        <v>1|2|3|4|5|6|7</v>
      </c>
      <c r="C24" s="5">
        <f t="shared" si="3"/>
        <v>100002</v>
      </c>
      <c r="D24" s="5">
        <f t="shared" si="4"/>
        <v>5</v>
      </c>
      <c r="E24" s="5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5">
        <f t="shared" si="0"/>
        <v>10000206</v>
      </c>
      <c r="B25" s="33" t="str">
        <f>_xlfn.XLOOKUP(C25,SkillActive!$A:$A,SkillActive!C:C,,0)</f>
        <v>1|2|3|4|5|6|7</v>
      </c>
      <c r="C25" s="5">
        <f t="shared" si="3"/>
        <v>100002</v>
      </c>
      <c r="D25" s="5">
        <f t="shared" si="4"/>
        <v>6</v>
      </c>
      <c r="E25" s="5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5">
        <f t="shared" si="0"/>
        <v>10000207</v>
      </c>
      <c r="B26" s="33" t="str">
        <f>_xlfn.XLOOKUP(C26,SkillActive!$A:$A,SkillActive!C:C,,0)</f>
        <v>1|2|3|4|5|6|7</v>
      </c>
      <c r="C26" s="5">
        <f t="shared" si="3"/>
        <v>100002</v>
      </c>
      <c r="D26" s="5">
        <f t="shared" si="4"/>
        <v>7</v>
      </c>
      <c r="E26" s="5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5">
        <f t="shared" si="0"/>
        <v>10000208</v>
      </c>
      <c r="B27" s="33" t="str">
        <f>_xlfn.XLOOKUP(C27,SkillActive!$A:$A,SkillActive!C:C,,0)</f>
        <v>1|2|3|4|5|6|7</v>
      </c>
      <c r="C27" s="5">
        <f t="shared" si="3"/>
        <v>100002</v>
      </c>
      <c r="D27" s="5">
        <f t="shared" si="4"/>
        <v>8</v>
      </c>
      <c r="E27" s="5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5">
        <f t="shared" si="0"/>
        <v>10000209</v>
      </c>
      <c r="B28" s="33" t="str">
        <f>_xlfn.XLOOKUP(C28,SkillActive!$A:$A,SkillActive!C:C,,0)</f>
        <v>1|2|3|4|5|6|7</v>
      </c>
      <c r="C28" s="5">
        <f t="shared" si="3"/>
        <v>100002</v>
      </c>
      <c r="D28" s="5">
        <f t="shared" si="4"/>
        <v>9</v>
      </c>
      <c r="E28" s="5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5">
        <f t="shared" si="0"/>
        <v>10000210</v>
      </c>
      <c r="B29" s="33" t="str">
        <f>_xlfn.XLOOKUP(C29,SkillActive!$A:$A,SkillActive!C:C,,0)</f>
        <v>1|2|3|4|5|6|7</v>
      </c>
      <c r="C29" s="5">
        <f t="shared" si="3"/>
        <v>100002</v>
      </c>
      <c r="D29" s="5">
        <f t="shared" si="4"/>
        <v>10</v>
      </c>
      <c r="E29" s="5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5">
        <f t="shared" si="0"/>
        <v>10000211</v>
      </c>
      <c r="B30" s="33" t="str">
        <f>_xlfn.XLOOKUP(C30,SkillActive!$A:$A,SkillActive!C:C,,0)</f>
        <v>1|2|3|4|5|6|7</v>
      </c>
      <c r="C30" s="5">
        <f t="shared" si="3"/>
        <v>100002</v>
      </c>
      <c r="D30" s="5">
        <f t="shared" si="4"/>
        <v>11</v>
      </c>
      <c r="E30" s="5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5">
        <f t="shared" si="0"/>
        <v>10000212</v>
      </c>
      <c r="B31" s="33" t="str">
        <f>_xlfn.XLOOKUP(C31,SkillActive!$A:$A,SkillActive!C:C,,0)</f>
        <v>1|2|3|4|5|6|7</v>
      </c>
      <c r="C31" s="5">
        <f t="shared" si="3"/>
        <v>100002</v>
      </c>
      <c r="D31" s="5">
        <f t="shared" si="4"/>
        <v>12</v>
      </c>
      <c r="E31" s="5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5">
        <f t="shared" si="0"/>
        <v>10000213</v>
      </c>
      <c r="B32" s="33" t="str">
        <f>_xlfn.XLOOKUP(C32,SkillActive!$A:$A,SkillActive!C:C,,0)</f>
        <v>1|2|3|4|5|6|7</v>
      </c>
      <c r="C32" s="5">
        <f t="shared" si="3"/>
        <v>100002</v>
      </c>
      <c r="D32" s="5">
        <f t="shared" si="4"/>
        <v>13</v>
      </c>
      <c r="E32" s="5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5">
        <f t="shared" si="0"/>
        <v>10000214</v>
      </c>
      <c r="B33" s="33" t="str">
        <f>_xlfn.XLOOKUP(C33,SkillActive!$A:$A,SkillActive!C:C,,0)</f>
        <v>1|2|3|4|5|6|7</v>
      </c>
      <c r="C33" s="5">
        <f t="shared" si="3"/>
        <v>100002</v>
      </c>
      <c r="D33" s="5">
        <f t="shared" si="4"/>
        <v>14</v>
      </c>
      <c r="E33" s="5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5">
        <f t="shared" si="0"/>
        <v>10000215</v>
      </c>
      <c r="B34" s="33" t="str">
        <f>_xlfn.XLOOKUP(C34,SkillActive!$A:$A,SkillActive!C:C,,0)</f>
        <v>1|2|3|4|5|6|7</v>
      </c>
      <c r="C34" s="5">
        <f t="shared" si="3"/>
        <v>100002</v>
      </c>
      <c r="D34" s="5">
        <f t="shared" si="4"/>
        <v>15</v>
      </c>
      <c r="E34" s="5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5">
        <f t="shared" si="0"/>
        <v>10000216</v>
      </c>
      <c r="B35" s="33" t="str">
        <f>_xlfn.XLOOKUP(C35,SkillActive!$A:$A,SkillActive!C:C,,0)</f>
        <v>1|2|3|4|5|6|7</v>
      </c>
      <c r="C35" s="5">
        <f t="shared" si="3"/>
        <v>100002</v>
      </c>
      <c r="D35" s="5">
        <f t="shared" si="4"/>
        <v>16</v>
      </c>
      <c r="E35" s="5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5">
        <f t="shared" si="0"/>
        <v>10000301</v>
      </c>
      <c r="B36" s="33" t="str">
        <f>_xlfn.XLOOKUP(C36,SkillActive!$A:$A,SkillActive!C:C,,0)</f>
        <v>1|2|3|4|5|6|7</v>
      </c>
      <c r="C36" s="5">
        <f t="shared" si="3"/>
        <v>100003</v>
      </c>
      <c r="D36" s="5">
        <f t="shared" si="4"/>
        <v>1</v>
      </c>
      <c r="E36" s="5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5">
        <f t="shared" si="0"/>
        <v>10000302</v>
      </c>
      <c r="B37" s="33" t="str">
        <f>_xlfn.XLOOKUP(C37,SkillActive!$A:$A,SkillActive!C:C,,0)</f>
        <v>1|2|3|4|5|6|7</v>
      </c>
      <c r="C37" s="5">
        <f t="shared" si="3"/>
        <v>100003</v>
      </c>
      <c r="D37" s="5">
        <f t="shared" si="4"/>
        <v>2</v>
      </c>
      <c r="E37" s="5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5">
        <f t="shared" si="0"/>
        <v>10000303</v>
      </c>
      <c r="B38" s="33" t="str">
        <f>_xlfn.XLOOKUP(C38,SkillActive!$A:$A,SkillActive!C:C,,0)</f>
        <v>1|2|3|4|5|6|7</v>
      </c>
      <c r="C38" s="5">
        <f t="shared" si="3"/>
        <v>100003</v>
      </c>
      <c r="D38" s="5">
        <f t="shared" si="4"/>
        <v>3</v>
      </c>
      <c r="E38" s="5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5">
        <f t="shared" si="0"/>
        <v>10000304</v>
      </c>
      <c r="B39" s="33" t="str">
        <f>_xlfn.XLOOKUP(C39,SkillActive!$A:$A,SkillActive!C:C,,0)</f>
        <v>1|2|3|4|5|6|7</v>
      </c>
      <c r="C39" s="5">
        <f t="shared" si="3"/>
        <v>100003</v>
      </c>
      <c r="D39" s="5">
        <f t="shared" si="4"/>
        <v>4</v>
      </c>
      <c r="E39" s="5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5">
        <f t="shared" si="0"/>
        <v>10000305</v>
      </c>
      <c r="B40" s="33" t="str">
        <f>_xlfn.XLOOKUP(C40,SkillActive!$A:$A,SkillActive!C:C,,0)</f>
        <v>1|2|3|4|5|6|7</v>
      </c>
      <c r="C40" s="5">
        <f t="shared" si="3"/>
        <v>100003</v>
      </c>
      <c r="D40" s="5">
        <f t="shared" si="4"/>
        <v>5</v>
      </c>
      <c r="E40" s="5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5">
        <f t="shared" si="0"/>
        <v>10000306</v>
      </c>
      <c r="B41" s="33" t="str">
        <f>_xlfn.XLOOKUP(C41,SkillActive!$A:$A,SkillActive!C:C,,0)</f>
        <v>1|2|3|4|5|6|7</v>
      </c>
      <c r="C41" s="5">
        <f t="shared" si="3"/>
        <v>100003</v>
      </c>
      <c r="D41" s="5">
        <f t="shared" si="4"/>
        <v>6</v>
      </c>
      <c r="E41" s="5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5">
        <f t="shared" si="0"/>
        <v>10000307</v>
      </c>
      <c r="B42" s="33" t="str">
        <f>_xlfn.XLOOKUP(C42,SkillActive!$A:$A,SkillActive!C:C,,0)</f>
        <v>1|2|3|4|5|6|7</v>
      </c>
      <c r="C42" s="5">
        <f t="shared" si="3"/>
        <v>100003</v>
      </c>
      <c r="D42" s="5">
        <f t="shared" si="4"/>
        <v>7</v>
      </c>
      <c r="E42" s="5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5">
        <f t="shared" si="0"/>
        <v>10000308</v>
      </c>
      <c r="B43" s="33" t="str">
        <f>_xlfn.XLOOKUP(C43,SkillActive!$A:$A,SkillActive!C:C,,0)</f>
        <v>1|2|3|4|5|6|7</v>
      </c>
      <c r="C43" s="5">
        <f t="shared" si="3"/>
        <v>100003</v>
      </c>
      <c r="D43" s="5">
        <f t="shared" si="4"/>
        <v>8</v>
      </c>
      <c r="E43" s="5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5">
        <f t="shared" si="0"/>
        <v>10000309</v>
      </c>
      <c r="B44" s="33" t="str">
        <f>_xlfn.XLOOKUP(C44,SkillActive!$A:$A,SkillActive!C:C,,0)</f>
        <v>1|2|3|4|5|6|7</v>
      </c>
      <c r="C44" s="5">
        <f t="shared" si="3"/>
        <v>100003</v>
      </c>
      <c r="D44" s="5">
        <f t="shared" si="4"/>
        <v>9</v>
      </c>
      <c r="E44" s="5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5">
        <f t="shared" si="0"/>
        <v>10000310</v>
      </c>
      <c r="B45" s="33" t="str">
        <f>_xlfn.XLOOKUP(C45,SkillActive!$A:$A,SkillActive!C:C,,0)</f>
        <v>1|2|3|4|5|6|7</v>
      </c>
      <c r="C45" s="5">
        <f t="shared" si="3"/>
        <v>100003</v>
      </c>
      <c r="D45" s="5">
        <f t="shared" si="4"/>
        <v>10</v>
      </c>
      <c r="E45" s="5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5">
        <f t="shared" si="0"/>
        <v>10000311</v>
      </c>
      <c r="B46" s="33" t="str">
        <f>_xlfn.XLOOKUP(C46,SkillActive!$A:$A,SkillActive!C:C,,0)</f>
        <v>1|2|3|4|5|6|7</v>
      </c>
      <c r="C46" s="5">
        <f t="shared" si="3"/>
        <v>100003</v>
      </c>
      <c r="D46" s="5">
        <f t="shared" si="4"/>
        <v>11</v>
      </c>
      <c r="E46" s="5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5">
        <f t="shared" si="0"/>
        <v>10000312</v>
      </c>
      <c r="B47" s="33" t="str">
        <f>_xlfn.XLOOKUP(C47,SkillActive!$A:$A,SkillActive!C:C,,0)</f>
        <v>1|2|3|4|5|6|7</v>
      </c>
      <c r="C47" s="5">
        <f t="shared" si="3"/>
        <v>100003</v>
      </c>
      <c r="D47" s="5">
        <f t="shared" si="4"/>
        <v>12</v>
      </c>
      <c r="E47" s="5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5">
        <f t="shared" si="0"/>
        <v>10000313</v>
      </c>
      <c r="B48" s="33" t="str">
        <f>_xlfn.XLOOKUP(C48,SkillActive!$A:$A,SkillActive!C:C,,0)</f>
        <v>1|2|3|4|5|6|7</v>
      </c>
      <c r="C48" s="5">
        <f t="shared" si="3"/>
        <v>100003</v>
      </c>
      <c r="D48" s="5">
        <f t="shared" si="4"/>
        <v>13</v>
      </c>
      <c r="E48" s="5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5">
        <f t="shared" si="0"/>
        <v>10000314</v>
      </c>
      <c r="B49" s="33" t="str">
        <f>_xlfn.XLOOKUP(C49,SkillActive!$A:$A,SkillActive!C:C,,0)</f>
        <v>1|2|3|4|5|6|7</v>
      </c>
      <c r="C49" s="5">
        <f t="shared" si="3"/>
        <v>100003</v>
      </c>
      <c r="D49" s="5">
        <f t="shared" si="4"/>
        <v>14</v>
      </c>
      <c r="E49" s="5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5">
        <f t="shared" si="0"/>
        <v>10000315</v>
      </c>
      <c r="B50" s="33" t="str">
        <f>_xlfn.XLOOKUP(C50,SkillActive!$A:$A,SkillActive!C:C,,0)</f>
        <v>1|2|3|4|5|6|7</v>
      </c>
      <c r="C50" s="5">
        <f t="shared" si="3"/>
        <v>100003</v>
      </c>
      <c r="D50" s="5">
        <f t="shared" si="4"/>
        <v>15</v>
      </c>
      <c r="E50" s="5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5">
        <f t="shared" si="0"/>
        <v>10000316</v>
      </c>
      <c r="B51" s="33" t="str">
        <f>_xlfn.XLOOKUP(C51,SkillActive!$A:$A,SkillActive!C:C,,0)</f>
        <v>1|2|3|4|5|6|7</v>
      </c>
      <c r="C51" s="5">
        <f t="shared" si="3"/>
        <v>100003</v>
      </c>
      <c r="D51" s="5">
        <f t="shared" si="4"/>
        <v>16</v>
      </c>
      <c r="E51" s="5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5">
        <f t="shared" si="0"/>
        <v>10000401</v>
      </c>
      <c r="B52" s="33" t="str">
        <f>_xlfn.XLOOKUP(C52,SkillActive!$A:$A,SkillActive!C:C,,0)</f>
        <v>1|2|3|4|5|6|7</v>
      </c>
      <c r="C52" s="5">
        <f t="shared" si="3"/>
        <v>100004</v>
      </c>
      <c r="D52" s="5">
        <f t="shared" si="4"/>
        <v>1</v>
      </c>
      <c r="E52" s="5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5">
        <f t="shared" si="0"/>
        <v>10000402</v>
      </c>
      <c r="B53" s="33" t="str">
        <f>_xlfn.XLOOKUP(C53,SkillActive!$A:$A,SkillActive!C:C,,0)</f>
        <v>1|2|3|4|5|6|7</v>
      </c>
      <c r="C53" s="5">
        <f t="shared" si="3"/>
        <v>100004</v>
      </c>
      <c r="D53" s="5">
        <f t="shared" si="4"/>
        <v>2</v>
      </c>
      <c r="E53" s="5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5">
        <f t="shared" si="0"/>
        <v>10000403</v>
      </c>
      <c r="B54" s="33" t="str">
        <f>_xlfn.XLOOKUP(C54,SkillActive!$A:$A,SkillActive!C:C,,0)</f>
        <v>1|2|3|4|5|6|7</v>
      </c>
      <c r="C54" s="5">
        <f t="shared" si="3"/>
        <v>100004</v>
      </c>
      <c r="D54" s="5">
        <f t="shared" si="4"/>
        <v>3</v>
      </c>
      <c r="E54" s="5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5">
        <f t="shared" si="0"/>
        <v>10000404</v>
      </c>
      <c r="B55" s="33" t="str">
        <f>_xlfn.XLOOKUP(C55,SkillActive!$A:$A,SkillActive!C:C,,0)</f>
        <v>1|2|3|4|5|6|7</v>
      </c>
      <c r="C55" s="5">
        <f t="shared" si="3"/>
        <v>100004</v>
      </c>
      <c r="D55" s="5">
        <f t="shared" si="4"/>
        <v>4</v>
      </c>
      <c r="E55" s="5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5">
        <f t="shared" si="0"/>
        <v>10000405</v>
      </c>
      <c r="B56" s="33" t="str">
        <f>_xlfn.XLOOKUP(C56,SkillActive!$A:$A,SkillActive!C:C,,0)</f>
        <v>1|2|3|4|5|6|7</v>
      </c>
      <c r="C56" s="5">
        <f t="shared" si="3"/>
        <v>100004</v>
      </c>
      <c r="D56" s="5">
        <f t="shared" si="4"/>
        <v>5</v>
      </c>
      <c r="E56" s="5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5">
        <f t="shared" si="0"/>
        <v>10000406</v>
      </c>
      <c r="B57" s="33" t="str">
        <f>_xlfn.XLOOKUP(C57,SkillActive!$A:$A,SkillActive!C:C,,0)</f>
        <v>1|2|3|4|5|6|7</v>
      </c>
      <c r="C57" s="5">
        <f t="shared" si="3"/>
        <v>100004</v>
      </c>
      <c r="D57" s="5">
        <f t="shared" si="4"/>
        <v>6</v>
      </c>
      <c r="E57" s="5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5">
        <f t="shared" si="0"/>
        <v>10000407</v>
      </c>
      <c r="B58" s="33" t="str">
        <f>_xlfn.XLOOKUP(C58,SkillActive!$A:$A,SkillActive!C:C,,0)</f>
        <v>1|2|3|4|5|6|7</v>
      </c>
      <c r="C58" s="5">
        <f t="shared" si="3"/>
        <v>100004</v>
      </c>
      <c r="D58" s="5">
        <f t="shared" si="4"/>
        <v>7</v>
      </c>
      <c r="E58" s="5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5">
        <f t="shared" si="0"/>
        <v>10000408</v>
      </c>
      <c r="B59" s="33" t="str">
        <f>_xlfn.XLOOKUP(C59,SkillActive!$A:$A,SkillActive!C:C,,0)</f>
        <v>1|2|3|4|5|6|7</v>
      </c>
      <c r="C59" s="5">
        <f t="shared" si="3"/>
        <v>100004</v>
      </c>
      <c r="D59" s="5">
        <f t="shared" si="4"/>
        <v>8</v>
      </c>
      <c r="E59" s="5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5">
        <f t="shared" si="0"/>
        <v>10000409</v>
      </c>
      <c r="B60" s="33" t="str">
        <f>_xlfn.XLOOKUP(C60,SkillActive!$A:$A,SkillActive!C:C,,0)</f>
        <v>1|2|3|4|5|6|7</v>
      </c>
      <c r="C60" s="5">
        <f t="shared" si="3"/>
        <v>100004</v>
      </c>
      <c r="D60" s="5">
        <f t="shared" si="4"/>
        <v>9</v>
      </c>
      <c r="E60" s="5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5">
        <f t="shared" si="0"/>
        <v>10000410</v>
      </c>
      <c r="B61" s="33" t="str">
        <f>_xlfn.XLOOKUP(C61,SkillActive!$A:$A,SkillActive!C:C,,0)</f>
        <v>1|2|3|4|5|6|7</v>
      </c>
      <c r="C61" s="5">
        <f t="shared" si="3"/>
        <v>100004</v>
      </c>
      <c r="D61" s="5">
        <f t="shared" si="4"/>
        <v>10</v>
      </c>
      <c r="E61" s="5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5">
        <f t="shared" si="0"/>
        <v>10000411</v>
      </c>
      <c r="B62" s="33" t="str">
        <f>_xlfn.XLOOKUP(C62,SkillActive!$A:$A,SkillActive!C:C,,0)</f>
        <v>1|2|3|4|5|6|7</v>
      </c>
      <c r="C62" s="5">
        <f t="shared" si="3"/>
        <v>100004</v>
      </c>
      <c r="D62" s="5">
        <f t="shared" si="4"/>
        <v>11</v>
      </c>
      <c r="E62" s="5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5">
        <f t="shared" si="0"/>
        <v>10000412</v>
      </c>
      <c r="B63" s="33" t="str">
        <f>_xlfn.XLOOKUP(C63,SkillActive!$A:$A,SkillActive!C:C,,0)</f>
        <v>1|2|3|4|5|6|7</v>
      </c>
      <c r="C63" s="5">
        <f t="shared" si="3"/>
        <v>100004</v>
      </c>
      <c r="D63" s="5">
        <f t="shared" si="4"/>
        <v>12</v>
      </c>
      <c r="E63" s="5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5">
        <f t="shared" si="0"/>
        <v>10000413</v>
      </c>
      <c r="B64" s="33" t="str">
        <f>_xlfn.XLOOKUP(C64,SkillActive!$A:$A,SkillActive!C:C,,0)</f>
        <v>1|2|3|4|5|6|7</v>
      </c>
      <c r="C64" s="5">
        <f t="shared" si="3"/>
        <v>100004</v>
      </c>
      <c r="D64" s="5">
        <f t="shared" si="4"/>
        <v>13</v>
      </c>
      <c r="E64" s="5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5">
        <f t="shared" si="0"/>
        <v>10000414</v>
      </c>
      <c r="B65" s="33" t="str">
        <f>_xlfn.XLOOKUP(C65,SkillActive!$A:$A,SkillActive!C:C,,0)</f>
        <v>1|2|3|4|5|6|7</v>
      </c>
      <c r="C65" s="5">
        <f t="shared" si="3"/>
        <v>100004</v>
      </c>
      <c r="D65" s="5">
        <f t="shared" si="4"/>
        <v>14</v>
      </c>
      <c r="E65" s="5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5">
        <f t="shared" si="0"/>
        <v>10000415</v>
      </c>
      <c r="B66" s="33" t="str">
        <f>_xlfn.XLOOKUP(C66,SkillActive!$A:$A,SkillActive!C:C,,0)</f>
        <v>1|2|3|4|5|6|7</v>
      </c>
      <c r="C66" s="5">
        <f t="shared" si="3"/>
        <v>100004</v>
      </c>
      <c r="D66" s="5">
        <f t="shared" si="4"/>
        <v>15</v>
      </c>
      <c r="E66" s="5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5">
        <f t="shared" si="0"/>
        <v>10000416</v>
      </c>
      <c r="B67" s="33" t="str">
        <f>_xlfn.XLOOKUP(C67,SkillActive!$A:$A,SkillActive!C:C,,0)</f>
        <v>1|2|3|4|5|6|7</v>
      </c>
      <c r="C67" s="5">
        <f t="shared" si="3"/>
        <v>100004</v>
      </c>
      <c r="D67" s="5">
        <f t="shared" si="4"/>
        <v>16</v>
      </c>
      <c r="E67" s="5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5">
        <f t="shared" ref="A68:A84" si="5">C68*100+D68</f>
        <v>10000501</v>
      </c>
      <c r="B68" s="33" t="str">
        <f>_xlfn.XLOOKUP(C68,SkillActive!$A:$A,SkillActive!C:C,,0)</f>
        <v>1|2|3|4|5|6|7</v>
      </c>
      <c r="C68" s="5">
        <f t="shared" si="3"/>
        <v>100005</v>
      </c>
      <c r="D68" s="5">
        <f t="shared" si="4"/>
        <v>1</v>
      </c>
      <c r="E68" s="5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5">
        <f t="shared" si="5"/>
        <v>10000502</v>
      </c>
      <c r="B69" s="33" t="str">
        <f>_xlfn.XLOOKUP(C69,SkillActive!$A:$A,SkillActive!C:C,,0)</f>
        <v>1|2|3|4|5|6|7</v>
      </c>
      <c r="C69" s="5">
        <f t="shared" ref="C69:C100" si="7">C53+1</f>
        <v>100005</v>
      </c>
      <c r="D69" s="5">
        <f t="shared" si="4"/>
        <v>2</v>
      </c>
      <c r="E69" s="5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5">
        <f t="shared" si="5"/>
        <v>10000503</v>
      </c>
      <c r="B70" s="33" t="str">
        <f>_xlfn.XLOOKUP(C70,SkillActive!$A:$A,SkillActive!C:C,,0)</f>
        <v>1|2|3|4|5|6|7</v>
      </c>
      <c r="C70" s="5">
        <f t="shared" si="7"/>
        <v>100005</v>
      </c>
      <c r="D70" s="5">
        <f t="shared" si="4"/>
        <v>3</v>
      </c>
      <c r="E70" s="5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5">
        <f t="shared" si="5"/>
        <v>10000504</v>
      </c>
      <c r="B71" s="33" t="str">
        <f>_xlfn.XLOOKUP(C71,SkillActive!$A:$A,SkillActive!C:C,,0)</f>
        <v>1|2|3|4|5|6|7</v>
      </c>
      <c r="C71" s="5">
        <f t="shared" si="7"/>
        <v>100005</v>
      </c>
      <c r="D71" s="5">
        <f t="shared" si="4"/>
        <v>4</v>
      </c>
      <c r="E71" s="5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5">
        <f t="shared" si="5"/>
        <v>10000505</v>
      </c>
      <c r="B72" s="33" t="str">
        <f>_xlfn.XLOOKUP(C72,SkillActive!$A:$A,SkillActive!C:C,,0)</f>
        <v>1|2|3|4|5|6|7</v>
      </c>
      <c r="C72" s="5">
        <f t="shared" si="7"/>
        <v>100005</v>
      </c>
      <c r="D72" s="5">
        <f t="shared" si="4"/>
        <v>5</v>
      </c>
      <c r="E72" s="5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5">
        <f t="shared" si="5"/>
        <v>10000506</v>
      </c>
      <c r="B73" s="33" t="str">
        <f>_xlfn.XLOOKUP(C73,SkillActive!$A:$A,SkillActive!C:C,,0)</f>
        <v>1|2|3|4|5|6|7</v>
      </c>
      <c r="C73" s="5">
        <f t="shared" si="7"/>
        <v>100005</v>
      </c>
      <c r="D73" s="5">
        <f t="shared" si="4"/>
        <v>6</v>
      </c>
      <c r="E73" s="5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5">
        <f t="shared" si="5"/>
        <v>10000507</v>
      </c>
      <c r="B74" s="33" t="str">
        <f>_xlfn.XLOOKUP(C74,SkillActive!$A:$A,SkillActive!C:C,,0)</f>
        <v>1|2|3|4|5|6|7</v>
      </c>
      <c r="C74" s="5">
        <f t="shared" si="7"/>
        <v>100005</v>
      </c>
      <c r="D74" s="5">
        <f t="shared" si="4"/>
        <v>7</v>
      </c>
      <c r="E74" s="5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5">
        <f t="shared" si="5"/>
        <v>10000508</v>
      </c>
      <c r="B75" s="33" t="str">
        <f>_xlfn.XLOOKUP(C75,SkillActive!$A:$A,SkillActive!C:C,,0)</f>
        <v>1|2|3|4|5|6|7</v>
      </c>
      <c r="C75" s="5">
        <f t="shared" si="7"/>
        <v>100005</v>
      </c>
      <c r="D75" s="5">
        <f t="shared" si="4"/>
        <v>8</v>
      </c>
      <c r="E75" s="5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5">
        <f t="shared" si="5"/>
        <v>10000509</v>
      </c>
      <c r="B76" s="33" t="str">
        <f>_xlfn.XLOOKUP(C76,SkillActive!$A:$A,SkillActive!C:C,,0)</f>
        <v>1|2|3|4|5|6|7</v>
      </c>
      <c r="C76" s="5">
        <f t="shared" si="7"/>
        <v>100005</v>
      </c>
      <c r="D76" s="5">
        <f t="shared" si="4"/>
        <v>9</v>
      </c>
      <c r="E76" s="5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5">
        <f t="shared" si="5"/>
        <v>10000510</v>
      </c>
      <c r="B77" s="33" t="str">
        <f>_xlfn.XLOOKUP(C77,SkillActive!$A:$A,SkillActive!C:C,,0)</f>
        <v>1|2|3|4|5|6|7</v>
      </c>
      <c r="C77" s="5">
        <f t="shared" si="7"/>
        <v>100005</v>
      </c>
      <c r="D77" s="5">
        <f t="shared" si="4"/>
        <v>10</v>
      </c>
      <c r="E77" s="5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5">
        <f t="shared" si="5"/>
        <v>10000511</v>
      </c>
      <c r="B78" s="33" t="str">
        <f>_xlfn.XLOOKUP(C78,SkillActive!$A:$A,SkillActive!C:C,,0)</f>
        <v>1|2|3|4|5|6|7</v>
      </c>
      <c r="C78" s="5">
        <f t="shared" si="7"/>
        <v>100005</v>
      </c>
      <c r="D78" s="5">
        <f t="shared" si="4"/>
        <v>11</v>
      </c>
      <c r="E78" s="5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5">
        <f t="shared" si="5"/>
        <v>10000512</v>
      </c>
      <c r="B79" s="33" t="str">
        <f>_xlfn.XLOOKUP(C79,SkillActive!$A:$A,SkillActive!C:C,,0)</f>
        <v>1|2|3|4|5|6|7</v>
      </c>
      <c r="C79" s="5">
        <f t="shared" si="7"/>
        <v>100005</v>
      </c>
      <c r="D79" s="5">
        <f t="shared" si="4"/>
        <v>12</v>
      </c>
      <c r="E79" s="5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5">
        <f t="shared" si="5"/>
        <v>10000513</v>
      </c>
      <c r="B80" s="33" t="str">
        <f>_xlfn.XLOOKUP(C80,SkillActive!$A:$A,SkillActive!C:C,,0)</f>
        <v>1|2|3|4|5|6|7</v>
      </c>
      <c r="C80" s="5">
        <f t="shared" si="7"/>
        <v>100005</v>
      </c>
      <c r="D80" s="5">
        <f t="shared" si="4"/>
        <v>13</v>
      </c>
      <c r="E80" s="5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5">
        <f t="shared" si="5"/>
        <v>10000514</v>
      </c>
      <c r="B81" s="33" t="str">
        <f>_xlfn.XLOOKUP(C81,SkillActive!$A:$A,SkillActive!C:C,,0)</f>
        <v>1|2|3|4|5|6|7</v>
      </c>
      <c r="C81" s="5">
        <f t="shared" si="7"/>
        <v>100005</v>
      </c>
      <c r="D81" s="5">
        <f t="shared" si="4"/>
        <v>14</v>
      </c>
      <c r="E81" s="5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5">
        <f t="shared" si="5"/>
        <v>10000515</v>
      </c>
      <c r="B82" s="33" t="str">
        <f>_xlfn.XLOOKUP(C82,SkillActive!$A:$A,SkillActive!C:C,,0)</f>
        <v>1|2|3|4|5|6|7</v>
      </c>
      <c r="C82" s="5">
        <f t="shared" si="7"/>
        <v>100005</v>
      </c>
      <c r="D82" s="5">
        <f t="shared" si="4"/>
        <v>15</v>
      </c>
      <c r="E82" s="5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5">
        <f t="shared" si="5"/>
        <v>10000516</v>
      </c>
      <c r="B83" s="33" t="str">
        <f>_xlfn.XLOOKUP(C83,SkillActive!$A:$A,SkillActive!C:C,,0)</f>
        <v>1|2|3|4|5|6|7</v>
      </c>
      <c r="C83" s="5">
        <f t="shared" si="7"/>
        <v>100005</v>
      </c>
      <c r="D83" s="5">
        <f t="shared" si="4"/>
        <v>16</v>
      </c>
      <c r="E83" s="5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5">
        <f t="shared" si="5"/>
        <v>10000601</v>
      </c>
      <c r="B84" s="33" t="str">
        <f>_xlfn.XLOOKUP(C84,SkillActive!$A:$A,SkillActive!C:C,,0)</f>
        <v>1|2|3|4|5|6|7</v>
      </c>
      <c r="C84" s="5">
        <f t="shared" si="7"/>
        <v>100006</v>
      </c>
      <c r="D84" s="5">
        <f t="shared" ref="D84:D100" si="8">D68</f>
        <v>1</v>
      </c>
      <c r="E84" s="5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5">
        <f t="shared" ref="A85:A99" si="10">C85*100+D85</f>
        <v>10000602</v>
      </c>
      <c r="B85" s="33" t="str">
        <f>_xlfn.XLOOKUP(C85,SkillActive!$A:$A,SkillActive!C:C,,0)</f>
        <v>1|2|3|4|5|6|7</v>
      </c>
      <c r="C85" s="5">
        <f t="shared" si="7"/>
        <v>100006</v>
      </c>
      <c r="D85" s="5">
        <f t="shared" si="8"/>
        <v>2</v>
      </c>
      <c r="E85" s="5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5">
        <f t="shared" si="10"/>
        <v>10000603</v>
      </c>
      <c r="B86" s="33" t="str">
        <f>_xlfn.XLOOKUP(C86,SkillActive!$A:$A,SkillActive!C:C,,0)</f>
        <v>1|2|3|4|5|6|7</v>
      </c>
      <c r="C86" s="5">
        <f t="shared" si="7"/>
        <v>100006</v>
      </c>
      <c r="D86" s="5">
        <f t="shared" si="8"/>
        <v>3</v>
      </c>
      <c r="E86" s="5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5">
        <f t="shared" si="10"/>
        <v>10000604</v>
      </c>
      <c r="B87" s="33" t="str">
        <f>_xlfn.XLOOKUP(C87,SkillActive!$A:$A,SkillActive!C:C,,0)</f>
        <v>1|2|3|4|5|6|7</v>
      </c>
      <c r="C87" s="5">
        <f t="shared" si="7"/>
        <v>100006</v>
      </c>
      <c r="D87" s="5">
        <f t="shared" si="8"/>
        <v>4</v>
      </c>
      <c r="E87" s="5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5">
        <f t="shared" si="10"/>
        <v>10000605</v>
      </c>
      <c r="B88" s="33" t="str">
        <f>_xlfn.XLOOKUP(C88,SkillActive!$A:$A,SkillActive!C:C,,0)</f>
        <v>1|2|3|4|5|6|7</v>
      </c>
      <c r="C88" s="5">
        <f t="shared" si="7"/>
        <v>100006</v>
      </c>
      <c r="D88" s="5">
        <f t="shared" si="8"/>
        <v>5</v>
      </c>
      <c r="E88" s="5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5">
        <f t="shared" si="10"/>
        <v>10000606</v>
      </c>
      <c r="B89" s="33" t="str">
        <f>_xlfn.XLOOKUP(C89,SkillActive!$A:$A,SkillActive!C:C,,0)</f>
        <v>1|2|3|4|5|6|7</v>
      </c>
      <c r="C89" s="5">
        <f t="shared" si="7"/>
        <v>100006</v>
      </c>
      <c r="D89" s="5">
        <f t="shared" si="8"/>
        <v>6</v>
      </c>
      <c r="E89" s="5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5">
        <f t="shared" si="10"/>
        <v>10000607</v>
      </c>
      <c r="B90" s="33" t="str">
        <f>_xlfn.XLOOKUP(C90,SkillActive!$A:$A,SkillActive!C:C,,0)</f>
        <v>1|2|3|4|5|6|7</v>
      </c>
      <c r="C90" s="5">
        <f t="shared" si="7"/>
        <v>100006</v>
      </c>
      <c r="D90" s="5">
        <f t="shared" si="8"/>
        <v>7</v>
      </c>
      <c r="E90" s="5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5">
        <f t="shared" si="10"/>
        <v>10000608</v>
      </c>
      <c r="B91" s="33" t="str">
        <f>_xlfn.XLOOKUP(C91,SkillActive!$A:$A,SkillActive!C:C,,0)</f>
        <v>1|2|3|4|5|6|7</v>
      </c>
      <c r="C91" s="5">
        <f t="shared" si="7"/>
        <v>100006</v>
      </c>
      <c r="D91" s="5">
        <f t="shared" si="8"/>
        <v>8</v>
      </c>
      <c r="E91" s="5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5">
        <f t="shared" si="10"/>
        <v>10000609</v>
      </c>
      <c r="B92" s="33" t="str">
        <f>_xlfn.XLOOKUP(C92,SkillActive!$A:$A,SkillActive!C:C,,0)</f>
        <v>1|2|3|4|5|6|7</v>
      </c>
      <c r="C92" s="5">
        <f t="shared" si="7"/>
        <v>100006</v>
      </c>
      <c r="D92" s="5">
        <f t="shared" si="8"/>
        <v>9</v>
      </c>
      <c r="E92" s="5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5">
        <f t="shared" si="10"/>
        <v>10000610</v>
      </c>
      <c r="B93" s="33" t="str">
        <f>_xlfn.XLOOKUP(C93,SkillActive!$A:$A,SkillActive!C:C,,0)</f>
        <v>1|2|3|4|5|6|7</v>
      </c>
      <c r="C93" s="5">
        <f t="shared" si="7"/>
        <v>100006</v>
      </c>
      <c r="D93" s="5">
        <f t="shared" si="8"/>
        <v>10</v>
      </c>
      <c r="E93" s="5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5">
        <f t="shared" si="10"/>
        <v>10000611</v>
      </c>
      <c r="B94" s="33" t="str">
        <f>_xlfn.XLOOKUP(C94,SkillActive!$A:$A,SkillActive!C:C,,0)</f>
        <v>1|2|3|4|5|6|7</v>
      </c>
      <c r="C94" s="5">
        <f t="shared" si="7"/>
        <v>100006</v>
      </c>
      <c r="D94" s="5">
        <f t="shared" si="8"/>
        <v>11</v>
      </c>
      <c r="E94" s="5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5">
        <f t="shared" si="10"/>
        <v>10000612</v>
      </c>
      <c r="B95" s="33" t="str">
        <f>_xlfn.XLOOKUP(C95,SkillActive!$A:$A,SkillActive!C:C,,0)</f>
        <v>1|2|3|4|5|6|7</v>
      </c>
      <c r="C95" s="5">
        <f t="shared" si="7"/>
        <v>100006</v>
      </c>
      <c r="D95" s="5">
        <f t="shared" si="8"/>
        <v>12</v>
      </c>
      <c r="E95" s="5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5">
        <f t="shared" si="10"/>
        <v>10000613</v>
      </c>
      <c r="B96" s="33" t="str">
        <f>_xlfn.XLOOKUP(C96,SkillActive!$A:$A,SkillActive!C:C,,0)</f>
        <v>1|2|3|4|5|6|7</v>
      </c>
      <c r="C96" s="5">
        <f t="shared" si="7"/>
        <v>100006</v>
      </c>
      <c r="D96" s="5">
        <f t="shared" si="8"/>
        <v>13</v>
      </c>
      <c r="E96" s="5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5">
        <f t="shared" si="10"/>
        <v>10000614</v>
      </c>
      <c r="B97" s="33" t="str">
        <f>_xlfn.XLOOKUP(C97,SkillActive!$A:$A,SkillActive!C:C,,0)</f>
        <v>1|2|3|4|5|6|7</v>
      </c>
      <c r="C97" s="5">
        <f t="shared" si="7"/>
        <v>100006</v>
      </c>
      <c r="D97" s="5">
        <f t="shared" si="8"/>
        <v>14</v>
      </c>
      <c r="E97" s="5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5">
        <f t="shared" si="10"/>
        <v>10000615</v>
      </c>
      <c r="B98" s="33" t="str">
        <f>_xlfn.XLOOKUP(C98,SkillActive!$A:$A,SkillActive!C:C,,0)</f>
        <v>1|2|3|4|5|6|7</v>
      </c>
      <c r="C98" s="5">
        <f t="shared" si="7"/>
        <v>100006</v>
      </c>
      <c r="D98" s="5">
        <f t="shared" si="8"/>
        <v>15</v>
      </c>
      <c r="E98" s="5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5">
        <f t="shared" si="10"/>
        <v>10000616</v>
      </c>
      <c r="B99" s="33" t="str">
        <f>_xlfn.XLOOKUP(C99,SkillActive!$A:$A,SkillActive!C:C,,0)</f>
        <v>1|2|3|4|5|6|7</v>
      </c>
      <c r="C99" s="5">
        <f t="shared" si="7"/>
        <v>100006</v>
      </c>
      <c r="D99" s="5">
        <f t="shared" si="8"/>
        <v>16</v>
      </c>
      <c r="E99" s="5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5">
        <f t="shared" ref="A100:A116" si="11">C100*100+D100</f>
        <v>10000701</v>
      </c>
      <c r="B100" s="33" t="str">
        <f>_xlfn.XLOOKUP(C100,SkillActive!$A:$A,SkillActive!C:C,,0)</f>
        <v>1|2|3|4|5|6|7</v>
      </c>
      <c r="C100" s="5">
        <f t="shared" si="7"/>
        <v>100007</v>
      </c>
      <c r="D100" s="5">
        <f t="shared" si="8"/>
        <v>1</v>
      </c>
      <c r="E100" s="5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5">
        <f t="shared" si="11"/>
        <v>10000702</v>
      </c>
      <c r="B101" s="33" t="str">
        <f>_xlfn.XLOOKUP(C101,SkillActive!$A:$A,SkillActive!C:C,,0)</f>
        <v>1|2|3|4|5|6|7</v>
      </c>
      <c r="C101" s="5">
        <f t="shared" ref="C101:C132" si="12">C85+1</f>
        <v>100007</v>
      </c>
      <c r="D101" s="5">
        <v>2</v>
      </c>
      <c r="E101" s="5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5">
        <f t="shared" si="11"/>
        <v>10000703</v>
      </c>
      <c r="B102" s="33" t="str">
        <f>_xlfn.XLOOKUP(C102,SkillActive!$A:$A,SkillActive!C:C,,0)</f>
        <v>1|2|3|4|5|6|7</v>
      </c>
      <c r="C102" s="5">
        <f t="shared" si="12"/>
        <v>100007</v>
      </c>
      <c r="D102" s="5">
        <f t="shared" ref="D102:D115" si="13">D86</f>
        <v>3</v>
      </c>
      <c r="E102" s="5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5">
        <f t="shared" si="11"/>
        <v>10000704</v>
      </c>
      <c r="B103" s="33" t="str">
        <f>_xlfn.XLOOKUP(C103,SkillActive!$A:$A,SkillActive!C:C,,0)</f>
        <v>1|2|3|4|5|6|7</v>
      </c>
      <c r="C103" s="5">
        <f t="shared" si="12"/>
        <v>100007</v>
      </c>
      <c r="D103" s="5">
        <f t="shared" si="13"/>
        <v>4</v>
      </c>
      <c r="E103" s="5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5">
        <f t="shared" si="11"/>
        <v>10000705</v>
      </c>
      <c r="B104" s="33" t="str">
        <f>_xlfn.XLOOKUP(C104,SkillActive!$A:$A,SkillActive!C:C,,0)</f>
        <v>1|2|3|4|5|6|7</v>
      </c>
      <c r="C104" s="5">
        <f t="shared" si="12"/>
        <v>100007</v>
      </c>
      <c r="D104" s="5">
        <f t="shared" si="13"/>
        <v>5</v>
      </c>
      <c r="E104" s="5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5">
        <f t="shared" si="11"/>
        <v>10000706</v>
      </c>
      <c r="B105" s="33" t="str">
        <f>_xlfn.XLOOKUP(C105,SkillActive!$A:$A,SkillActive!C:C,,0)</f>
        <v>1|2|3|4|5|6|7</v>
      </c>
      <c r="C105" s="5">
        <f t="shared" si="12"/>
        <v>100007</v>
      </c>
      <c r="D105" s="5">
        <f t="shared" si="13"/>
        <v>6</v>
      </c>
      <c r="E105" s="5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5">
        <f t="shared" si="11"/>
        <v>10000707</v>
      </c>
      <c r="B106" s="33" t="str">
        <f>_xlfn.XLOOKUP(C106,SkillActive!$A:$A,SkillActive!C:C,,0)</f>
        <v>1|2|3|4|5|6|7</v>
      </c>
      <c r="C106" s="5">
        <f t="shared" si="12"/>
        <v>100007</v>
      </c>
      <c r="D106" s="5">
        <f t="shared" si="13"/>
        <v>7</v>
      </c>
      <c r="E106" s="5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5">
        <f t="shared" si="11"/>
        <v>10000708</v>
      </c>
      <c r="B107" s="33" t="str">
        <f>_xlfn.XLOOKUP(C107,SkillActive!$A:$A,SkillActive!C:C,,0)</f>
        <v>1|2|3|4|5|6|7</v>
      </c>
      <c r="C107" s="5">
        <f t="shared" si="12"/>
        <v>100007</v>
      </c>
      <c r="D107" s="5">
        <f t="shared" si="13"/>
        <v>8</v>
      </c>
      <c r="E107" s="5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5">
        <f t="shared" si="11"/>
        <v>10000709</v>
      </c>
      <c r="B108" s="33" t="str">
        <f>_xlfn.XLOOKUP(C108,SkillActive!$A:$A,SkillActive!C:C,,0)</f>
        <v>1|2|3|4|5|6|7</v>
      </c>
      <c r="C108" s="5">
        <f t="shared" si="12"/>
        <v>100007</v>
      </c>
      <c r="D108" s="5">
        <f t="shared" si="13"/>
        <v>9</v>
      </c>
      <c r="E108" s="5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5">
        <f t="shared" si="11"/>
        <v>10000710</v>
      </c>
      <c r="B109" s="33" t="str">
        <f>_xlfn.XLOOKUP(C109,SkillActive!$A:$A,SkillActive!C:C,,0)</f>
        <v>1|2|3|4|5|6|7</v>
      </c>
      <c r="C109" s="5">
        <f t="shared" si="12"/>
        <v>100007</v>
      </c>
      <c r="D109" s="5">
        <f t="shared" si="13"/>
        <v>10</v>
      </c>
      <c r="E109" s="5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5">
        <f t="shared" si="11"/>
        <v>10000711</v>
      </c>
      <c r="B110" s="33" t="str">
        <f>_xlfn.XLOOKUP(C110,SkillActive!$A:$A,SkillActive!C:C,,0)</f>
        <v>1|2|3|4|5|6|7</v>
      </c>
      <c r="C110" s="5">
        <f t="shared" si="12"/>
        <v>100007</v>
      </c>
      <c r="D110" s="5">
        <f t="shared" si="13"/>
        <v>11</v>
      </c>
      <c r="E110" s="5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5">
        <f t="shared" si="11"/>
        <v>10000712</v>
      </c>
      <c r="B111" s="33" t="str">
        <f>_xlfn.XLOOKUP(C111,SkillActive!$A:$A,SkillActive!C:C,,0)</f>
        <v>1|2|3|4|5|6|7</v>
      </c>
      <c r="C111" s="5">
        <f t="shared" si="12"/>
        <v>100007</v>
      </c>
      <c r="D111" s="5">
        <f t="shared" si="13"/>
        <v>12</v>
      </c>
      <c r="E111" s="5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5">
        <f t="shared" si="11"/>
        <v>10000713</v>
      </c>
      <c r="B112" s="33" t="str">
        <f>_xlfn.XLOOKUP(C112,SkillActive!$A:$A,SkillActive!C:C,,0)</f>
        <v>1|2|3|4|5|6|7</v>
      </c>
      <c r="C112" s="5">
        <f t="shared" si="12"/>
        <v>100007</v>
      </c>
      <c r="D112" s="5">
        <f t="shared" si="13"/>
        <v>13</v>
      </c>
      <c r="E112" s="5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5">
        <f t="shared" si="11"/>
        <v>10000714</v>
      </c>
      <c r="B113" s="33" t="str">
        <f>_xlfn.XLOOKUP(C113,SkillActive!$A:$A,SkillActive!C:C,,0)</f>
        <v>1|2|3|4|5|6|7</v>
      </c>
      <c r="C113" s="5">
        <f t="shared" si="12"/>
        <v>100007</v>
      </c>
      <c r="D113" s="5">
        <f t="shared" si="13"/>
        <v>14</v>
      </c>
      <c r="E113" s="5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5">
        <f t="shared" si="11"/>
        <v>10000715</v>
      </c>
      <c r="B114" s="33" t="str">
        <f>_xlfn.XLOOKUP(C114,SkillActive!$A:$A,SkillActive!C:C,,0)</f>
        <v>1|2|3|4|5|6|7</v>
      </c>
      <c r="C114" s="5">
        <f t="shared" si="12"/>
        <v>100007</v>
      </c>
      <c r="D114" s="5">
        <f t="shared" si="13"/>
        <v>15</v>
      </c>
      <c r="E114" s="5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5">
        <f t="shared" si="11"/>
        <v>10000716</v>
      </c>
      <c r="B115" s="33" t="str">
        <f>_xlfn.XLOOKUP(C115,SkillActive!$A:$A,SkillActive!C:C,,0)</f>
        <v>1|2|3|4|5|6|7</v>
      </c>
      <c r="C115" s="5">
        <f t="shared" si="12"/>
        <v>100007</v>
      </c>
      <c r="D115" s="5">
        <f t="shared" si="13"/>
        <v>16</v>
      </c>
      <c r="E115" s="5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5">
        <f t="shared" si="11"/>
        <v>10000801</v>
      </c>
      <c r="B116" s="33" t="str">
        <f>_xlfn.XLOOKUP(C116,SkillActive!$A:$A,SkillActive!C:C,,0)</f>
        <v>1|2|3|4|5|6|7</v>
      </c>
      <c r="C116" s="5">
        <f t="shared" si="12"/>
        <v>100008</v>
      </c>
      <c r="D116" s="5">
        <f t="shared" ref="D116:D163" si="14">D100</f>
        <v>1</v>
      </c>
      <c r="E116" s="5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5">
        <f t="shared" ref="A116:A163" si="16">C117*100+D117</f>
        <v>10000802</v>
      </c>
      <c r="B117" s="33" t="str">
        <f>_xlfn.XLOOKUP(C117,SkillActive!$A:$A,SkillActive!C:C,,0)</f>
        <v>1|2|3|4|5|6|7</v>
      </c>
      <c r="C117" s="5">
        <f t="shared" si="12"/>
        <v>100008</v>
      </c>
      <c r="D117" s="5">
        <f t="shared" si="14"/>
        <v>2</v>
      </c>
      <c r="E117" s="5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5">
        <f t="shared" si="16"/>
        <v>10000803</v>
      </c>
      <c r="B118" s="33" t="str">
        <f>_xlfn.XLOOKUP(C118,SkillActive!$A:$A,SkillActive!C:C,,0)</f>
        <v>1|2|3|4|5|6|7</v>
      </c>
      <c r="C118" s="5">
        <f t="shared" si="12"/>
        <v>100008</v>
      </c>
      <c r="D118" s="5">
        <f t="shared" si="14"/>
        <v>3</v>
      </c>
      <c r="E118" s="5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5">
        <f t="shared" si="16"/>
        <v>10000804</v>
      </c>
      <c r="B119" s="33" t="str">
        <f>_xlfn.XLOOKUP(C119,SkillActive!$A:$A,SkillActive!C:C,,0)</f>
        <v>1|2|3|4|5|6|7</v>
      </c>
      <c r="C119" s="5">
        <f t="shared" si="12"/>
        <v>100008</v>
      </c>
      <c r="D119" s="5">
        <f t="shared" si="14"/>
        <v>4</v>
      </c>
      <c r="E119" s="5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5">
        <f t="shared" si="16"/>
        <v>10000805</v>
      </c>
      <c r="B120" s="33" t="str">
        <f>_xlfn.XLOOKUP(C120,SkillActive!$A:$A,SkillActive!C:C,,0)</f>
        <v>1|2|3|4|5|6|7</v>
      </c>
      <c r="C120" s="5">
        <f t="shared" si="12"/>
        <v>100008</v>
      </c>
      <c r="D120" s="5">
        <f t="shared" si="14"/>
        <v>5</v>
      </c>
      <c r="E120" s="5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5">
        <f t="shared" si="16"/>
        <v>10000806</v>
      </c>
      <c r="B121" s="33" t="str">
        <f>_xlfn.XLOOKUP(C121,SkillActive!$A:$A,SkillActive!C:C,,0)</f>
        <v>1|2|3|4|5|6|7</v>
      </c>
      <c r="C121" s="5">
        <f t="shared" si="12"/>
        <v>100008</v>
      </c>
      <c r="D121" s="5">
        <f t="shared" si="14"/>
        <v>6</v>
      </c>
      <c r="E121" s="5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5">
        <f t="shared" si="16"/>
        <v>10000807</v>
      </c>
      <c r="B122" s="33" t="str">
        <f>_xlfn.XLOOKUP(C122,SkillActive!$A:$A,SkillActive!C:C,,0)</f>
        <v>1|2|3|4|5|6|7</v>
      </c>
      <c r="C122" s="5">
        <f t="shared" si="12"/>
        <v>100008</v>
      </c>
      <c r="D122" s="5">
        <f t="shared" si="14"/>
        <v>7</v>
      </c>
      <c r="E122" s="5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5">
        <f t="shared" si="16"/>
        <v>10000808</v>
      </c>
      <c r="B123" s="33" t="str">
        <f>_xlfn.XLOOKUP(C123,SkillActive!$A:$A,SkillActive!C:C,,0)</f>
        <v>1|2|3|4|5|6|7</v>
      </c>
      <c r="C123" s="5">
        <f t="shared" si="12"/>
        <v>100008</v>
      </c>
      <c r="D123" s="5">
        <f t="shared" si="14"/>
        <v>8</v>
      </c>
      <c r="E123" s="5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5">
        <f t="shared" si="16"/>
        <v>10000809</v>
      </c>
      <c r="B124" s="33" t="str">
        <f>_xlfn.XLOOKUP(C124,SkillActive!$A:$A,SkillActive!C:C,,0)</f>
        <v>1|2|3|4|5|6|7</v>
      </c>
      <c r="C124" s="5">
        <f t="shared" si="12"/>
        <v>100008</v>
      </c>
      <c r="D124" s="5">
        <f t="shared" si="14"/>
        <v>9</v>
      </c>
      <c r="E124" s="5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5">
        <f t="shared" si="16"/>
        <v>10000810</v>
      </c>
      <c r="B125" s="33" t="str">
        <f>_xlfn.XLOOKUP(C125,SkillActive!$A:$A,SkillActive!C:C,,0)</f>
        <v>1|2|3|4|5|6|7</v>
      </c>
      <c r="C125" s="5">
        <f t="shared" si="12"/>
        <v>100008</v>
      </c>
      <c r="D125" s="5">
        <f t="shared" si="14"/>
        <v>10</v>
      </c>
      <c r="E125" s="5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5">
        <f t="shared" si="16"/>
        <v>10000811</v>
      </c>
      <c r="B126" s="33" t="str">
        <f>_xlfn.XLOOKUP(C126,SkillActive!$A:$A,SkillActive!C:C,,0)</f>
        <v>1|2|3|4|5|6|7</v>
      </c>
      <c r="C126" s="5">
        <f t="shared" si="12"/>
        <v>100008</v>
      </c>
      <c r="D126" s="5">
        <f t="shared" si="14"/>
        <v>11</v>
      </c>
      <c r="E126" s="5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5">
        <f t="shared" si="16"/>
        <v>10000812</v>
      </c>
      <c r="B127" s="33" t="str">
        <f>_xlfn.XLOOKUP(C127,SkillActive!$A:$A,SkillActive!C:C,,0)</f>
        <v>1|2|3|4|5|6|7</v>
      </c>
      <c r="C127" s="5">
        <f t="shared" si="12"/>
        <v>100008</v>
      </c>
      <c r="D127" s="5">
        <f t="shared" si="14"/>
        <v>12</v>
      </c>
      <c r="E127" s="5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5">
        <f t="shared" si="16"/>
        <v>10000813</v>
      </c>
      <c r="B128" s="33" t="str">
        <f>_xlfn.XLOOKUP(C128,SkillActive!$A:$A,SkillActive!C:C,,0)</f>
        <v>1|2|3|4|5|6|7</v>
      </c>
      <c r="C128" s="5">
        <f t="shared" si="12"/>
        <v>100008</v>
      </c>
      <c r="D128" s="5">
        <f t="shared" si="14"/>
        <v>13</v>
      </c>
      <c r="E128" s="5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5">
        <f t="shared" si="16"/>
        <v>10000814</v>
      </c>
      <c r="B129" s="33" t="str">
        <f>_xlfn.XLOOKUP(C129,SkillActive!$A:$A,SkillActive!C:C,,0)</f>
        <v>1|2|3|4|5|6|7</v>
      </c>
      <c r="C129" s="5">
        <f t="shared" si="12"/>
        <v>100008</v>
      </c>
      <c r="D129" s="5">
        <f t="shared" si="14"/>
        <v>14</v>
      </c>
      <c r="E129" s="5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5">
        <f t="shared" si="16"/>
        <v>10000815</v>
      </c>
      <c r="B130" s="33" t="str">
        <f>_xlfn.XLOOKUP(C130,SkillActive!$A:$A,SkillActive!C:C,,0)</f>
        <v>1|2|3|4|5|6|7</v>
      </c>
      <c r="C130" s="5">
        <f t="shared" si="12"/>
        <v>100008</v>
      </c>
      <c r="D130" s="5">
        <f t="shared" si="14"/>
        <v>15</v>
      </c>
      <c r="E130" s="5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5">
        <f t="shared" si="16"/>
        <v>10000816</v>
      </c>
      <c r="B131" s="33" t="str">
        <f>_xlfn.XLOOKUP(C131,SkillActive!$A:$A,SkillActive!C:C,,0)</f>
        <v>1|2|3|4|5|6|7</v>
      </c>
      <c r="C131" s="5">
        <f t="shared" si="12"/>
        <v>100008</v>
      </c>
      <c r="D131" s="5">
        <f t="shared" si="14"/>
        <v>16</v>
      </c>
      <c r="E131" s="5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5">
        <f t="shared" si="16"/>
        <v>10000901</v>
      </c>
      <c r="B132" s="33" t="str">
        <f>_xlfn.XLOOKUP(C132,SkillActive!$A:$A,SkillActive!C:C,,0)</f>
        <v>1|2|3|4|5|6|7</v>
      </c>
      <c r="C132" s="5">
        <f t="shared" si="12"/>
        <v>100009</v>
      </c>
      <c r="D132" s="5">
        <f t="shared" si="14"/>
        <v>1</v>
      </c>
      <c r="E132" s="5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5">
        <f t="shared" si="16"/>
        <v>10000902</v>
      </c>
      <c r="B133" s="33" t="str">
        <f>_xlfn.XLOOKUP(C133,SkillActive!$A:$A,SkillActive!C:C,,0)</f>
        <v>1|2|3|4|5|6|7</v>
      </c>
      <c r="C133" s="5">
        <f t="shared" ref="C133:C164" si="17">C117+1</f>
        <v>100009</v>
      </c>
      <c r="D133" s="5">
        <f t="shared" si="14"/>
        <v>2</v>
      </c>
      <c r="E133" s="5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5">
        <f t="shared" si="16"/>
        <v>10000903</v>
      </c>
      <c r="B134" s="33" t="str">
        <f>_xlfn.XLOOKUP(C134,SkillActive!$A:$A,SkillActive!C:C,,0)</f>
        <v>1|2|3|4|5|6|7</v>
      </c>
      <c r="C134" s="5">
        <f t="shared" si="17"/>
        <v>100009</v>
      </c>
      <c r="D134" s="5">
        <f t="shared" si="14"/>
        <v>3</v>
      </c>
      <c r="E134" s="5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5">
        <f t="shared" si="16"/>
        <v>10000904</v>
      </c>
      <c r="B135" s="33" t="str">
        <f>_xlfn.XLOOKUP(C135,SkillActive!$A:$A,SkillActive!C:C,,0)</f>
        <v>1|2|3|4|5|6|7</v>
      </c>
      <c r="C135" s="5">
        <f t="shared" si="17"/>
        <v>100009</v>
      </c>
      <c r="D135" s="5">
        <f t="shared" si="14"/>
        <v>4</v>
      </c>
      <c r="E135" s="5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5">
        <f t="shared" si="16"/>
        <v>10000905</v>
      </c>
      <c r="B136" s="33" t="str">
        <f>_xlfn.XLOOKUP(C136,SkillActive!$A:$A,SkillActive!C:C,,0)</f>
        <v>1|2|3|4|5|6|7</v>
      </c>
      <c r="C136" s="5">
        <f t="shared" si="17"/>
        <v>100009</v>
      </c>
      <c r="D136" s="5">
        <f t="shared" si="14"/>
        <v>5</v>
      </c>
      <c r="E136" s="5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5">
        <f t="shared" si="16"/>
        <v>10000906</v>
      </c>
      <c r="B137" s="33" t="str">
        <f>_xlfn.XLOOKUP(C137,SkillActive!$A:$A,SkillActive!C:C,,0)</f>
        <v>1|2|3|4|5|6|7</v>
      </c>
      <c r="C137" s="5">
        <f t="shared" si="17"/>
        <v>100009</v>
      </c>
      <c r="D137" s="5">
        <f t="shared" si="14"/>
        <v>6</v>
      </c>
      <c r="E137" s="5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5">
        <f t="shared" si="16"/>
        <v>10000907</v>
      </c>
      <c r="B138" s="33" t="str">
        <f>_xlfn.XLOOKUP(C138,SkillActive!$A:$A,SkillActive!C:C,,0)</f>
        <v>1|2|3|4|5|6|7</v>
      </c>
      <c r="C138" s="5">
        <f t="shared" si="17"/>
        <v>100009</v>
      </c>
      <c r="D138" s="5">
        <f t="shared" si="14"/>
        <v>7</v>
      </c>
      <c r="E138" s="5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5">
        <f t="shared" si="16"/>
        <v>10000908</v>
      </c>
      <c r="B139" s="33" t="str">
        <f>_xlfn.XLOOKUP(C139,SkillActive!$A:$A,SkillActive!C:C,,0)</f>
        <v>1|2|3|4|5|6|7</v>
      </c>
      <c r="C139" s="5">
        <f t="shared" si="17"/>
        <v>100009</v>
      </c>
      <c r="D139" s="5">
        <f t="shared" si="14"/>
        <v>8</v>
      </c>
      <c r="E139" s="5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5">
        <f t="shared" si="16"/>
        <v>10000909</v>
      </c>
      <c r="B140" s="33" t="str">
        <f>_xlfn.XLOOKUP(C140,SkillActive!$A:$A,SkillActive!C:C,,0)</f>
        <v>1|2|3|4|5|6|7</v>
      </c>
      <c r="C140" s="5">
        <f t="shared" si="17"/>
        <v>100009</v>
      </c>
      <c r="D140" s="5">
        <f t="shared" si="14"/>
        <v>9</v>
      </c>
      <c r="E140" s="5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5">
        <f t="shared" si="16"/>
        <v>10000910</v>
      </c>
      <c r="B141" s="33" t="str">
        <f>_xlfn.XLOOKUP(C141,SkillActive!$A:$A,SkillActive!C:C,,0)</f>
        <v>1|2|3|4|5|6|7</v>
      </c>
      <c r="C141" s="5">
        <f t="shared" si="17"/>
        <v>100009</v>
      </c>
      <c r="D141" s="5">
        <f t="shared" si="14"/>
        <v>10</v>
      </c>
      <c r="E141" s="5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5">
        <f t="shared" si="16"/>
        <v>10000911</v>
      </c>
      <c r="B142" s="33" t="str">
        <f>_xlfn.XLOOKUP(C142,SkillActive!$A:$A,SkillActive!C:C,,0)</f>
        <v>1|2|3|4|5|6|7</v>
      </c>
      <c r="C142" s="5">
        <f t="shared" si="17"/>
        <v>100009</v>
      </c>
      <c r="D142" s="5">
        <f t="shared" si="14"/>
        <v>11</v>
      </c>
      <c r="E142" s="5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5">
        <f t="shared" si="16"/>
        <v>10000912</v>
      </c>
      <c r="B143" s="33" t="str">
        <f>_xlfn.XLOOKUP(C143,SkillActive!$A:$A,SkillActive!C:C,,0)</f>
        <v>1|2|3|4|5|6|7</v>
      </c>
      <c r="C143" s="5">
        <f t="shared" si="17"/>
        <v>100009</v>
      </c>
      <c r="D143" s="5">
        <f t="shared" si="14"/>
        <v>12</v>
      </c>
      <c r="E143" s="5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5">
        <f t="shared" si="16"/>
        <v>10000913</v>
      </c>
      <c r="B144" s="33" t="str">
        <f>_xlfn.XLOOKUP(C144,SkillActive!$A:$A,SkillActive!C:C,,0)</f>
        <v>1|2|3|4|5|6|7</v>
      </c>
      <c r="C144" s="5">
        <f t="shared" si="17"/>
        <v>100009</v>
      </c>
      <c r="D144" s="5">
        <f t="shared" si="14"/>
        <v>13</v>
      </c>
      <c r="E144" s="5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5">
        <f t="shared" si="16"/>
        <v>10000914</v>
      </c>
      <c r="B145" s="33" t="str">
        <f>_xlfn.XLOOKUP(C145,SkillActive!$A:$A,SkillActive!C:C,,0)</f>
        <v>1|2|3|4|5|6|7</v>
      </c>
      <c r="C145" s="5">
        <f t="shared" si="17"/>
        <v>100009</v>
      </c>
      <c r="D145" s="5">
        <f t="shared" si="14"/>
        <v>14</v>
      </c>
      <c r="E145" s="5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5">
        <f t="shared" si="16"/>
        <v>10000915</v>
      </c>
      <c r="B146" s="33" t="str">
        <f>_xlfn.XLOOKUP(C146,SkillActive!$A:$A,SkillActive!C:C,,0)</f>
        <v>1|2|3|4|5|6|7</v>
      </c>
      <c r="C146" s="5">
        <f t="shared" si="17"/>
        <v>100009</v>
      </c>
      <c r="D146" s="5">
        <f t="shared" si="14"/>
        <v>15</v>
      </c>
      <c r="E146" s="5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5">
        <f t="shared" si="16"/>
        <v>10000916</v>
      </c>
      <c r="B147" s="33" t="str">
        <f>_xlfn.XLOOKUP(C147,SkillActive!$A:$A,SkillActive!C:C,,0)</f>
        <v>1|2|3|4|5|6|7</v>
      </c>
      <c r="C147" s="5">
        <f t="shared" si="17"/>
        <v>100009</v>
      </c>
      <c r="D147" s="5">
        <f t="shared" si="14"/>
        <v>16</v>
      </c>
      <c r="E147" s="5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5">
        <f t="shared" si="16"/>
        <v>10001001</v>
      </c>
      <c r="B148" s="33" t="str">
        <f>_xlfn.XLOOKUP(C148,SkillActive!$A:$A,SkillActive!C:C,,0)</f>
        <v>1|2|3|4|5|6|7</v>
      </c>
      <c r="C148" s="5">
        <f t="shared" si="17"/>
        <v>100010</v>
      </c>
      <c r="D148" s="5">
        <f t="shared" si="14"/>
        <v>1</v>
      </c>
      <c r="E148" s="5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5">
        <f t="shared" si="16"/>
        <v>10001002</v>
      </c>
      <c r="B149" s="33" t="str">
        <f>_xlfn.XLOOKUP(C149,SkillActive!$A:$A,SkillActive!C:C,,0)</f>
        <v>1|2|3|4|5|6|7</v>
      </c>
      <c r="C149" s="5">
        <f t="shared" si="17"/>
        <v>100010</v>
      </c>
      <c r="D149" s="5">
        <f t="shared" si="14"/>
        <v>2</v>
      </c>
      <c r="E149" s="5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5">
        <f t="shared" si="16"/>
        <v>10001003</v>
      </c>
      <c r="B150" s="33" t="str">
        <f>_xlfn.XLOOKUP(C150,SkillActive!$A:$A,SkillActive!C:C,,0)</f>
        <v>1|2|3|4|5|6|7</v>
      </c>
      <c r="C150" s="5">
        <f t="shared" si="17"/>
        <v>100010</v>
      </c>
      <c r="D150" s="5">
        <f t="shared" si="14"/>
        <v>3</v>
      </c>
      <c r="E150" s="5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5">
        <f t="shared" si="16"/>
        <v>10001004</v>
      </c>
      <c r="B151" s="33" t="str">
        <f>_xlfn.XLOOKUP(C151,SkillActive!$A:$A,SkillActive!C:C,,0)</f>
        <v>1|2|3|4|5|6|7</v>
      </c>
      <c r="C151" s="5">
        <f t="shared" si="17"/>
        <v>100010</v>
      </c>
      <c r="D151" s="5">
        <f t="shared" si="14"/>
        <v>4</v>
      </c>
      <c r="E151" s="5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5">
        <f t="shared" si="16"/>
        <v>10001005</v>
      </c>
      <c r="B152" s="33" t="str">
        <f>_xlfn.XLOOKUP(C152,SkillActive!$A:$A,SkillActive!C:C,,0)</f>
        <v>1|2|3|4|5|6|7</v>
      </c>
      <c r="C152" s="5">
        <f t="shared" si="17"/>
        <v>100010</v>
      </c>
      <c r="D152" s="5">
        <f t="shared" si="14"/>
        <v>5</v>
      </c>
      <c r="E152" s="5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5">
        <f t="shared" si="16"/>
        <v>10001006</v>
      </c>
      <c r="B153" s="33" t="str">
        <f>_xlfn.XLOOKUP(C153,SkillActive!$A:$A,SkillActive!C:C,,0)</f>
        <v>1|2|3|4|5|6|7</v>
      </c>
      <c r="C153" s="5">
        <f t="shared" si="17"/>
        <v>100010</v>
      </c>
      <c r="D153" s="5">
        <f t="shared" si="14"/>
        <v>6</v>
      </c>
      <c r="E153" s="5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5">
        <f t="shared" si="16"/>
        <v>10001007</v>
      </c>
      <c r="B154" s="33" t="str">
        <f>_xlfn.XLOOKUP(C154,SkillActive!$A:$A,SkillActive!C:C,,0)</f>
        <v>1|2|3|4|5|6|7</v>
      </c>
      <c r="C154" s="5">
        <f t="shared" si="17"/>
        <v>100010</v>
      </c>
      <c r="D154" s="5">
        <f t="shared" si="14"/>
        <v>7</v>
      </c>
      <c r="E154" s="5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5">
        <f t="shared" si="16"/>
        <v>10001008</v>
      </c>
      <c r="B155" s="33" t="str">
        <f>_xlfn.XLOOKUP(C155,SkillActive!$A:$A,SkillActive!C:C,,0)</f>
        <v>1|2|3|4|5|6|7</v>
      </c>
      <c r="C155" s="5">
        <f t="shared" si="17"/>
        <v>100010</v>
      </c>
      <c r="D155" s="5">
        <f t="shared" si="14"/>
        <v>8</v>
      </c>
      <c r="E155" s="5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5">
        <f t="shared" si="16"/>
        <v>10001009</v>
      </c>
      <c r="B156" s="33" t="str">
        <f>_xlfn.XLOOKUP(C156,SkillActive!$A:$A,SkillActive!C:C,,0)</f>
        <v>1|2|3|4|5|6|7</v>
      </c>
      <c r="C156" s="5">
        <f t="shared" si="17"/>
        <v>100010</v>
      </c>
      <c r="D156" s="5">
        <f t="shared" si="14"/>
        <v>9</v>
      </c>
      <c r="E156" s="5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5">
        <f t="shared" si="16"/>
        <v>10001010</v>
      </c>
      <c r="B157" s="33" t="str">
        <f>_xlfn.XLOOKUP(C157,SkillActive!$A:$A,SkillActive!C:C,,0)</f>
        <v>1|2|3|4|5|6|7</v>
      </c>
      <c r="C157" s="5">
        <f t="shared" si="17"/>
        <v>100010</v>
      </c>
      <c r="D157" s="5">
        <f t="shared" si="14"/>
        <v>10</v>
      </c>
      <c r="E157" s="5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5">
        <f t="shared" si="16"/>
        <v>10001011</v>
      </c>
      <c r="B158" s="33" t="str">
        <f>_xlfn.XLOOKUP(C158,SkillActive!$A:$A,SkillActive!C:C,,0)</f>
        <v>1|2|3|4|5|6|7</v>
      </c>
      <c r="C158" s="5">
        <f t="shared" si="17"/>
        <v>100010</v>
      </c>
      <c r="D158" s="5">
        <f t="shared" si="14"/>
        <v>11</v>
      </c>
      <c r="E158" s="5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5">
        <f t="shared" si="16"/>
        <v>10001012</v>
      </c>
      <c r="B159" s="33" t="str">
        <f>_xlfn.XLOOKUP(C159,SkillActive!$A:$A,SkillActive!C:C,,0)</f>
        <v>1|2|3|4|5|6|7</v>
      </c>
      <c r="C159" s="5">
        <f t="shared" si="17"/>
        <v>100010</v>
      </c>
      <c r="D159" s="5">
        <f t="shared" si="14"/>
        <v>12</v>
      </c>
      <c r="E159" s="5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5">
        <f t="shared" si="16"/>
        <v>10001013</v>
      </c>
      <c r="B160" s="33" t="str">
        <f>_xlfn.XLOOKUP(C160,SkillActive!$A:$A,SkillActive!C:C,,0)</f>
        <v>1|2|3|4|5|6|7</v>
      </c>
      <c r="C160" s="5">
        <f t="shared" si="17"/>
        <v>100010</v>
      </c>
      <c r="D160" s="5">
        <f t="shared" si="14"/>
        <v>13</v>
      </c>
      <c r="E160" s="5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5">
        <f t="shared" si="16"/>
        <v>10001014</v>
      </c>
      <c r="B161" s="33" t="str">
        <f>_xlfn.XLOOKUP(C161,SkillActive!$A:$A,SkillActive!C:C,,0)</f>
        <v>1|2|3|4|5|6|7</v>
      </c>
      <c r="C161" s="5">
        <f t="shared" si="17"/>
        <v>100010</v>
      </c>
      <c r="D161" s="5">
        <f t="shared" si="14"/>
        <v>14</v>
      </c>
      <c r="E161" s="5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5">
        <f t="shared" si="16"/>
        <v>10001015</v>
      </c>
      <c r="B162" s="33" t="str">
        <f>_xlfn.XLOOKUP(C162,SkillActive!$A:$A,SkillActive!C:C,,0)</f>
        <v>1|2|3|4|5|6|7</v>
      </c>
      <c r="C162" s="5">
        <f t="shared" si="17"/>
        <v>100010</v>
      </c>
      <c r="D162" s="5">
        <f t="shared" si="14"/>
        <v>15</v>
      </c>
      <c r="E162" s="5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5">
        <f t="shared" si="16"/>
        <v>10001016</v>
      </c>
      <c r="B163" s="33" t="str">
        <f>_xlfn.XLOOKUP(C163,SkillActive!$A:$A,SkillActive!C:C,,0)</f>
        <v>1|2|3|4|5|6|7</v>
      </c>
      <c r="C163" s="5">
        <f t="shared" si="17"/>
        <v>100010</v>
      </c>
      <c r="D163" s="5">
        <f t="shared" si="14"/>
        <v>16</v>
      </c>
      <c r="E163" s="5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5">
        <f t="shared" ref="A164:A176" si="18">C164*100+D164</f>
        <v>10001101</v>
      </c>
      <c r="B164" s="33" t="str">
        <f>_xlfn.XLOOKUP(C164,SkillActive!$A:$A,SkillActive!C:C,,0)</f>
        <v>1|2|3|4|5|6|7</v>
      </c>
      <c r="C164" s="5">
        <f t="shared" si="17"/>
        <v>100011</v>
      </c>
      <c r="D164" s="5">
        <v>1</v>
      </c>
      <c r="E164" s="5" t="str">
        <f>_xlfn.XLOOKUP(C164,SkillActive!A:A,SkillActive!B:B,,0)</f>
        <v>闪电之捷</v>
      </c>
      <c r="F164">
        <f t="shared" ref="F164:F176" si="19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5">
        <f t="shared" si="18"/>
        <v>10001102</v>
      </c>
      <c r="B165" s="33" t="str">
        <f>_xlfn.XLOOKUP(C165,SkillActive!$A:$A,SkillActive!C:C,,0)</f>
        <v>1|2|3|4|5|6|7</v>
      </c>
      <c r="C165" s="5">
        <f t="shared" ref="C165:C196" si="20">C149+1</f>
        <v>100011</v>
      </c>
      <c r="D165" s="5">
        <v>2</v>
      </c>
      <c r="E165" s="5" t="str">
        <f>_xlfn.XLOOKUP(C165,SkillActive!A:A,SkillActive!B:B,,0)</f>
        <v>闪电之捷</v>
      </c>
      <c r="F165">
        <f t="shared" si="19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5">
        <f t="shared" si="18"/>
        <v>10001103</v>
      </c>
      <c r="B166" s="33" t="str">
        <f>_xlfn.XLOOKUP(C166,SkillActive!$A:$A,SkillActive!C:C,,0)</f>
        <v>1|2|3|4|5|6|7</v>
      </c>
      <c r="C166" s="5">
        <f t="shared" si="20"/>
        <v>100011</v>
      </c>
      <c r="D166" s="5">
        <v>3</v>
      </c>
      <c r="E166" s="5" t="str">
        <f>_xlfn.XLOOKUP(C166,SkillActive!A:A,SkillActive!B:B,,0)</f>
        <v>闪电之捷</v>
      </c>
      <c r="F166">
        <f t="shared" si="19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5">
        <f t="shared" si="18"/>
        <v>10001104</v>
      </c>
      <c r="B167" s="33" t="str">
        <f>_xlfn.XLOOKUP(C167,SkillActive!$A:$A,SkillActive!C:C,,0)</f>
        <v>1|2|3|4|5|6|7</v>
      </c>
      <c r="C167" s="5">
        <f t="shared" si="20"/>
        <v>100011</v>
      </c>
      <c r="D167" s="5">
        <f t="shared" ref="D167:D179" si="21">D23</f>
        <v>4</v>
      </c>
      <c r="E167" s="5" t="str">
        <f>_xlfn.XLOOKUP(C167,SkillActive!A:A,SkillActive!B:B,,0)</f>
        <v>闪电之捷</v>
      </c>
      <c r="F167">
        <f t="shared" si="19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5">
        <f t="shared" si="18"/>
        <v>10001105</v>
      </c>
      <c r="B168" s="33" t="str">
        <f>_xlfn.XLOOKUP(C168,SkillActive!$A:$A,SkillActive!C:C,,0)</f>
        <v>1|2|3|4|5|6|7</v>
      </c>
      <c r="C168" s="5">
        <f t="shared" si="20"/>
        <v>100011</v>
      </c>
      <c r="D168" s="5">
        <f t="shared" si="21"/>
        <v>5</v>
      </c>
      <c r="E168" s="5" t="str">
        <f>_xlfn.XLOOKUP(C168,SkillActive!A:A,SkillActive!B:B,,0)</f>
        <v>闪电之捷</v>
      </c>
      <c r="F168">
        <f t="shared" si="19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5">
        <f t="shared" si="18"/>
        <v>10001106</v>
      </c>
      <c r="B169" s="33" t="str">
        <f>_xlfn.XLOOKUP(C169,SkillActive!$A:$A,SkillActive!C:C,,0)</f>
        <v>1|2|3|4|5|6|7</v>
      </c>
      <c r="C169" s="5">
        <f t="shared" si="20"/>
        <v>100011</v>
      </c>
      <c r="D169" s="5">
        <f t="shared" si="21"/>
        <v>6</v>
      </c>
      <c r="E169" s="5" t="str">
        <f>_xlfn.XLOOKUP(C169,SkillActive!A:A,SkillActive!B:B,,0)</f>
        <v>闪电之捷</v>
      </c>
      <c r="F169">
        <f t="shared" si="19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5">
        <f t="shared" si="18"/>
        <v>10001107</v>
      </c>
      <c r="B170" s="33" t="str">
        <f>_xlfn.XLOOKUP(C170,SkillActive!$A:$A,SkillActive!C:C,,0)</f>
        <v>1|2|3|4|5|6|7</v>
      </c>
      <c r="C170" s="5">
        <f t="shared" si="20"/>
        <v>100011</v>
      </c>
      <c r="D170" s="5">
        <f t="shared" si="21"/>
        <v>7</v>
      </c>
      <c r="E170" s="5" t="str">
        <f>_xlfn.XLOOKUP(C170,SkillActive!A:A,SkillActive!B:B,,0)</f>
        <v>闪电之捷</v>
      </c>
      <c r="F170">
        <f t="shared" si="19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5">
        <f t="shared" si="18"/>
        <v>10001108</v>
      </c>
      <c r="B171" s="33" t="str">
        <f>_xlfn.XLOOKUP(C171,SkillActive!$A:$A,SkillActive!C:C,,0)</f>
        <v>1|2|3|4|5|6|7</v>
      </c>
      <c r="C171" s="5">
        <f t="shared" si="20"/>
        <v>100011</v>
      </c>
      <c r="D171" s="5">
        <f t="shared" si="21"/>
        <v>8</v>
      </c>
      <c r="E171" s="5" t="str">
        <f>_xlfn.XLOOKUP(C171,SkillActive!A:A,SkillActive!B:B,,0)</f>
        <v>闪电之捷</v>
      </c>
      <c r="F171">
        <f t="shared" si="19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5">
        <f t="shared" si="18"/>
        <v>10001109</v>
      </c>
      <c r="B172" s="33" t="str">
        <f>_xlfn.XLOOKUP(C172,SkillActive!$A:$A,SkillActive!C:C,,0)</f>
        <v>1|2|3|4|5|6|7</v>
      </c>
      <c r="C172" s="5">
        <f t="shared" si="20"/>
        <v>100011</v>
      </c>
      <c r="D172" s="5">
        <f t="shared" si="21"/>
        <v>9</v>
      </c>
      <c r="E172" s="5" t="str">
        <f>_xlfn.XLOOKUP(C172,SkillActive!A:A,SkillActive!B:B,,0)</f>
        <v>闪电之捷</v>
      </c>
      <c r="F172">
        <f t="shared" si="19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5">
        <f t="shared" si="18"/>
        <v>10001110</v>
      </c>
      <c r="B173" s="33" t="str">
        <f>_xlfn.XLOOKUP(C173,SkillActive!$A:$A,SkillActive!C:C,,0)</f>
        <v>1|2|3|4|5|6|7</v>
      </c>
      <c r="C173" s="5">
        <f t="shared" si="20"/>
        <v>100011</v>
      </c>
      <c r="D173" s="5">
        <f t="shared" si="21"/>
        <v>10</v>
      </c>
      <c r="E173" s="5" t="str">
        <f>_xlfn.XLOOKUP(C173,SkillActive!A:A,SkillActive!B:B,,0)</f>
        <v>闪电之捷</v>
      </c>
      <c r="F173">
        <f t="shared" si="19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5">
        <f t="shared" si="18"/>
        <v>10001111</v>
      </c>
      <c r="B174" s="33" t="str">
        <f>_xlfn.XLOOKUP(C174,SkillActive!$A:$A,SkillActive!C:C,,0)</f>
        <v>1|2|3|4|5|6|7</v>
      </c>
      <c r="C174" s="5">
        <f t="shared" si="20"/>
        <v>100011</v>
      </c>
      <c r="D174" s="5">
        <f t="shared" si="21"/>
        <v>11</v>
      </c>
      <c r="E174" s="5" t="str">
        <f>_xlfn.XLOOKUP(C174,SkillActive!A:A,SkillActive!B:B,,0)</f>
        <v>闪电之捷</v>
      </c>
      <c r="F174">
        <f t="shared" si="19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5">
        <f t="shared" si="18"/>
        <v>10001112</v>
      </c>
      <c r="B175" s="33" t="str">
        <f>_xlfn.XLOOKUP(C175,SkillActive!$A:$A,SkillActive!C:C,,0)</f>
        <v>1|2|3|4|5|6|7</v>
      </c>
      <c r="C175" s="5">
        <f t="shared" si="20"/>
        <v>100011</v>
      </c>
      <c r="D175" s="5">
        <f t="shared" si="21"/>
        <v>12</v>
      </c>
      <c r="E175" s="5" t="str">
        <f>_xlfn.XLOOKUP(C175,SkillActive!A:A,SkillActive!B:B,,0)</f>
        <v>闪电之捷</v>
      </c>
      <c r="F175">
        <f t="shared" si="19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5">
        <f t="shared" si="18"/>
        <v>10001113</v>
      </c>
      <c r="B176" s="33" t="str">
        <f>_xlfn.XLOOKUP(C176,SkillActive!$A:$A,SkillActive!C:C,,0)</f>
        <v>1|2|3|4|5|6|7</v>
      </c>
      <c r="C176" s="5">
        <f t="shared" si="20"/>
        <v>100011</v>
      </c>
      <c r="D176" s="5">
        <f t="shared" si="21"/>
        <v>13</v>
      </c>
      <c r="E176" s="5" t="str">
        <f>_xlfn.XLOOKUP(C176,SkillActive!A:A,SkillActive!B:B,,0)</f>
        <v>闪电之捷</v>
      </c>
      <c r="F176">
        <f t="shared" si="19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5">
        <f t="shared" ref="A177:A192" si="22">C177*100+D177</f>
        <v>10001114</v>
      </c>
      <c r="B177" s="33" t="str">
        <f>_xlfn.XLOOKUP(C177,SkillActive!$A:$A,SkillActive!C:C,,0)</f>
        <v>1|2|3|4|5|6|7</v>
      </c>
      <c r="C177" s="5">
        <f t="shared" si="20"/>
        <v>100011</v>
      </c>
      <c r="D177" s="5">
        <f t="shared" si="21"/>
        <v>14</v>
      </c>
      <c r="E177" s="5" t="str">
        <f>_xlfn.XLOOKUP(C177,SkillActive!A:A,SkillActive!B:B,,0)</f>
        <v>闪电之捷</v>
      </c>
      <c r="F177">
        <f t="shared" ref="F177:F192" si="23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5">
        <f t="shared" si="22"/>
        <v>10001115</v>
      </c>
      <c r="B178" s="33" t="str">
        <f>_xlfn.XLOOKUP(C178,SkillActive!$A:$A,SkillActive!C:C,,0)</f>
        <v>1|2|3|4|5|6|7</v>
      </c>
      <c r="C178" s="5">
        <f t="shared" si="20"/>
        <v>100011</v>
      </c>
      <c r="D178" s="5">
        <f t="shared" si="21"/>
        <v>15</v>
      </c>
      <c r="E178" s="5" t="str">
        <f>_xlfn.XLOOKUP(C178,SkillActive!A:A,SkillActive!B:B,,0)</f>
        <v>闪电之捷</v>
      </c>
      <c r="F178">
        <f t="shared" si="23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5">
        <f t="shared" si="22"/>
        <v>10001116</v>
      </c>
      <c r="B179" s="33" t="str">
        <f>_xlfn.XLOOKUP(C179,SkillActive!$A:$A,SkillActive!C:C,,0)</f>
        <v>1|2|3|4|5|6|7</v>
      </c>
      <c r="C179" s="5">
        <f t="shared" si="20"/>
        <v>100011</v>
      </c>
      <c r="D179" s="5">
        <f t="shared" si="21"/>
        <v>16</v>
      </c>
      <c r="E179" s="5" t="str">
        <f>_xlfn.XLOOKUP(C179,SkillActive!A:A,SkillActive!B:B,,0)</f>
        <v>闪电之捷</v>
      </c>
      <c r="F179">
        <f t="shared" si="23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5">
        <f t="shared" si="22"/>
        <v>10001201</v>
      </c>
      <c r="B180" s="33" t="str">
        <f>_xlfn.XLOOKUP(C180,SkillActive!$A:$A,SkillActive!C:C,,0)</f>
        <v>1|2|3|4|5|6|7</v>
      </c>
      <c r="C180" s="5">
        <f t="shared" si="20"/>
        <v>100012</v>
      </c>
      <c r="D180" s="5">
        <f>D164</f>
        <v>1</v>
      </c>
      <c r="E180" s="5" t="str">
        <f>_xlfn.XLOOKUP(C180,SkillActive!A:A,SkillActive!B:B,,0)</f>
        <v>拔刀斩</v>
      </c>
      <c r="F180">
        <f t="shared" si="23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5">
        <f t="shared" si="22"/>
        <v>10001202</v>
      </c>
      <c r="B181" s="33" t="str">
        <f>_xlfn.XLOOKUP(C181,SkillActive!$A:$A,SkillActive!C:C,,0)</f>
        <v>1|2|3|4|5|6|7</v>
      </c>
      <c r="C181" s="5">
        <f t="shared" si="20"/>
        <v>100012</v>
      </c>
      <c r="D181" s="5">
        <v>2</v>
      </c>
      <c r="E181" s="5" t="str">
        <f>_xlfn.XLOOKUP(C181,SkillActive!A:A,SkillActive!B:B,,0)</f>
        <v>拔刀斩</v>
      </c>
      <c r="F181">
        <f t="shared" si="23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5">
        <f t="shared" si="22"/>
        <v>10001203</v>
      </c>
      <c r="B182" s="33" t="str">
        <f>_xlfn.XLOOKUP(C182,SkillActive!$A:$A,SkillActive!C:C,,0)</f>
        <v>1|2|3|4|5|6|7</v>
      </c>
      <c r="C182" s="5">
        <f t="shared" si="20"/>
        <v>100012</v>
      </c>
      <c r="D182" s="5">
        <f>D166</f>
        <v>3</v>
      </c>
      <c r="E182" s="5" t="str">
        <f>_xlfn.XLOOKUP(C182,SkillActive!A:A,SkillActive!B:B,,0)</f>
        <v>拔刀斩</v>
      </c>
      <c r="F182">
        <f t="shared" si="23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5">
        <f t="shared" si="22"/>
        <v>10001204</v>
      </c>
      <c r="B183" s="33" t="str">
        <f>_xlfn.XLOOKUP(C183,SkillActive!$A:$A,SkillActive!C:C,,0)</f>
        <v>1|2|3|4|5|6|7</v>
      </c>
      <c r="C183" s="5">
        <f t="shared" si="20"/>
        <v>100012</v>
      </c>
      <c r="D183" s="5">
        <v>4</v>
      </c>
      <c r="E183" s="5" t="str">
        <f>_xlfn.XLOOKUP(C183,SkillActive!A:A,SkillActive!B:B,,0)</f>
        <v>拔刀斩</v>
      </c>
      <c r="F183">
        <f t="shared" si="23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5">
        <f t="shared" si="22"/>
        <v>10001205</v>
      </c>
      <c r="B184" s="33" t="str">
        <f>_xlfn.XLOOKUP(C184,SkillActive!$A:$A,SkillActive!C:C,,0)</f>
        <v>1|2|3|4|5|6|7</v>
      </c>
      <c r="C184" s="5">
        <f t="shared" si="20"/>
        <v>100012</v>
      </c>
      <c r="D184" s="5">
        <f t="shared" ref="D184:D192" si="24">D168</f>
        <v>5</v>
      </c>
      <c r="E184" s="5" t="str">
        <f>_xlfn.XLOOKUP(C184,SkillActive!A:A,SkillActive!B:B,,0)</f>
        <v>拔刀斩</v>
      </c>
      <c r="F184">
        <f t="shared" si="23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5">
        <f t="shared" si="22"/>
        <v>10001206</v>
      </c>
      <c r="B185" s="33" t="str">
        <f>_xlfn.XLOOKUP(C185,SkillActive!$A:$A,SkillActive!C:C,,0)</f>
        <v>1|2|3|4|5|6|7</v>
      </c>
      <c r="C185" s="5">
        <f t="shared" si="20"/>
        <v>100012</v>
      </c>
      <c r="D185" s="5">
        <f t="shared" si="24"/>
        <v>6</v>
      </c>
      <c r="E185" s="5" t="str">
        <f>_xlfn.XLOOKUP(C185,SkillActive!A:A,SkillActive!B:B,,0)</f>
        <v>拔刀斩</v>
      </c>
      <c r="F185">
        <f t="shared" si="23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5">
        <f t="shared" si="22"/>
        <v>10001207</v>
      </c>
      <c r="B186" s="33" t="str">
        <f>_xlfn.XLOOKUP(C186,SkillActive!$A:$A,SkillActive!C:C,,0)</f>
        <v>1|2|3|4|5|6|7</v>
      </c>
      <c r="C186" s="5">
        <f t="shared" si="20"/>
        <v>100012</v>
      </c>
      <c r="D186" s="5">
        <f t="shared" si="24"/>
        <v>7</v>
      </c>
      <c r="E186" s="5" t="str">
        <f>_xlfn.XLOOKUP(C186,SkillActive!A:A,SkillActive!B:B,,0)</f>
        <v>拔刀斩</v>
      </c>
      <c r="F186">
        <f t="shared" si="23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5">
        <f t="shared" si="22"/>
        <v>10001208</v>
      </c>
      <c r="B187" s="33" t="str">
        <f>_xlfn.XLOOKUP(C187,SkillActive!$A:$A,SkillActive!C:C,,0)</f>
        <v>1|2|3|4|5|6|7</v>
      </c>
      <c r="C187" s="5">
        <f t="shared" si="20"/>
        <v>100012</v>
      </c>
      <c r="D187" s="5">
        <f t="shared" si="24"/>
        <v>8</v>
      </c>
      <c r="E187" s="5" t="str">
        <f>_xlfn.XLOOKUP(C187,SkillActive!A:A,SkillActive!B:B,,0)</f>
        <v>拔刀斩</v>
      </c>
      <c r="F187">
        <f t="shared" si="23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5">
        <f t="shared" si="22"/>
        <v>10001209</v>
      </c>
      <c r="B188" s="33" t="str">
        <f>_xlfn.XLOOKUP(C188,SkillActive!$A:$A,SkillActive!C:C,,0)</f>
        <v>1|2|3|4|5|6|7</v>
      </c>
      <c r="C188" s="5">
        <f t="shared" si="20"/>
        <v>100012</v>
      </c>
      <c r="D188" s="5">
        <f t="shared" si="24"/>
        <v>9</v>
      </c>
      <c r="E188" s="5" t="str">
        <f>_xlfn.XLOOKUP(C188,SkillActive!A:A,SkillActive!B:B,,0)</f>
        <v>拔刀斩</v>
      </c>
      <c r="F188">
        <f t="shared" si="23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5">
        <f t="shared" si="22"/>
        <v>10001210</v>
      </c>
      <c r="B189" s="33" t="str">
        <f>_xlfn.XLOOKUP(C189,SkillActive!$A:$A,SkillActive!C:C,,0)</f>
        <v>1|2|3|4|5|6|7</v>
      </c>
      <c r="C189" s="5">
        <f t="shared" si="20"/>
        <v>100012</v>
      </c>
      <c r="D189" s="5">
        <f t="shared" si="24"/>
        <v>10</v>
      </c>
      <c r="E189" s="5" t="str">
        <f>_xlfn.XLOOKUP(C189,SkillActive!A:A,SkillActive!B:B,,0)</f>
        <v>拔刀斩</v>
      </c>
      <c r="F189">
        <f t="shared" si="23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5">
        <f t="shared" si="22"/>
        <v>10001211</v>
      </c>
      <c r="B190" s="33" t="str">
        <f>_xlfn.XLOOKUP(C190,SkillActive!$A:$A,SkillActive!C:C,,0)</f>
        <v>1|2|3|4|5|6|7</v>
      </c>
      <c r="C190" s="5">
        <f t="shared" si="20"/>
        <v>100012</v>
      </c>
      <c r="D190" s="5">
        <f t="shared" si="24"/>
        <v>11</v>
      </c>
      <c r="E190" s="5" t="str">
        <f>_xlfn.XLOOKUP(C190,SkillActive!A:A,SkillActive!B:B,,0)</f>
        <v>拔刀斩</v>
      </c>
      <c r="F190">
        <f t="shared" si="23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5">
        <f t="shared" si="22"/>
        <v>10001212</v>
      </c>
      <c r="B191" s="33" t="str">
        <f>_xlfn.XLOOKUP(C191,SkillActive!$A:$A,SkillActive!C:C,,0)</f>
        <v>1|2|3|4|5|6|7</v>
      </c>
      <c r="C191" s="5">
        <f t="shared" si="20"/>
        <v>100012</v>
      </c>
      <c r="D191" s="5">
        <f t="shared" si="24"/>
        <v>12</v>
      </c>
      <c r="E191" s="5" t="str">
        <f>_xlfn.XLOOKUP(C191,SkillActive!A:A,SkillActive!B:B,,0)</f>
        <v>拔刀斩</v>
      </c>
      <c r="F191">
        <f t="shared" si="23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5">
        <f t="shared" si="22"/>
        <v>10001213</v>
      </c>
      <c r="B192" s="33" t="str">
        <f>_xlfn.XLOOKUP(C192,SkillActive!$A:$A,SkillActive!C:C,,0)</f>
        <v>1|2|3|4|5|6|7</v>
      </c>
      <c r="C192" s="5">
        <f t="shared" si="20"/>
        <v>100012</v>
      </c>
      <c r="D192" s="5">
        <f t="shared" si="24"/>
        <v>13</v>
      </c>
      <c r="E192" s="5" t="str">
        <f>_xlfn.XLOOKUP(C192,SkillActive!A:A,SkillActive!B:B,,0)</f>
        <v>拔刀斩</v>
      </c>
      <c r="F192">
        <f t="shared" si="23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5">
        <f t="shared" ref="A193:A208" si="25">C193*100+D193</f>
        <v>10001214</v>
      </c>
      <c r="B193" s="33" t="str">
        <f>_xlfn.XLOOKUP(C193,SkillActive!$A:$A,SkillActive!C:C,,0)</f>
        <v>1|2|3|4|5|6|7</v>
      </c>
      <c r="C193" s="5">
        <f t="shared" si="20"/>
        <v>100012</v>
      </c>
      <c r="D193" s="5">
        <f t="shared" ref="D193:D208" si="26">D177</f>
        <v>14</v>
      </c>
      <c r="E193" s="5" t="str">
        <f>_xlfn.XLOOKUP(C193,SkillActive!A:A,SkillActive!B:B,,0)</f>
        <v>拔刀斩</v>
      </c>
      <c r="F193">
        <f t="shared" ref="F193:F208" si="27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5">
        <f t="shared" si="25"/>
        <v>10001215</v>
      </c>
      <c r="B194" s="33" t="str">
        <f>_xlfn.XLOOKUP(C194,SkillActive!$A:$A,SkillActive!C:C,,0)</f>
        <v>1|2|3|4|5|6|7</v>
      </c>
      <c r="C194" s="5">
        <f t="shared" si="20"/>
        <v>100012</v>
      </c>
      <c r="D194" s="5">
        <f t="shared" si="26"/>
        <v>15</v>
      </c>
      <c r="E194" s="5" t="str">
        <f>_xlfn.XLOOKUP(C194,SkillActive!A:A,SkillActive!B:B,,0)</f>
        <v>拔刀斩</v>
      </c>
      <c r="F194">
        <f t="shared" si="27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5">
        <f t="shared" si="25"/>
        <v>10001216</v>
      </c>
      <c r="B195" s="33" t="str">
        <f>_xlfn.XLOOKUP(C195,SkillActive!$A:$A,SkillActive!C:C,,0)</f>
        <v>1|2|3|4|5|6|7</v>
      </c>
      <c r="C195" s="5">
        <f t="shared" si="20"/>
        <v>100012</v>
      </c>
      <c r="D195" s="5">
        <f t="shared" si="26"/>
        <v>16</v>
      </c>
      <c r="E195" s="5" t="str">
        <f>_xlfn.XLOOKUP(C195,SkillActive!A:A,SkillActive!B:B,,0)</f>
        <v>拔刀斩</v>
      </c>
      <c r="F195">
        <f t="shared" si="27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5">
        <f t="shared" si="25"/>
        <v>10001301</v>
      </c>
      <c r="B196" s="33" t="str">
        <f>_xlfn.XLOOKUP(C196,SkillActive!$A:$A,SkillActive!C:C,,0)</f>
        <v>1|2|3|4|5|6|7</v>
      </c>
      <c r="C196" s="5">
        <f t="shared" si="20"/>
        <v>100013</v>
      </c>
      <c r="D196" s="5">
        <f t="shared" si="26"/>
        <v>1</v>
      </c>
      <c r="E196" s="5" t="str">
        <f>_xlfn.XLOOKUP(C196,SkillActive!A:A,SkillActive!B:B,,0)</f>
        <v>气刃纵斩</v>
      </c>
      <c r="F196">
        <f t="shared" si="27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5">
        <f t="shared" si="25"/>
        <v>10001302</v>
      </c>
      <c r="B197" s="33" t="str">
        <f>_xlfn.XLOOKUP(C197,SkillActive!$A:$A,SkillActive!C:C,,0)</f>
        <v>1|2|3|4|5|6|7</v>
      </c>
      <c r="C197" s="5">
        <f t="shared" ref="C197:C228" si="28">C181+1</f>
        <v>100013</v>
      </c>
      <c r="D197" s="5">
        <f t="shared" si="26"/>
        <v>2</v>
      </c>
      <c r="E197" s="5" t="str">
        <f>_xlfn.XLOOKUP(C197,SkillActive!A:A,SkillActive!B:B,,0)</f>
        <v>气刃纵斩</v>
      </c>
      <c r="F197">
        <f t="shared" si="27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5">
        <f t="shared" si="25"/>
        <v>10001303</v>
      </c>
      <c r="B198" s="33" t="str">
        <f>_xlfn.XLOOKUP(C198,SkillActive!$A:$A,SkillActive!C:C,,0)</f>
        <v>1|2|3|4|5|6|7</v>
      </c>
      <c r="C198" s="5">
        <f t="shared" si="28"/>
        <v>100013</v>
      </c>
      <c r="D198" s="5">
        <f t="shared" si="26"/>
        <v>3</v>
      </c>
      <c r="E198" s="5" t="str">
        <f>_xlfn.XLOOKUP(C198,SkillActive!A:A,SkillActive!B:B,,0)</f>
        <v>气刃纵斩</v>
      </c>
      <c r="F198">
        <f t="shared" si="27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5">
        <f t="shared" si="25"/>
        <v>10001304</v>
      </c>
      <c r="B199" s="33" t="str">
        <f>_xlfn.XLOOKUP(C199,SkillActive!$A:$A,SkillActive!C:C,,0)</f>
        <v>1|2|3|4|5|6|7</v>
      </c>
      <c r="C199" s="5">
        <f t="shared" si="28"/>
        <v>100013</v>
      </c>
      <c r="D199" s="5">
        <f t="shared" si="26"/>
        <v>4</v>
      </c>
      <c r="E199" s="5" t="str">
        <f>_xlfn.XLOOKUP(C199,SkillActive!A:A,SkillActive!B:B,,0)</f>
        <v>气刃纵斩</v>
      </c>
      <c r="F199">
        <f t="shared" si="27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5">
        <f t="shared" si="25"/>
        <v>10001305</v>
      </c>
      <c r="B200" s="33" t="str">
        <f>_xlfn.XLOOKUP(C200,SkillActive!$A:$A,SkillActive!C:C,,0)</f>
        <v>1|2|3|4|5|6|7</v>
      </c>
      <c r="C200" s="5">
        <f t="shared" si="28"/>
        <v>100013</v>
      </c>
      <c r="D200" s="5">
        <f t="shared" si="26"/>
        <v>5</v>
      </c>
      <c r="E200" s="5" t="str">
        <f>_xlfn.XLOOKUP(C200,SkillActive!A:A,SkillActive!B:B,,0)</f>
        <v>气刃纵斩</v>
      </c>
      <c r="F200">
        <f t="shared" si="27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5">
        <f t="shared" si="25"/>
        <v>10001306</v>
      </c>
      <c r="B201" s="33" t="str">
        <f>_xlfn.XLOOKUP(C201,SkillActive!$A:$A,SkillActive!C:C,,0)</f>
        <v>1|2|3|4|5|6|7</v>
      </c>
      <c r="C201" s="5">
        <f t="shared" si="28"/>
        <v>100013</v>
      </c>
      <c r="D201" s="5">
        <f t="shared" si="26"/>
        <v>6</v>
      </c>
      <c r="E201" s="5" t="str">
        <f>_xlfn.XLOOKUP(C201,SkillActive!A:A,SkillActive!B:B,,0)</f>
        <v>气刃纵斩</v>
      </c>
      <c r="F201">
        <f t="shared" si="27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5">
        <f t="shared" si="25"/>
        <v>10001307</v>
      </c>
      <c r="B202" s="33" t="str">
        <f>_xlfn.XLOOKUP(C202,SkillActive!$A:$A,SkillActive!C:C,,0)</f>
        <v>1|2|3|4|5|6|7</v>
      </c>
      <c r="C202" s="5">
        <f t="shared" si="28"/>
        <v>100013</v>
      </c>
      <c r="D202" s="5">
        <f t="shared" si="26"/>
        <v>7</v>
      </c>
      <c r="E202" s="5" t="str">
        <f>_xlfn.XLOOKUP(C202,SkillActive!A:A,SkillActive!B:B,,0)</f>
        <v>气刃纵斩</v>
      </c>
      <c r="F202">
        <f t="shared" si="27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5">
        <f t="shared" si="25"/>
        <v>10001308</v>
      </c>
      <c r="B203" s="33" t="str">
        <f>_xlfn.XLOOKUP(C203,SkillActive!$A:$A,SkillActive!C:C,,0)</f>
        <v>1|2|3|4|5|6|7</v>
      </c>
      <c r="C203" s="5">
        <f t="shared" si="28"/>
        <v>100013</v>
      </c>
      <c r="D203" s="5">
        <f t="shared" si="26"/>
        <v>8</v>
      </c>
      <c r="E203" s="5" t="str">
        <f>_xlfn.XLOOKUP(C203,SkillActive!A:A,SkillActive!B:B,,0)</f>
        <v>气刃纵斩</v>
      </c>
      <c r="F203">
        <f t="shared" si="27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5">
        <f t="shared" si="25"/>
        <v>10001309</v>
      </c>
      <c r="B204" s="33" t="str">
        <f>_xlfn.XLOOKUP(C204,SkillActive!$A:$A,SkillActive!C:C,,0)</f>
        <v>1|2|3|4|5|6|7</v>
      </c>
      <c r="C204" s="5">
        <f t="shared" si="28"/>
        <v>100013</v>
      </c>
      <c r="D204" s="5">
        <f t="shared" si="26"/>
        <v>9</v>
      </c>
      <c r="E204" s="5" t="str">
        <f>_xlfn.XLOOKUP(C204,SkillActive!A:A,SkillActive!B:B,,0)</f>
        <v>气刃纵斩</v>
      </c>
      <c r="F204">
        <f t="shared" si="27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5">
        <f t="shared" si="25"/>
        <v>10001310</v>
      </c>
      <c r="B205" s="33" t="str">
        <f>_xlfn.XLOOKUP(C205,SkillActive!$A:$A,SkillActive!C:C,,0)</f>
        <v>1|2|3|4|5|6|7</v>
      </c>
      <c r="C205" s="5">
        <f t="shared" si="28"/>
        <v>100013</v>
      </c>
      <c r="D205" s="5">
        <f t="shared" si="26"/>
        <v>10</v>
      </c>
      <c r="E205" s="5" t="str">
        <f>_xlfn.XLOOKUP(C205,SkillActive!A:A,SkillActive!B:B,,0)</f>
        <v>气刃纵斩</v>
      </c>
      <c r="F205">
        <f t="shared" si="27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5">
        <f t="shared" si="25"/>
        <v>10001311</v>
      </c>
      <c r="B206" s="33" t="str">
        <f>_xlfn.XLOOKUP(C206,SkillActive!$A:$A,SkillActive!C:C,,0)</f>
        <v>1|2|3|4|5|6|7</v>
      </c>
      <c r="C206" s="5">
        <f t="shared" si="28"/>
        <v>100013</v>
      </c>
      <c r="D206" s="5">
        <f t="shared" si="26"/>
        <v>11</v>
      </c>
      <c r="E206" s="5" t="str">
        <f>_xlfn.XLOOKUP(C206,SkillActive!A:A,SkillActive!B:B,,0)</f>
        <v>气刃纵斩</v>
      </c>
      <c r="F206">
        <f t="shared" si="27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5">
        <f t="shared" si="25"/>
        <v>10001312</v>
      </c>
      <c r="B207" s="33" t="str">
        <f>_xlfn.XLOOKUP(C207,SkillActive!$A:$A,SkillActive!C:C,,0)</f>
        <v>1|2|3|4|5|6|7</v>
      </c>
      <c r="C207" s="5">
        <f t="shared" si="28"/>
        <v>100013</v>
      </c>
      <c r="D207" s="5">
        <f t="shared" si="26"/>
        <v>12</v>
      </c>
      <c r="E207" s="5" t="str">
        <f>_xlfn.XLOOKUP(C207,SkillActive!A:A,SkillActive!B:B,,0)</f>
        <v>气刃纵斩</v>
      </c>
      <c r="F207">
        <f t="shared" si="27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5">
        <f t="shared" si="25"/>
        <v>10001313</v>
      </c>
      <c r="B208" s="33" t="str">
        <f>_xlfn.XLOOKUP(C208,SkillActive!$A:$A,SkillActive!C:C,,0)</f>
        <v>1|2|3|4|5|6|7</v>
      </c>
      <c r="C208" s="5">
        <f t="shared" si="28"/>
        <v>100013</v>
      </c>
      <c r="D208" s="5">
        <f t="shared" si="26"/>
        <v>13</v>
      </c>
      <c r="E208" s="5" t="str">
        <f>_xlfn.XLOOKUP(C208,SkillActive!A:A,SkillActive!B:B,,0)</f>
        <v>气刃纵斩</v>
      </c>
      <c r="F208">
        <f t="shared" si="27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5">
        <f t="shared" ref="A209:A215" si="29">C209*100+D209</f>
        <v>10001314</v>
      </c>
      <c r="B209" s="33" t="str">
        <f>_xlfn.XLOOKUP(C209,SkillActive!$A:$A,SkillActive!C:C,,0)</f>
        <v>1|2|3|4|5|6|7</v>
      </c>
      <c r="C209" s="5">
        <f t="shared" si="28"/>
        <v>100013</v>
      </c>
      <c r="D209" s="5">
        <f t="shared" ref="D209:D215" si="30">D193</f>
        <v>14</v>
      </c>
      <c r="E209" s="5" t="str">
        <f>_xlfn.XLOOKUP(C209,SkillActive!A:A,SkillActive!B:B,,0)</f>
        <v>气刃纵斩</v>
      </c>
      <c r="F209">
        <f t="shared" ref="F209:F215" si="31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5">
        <f t="shared" si="29"/>
        <v>10001315</v>
      </c>
      <c r="B210" s="33" t="str">
        <f>_xlfn.XLOOKUP(C210,SkillActive!$A:$A,SkillActive!C:C,,0)</f>
        <v>1|2|3|4|5|6|7</v>
      </c>
      <c r="C210" s="5">
        <f t="shared" si="28"/>
        <v>100013</v>
      </c>
      <c r="D210" s="5">
        <f t="shared" si="30"/>
        <v>15</v>
      </c>
      <c r="E210" s="5" t="str">
        <f>_xlfn.XLOOKUP(C210,SkillActive!A:A,SkillActive!B:B,,0)</f>
        <v>气刃纵斩</v>
      </c>
      <c r="F210">
        <f t="shared" si="31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5">
        <f t="shared" si="29"/>
        <v>10001316</v>
      </c>
      <c r="B211" s="33" t="str">
        <f>_xlfn.XLOOKUP(C211,SkillActive!$A:$A,SkillActive!C:C,,0)</f>
        <v>1|2|3|4|5|6|7</v>
      </c>
      <c r="C211" s="5">
        <f t="shared" si="28"/>
        <v>100013</v>
      </c>
      <c r="D211" s="5">
        <f t="shared" si="30"/>
        <v>16</v>
      </c>
      <c r="E211" s="5" t="str">
        <f>_xlfn.XLOOKUP(C211,SkillActive!A:A,SkillActive!B:B,,0)</f>
        <v>气刃纵斩</v>
      </c>
      <c r="F211">
        <f t="shared" si="31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5">
        <f t="shared" si="29"/>
        <v>10001401</v>
      </c>
      <c r="B212" s="33" t="str">
        <f>_xlfn.XLOOKUP(C212,SkillActive!$A:$A,SkillActive!C:C,,0)</f>
        <v>1|2|3|4|5|6|7</v>
      </c>
      <c r="C212" s="5">
        <f t="shared" si="28"/>
        <v>100014</v>
      </c>
      <c r="D212" s="5">
        <f t="shared" si="30"/>
        <v>1</v>
      </c>
      <c r="E212" s="5" t="str">
        <f>_xlfn.XLOOKUP(C212,SkillActive!A:A,SkillActive!B:B,,0)</f>
        <v>回旋龙卷</v>
      </c>
      <c r="F212">
        <f t="shared" si="31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5">
        <f t="shared" si="29"/>
        <v>10001402</v>
      </c>
      <c r="B213" s="33" t="str">
        <f>_xlfn.XLOOKUP(C213,SkillActive!$A:$A,SkillActive!C:C,,0)</f>
        <v>1|2|3|4|5|6|7</v>
      </c>
      <c r="C213" s="5">
        <f t="shared" si="28"/>
        <v>100014</v>
      </c>
      <c r="D213" s="5">
        <f t="shared" si="30"/>
        <v>2</v>
      </c>
      <c r="E213" s="5" t="str">
        <f>_xlfn.XLOOKUP(C213,SkillActive!A:A,SkillActive!B:B,,0)</f>
        <v>回旋龙卷</v>
      </c>
      <c r="F213">
        <f t="shared" si="31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5">
        <f t="shared" si="29"/>
        <v>10001403</v>
      </c>
      <c r="B214" s="33" t="str">
        <f>_xlfn.XLOOKUP(C214,SkillActive!$A:$A,SkillActive!C:C,,0)</f>
        <v>1|2|3|4|5|6|7</v>
      </c>
      <c r="C214" s="5">
        <f t="shared" si="28"/>
        <v>100014</v>
      </c>
      <c r="D214" s="5">
        <f t="shared" si="30"/>
        <v>3</v>
      </c>
      <c r="E214" s="5" t="str">
        <f>_xlfn.XLOOKUP(C214,SkillActive!A:A,SkillActive!B:B,,0)</f>
        <v>回旋龙卷</v>
      </c>
      <c r="F214">
        <f t="shared" si="31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5">
        <f t="shared" si="29"/>
        <v>10001404</v>
      </c>
      <c r="B215" s="33" t="str">
        <f>_xlfn.XLOOKUP(C215,SkillActive!$A:$A,SkillActive!C:C,,0)</f>
        <v>1|2|3|4|5|6|7</v>
      </c>
      <c r="C215" s="5">
        <f t="shared" si="28"/>
        <v>100014</v>
      </c>
      <c r="D215" s="5">
        <f t="shared" si="30"/>
        <v>4</v>
      </c>
      <c r="E215" s="5" t="str">
        <f>_xlfn.XLOOKUP(C215,SkillActive!A:A,SkillActive!B:B,,0)</f>
        <v>回旋龙卷</v>
      </c>
      <c r="F215">
        <f t="shared" si="31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5">
        <f t="shared" ref="A216:A237" si="32">C216*100+D216</f>
        <v>10001405</v>
      </c>
      <c r="B216" s="33" t="str">
        <f>_xlfn.XLOOKUP(C216,SkillActive!$A:$A,SkillActive!C:C,,0)</f>
        <v>1|2|3|4|5|6|7</v>
      </c>
      <c r="C216" s="5">
        <f t="shared" si="28"/>
        <v>100014</v>
      </c>
      <c r="D216" s="5">
        <f t="shared" ref="D216:D243" si="33">D200</f>
        <v>5</v>
      </c>
      <c r="E216" s="5" t="str">
        <f>_xlfn.XLOOKUP(C216,SkillActive!A:A,SkillActive!B:B,,0)</f>
        <v>回旋龙卷</v>
      </c>
      <c r="F216">
        <f t="shared" ref="F216:F237" si="34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5">
        <f t="shared" si="32"/>
        <v>10001406</v>
      </c>
      <c r="B217" s="33" t="str">
        <f>_xlfn.XLOOKUP(C217,SkillActive!$A:$A,SkillActive!C:C,,0)</f>
        <v>1|2|3|4|5|6|7</v>
      </c>
      <c r="C217" s="5">
        <f t="shared" si="28"/>
        <v>100014</v>
      </c>
      <c r="D217" s="5">
        <f t="shared" si="33"/>
        <v>6</v>
      </c>
      <c r="E217" s="5" t="str">
        <f>_xlfn.XLOOKUP(C217,SkillActive!A:A,SkillActive!B:B,,0)</f>
        <v>回旋龙卷</v>
      </c>
      <c r="F217">
        <f t="shared" si="34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5">
        <f t="shared" si="32"/>
        <v>10001407</v>
      </c>
      <c r="B218" s="33" t="str">
        <f>_xlfn.XLOOKUP(C218,SkillActive!$A:$A,SkillActive!C:C,,0)</f>
        <v>1|2|3|4|5|6|7</v>
      </c>
      <c r="C218" s="5">
        <f t="shared" si="28"/>
        <v>100014</v>
      </c>
      <c r="D218" s="5">
        <f t="shared" si="33"/>
        <v>7</v>
      </c>
      <c r="E218" s="5" t="str">
        <f>_xlfn.XLOOKUP(C218,SkillActive!A:A,SkillActive!B:B,,0)</f>
        <v>回旋龙卷</v>
      </c>
      <c r="F218">
        <f t="shared" si="34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5">
        <f t="shared" si="32"/>
        <v>10001408</v>
      </c>
      <c r="B219" s="33" t="str">
        <f>_xlfn.XLOOKUP(C219,SkillActive!$A:$A,SkillActive!C:C,,0)</f>
        <v>1|2|3|4|5|6|7</v>
      </c>
      <c r="C219" s="5">
        <f t="shared" si="28"/>
        <v>100014</v>
      </c>
      <c r="D219" s="5">
        <f t="shared" si="33"/>
        <v>8</v>
      </c>
      <c r="E219" s="5" t="str">
        <f>_xlfn.XLOOKUP(C219,SkillActive!A:A,SkillActive!B:B,,0)</f>
        <v>回旋龙卷</v>
      </c>
      <c r="F219">
        <f t="shared" si="34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5">
        <f t="shared" si="32"/>
        <v>10001409</v>
      </c>
      <c r="B220" s="33" t="str">
        <f>_xlfn.XLOOKUP(C220,SkillActive!$A:$A,SkillActive!C:C,,0)</f>
        <v>1|2|3|4|5|6|7</v>
      </c>
      <c r="C220" s="5">
        <f t="shared" si="28"/>
        <v>100014</v>
      </c>
      <c r="D220" s="5">
        <f t="shared" si="33"/>
        <v>9</v>
      </c>
      <c r="E220" s="5" t="str">
        <f>_xlfn.XLOOKUP(C220,SkillActive!A:A,SkillActive!B:B,,0)</f>
        <v>回旋龙卷</v>
      </c>
      <c r="F220">
        <f t="shared" si="34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5">
        <f t="shared" si="32"/>
        <v>10001410</v>
      </c>
      <c r="B221" s="33" t="str">
        <f>_xlfn.XLOOKUP(C221,SkillActive!$A:$A,SkillActive!C:C,,0)</f>
        <v>1|2|3|4|5|6|7</v>
      </c>
      <c r="C221" s="5">
        <f t="shared" si="28"/>
        <v>100014</v>
      </c>
      <c r="D221" s="5">
        <f t="shared" si="33"/>
        <v>10</v>
      </c>
      <c r="E221" s="5" t="str">
        <f>_xlfn.XLOOKUP(C221,SkillActive!A:A,SkillActive!B:B,,0)</f>
        <v>回旋龙卷</v>
      </c>
      <c r="F221">
        <f t="shared" si="34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5">
        <f t="shared" si="32"/>
        <v>10001411</v>
      </c>
      <c r="B222" s="33" t="str">
        <f>_xlfn.XLOOKUP(C222,SkillActive!$A:$A,SkillActive!C:C,,0)</f>
        <v>1|2|3|4|5|6|7</v>
      </c>
      <c r="C222" s="5">
        <f t="shared" si="28"/>
        <v>100014</v>
      </c>
      <c r="D222" s="5">
        <f t="shared" si="33"/>
        <v>11</v>
      </c>
      <c r="E222" s="5" t="str">
        <f>_xlfn.XLOOKUP(C222,SkillActive!A:A,SkillActive!B:B,,0)</f>
        <v>回旋龙卷</v>
      </c>
      <c r="F222">
        <f t="shared" si="34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5">
        <f t="shared" si="32"/>
        <v>10001412</v>
      </c>
      <c r="B223" s="33" t="str">
        <f>_xlfn.XLOOKUP(C223,SkillActive!$A:$A,SkillActive!C:C,,0)</f>
        <v>1|2|3|4|5|6|7</v>
      </c>
      <c r="C223" s="5">
        <f t="shared" si="28"/>
        <v>100014</v>
      </c>
      <c r="D223" s="5">
        <f t="shared" si="33"/>
        <v>12</v>
      </c>
      <c r="E223" s="5" t="str">
        <f>_xlfn.XLOOKUP(C223,SkillActive!A:A,SkillActive!B:B,,0)</f>
        <v>回旋龙卷</v>
      </c>
      <c r="F223">
        <f t="shared" si="34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5">
        <f t="shared" si="32"/>
        <v>10001413</v>
      </c>
      <c r="B224" s="33" t="str">
        <f>_xlfn.XLOOKUP(C224,SkillActive!$A:$A,SkillActive!C:C,,0)</f>
        <v>1|2|3|4|5|6|7</v>
      </c>
      <c r="C224" s="5">
        <f t="shared" si="28"/>
        <v>100014</v>
      </c>
      <c r="D224" s="5">
        <f t="shared" si="33"/>
        <v>13</v>
      </c>
      <c r="E224" s="5" t="str">
        <f>_xlfn.XLOOKUP(C224,SkillActive!A:A,SkillActive!B:B,,0)</f>
        <v>回旋龙卷</v>
      </c>
      <c r="F224">
        <f t="shared" si="34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5">
        <f t="shared" si="32"/>
        <v>10001414</v>
      </c>
      <c r="B225" s="33" t="str">
        <f>_xlfn.XLOOKUP(C225,SkillActive!$A:$A,SkillActive!C:C,,0)</f>
        <v>1|2|3|4|5|6|7</v>
      </c>
      <c r="C225" s="5">
        <f t="shared" si="28"/>
        <v>100014</v>
      </c>
      <c r="D225" s="5">
        <f t="shared" si="33"/>
        <v>14</v>
      </c>
      <c r="E225" s="5" t="str">
        <f>_xlfn.XLOOKUP(C225,SkillActive!A:A,SkillActive!B:B,,0)</f>
        <v>回旋龙卷</v>
      </c>
      <c r="F225">
        <f t="shared" si="34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5">
        <f t="shared" si="32"/>
        <v>10001415</v>
      </c>
      <c r="B226" s="33" t="str">
        <f>_xlfn.XLOOKUP(C226,SkillActive!$A:$A,SkillActive!C:C,,0)</f>
        <v>1|2|3|4|5|6|7</v>
      </c>
      <c r="C226" s="5">
        <f t="shared" si="28"/>
        <v>100014</v>
      </c>
      <c r="D226" s="5">
        <f t="shared" si="33"/>
        <v>15</v>
      </c>
      <c r="E226" s="5" t="str">
        <f>_xlfn.XLOOKUP(C226,SkillActive!A:A,SkillActive!B:B,,0)</f>
        <v>回旋龙卷</v>
      </c>
      <c r="F226">
        <f t="shared" si="34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5">
        <f t="shared" si="32"/>
        <v>10001416</v>
      </c>
      <c r="B227" s="33" t="str">
        <f>_xlfn.XLOOKUP(C227,SkillActive!$A:$A,SkillActive!C:C,,0)</f>
        <v>1|2|3|4|5|6|7</v>
      </c>
      <c r="C227" s="5">
        <f t="shared" si="28"/>
        <v>100014</v>
      </c>
      <c r="D227" s="5">
        <f t="shared" si="33"/>
        <v>16</v>
      </c>
      <c r="E227" s="5" t="str">
        <f>_xlfn.XLOOKUP(C227,SkillActive!A:A,SkillActive!B:B,,0)</f>
        <v>回旋龙卷</v>
      </c>
      <c r="F227">
        <f t="shared" si="34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5">
        <f t="shared" si="32"/>
        <v>10001501</v>
      </c>
      <c r="B228" s="33">
        <f>_xlfn.XLOOKUP(C228,SkillActive!$A:$A,SkillActive!C:C,,0)</f>
        <v>0</v>
      </c>
      <c r="C228" s="5">
        <f t="shared" si="28"/>
        <v>100015</v>
      </c>
      <c r="D228" s="5">
        <f t="shared" si="33"/>
        <v>1</v>
      </c>
      <c r="E228" s="5" t="str">
        <f>_xlfn.XLOOKUP(C228,SkillActive!A:A,SkillActive!B:B,,0)</f>
        <v>魔力满溢</v>
      </c>
      <c r="F228">
        <f t="shared" si="34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5">
        <f t="shared" si="32"/>
        <v>10001502</v>
      </c>
      <c r="B229" s="33">
        <f>_xlfn.XLOOKUP(C229,SkillActive!$A:$A,SkillActive!C:C,,0)</f>
        <v>0</v>
      </c>
      <c r="C229" s="5">
        <f t="shared" ref="C229:C249" si="35">C213+1</f>
        <v>100015</v>
      </c>
      <c r="D229" s="5">
        <f t="shared" si="33"/>
        <v>2</v>
      </c>
      <c r="E229" s="5" t="str">
        <f>_xlfn.XLOOKUP(C229,SkillActive!A:A,SkillActive!B:B,,0)</f>
        <v>魔力满溢</v>
      </c>
      <c r="F229">
        <f t="shared" si="34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5">
        <f t="shared" si="32"/>
        <v>10001503</v>
      </c>
      <c r="B230" s="33">
        <f>_xlfn.XLOOKUP(C230,SkillActive!$A:$A,SkillActive!C:C,,0)</f>
        <v>0</v>
      </c>
      <c r="C230" s="5">
        <f t="shared" si="35"/>
        <v>100015</v>
      </c>
      <c r="D230" s="5">
        <f t="shared" si="33"/>
        <v>3</v>
      </c>
      <c r="E230" s="5" t="str">
        <f>_xlfn.XLOOKUP(C230,SkillActive!A:A,SkillActive!B:B,,0)</f>
        <v>魔力满溢</v>
      </c>
      <c r="F230">
        <f t="shared" si="34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5">
        <f t="shared" si="32"/>
        <v>10001504</v>
      </c>
      <c r="B231" s="33">
        <f>_xlfn.XLOOKUP(C231,SkillActive!$A:$A,SkillActive!C:C,,0)</f>
        <v>0</v>
      </c>
      <c r="C231" s="5">
        <f t="shared" si="35"/>
        <v>100015</v>
      </c>
      <c r="D231" s="5">
        <f t="shared" si="33"/>
        <v>4</v>
      </c>
      <c r="E231" s="5" t="str">
        <f>_xlfn.XLOOKUP(C231,SkillActive!A:A,SkillActive!B:B,,0)</f>
        <v>魔力满溢</v>
      </c>
      <c r="F231">
        <f t="shared" si="34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5">
        <f t="shared" si="32"/>
        <v>10001505</v>
      </c>
      <c r="B232" s="33">
        <f>_xlfn.XLOOKUP(C232,SkillActive!$A:$A,SkillActive!C:C,,0)</f>
        <v>0</v>
      </c>
      <c r="C232" s="5">
        <f t="shared" si="35"/>
        <v>100015</v>
      </c>
      <c r="D232" s="5">
        <f t="shared" si="33"/>
        <v>5</v>
      </c>
      <c r="E232" s="5" t="str">
        <f>_xlfn.XLOOKUP(C232,SkillActive!A:A,SkillActive!B:B,,0)</f>
        <v>魔力满溢</v>
      </c>
      <c r="F232">
        <f t="shared" si="34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5">
        <f t="shared" si="32"/>
        <v>10001506</v>
      </c>
      <c r="B233" s="33">
        <f>_xlfn.XLOOKUP(C233,SkillActive!$A:$A,SkillActive!C:C,,0)</f>
        <v>0</v>
      </c>
      <c r="C233" s="5">
        <f t="shared" si="35"/>
        <v>100015</v>
      </c>
      <c r="D233" s="5">
        <f t="shared" si="33"/>
        <v>6</v>
      </c>
      <c r="E233" s="5" t="str">
        <f>_xlfn.XLOOKUP(C233,SkillActive!A:A,SkillActive!B:B,,0)</f>
        <v>魔力满溢</v>
      </c>
      <c r="F233">
        <f t="shared" si="34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5">
        <f t="shared" si="32"/>
        <v>10001507</v>
      </c>
      <c r="B234" s="33">
        <f>_xlfn.XLOOKUP(C234,SkillActive!$A:$A,SkillActive!C:C,,0)</f>
        <v>0</v>
      </c>
      <c r="C234" s="5">
        <f t="shared" si="35"/>
        <v>100015</v>
      </c>
      <c r="D234" s="5">
        <f t="shared" si="33"/>
        <v>7</v>
      </c>
      <c r="E234" s="5" t="str">
        <f>_xlfn.XLOOKUP(C234,SkillActive!A:A,SkillActive!B:B,,0)</f>
        <v>魔力满溢</v>
      </c>
      <c r="F234">
        <f t="shared" si="34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5">
        <f t="shared" si="32"/>
        <v>10001508</v>
      </c>
      <c r="B235" s="33">
        <f>_xlfn.XLOOKUP(C235,SkillActive!$A:$A,SkillActive!C:C,,0)</f>
        <v>0</v>
      </c>
      <c r="C235" s="5">
        <f t="shared" si="35"/>
        <v>100015</v>
      </c>
      <c r="D235" s="5">
        <f t="shared" si="33"/>
        <v>8</v>
      </c>
      <c r="E235" s="5" t="str">
        <f>_xlfn.XLOOKUP(C235,SkillActive!A:A,SkillActive!B:B,,0)</f>
        <v>魔力满溢</v>
      </c>
      <c r="F235">
        <f t="shared" si="34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5">
        <f t="shared" si="32"/>
        <v>10001509</v>
      </c>
      <c r="B236" s="33">
        <f>_xlfn.XLOOKUP(C236,SkillActive!$A:$A,SkillActive!C:C,,0)</f>
        <v>0</v>
      </c>
      <c r="C236" s="5">
        <f t="shared" si="35"/>
        <v>100015</v>
      </c>
      <c r="D236" s="5">
        <f t="shared" si="33"/>
        <v>9</v>
      </c>
      <c r="E236" s="5" t="str">
        <f>_xlfn.XLOOKUP(C236,SkillActive!A:A,SkillActive!B:B,,0)</f>
        <v>魔力满溢</v>
      </c>
      <c r="F236">
        <f t="shared" si="34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5">
        <f t="shared" si="32"/>
        <v>10001510</v>
      </c>
      <c r="B237" s="33">
        <f>_xlfn.XLOOKUP(C237,SkillActive!$A:$A,SkillActive!C:C,,0)</f>
        <v>0</v>
      </c>
      <c r="C237" s="5">
        <f t="shared" si="35"/>
        <v>100015</v>
      </c>
      <c r="D237" s="5">
        <f t="shared" si="33"/>
        <v>10</v>
      </c>
      <c r="E237" s="5" t="str">
        <f>_xlfn.XLOOKUP(C237,SkillActive!A:A,SkillActive!B:B,,0)</f>
        <v>魔力满溢</v>
      </c>
      <c r="F237">
        <f t="shared" si="34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5">
        <f t="shared" ref="A238:A243" si="36">C238*100+D238</f>
        <v>10001511</v>
      </c>
      <c r="B238" s="33">
        <f>_xlfn.XLOOKUP(C238,SkillActive!$A:$A,SkillActive!C:C,,0)</f>
        <v>0</v>
      </c>
      <c r="C238" s="5">
        <f t="shared" si="35"/>
        <v>100015</v>
      </c>
      <c r="D238" s="5">
        <f t="shared" si="33"/>
        <v>11</v>
      </c>
      <c r="E238" s="5" t="str">
        <f>_xlfn.XLOOKUP(C238,SkillActive!A:A,SkillActive!B:B,,0)</f>
        <v>魔力满溢</v>
      </c>
      <c r="F238">
        <f t="shared" ref="F238:F243" si="37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5">
        <f t="shared" si="36"/>
        <v>10001512</v>
      </c>
      <c r="B239" s="33">
        <f>_xlfn.XLOOKUP(C239,SkillActive!$A:$A,SkillActive!C:C,,0)</f>
        <v>0</v>
      </c>
      <c r="C239" s="5">
        <f t="shared" si="35"/>
        <v>100015</v>
      </c>
      <c r="D239" s="5">
        <f t="shared" si="33"/>
        <v>12</v>
      </c>
      <c r="E239" s="5" t="str">
        <f>_xlfn.XLOOKUP(C239,SkillActive!A:A,SkillActive!B:B,,0)</f>
        <v>魔力满溢</v>
      </c>
      <c r="F239">
        <f t="shared" si="37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5">
        <f t="shared" si="36"/>
        <v>10001513</v>
      </c>
      <c r="B240" s="33">
        <f>_xlfn.XLOOKUP(C240,SkillActive!$A:$A,SkillActive!C:C,,0)</f>
        <v>0</v>
      </c>
      <c r="C240" s="5">
        <f t="shared" si="35"/>
        <v>100015</v>
      </c>
      <c r="D240" s="5">
        <f t="shared" si="33"/>
        <v>13</v>
      </c>
      <c r="E240" s="5" t="str">
        <f>_xlfn.XLOOKUP(C240,SkillActive!A:A,SkillActive!B:B,,0)</f>
        <v>魔力满溢</v>
      </c>
      <c r="F240">
        <f t="shared" si="37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5">
        <f t="shared" si="36"/>
        <v>10001514</v>
      </c>
      <c r="B241" s="33">
        <f>_xlfn.XLOOKUP(C241,SkillActive!$A:$A,SkillActive!C:C,,0)</f>
        <v>0</v>
      </c>
      <c r="C241" s="5">
        <f t="shared" si="35"/>
        <v>100015</v>
      </c>
      <c r="D241" s="5">
        <f t="shared" si="33"/>
        <v>14</v>
      </c>
      <c r="E241" s="5" t="str">
        <f>_xlfn.XLOOKUP(C241,SkillActive!A:A,SkillActive!B:B,,0)</f>
        <v>魔力满溢</v>
      </c>
      <c r="F241">
        <f t="shared" si="37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5">
        <f t="shared" si="36"/>
        <v>10001515</v>
      </c>
      <c r="B242" s="33">
        <f>_xlfn.XLOOKUP(C242,SkillActive!$A:$A,SkillActive!C:C,,0)</f>
        <v>0</v>
      </c>
      <c r="C242" s="5">
        <f t="shared" si="35"/>
        <v>100015</v>
      </c>
      <c r="D242" s="5">
        <f t="shared" si="33"/>
        <v>15</v>
      </c>
      <c r="E242" s="5" t="str">
        <f>_xlfn.XLOOKUP(C242,SkillActive!A:A,SkillActive!B:B,,0)</f>
        <v>魔力满溢</v>
      </c>
      <c r="F242">
        <f t="shared" si="37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5">
        <f t="shared" si="36"/>
        <v>10001516</v>
      </c>
      <c r="B243" s="33">
        <f>_xlfn.XLOOKUP(C243,SkillActive!$A:$A,SkillActive!C:C,,0)</f>
        <v>0</v>
      </c>
      <c r="C243" s="5">
        <f t="shared" si="35"/>
        <v>100015</v>
      </c>
      <c r="D243" s="5">
        <f t="shared" si="33"/>
        <v>16</v>
      </c>
      <c r="E243" s="5" t="str">
        <f>_xlfn.XLOOKUP(C243,SkillActive!A:A,SkillActive!B:B,,0)</f>
        <v>魔力满溢</v>
      </c>
      <c r="F243">
        <f t="shared" si="37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5">
        <f t="shared" ref="A244:A251" si="38">C244*100+D244</f>
        <v>10001601</v>
      </c>
      <c r="B244" s="33" t="str">
        <f>_xlfn.XLOOKUP(C244,SkillActive!$A:$A,SkillActive!C:C,,0)</f>
        <v>1|2|3|4|5|6|7</v>
      </c>
      <c r="C244" s="5">
        <f t="shared" si="35"/>
        <v>100016</v>
      </c>
      <c r="D244" s="5">
        <v>1</v>
      </c>
      <c r="E244" s="5" t="str">
        <f>_xlfn.XLOOKUP(C244,SkillActive!A:A,SkillActive!B:B,,0)</f>
        <v>灰烬之捷</v>
      </c>
      <c r="F244">
        <f t="shared" ref="F244:F251" si="39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5">
        <f t="shared" si="38"/>
        <v>10001602</v>
      </c>
      <c r="B245" s="33" t="str">
        <f>_xlfn.XLOOKUP(C245,SkillActive!$A:$A,SkillActive!C:C,,0)</f>
        <v>1|2|3|4|5|6|7</v>
      </c>
      <c r="C245" s="5">
        <f t="shared" si="35"/>
        <v>100016</v>
      </c>
      <c r="D245" s="5">
        <v>2</v>
      </c>
      <c r="E245" s="5" t="str">
        <f>_xlfn.XLOOKUP(C245,SkillActive!A:A,SkillActive!B:B,,0)</f>
        <v>灰烬之捷</v>
      </c>
      <c r="F245">
        <f t="shared" si="39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5">
        <f t="shared" si="38"/>
        <v>10001603</v>
      </c>
      <c r="B246" s="33" t="str">
        <f>_xlfn.XLOOKUP(C246,SkillActive!$A:$A,SkillActive!C:C,,0)</f>
        <v>1|2|3|4|5|6|7</v>
      </c>
      <c r="C246" s="5">
        <f t="shared" si="35"/>
        <v>100016</v>
      </c>
      <c r="D246" s="5">
        <v>3</v>
      </c>
      <c r="E246" s="5" t="str">
        <f>_xlfn.XLOOKUP(C246,SkillActive!A:A,SkillActive!B:B,,0)</f>
        <v>灰烬之捷</v>
      </c>
      <c r="F246">
        <f t="shared" si="39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5">
        <f t="shared" si="38"/>
        <v>10001604</v>
      </c>
      <c r="B247" s="33" t="str">
        <f>_xlfn.XLOOKUP(C247,SkillActive!$A:$A,SkillActive!C:C,,0)</f>
        <v>1|2|3|4|5|6|7</v>
      </c>
      <c r="C247" s="5">
        <f t="shared" si="35"/>
        <v>100016</v>
      </c>
      <c r="D247" s="5">
        <v>4</v>
      </c>
      <c r="E247" s="5" t="str">
        <f>_xlfn.XLOOKUP(C247,SkillActive!A:A,SkillActive!B:B,,0)</f>
        <v>灰烬之捷</v>
      </c>
      <c r="F247">
        <f t="shared" si="39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5">
        <f t="shared" si="38"/>
        <v>10001605</v>
      </c>
      <c r="B248" s="33" t="str">
        <f>_xlfn.XLOOKUP(C248,SkillActive!$A:$A,SkillActive!C:C,,0)</f>
        <v>1|2|3|4|5|6|7</v>
      </c>
      <c r="C248" s="5">
        <f t="shared" si="35"/>
        <v>100016</v>
      </c>
      <c r="D248" s="5">
        <v>5</v>
      </c>
      <c r="E248" s="5" t="str">
        <f>_xlfn.XLOOKUP(C248,SkillActive!A:A,SkillActive!B:B,,0)</f>
        <v>灰烬之捷</v>
      </c>
      <c r="F248">
        <f t="shared" si="39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5">
        <f t="shared" si="38"/>
        <v>10001606</v>
      </c>
      <c r="B249" s="33" t="str">
        <f>_xlfn.XLOOKUP(C249,SkillActive!$A:$A,SkillActive!C:C,,0)</f>
        <v>1|2|3|4|5|6|7</v>
      </c>
      <c r="C249" s="5">
        <f t="shared" si="35"/>
        <v>100016</v>
      </c>
      <c r="D249" s="5">
        <v>6</v>
      </c>
      <c r="E249" s="5" t="str">
        <f>_xlfn.XLOOKUP(C249,SkillActive!A:A,SkillActive!B:B,,0)</f>
        <v>灰烬之捷</v>
      </c>
      <c r="F249">
        <f t="shared" si="39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5">
        <f t="shared" si="38"/>
        <v>10001607</v>
      </c>
      <c r="B250" s="33" t="str">
        <f>_xlfn.XLOOKUP(C250,SkillActive!$A:$A,SkillActive!C:C,,0)</f>
        <v>1|2|3|4|5|6|7</v>
      </c>
      <c r="C250" s="5">
        <f t="shared" ref="C250:C313" si="40">C234+1</f>
        <v>100016</v>
      </c>
      <c r="D250" s="5">
        <v>7</v>
      </c>
      <c r="E250" s="5" t="str">
        <f>_xlfn.XLOOKUP(C250,SkillActive!A:A,SkillActive!B:B,,0)</f>
        <v>灰烬之捷</v>
      </c>
      <c r="F250">
        <f t="shared" si="39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5">
        <f t="shared" si="38"/>
        <v>10001608</v>
      </c>
      <c r="B251" s="33" t="str">
        <f>_xlfn.XLOOKUP(C251,SkillActive!$A:$A,SkillActive!C:C,,0)</f>
        <v>1|2|3|4|5|6|7</v>
      </c>
      <c r="C251" s="5">
        <f t="shared" si="40"/>
        <v>100016</v>
      </c>
      <c r="D251" s="5">
        <v>8</v>
      </c>
      <c r="E251" s="5" t="str">
        <f>_xlfn.XLOOKUP(C251,SkillActive!A:A,SkillActive!B:B,,0)</f>
        <v>灰烬之捷</v>
      </c>
      <c r="F251">
        <f t="shared" si="39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5">
        <f t="shared" ref="A252:A270" si="41">C252*100+D252</f>
        <v>10001609</v>
      </c>
      <c r="B252" s="33" t="str">
        <f>_xlfn.XLOOKUP(C252,SkillActive!$A:$A,SkillActive!C:C,,0)</f>
        <v>1|2|3|4|5|6|7</v>
      </c>
      <c r="C252" s="5">
        <f t="shared" si="40"/>
        <v>100016</v>
      </c>
      <c r="D252" s="5">
        <f t="shared" ref="D252:D259" si="42">D172</f>
        <v>9</v>
      </c>
      <c r="E252" s="5" t="str">
        <f>_xlfn.XLOOKUP(C252,SkillActive!A:A,SkillActive!B:B,,0)</f>
        <v>灰烬之捷</v>
      </c>
      <c r="F252">
        <f t="shared" ref="F252:F270" si="43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5">
        <f t="shared" si="41"/>
        <v>10001610</v>
      </c>
      <c r="B253" s="33" t="str">
        <f>_xlfn.XLOOKUP(C253,SkillActive!$A:$A,SkillActive!C:C,,0)</f>
        <v>1|2|3|4|5|6|7</v>
      </c>
      <c r="C253" s="5">
        <f t="shared" si="40"/>
        <v>100016</v>
      </c>
      <c r="D253" s="5">
        <f t="shared" si="42"/>
        <v>10</v>
      </c>
      <c r="E253" s="5" t="str">
        <f>_xlfn.XLOOKUP(C253,SkillActive!A:A,SkillActive!B:B,,0)</f>
        <v>灰烬之捷</v>
      </c>
      <c r="F253">
        <f t="shared" si="43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5">
        <f t="shared" si="41"/>
        <v>10001611</v>
      </c>
      <c r="B254" s="33" t="str">
        <f>_xlfn.XLOOKUP(C254,SkillActive!$A:$A,SkillActive!C:C,,0)</f>
        <v>1|2|3|4|5|6|7</v>
      </c>
      <c r="C254" s="5">
        <f t="shared" si="40"/>
        <v>100016</v>
      </c>
      <c r="D254" s="5">
        <f t="shared" si="42"/>
        <v>11</v>
      </c>
      <c r="E254" s="5" t="str">
        <f>_xlfn.XLOOKUP(C254,SkillActive!A:A,SkillActive!B:B,,0)</f>
        <v>灰烬之捷</v>
      </c>
      <c r="F254">
        <f t="shared" si="43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5">
        <f t="shared" si="41"/>
        <v>10001612</v>
      </c>
      <c r="B255" s="33" t="str">
        <f>_xlfn.XLOOKUP(C255,SkillActive!$A:$A,SkillActive!C:C,,0)</f>
        <v>1|2|3|4|5|6|7</v>
      </c>
      <c r="C255" s="5">
        <f t="shared" si="40"/>
        <v>100016</v>
      </c>
      <c r="D255" s="5">
        <f t="shared" si="42"/>
        <v>12</v>
      </c>
      <c r="E255" s="5" t="str">
        <f>_xlfn.XLOOKUP(C255,SkillActive!A:A,SkillActive!B:B,,0)</f>
        <v>灰烬之捷</v>
      </c>
      <c r="F255">
        <f t="shared" si="43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5">
        <f t="shared" si="41"/>
        <v>10001613</v>
      </c>
      <c r="B256" s="33" t="str">
        <f>_xlfn.XLOOKUP(C256,SkillActive!$A:$A,SkillActive!C:C,,0)</f>
        <v>1|2|3|4|5|6|7</v>
      </c>
      <c r="C256" s="5">
        <f t="shared" si="40"/>
        <v>100016</v>
      </c>
      <c r="D256" s="5">
        <f t="shared" si="42"/>
        <v>13</v>
      </c>
      <c r="E256" s="5" t="str">
        <f>_xlfn.XLOOKUP(C256,SkillActive!A:A,SkillActive!B:B,,0)</f>
        <v>灰烬之捷</v>
      </c>
      <c r="F256">
        <f t="shared" si="43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5">
        <f t="shared" si="41"/>
        <v>10001614</v>
      </c>
      <c r="B257" s="33" t="str">
        <f>_xlfn.XLOOKUP(C257,SkillActive!$A:$A,SkillActive!C:C,,0)</f>
        <v>1|2|3|4|5|6|7</v>
      </c>
      <c r="C257" s="5">
        <f t="shared" si="40"/>
        <v>100016</v>
      </c>
      <c r="D257" s="5">
        <f t="shared" si="42"/>
        <v>14</v>
      </c>
      <c r="E257" s="5" t="str">
        <f>_xlfn.XLOOKUP(C257,SkillActive!A:A,SkillActive!B:B,,0)</f>
        <v>灰烬之捷</v>
      </c>
      <c r="F257">
        <f t="shared" si="43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5">
        <f t="shared" si="41"/>
        <v>10001615</v>
      </c>
      <c r="B258" s="33" t="str">
        <f>_xlfn.XLOOKUP(C258,SkillActive!$A:$A,SkillActive!C:C,,0)</f>
        <v>1|2|3|4|5|6|7</v>
      </c>
      <c r="C258" s="5">
        <f t="shared" si="40"/>
        <v>100016</v>
      </c>
      <c r="D258" s="5">
        <f t="shared" si="42"/>
        <v>15</v>
      </c>
      <c r="E258" s="5" t="str">
        <f>_xlfn.XLOOKUP(C258,SkillActive!A:A,SkillActive!B:B,,0)</f>
        <v>灰烬之捷</v>
      </c>
      <c r="F258">
        <f t="shared" si="43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5">
        <f t="shared" si="41"/>
        <v>10001616</v>
      </c>
      <c r="B259" s="33" t="str">
        <f>_xlfn.XLOOKUP(C259,SkillActive!$A:$A,SkillActive!C:C,,0)</f>
        <v>1|2|3|4|5|6|7</v>
      </c>
      <c r="C259" s="5">
        <f t="shared" si="40"/>
        <v>100016</v>
      </c>
      <c r="D259" s="5">
        <f t="shared" si="42"/>
        <v>16</v>
      </c>
      <c r="E259" s="5" t="str">
        <f>_xlfn.XLOOKUP(C259,SkillActive!A:A,SkillActive!B:B,,0)</f>
        <v>灰烬之捷</v>
      </c>
      <c r="F259">
        <f t="shared" si="43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5">
        <f t="shared" si="41"/>
        <v>10001701</v>
      </c>
      <c r="B260" s="33" t="str">
        <f>_xlfn.XLOOKUP(C260,SkillActive!$A:$A,SkillActive!C:C,,0)</f>
        <v>1|2|3|4|5|6|7</v>
      </c>
      <c r="C260" s="5">
        <f t="shared" si="40"/>
        <v>100017</v>
      </c>
      <c r="D260" s="5">
        <f t="shared" ref="D260:D267" si="44">D244</f>
        <v>1</v>
      </c>
      <c r="E260" s="5" t="str">
        <f>_xlfn.XLOOKUP(C260,SkillActive!A:A,SkillActive!B:B,,0)</f>
        <v>月神赐福</v>
      </c>
      <c r="F260">
        <f t="shared" si="43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5">
        <f t="shared" si="41"/>
        <v>10001702</v>
      </c>
      <c r="B261" s="33" t="str">
        <f>_xlfn.XLOOKUP(C261,SkillActive!$A:$A,SkillActive!C:C,,0)</f>
        <v>1|2|3|4|5|6|7</v>
      </c>
      <c r="C261" s="5">
        <f t="shared" si="40"/>
        <v>100017</v>
      </c>
      <c r="D261" s="5">
        <f t="shared" si="44"/>
        <v>2</v>
      </c>
      <c r="E261" s="5" t="str">
        <f>_xlfn.XLOOKUP(C261,SkillActive!A:A,SkillActive!B:B,,0)</f>
        <v>月神赐福</v>
      </c>
      <c r="F261">
        <f t="shared" si="43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5">
        <f t="shared" si="41"/>
        <v>10001703</v>
      </c>
      <c r="B262" s="33" t="str">
        <f>_xlfn.XLOOKUP(C262,SkillActive!$A:$A,SkillActive!C:C,,0)</f>
        <v>1|2|3|4|5|6|7</v>
      </c>
      <c r="C262" s="5">
        <f t="shared" si="40"/>
        <v>100017</v>
      </c>
      <c r="D262" s="5">
        <f t="shared" si="44"/>
        <v>3</v>
      </c>
      <c r="E262" s="5" t="str">
        <f>_xlfn.XLOOKUP(C262,SkillActive!A:A,SkillActive!B:B,,0)</f>
        <v>月神赐福</v>
      </c>
      <c r="F262">
        <f t="shared" si="43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5">
        <f t="shared" si="41"/>
        <v>10001704</v>
      </c>
      <c r="B263" s="33" t="str">
        <f>_xlfn.XLOOKUP(C263,SkillActive!$A:$A,SkillActive!C:C,,0)</f>
        <v>1|2|3|4|5|6|7</v>
      </c>
      <c r="C263" s="5">
        <f t="shared" si="40"/>
        <v>100017</v>
      </c>
      <c r="D263" s="5">
        <f t="shared" si="44"/>
        <v>4</v>
      </c>
      <c r="E263" s="5" t="str">
        <f>_xlfn.XLOOKUP(C263,SkillActive!A:A,SkillActive!B:B,,0)</f>
        <v>月神赐福</v>
      </c>
      <c r="F263">
        <f t="shared" si="43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5">
        <f t="shared" si="41"/>
        <v>10001705</v>
      </c>
      <c r="B264" s="33" t="str">
        <f>_xlfn.XLOOKUP(C264,SkillActive!$A:$A,SkillActive!C:C,,0)</f>
        <v>1|2|3|4|5|6|7</v>
      </c>
      <c r="C264" s="5">
        <f t="shared" si="40"/>
        <v>100017</v>
      </c>
      <c r="D264" s="5">
        <f t="shared" si="44"/>
        <v>5</v>
      </c>
      <c r="E264" s="5" t="str">
        <f>_xlfn.XLOOKUP(C264,SkillActive!A:A,SkillActive!B:B,,0)</f>
        <v>月神赐福</v>
      </c>
      <c r="F264">
        <f t="shared" si="43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5">
        <f t="shared" si="41"/>
        <v>10001706</v>
      </c>
      <c r="B265" s="33" t="str">
        <f>_xlfn.XLOOKUP(C265,SkillActive!$A:$A,SkillActive!C:C,,0)</f>
        <v>1|2|3|4|5|6|7</v>
      </c>
      <c r="C265" s="5">
        <f t="shared" si="40"/>
        <v>100017</v>
      </c>
      <c r="D265" s="5">
        <f t="shared" si="44"/>
        <v>6</v>
      </c>
      <c r="E265" s="5" t="str">
        <f>_xlfn.XLOOKUP(C265,SkillActive!A:A,SkillActive!B:B,,0)</f>
        <v>月神赐福</v>
      </c>
      <c r="F265">
        <f t="shared" si="43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5">
        <f t="shared" si="41"/>
        <v>10001707</v>
      </c>
      <c r="B266" s="33" t="str">
        <f>_xlfn.XLOOKUP(C266,SkillActive!$A:$A,SkillActive!C:C,,0)</f>
        <v>1|2|3|4|5|6|7</v>
      </c>
      <c r="C266" s="5">
        <f t="shared" si="40"/>
        <v>100017</v>
      </c>
      <c r="D266" s="5">
        <f t="shared" si="44"/>
        <v>7</v>
      </c>
      <c r="E266" s="5" t="str">
        <f>_xlfn.XLOOKUP(C266,SkillActive!A:A,SkillActive!B:B,,0)</f>
        <v>月神赐福</v>
      </c>
      <c r="F266">
        <f t="shared" si="43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5">
        <f t="shared" si="41"/>
        <v>10001708</v>
      </c>
      <c r="B267" s="33" t="str">
        <f>_xlfn.XLOOKUP(C267,SkillActive!$A:$A,SkillActive!C:C,,0)</f>
        <v>1|2|3|4|5|6|7</v>
      </c>
      <c r="C267" s="5">
        <f t="shared" si="40"/>
        <v>100017</v>
      </c>
      <c r="D267" s="5">
        <f t="shared" si="44"/>
        <v>8</v>
      </c>
      <c r="E267" s="5" t="str">
        <f>_xlfn.XLOOKUP(C267,SkillActive!A:A,SkillActive!B:B,,0)</f>
        <v>月神赐福</v>
      </c>
      <c r="F267">
        <f t="shared" si="43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5">
        <f t="shared" si="41"/>
        <v>10001709</v>
      </c>
      <c r="B268" s="33" t="str">
        <f>_xlfn.XLOOKUP(C268,SkillActive!$A:$A,SkillActive!C:C,,0)</f>
        <v>1|2|3|4|5|6|7</v>
      </c>
      <c r="C268" s="5">
        <f t="shared" si="40"/>
        <v>100017</v>
      </c>
      <c r="D268" s="5">
        <f t="shared" ref="D268:D291" si="45">D252</f>
        <v>9</v>
      </c>
      <c r="E268" s="5" t="str">
        <f>_xlfn.XLOOKUP(C268,SkillActive!A:A,SkillActive!B:B,,0)</f>
        <v>月神赐福</v>
      </c>
      <c r="F268">
        <f t="shared" si="43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5">
        <f t="shared" si="41"/>
        <v>10001710</v>
      </c>
      <c r="B269" s="33" t="str">
        <f>_xlfn.XLOOKUP(C269,SkillActive!$A:$A,SkillActive!C:C,,0)</f>
        <v>1|2|3|4|5|6|7</v>
      </c>
      <c r="C269" s="5">
        <f t="shared" si="40"/>
        <v>100017</v>
      </c>
      <c r="D269" s="5">
        <f t="shared" si="45"/>
        <v>10</v>
      </c>
      <c r="E269" s="5" t="str">
        <f>_xlfn.XLOOKUP(C269,SkillActive!A:A,SkillActive!B:B,,0)</f>
        <v>月神赐福</v>
      </c>
      <c r="F269">
        <f t="shared" si="43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5">
        <f t="shared" si="41"/>
        <v>10001711</v>
      </c>
      <c r="B270" s="33" t="str">
        <f>_xlfn.XLOOKUP(C270,SkillActive!$A:$A,SkillActive!C:C,,0)</f>
        <v>1|2|3|4|5|6|7</v>
      </c>
      <c r="C270" s="5">
        <f t="shared" si="40"/>
        <v>100017</v>
      </c>
      <c r="D270" s="5">
        <f t="shared" si="45"/>
        <v>11</v>
      </c>
      <c r="E270" s="5" t="str">
        <f>_xlfn.XLOOKUP(C270,SkillActive!A:A,SkillActive!B:B,,0)</f>
        <v>月神赐福</v>
      </c>
      <c r="F270">
        <f t="shared" si="43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5">
        <f t="shared" ref="A271:A290" si="46">C271*100+D271</f>
        <v>10001712</v>
      </c>
      <c r="B271" s="33" t="str">
        <f>_xlfn.XLOOKUP(C271,SkillActive!$A:$A,SkillActive!C:C,,0)</f>
        <v>1|2|3|4|5|6|7</v>
      </c>
      <c r="C271" s="5">
        <f t="shared" si="40"/>
        <v>100017</v>
      </c>
      <c r="D271" s="5">
        <f t="shared" si="45"/>
        <v>12</v>
      </c>
      <c r="E271" s="5" t="str">
        <f>_xlfn.XLOOKUP(C271,SkillActive!A:A,SkillActive!B:B,,0)</f>
        <v>月神赐福</v>
      </c>
      <c r="F271">
        <f t="shared" ref="F271:F290" si="47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5">
        <f t="shared" si="46"/>
        <v>10001713</v>
      </c>
      <c r="B272" s="33" t="str">
        <f>_xlfn.XLOOKUP(C272,SkillActive!$A:$A,SkillActive!C:C,,0)</f>
        <v>1|2|3|4|5|6|7</v>
      </c>
      <c r="C272" s="5">
        <f t="shared" si="40"/>
        <v>100017</v>
      </c>
      <c r="D272" s="5">
        <f t="shared" si="45"/>
        <v>13</v>
      </c>
      <c r="E272" s="5" t="str">
        <f>_xlfn.XLOOKUP(C272,SkillActive!A:A,SkillActive!B:B,,0)</f>
        <v>月神赐福</v>
      </c>
      <c r="F272">
        <f t="shared" si="47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5">
        <f t="shared" si="46"/>
        <v>10001714</v>
      </c>
      <c r="B273" s="33" t="str">
        <f>_xlfn.XLOOKUP(C273,SkillActive!$A:$A,SkillActive!C:C,,0)</f>
        <v>1|2|3|4|5|6|7</v>
      </c>
      <c r="C273" s="5">
        <f t="shared" si="40"/>
        <v>100017</v>
      </c>
      <c r="D273" s="5">
        <f t="shared" si="45"/>
        <v>14</v>
      </c>
      <c r="E273" s="5" t="str">
        <f>_xlfn.XLOOKUP(C273,SkillActive!A:A,SkillActive!B:B,,0)</f>
        <v>月神赐福</v>
      </c>
      <c r="F273">
        <f t="shared" si="47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5">
        <f t="shared" si="46"/>
        <v>10001715</v>
      </c>
      <c r="B274" s="33" t="str">
        <f>_xlfn.XLOOKUP(C274,SkillActive!$A:$A,SkillActive!C:C,,0)</f>
        <v>1|2|3|4|5|6|7</v>
      </c>
      <c r="C274" s="5">
        <f t="shared" si="40"/>
        <v>100017</v>
      </c>
      <c r="D274" s="5">
        <f t="shared" si="45"/>
        <v>15</v>
      </c>
      <c r="E274" s="5" t="str">
        <f>_xlfn.XLOOKUP(C274,SkillActive!A:A,SkillActive!B:B,,0)</f>
        <v>月神赐福</v>
      </c>
      <c r="F274">
        <f t="shared" si="47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5">
        <f t="shared" si="46"/>
        <v>10001716</v>
      </c>
      <c r="B275" s="33" t="str">
        <f>_xlfn.XLOOKUP(C275,SkillActive!$A:$A,SkillActive!C:C,,0)</f>
        <v>1|2|3|4|5|6|7</v>
      </c>
      <c r="C275" s="5">
        <f t="shared" si="40"/>
        <v>100017</v>
      </c>
      <c r="D275" s="5">
        <f t="shared" si="45"/>
        <v>16</v>
      </c>
      <c r="E275" s="5" t="str">
        <f>_xlfn.XLOOKUP(C275,SkillActive!A:A,SkillActive!B:B,,0)</f>
        <v>月神赐福</v>
      </c>
      <c r="F275">
        <f t="shared" si="47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5">
        <f t="shared" si="46"/>
        <v>10001801</v>
      </c>
      <c r="B276" s="33" t="str">
        <f>_xlfn.XLOOKUP(C276,SkillActive!$A:$A,SkillActive!C:C,,0)</f>
        <v>1|2|3|4|5|6|7</v>
      </c>
      <c r="C276" s="5">
        <f t="shared" si="40"/>
        <v>100018</v>
      </c>
      <c r="D276" s="5">
        <f t="shared" si="45"/>
        <v>1</v>
      </c>
      <c r="E276" s="5" t="str">
        <f>_xlfn.XLOOKUP(C276,SkillActive!A:A,SkillActive!B:B,,0)</f>
        <v>回响</v>
      </c>
      <c r="F276">
        <f t="shared" si="47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5">
        <f t="shared" si="46"/>
        <v>10001802</v>
      </c>
      <c r="B277" s="33" t="str">
        <f>_xlfn.XLOOKUP(C277,SkillActive!$A:$A,SkillActive!C:C,,0)</f>
        <v>1|2|3|4|5|6|7</v>
      </c>
      <c r="C277" s="5">
        <f t="shared" si="40"/>
        <v>100018</v>
      </c>
      <c r="D277" s="5">
        <f t="shared" si="45"/>
        <v>2</v>
      </c>
      <c r="E277" s="5" t="str">
        <f>_xlfn.XLOOKUP(C277,SkillActive!A:A,SkillActive!B:B,,0)</f>
        <v>回响</v>
      </c>
      <c r="F277">
        <f t="shared" si="47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5">
        <f t="shared" si="46"/>
        <v>10001803</v>
      </c>
      <c r="B278" s="33" t="str">
        <f>_xlfn.XLOOKUP(C278,SkillActive!$A:$A,SkillActive!C:C,,0)</f>
        <v>1|2|3|4|5|6|7</v>
      </c>
      <c r="C278" s="5">
        <f t="shared" si="40"/>
        <v>100018</v>
      </c>
      <c r="D278" s="5">
        <f t="shared" si="45"/>
        <v>3</v>
      </c>
      <c r="E278" s="5" t="str">
        <f>_xlfn.XLOOKUP(C278,SkillActive!A:A,SkillActive!B:B,,0)</f>
        <v>回响</v>
      </c>
      <c r="F278">
        <f t="shared" si="47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5">
        <f t="shared" si="46"/>
        <v>10001804</v>
      </c>
      <c r="B279" s="33" t="str">
        <f>_xlfn.XLOOKUP(C279,SkillActive!$A:$A,SkillActive!C:C,,0)</f>
        <v>1|2|3|4|5|6|7</v>
      </c>
      <c r="C279" s="5">
        <f t="shared" si="40"/>
        <v>100018</v>
      </c>
      <c r="D279" s="5">
        <f t="shared" si="45"/>
        <v>4</v>
      </c>
      <c r="E279" s="5" t="str">
        <f>_xlfn.XLOOKUP(C279,SkillActive!A:A,SkillActive!B:B,,0)</f>
        <v>回响</v>
      </c>
      <c r="F279">
        <f t="shared" si="47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5">
        <f t="shared" si="46"/>
        <v>10001805</v>
      </c>
      <c r="B280" s="33" t="str">
        <f>_xlfn.XLOOKUP(C280,SkillActive!$A:$A,SkillActive!C:C,,0)</f>
        <v>1|2|3|4|5|6|7</v>
      </c>
      <c r="C280" s="5">
        <f t="shared" si="40"/>
        <v>100018</v>
      </c>
      <c r="D280" s="5">
        <f t="shared" si="45"/>
        <v>5</v>
      </c>
      <c r="E280" s="5" t="str">
        <f>_xlfn.XLOOKUP(C280,SkillActive!A:A,SkillActive!B:B,,0)</f>
        <v>回响</v>
      </c>
      <c r="F280">
        <f t="shared" si="47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5">
        <f t="shared" si="46"/>
        <v>10001806</v>
      </c>
      <c r="B281" s="33" t="str">
        <f>_xlfn.XLOOKUP(C281,SkillActive!$A:$A,SkillActive!C:C,,0)</f>
        <v>1|2|3|4|5|6|7</v>
      </c>
      <c r="C281" s="5">
        <f t="shared" si="40"/>
        <v>100018</v>
      </c>
      <c r="D281" s="5">
        <f t="shared" si="45"/>
        <v>6</v>
      </c>
      <c r="E281" s="5" t="str">
        <f>_xlfn.XLOOKUP(C281,SkillActive!A:A,SkillActive!B:B,,0)</f>
        <v>回响</v>
      </c>
      <c r="F281">
        <f t="shared" si="47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5">
        <f t="shared" si="46"/>
        <v>10001807</v>
      </c>
      <c r="B282" s="33" t="str">
        <f>_xlfn.XLOOKUP(C282,SkillActive!$A:$A,SkillActive!C:C,,0)</f>
        <v>1|2|3|4|5|6|7</v>
      </c>
      <c r="C282" s="5">
        <f t="shared" si="40"/>
        <v>100018</v>
      </c>
      <c r="D282" s="5">
        <f t="shared" si="45"/>
        <v>7</v>
      </c>
      <c r="E282" s="5" t="str">
        <f>_xlfn.XLOOKUP(C282,SkillActive!A:A,SkillActive!B:B,,0)</f>
        <v>回响</v>
      </c>
      <c r="F282">
        <f t="shared" si="47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5">
        <f t="shared" si="46"/>
        <v>10001808</v>
      </c>
      <c r="B283" s="33" t="str">
        <f>_xlfn.XLOOKUP(C283,SkillActive!$A:$A,SkillActive!C:C,,0)</f>
        <v>1|2|3|4|5|6|7</v>
      </c>
      <c r="C283" s="5">
        <f t="shared" si="40"/>
        <v>100018</v>
      </c>
      <c r="D283" s="5">
        <f t="shared" si="45"/>
        <v>8</v>
      </c>
      <c r="E283" s="5" t="str">
        <f>_xlfn.XLOOKUP(C283,SkillActive!A:A,SkillActive!B:B,,0)</f>
        <v>回响</v>
      </c>
      <c r="F283">
        <f t="shared" si="47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5">
        <f t="shared" si="46"/>
        <v>10001809</v>
      </c>
      <c r="B284" s="33" t="str">
        <f>_xlfn.XLOOKUP(C284,SkillActive!$A:$A,SkillActive!C:C,,0)</f>
        <v>1|2|3|4|5|6|7</v>
      </c>
      <c r="C284" s="5">
        <f t="shared" si="40"/>
        <v>100018</v>
      </c>
      <c r="D284" s="5">
        <f t="shared" si="45"/>
        <v>9</v>
      </c>
      <c r="E284" s="5" t="str">
        <f>_xlfn.XLOOKUP(C284,SkillActive!A:A,SkillActive!B:B,,0)</f>
        <v>回响</v>
      </c>
      <c r="F284">
        <f t="shared" si="47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5">
        <f t="shared" si="46"/>
        <v>10001810</v>
      </c>
      <c r="B285" s="33" t="str">
        <f>_xlfn.XLOOKUP(C285,SkillActive!$A:$A,SkillActive!C:C,,0)</f>
        <v>1|2|3|4|5|6|7</v>
      </c>
      <c r="C285" s="5">
        <f t="shared" si="40"/>
        <v>100018</v>
      </c>
      <c r="D285" s="5">
        <f t="shared" si="45"/>
        <v>10</v>
      </c>
      <c r="E285" s="5" t="str">
        <f>_xlfn.XLOOKUP(C285,SkillActive!A:A,SkillActive!B:B,,0)</f>
        <v>回响</v>
      </c>
      <c r="F285">
        <f t="shared" si="47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5">
        <f t="shared" si="46"/>
        <v>10001811</v>
      </c>
      <c r="B286" s="33" t="str">
        <f>_xlfn.XLOOKUP(C286,SkillActive!$A:$A,SkillActive!C:C,,0)</f>
        <v>1|2|3|4|5|6|7</v>
      </c>
      <c r="C286" s="5">
        <f t="shared" si="40"/>
        <v>100018</v>
      </c>
      <c r="D286" s="5">
        <f t="shared" si="45"/>
        <v>11</v>
      </c>
      <c r="E286" s="5" t="str">
        <f>_xlfn.XLOOKUP(C286,SkillActive!A:A,SkillActive!B:B,,0)</f>
        <v>回响</v>
      </c>
      <c r="F286">
        <f t="shared" si="47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5">
        <f t="shared" si="46"/>
        <v>10001812</v>
      </c>
      <c r="B287" s="33" t="str">
        <f>_xlfn.XLOOKUP(C287,SkillActive!$A:$A,SkillActive!C:C,,0)</f>
        <v>1|2|3|4|5|6|7</v>
      </c>
      <c r="C287" s="5">
        <f t="shared" si="40"/>
        <v>100018</v>
      </c>
      <c r="D287" s="5">
        <f t="shared" si="45"/>
        <v>12</v>
      </c>
      <c r="E287" s="5" t="str">
        <f>_xlfn.XLOOKUP(C287,SkillActive!A:A,SkillActive!B:B,,0)</f>
        <v>回响</v>
      </c>
      <c r="F287">
        <f t="shared" si="47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5">
        <f t="shared" si="46"/>
        <v>10001813</v>
      </c>
      <c r="B288" s="33" t="str">
        <f>_xlfn.XLOOKUP(C288,SkillActive!$A:$A,SkillActive!C:C,,0)</f>
        <v>1|2|3|4|5|6|7</v>
      </c>
      <c r="C288" s="5">
        <f t="shared" si="40"/>
        <v>100018</v>
      </c>
      <c r="D288" s="5">
        <f t="shared" si="45"/>
        <v>13</v>
      </c>
      <c r="E288" s="5" t="str">
        <f>_xlfn.XLOOKUP(C288,SkillActive!A:A,SkillActive!B:B,,0)</f>
        <v>回响</v>
      </c>
      <c r="F288">
        <f t="shared" si="47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5">
        <f t="shared" si="46"/>
        <v>10001814</v>
      </c>
      <c r="B289" s="33" t="str">
        <f>_xlfn.XLOOKUP(C289,SkillActive!$A:$A,SkillActive!C:C,,0)</f>
        <v>1|2|3|4|5|6|7</v>
      </c>
      <c r="C289" s="5">
        <f t="shared" si="40"/>
        <v>100018</v>
      </c>
      <c r="D289" s="5">
        <f t="shared" si="45"/>
        <v>14</v>
      </c>
      <c r="E289" s="5" t="str">
        <f>_xlfn.XLOOKUP(C289,SkillActive!A:A,SkillActive!B:B,,0)</f>
        <v>回响</v>
      </c>
      <c r="F289">
        <f t="shared" si="47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5">
        <f t="shared" si="46"/>
        <v>10001815</v>
      </c>
      <c r="B290" s="33" t="str">
        <f>_xlfn.XLOOKUP(C290,SkillActive!$A:$A,SkillActive!C:C,,0)</f>
        <v>1|2|3|4|5|6|7</v>
      </c>
      <c r="C290" s="5">
        <f t="shared" si="40"/>
        <v>100018</v>
      </c>
      <c r="D290" s="5">
        <f t="shared" si="45"/>
        <v>15</v>
      </c>
      <c r="E290" s="5" t="str">
        <f>_xlfn.XLOOKUP(C290,SkillActive!A:A,SkillActive!B:B,,0)</f>
        <v>回响</v>
      </c>
      <c r="F290">
        <f t="shared" si="47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5">
        <f t="shared" ref="A291:A302" si="48">C291*100+D291</f>
        <v>10001816</v>
      </c>
      <c r="B291" s="33" t="str">
        <f>_xlfn.XLOOKUP(C291,SkillActive!$A:$A,SkillActive!C:C,,0)</f>
        <v>1|2|3|4|5|6|7</v>
      </c>
      <c r="C291" s="5">
        <f t="shared" si="40"/>
        <v>100018</v>
      </c>
      <c r="D291" s="5">
        <f t="shared" si="45"/>
        <v>16</v>
      </c>
      <c r="E291" s="5" t="str">
        <f>_xlfn.XLOOKUP(C291,SkillActive!A:A,SkillActive!B:B,,0)</f>
        <v>回响</v>
      </c>
      <c r="F291">
        <f t="shared" ref="F291:F302" si="49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5">
        <f t="shared" si="48"/>
        <v>10001901</v>
      </c>
      <c r="B292" s="33" t="str">
        <f>_xlfn.XLOOKUP(C292,SkillActive!$A:$A,SkillActive!C:C,,0)</f>
        <v>1|2|3|4|5|6|7</v>
      </c>
      <c r="C292" s="5">
        <f t="shared" si="40"/>
        <v>100019</v>
      </c>
      <c r="D292" s="5">
        <f t="shared" ref="D292:D299" si="50">D260</f>
        <v>1</v>
      </c>
      <c r="E292" s="5" t="str">
        <f>_xlfn.XLOOKUP(C292,SkillActive!A:A,SkillActive!B:B,,0)</f>
        <v>极地战吼</v>
      </c>
      <c r="F292">
        <f t="shared" si="49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5">
        <f t="shared" si="48"/>
        <v>10001902</v>
      </c>
      <c r="B293" s="33" t="str">
        <f>_xlfn.XLOOKUP(C293,SkillActive!$A:$A,SkillActive!C:C,,0)</f>
        <v>1|2|3|4|5|6|7</v>
      </c>
      <c r="C293" s="5">
        <f t="shared" si="40"/>
        <v>100019</v>
      </c>
      <c r="D293" s="5">
        <f t="shared" si="50"/>
        <v>2</v>
      </c>
      <c r="E293" s="5" t="str">
        <f>_xlfn.XLOOKUP(C293,SkillActive!A:A,SkillActive!B:B,,0)</f>
        <v>极地战吼</v>
      </c>
      <c r="F293">
        <f t="shared" si="49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5">
        <f t="shared" si="48"/>
        <v>10001903</v>
      </c>
      <c r="B294" s="33" t="str">
        <f>_xlfn.XLOOKUP(C294,SkillActive!$A:$A,SkillActive!C:C,,0)</f>
        <v>1|2|3|4|5|6|7</v>
      </c>
      <c r="C294" s="5">
        <f t="shared" si="40"/>
        <v>100019</v>
      </c>
      <c r="D294" s="5">
        <f t="shared" si="50"/>
        <v>3</v>
      </c>
      <c r="E294" s="5" t="str">
        <f>_xlfn.XLOOKUP(C294,SkillActive!A:A,SkillActive!B:B,,0)</f>
        <v>极地战吼</v>
      </c>
      <c r="F294">
        <f t="shared" si="49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5">
        <f t="shared" si="48"/>
        <v>10001904</v>
      </c>
      <c r="B295" s="33" t="str">
        <f>_xlfn.XLOOKUP(C295,SkillActive!$A:$A,SkillActive!C:C,,0)</f>
        <v>1|2|3|4|5|6|7</v>
      </c>
      <c r="C295" s="5">
        <f t="shared" si="40"/>
        <v>100019</v>
      </c>
      <c r="D295" s="5">
        <f t="shared" si="50"/>
        <v>4</v>
      </c>
      <c r="E295" s="5" t="str">
        <f>_xlfn.XLOOKUP(C295,SkillActive!A:A,SkillActive!B:B,,0)</f>
        <v>极地战吼</v>
      </c>
      <c r="F295">
        <f t="shared" si="49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5">
        <f t="shared" si="48"/>
        <v>10001905</v>
      </c>
      <c r="B296" s="33" t="str">
        <f>_xlfn.XLOOKUP(C296,SkillActive!$A:$A,SkillActive!C:C,,0)</f>
        <v>1|2|3|4|5|6|7</v>
      </c>
      <c r="C296" s="5">
        <f t="shared" si="40"/>
        <v>100019</v>
      </c>
      <c r="D296" s="5">
        <f t="shared" si="50"/>
        <v>5</v>
      </c>
      <c r="E296" s="5" t="str">
        <f>_xlfn.XLOOKUP(C296,SkillActive!A:A,SkillActive!B:B,,0)</f>
        <v>极地战吼</v>
      </c>
      <c r="F296">
        <f t="shared" si="49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5">
        <f t="shared" si="48"/>
        <v>10001906</v>
      </c>
      <c r="B297" s="33" t="str">
        <f>_xlfn.XLOOKUP(C297,SkillActive!$A:$A,SkillActive!C:C,,0)</f>
        <v>1|2|3|4|5|6|7</v>
      </c>
      <c r="C297" s="5">
        <f t="shared" si="40"/>
        <v>100019</v>
      </c>
      <c r="D297" s="5">
        <f t="shared" si="50"/>
        <v>6</v>
      </c>
      <c r="E297" s="5" t="str">
        <f>_xlfn.XLOOKUP(C297,SkillActive!A:A,SkillActive!B:B,,0)</f>
        <v>极地战吼</v>
      </c>
      <c r="F297">
        <f t="shared" si="49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5">
        <f t="shared" si="48"/>
        <v>10001907</v>
      </c>
      <c r="B298" s="33" t="str">
        <f>_xlfn.XLOOKUP(C298,SkillActive!$A:$A,SkillActive!C:C,,0)</f>
        <v>1|2|3|4|5|6|7</v>
      </c>
      <c r="C298" s="5">
        <f t="shared" si="40"/>
        <v>100019</v>
      </c>
      <c r="D298" s="5">
        <f t="shared" si="50"/>
        <v>7</v>
      </c>
      <c r="E298" s="5" t="str">
        <f>_xlfn.XLOOKUP(C298,SkillActive!A:A,SkillActive!B:B,,0)</f>
        <v>极地战吼</v>
      </c>
      <c r="F298">
        <f t="shared" si="49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5">
        <f t="shared" si="48"/>
        <v>10001908</v>
      </c>
      <c r="B299" s="33" t="str">
        <f>_xlfn.XLOOKUP(C299,SkillActive!$A:$A,SkillActive!C:C,,0)</f>
        <v>1|2|3|4|5|6|7</v>
      </c>
      <c r="C299" s="5">
        <f t="shared" si="40"/>
        <v>100019</v>
      </c>
      <c r="D299" s="5">
        <f t="shared" si="50"/>
        <v>8</v>
      </c>
      <c r="E299" s="5" t="str">
        <f>_xlfn.XLOOKUP(C299,SkillActive!A:A,SkillActive!B:B,,0)</f>
        <v>极地战吼</v>
      </c>
      <c r="F299">
        <f t="shared" si="49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5">
        <f t="shared" si="48"/>
        <v>10001909</v>
      </c>
      <c r="B300" s="33" t="str">
        <f>_xlfn.XLOOKUP(C300,SkillActive!$A:$A,SkillActive!C:C,,0)</f>
        <v>1|2|3|4|5|6|7</v>
      </c>
      <c r="C300" s="5">
        <f t="shared" si="40"/>
        <v>100019</v>
      </c>
      <c r="D300" s="5">
        <f t="shared" ref="D300:D307" si="51">D268</f>
        <v>9</v>
      </c>
      <c r="E300" s="5" t="str">
        <f>_xlfn.XLOOKUP(C300,SkillActive!A:A,SkillActive!B:B,,0)</f>
        <v>极地战吼</v>
      </c>
      <c r="F300">
        <f t="shared" si="49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5">
        <f t="shared" si="48"/>
        <v>10001910</v>
      </c>
      <c r="B301" s="33" t="str">
        <f>_xlfn.XLOOKUP(C301,SkillActive!$A:$A,SkillActive!C:C,,0)</f>
        <v>1|2|3|4|5|6|7</v>
      </c>
      <c r="C301" s="5">
        <f t="shared" si="40"/>
        <v>100019</v>
      </c>
      <c r="D301" s="5">
        <f t="shared" si="51"/>
        <v>10</v>
      </c>
      <c r="E301" s="5" t="str">
        <f>_xlfn.XLOOKUP(C301,SkillActive!A:A,SkillActive!B:B,,0)</f>
        <v>极地战吼</v>
      </c>
      <c r="F301">
        <f t="shared" si="49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5">
        <f t="shared" si="48"/>
        <v>10001911</v>
      </c>
      <c r="B302" s="33" t="str">
        <f>_xlfn.XLOOKUP(C302,SkillActive!$A:$A,SkillActive!C:C,,0)</f>
        <v>1|2|3|4|5|6|7</v>
      </c>
      <c r="C302" s="5">
        <f t="shared" si="40"/>
        <v>100019</v>
      </c>
      <c r="D302" s="5">
        <f t="shared" si="51"/>
        <v>11</v>
      </c>
      <c r="E302" s="5" t="str">
        <f>_xlfn.XLOOKUP(C302,SkillActive!A:A,SkillActive!B:B,,0)</f>
        <v>极地战吼</v>
      </c>
      <c r="F302">
        <f t="shared" si="49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5">
        <f t="shared" ref="A303:A318" si="52">C303*100+D303</f>
        <v>10001912</v>
      </c>
      <c r="B303" s="33" t="str">
        <f>_xlfn.XLOOKUP(C303,SkillActive!$A:$A,SkillActive!C:C,,0)</f>
        <v>1|2|3|4|5|6|7</v>
      </c>
      <c r="C303" s="5">
        <f t="shared" si="40"/>
        <v>100019</v>
      </c>
      <c r="D303" s="5">
        <f t="shared" si="51"/>
        <v>12</v>
      </c>
      <c r="E303" s="5" t="str">
        <f>_xlfn.XLOOKUP(C303,SkillActive!A:A,SkillActive!B:B,,0)</f>
        <v>极地战吼</v>
      </c>
      <c r="F303">
        <f t="shared" ref="F303:F318" si="53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5">
        <f t="shared" si="52"/>
        <v>10001913</v>
      </c>
      <c r="B304" s="33" t="str">
        <f>_xlfn.XLOOKUP(C304,SkillActive!$A:$A,SkillActive!C:C,,0)</f>
        <v>1|2|3|4|5|6|7</v>
      </c>
      <c r="C304" s="5">
        <f t="shared" si="40"/>
        <v>100019</v>
      </c>
      <c r="D304" s="5">
        <f t="shared" si="51"/>
        <v>13</v>
      </c>
      <c r="E304" s="5" t="str">
        <f>_xlfn.XLOOKUP(C304,SkillActive!A:A,SkillActive!B:B,,0)</f>
        <v>极地战吼</v>
      </c>
      <c r="F304">
        <f t="shared" si="53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5">
        <f t="shared" si="52"/>
        <v>10001914</v>
      </c>
      <c r="B305" s="33" t="str">
        <f>_xlfn.XLOOKUP(C305,SkillActive!$A:$A,SkillActive!C:C,,0)</f>
        <v>1|2|3|4|5|6|7</v>
      </c>
      <c r="C305" s="5">
        <f t="shared" si="40"/>
        <v>100019</v>
      </c>
      <c r="D305" s="5">
        <f t="shared" si="51"/>
        <v>14</v>
      </c>
      <c r="E305" s="5" t="str">
        <f>_xlfn.XLOOKUP(C305,SkillActive!A:A,SkillActive!B:B,,0)</f>
        <v>极地战吼</v>
      </c>
      <c r="F305">
        <f t="shared" si="53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5">
        <f t="shared" si="52"/>
        <v>10001915</v>
      </c>
      <c r="B306" s="33" t="str">
        <f>_xlfn.XLOOKUP(C306,SkillActive!$A:$A,SkillActive!C:C,,0)</f>
        <v>1|2|3|4|5|6|7</v>
      </c>
      <c r="C306" s="5">
        <f t="shared" si="40"/>
        <v>100019</v>
      </c>
      <c r="D306" s="5">
        <f t="shared" si="51"/>
        <v>15</v>
      </c>
      <c r="E306" s="5" t="str">
        <f>_xlfn.XLOOKUP(C306,SkillActive!A:A,SkillActive!B:B,,0)</f>
        <v>极地战吼</v>
      </c>
      <c r="F306">
        <f t="shared" si="53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5">
        <f t="shared" si="52"/>
        <v>10001916</v>
      </c>
      <c r="B307" s="33" t="str">
        <f>_xlfn.XLOOKUP(C307,SkillActive!$A:$A,SkillActive!C:C,,0)</f>
        <v>1|2|3|4|5|6|7</v>
      </c>
      <c r="C307" s="5">
        <f t="shared" si="40"/>
        <v>100019</v>
      </c>
      <c r="D307" s="5">
        <f t="shared" si="51"/>
        <v>16</v>
      </c>
      <c r="E307" s="5" t="str">
        <f>_xlfn.XLOOKUP(C307,SkillActive!A:A,SkillActive!B:B,,0)</f>
        <v>极地战吼</v>
      </c>
      <c r="F307">
        <f t="shared" si="53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5">
        <f t="shared" si="52"/>
        <v>10002001</v>
      </c>
      <c r="B308" s="33" t="str">
        <f>_xlfn.XLOOKUP(C308,SkillActive!$A:$A,SkillActive!C:C,,0)</f>
        <v>1|2|3|4|5|6|7</v>
      </c>
      <c r="C308" s="5">
        <f t="shared" si="40"/>
        <v>100020</v>
      </c>
      <c r="D308" s="5">
        <v>1</v>
      </c>
      <c r="E308" s="5" t="str">
        <f>_xlfn.XLOOKUP(C308,SkillActive!A:A,SkillActive!B:B,,0)</f>
        <v>冰霜之捷</v>
      </c>
      <c r="F308">
        <f t="shared" si="53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5">
        <f t="shared" si="52"/>
        <v>10002002</v>
      </c>
      <c r="B309" s="33" t="str">
        <f>_xlfn.XLOOKUP(C309,SkillActive!$A:$A,SkillActive!C:C,,0)</f>
        <v>1|2|3|4|5|6|7</v>
      </c>
      <c r="C309" s="5">
        <f t="shared" si="40"/>
        <v>100020</v>
      </c>
      <c r="D309" s="5">
        <v>2</v>
      </c>
      <c r="E309" s="5" t="str">
        <f>_xlfn.XLOOKUP(C309,SkillActive!A:A,SkillActive!B:B,,0)</f>
        <v>冰霜之捷</v>
      </c>
      <c r="F309">
        <f t="shared" si="53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5">
        <f t="shared" si="52"/>
        <v>10002003</v>
      </c>
      <c r="B310" s="33" t="str">
        <f>_xlfn.XLOOKUP(C310,SkillActive!$A:$A,SkillActive!C:C,,0)</f>
        <v>1|2|3|4|5|6|7</v>
      </c>
      <c r="C310" s="5">
        <f t="shared" si="40"/>
        <v>100020</v>
      </c>
      <c r="D310" s="5">
        <v>3</v>
      </c>
      <c r="E310" s="5" t="str">
        <f>_xlfn.XLOOKUP(C310,SkillActive!A:A,SkillActive!B:B,,0)</f>
        <v>冰霜之捷</v>
      </c>
      <c r="F310">
        <f t="shared" si="53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5">
        <f t="shared" si="52"/>
        <v>10002004</v>
      </c>
      <c r="B311" s="33" t="str">
        <f>_xlfn.XLOOKUP(C311,SkillActive!$A:$A,SkillActive!C:C,,0)</f>
        <v>1|2|3|4|5|6|7</v>
      </c>
      <c r="C311" s="5">
        <f t="shared" si="40"/>
        <v>100020</v>
      </c>
      <c r="D311" s="5">
        <v>4</v>
      </c>
      <c r="E311" s="5" t="str">
        <f>_xlfn.XLOOKUP(C311,SkillActive!A:A,SkillActive!B:B,,0)</f>
        <v>冰霜之捷</v>
      </c>
      <c r="F311">
        <f t="shared" si="53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5">
        <f t="shared" si="52"/>
        <v>10002005</v>
      </c>
      <c r="B312" s="33" t="str">
        <f>_xlfn.XLOOKUP(C312,SkillActive!$A:$A,SkillActive!C:C,,0)</f>
        <v>1|2|3|4|5|6|7</v>
      </c>
      <c r="C312" s="5">
        <f t="shared" si="40"/>
        <v>100020</v>
      </c>
      <c r="D312" s="5">
        <v>5</v>
      </c>
      <c r="E312" s="5" t="str">
        <f>_xlfn.XLOOKUP(C312,SkillActive!A:A,SkillActive!B:B,,0)</f>
        <v>冰霜之捷</v>
      </c>
      <c r="F312">
        <f t="shared" si="53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5">
        <f t="shared" si="52"/>
        <v>10002006</v>
      </c>
      <c r="B313" s="33" t="str">
        <f>_xlfn.XLOOKUP(C313,SkillActive!$A:$A,SkillActive!C:C,,0)</f>
        <v>1|2|3|4|5|6|7</v>
      </c>
      <c r="C313" s="5">
        <f t="shared" si="40"/>
        <v>100020</v>
      </c>
      <c r="D313" s="5">
        <v>6</v>
      </c>
      <c r="E313" s="5" t="str">
        <f>_xlfn.XLOOKUP(C313,SkillActive!A:A,SkillActive!B:B,,0)</f>
        <v>冰霜之捷</v>
      </c>
      <c r="F313">
        <f t="shared" si="53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5">
        <f t="shared" si="52"/>
        <v>10002007</v>
      </c>
      <c r="B314" s="33" t="str">
        <f>_xlfn.XLOOKUP(C314,SkillActive!$A:$A,SkillActive!C:C,,0)</f>
        <v>1|2|3|4|5|6|7</v>
      </c>
      <c r="C314" s="5">
        <f t="shared" ref="C314:C377" si="54">C298+1</f>
        <v>100020</v>
      </c>
      <c r="D314" s="5">
        <v>7</v>
      </c>
      <c r="E314" s="5" t="str">
        <f>_xlfn.XLOOKUP(C314,SkillActive!A:A,SkillActive!B:B,,0)</f>
        <v>冰霜之捷</v>
      </c>
      <c r="F314">
        <f t="shared" si="53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5">
        <f t="shared" si="52"/>
        <v>10002008</v>
      </c>
      <c r="B315" s="33" t="str">
        <f>_xlfn.XLOOKUP(C315,SkillActive!$A:$A,SkillActive!C:C,,0)</f>
        <v>1|2|3|4|5|6|7</v>
      </c>
      <c r="C315" s="5">
        <f t="shared" si="54"/>
        <v>100020</v>
      </c>
      <c r="D315" s="5">
        <v>8</v>
      </c>
      <c r="E315" s="5" t="str">
        <f>_xlfn.XLOOKUP(C315,SkillActive!A:A,SkillActive!B:B,,0)</f>
        <v>冰霜之捷</v>
      </c>
      <c r="F315">
        <f t="shared" si="53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5">
        <f t="shared" si="52"/>
        <v>10002009</v>
      </c>
      <c r="B316" s="33" t="str">
        <f>_xlfn.XLOOKUP(C316,SkillActive!$A:$A,SkillActive!C:C,,0)</f>
        <v>1|2|3|4|5|6|7</v>
      </c>
      <c r="C316" s="5">
        <f t="shared" si="54"/>
        <v>100020</v>
      </c>
      <c r="D316" s="5">
        <f t="shared" ref="D314:D323" si="55">D252</f>
        <v>9</v>
      </c>
      <c r="E316" s="5" t="str">
        <f>_xlfn.XLOOKUP(C316,SkillActive!A:A,SkillActive!B:B,,0)</f>
        <v>冰霜之捷</v>
      </c>
      <c r="F316">
        <f t="shared" si="53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5">
        <f t="shared" si="52"/>
        <v>10002010</v>
      </c>
      <c r="B317" s="33" t="str">
        <f>_xlfn.XLOOKUP(C317,SkillActive!$A:$A,SkillActive!C:C,,0)</f>
        <v>1|2|3|4|5|6|7</v>
      </c>
      <c r="C317" s="5">
        <f t="shared" si="54"/>
        <v>100020</v>
      </c>
      <c r="D317" s="5">
        <f t="shared" si="55"/>
        <v>10</v>
      </c>
      <c r="E317" s="5" t="str">
        <f>_xlfn.XLOOKUP(C317,SkillActive!A:A,SkillActive!B:B,,0)</f>
        <v>冰霜之捷</v>
      </c>
      <c r="F317">
        <f t="shared" si="53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5">
        <f t="shared" si="52"/>
        <v>10002011</v>
      </c>
      <c r="B318" s="33" t="str">
        <f>_xlfn.XLOOKUP(C318,SkillActive!$A:$A,SkillActive!C:C,,0)</f>
        <v>1|2|3|4|5|6|7</v>
      </c>
      <c r="C318" s="5">
        <f t="shared" si="54"/>
        <v>100020</v>
      </c>
      <c r="D318" s="5">
        <f t="shared" si="55"/>
        <v>11</v>
      </c>
      <c r="E318" s="5" t="str">
        <f>_xlfn.XLOOKUP(C318,SkillActive!A:A,SkillActive!B:B,,0)</f>
        <v>冰霜之捷</v>
      </c>
      <c r="F318">
        <f t="shared" si="53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5">
        <f t="shared" ref="A319:A334" si="56">C319*100+D319</f>
        <v>10002012</v>
      </c>
      <c r="B319" s="33" t="str">
        <f>_xlfn.XLOOKUP(C319,SkillActive!$A:$A,SkillActive!C:C,,0)</f>
        <v>1|2|3|4|5|6|7</v>
      </c>
      <c r="C319" s="5">
        <f t="shared" si="54"/>
        <v>100020</v>
      </c>
      <c r="D319" s="5">
        <f t="shared" si="55"/>
        <v>12</v>
      </c>
      <c r="E319" s="5" t="str">
        <f>_xlfn.XLOOKUP(C319,SkillActive!A:A,SkillActive!B:B,,0)</f>
        <v>冰霜之捷</v>
      </c>
      <c r="F319">
        <f t="shared" ref="F319:F334" si="57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5">
        <f t="shared" si="56"/>
        <v>10002013</v>
      </c>
      <c r="B320" s="33" t="str">
        <f>_xlfn.XLOOKUP(C320,SkillActive!$A:$A,SkillActive!C:C,,0)</f>
        <v>1|2|3|4|5|6|7</v>
      </c>
      <c r="C320" s="5">
        <f t="shared" si="54"/>
        <v>100020</v>
      </c>
      <c r="D320" s="5">
        <f t="shared" si="55"/>
        <v>13</v>
      </c>
      <c r="E320" s="5" t="str">
        <f>_xlfn.XLOOKUP(C320,SkillActive!A:A,SkillActive!B:B,,0)</f>
        <v>冰霜之捷</v>
      </c>
      <c r="F320">
        <f t="shared" si="57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5">
        <f t="shared" si="56"/>
        <v>10002014</v>
      </c>
      <c r="B321" s="33" t="str">
        <f>_xlfn.XLOOKUP(C321,SkillActive!$A:$A,SkillActive!C:C,,0)</f>
        <v>1|2|3|4|5|6|7</v>
      </c>
      <c r="C321" s="5">
        <f t="shared" si="54"/>
        <v>100020</v>
      </c>
      <c r="D321" s="5">
        <f t="shared" si="55"/>
        <v>14</v>
      </c>
      <c r="E321" s="5" t="str">
        <f>_xlfn.XLOOKUP(C321,SkillActive!A:A,SkillActive!B:B,,0)</f>
        <v>冰霜之捷</v>
      </c>
      <c r="F321">
        <f t="shared" si="57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5">
        <f t="shared" si="56"/>
        <v>10002015</v>
      </c>
      <c r="B322" s="33" t="str">
        <f>_xlfn.XLOOKUP(C322,SkillActive!$A:$A,SkillActive!C:C,,0)</f>
        <v>1|2|3|4|5|6|7</v>
      </c>
      <c r="C322" s="5">
        <f t="shared" si="54"/>
        <v>100020</v>
      </c>
      <c r="D322" s="5">
        <f t="shared" si="55"/>
        <v>15</v>
      </c>
      <c r="E322" s="5" t="str">
        <f>_xlfn.XLOOKUP(C322,SkillActive!A:A,SkillActive!B:B,,0)</f>
        <v>冰霜之捷</v>
      </c>
      <c r="F322">
        <f t="shared" si="57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5">
        <f t="shared" si="56"/>
        <v>10002016</v>
      </c>
      <c r="B323" s="33" t="str">
        <f>_xlfn.XLOOKUP(C323,SkillActive!$A:$A,SkillActive!C:C,,0)</f>
        <v>1|2|3|4|5|6|7</v>
      </c>
      <c r="C323" s="5">
        <f t="shared" si="54"/>
        <v>100020</v>
      </c>
      <c r="D323" s="5">
        <f t="shared" si="55"/>
        <v>16</v>
      </c>
      <c r="E323" s="5" t="str">
        <f>_xlfn.XLOOKUP(C323,SkillActive!A:A,SkillActive!B:B,,0)</f>
        <v>冰霜之捷</v>
      </c>
      <c r="F323">
        <f t="shared" si="57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5">
        <f t="shared" si="56"/>
        <v>10002101</v>
      </c>
      <c r="B324" s="33" t="str">
        <f>_xlfn.XLOOKUP(C324,SkillActive!$A:$A,SkillActive!C:C,,0)</f>
        <v>1|2|3|4|5|6|7</v>
      </c>
      <c r="C324" s="5">
        <f t="shared" si="54"/>
        <v>100021</v>
      </c>
      <c r="D324" s="5">
        <f t="shared" ref="D324:D334" si="58">D308</f>
        <v>1</v>
      </c>
      <c r="E324" s="5" t="str">
        <f>_xlfn.XLOOKUP(C324,SkillActive!A:A,SkillActive!B:B,,0)</f>
        <v>大地之怒</v>
      </c>
      <c r="F324">
        <f t="shared" si="57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5">
        <f t="shared" si="56"/>
        <v>10002102</v>
      </c>
      <c r="B325" s="33" t="str">
        <f>_xlfn.XLOOKUP(C325,SkillActive!$A:$A,SkillActive!C:C,,0)</f>
        <v>1|2|3|4|5|6|7</v>
      </c>
      <c r="C325" s="5">
        <f t="shared" si="54"/>
        <v>100021</v>
      </c>
      <c r="D325" s="5">
        <f t="shared" si="58"/>
        <v>2</v>
      </c>
      <c r="E325" s="5" t="str">
        <f>_xlfn.XLOOKUP(C325,SkillActive!A:A,SkillActive!B:B,,0)</f>
        <v>大地之怒</v>
      </c>
      <c r="F325">
        <f t="shared" si="57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5">
        <f t="shared" si="56"/>
        <v>10002103</v>
      </c>
      <c r="B326" s="33" t="str">
        <f>_xlfn.XLOOKUP(C326,SkillActive!$A:$A,SkillActive!C:C,,0)</f>
        <v>1|2|3|4|5|6|7</v>
      </c>
      <c r="C326" s="5">
        <f t="shared" si="54"/>
        <v>100021</v>
      </c>
      <c r="D326" s="5">
        <f t="shared" si="58"/>
        <v>3</v>
      </c>
      <c r="E326" s="5" t="str">
        <f>_xlfn.XLOOKUP(C326,SkillActive!A:A,SkillActive!B:B,,0)</f>
        <v>大地之怒</v>
      </c>
      <c r="F326">
        <f t="shared" si="57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5">
        <f t="shared" si="56"/>
        <v>10002104</v>
      </c>
      <c r="B327" s="33" t="str">
        <f>_xlfn.XLOOKUP(C327,SkillActive!$A:$A,SkillActive!C:C,,0)</f>
        <v>1|2|3|4|5|6|7</v>
      </c>
      <c r="C327" s="5">
        <f t="shared" si="54"/>
        <v>100021</v>
      </c>
      <c r="D327" s="5">
        <f t="shared" si="58"/>
        <v>4</v>
      </c>
      <c r="E327" s="5" t="str">
        <f>_xlfn.XLOOKUP(C327,SkillActive!A:A,SkillActive!B:B,,0)</f>
        <v>大地之怒</v>
      </c>
      <c r="F327">
        <f t="shared" si="57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5">
        <f t="shared" si="56"/>
        <v>10002105</v>
      </c>
      <c r="B328" s="33" t="str">
        <f>_xlfn.XLOOKUP(C328,SkillActive!$A:$A,SkillActive!C:C,,0)</f>
        <v>1|2|3|4|5|6|7</v>
      </c>
      <c r="C328" s="5">
        <f t="shared" si="54"/>
        <v>100021</v>
      </c>
      <c r="D328" s="5">
        <f t="shared" si="58"/>
        <v>5</v>
      </c>
      <c r="E328" s="5" t="str">
        <f>_xlfn.XLOOKUP(C328,SkillActive!A:A,SkillActive!B:B,,0)</f>
        <v>大地之怒</v>
      </c>
      <c r="F328">
        <f t="shared" si="57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5">
        <f t="shared" si="56"/>
        <v>10002106</v>
      </c>
      <c r="B329" s="33" t="str">
        <f>_xlfn.XLOOKUP(C329,SkillActive!$A:$A,SkillActive!C:C,,0)</f>
        <v>1|2|3|4|5|6|7</v>
      </c>
      <c r="C329" s="5">
        <f t="shared" si="54"/>
        <v>100021</v>
      </c>
      <c r="D329" s="5">
        <f t="shared" si="58"/>
        <v>6</v>
      </c>
      <c r="E329" s="5" t="str">
        <f>_xlfn.XLOOKUP(C329,SkillActive!A:A,SkillActive!B:B,,0)</f>
        <v>大地之怒</v>
      </c>
      <c r="F329">
        <f t="shared" si="57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5">
        <f t="shared" si="56"/>
        <v>10002107</v>
      </c>
      <c r="B330" s="33" t="str">
        <f>_xlfn.XLOOKUP(C330,SkillActive!$A:$A,SkillActive!C:C,,0)</f>
        <v>1|2|3|4|5|6|7</v>
      </c>
      <c r="C330" s="5">
        <f t="shared" si="54"/>
        <v>100021</v>
      </c>
      <c r="D330" s="5">
        <f t="shared" si="58"/>
        <v>7</v>
      </c>
      <c r="E330" s="5" t="str">
        <f>_xlfn.XLOOKUP(C330,SkillActive!A:A,SkillActive!B:B,,0)</f>
        <v>大地之怒</v>
      </c>
      <c r="F330">
        <f t="shared" si="57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5">
        <f t="shared" si="56"/>
        <v>10002108</v>
      </c>
      <c r="B331" s="33" t="str">
        <f>_xlfn.XLOOKUP(C331,SkillActive!$A:$A,SkillActive!C:C,,0)</f>
        <v>1|2|3|4|5|6|7</v>
      </c>
      <c r="C331" s="5">
        <f t="shared" si="54"/>
        <v>100021</v>
      </c>
      <c r="D331" s="5">
        <f t="shared" si="58"/>
        <v>8</v>
      </c>
      <c r="E331" s="5" t="str">
        <f>_xlfn.XLOOKUP(C331,SkillActive!A:A,SkillActive!B:B,,0)</f>
        <v>大地之怒</v>
      </c>
      <c r="F331">
        <f t="shared" si="57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5">
        <f t="shared" si="56"/>
        <v>10002109</v>
      </c>
      <c r="B332" s="33" t="str">
        <f>_xlfn.XLOOKUP(C332,SkillActive!$A:$A,SkillActive!C:C,,0)</f>
        <v>1|2|3|4|5|6|7</v>
      </c>
      <c r="C332" s="5">
        <f t="shared" si="54"/>
        <v>100021</v>
      </c>
      <c r="D332" s="5">
        <f t="shared" si="58"/>
        <v>9</v>
      </c>
      <c r="E332" s="5" t="str">
        <f>_xlfn.XLOOKUP(C332,SkillActive!A:A,SkillActive!B:B,,0)</f>
        <v>大地之怒</v>
      </c>
      <c r="F332">
        <f t="shared" si="57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5">
        <f t="shared" si="56"/>
        <v>10002110</v>
      </c>
      <c r="B333" s="33" t="str">
        <f>_xlfn.XLOOKUP(C333,SkillActive!$A:$A,SkillActive!C:C,,0)</f>
        <v>1|2|3|4|5|6|7</v>
      </c>
      <c r="C333" s="5">
        <f t="shared" si="54"/>
        <v>100021</v>
      </c>
      <c r="D333" s="5">
        <f t="shared" si="58"/>
        <v>10</v>
      </c>
      <c r="E333" s="5" t="str">
        <f>_xlfn.XLOOKUP(C333,SkillActive!A:A,SkillActive!B:B,,0)</f>
        <v>大地之怒</v>
      </c>
      <c r="F333">
        <f t="shared" si="57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5">
        <f t="shared" si="56"/>
        <v>10002111</v>
      </c>
      <c r="B334" s="33" t="str">
        <f>_xlfn.XLOOKUP(C334,SkillActive!$A:$A,SkillActive!C:C,,0)</f>
        <v>1|2|3|4|5|6|7</v>
      </c>
      <c r="C334" s="5">
        <f t="shared" si="54"/>
        <v>100021</v>
      </c>
      <c r="D334" s="5">
        <f t="shared" si="58"/>
        <v>11</v>
      </c>
      <c r="E334" s="5" t="str">
        <f>_xlfn.XLOOKUP(C334,SkillActive!A:A,SkillActive!B:B,,0)</f>
        <v>大地之怒</v>
      </c>
      <c r="F334">
        <f t="shared" si="57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5">
        <f t="shared" ref="A335:A350" si="59">C335*100+D335</f>
        <v>10002112</v>
      </c>
      <c r="B335" s="33" t="str">
        <f>_xlfn.XLOOKUP(C335,SkillActive!$A:$A,SkillActive!C:C,,0)</f>
        <v>1|2|3|4|5|6|7</v>
      </c>
      <c r="C335" s="5">
        <f t="shared" si="54"/>
        <v>100021</v>
      </c>
      <c r="D335" s="5">
        <f t="shared" ref="D335:D345" si="60">D319</f>
        <v>12</v>
      </c>
      <c r="E335" s="5" t="str">
        <f>_xlfn.XLOOKUP(C335,SkillActive!A:A,SkillActive!B:B,,0)</f>
        <v>大地之怒</v>
      </c>
      <c r="F335">
        <f t="shared" ref="F335:F350" si="61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5">
        <f t="shared" si="59"/>
        <v>10002113</v>
      </c>
      <c r="B336" s="33" t="str">
        <f>_xlfn.XLOOKUP(C336,SkillActive!$A:$A,SkillActive!C:C,,0)</f>
        <v>1|2|3|4|5|6|7</v>
      </c>
      <c r="C336" s="5">
        <f t="shared" si="54"/>
        <v>100021</v>
      </c>
      <c r="D336" s="5">
        <f t="shared" si="60"/>
        <v>13</v>
      </c>
      <c r="E336" s="5" t="str">
        <f>_xlfn.XLOOKUP(C336,SkillActive!A:A,SkillActive!B:B,,0)</f>
        <v>大地之怒</v>
      </c>
      <c r="F336">
        <f t="shared" si="61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5">
        <f t="shared" si="59"/>
        <v>10002114</v>
      </c>
      <c r="B337" s="33" t="str">
        <f>_xlfn.XLOOKUP(C337,SkillActive!$A:$A,SkillActive!C:C,,0)</f>
        <v>1|2|3|4|5|6|7</v>
      </c>
      <c r="C337" s="5">
        <f t="shared" si="54"/>
        <v>100021</v>
      </c>
      <c r="D337" s="5">
        <f t="shared" si="60"/>
        <v>14</v>
      </c>
      <c r="E337" s="5" t="str">
        <f>_xlfn.XLOOKUP(C337,SkillActive!A:A,SkillActive!B:B,,0)</f>
        <v>大地之怒</v>
      </c>
      <c r="F337">
        <f t="shared" si="61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5">
        <f t="shared" si="59"/>
        <v>10002115</v>
      </c>
      <c r="B338" s="33" t="str">
        <f>_xlfn.XLOOKUP(C338,SkillActive!$A:$A,SkillActive!C:C,,0)</f>
        <v>1|2|3|4|5|6|7</v>
      </c>
      <c r="C338" s="5">
        <f t="shared" si="54"/>
        <v>100021</v>
      </c>
      <c r="D338" s="5">
        <f t="shared" si="60"/>
        <v>15</v>
      </c>
      <c r="E338" s="5" t="str">
        <f>_xlfn.XLOOKUP(C338,SkillActive!A:A,SkillActive!B:B,,0)</f>
        <v>大地之怒</v>
      </c>
      <c r="F338">
        <f t="shared" si="61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5">
        <f t="shared" si="59"/>
        <v>10002116</v>
      </c>
      <c r="B339" s="33" t="str">
        <f>_xlfn.XLOOKUP(C339,SkillActive!$A:$A,SkillActive!C:C,,0)</f>
        <v>1|2|3|4|5|6|7</v>
      </c>
      <c r="C339" s="5">
        <f t="shared" si="54"/>
        <v>100021</v>
      </c>
      <c r="D339" s="5">
        <f t="shared" si="60"/>
        <v>16</v>
      </c>
      <c r="E339" s="5" t="str">
        <f>_xlfn.XLOOKUP(C339,SkillActive!A:A,SkillActive!B:B,,0)</f>
        <v>大地之怒</v>
      </c>
      <c r="F339">
        <f t="shared" si="61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5">
        <f t="shared" si="59"/>
        <v>10002201</v>
      </c>
      <c r="B340" s="33">
        <f>_xlfn.XLOOKUP(C340,SkillActive!$A:$A,SkillActive!C:C,,0)</f>
        <v>0</v>
      </c>
      <c r="C340" s="5">
        <f t="shared" si="54"/>
        <v>100022</v>
      </c>
      <c r="D340" s="5">
        <f t="shared" si="60"/>
        <v>1</v>
      </c>
      <c r="E340" s="5" t="str">
        <f>_xlfn.XLOOKUP(C340,SkillActive!A:A,SkillActive!B:B,,0)</f>
        <v>元素脉冲</v>
      </c>
      <c r="F340">
        <f t="shared" si="61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5">
        <f t="shared" si="59"/>
        <v>10002202</v>
      </c>
      <c r="B341" s="33">
        <f>_xlfn.XLOOKUP(C341,SkillActive!$A:$A,SkillActive!C:C,,0)</f>
        <v>0</v>
      </c>
      <c r="C341" s="5">
        <f t="shared" si="54"/>
        <v>100022</v>
      </c>
      <c r="D341" s="5">
        <f t="shared" si="60"/>
        <v>2</v>
      </c>
      <c r="E341" s="5" t="str">
        <f>_xlfn.XLOOKUP(C341,SkillActive!A:A,SkillActive!B:B,,0)</f>
        <v>元素脉冲</v>
      </c>
      <c r="F341">
        <f t="shared" si="61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5">
        <f t="shared" si="59"/>
        <v>10002203</v>
      </c>
      <c r="B342" s="33">
        <f>_xlfn.XLOOKUP(C342,SkillActive!$A:$A,SkillActive!C:C,,0)</f>
        <v>0</v>
      </c>
      <c r="C342" s="5">
        <f t="shared" si="54"/>
        <v>100022</v>
      </c>
      <c r="D342" s="5">
        <f t="shared" si="60"/>
        <v>3</v>
      </c>
      <c r="E342" s="5" t="str">
        <f>_xlfn.XLOOKUP(C342,SkillActive!A:A,SkillActive!B:B,,0)</f>
        <v>元素脉冲</v>
      </c>
      <c r="F342">
        <f t="shared" si="61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5">
        <f t="shared" si="59"/>
        <v>10002204</v>
      </c>
      <c r="B343" s="33">
        <f>_xlfn.XLOOKUP(C343,SkillActive!$A:$A,SkillActive!C:C,,0)</f>
        <v>0</v>
      </c>
      <c r="C343" s="5">
        <f t="shared" si="54"/>
        <v>100022</v>
      </c>
      <c r="D343" s="5">
        <f t="shared" si="60"/>
        <v>4</v>
      </c>
      <c r="E343" s="5" t="str">
        <f>_xlfn.XLOOKUP(C343,SkillActive!A:A,SkillActive!B:B,,0)</f>
        <v>元素脉冲</v>
      </c>
      <c r="F343">
        <f t="shared" si="61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5">
        <f t="shared" si="59"/>
        <v>10002205</v>
      </c>
      <c r="B344" s="33">
        <f>_xlfn.XLOOKUP(C344,SkillActive!$A:$A,SkillActive!C:C,,0)</f>
        <v>0</v>
      </c>
      <c r="C344" s="5">
        <f t="shared" si="54"/>
        <v>100022</v>
      </c>
      <c r="D344" s="5">
        <f t="shared" si="60"/>
        <v>5</v>
      </c>
      <c r="E344" s="5" t="str">
        <f>_xlfn.XLOOKUP(C344,SkillActive!A:A,SkillActive!B:B,,0)</f>
        <v>元素脉冲</v>
      </c>
      <c r="F344">
        <f t="shared" si="61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5">
        <f t="shared" si="59"/>
        <v>10002206</v>
      </c>
      <c r="B345" s="33">
        <f>_xlfn.XLOOKUP(C345,SkillActive!$A:$A,SkillActive!C:C,,0)</f>
        <v>0</v>
      </c>
      <c r="C345" s="5">
        <f t="shared" si="54"/>
        <v>100022</v>
      </c>
      <c r="D345" s="5">
        <f t="shared" si="60"/>
        <v>6</v>
      </c>
      <c r="E345" s="5" t="str">
        <f>_xlfn.XLOOKUP(C345,SkillActive!A:A,SkillActive!B:B,,0)</f>
        <v>元素脉冲</v>
      </c>
      <c r="F345">
        <f t="shared" si="61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5">
        <f t="shared" si="59"/>
        <v>10002207</v>
      </c>
      <c r="B346" s="33">
        <f>_xlfn.XLOOKUP(C346,SkillActive!$A:$A,SkillActive!C:C,,0)</f>
        <v>0</v>
      </c>
      <c r="C346" s="5">
        <f t="shared" si="54"/>
        <v>100022</v>
      </c>
      <c r="D346" s="5">
        <f t="shared" ref="D346:D371" si="62">D330</f>
        <v>7</v>
      </c>
      <c r="E346" s="5" t="str">
        <f>_xlfn.XLOOKUP(C346,SkillActive!A:A,SkillActive!B:B,,0)</f>
        <v>元素脉冲</v>
      </c>
      <c r="F346">
        <f t="shared" si="61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5">
        <f t="shared" si="59"/>
        <v>10002208</v>
      </c>
      <c r="B347" s="33">
        <f>_xlfn.XLOOKUP(C347,SkillActive!$A:$A,SkillActive!C:C,,0)</f>
        <v>0</v>
      </c>
      <c r="C347" s="5">
        <f t="shared" si="54"/>
        <v>100022</v>
      </c>
      <c r="D347" s="5">
        <f t="shared" si="62"/>
        <v>8</v>
      </c>
      <c r="E347" s="5" t="str">
        <f>_xlfn.XLOOKUP(C347,SkillActive!A:A,SkillActive!B:B,,0)</f>
        <v>元素脉冲</v>
      </c>
      <c r="F347">
        <f t="shared" si="61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5">
        <f t="shared" si="59"/>
        <v>10002209</v>
      </c>
      <c r="B348" s="33">
        <f>_xlfn.XLOOKUP(C348,SkillActive!$A:$A,SkillActive!C:C,,0)</f>
        <v>0</v>
      </c>
      <c r="C348" s="5">
        <f t="shared" si="54"/>
        <v>100022</v>
      </c>
      <c r="D348" s="5">
        <f t="shared" si="62"/>
        <v>9</v>
      </c>
      <c r="E348" s="5" t="str">
        <f>_xlfn.XLOOKUP(C348,SkillActive!A:A,SkillActive!B:B,,0)</f>
        <v>元素脉冲</v>
      </c>
      <c r="F348">
        <f t="shared" si="61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5">
        <f t="shared" si="59"/>
        <v>10002210</v>
      </c>
      <c r="B349" s="33">
        <f>_xlfn.XLOOKUP(C349,SkillActive!$A:$A,SkillActive!C:C,,0)</f>
        <v>0</v>
      </c>
      <c r="C349" s="5">
        <f t="shared" si="54"/>
        <v>100022</v>
      </c>
      <c r="D349" s="5">
        <f t="shared" si="62"/>
        <v>10</v>
      </c>
      <c r="E349" s="5" t="str">
        <f>_xlfn.XLOOKUP(C349,SkillActive!A:A,SkillActive!B:B,,0)</f>
        <v>元素脉冲</v>
      </c>
      <c r="F349">
        <f t="shared" si="61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5">
        <f t="shared" si="59"/>
        <v>10002211</v>
      </c>
      <c r="B350" s="33">
        <f>_xlfn.XLOOKUP(C350,SkillActive!$A:$A,SkillActive!C:C,,0)</f>
        <v>0</v>
      </c>
      <c r="C350" s="5">
        <f t="shared" si="54"/>
        <v>100022</v>
      </c>
      <c r="D350" s="5">
        <f t="shared" si="62"/>
        <v>11</v>
      </c>
      <c r="E350" s="5" t="str">
        <f>_xlfn.XLOOKUP(C350,SkillActive!A:A,SkillActive!B:B,,0)</f>
        <v>元素脉冲</v>
      </c>
      <c r="F350">
        <f t="shared" si="61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5">
        <f t="shared" ref="A351:A374" si="63">C351*100+D351</f>
        <v>10002212</v>
      </c>
      <c r="B351" s="33">
        <f>_xlfn.XLOOKUP(C351,SkillActive!$A:$A,SkillActive!C:C,,0)</f>
        <v>0</v>
      </c>
      <c r="C351" s="5">
        <f t="shared" si="54"/>
        <v>100022</v>
      </c>
      <c r="D351" s="5">
        <f t="shared" si="62"/>
        <v>12</v>
      </c>
      <c r="E351" s="5" t="str">
        <f>_xlfn.XLOOKUP(C351,SkillActive!A:A,SkillActive!B:B,,0)</f>
        <v>元素脉冲</v>
      </c>
      <c r="F351">
        <f t="shared" ref="F351:F374" si="64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5">
        <f t="shared" si="63"/>
        <v>10002213</v>
      </c>
      <c r="B352" s="33">
        <f>_xlfn.XLOOKUP(C352,SkillActive!$A:$A,SkillActive!C:C,,0)</f>
        <v>0</v>
      </c>
      <c r="C352" s="5">
        <f t="shared" si="54"/>
        <v>100022</v>
      </c>
      <c r="D352" s="5">
        <f t="shared" si="62"/>
        <v>13</v>
      </c>
      <c r="E352" s="5" t="str">
        <f>_xlfn.XLOOKUP(C352,SkillActive!A:A,SkillActive!B:B,,0)</f>
        <v>元素脉冲</v>
      </c>
      <c r="F352">
        <f t="shared" si="64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5">
        <f t="shared" si="63"/>
        <v>10002214</v>
      </c>
      <c r="B353" s="33">
        <f>_xlfn.XLOOKUP(C353,SkillActive!$A:$A,SkillActive!C:C,,0)</f>
        <v>0</v>
      </c>
      <c r="C353" s="5">
        <f t="shared" si="54"/>
        <v>100022</v>
      </c>
      <c r="D353" s="5">
        <f t="shared" si="62"/>
        <v>14</v>
      </c>
      <c r="E353" s="5" t="str">
        <f>_xlfn.XLOOKUP(C353,SkillActive!A:A,SkillActive!B:B,,0)</f>
        <v>元素脉冲</v>
      </c>
      <c r="F353">
        <f t="shared" si="64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5">
        <f t="shared" si="63"/>
        <v>10002215</v>
      </c>
      <c r="B354" s="33">
        <f>_xlfn.XLOOKUP(C354,SkillActive!$A:$A,SkillActive!C:C,,0)</f>
        <v>0</v>
      </c>
      <c r="C354" s="5">
        <f t="shared" si="54"/>
        <v>100022</v>
      </c>
      <c r="D354" s="5">
        <f t="shared" si="62"/>
        <v>15</v>
      </c>
      <c r="E354" s="5" t="str">
        <f>_xlfn.XLOOKUP(C354,SkillActive!A:A,SkillActive!B:B,,0)</f>
        <v>元素脉冲</v>
      </c>
      <c r="F354">
        <f t="shared" si="64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5">
        <f t="shared" si="63"/>
        <v>10002216</v>
      </c>
      <c r="B355" s="33">
        <f>_xlfn.XLOOKUP(C355,SkillActive!$A:$A,SkillActive!C:C,,0)</f>
        <v>0</v>
      </c>
      <c r="C355" s="5">
        <f t="shared" si="54"/>
        <v>100022</v>
      </c>
      <c r="D355" s="5">
        <f t="shared" si="62"/>
        <v>16</v>
      </c>
      <c r="E355" s="5" t="str">
        <f>_xlfn.XLOOKUP(C355,SkillActive!A:A,SkillActive!B:B,,0)</f>
        <v>元素脉冲</v>
      </c>
      <c r="F355">
        <f t="shared" si="64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5">
        <f t="shared" si="63"/>
        <v>10002301</v>
      </c>
      <c r="B356" s="33">
        <f>_xlfn.XLOOKUP(C356,SkillActive!$A:$A,SkillActive!C:C,,0)</f>
        <v>0</v>
      </c>
      <c r="C356" s="5">
        <f t="shared" si="54"/>
        <v>100023</v>
      </c>
      <c r="D356" s="5">
        <f t="shared" si="62"/>
        <v>1</v>
      </c>
      <c r="E356" s="5" t="str">
        <f>_xlfn.XLOOKUP(C356,SkillActive!A:A,SkillActive!B:B,,0)</f>
        <v>毁灭意志</v>
      </c>
      <c r="F356">
        <f t="shared" si="64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5">
        <f t="shared" si="63"/>
        <v>10002302</v>
      </c>
      <c r="B357" s="33">
        <f>_xlfn.XLOOKUP(C357,SkillActive!$A:$A,SkillActive!C:C,,0)</f>
        <v>0</v>
      </c>
      <c r="C357" s="5">
        <f t="shared" si="54"/>
        <v>100023</v>
      </c>
      <c r="D357" s="5">
        <f t="shared" si="62"/>
        <v>2</v>
      </c>
      <c r="E357" s="5" t="str">
        <f>_xlfn.XLOOKUP(C357,SkillActive!A:A,SkillActive!B:B,,0)</f>
        <v>毁灭意志</v>
      </c>
      <c r="F357">
        <f t="shared" si="64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5">
        <f t="shared" si="63"/>
        <v>10002303</v>
      </c>
      <c r="B358" s="33">
        <f>_xlfn.XLOOKUP(C358,SkillActive!$A:$A,SkillActive!C:C,,0)</f>
        <v>0</v>
      </c>
      <c r="C358" s="5">
        <f t="shared" si="54"/>
        <v>100023</v>
      </c>
      <c r="D358" s="5">
        <f t="shared" si="62"/>
        <v>3</v>
      </c>
      <c r="E358" s="5" t="str">
        <f>_xlfn.XLOOKUP(C358,SkillActive!A:A,SkillActive!B:B,,0)</f>
        <v>毁灭意志</v>
      </c>
      <c r="F358">
        <f t="shared" si="64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5">
        <f t="shared" si="63"/>
        <v>10002304</v>
      </c>
      <c r="B359" s="33">
        <f>_xlfn.XLOOKUP(C359,SkillActive!$A:$A,SkillActive!C:C,,0)</f>
        <v>0</v>
      </c>
      <c r="C359" s="5">
        <f t="shared" si="54"/>
        <v>100023</v>
      </c>
      <c r="D359" s="5">
        <f t="shared" si="62"/>
        <v>4</v>
      </c>
      <c r="E359" s="5" t="str">
        <f>_xlfn.XLOOKUP(C359,SkillActive!A:A,SkillActive!B:B,,0)</f>
        <v>毁灭意志</v>
      </c>
      <c r="F359">
        <f t="shared" si="64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5">
        <f t="shared" si="63"/>
        <v>10002305</v>
      </c>
      <c r="B360" s="33">
        <f>_xlfn.XLOOKUP(C360,SkillActive!$A:$A,SkillActive!C:C,,0)</f>
        <v>0</v>
      </c>
      <c r="C360" s="5">
        <f t="shared" si="54"/>
        <v>100023</v>
      </c>
      <c r="D360" s="5">
        <f t="shared" si="62"/>
        <v>5</v>
      </c>
      <c r="E360" s="5" t="str">
        <f>_xlfn.XLOOKUP(C360,SkillActive!A:A,SkillActive!B:B,,0)</f>
        <v>毁灭意志</v>
      </c>
      <c r="F360">
        <f t="shared" si="64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5">
        <f t="shared" si="63"/>
        <v>10002306</v>
      </c>
      <c r="B361" s="33">
        <f>_xlfn.XLOOKUP(C361,SkillActive!$A:$A,SkillActive!C:C,,0)</f>
        <v>0</v>
      </c>
      <c r="C361" s="5">
        <f t="shared" si="54"/>
        <v>100023</v>
      </c>
      <c r="D361" s="5">
        <f t="shared" si="62"/>
        <v>6</v>
      </c>
      <c r="E361" s="5" t="str">
        <f>_xlfn.XLOOKUP(C361,SkillActive!A:A,SkillActive!B:B,,0)</f>
        <v>毁灭意志</v>
      </c>
      <c r="F361">
        <f t="shared" si="64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5">
        <f t="shared" si="63"/>
        <v>10002307</v>
      </c>
      <c r="B362" s="33">
        <f>_xlfn.XLOOKUP(C362,SkillActive!$A:$A,SkillActive!C:C,,0)</f>
        <v>0</v>
      </c>
      <c r="C362" s="5">
        <f t="shared" si="54"/>
        <v>100023</v>
      </c>
      <c r="D362" s="5">
        <f t="shared" si="62"/>
        <v>7</v>
      </c>
      <c r="E362" s="5" t="str">
        <f>_xlfn.XLOOKUP(C362,SkillActive!A:A,SkillActive!B:B,,0)</f>
        <v>毁灭意志</v>
      </c>
      <c r="F362">
        <f t="shared" si="64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5">
        <f t="shared" si="63"/>
        <v>10002308</v>
      </c>
      <c r="B363" s="33">
        <f>_xlfn.XLOOKUP(C363,SkillActive!$A:$A,SkillActive!C:C,,0)</f>
        <v>0</v>
      </c>
      <c r="C363" s="5">
        <f t="shared" si="54"/>
        <v>100023</v>
      </c>
      <c r="D363" s="5">
        <f t="shared" si="62"/>
        <v>8</v>
      </c>
      <c r="E363" s="5" t="str">
        <f>_xlfn.XLOOKUP(C363,SkillActive!A:A,SkillActive!B:B,,0)</f>
        <v>毁灭意志</v>
      </c>
      <c r="F363">
        <f t="shared" si="64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5">
        <f t="shared" si="63"/>
        <v>10002309</v>
      </c>
      <c r="B364" s="33">
        <f>_xlfn.XLOOKUP(C364,SkillActive!$A:$A,SkillActive!C:C,,0)</f>
        <v>0</v>
      </c>
      <c r="C364" s="5">
        <f t="shared" si="54"/>
        <v>100023</v>
      </c>
      <c r="D364" s="5">
        <f t="shared" si="62"/>
        <v>9</v>
      </c>
      <c r="E364" s="5" t="str">
        <f>_xlfn.XLOOKUP(C364,SkillActive!A:A,SkillActive!B:B,,0)</f>
        <v>毁灭意志</v>
      </c>
      <c r="F364">
        <f t="shared" si="64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5">
        <f t="shared" si="63"/>
        <v>10002310</v>
      </c>
      <c r="B365" s="33">
        <f>_xlfn.XLOOKUP(C365,SkillActive!$A:$A,SkillActive!C:C,,0)</f>
        <v>0</v>
      </c>
      <c r="C365" s="5">
        <f t="shared" si="54"/>
        <v>100023</v>
      </c>
      <c r="D365" s="5">
        <f t="shared" si="62"/>
        <v>10</v>
      </c>
      <c r="E365" s="5" t="str">
        <f>_xlfn.XLOOKUP(C365,SkillActive!A:A,SkillActive!B:B,,0)</f>
        <v>毁灭意志</v>
      </c>
      <c r="F365">
        <f t="shared" si="64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5">
        <f t="shared" si="63"/>
        <v>10002311</v>
      </c>
      <c r="B366" s="33">
        <f>_xlfn.XLOOKUP(C366,SkillActive!$A:$A,SkillActive!C:C,,0)</f>
        <v>0</v>
      </c>
      <c r="C366" s="5">
        <f t="shared" si="54"/>
        <v>100023</v>
      </c>
      <c r="D366" s="5">
        <f t="shared" si="62"/>
        <v>11</v>
      </c>
      <c r="E366" s="5" t="str">
        <f>_xlfn.XLOOKUP(C366,SkillActive!A:A,SkillActive!B:B,,0)</f>
        <v>毁灭意志</v>
      </c>
      <c r="F366">
        <f t="shared" si="64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5">
        <f t="shared" si="63"/>
        <v>10002312</v>
      </c>
      <c r="B367" s="33">
        <f>_xlfn.XLOOKUP(C367,SkillActive!$A:$A,SkillActive!C:C,,0)</f>
        <v>0</v>
      </c>
      <c r="C367" s="5">
        <f t="shared" si="54"/>
        <v>100023</v>
      </c>
      <c r="D367" s="5">
        <f t="shared" si="62"/>
        <v>12</v>
      </c>
      <c r="E367" s="5" t="str">
        <f>_xlfn.XLOOKUP(C367,SkillActive!A:A,SkillActive!B:B,,0)</f>
        <v>毁灭意志</v>
      </c>
      <c r="F367">
        <f t="shared" si="64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5">
        <f t="shared" si="63"/>
        <v>10002313</v>
      </c>
      <c r="B368" s="33">
        <f>_xlfn.XLOOKUP(C368,SkillActive!$A:$A,SkillActive!C:C,,0)</f>
        <v>0</v>
      </c>
      <c r="C368" s="5">
        <f t="shared" si="54"/>
        <v>100023</v>
      </c>
      <c r="D368" s="5">
        <f t="shared" si="62"/>
        <v>13</v>
      </c>
      <c r="E368" s="5" t="str">
        <f>_xlfn.XLOOKUP(C368,SkillActive!A:A,SkillActive!B:B,,0)</f>
        <v>毁灭意志</v>
      </c>
      <c r="F368">
        <f t="shared" si="64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5">
        <f t="shared" si="63"/>
        <v>10002314</v>
      </c>
      <c r="B369" s="33">
        <f>_xlfn.XLOOKUP(C369,SkillActive!$A:$A,SkillActive!C:C,,0)</f>
        <v>0</v>
      </c>
      <c r="C369" s="5">
        <f t="shared" si="54"/>
        <v>100023</v>
      </c>
      <c r="D369" s="5">
        <f t="shared" si="62"/>
        <v>14</v>
      </c>
      <c r="E369" s="5" t="str">
        <f>_xlfn.XLOOKUP(C369,SkillActive!A:A,SkillActive!B:B,,0)</f>
        <v>毁灭意志</v>
      </c>
      <c r="F369">
        <f t="shared" si="64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5">
        <f t="shared" si="63"/>
        <v>10002315</v>
      </c>
      <c r="B370" s="33">
        <f>_xlfn.XLOOKUP(C370,SkillActive!$A:$A,SkillActive!C:C,,0)</f>
        <v>0</v>
      </c>
      <c r="C370" s="5">
        <f t="shared" si="54"/>
        <v>100023</v>
      </c>
      <c r="D370" s="5">
        <f t="shared" si="62"/>
        <v>15</v>
      </c>
      <c r="E370" s="5" t="str">
        <f>_xlfn.XLOOKUP(C370,SkillActive!A:A,SkillActive!B:B,,0)</f>
        <v>毁灭意志</v>
      </c>
      <c r="F370">
        <f t="shared" si="64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5">
        <f t="shared" si="63"/>
        <v>10002316</v>
      </c>
      <c r="B371" s="33">
        <f>_xlfn.XLOOKUP(C371,SkillActive!$A:$A,SkillActive!C:C,,0)</f>
        <v>0</v>
      </c>
      <c r="C371" s="5">
        <f t="shared" si="54"/>
        <v>100023</v>
      </c>
      <c r="D371" s="5">
        <f t="shared" si="62"/>
        <v>16</v>
      </c>
      <c r="E371" s="5" t="str">
        <f>_xlfn.XLOOKUP(C371,SkillActive!A:A,SkillActive!B:B,,0)</f>
        <v>毁灭意志</v>
      </c>
      <c r="F371">
        <f t="shared" si="64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5">
        <f t="shared" si="63"/>
        <v>10002401</v>
      </c>
      <c r="B372" s="33">
        <f>_xlfn.XLOOKUP(C372,SkillActive!$A:$A,SkillActive!C:C,,0)</f>
        <v>0</v>
      </c>
      <c r="C372" s="5">
        <f t="shared" si="54"/>
        <v>100024</v>
      </c>
      <c r="D372" s="5">
        <v>1</v>
      </c>
      <c r="E372" s="5" t="str">
        <f>_xlfn.XLOOKUP(C372,SkillActive!A:A,SkillActive!B:B,,0)</f>
        <v>迅捷</v>
      </c>
      <c r="F372">
        <f t="shared" si="64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5">
        <f t="shared" si="63"/>
        <v>10002402</v>
      </c>
      <c r="B373" s="33">
        <f>_xlfn.XLOOKUP(C373,SkillActive!$A:$A,SkillActive!C:C,,0)</f>
        <v>0</v>
      </c>
      <c r="C373" s="5">
        <f t="shared" si="54"/>
        <v>100024</v>
      </c>
      <c r="D373" s="5">
        <v>2</v>
      </c>
      <c r="E373" s="5" t="str">
        <f>_xlfn.XLOOKUP(C373,SkillActive!A:A,SkillActive!B:B,,0)</f>
        <v>迅捷</v>
      </c>
      <c r="F373">
        <f t="shared" si="64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5">
        <f t="shared" si="63"/>
        <v>10002403</v>
      </c>
      <c r="B374" s="33">
        <f>_xlfn.XLOOKUP(C374,SkillActive!$A:$A,SkillActive!C:C,,0)</f>
        <v>0</v>
      </c>
      <c r="C374" s="5">
        <f t="shared" si="54"/>
        <v>100024</v>
      </c>
      <c r="D374" s="5">
        <v>3</v>
      </c>
      <c r="E374" s="5" t="str">
        <f>_xlfn.XLOOKUP(C374,SkillActive!A:A,SkillActive!B:B,,0)</f>
        <v>迅捷</v>
      </c>
      <c r="F374">
        <f t="shared" si="64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5">
        <f t="shared" ref="A375:A380" si="65">C375*100+D375</f>
        <v>10002404</v>
      </c>
      <c r="B375" s="33">
        <f>_xlfn.XLOOKUP(C375,SkillActive!$A:$A,SkillActive!C:C,,0)</f>
        <v>0</v>
      </c>
      <c r="C375" s="5">
        <f t="shared" si="54"/>
        <v>100024</v>
      </c>
      <c r="D375" s="5">
        <v>4</v>
      </c>
      <c r="E375" s="5" t="str">
        <f>_xlfn.XLOOKUP(C375,SkillActive!A:A,SkillActive!B:B,,0)</f>
        <v>迅捷</v>
      </c>
      <c r="F375">
        <f t="shared" ref="F375:F380" si="66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5">
        <f t="shared" si="65"/>
        <v>10002405</v>
      </c>
      <c r="B376" s="33">
        <f>_xlfn.XLOOKUP(C376,SkillActive!$A:$A,SkillActive!C:C,,0)</f>
        <v>0</v>
      </c>
      <c r="C376" s="5">
        <f t="shared" si="54"/>
        <v>100024</v>
      </c>
      <c r="D376" s="5">
        <v>5</v>
      </c>
      <c r="E376" s="5" t="str">
        <f>_xlfn.XLOOKUP(C376,SkillActive!A:A,SkillActive!B:B,,0)</f>
        <v>迅捷</v>
      </c>
      <c r="F376">
        <f t="shared" si="66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5">
        <f t="shared" si="65"/>
        <v>10002406</v>
      </c>
      <c r="B377" s="33">
        <f>_xlfn.XLOOKUP(C377,SkillActive!$A:$A,SkillActive!C:C,,0)</f>
        <v>0</v>
      </c>
      <c r="C377" s="5">
        <f t="shared" si="54"/>
        <v>100024</v>
      </c>
      <c r="D377" s="5">
        <v>6</v>
      </c>
      <c r="E377" s="5" t="str">
        <f>_xlfn.XLOOKUP(C377,SkillActive!A:A,SkillActive!B:B,,0)</f>
        <v>迅捷</v>
      </c>
      <c r="F377">
        <f t="shared" si="66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5">
        <f t="shared" si="65"/>
        <v>10002407</v>
      </c>
      <c r="B378" s="33">
        <f>_xlfn.XLOOKUP(C378,SkillActive!$A:$A,SkillActive!C:C,,0)</f>
        <v>0</v>
      </c>
      <c r="C378" s="5">
        <f t="shared" ref="C378:C441" si="67">C362+1</f>
        <v>100024</v>
      </c>
      <c r="D378" s="5">
        <v>7</v>
      </c>
      <c r="E378" s="5" t="str">
        <f>_xlfn.XLOOKUP(C378,SkillActive!A:A,SkillActive!B:B,,0)</f>
        <v>迅捷</v>
      </c>
      <c r="F378">
        <f t="shared" si="66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5">
        <f t="shared" si="65"/>
        <v>10002408</v>
      </c>
      <c r="B379" s="33">
        <f>_xlfn.XLOOKUP(C379,SkillActive!$A:$A,SkillActive!C:C,,0)</f>
        <v>0</v>
      </c>
      <c r="C379" s="5">
        <f t="shared" si="67"/>
        <v>100024</v>
      </c>
      <c r="D379" s="5">
        <v>8</v>
      </c>
      <c r="E379" s="5" t="str">
        <f>_xlfn.XLOOKUP(C379,SkillActive!A:A,SkillActive!B:B,,0)</f>
        <v>迅捷</v>
      </c>
      <c r="F379">
        <f t="shared" si="66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5">
        <f t="shared" si="65"/>
        <v>10002409</v>
      </c>
      <c r="B380" s="33">
        <f>_xlfn.XLOOKUP(C380,SkillActive!$A:$A,SkillActive!C:C,,0)</f>
        <v>0</v>
      </c>
      <c r="C380" s="5">
        <f t="shared" si="67"/>
        <v>100024</v>
      </c>
      <c r="D380" s="5">
        <v>9</v>
      </c>
      <c r="E380" s="5" t="str">
        <f>_xlfn.XLOOKUP(C380,SkillActive!A:A,SkillActive!B:B,,0)</f>
        <v>迅捷</v>
      </c>
      <c r="F380">
        <f t="shared" si="66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5">
        <f t="shared" ref="A381:A398" si="68">C381*100+D381</f>
        <v>10002410</v>
      </c>
      <c r="B381" s="33">
        <f>_xlfn.XLOOKUP(C381,SkillActive!$A:$A,SkillActive!C:C,,0)</f>
        <v>0</v>
      </c>
      <c r="C381" s="5">
        <f t="shared" si="67"/>
        <v>100024</v>
      </c>
      <c r="D381" s="5">
        <v>10</v>
      </c>
      <c r="E381" s="5" t="str">
        <f>_xlfn.XLOOKUP(C381,SkillActive!A:A,SkillActive!B:B,,0)</f>
        <v>迅捷</v>
      </c>
      <c r="F381">
        <f t="shared" ref="F381:F398" si="69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5">
        <f t="shared" si="68"/>
        <v>10002411</v>
      </c>
      <c r="B382" s="33">
        <f>_xlfn.XLOOKUP(C382,SkillActive!$A:$A,SkillActive!C:C,,0)</f>
        <v>0</v>
      </c>
      <c r="C382" s="5">
        <f t="shared" si="67"/>
        <v>100024</v>
      </c>
      <c r="D382" s="5">
        <v>11</v>
      </c>
      <c r="E382" s="5" t="str">
        <f>_xlfn.XLOOKUP(C382,SkillActive!A:A,SkillActive!B:B,,0)</f>
        <v>迅捷</v>
      </c>
      <c r="F382">
        <f t="shared" si="69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5">
        <f t="shared" si="68"/>
        <v>10002412</v>
      </c>
      <c r="B383" s="33">
        <f>_xlfn.XLOOKUP(C383,SkillActive!$A:$A,SkillActive!C:C,,0)</f>
        <v>0</v>
      </c>
      <c r="C383" s="5">
        <f t="shared" si="67"/>
        <v>100024</v>
      </c>
      <c r="D383" s="5">
        <v>12</v>
      </c>
      <c r="E383" s="5" t="str">
        <f>_xlfn.XLOOKUP(C383,SkillActive!A:A,SkillActive!B:B,,0)</f>
        <v>迅捷</v>
      </c>
      <c r="F383">
        <f t="shared" si="69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5">
        <f t="shared" si="68"/>
        <v>10002413</v>
      </c>
      <c r="B384" s="33">
        <f>_xlfn.XLOOKUP(C384,SkillActive!$A:$A,SkillActive!C:C,,0)</f>
        <v>0</v>
      </c>
      <c r="C384" s="5">
        <f t="shared" si="67"/>
        <v>100024</v>
      </c>
      <c r="D384" s="5">
        <v>13</v>
      </c>
      <c r="E384" s="5" t="str">
        <f>_xlfn.XLOOKUP(C384,SkillActive!A:A,SkillActive!B:B,,0)</f>
        <v>迅捷</v>
      </c>
      <c r="F384">
        <f t="shared" si="69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5">
        <f t="shared" si="68"/>
        <v>10002414</v>
      </c>
      <c r="B385" s="33">
        <f>_xlfn.XLOOKUP(C385,SkillActive!$A:$A,SkillActive!C:C,,0)</f>
        <v>0</v>
      </c>
      <c r="C385" s="5">
        <f t="shared" si="67"/>
        <v>100024</v>
      </c>
      <c r="D385" s="5">
        <v>14</v>
      </c>
      <c r="E385" s="5" t="str">
        <f>_xlfn.XLOOKUP(C385,SkillActive!A:A,SkillActive!B:B,,0)</f>
        <v>迅捷</v>
      </c>
      <c r="F385">
        <f t="shared" si="69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5">
        <f t="shared" si="68"/>
        <v>10002415</v>
      </c>
      <c r="B386" s="33">
        <f>_xlfn.XLOOKUP(C386,SkillActive!$A:$A,SkillActive!C:C,,0)</f>
        <v>0</v>
      </c>
      <c r="C386" s="5">
        <f t="shared" si="67"/>
        <v>100024</v>
      </c>
      <c r="D386" s="5">
        <v>15</v>
      </c>
      <c r="E386" s="5" t="str">
        <f>_xlfn.XLOOKUP(C386,SkillActive!A:A,SkillActive!B:B,,0)</f>
        <v>迅捷</v>
      </c>
      <c r="F386">
        <f t="shared" si="69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5">
        <f t="shared" si="68"/>
        <v>10002416</v>
      </c>
      <c r="B387" s="33">
        <f>_xlfn.XLOOKUP(C387,SkillActive!$A:$A,SkillActive!C:C,,0)</f>
        <v>0</v>
      </c>
      <c r="C387" s="5">
        <f t="shared" si="67"/>
        <v>100024</v>
      </c>
      <c r="D387" s="5">
        <v>16</v>
      </c>
      <c r="E387" s="5" t="str">
        <f>_xlfn.XLOOKUP(C387,SkillActive!A:A,SkillActive!B:B,,0)</f>
        <v>迅捷</v>
      </c>
      <c r="F387">
        <f t="shared" si="69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5">
        <f t="shared" si="68"/>
        <v>10002501</v>
      </c>
      <c r="B388" s="33">
        <f>_xlfn.XLOOKUP(C388,SkillActive!$A:$A,SkillActive!C:C,,0)</f>
        <v>0</v>
      </c>
      <c r="C388" s="5">
        <f t="shared" si="67"/>
        <v>100025</v>
      </c>
      <c r="D388" s="5">
        <f>D372</f>
        <v>1</v>
      </c>
      <c r="E388" s="5" t="str">
        <f>_xlfn.XLOOKUP(C388,SkillActive!A:A,SkillActive!B:B,,0)</f>
        <v>吞噬</v>
      </c>
      <c r="F388">
        <f t="shared" si="69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5">
        <f t="shared" si="68"/>
        <v>10002502</v>
      </c>
      <c r="B389" s="33">
        <f>_xlfn.XLOOKUP(C389,SkillActive!$A:$A,SkillActive!C:C,,0)</f>
        <v>0</v>
      </c>
      <c r="C389" s="5">
        <f t="shared" si="67"/>
        <v>100025</v>
      </c>
      <c r="D389" s="5">
        <f>D373</f>
        <v>2</v>
      </c>
      <c r="E389" s="5" t="str">
        <f>_xlfn.XLOOKUP(C389,SkillActive!A:A,SkillActive!B:B,,0)</f>
        <v>吞噬</v>
      </c>
      <c r="F389">
        <f t="shared" si="69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5">
        <f t="shared" si="68"/>
        <v>10002503</v>
      </c>
      <c r="B390" s="33">
        <f>_xlfn.XLOOKUP(C390,SkillActive!$A:$A,SkillActive!C:C,,0)</f>
        <v>0</v>
      </c>
      <c r="C390" s="5">
        <f t="shared" si="67"/>
        <v>100025</v>
      </c>
      <c r="D390" s="5">
        <f t="shared" ref="D390:D398" si="70">D374</f>
        <v>3</v>
      </c>
      <c r="E390" s="5" t="str">
        <f>_xlfn.XLOOKUP(C390,SkillActive!A:A,SkillActive!B:B,,0)</f>
        <v>吞噬</v>
      </c>
      <c r="F390">
        <f t="shared" si="69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5">
        <f t="shared" si="68"/>
        <v>10002504</v>
      </c>
      <c r="B391" s="33">
        <f>_xlfn.XLOOKUP(C391,SkillActive!$A:$A,SkillActive!C:C,,0)</f>
        <v>0</v>
      </c>
      <c r="C391" s="5">
        <f t="shared" si="67"/>
        <v>100025</v>
      </c>
      <c r="D391" s="5">
        <f t="shared" si="70"/>
        <v>4</v>
      </c>
      <c r="E391" s="5" t="str">
        <f>_xlfn.XLOOKUP(C391,SkillActive!A:A,SkillActive!B:B,,0)</f>
        <v>吞噬</v>
      </c>
      <c r="F391">
        <f t="shared" si="69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5">
        <f t="shared" si="68"/>
        <v>10002505</v>
      </c>
      <c r="B392" s="33">
        <f>_xlfn.XLOOKUP(C392,SkillActive!$A:$A,SkillActive!C:C,,0)</f>
        <v>0</v>
      </c>
      <c r="C392" s="5">
        <f t="shared" si="67"/>
        <v>100025</v>
      </c>
      <c r="D392" s="5">
        <f t="shared" si="70"/>
        <v>5</v>
      </c>
      <c r="E392" s="5" t="str">
        <f>_xlfn.XLOOKUP(C392,SkillActive!A:A,SkillActive!B:B,,0)</f>
        <v>吞噬</v>
      </c>
      <c r="F392">
        <f t="shared" si="69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5">
        <f t="shared" si="68"/>
        <v>10002506</v>
      </c>
      <c r="B393" s="33">
        <f>_xlfn.XLOOKUP(C393,SkillActive!$A:$A,SkillActive!C:C,,0)</f>
        <v>0</v>
      </c>
      <c r="C393" s="5">
        <f t="shared" si="67"/>
        <v>100025</v>
      </c>
      <c r="D393" s="5">
        <f t="shared" si="70"/>
        <v>6</v>
      </c>
      <c r="E393" s="5" t="str">
        <f>_xlfn.XLOOKUP(C393,SkillActive!A:A,SkillActive!B:B,,0)</f>
        <v>吞噬</v>
      </c>
      <c r="F393">
        <f t="shared" si="69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5">
        <f t="shared" si="68"/>
        <v>10002507</v>
      </c>
      <c r="B394" s="33">
        <f>_xlfn.XLOOKUP(C394,SkillActive!$A:$A,SkillActive!C:C,,0)</f>
        <v>0</v>
      </c>
      <c r="C394" s="5">
        <f t="shared" si="67"/>
        <v>100025</v>
      </c>
      <c r="D394" s="5">
        <f t="shared" si="70"/>
        <v>7</v>
      </c>
      <c r="E394" s="5" t="str">
        <f>_xlfn.XLOOKUP(C394,SkillActive!A:A,SkillActive!B:B,,0)</f>
        <v>吞噬</v>
      </c>
      <c r="F394">
        <f t="shared" si="69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5">
        <f t="shared" si="68"/>
        <v>10002508</v>
      </c>
      <c r="B395" s="33">
        <f>_xlfn.XLOOKUP(C395,SkillActive!$A:$A,SkillActive!C:C,,0)</f>
        <v>0</v>
      </c>
      <c r="C395" s="5">
        <f t="shared" si="67"/>
        <v>100025</v>
      </c>
      <c r="D395" s="5">
        <f t="shared" si="70"/>
        <v>8</v>
      </c>
      <c r="E395" s="5" t="str">
        <f>_xlfn.XLOOKUP(C395,SkillActive!A:A,SkillActive!B:B,,0)</f>
        <v>吞噬</v>
      </c>
      <c r="F395">
        <f t="shared" si="69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5">
        <f t="shared" si="68"/>
        <v>10002509</v>
      </c>
      <c r="B396" s="33">
        <f>_xlfn.XLOOKUP(C396,SkillActive!$A:$A,SkillActive!C:C,,0)</f>
        <v>0</v>
      </c>
      <c r="C396" s="5">
        <f t="shared" si="67"/>
        <v>100025</v>
      </c>
      <c r="D396" s="5">
        <f t="shared" si="70"/>
        <v>9</v>
      </c>
      <c r="E396" s="5" t="str">
        <f>_xlfn.XLOOKUP(C396,SkillActive!A:A,SkillActive!B:B,,0)</f>
        <v>吞噬</v>
      </c>
      <c r="F396">
        <f t="shared" si="69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5">
        <f t="shared" si="68"/>
        <v>10002510</v>
      </c>
      <c r="B397" s="33">
        <f>_xlfn.XLOOKUP(C397,SkillActive!$A:$A,SkillActive!C:C,,0)</f>
        <v>0</v>
      </c>
      <c r="C397" s="5">
        <f t="shared" si="67"/>
        <v>100025</v>
      </c>
      <c r="D397" s="5">
        <f t="shared" si="70"/>
        <v>10</v>
      </c>
      <c r="E397" s="5" t="str">
        <f>_xlfn.XLOOKUP(C397,SkillActive!A:A,SkillActive!B:B,,0)</f>
        <v>吞噬</v>
      </c>
      <c r="F397">
        <f t="shared" si="69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5">
        <f t="shared" si="68"/>
        <v>10002511</v>
      </c>
      <c r="B398" s="33">
        <f>_xlfn.XLOOKUP(C398,SkillActive!$A:$A,SkillActive!C:C,,0)</f>
        <v>0</v>
      </c>
      <c r="C398" s="5">
        <f t="shared" si="67"/>
        <v>100025</v>
      </c>
      <c r="D398" s="5">
        <f t="shared" si="70"/>
        <v>11</v>
      </c>
      <c r="E398" s="5" t="str">
        <f>_xlfn.XLOOKUP(C398,SkillActive!A:A,SkillActive!B:B,,0)</f>
        <v>吞噬</v>
      </c>
      <c r="F398">
        <f t="shared" si="69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5">
        <f t="shared" ref="A399:A405" si="71">C399*100+D399</f>
        <v>10002512</v>
      </c>
      <c r="B399" s="33">
        <f>_xlfn.XLOOKUP(C399,SkillActive!$A:$A,SkillActive!C:C,,0)</f>
        <v>0</v>
      </c>
      <c r="C399" s="5">
        <f t="shared" si="67"/>
        <v>100025</v>
      </c>
      <c r="D399" s="5">
        <f t="shared" ref="D399:D405" si="72">D383</f>
        <v>12</v>
      </c>
      <c r="E399" s="5" t="str">
        <f>_xlfn.XLOOKUP(C399,SkillActive!A:A,SkillActive!B:B,,0)</f>
        <v>吞噬</v>
      </c>
      <c r="F399">
        <f t="shared" ref="F399:F405" si="73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5">
        <f t="shared" si="71"/>
        <v>10002513</v>
      </c>
      <c r="B400" s="33">
        <f>_xlfn.XLOOKUP(C400,SkillActive!$A:$A,SkillActive!C:C,,0)</f>
        <v>0</v>
      </c>
      <c r="C400" s="5">
        <f t="shared" si="67"/>
        <v>100025</v>
      </c>
      <c r="D400" s="5">
        <f t="shared" si="72"/>
        <v>13</v>
      </c>
      <c r="E400" s="5" t="str">
        <f>_xlfn.XLOOKUP(C400,SkillActive!A:A,SkillActive!B:B,,0)</f>
        <v>吞噬</v>
      </c>
      <c r="F400">
        <f t="shared" si="73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5">
        <f t="shared" si="71"/>
        <v>10002514</v>
      </c>
      <c r="B401" s="33">
        <f>_xlfn.XLOOKUP(C401,SkillActive!$A:$A,SkillActive!C:C,,0)</f>
        <v>0</v>
      </c>
      <c r="C401" s="5">
        <f t="shared" si="67"/>
        <v>100025</v>
      </c>
      <c r="D401" s="5">
        <f t="shared" si="72"/>
        <v>14</v>
      </c>
      <c r="E401" s="5" t="str">
        <f>_xlfn.XLOOKUP(C401,SkillActive!A:A,SkillActive!B:B,,0)</f>
        <v>吞噬</v>
      </c>
      <c r="F401">
        <f t="shared" si="73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5">
        <f t="shared" si="71"/>
        <v>10002515</v>
      </c>
      <c r="B402" s="33">
        <f>_xlfn.XLOOKUP(C402,SkillActive!$A:$A,SkillActive!C:C,,0)</f>
        <v>0</v>
      </c>
      <c r="C402" s="5">
        <f t="shared" si="67"/>
        <v>100025</v>
      </c>
      <c r="D402" s="5">
        <f t="shared" si="72"/>
        <v>15</v>
      </c>
      <c r="E402" s="5" t="str">
        <f>_xlfn.XLOOKUP(C402,SkillActive!A:A,SkillActive!B:B,,0)</f>
        <v>吞噬</v>
      </c>
      <c r="F402">
        <f t="shared" si="73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5">
        <f t="shared" si="71"/>
        <v>10002516</v>
      </c>
      <c r="B403" s="33">
        <f>_xlfn.XLOOKUP(C403,SkillActive!$A:$A,SkillActive!C:C,,0)</f>
        <v>0</v>
      </c>
      <c r="C403" s="5">
        <f t="shared" si="67"/>
        <v>100025</v>
      </c>
      <c r="D403" s="5">
        <f t="shared" si="72"/>
        <v>16</v>
      </c>
      <c r="E403" s="5" t="str">
        <f>_xlfn.XLOOKUP(C403,SkillActive!A:A,SkillActive!B:B,,0)</f>
        <v>吞噬</v>
      </c>
      <c r="F403">
        <f t="shared" si="73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5">
        <f t="shared" si="71"/>
        <v>10002601</v>
      </c>
      <c r="B404" s="33" t="str">
        <f>_xlfn.XLOOKUP(C404,SkillActive!$A:$A,SkillActive!C:C,,0)</f>
        <v>1|2|3|4|5|6|7</v>
      </c>
      <c r="C404" s="5">
        <f t="shared" si="67"/>
        <v>100026</v>
      </c>
      <c r="D404" s="5">
        <f t="shared" si="72"/>
        <v>1</v>
      </c>
      <c r="E404" s="5" t="str">
        <f>_xlfn.XLOOKUP(C404,SkillActive!A:A,SkillActive!B:B,,0)</f>
        <v>迅捷</v>
      </c>
      <c r="F404">
        <f t="shared" si="73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5">
        <f t="shared" si="71"/>
        <v>10002602</v>
      </c>
      <c r="B405" s="33" t="str">
        <f>_xlfn.XLOOKUP(C405,SkillActive!$A:$A,SkillActive!C:C,,0)</f>
        <v>1|2|3|4|5|6|7</v>
      </c>
      <c r="C405" s="5">
        <f t="shared" si="67"/>
        <v>100026</v>
      </c>
      <c r="D405" s="5">
        <f t="shared" si="72"/>
        <v>2</v>
      </c>
      <c r="E405" s="5" t="str">
        <f>_xlfn.XLOOKUP(C405,SkillActive!A:A,SkillActive!B:B,,0)</f>
        <v>迅捷</v>
      </c>
      <c r="F405">
        <f t="shared" si="73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5">
        <f t="shared" ref="A406:A412" si="74">C406*100+D406</f>
        <v>10002603</v>
      </c>
      <c r="B406" s="33" t="str">
        <f>_xlfn.XLOOKUP(C406,SkillActive!$A:$A,SkillActive!C:C,,0)</f>
        <v>1|2|3|4|5|6|7</v>
      </c>
      <c r="C406" s="5">
        <f t="shared" si="67"/>
        <v>100026</v>
      </c>
      <c r="D406" s="5">
        <f t="shared" ref="D406:D412" si="75">D390</f>
        <v>3</v>
      </c>
      <c r="E406" s="5" t="str">
        <f>_xlfn.XLOOKUP(C406,SkillActive!A:A,SkillActive!B:B,,0)</f>
        <v>迅捷</v>
      </c>
      <c r="F406">
        <f t="shared" ref="F406:F412" si="76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5">
        <f t="shared" si="74"/>
        <v>10002604</v>
      </c>
      <c r="B407" s="33" t="str">
        <f>_xlfn.XLOOKUP(C407,SkillActive!$A:$A,SkillActive!C:C,,0)</f>
        <v>1|2|3|4|5|6|7</v>
      </c>
      <c r="C407" s="5">
        <f t="shared" si="67"/>
        <v>100026</v>
      </c>
      <c r="D407" s="5">
        <f t="shared" si="75"/>
        <v>4</v>
      </c>
      <c r="E407" s="5" t="str">
        <f>_xlfn.XLOOKUP(C407,SkillActive!A:A,SkillActive!B:B,,0)</f>
        <v>迅捷</v>
      </c>
      <c r="F407">
        <f t="shared" si="76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5">
        <f t="shared" si="74"/>
        <v>10002605</v>
      </c>
      <c r="B408" s="33" t="str">
        <f>_xlfn.XLOOKUP(C408,SkillActive!$A:$A,SkillActive!C:C,,0)</f>
        <v>1|2|3|4|5|6|7</v>
      </c>
      <c r="C408" s="5">
        <f t="shared" si="67"/>
        <v>100026</v>
      </c>
      <c r="D408" s="5">
        <f t="shared" si="75"/>
        <v>5</v>
      </c>
      <c r="E408" s="5" t="str">
        <f>_xlfn.XLOOKUP(C408,SkillActive!A:A,SkillActive!B:B,,0)</f>
        <v>迅捷</v>
      </c>
      <c r="F408">
        <f t="shared" si="76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5">
        <f t="shared" si="74"/>
        <v>10002606</v>
      </c>
      <c r="B409" s="33" t="str">
        <f>_xlfn.XLOOKUP(C409,SkillActive!$A:$A,SkillActive!C:C,,0)</f>
        <v>1|2|3|4|5|6|7</v>
      </c>
      <c r="C409" s="5">
        <f t="shared" si="67"/>
        <v>100026</v>
      </c>
      <c r="D409" s="5">
        <f t="shared" si="75"/>
        <v>6</v>
      </c>
      <c r="E409" s="5" t="str">
        <f>_xlfn.XLOOKUP(C409,SkillActive!A:A,SkillActive!B:B,,0)</f>
        <v>迅捷</v>
      </c>
      <c r="F409">
        <f t="shared" si="76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5">
        <f t="shared" si="74"/>
        <v>10002607</v>
      </c>
      <c r="B410" s="33" t="str">
        <f>_xlfn.XLOOKUP(C410,SkillActive!$A:$A,SkillActive!C:C,,0)</f>
        <v>1|2|3|4|5|6|7</v>
      </c>
      <c r="C410" s="5">
        <f t="shared" si="67"/>
        <v>100026</v>
      </c>
      <c r="D410" s="5">
        <f t="shared" si="75"/>
        <v>7</v>
      </c>
      <c r="E410" s="5" t="str">
        <f>_xlfn.XLOOKUP(C410,SkillActive!A:A,SkillActive!B:B,,0)</f>
        <v>迅捷</v>
      </c>
      <c r="F410">
        <f t="shared" si="76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5">
        <f t="shared" si="74"/>
        <v>10002608</v>
      </c>
      <c r="B411" s="33" t="str">
        <f>_xlfn.XLOOKUP(C411,SkillActive!$A:$A,SkillActive!C:C,,0)</f>
        <v>1|2|3|4|5|6|7</v>
      </c>
      <c r="C411" s="5">
        <f t="shared" si="67"/>
        <v>100026</v>
      </c>
      <c r="D411" s="5">
        <f t="shared" si="75"/>
        <v>8</v>
      </c>
      <c r="E411" s="5" t="str">
        <f>_xlfn.XLOOKUP(C411,SkillActive!A:A,SkillActive!B:B,,0)</f>
        <v>迅捷</v>
      </c>
      <c r="F411">
        <f t="shared" si="76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5">
        <f t="shared" si="74"/>
        <v>10002609</v>
      </c>
      <c r="B412" s="33" t="str">
        <f>_xlfn.XLOOKUP(C412,SkillActive!$A:$A,SkillActive!C:C,,0)</f>
        <v>1|2|3|4|5|6|7</v>
      </c>
      <c r="C412" s="5">
        <f t="shared" si="67"/>
        <v>100026</v>
      </c>
      <c r="D412" s="5">
        <f t="shared" si="75"/>
        <v>9</v>
      </c>
      <c r="E412" s="5" t="str">
        <f>_xlfn.XLOOKUP(C412,SkillActive!A:A,SkillActive!B:B,,0)</f>
        <v>迅捷</v>
      </c>
      <c r="F412">
        <f t="shared" si="76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5">
        <f t="shared" ref="A413:A418" si="77">C413*100+D413</f>
        <v>10002610</v>
      </c>
      <c r="B413" s="33" t="str">
        <f>_xlfn.XLOOKUP(C413,SkillActive!$A:$A,SkillActive!C:C,,0)</f>
        <v>1|2|3|4|5|6|7</v>
      </c>
      <c r="C413" s="5">
        <f t="shared" si="67"/>
        <v>100026</v>
      </c>
      <c r="D413" s="5">
        <f t="shared" ref="D413:D426" si="78">D397</f>
        <v>10</v>
      </c>
      <c r="E413" s="5" t="str">
        <f>_xlfn.XLOOKUP(C413,SkillActive!A:A,SkillActive!B:B,,0)</f>
        <v>迅捷</v>
      </c>
      <c r="F413">
        <f t="shared" ref="F413:F418" si="79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5">
        <f t="shared" si="77"/>
        <v>10002611</v>
      </c>
      <c r="B414" s="33" t="str">
        <f>_xlfn.XLOOKUP(C414,SkillActive!$A:$A,SkillActive!C:C,,0)</f>
        <v>1|2|3|4|5|6|7</v>
      </c>
      <c r="C414" s="5">
        <f t="shared" si="67"/>
        <v>100026</v>
      </c>
      <c r="D414" s="5">
        <f t="shared" si="78"/>
        <v>11</v>
      </c>
      <c r="E414" s="5" t="str">
        <f>_xlfn.XLOOKUP(C414,SkillActive!A:A,SkillActive!B:B,,0)</f>
        <v>迅捷</v>
      </c>
      <c r="F414">
        <f t="shared" si="79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5">
        <f t="shared" si="77"/>
        <v>10002612</v>
      </c>
      <c r="B415" s="33" t="str">
        <f>_xlfn.XLOOKUP(C415,SkillActive!$A:$A,SkillActive!C:C,,0)</f>
        <v>1|2|3|4|5|6|7</v>
      </c>
      <c r="C415" s="5">
        <f t="shared" si="67"/>
        <v>100026</v>
      </c>
      <c r="D415" s="5">
        <f t="shared" si="78"/>
        <v>12</v>
      </c>
      <c r="E415" s="5" t="str">
        <f>_xlfn.XLOOKUP(C415,SkillActive!A:A,SkillActive!B:B,,0)</f>
        <v>迅捷</v>
      </c>
      <c r="F415">
        <f t="shared" si="79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5">
        <f t="shared" si="77"/>
        <v>10002613</v>
      </c>
      <c r="B416" s="33" t="str">
        <f>_xlfn.XLOOKUP(C416,SkillActive!$A:$A,SkillActive!C:C,,0)</f>
        <v>1|2|3|4|5|6|7</v>
      </c>
      <c r="C416" s="5">
        <f t="shared" si="67"/>
        <v>100026</v>
      </c>
      <c r="D416" s="5">
        <f t="shared" si="78"/>
        <v>13</v>
      </c>
      <c r="E416" s="5" t="str">
        <f>_xlfn.XLOOKUP(C416,SkillActive!A:A,SkillActive!B:B,,0)</f>
        <v>迅捷</v>
      </c>
      <c r="F416">
        <f t="shared" si="79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5">
        <f t="shared" si="77"/>
        <v>10002614</v>
      </c>
      <c r="B417" s="33" t="str">
        <f>_xlfn.XLOOKUP(C417,SkillActive!$A:$A,SkillActive!C:C,,0)</f>
        <v>1|2|3|4|5|6|7</v>
      </c>
      <c r="C417" s="5">
        <f t="shared" si="67"/>
        <v>100026</v>
      </c>
      <c r="D417" s="5">
        <f t="shared" si="78"/>
        <v>14</v>
      </c>
      <c r="E417" s="5" t="str">
        <f>_xlfn.XLOOKUP(C417,SkillActive!A:A,SkillActive!B:B,,0)</f>
        <v>迅捷</v>
      </c>
      <c r="F417">
        <f t="shared" si="79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5">
        <f t="shared" si="77"/>
        <v>10002615</v>
      </c>
      <c r="B418" s="33" t="str">
        <f>_xlfn.XLOOKUP(C418,SkillActive!$A:$A,SkillActive!C:C,,0)</f>
        <v>1|2|3|4|5|6|7</v>
      </c>
      <c r="C418" s="5">
        <f t="shared" si="67"/>
        <v>100026</v>
      </c>
      <c r="D418" s="5">
        <f t="shared" si="78"/>
        <v>15</v>
      </c>
      <c r="E418" s="5" t="str">
        <f>_xlfn.XLOOKUP(C418,SkillActive!A:A,SkillActive!B:B,,0)</f>
        <v>迅捷</v>
      </c>
      <c r="F418">
        <f t="shared" si="79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5">
        <f t="shared" ref="A419:A421" si="80">C419*100+D419</f>
        <v>10002616</v>
      </c>
      <c r="B419" s="33" t="str">
        <f>_xlfn.XLOOKUP(C419,SkillActive!$A:$A,SkillActive!C:C,,0)</f>
        <v>1|2|3|4|5|6|7</v>
      </c>
      <c r="C419" s="5">
        <f t="shared" si="67"/>
        <v>100026</v>
      </c>
      <c r="D419" s="5">
        <f t="shared" si="78"/>
        <v>16</v>
      </c>
      <c r="E419" s="5" t="str">
        <f>_xlfn.XLOOKUP(C419,SkillActive!A:A,SkillActive!B:B,,0)</f>
        <v>迅捷</v>
      </c>
      <c r="F419">
        <f t="shared" ref="F419:F421" si="81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5">
        <f t="shared" si="80"/>
        <v>10002701</v>
      </c>
      <c r="B420" s="33" t="str">
        <f>_xlfn.XLOOKUP(C420,SkillActive!$A:$A,SkillActive!C:C,,0)</f>
        <v>1|2|3|4|5|6|7</v>
      </c>
      <c r="C420" s="5">
        <f t="shared" si="67"/>
        <v>100027</v>
      </c>
      <c r="D420" s="5">
        <f t="shared" si="78"/>
        <v>1</v>
      </c>
      <c r="E420" s="5" t="str">
        <f>_xlfn.XLOOKUP(C420,SkillActive!A:A,SkillActive!B:B,,0)</f>
        <v>精准投射</v>
      </c>
      <c r="F420">
        <f t="shared" si="81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5">
        <f t="shared" si="80"/>
        <v>10002702</v>
      </c>
      <c r="B421" s="33" t="str">
        <f>_xlfn.XLOOKUP(C421,SkillActive!$A:$A,SkillActive!C:C,,0)</f>
        <v>1|2|3|4|5|6|7</v>
      </c>
      <c r="C421" s="5">
        <f t="shared" si="67"/>
        <v>100027</v>
      </c>
      <c r="D421" s="5">
        <f t="shared" si="78"/>
        <v>2</v>
      </c>
      <c r="E421" s="5" t="str">
        <f>_xlfn.XLOOKUP(C421,SkillActive!A:A,SkillActive!B:B,,0)</f>
        <v>精准投射</v>
      </c>
      <c r="F421">
        <f t="shared" si="81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5">
        <f t="shared" ref="A422:A430" si="82">C422*100+D422</f>
        <v>10002703</v>
      </c>
      <c r="B422" s="33" t="str">
        <f>_xlfn.XLOOKUP(C422,SkillActive!$A:$A,SkillActive!C:C,,0)</f>
        <v>1|2|3|4|5|6|7</v>
      </c>
      <c r="C422" s="5">
        <f t="shared" si="67"/>
        <v>100027</v>
      </c>
      <c r="D422" s="5">
        <f t="shared" ref="D422:D430" si="83">D406</f>
        <v>3</v>
      </c>
      <c r="E422" s="5" t="str">
        <f>_xlfn.XLOOKUP(C422,SkillActive!A:A,SkillActive!B:B,,0)</f>
        <v>精准投射</v>
      </c>
      <c r="F422">
        <f t="shared" ref="F422:F430" si="84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5">
        <f t="shared" si="82"/>
        <v>10002704</v>
      </c>
      <c r="B423" s="33" t="str">
        <f>_xlfn.XLOOKUP(C423,SkillActive!$A:$A,SkillActive!C:C,,0)</f>
        <v>1|2|3|4|5|6|7</v>
      </c>
      <c r="C423" s="5">
        <f t="shared" si="67"/>
        <v>100027</v>
      </c>
      <c r="D423" s="5">
        <f t="shared" si="83"/>
        <v>4</v>
      </c>
      <c r="E423" s="5" t="str">
        <f>_xlfn.XLOOKUP(C423,SkillActive!A:A,SkillActive!B:B,,0)</f>
        <v>精准投射</v>
      </c>
      <c r="F423">
        <f t="shared" si="84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5">
        <f t="shared" si="82"/>
        <v>10002705</v>
      </c>
      <c r="B424" s="33" t="str">
        <f>_xlfn.XLOOKUP(C424,SkillActive!$A:$A,SkillActive!C:C,,0)</f>
        <v>1|2|3|4|5|6|7</v>
      </c>
      <c r="C424" s="5">
        <f t="shared" si="67"/>
        <v>100027</v>
      </c>
      <c r="D424" s="5">
        <f t="shared" si="83"/>
        <v>5</v>
      </c>
      <c r="E424" s="5" t="str">
        <f>_xlfn.XLOOKUP(C424,SkillActive!A:A,SkillActive!B:B,,0)</f>
        <v>精准投射</v>
      </c>
      <c r="F424">
        <f t="shared" si="84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5">
        <f t="shared" si="82"/>
        <v>10002706</v>
      </c>
      <c r="B425" s="33" t="str">
        <f>_xlfn.XLOOKUP(C425,SkillActive!$A:$A,SkillActive!C:C,,0)</f>
        <v>1|2|3|4|5|6|7</v>
      </c>
      <c r="C425" s="5">
        <f t="shared" si="67"/>
        <v>100027</v>
      </c>
      <c r="D425" s="5">
        <f t="shared" si="83"/>
        <v>6</v>
      </c>
      <c r="E425" s="5" t="str">
        <f>_xlfn.XLOOKUP(C425,SkillActive!A:A,SkillActive!B:B,,0)</f>
        <v>精准投射</v>
      </c>
      <c r="F425">
        <f t="shared" si="84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5">
        <f t="shared" si="82"/>
        <v>10002707</v>
      </c>
      <c r="B426" s="33" t="str">
        <f>_xlfn.XLOOKUP(C426,SkillActive!$A:$A,SkillActive!C:C,,0)</f>
        <v>1|2|3|4|5|6|7</v>
      </c>
      <c r="C426" s="5">
        <f t="shared" si="67"/>
        <v>100027</v>
      </c>
      <c r="D426" s="5">
        <f t="shared" si="83"/>
        <v>7</v>
      </c>
      <c r="E426" s="5" t="str">
        <f>_xlfn.XLOOKUP(C426,SkillActive!A:A,SkillActive!B:B,,0)</f>
        <v>精准投射</v>
      </c>
      <c r="F426">
        <f t="shared" si="84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5">
        <f t="shared" si="82"/>
        <v>10002708</v>
      </c>
      <c r="B427" s="33" t="str">
        <f>_xlfn.XLOOKUP(C427,SkillActive!$A:$A,SkillActive!C:C,,0)</f>
        <v>1|2|3|4|5|6|7</v>
      </c>
      <c r="C427" s="5">
        <f t="shared" si="67"/>
        <v>100027</v>
      </c>
      <c r="D427" s="5">
        <f t="shared" si="83"/>
        <v>8</v>
      </c>
      <c r="E427" s="5" t="str">
        <f>_xlfn.XLOOKUP(C427,SkillActive!A:A,SkillActive!B:B,,0)</f>
        <v>精准投射</v>
      </c>
      <c r="F427">
        <f t="shared" si="84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5">
        <f t="shared" si="82"/>
        <v>10002709</v>
      </c>
      <c r="B428" s="33" t="str">
        <f>_xlfn.XLOOKUP(C428,SkillActive!$A:$A,SkillActive!C:C,,0)</f>
        <v>1|2|3|4|5|6|7</v>
      </c>
      <c r="C428" s="5">
        <f t="shared" si="67"/>
        <v>100027</v>
      </c>
      <c r="D428" s="5">
        <f t="shared" si="83"/>
        <v>9</v>
      </c>
      <c r="E428" s="5" t="str">
        <f>_xlfn.XLOOKUP(C428,SkillActive!A:A,SkillActive!B:B,,0)</f>
        <v>精准投射</v>
      </c>
      <c r="F428">
        <f t="shared" si="84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5">
        <f t="shared" si="82"/>
        <v>10002710</v>
      </c>
      <c r="B429" s="33" t="str">
        <f>_xlfn.XLOOKUP(C429,SkillActive!$A:$A,SkillActive!C:C,,0)</f>
        <v>1|2|3|4|5|6|7</v>
      </c>
      <c r="C429" s="5">
        <f t="shared" si="67"/>
        <v>100027</v>
      </c>
      <c r="D429" s="5">
        <f t="shared" si="83"/>
        <v>10</v>
      </c>
      <c r="E429" s="5" t="str">
        <f>_xlfn.XLOOKUP(C429,SkillActive!A:A,SkillActive!B:B,,0)</f>
        <v>精准投射</v>
      </c>
      <c r="F429">
        <f t="shared" si="84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5">
        <f t="shared" si="82"/>
        <v>10002711</v>
      </c>
      <c r="B430" s="33" t="str">
        <f>_xlfn.XLOOKUP(C430,SkillActive!$A:$A,SkillActive!C:C,,0)</f>
        <v>1|2|3|4|5|6|7</v>
      </c>
      <c r="C430" s="5">
        <f t="shared" si="67"/>
        <v>100027</v>
      </c>
      <c r="D430" s="5">
        <f t="shared" si="83"/>
        <v>11</v>
      </c>
      <c r="E430" s="5" t="str">
        <f>_xlfn.XLOOKUP(C430,SkillActive!A:A,SkillActive!B:B,,0)</f>
        <v>精准投射</v>
      </c>
      <c r="F430">
        <f t="shared" si="84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5">
        <f t="shared" ref="A431:A437" si="85">C431*100+D431</f>
        <v>10002712</v>
      </c>
      <c r="B431" s="33" t="str">
        <f>_xlfn.XLOOKUP(C431,SkillActive!$A:$A,SkillActive!C:C,,0)</f>
        <v>1|2|3|4|5|6|7</v>
      </c>
      <c r="C431" s="5">
        <f t="shared" si="67"/>
        <v>100027</v>
      </c>
      <c r="D431" s="5">
        <f t="shared" ref="D431:D437" si="86">D415</f>
        <v>12</v>
      </c>
      <c r="E431" s="5" t="str">
        <f>_xlfn.XLOOKUP(C431,SkillActive!A:A,SkillActive!B:B,,0)</f>
        <v>精准投射</v>
      </c>
      <c r="F431">
        <f t="shared" ref="F431:F437" si="87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5">
        <f t="shared" si="85"/>
        <v>10002713</v>
      </c>
      <c r="B432" s="33" t="str">
        <f>_xlfn.XLOOKUP(C432,SkillActive!$A:$A,SkillActive!C:C,,0)</f>
        <v>1|2|3|4|5|6|7</v>
      </c>
      <c r="C432" s="5">
        <f t="shared" si="67"/>
        <v>100027</v>
      </c>
      <c r="D432" s="5">
        <f t="shared" si="86"/>
        <v>13</v>
      </c>
      <c r="E432" s="5" t="str">
        <f>_xlfn.XLOOKUP(C432,SkillActive!A:A,SkillActive!B:B,,0)</f>
        <v>精准投射</v>
      </c>
      <c r="F432">
        <f t="shared" si="87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5">
        <f t="shared" si="85"/>
        <v>10002714</v>
      </c>
      <c r="B433" s="33" t="str">
        <f>_xlfn.XLOOKUP(C433,SkillActive!$A:$A,SkillActive!C:C,,0)</f>
        <v>1|2|3|4|5|6|7</v>
      </c>
      <c r="C433" s="5">
        <f t="shared" si="67"/>
        <v>100027</v>
      </c>
      <c r="D433" s="5">
        <f t="shared" si="86"/>
        <v>14</v>
      </c>
      <c r="E433" s="5" t="str">
        <f>_xlfn.XLOOKUP(C433,SkillActive!A:A,SkillActive!B:B,,0)</f>
        <v>精准投射</v>
      </c>
      <c r="F433">
        <f t="shared" si="87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5">
        <f t="shared" si="85"/>
        <v>10002715</v>
      </c>
      <c r="B434" s="33" t="str">
        <f>_xlfn.XLOOKUP(C434,SkillActive!$A:$A,SkillActive!C:C,,0)</f>
        <v>1|2|3|4|5|6|7</v>
      </c>
      <c r="C434" s="5">
        <f t="shared" si="67"/>
        <v>100027</v>
      </c>
      <c r="D434" s="5">
        <f t="shared" si="86"/>
        <v>15</v>
      </c>
      <c r="E434" s="5" t="str">
        <f>_xlfn.XLOOKUP(C434,SkillActive!A:A,SkillActive!B:B,,0)</f>
        <v>精准投射</v>
      </c>
      <c r="F434">
        <f t="shared" si="87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5">
        <f t="shared" si="85"/>
        <v>10002716</v>
      </c>
      <c r="B435" s="33" t="str">
        <f>_xlfn.XLOOKUP(C435,SkillActive!$A:$A,SkillActive!C:C,,0)</f>
        <v>1|2|3|4|5|6|7</v>
      </c>
      <c r="C435" s="5">
        <f t="shared" si="67"/>
        <v>100027</v>
      </c>
      <c r="D435" s="5">
        <f t="shared" si="86"/>
        <v>16</v>
      </c>
      <c r="E435" s="5" t="str">
        <f>_xlfn.XLOOKUP(C435,SkillActive!A:A,SkillActive!B:B,,0)</f>
        <v>精准投射</v>
      </c>
      <c r="F435">
        <f t="shared" si="87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5">
        <f t="shared" si="85"/>
        <v>10002801</v>
      </c>
      <c r="B436" s="33" t="str">
        <f>_xlfn.XLOOKUP(C436,SkillActive!$A:$A,SkillActive!C:C,,0)</f>
        <v>1|2|3|4|5|6|7</v>
      </c>
      <c r="C436" s="5">
        <f t="shared" si="67"/>
        <v>100028</v>
      </c>
      <c r="D436" s="5">
        <f t="shared" si="86"/>
        <v>1</v>
      </c>
      <c r="E436" s="5" t="str">
        <f>_xlfn.XLOOKUP(C436,SkillActive!A:A,SkillActive!B:B,,0)</f>
        <v>领域扩张</v>
      </c>
      <c r="F436">
        <f t="shared" si="87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5">
        <f t="shared" si="85"/>
        <v>10002802</v>
      </c>
      <c r="B437" s="33" t="str">
        <f>_xlfn.XLOOKUP(C437,SkillActive!$A:$A,SkillActive!C:C,,0)</f>
        <v>1|2|3|4|5|6|7</v>
      </c>
      <c r="C437" s="5">
        <f t="shared" si="67"/>
        <v>100028</v>
      </c>
      <c r="D437" s="5">
        <f t="shared" si="86"/>
        <v>2</v>
      </c>
      <c r="E437" s="5" t="str">
        <f>_xlfn.XLOOKUP(C437,SkillActive!A:A,SkillActive!B:B,,0)</f>
        <v>领域扩张</v>
      </c>
      <c r="F437">
        <f t="shared" si="87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5">
        <f t="shared" ref="A438:A446" si="88">C438*100+D438</f>
        <v>10002803</v>
      </c>
      <c r="B438" s="33" t="str">
        <f>_xlfn.XLOOKUP(C438,SkillActive!$A:$A,SkillActive!C:C,,0)</f>
        <v>1|2|3|4|5|6|7</v>
      </c>
      <c r="C438" s="5">
        <f t="shared" si="67"/>
        <v>100028</v>
      </c>
      <c r="D438" s="5">
        <f t="shared" ref="D438:D444" si="89">D422</f>
        <v>3</v>
      </c>
      <c r="E438" s="5" t="str">
        <f>_xlfn.XLOOKUP(C438,SkillActive!A:A,SkillActive!B:B,,0)</f>
        <v>领域扩张</v>
      </c>
      <c r="F438">
        <f t="shared" ref="F438:F446" si="90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5">
        <f t="shared" si="88"/>
        <v>10002804</v>
      </c>
      <c r="B439" s="33" t="str">
        <f>_xlfn.XLOOKUP(C439,SkillActive!$A:$A,SkillActive!C:C,,0)</f>
        <v>1|2|3|4|5|6|7</v>
      </c>
      <c r="C439" s="5">
        <f t="shared" si="67"/>
        <v>100028</v>
      </c>
      <c r="D439" s="5">
        <f t="shared" si="89"/>
        <v>4</v>
      </c>
      <c r="E439" s="5" t="str">
        <f>_xlfn.XLOOKUP(C439,SkillActive!A:A,SkillActive!B:B,,0)</f>
        <v>领域扩张</v>
      </c>
      <c r="F439">
        <f t="shared" si="90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5">
        <f t="shared" si="88"/>
        <v>10002805</v>
      </c>
      <c r="B440" s="33" t="str">
        <f>_xlfn.XLOOKUP(C440,SkillActive!$A:$A,SkillActive!C:C,,0)</f>
        <v>1|2|3|4|5|6|7</v>
      </c>
      <c r="C440" s="5">
        <f t="shared" si="67"/>
        <v>100028</v>
      </c>
      <c r="D440" s="5">
        <f t="shared" si="89"/>
        <v>5</v>
      </c>
      <c r="E440" s="5" t="str">
        <f>_xlfn.XLOOKUP(C440,SkillActive!A:A,SkillActive!B:B,,0)</f>
        <v>领域扩张</v>
      </c>
      <c r="F440">
        <f t="shared" si="90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5">
        <f t="shared" si="88"/>
        <v>10002806</v>
      </c>
      <c r="B441" s="33" t="str">
        <f>_xlfn.XLOOKUP(C441,SkillActive!$A:$A,SkillActive!C:C,,0)</f>
        <v>1|2|3|4|5|6|7</v>
      </c>
      <c r="C441" s="5">
        <f t="shared" si="67"/>
        <v>100028</v>
      </c>
      <c r="D441" s="5">
        <f t="shared" si="89"/>
        <v>6</v>
      </c>
      <c r="E441" s="5" t="str">
        <f>_xlfn.XLOOKUP(C441,SkillActive!A:A,SkillActive!B:B,,0)</f>
        <v>领域扩张</v>
      </c>
      <c r="F441">
        <f t="shared" si="90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5">
        <f t="shared" si="88"/>
        <v>10002807</v>
      </c>
      <c r="B442" s="33" t="str">
        <f>_xlfn.XLOOKUP(C442,SkillActive!$A:$A,SkillActive!C:C,,0)</f>
        <v>1|2|3|4|5|6|7</v>
      </c>
      <c r="C442" s="5">
        <f t="shared" ref="C442:C505" si="91">C426+1</f>
        <v>100028</v>
      </c>
      <c r="D442" s="5">
        <f t="shared" si="89"/>
        <v>7</v>
      </c>
      <c r="E442" s="5" t="str">
        <f>_xlfn.XLOOKUP(C442,SkillActive!A:A,SkillActive!B:B,,0)</f>
        <v>领域扩张</v>
      </c>
      <c r="F442">
        <f t="shared" si="90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5">
        <f t="shared" si="88"/>
        <v>10002808</v>
      </c>
      <c r="B443" s="33" t="str">
        <f>_xlfn.XLOOKUP(C443,SkillActive!$A:$A,SkillActive!C:C,,0)</f>
        <v>1|2|3|4|5|6|7</v>
      </c>
      <c r="C443" s="5">
        <f t="shared" si="91"/>
        <v>100028</v>
      </c>
      <c r="D443" s="5">
        <f t="shared" si="89"/>
        <v>8</v>
      </c>
      <c r="E443" s="5" t="str">
        <f>_xlfn.XLOOKUP(C443,SkillActive!A:A,SkillActive!B:B,,0)</f>
        <v>领域扩张</v>
      </c>
      <c r="F443">
        <f t="shared" si="90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5">
        <f t="shared" si="88"/>
        <v>10002809</v>
      </c>
      <c r="B444" s="33" t="str">
        <f>_xlfn.XLOOKUP(C444,SkillActive!$A:$A,SkillActive!C:C,,0)</f>
        <v>1|2|3|4|5|6|7</v>
      </c>
      <c r="C444" s="5">
        <f t="shared" si="91"/>
        <v>100028</v>
      </c>
      <c r="D444" s="5">
        <f t="shared" si="89"/>
        <v>9</v>
      </c>
      <c r="E444" s="5" t="str">
        <f>_xlfn.XLOOKUP(C444,SkillActive!A:A,SkillActive!B:B,,0)</f>
        <v>领域扩张</v>
      </c>
      <c r="F444">
        <f t="shared" si="90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5">
        <f t="shared" si="88"/>
        <v>10002810</v>
      </c>
      <c r="B445" s="33" t="str">
        <f>_xlfn.XLOOKUP(C445,SkillActive!$A:$A,SkillActive!C:C,,0)</f>
        <v>1|2|3|4|5|6|7</v>
      </c>
      <c r="C445" s="5">
        <f t="shared" si="91"/>
        <v>100028</v>
      </c>
      <c r="D445" s="5">
        <f t="shared" ref="D445:D453" si="92">D429</f>
        <v>10</v>
      </c>
      <c r="E445" s="5" t="str">
        <f>_xlfn.XLOOKUP(C445,SkillActive!A:A,SkillActive!B:B,,0)</f>
        <v>领域扩张</v>
      </c>
      <c r="F445">
        <f t="shared" si="90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5">
        <f t="shared" si="88"/>
        <v>10002811</v>
      </c>
      <c r="B446" s="33" t="str">
        <f>_xlfn.XLOOKUP(C446,SkillActive!$A:$A,SkillActive!C:C,,0)</f>
        <v>1|2|3|4|5|6|7</v>
      </c>
      <c r="C446" s="5">
        <f t="shared" si="91"/>
        <v>100028</v>
      </c>
      <c r="D446" s="5">
        <f t="shared" si="92"/>
        <v>11</v>
      </c>
      <c r="E446" s="5" t="str">
        <f>_xlfn.XLOOKUP(C446,SkillActive!A:A,SkillActive!B:B,,0)</f>
        <v>领域扩张</v>
      </c>
      <c r="F446">
        <f t="shared" si="90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5">
        <f t="shared" ref="A447:A453" si="93">C447*100+D447</f>
        <v>10002812</v>
      </c>
      <c r="B447" s="33" t="str">
        <f>_xlfn.XLOOKUP(C447,SkillActive!$A:$A,SkillActive!C:C,,0)</f>
        <v>1|2|3|4|5|6|7</v>
      </c>
      <c r="C447" s="5">
        <f t="shared" si="91"/>
        <v>100028</v>
      </c>
      <c r="D447" s="5">
        <f t="shared" si="92"/>
        <v>12</v>
      </c>
      <c r="E447" s="5" t="str">
        <f>_xlfn.XLOOKUP(C447,SkillActive!A:A,SkillActive!B:B,,0)</f>
        <v>领域扩张</v>
      </c>
      <c r="F447">
        <f t="shared" ref="F447:F453" si="94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5">
        <f t="shared" si="93"/>
        <v>10002813</v>
      </c>
      <c r="B448" s="33" t="str">
        <f>_xlfn.XLOOKUP(C448,SkillActive!$A:$A,SkillActive!C:C,,0)</f>
        <v>1|2|3|4|5|6|7</v>
      </c>
      <c r="C448" s="5">
        <f t="shared" si="91"/>
        <v>100028</v>
      </c>
      <c r="D448" s="5">
        <f t="shared" si="92"/>
        <v>13</v>
      </c>
      <c r="E448" s="5" t="str">
        <f>_xlfn.XLOOKUP(C448,SkillActive!A:A,SkillActive!B:B,,0)</f>
        <v>领域扩张</v>
      </c>
      <c r="F448">
        <f t="shared" si="94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5">
        <f t="shared" si="93"/>
        <v>10002814</v>
      </c>
      <c r="B449" s="33" t="str">
        <f>_xlfn.XLOOKUP(C449,SkillActive!$A:$A,SkillActive!C:C,,0)</f>
        <v>1|2|3|4|5|6|7</v>
      </c>
      <c r="C449" s="5">
        <f t="shared" si="91"/>
        <v>100028</v>
      </c>
      <c r="D449" s="5">
        <f t="shared" si="92"/>
        <v>14</v>
      </c>
      <c r="E449" s="5" t="str">
        <f>_xlfn.XLOOKUP(C449,SkillActive!A:A,SkillActive!B:B,,0)</f>
        <v>领域扩张</v>
      </c>
      <c r="F449">
        <f t="shared" si="94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5">
        <f t="shared" si="93"/>
        <v>10002815</v>
      </c>
      <c r="B450" s="33" t="str">
        <f>_xlfn.XLOOKUP(C450,SkillActive!$A:$A,SkillActive!C:C,,0)</f>
        <v>1|2|3|4|5|6|7</v>
      </c>
      <c r="C450" s="5">
        <f t="shared" si="91"/>
        <v>100028</v>
      </c>
      <c r="D450" s="5">
        <f t="shared" si="92"/>
        <v>15</v>
      </c>
      <c r="E450" s="5" t="str">
        <f>_xlfn.XLOOKUP(C450,SkillActive!A:A,SkillActive!B:B,,0)</f>
        <v>领域扩张</v>
      </c>
      <c r="F450">
        <f t="shared" si="94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5">
        <f t="shared" si="93"/>
        <v>10002816</v>
      </c>
      <c r="B451" s="33" t="str">
        <f>_xlfn.XLOOKUP(C451,SkillActive!$A:$A,SkillActive!C:C,,0)</f>
        <v>1|2|3|4|5|6|7</v>
      </c>
      <c r="C451" s="5">
        <f t="shared" si="91"/>
        <v>100028</v>
      </c>
      <c r="D451" s="5">
        <f t="shared" si="92"/>
        <v>16</v>
      </c>
      <c r="E451" s="5" t="str">
        <f>_xlfn.XLOOKUP(C451,SkillActive!A:A,SkillActive!B:B,,0)</f>
        <v>领域扩张</v>
      </c>
      <c r="F451">
        <f t="shared" si="94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5">
        <f t="shared" si="93"/>
        <v>10002901</v>
      </c>
      <c r="B452" s="33" t="str">
        <f>_xlfn.XLOOKUP(C452,SkillActive!$A:$A,SkillActive!C:C,,0)</f>
        <v>1|2|3|4|5|6|7</v>
      </c>
      <c r="C452" s="5">
        <f t="shared" si="91"/>
        <v>100029</v>
      </c>
      <c r="D452" s="5">
        <f t="shared" si="92"/>
        <v>1</v>
      </c>
      <c r="E452" s="5" t="str">
        <f>_xlfn.XLOOKUP(C452,SkillActive!A:A,SkillActive!B:B,,0)</f>
        <v>狂暴</v>
      </c>
      <c r="F452">
        <f t="shared" si="94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5">
        <f t="shared" si="93"/>
        <v>10002902</v>
      </c>
      <c r="B453" s="33" t="str">
        <f>_xlfn.XLOOKUP(C453,SkillActive!$A:$A,SkillActive!C:C,,0)</f>
        <v>1|2|3|4|5|6|7</v>
      </c>
      <c r="C453" s="5">
        <f t="shared" si="91"/>
        <v>100029</v>
      </c>
      <c r="D453" s="5">
        <f t="shared" si="92"/>
        <v>2</v>
      </c>
      <c r="E453" s="5" t="str">
        <f>_xlfn.XLOOKUP(C453,SkillActive!A:A,SkillActive!B:B,,0)</f>
        <v>狂暴</v>
      </c>
      <c r="F453">
        <f t="shared" si="94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5">
        <f t="shared" ref="A454:A462" si="95">C454*100+D454</f>
        <v>10002903</v>
      </c>
      <c r="B454" s="33" t="str">
        <f>_xlfn.XLOOKUP(C454,SkillActive!$A:$A,SkillActive!C:C,,0)</f>
        <v>1|2|3|4|5|6|7</v>
      </c>
      <c r="C454" s="5">
        <f t="shared" si="91"/>
        <v>100029</v>
      </c>
      <c r="D454" s="5">
        <f t="shared" ref="D454:D460" si="96">D438</f>
        <v>3</v>
      </c>
      <c r="E454" s="5" t="str">
        <f>_xlfn.XLOOKUP(C454,SkillActive!A:A,SkillActive!B:B,,0)</f>
        <v>狂暴</v>
      </c>
      <c r="F454">
        <f t="shared" ref="F454:F462" si="97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5">
        <f t="shared" si="95"/>
        <v>10002904</v>
      </c>
      <c r="B455" s="33" t="str">
        <f>_xlfn.XLOOKUP(C455,SkillActive!$A:$A,SkillActive!C:C,,0)</f>
        <v>1|2|3|4|5|6|7</v>
      </c>
      <c r="C455" s="5">
        <f t="shared" si="91"/>
        <v>100029</v>
      </c>
      <c r="D455" s="5">
        <f t="shared" si="96"/>
        <v>4</v>
      </c>
      <c r="E455" s="5" t="str">
        <f>_xlfn.XLOOKUP(C455,SkillActive!A:A,SkillActive!B:B,,0)</f>
        <v>狂暴</v>
      </c>
      <c r="F455">
        <f t="shared" si="97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5">
        <f t="shared" si="95"/>
        <v>10002905</v>
      </c>
      <c r="B456" s="33" t="str">
        <f>_xlfn.XLOOKUP(C456,SkillActive!$A:$A,SkillActive!C:C,,0)</f>
        <v>1|2|3|4|5|6|7</v>
      </c>
      <c r="C456" s="5">
        <f t="shared" si="91"/>
        <v>100029</v>
      </c>
      <c r="D456" s="5">
        <f t="shared" si="96"/>
        <v>5</v>
      </c>
      <c r="E456" s="5" t="str">
        <f>_xlfn.XLOOKUP(C456,SkillActive!A:A,SkillActive!B:B,,0)</f>
        <v>狂暴</v>
      </c>
      <c r="F456">
        <f t="shared" si="97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5">
        <f t="shared" si="95"/>
        <v>10002906</v>
      </c>
      <c r="B457" s="33" t="str">
        <f>_xlfn.XLOOKUP(C457,SkillActive!$A:$A,SkillActive!C:C,,0)</f>
        <v>1|2|3|4|5|6|7</v>
      </c>
      <c r="C457" s="5">
        <f t="shared" si="91"/>
        <v>100029</v>
      </c>
      <c r="D457" s="5">
        <f t="shared" si="96"/>
        <v>6</v>
      </c>
      <c r="E457" s="5" t="str">
        <f>_xlfn.XLOOKUP(C457,SkillActive!A:A,SkillActive!B:B,,0)</f>
        <v>狂暴</v>
      </c>
      <c r="F457">
        <f t="shared" si="97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5">
        <f t="shared" si="95"/>
        <v>10002907</v>
      </c>
      <c r="B458" s="33" t="str">
        <f>_xlfn.XLOOKUP(C458,SkillActive!$A:$A,SkillActive!C:C,,0)</f>
        <v>1|2|3|4|5|6|7</v>
      </c>
      <c r="C458" s="5">
        <f t="shared" si="91"/>
        <v>100029</v>
      </c>
      <c r="D458" s="5">
        <f t="shared" si="96"/>
        <v>7</v>
      </c>
      <c r="E458" s="5" t="str">
        <f>_xlfn.XLOOKUP(C458,SkillActive!A:A,SkillActive!B:B,,0)</f>
        <v>狂暴</v>
      </c>
      <c r="F458">
        <f t="shared" si="97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5">
        <f t="shared" si="95"/>
        <v>10002908</v>
      </c>
      <c r="B459" s="33" t="str">
        <f>_xlfn.XLOOKUP(C459,SkillActive!$A:$A,SkillActive!C:C,,0)</f>
        <v>1|2|3|4|5|6|7</v>
      </c>
      <c r="C459" s="5">
        <f t="shared" si="91"/>
        <v>100029</v>
      </c>
      <c r="D459" s="5">
        <f t="shared" si="96"/>
        <v>8</v>
      </c>
      <c r="E459" s="5" t="str">
        <f>_xlfn.XLOOKUP(C459,SkillActive!A:A,SkillActive!B:B,,0)</f>
        <v>狂暴</v>
      </c>
      <c r="F459">
        <f t="shared" si="97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5">
        <f t="shared" si="95"/>
        <v>10002909</v>
      </c>
      <c r="B460" s="33" t="str">
        <f>_xlfn.XLOOKUP(C460,SkillActive!$A:$A,SkillActive!C:C,,0)</f>
        <v>1|2|3|4|5|6|7</v>
      </c>
      <c r="C460" s="5">
        <f t="shared" si="91"/>
        <v>100029</v>
      </c>
      <c r="D460" s="5">
        <f t="shared" si="96"/>
        <v>9</v>
      </c>
      <c r="E460" s="5" t="str">
        <f>_xlfn.XLOOKUP(C460,SkillActive!A:A,SkillActive!B:B,,0)</f>
        <v>狂暴</v>
      </c>
      <c r="F460">
        <f t="shared" si="97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5">
        <f t="shared" si="95"/>
        <v>10002910</v>
      </c>
      <c r="B461" s="33" t="str">
        <f>_xlfn.XLOOKUP(C461,SkillActive!$A:$A,SkillActive!C:C,,0)</f>
        <v>1|2|3|4|5|6|7</v>
      </c>
      <c r="C461" s="5">
        <f t="shared" si="91"/>
        <v>100029</v>
      </c>
      <c r="D461" s="5">
        <f t="shared" ref="D461:D469" si="98">D445</f>
        <v>10</v>
      </c>
      <c r="E461" s="5" t="str">
        <f>_xlfn.XLOOKUP(C461,SkillActive!A:A,SkillActive!B:B,,0)</f>
        <v>狂暴</v>
      </c>
      <c r="F461">
        <f t="shared" si="97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5">
        <f t="shared" si="95"/>
        <v>10002911</v>
      </c>
      <c r="B462" s="33" t="str">
        <f>_xlfn.XLOOKUP(C462,SkillActive!$A:$A,SkillActive!C:C,,0)</f>
        <v>1|2|3|4|5|6|7</v>
      </c>
      <c r="C462" s="5">
        <f t="shared" si="91"/>
        <v>100029</v>
      </c>
      <c r="D462" s="5">
        <f t="shared" si="98"/>
        <v>11</v>
      </c>
      <c r="E462" s="5" t="str">
        <f>_xlfn.XLOOKUP(C462,SkillActive!A:A,SkillActive!B:B,,0)</f>
        <v>狂暴</v>
      </c>
      <c r="F462">
        <f t="shared" si="97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5">
        <f t="shared" ref="A463:A469" si="99">C463*100+D463</f>
        <v>10002912</v>
      </c>
      <c r="B463" s="33" t="str">
        <f>_xlfn.XLOOKUP(C463,SkillActive!$A:$A,SkillActive!C:C,,0)</f>
        <v>1|2|3|4|5|6|7</v>
      </c>
      <c r="C463" s="5">
        <f t="shared" si="91"/>
        <v>100029</v>
      </c>
      <c r="D463" s="5">
        <f t="shared" si="98"/>
        <v>12</v>
      </c>
      <c r="E463" s="5" t="str">
        <f>_xlfn.XLOOKUP(C463,SkillActive!A:A,SkillActive!B:B,,0)</f>
        <v>狂暴</v>
      </c>
      <c r="F463">
        <f t="shared" ref="F463:F469" si="100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5">
        <f t="shared" si="99"/>
        <v>10002913</v>
      </c>
      <c r="B464" s="33" t="str">
        <f>_xlfn.XLOOKUP(C464,SkillActive!$A:$A,SkillActive!C:C,,0)</f>
        <v>1|2|3|4|5|6|7</v>
      </c>
      <c r="C464" s="5">
        <f t="shared" si="91"/>
        <v>100029</v>
      </c>
      <c r="D464" s="5">
        <f t="shared" si="98"/>
        <v>13</v>
      </c>
      <c r="E464" s="5" t="str">
        <f>_xlfn.XLOOKUP(C464,SkillActive!A:A,SkillActive!B:B,,0)</f>
        <v>狂暴</v>
      </c>
      <c r="F464">
        <f t="shared" si="100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5">
        <f t="shared" si="99"/>
        <v>10002914</v>
      </c>
      <c r="B465" s="33" t="str">
        <f>_xlfn.XLOOKUP(C465,SkillActive!$A:$A,SkillActive!C:C,,0)</f>
        <v>1|2|3|4|5|6|7</v>
      </c>
      <c r="C465" s="5">
        <f t="shared" si="91"/>
        <v>100029</v>
      </c>
      <c r="D465" s="5">
        <f t="shared" si="98"/>
        <v>14</v>
      </c>
      <c r="E465" s="5" t="str">
        <f>_xlfn.XLOOKUP(C465,SkillActive!A:A,SkillActive!B:B,,0)</f>
        <v>狂暴</v>
      </c>
      <c r="F465">
        <f t="shared" si="100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5">
        <f t="shared" si="99"/>
        <v>10002915</v>
      </c>
      <c r="B466" s="33" t="str">
        <f>_xlfn.XLOOKUP(C466,SkillActive!$A:$A,SkillActive!C:C,,0)</f>
        <v>1|2|3|4|5|6|7</v>
      </c>
      <c r="C466" s="5">
        <f t="shared" si="91"/>
        <v>100029</v>
      </c>
      <c r="D466" s="5">
        <f t="shared" si="98"/>
        <v>15</v>
      </c>
      <c r="E466" s="5" t="str">
        <f>_xlfn.XLOOKUP(C466,SkillActive!A:A,SkillActive!B:B,,0)</f>
        <v>狂暴</v>
      </c>
      <c r="F466">
        <f t="shared" si="100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5">
        <f t="shared" si="99"/>
        <v>10002916</v>
      </c>
      <c r="B467" s="33" t="str">
        <f>_xlfn.XLOOKUP(C467,SkillActive!$A:$A,SkillActive!C:C,,0)</f>
        <v>1|2|3|4|5|6|7</v>
      </c>
      <c r="C467" s="5">
        <f t="shared" si="91"/>
        <v>100029</v>
      </c>
      <c r="D467" s="5">
        <f t="shared" si="98"/>
        <v>16</v>
      </c>
      <c r="E467" s="5" t="str">
        <f>_xlfn.XLOOKUP(C467,SkillActive!A:A,SkillActive!B:B,,0)</f>
        <v>狂暴</v>
      </c>
      <c r="F467">
        <f t="shared" si="100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5">
        <f t="shared" si="99"/>
        <v>10003001</v>
      </c>
      <c r="B468" s="33" t="str">
        <f>_xlfn.XLOOKUP(C468,SkillActive!$A:$A,SkillActive!C:C,,0)</f>
        <v>1|2|3|4|5|6|7</v>
      </c>
      <c r="C468" s="5">
        <f t="shared" si="91"/>
        <v>100030</v>
      </c>
      <c r="D468" s="5">
        <f t="shared" si="98"/>
        <v>1</v>
      </c>
      <c r="E468" s="5" t="str">
        <f>_xlfn.XLOOKUP(C468,SkillActive!A:A,SkillActive!B:B,,0)</f>
        <v>生命再生</v>
      </c>
      <c r="F468">
        <f t="shared" si="100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5">
        <f t="shared" si="99"/>
        <v>10003002</v>
      </c>
      <c r="B469" s="33" t="str">
        <f>_xlfn.XLOOKUP(C469,SkillActive!$A:$A,SkillActive!C:C,,0)</f>
        <v>1|2|3|4|5|6|7</v>
      </c>
      <c r="C469" s="5">
        <f t="shared" si="91"/>
        <v>100030</v>
      </c>
      <c r="D469" s="5">
        <f t="shared" si="98"/>
        <v>2</v>
      </c>
      <c r="E469" s="5" t="str">
        <f>_xlfn.XLOOKUP(C469,SkillActive!A:A,SkillActive!B:B,,0)</f>
        <v>生命再生</v>
      </c>
      <c r="F469">
        <f t="shared" si="100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5">
        <f t="shared" ref="A470:A476" si="101">C470*100+D470</f>
        <v>10003003</v>
      </c>
      <c r="B470" s="33" t="str">
        <f>_xlfn.XLOOKUP(C470,SkillActive!$A:$A,SkillActive!C:C,,0)</f>
        <v>1|2|3|4|5|6|7</v>
      </c>
      <c r="C470" s="5">
        <f t="shared" si="91"/>
        <v>100030</v>
      </c>
      <c r="D470" s="5">
        <f t="shared" ref="D470:D476" si="102">D454</f>
        <v>3</v>
      </c>
      <c r="E470" s="5" t="str">
        <f>_xlfn.XLOOKUP(C470,SkillActive!A:A,SkillActive!B:B,,0)</f>
        <v>生命再生</v>
      </c>
      <c r="F470">
        <f t="shared" ref="F470:F476" si="103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5">
        <f t="shared" si="101"/>
        <v>10003004</v>
      </c>
      <c r="B471" s="33" t="str">
        <f>_xlfn.XLOOKUP(C471,SkillActive!$A:$A,SkillActive!C:C,,0)</f>
        <v>1|2|3|4|5|6|7</v>
      </c>
      <c r="C471" s="5">
        <f t="shared" si="91"/>
        <v>100030</v>
      </c>
      <c r="D471" s="5">
        <f t="shared" si="102"/>
        <v>4</v>
      </c>
      <c r="E471" s="5" t="str">
        <f>_xlfn.XLOOKUP(C471,SkillActive!A:A,SkillActive!B:B,,0)</f>
        <v>生命再生</v>
      </c>
      <c r="F471">
        <f t="shared" si="103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5">
        <f t="shared" si="101"/>
        <v>10003005</v>
      </c>
      <c r="B472" s="33" t="str">
        <f>_xlfn.XLOOKUP(C472,SkillActive!$A:$A,SkillActive!C:C,,0)</f>
        <v>1|2|3|4|5|6|7</v>
      </c>
      <c r="C472" s="5">
        <f t="shared" si="91"/>
        <v>100030</v>
      </c>
      <c r="D472" s="5">
        <f t="shared" si="102"/>
        <v>5</v>
      </c>
      <c r="E472" s="5" t="str">
        <f>_xlfn.XLOOKUP(C472,SkillActive!A:A,SkillActive!B:B,,0)</f>
        <v>生命再生</v>
      </c>
      <c r="F472">
        <f t="shared" si="103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5">
        <f t="shared" si="101"/>
        <v>10003006</v>
      </c>
      <c r="B473" s="33" t="str">
        <f>_xlfn.XLOOKUP(C473,SkillActive!$A:$A,SkillActive!C:C,,0)</f>
        <v>1|2|3|4|5|6|7</v>
      </c>
      <c r="C473" s="5">
        <f t="shared" si="91"/>
        <v>100030</v>
      </c>
      <c r="D473" s="5">
        <f t="shared" si="102"/>
        <v>6</v>
      </c>
      <c r="E473" s="5" t="str">
        <f>_xlfn.XLOOKUP(C473,SkillActive!A:A,SkillActive!B:B,,0)</f>
        <v>生命再生</v>
      </c>
      <c r="F473">
        <f t="shared" si="103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5">
        <f t="shared" si="101"/>
        <v>10003007</v>
      </c>
      <c r="B474" s="33" t="str">
        <f>_xlfn.XLOOKUP(C474,SkillActive!$A:$A,SkillActive!C:C,,0)</f>
        <v>1|2|3|4|5|6|7</v>
      </c>
      <c r="C474" s="5">
        <f t="shared" si="91"/>
        <v>100030</v>
      </c>
      <c r="D474" s="5">
        <f t="shared" si="102"/>
        <v>7</v>
      </c>
      <c r="E474" s="5" t="str">
        <f>_xlfn.XLOOKUP(C474,SkillActive!A:A,SkillActive!B:B,,0)</f>
        <v>生命再生</v>
      </c>
      <c r="F474">
        <f t="shared" si="103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5">
        <f t="shared" si="101"/>
        <v>10003008</v>
      </c>
      <c r="B475" s="33" t="str">
        <f>_xlfn.XLOOKUP(C475,SkillActive!$A:$A,SkillActive!C:C,,0)</f>
        <v>1|2|3|4|5|6|7</v>
      </c>
      <c r="C475" s="5">
        <f t="shared" si="91"/>
        <v>100030</v>
      </c>
      <c r="D475" s="5">
        <f t="shared" si="102"/>
        <v>8</v>
      </c>
      <c r="E475" s="5" t="str">
        <f>_xlfn.XLOOKUP(C475,SkillActive!A:A,SkillActive!B:B,,0)</f>
        <v>生命再生</v>
      </c>
      <c r="F475">
        <f t="shared" si="103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5">
        <f t="shared" si="101"/>
        <v>10003009</v>
      </c>
      <c r="B476" s="33" t="str">
        <f>_xlfn.XLOOKUP(C476,SkillActive!$A:$A,SkillActive!C:C,,0)</f>
        <v>1|2|3|4|5|6|7</v>
      </c>
      <c r="C476" s="5">
        <f t="shared" si="91"/>
        <v>100030</v>
      </c>
      <c r="D476" s="5">
        <f t="shared" si="102"/>
        <v>9</v>
      </c>
      <c r="E476" s="5" t="str">
        <f>_xlfn.XLOOKUP(C476,SkillActive!A:A,SkillActive!B:B,,0)</f>
        <v>生命再生</v>
      </c>
      <c r="F476">
        <f t="shared" si="103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5">
        <f t="shared" ref="A477:A484" si="104">C477*100+D477</f>
        <v>10003010</v>
      </c>
      <c r="B477" s="33" t="str">
        <f>_xlfn.XLOOKUP(C477,SkillActive!$A:$A,SkillActive!C:C,,0)</f>
        <v>1|2|3|4|5|6|7</v>
      </c>
      <c r="C477" s="5">
        <f t="shared" si="91"/>
        <v>100030</v>
      </c>
      <c r="D477" s="5">
        <f t="shared" ref="D477:D483" si="105">D461</f>
        <v>10</v>
      </c>
      <c r="E477" s="5" t="str">
        <f>_xlfn.XLOOKUP(C477,SkillActive!A:A,SkillActive!B:B,,0)</f>
        <v>生命再生</v>
      </c>
      <c r="F477">
        <f t="shared" ref="F477:F490" si="106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5">
        <f t="shared" si="104"/>
        <v>10003011</v>
      </c>
      <c r="B478" s="33" t="str">
        <f>_xlfn.XLOOKUP(C478,SkillActive!$A:$A,SkillActive!C:C,,0)</f>
        <v>1|2|3|4|5|6|7</v>
      </c>
      <c r="C478" s="5">
        <f t="shared" si="91"/>
        <v>100030</v>
      </c>
      <c r="D478" s="5">
        <f t="shared" si="105"/>
        <v>11</v>
      </c>
      <c r="E478" s="5" t="str">
        <f>_xlfn.XLOOKUP(C478,SkillActive!A:A,SkillActive!B:B,,0)</f>
        <v>生命再生</v>
      </c>
      <c r="F478">
        <f t="shared" si="106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5">
        <f t="shared" si="104"/>
        <v>10003012</v>
      </c>
      <c r="B479" s="33" t="str">
        <f>_xlfn.XLOOKUP(C479,SkillActive!$A:$A,SkillActive!C:C,,0)</f>
        <v>1|2|3|4|5|6|7</v>
      </c>
      <c r="C479" s="5">
        <f t="shared" si="91"/>
        <v>100030</v>
      </c>
      <c r="D479" s="5">
        <f t="shared" si="105"/>
        <v>12</v>
      </c>
      <c r="E479" s="5" t="str">
        <f>_xlfn.XLOOKUP(C479,SkillActive!A:A,SkillActive!B:B,,0)</f>
        <v>生命再生</v>
      </c>
      <c r="F479">
        <f t="shared" si="106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5">
        <f t="shared" si="104"/>
        <v>10003013</v>
      </c>
      <c r="B480" s="33" t="str">
        <f>_xlfn.XLOOKUP(C480,SkillActive!$A:$A,SkillActive!C:C,,0)</f>
        <v>1|2|3|4|5|6|7</v>
      </c>
      <c r="C480" s="5">
        <f t="shared" si="91"/>
        <v>100030</v>
      </c>
      <c r="D480" s="5">
        <f t="shared" si="105"/>
        <v>13</v>
      </c>
      <c r="E480" s="5" t="str">
        <f>_xlfn.XLOOKUP(C480,SkillActive!A:A,SkillActive!B:B,,0)</f>
        <v>生命再生</v>
      </c>
      <c r="F480">
        <f t="shared" si="106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5">
        <f t="shared" si="104"/>
        <v>10003014</v>
      </c>
      <c r="B481" s="33" t="str">
        <f>_xlfn.XLOOKUP(C481,SkillActive!$A:$A,SkillActive!C:C,,0)</f>
        <v>1|2|3|4|5|6|7</v>
      </c>
      <c r="C481" s="5">
        <f t="shared" si="91"/>
        <v>100030</v>
      </c>
      <c r="D481" s="5">
        <f t="shared" si="105"/>
        <v>14</v>
      </c>
      <c r="E481" s="5" t="str">
        <f>_xlfn.XLOOKUP(C481,SkillActive!A:A,SkillActive!B:B,,0)</f>
        <v>生命再生</v>
      </c>
      <c r="F481">
        <f t="shared" si="106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5">
        <f t="shared" si="104"/>
        <v>10003015</v>
      </c>
      <c r="B482" s="33" t="str">
        <f>_xlfn.XLOOKUP(C482,SkillActive!$A:$A,SkillActive!C:C,,0)</f>
        <v>1|2|3|4|5|6|7</v>
      </c>
      <c r="C482" s="5">
        <f t="shared" si="91"/>
        <v>100030</v>
      </c>
      <c r="D482" s="5">
        <f t="shared" si="105"/>
        <v>15</v>
      </c>
      <c r="E482" s="5" t="str">
        <f>_xlfn.XLOOKUP(C482,SkillActive!A:A,SkillActive!B:B,,0)</f>
        <v>生命再生</v>
      </c>
      <c r="F482">
        <f t="shared" si="106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5">
        <f t="shared" si="104"/>
        <v>10003016</v>
      </c>
      <c r="B483" s="33" t="str">
        <f>_xlfn.XLOOKUP(C483,SkillActive!$A:$A,SkillActive!C:C,,0)</f>
        <v>1|2|3|4|5|6|7</v>
      </c>
      <c r="C483" s="5">
        <f t="shared" si="91"/>
        <v>100030</v>
      </c>
      <c r="D483" s="5">
        <f t="shared" si="105"/>
        <v>16</v>
      </c>
      <c r="E483" s="5" t="str">
        <f>_xlfn.XLOOKUP(C483,SkillActive!A:A,SkillActive!B:B,,0)</f>
        <v>生命再生</v>
      </c>
      <c r="F483">
        <f t="shared" si="106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5">
        <f t="shared" si="104"/>
        <v>10003101</v>
      </c>
      <c r="B484" s="33" t="str">
        <f>_xlfn.XLOOKUP(C484,SkillActive!$A:$A,SkillActive!C:C,,0)</f>
        <v>1|2|3|4|5|6|7</v>
      </c>
      <c r="C484" s="5">
        <f t="shared" si="91"/>
        <v>100031</v>
      </c>
      <c r="D484" s="5">
        <v>1</v>
      </c>
      <c r="E484" s="5" t="str">
        <f>_xlfn.XLOOKUP(C484,SkillActive!A:A,SkillActive!B:B,,0)</f>
        <v>鲜血之捷</v>
      </c>
      <c r="F484">
        <v>3</v>
      </c>
      <c r="G484">
        <v>2</v>
      </c>
      <c r="H484">
        <v>7</v>
      </c>
    </row>
    <row r="485" spans="1:8">
      <c r="A485" s="5">
        <f t="shared" ref="A485:A499" si="107">C485*100+D485</f>
        <v>10003102</v>
      </c>
      <c r="B485" s="33" t="str">
        <f>_xlfn.XLOOKUP(C485,SkillActive!$A:$A,SkillActive!C:C,,0)</f>
        <v>1|2|3|4|5|6|7</v>
      </c>
      <c r="C485" s="5">
        <f t="shared" si="91"/>
        <v>100031</v>
      </c>
      <c r="D485" s="5">
        <v>2</v>
      </c>
      <c r="E485" s="5" t="str">
        <f>_xlfn.XLOOKUP(C485,SkillActive!A:A,SkillActive!B:B,,0)</f>
        <v>鲜血之捷</v>
      </c>
      <c r="F485">
        <v>3</v>
      </c>
      <c r="G485">
        <v>2</v>
      </c>
      <c r="H485">
        <v>7</v>
      </c>
    </row>
    <row r="486" spans="1:8">
      <c r="A486" s="5">
        <f t="shared" si="107"/>
        <v>10003103</v>
      </c>
      <c r="B486" s="33" t="str">
        <f>_xlfn.XLOOKUP(C486,SkillActive!$A:$A,SkillActive!C:C,,0)</f>
        <v>1|2|3|4|5|6|7</v>
      </c>
      <c r="C486" s="5">
        <f t="shared" si="91"/>
        <v>100031</v>
      </c>
      <c r="D486" s="5">
        <v>3</v>
      </c>
      <c r="E486" s="5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5">
        <f t="shared" si="107"/>
        <v>10003104</v>
      </c>
      <c r="B487" s="33" t="str">
        <f>_xlfn.XLOOKUP(C487,SkillActive!$A:$A,SkillActive!C:C,,0)</f>
        <v>1|2|3|4|5|6|7</v>
      </c>
      <c r="C487" s="5">
        <f t="shared" si="91"/>
        <v>100031</v>
      </c>
      <c r="D487" s="5">
        <v>4</v>
      </c>
      <c r="E487" s="5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5">
        <f t="shared" si="107"/>
        <v>10003105</v>
      </c>
      <c r="B488" s="33" t="str">
        <f>_xlfn.XLOOKUP(C488,SkillActive!$A:$A,SkillActive!C:C,,0)</f>
        <v>1|2|3|4|5|6|7</v>
      </c>
      <c r="C488" s="5">
        <f t="shared" si="91"/>
        <v>100031</v>
      </c>
      <c r="D488" s="5">
        <v>5</v>
      </c>
      <c r="E488" s="5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5">
        <f t="shared" si="107"/>
        <v>10003106</v>
      </c>
      <c r="B489" s="33" t="str">
        <f>_xlfn.XLOOKUP(C489,SkillActive!$A:$A,SkillActive!C:C,,0)</f>
        <v>1|2|3|4|5|6|7</v>
      </c>
      <c r="C489" s="5">
        <f t="shared" si="91"/>
        <v>100031</v>
      </c>
      <c r="D489" s="5">
        <v>6</v>
      </c>
      <c r="E489" s="5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5">
        <f t="shared" si="107"/>
        <v>10003107</v>
      </c>
      <c r="B490" s="33" t="str">
        <f>_xlfn.XLOOKUP(C490,SkillActive!$A:$A,SkillActive!C:C,,0)</f>
        <v>1|2|3|4|5|6|7</v>
      </c>
      <c r="C490" s="5">
        <f t="shared" si="91"/>
        <v>100031</v>
      </c>
      <c r="D490" s="5">
        <v>7</v>
      </c>
      <c r="E490" s="5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5">
        <f t="shared" si="107"/>
        <v>10003108</v>
      </c>
      <c r="B491" s="33" t="str">
        <f>_xlfn.XLOOKUP(C491,SkillActive!$A:$A,SkillActive!C:C,,0)</f>
        <v>1|2|3|4|5|6|7</v>
      </c>
      <c r="C491" s="5">
        <f t="shared" si="91"/>
        <v>100031</v>
      </c>
      <c r="D491" s="5">
        <v>8</v>
      </c>
      <c r="E491" s="5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5">
        <f t="shared" si="107"/>
        <v>10003109</v>
      </c>
      <c r="B492" s="33" t="str">
        <f>_xlfn.XLOOKUP(C492,SkillActive!$A:$A,SkillActive!C:C,,0)</f>
        <v>1|2|3|4|5|6|7</v>
      </c>
      <c r="C492" s="5">
        <f t="shared" si="91"/>
        <v>100031</v>
      </c>
      <c r="D492" s="5">
        <v>9</v>
      </c>
      <c r="E492" s="5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5">
        <f t="shared" si="107"/>
        <v>10003110</v>
      </c>
      <c r="B493" s="33" t="str">
        <f>_xlfn.XLOOKUP(C493,SkillActive!$A:$A,SkillActive!C:C,,0)</f>
        <v>1|2|3|4|5|6|7</v>
      </c>
      <c r="C493" s="5">
        <f t="shared" si="91"/>
        <v>100031</v>
      </c>
      <c r="D493" s="5">
        <v>10</v>
      </c>
      <c r="E493" s="5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5">
        <f t="shared" si="107"/>
        <v>10003111</v>
      </c>
      <c r="B494" s="33" t="str">
        <f>_xlfn.XLOOKUP(C494,SkillActive!$A:$A,SkillActive!C:C,,0)</f>
        <v>1|2|3|4|5|6|7</v>
      </c>
      <c r="C494" s="5">
        <f t="shared" si="91"/>
        <v>100031</v>
      </c>
      <c r="D494" s="5">
        <v>11</v>
      </c>
      <c r="E494" s="5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5">
        <f t="shared" si="107"/>
        <v>10003112</v>
      </c>
      <c r="B495" s="33" t="str">
        <f>_xlfn.XLOOKUP(C495,SkillActive!$A:$A,SkillActive!C:C,,0)</f>
        <v>1|2|3|4|5|6|7</v>
      </c>
      <c r="C495" s="5">
        <f t="shared" si="91"/>
        <v>100031</v>
      </c>
      <c r="D495" s="5">
        <v>12</v>
      </c>
      <c r="E495" s="5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5">
        <f t="shared" si="107"/>
        <v>10003113</v>
      </c>
      <c r="B496" s="33" t="str">
        <f>_xlfn.XLOOKUP(C496,SkillActive!$A:$A,SkillActive!C:C,,0)</f>
        <v>1|2|3|4|5|6|7</v>
      </c>
      <c r="C496" s="5">
        <f t="shared" si="91"/>
        <v>100031</v>
      </c>
      <c r="D496" s="5">
        <v>13</v>
      </c>
      <c r="E496" s="5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5">
        <f t="shared" si="107"/>
        <v>10003114</v>
      </c>
      <c r="B497" s="33" t="str">
        <f>_xlfn.XLOOKUP(C497,SkillActive!$A:$A,SkillActive!C:C,,0)</f>
        <v>1|2|3|4|5|6|7</v>
      </c>
      <c r="C497" s="5">
        <f t="shared" si="91"/>
        <v>100031</v>
      </c>
      <c r="D497" s="5">
        <v>14</v>
      </c>
      <c r="E497" s="5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5">
        <f t="shared" si="107"/>
        <v>10003115</v>
      </c>
      <c r="B498" s="33" t="str">
        <f>_xlfn.XLOOKUP(C498,SkillActive!$A:$A,SkillActive!C:C,,0)</f>
        <v>1|2|3|4|5|6|7</v>
      </c>
      <c r="C498" s="5">
        <f t="shared" si="91"/>
        <v>100031</v>
      </c>
      <c r="D498" s="5">
        <v>15</v>
      </c>
      <c r="E498" s="5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5">
        <f t="shared" si="107"/>
        <v>10003116</v>
      </c>
      <c r="B499" s="33" t="str">
        <f>_xlfn.XLOOKUP(C499,SkillActive!$A:$A,SkillActive!C:C,,0)</f>
        <v>1|2|3|4|5|6|7</v>
      </c>
      <c r="C499" s="5">
        <f t="shared" si="91"/>
        <v>100031</v>
      </c>
      <c r="D499" s="5">
        <v>16</v>
      </c>
      <c r="E499" s="5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5">
        <f t="shared" ref="A500:A516" si="108">C500*100+D500</f>
        <v>10003201</v>
      </c>
      <c r="B500" s="33" t="str">
        <f>_xlfn.XLOOKUP(C500,SkillActive!$A:$A,SkillActive!C:C,,0)</f>
        <v>1|2|3|4|5|6|7</v>
      </c>
      <c r="C500" s="5">
        <f t="shared" si="91"/>
        <v>100032</v>
      </c>
      <c r="D500" s="5">
        <v>1</v>
      </c>
      <c r="E500" s="5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5">
        <f t="shared" si="108"/>
        <v>10003202</v>
      </c>
      <c r="B501" s="33" t="str">
        <f>_xlfn.XLOOKUP(C501,SkillActive!$A:$A,SkillActive!C:C,,0)</f>
        <v>1|2|3|4|5|6|7</v>
      </c>
      <c r="C501" s="5">
        <f t="shared" si="91"/>
        <v>100032</v>
      </c>
      <c r="D501" s="5">
        <v>2</v>
      </c>
      <c r="E501" s="5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5">
        <f t="shared" si="108"/>
        <v>10003203</v>
      </c>
      <c r="B502" s="33" t="str">
        <f>_xlfn.XLOOKUP(C502,SkillActive!$A:$A,SkillActive!C:C,,0)</f>
        <v>1|2|3|4|5|6|7</v>
      </c>
      <c r="C502" s="5">
        <f t="shared" si="91"/>
        <v>100032</v>
      </c>
      <c r="D502" s="5">
        <v>3</v>
      </c>
      <c r="E502" s="5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5">
        <f t="shared" si="108"/>
        <v>10003204</v>
      </c>
      <c r="B503" s="33" t="str">
        <f>_xlfn.XLOOKUP(C503,SkillActive!$A:$A,SkillActive!C:C,,0)</f>
        <v>1|2|3|4|5|6|7</v>
      </c>
      <c r="C503" s="5">
        <f t="shared" si="91"/>
        <v>100032</v>
      </c>
      <c r="D503" s="5">
        <v>4</v>
      </c>
      <c r="E503" s="5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5">
        <f t="shared" si="108"/>
        <v>10003205</v>
      </c>
      <c r="B504" s="33" t="str">
        <f>_xlfn.XLOOKUP(C504,SkillActive!$A:$A,SkillActive!C:C,,0)</f>
        <v>1|2|3|4|5|6|7</v>
      </c>
      <c r="C504" s="5">
        <f t="shared" si="91"/>
        <v>100032</v>
      </c>
      <c r="D504" s="5">
        <v>5</v>
      </c>
      <c r="E504" s="5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5">
        <f t="shared" si="108"/>
        <v>10003206</v>
      </c>
      <c r="B505" s="33" t="str">
        <f>_xlfn.XLOOKUP(C505,SkillActive!$A:$A,SkillActive!C:C,,0)</f>
        <v>1|2|3|4|5|6|7</v>
      </c>
      <c r="C505" s="5">
        <f t="shared" si="91"/>
        <v>100032</v>
      </c>
      <c r="D505" s="5">
        <v>6</v>
      </c>
      <c r="E505" s="5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5">
        <f t="shared" si="108"/>
        <v>10003207</v>
      </c>
      <c r="B506" s="33" t="str">
        <f>_xlfn.XLOOKUP(C506,SkillActive!$A:$A,SkillActive!C:C,,0)</f>
        <v>1|2|3|4|5|6|7</v>
      </c>
      <c r="C506" s="5">
        <f t="shared" ref="C506:C516" si="109">C490+1</f>
        <v>100032</v>
      </c>
      <c r="D506" s="5">
        <v>7</v>
      </c>
      <c r="E506" s="5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5">
        <f t="shared" si="108"/>
        <v>10003208</v>
      </c>
      <c r="B507" s="33" t="str">
        <f>_xlfn.XLOOKUP(C507,SkillActive!$A:$A,SkillActive!C:C,,0)</f>
        <v>1|2|3|4|5|6|7</v>
      </c>
      <c r="C507" s="5">
        <f t="shared" si="109"/>
        <v>100032</v>
      </c>
      <c r="D507" s="5">
        <v>8</v>
      </c>
      <c r="E507" s="5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5">
        <f t="shared" si="108"/>
        <v>10003209</v>
      </c>
      <c r="B508" s="33" t="str">
        <f>_xlfn.XLOOKUP(C508,SkillActive!$A:$A,SkillActive!C:C,,0)</f>
        <v>1|2|3|4|5|6|7</v>
      </c>
      <c r="C508" s="5">
        <f t="shared" si="109"/>
        <v>100032</v>
      </c>
      <c r="D508" s="5">
        <v>9</v>
      </c>
      <c r="E508" s="5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5">
        <f t="shared" si="108"/>
        <v>10003210</v>
      </c>
      <c r="B509" s="33" t="str">
        <f>_xlfn.XLOOKUP(C509,SkillActive!$A:$A,SkillActive!C:C,,0)</f>
        <v>1|2|3|4|5|6|7</v>
      </c>
      <c r="C509" s="5">
        <f t="shared" si="109"/>
        <v>100032</v>
      </c>
      <c r="D509" s="5">
        <v>10</v>
      </c>
      <c r="E509" s="5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5">
        <f t="shared" si="108"/>
        <v>10003211</v>
      </c>
      <c r="B510" s="33" t="str">
        <f>_xlfn.XLOOKUP(C510,SkillActive!$A:$A,SkillActive!C:C,,0)</f>
        <v>1|2|3|4|5|6|7</v>
      </c>
      <c r="C510" s="5">
        <f t="shared" si="109"/>
        <v>100032</v>
      </c>
      <c r="D510" s="5">
        <v>11</v>
      </c>
      <c r="E510" s="5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5">
        <f t="shared" si="108"/>
        <v>10003212</v>
      </c>
      <c r="B511" s="33" t="str">
        <f>_xlfn.XLOOKUP(C511,SkillActive!$A:$A,SkillActive!C:C,,0)</f>
        <v>1|2|3|4|5|6|7</v>
      </c>
      <c r="C511" s="5">
        <f t="shared" si="109"/>
        <v>100032</v>
      </c>
      <c r="D511" s="5">
        <v>12</v>
      </c>
      <c r="E511" s="5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5">
        <f t="shared" si="108"/>
        <v>10003213</v>
      </c>
      <c r="B512" s="33" t="str">
        <f>_xlfn.XLOOKUP(C512,SkillActive!$A:$A,SkillActive!C:C,,0)</f>
        <v>1|2|3|4|5|6|7</v>
      </c>
      <c r="C512" s="5">
        <f t="shared" si="109"/>
        <v>100032</v>
      </c>
      <c r="D512" s="5">
        <v>13</v>
      </c>
      <c r="E512" s="5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5">
        <f t="shared" si="108"/>
        <v>10003214</v>
      </c>
      <c r="B513" s="33" t="str">
        <f>_xlfn.XLOOKUP(C513,SkillActive!$A:$A,SkillActive!C:C,,0)</f>
        <v>1|2|3|4|5|6|7</v>
      </c>
      <c r="C513" s="5">
        <f t="shared" si="109"/>
        <v>100032</v>
      </c>
      <c r="D513" s="5">
        <v>14</v>
      </c>
      <c r="E513" s="5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5">
        <f t="shared" si="108"/>
        <v>10003215</v>
      </c>
      <c r="B514" s="33" t="str">
        <f>_xlfn.XLOOKUP(C514,SkillActive!$A:$A,SkillActive!C:C,,0)</f>
        <v>1|2|3|4|5|6|7</v>
      </c>
      <c r="C514" s="5">
        <f t="shared" si="109"/>
        <v>100032</v>
      </c>
      <c r="D514" s="5">
        <v>15</v>
      </c>
      <c r="E514" s="5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5">
        <f t="shared" si="108"/>
        <v>10003216</v>
      </c>
      <c r="B515" s="33" t="str">
        <f>_xlfn.XLOOKUP(C515,SkillActive!$A:$A,SkillActive!C:C,,0)</f>
        <v>1|2|3|4|5|6|7</v>
      </c>
      <c r="C515" s="5">
        <f t="shared" si="109"/>
        <v>100032</v>
      </c>
      <c r="D515" s="5">
        <v>16</v>
      </c>
      <c r="E515" s="5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5">
        <f t="shared" si="108"/>
        <v>10003301</v>
      </c>
      <c r="B516" s="33" t="str">
        <f>_xlfn.XLOOKUP(C516,SkillActive!$A:$A,SkillActive!C:C,,0)</f>
        <v>1|2|3|4|5|6|7</v>
      </c>
      <c r="C516" s="5">
        <f t="shared" si="109"/>
        <v>100033</v>
      </c>
      <c r="D516" s="5">
        <v>1</v>
      </c>
      <c r="E516" s="5" t="str">
        <f>_xlfn.XLOOKUP(C516,SkillActive!A:A,SkillActive!B:B,,0)</f>
        <v>物理诅咒</v>
      </c>
      <c r="F516">
        <f t="shared" ref="F516:F579" si="110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5">
        <f t="shared" ref="A517:A580" si="111">C517*100+D517</f>
        <v>10003302</v>
      </c>
      <c r="B517" s="33" t="str">
        <f>_xlfn.XLOOKUP(C517,SkillActive!$A:$A,SkillActive!C:C,,0)</f>
        <v>1|2|3|4|5|6|7</v>
      </c>
      <c r="C517" s="5">
        <f t="shared" ref="C517:C580" si="112">C501+1</f>
        <v>100033</v>
      </c>
      <c r="D517" s="5">
        <v>2</v>
      </c>
      <c r="E517" s="5" t="str">
        <f>_xlfn.XLOOKUP(C517,SkillActive!A:A,SkillActive!B:B,,0)</f>
        <v>物理诅咒</v>
      </c>
      <c r="F517">
        <f t="shared" si="110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5">
        <f t="shared" si="111"/>
        <v>10003303</v>
      </c>
      <c r="B518" s="33" t="str">
        <f>_xlfn.XLOOKUP(C518,SkillActive!$A:$A,SkillActive!C:C,,0)</f>
        <v>1|2|3|4|5|6|7</v>
      </c>
      <c r="C518" s="5">
        <f t="shared" si="112"/>
        <v>100033</v>
      </c>
      <c r="D518" s="5">
        <v>3</v>
      </c>
      <c r="E518" s="5" t="str">
        <f>_xlfn.XLOOKUP(C518,SkillActive!A:A,SkillActive!B:B,,0)</f>
        <v>物理诅咒</v>
      </c>
      <c r="F518">
        <f t="shared" si="110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5">
        <f t="shared" si="111"/>
        <v>10003304</v>
      </c>
      <c r="B519" s="33" t="str">
        <f>_xlfn.XLOOKUP(C519,SkillActive!$A:$A,SkillActive!C:C,,0)</f>
        <v>1|2|3|4|5|6|7</v>
      </c>
      <c r="C519" s="5">
        <f t="shared" si="112"/>
        <v>100033</v>
      </c>
      <c r="D519" s="5">
        <v>4</v>
      </c>
      <c r="E519" s="5" t="str">
        <f>_xlfn.XLOOKUP(C519,SkillActive!A:A,SkillActive!B:B,,0)</f>
        <v>物理诅咒</v>
      </c>
      <c r="F519">
        <f t="shared" si="110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5">
        <f t="shared" si="111"/>
        <v>10003305</v>
      </c>
      <c r="B520" s="33" t="str">
        <f>_xlfn.XLOOKUP(C520,SkillActive!$A:$A,SkillActive!C:C,,0)</f>
        <v>1|2|3|4|5|6|7</v>
      </c>
      <c r="C520" s="5">
        <f t="shared" si="112"/>
        <v>100033</v>
      </c>
      <c r="D520" s="5">
        <v>5</v>
      </c>
      <c r="E520" s="5" t="str">
        <f>_xlfn.XLOOKUP(C520,SkillActive!A:A,SkillActive!B:B,,0)</f>
        <v>物理诅咒</v>
      </c>
      <c r="F520">
        <f t="shared" si="110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5">
        <f t="shared" si="111"/>
        <v>10003306</v>
      </c>
      <c r="B521" s="33" t="str">
        <f>_xlfn.XLOOKUP(C521,SkillActive!$A:$A,SkillActive!C:C,,0)</f>
        <v>1|2|3|4|5|6|7</v>
      </c>
      <c r="C521" s="5">
        <f t="shared" si="112"/>
        <v>100033</v>
      </c>
      <c r="D521" s="5">
        <v>6</v>
      </c>
      <c r="E521" s="5" t="str">
        <f>_xlfn.XLOOKUP(C521,SkillActive!A:A,SkillActive!B:B,,0)</f>
        <v>物理诅咒</v>
      </c>
      <c r="F521">
        <f t="shared" si="110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5">
        <f t="shared" si="111"/>
        <v>10003307</v>
      </c>
      <c r="B522" s="33" t="str">
        <f>_xlfn.XLOOKUP(C522,SkillActive!$A:$A,SkillActive!C:C,,0)</f>
        <v>1|2|3|4|5|6|7</v>
      </c>
      <c r="C522" s="5">
        <f t="shared" si="112"/>
        <v>100033</v>
      </c>
      <c r="D522" s="5">
        <v>7</v>
      </c>
      <c r="E522" s="5" t="str">
        <f>_xlfn.XLOOKUP(C522,SkillActive!A:A,SkillActive!B:B,,0)</f>
        <v>物理诅咒</v>
      </c>
      <c r="F522">
        <f t="shared" si="110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5">
        <f t="shared" si="111"/>
        <v>10003308</v>
      </c>
      <c r="B523" s="33" t="str">
        <f>_xlfn.XLOOKUP(C523,SkillActive!$A:$A,SkillActive!C:C,,0)</f>
        <v>1|2|3|4|5|6|7</v>
      </c>
      <c r="C523" s="5">
        <f t="shared" si="112"/>
        <v>100033</v>
      </c>
      <c r="D523" s="5">
        <v>8</v>
      </c>
      <c r="E523" s="5" t="str">
        <f>_xlfn.XLOOKUP(C523,SkillActive!A:A,SkillActive!B:B,,0)</f>
        <v>物理诅咒</v>
      </c>
      <c r="F523">
        <f t="shared" si="110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5">
        <f t="shared" si="111"/>
        <v>10003309</v>
      </c>
      <c r="B524" s="33" t="str">
        <f>_xlfn.XLOOKUP(C524,SkillActive!$A:$A,SkillActive!C:C,,0)</f>
        <v>1|2|3|4|5|6|7</v>
      </c>
      <c r="C524" s="5">
        <f t="shared" si="112"/>
        <v>100033</v>
      </c>
      <c r="D524" s="5">
        <v>9</v>
      </c>
      <c r="E524" s="5" t="str">
        <f>_xlfn.XLOOKUP(C524,SkillActive!A:A,SkillActive!B:B,,0)</f>
        <v>物理诅咒</v>
      </c>
      <c r="F524">
        <f t="shared" si="110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5">
        <f t="shared" si="111"/>
        <v>10003310</v>
      </c>
      <c r="B525" s="33" t="str">
        <f>_xlfn.XLOOKUP(C525,SkillActive!$A:$A,SkillActive!C:C,,0)</f>
        <v>1|2|3|4|5|6|7</v>
      </c>
      <c r="C525" s="5">
        <f t="shared" si="112"/>
        <v>100033</v>
      </c>
      <c r="D525" s="5">
        <v>10</v>
      </c>
      <c r="E525" s="5" t="str">
        <f>_xlfn.XLOOKUP(C525,SkillActive!A:A,SkillActive!B:B,,0)</f>
        <v>物理诅咒</v>
      </c>
      <c r="F525">
        <f t="shared" si="110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5">
        <f t="shared" si="111"/>
        <v>10003311</v>
      </c>
      <c r="B526" s="33" t="str">
        <f>_xlfn.XLOOKUP(C526,SkillActive!$A:$A,SkillActive!C:C,,0)</f>
        <v>1|2|3|4|5|6|7</v>
      </c>
      <c r="C526" s="5">
        <f t="shared" si="112"/>
        <v>100033</v>
      </c>
      <c r="D526" s="5">
        <v>11</v>
      </c>
      <c r="E526" s="5" t="str">
        <f>_xlfn.XLOOKUP(C526,SkillActive!A:A,SkillActive!B:B,,0)</f>
        <v>物理诅咒</v>
      </c>
      <c r="F526">
        <f t="shared" si="110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5">
        <f t="shared" si="111"/>
        <v>10003312</v>
      </c>
      <c r="B527" s="33" t="str">
        <f>_xlfn.XLOOKUP(C527,SkillActive!$A:$A,SkillActive!C:C,,0)</f>
        <v>1|2|3|4|5|6|7</v>
      </c>
      <c r="C527" s="5">
        <f t="shared" si="112"/>
        <v>100033</v>
      </c>
      <c r="D527" s="5">
        <v>12</v>
      </c>
      <c r="E527" s="5" t="str">
        <f>_xlfn.XLOOKUP(C527,SkillActive!A:A,SkillActive!B:B,,0)</f>
        <v>物理诅咒</v>
      </c>
      <c r="F527">
        <f t="shared" si="110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5">
        <f t="shared" si="111"/>
        <v>10003313</v>
      </c>
      <c r="B528" s="33" t="str">
        <f>_xlfn.XLOOKUP(C528,SkillActive!$A:$A,SkillActive!C:C,,0)</f>
        <v>1|2|3|4|5|6|7</v>
      </c>
      <c r="C528" s="5">
        <f t="shared" si="112"/>
        <v>100033</v>
      </c>
      <c r="D528" s="5">
        <v>13</v>
      </c>
      <c r="E528" s="5" t="str">
        <f>_xlfn.XLOOKUP(C528,SkillActive!A:A,SkillActive!B:B,,0)</f>
        <v>物理诅咒</v>
      </c>
      <c r="F528">
        <f t="shared" si="110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5">
        <f t="shared" si="111"/>
        <v>10003314</v>
      </c>
      <c r="B529" s="33" t="str">
        <f>_xlfn.XLOOKUP(C529,SkillActive!$A:$A,SkillActive!C:C,,0)</f>
        <v>1|2|3|4|5|6|7</v>
      </c>
      <c r="C529" s="5">
        <f t="shared" si="112"/>
        <v>100033</v>
      </c>
      <c r="D529" s="5">
        <v>14</v>
      </c>
      <c r="E529" s="5" t="str">
        <f>_xlfn.XLOOKUP(C529,SkillActive!A:A,SkillActive!B:B,,0)</f>
        <v>物理诅咒</v>
      </c>
      <c r="F529">
        <f t="shared" si="110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5">
        <f t="shared" si="111"/>
        <v>10003315</v>
      </c>
      <c r="B530" s="33" t="str">
        <f>_xlfn.XLOOKUP(C530,SkillActive!$A:$A,SkillActive!C:C,,0)</f>
        <v>1|2|3|4|5|6|7</v>
      </c>
      <c r="C530" s="5">
        <f t="shared" si="112"/>
        <v>100033</v>
      </c>
      <c r="D530" s="5">
        <v>15</v>
      </c>
      <c r="E530" s="5" t="str">
        <f>_xlfn.XLOOKUP(C530,SkillActive!A:A,SkillActive!B:B,,0)</f>
        <v>物理诅咒</v>
      </c>
      <c r="F530">
        <f t="shared" si="110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5">
        <f t="shared" si="111"/>
        <v>10003316</v>
      </c>
      <c r="B531" s="33" t="str">
        <f>_xlfn.XLOOKUP(C531,SkillActive!$A:$A,SkillActive!C:C,,0)</f>
        <v>1|2|3|4|5|6|7</v>
      </c>
      <c r="C531" s="5">
        <f t="shared" si="112"/>
        <v>100033</v>
      </c>
      <c r="D531" s="5">
        <v>16</v>
      </c>
      <c r="E531" s="5" t="str">
        <f>_xlfn.XLOOKUP(C531,SkillActive!A:A,SkillActive!B:B,,0)</f>
        <v>物理诅咒</v>
      </c>
      <c r="F531">
        <f t="shared" si="110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5">
        <f t="shared" si="111"/>
        <v>10003401</v>
      </c>
      <c r="B532" s="33" t="str">
        <f>_xlfn.XLOOKUP(C532,SkillActive!$A:$A,SkillActive!C:C,,0)</f>
        <v>1|2|3|4|5|6|7</v>
      </c>
      <c r="C532" s="5">
        <f t="shared" si="112"/>
        <v>100034</v>
      </c>
      <c r="D532" s="5">
        <v>1</v>
      </c>
      <c r="E532" s="5" t="str">
        <f>_xlfn.XLOOKUP(C532,SkillActive!A:A,SkillActive!B:B,,0)</f>
        <v>火焰诅咒</v>
      </c>
      <c r="F532">
        <f t="shared" si="110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5">
        <f t="shared" si="111"/>
        <v>10003402</v>
      </c>
      <c r="B533" s="33" t="str">
        <f>_xlfn.XLOOKUP(C533,SkillActive!$A:$A,SkillActive!C:C,,0)</f>
        <v>1|2|3|4|5|6|7</v>
      </c>
      <c r="C533" s="5">
        <f t="shared" si="112"/>
        <v>100034</v>
      </c>
      <c r="D533" s="5">
        <v>2</v>
      </c>
      <c r="E533" s="5" t="str">
        <f>_xlfn.XLOOKUP(C533,SkillActive!A:A,SkillActive!B:B,,0)</f>
        <v>火焰诅咒</v>
      </c>
      <c r="F533">
        <f t="shared" si="110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5">
        <f t="shared" si="111"/>
        <v>10003403</v>
      </c>
      <c r="B534" s="33" t="str">
        <f>_xlfn.XLOOKUP(C534,SkillActive!$A:$A,SkillActive!C:C,,0)</f>
        <v>1|2|3|4|5|6|7</v>
      </c>
      <c r="C534" s="5">
        <f t="shared" si="112"/>
        <v>100034</v>
      </c>
      <c r="D534" s="5">
        <v>3</v>
      </c>
      <c r="E534" s="5" t="str">
        <f>_xlfn.XLOOKUP(C534,SkillActive!A:A,SkillActive!B:B,,0)</f>
        <v>火焰诅咒</v>
      </c>
      <c r="F534">
        <f t="shared" si="110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5">
        <f t="shared" si="111"/>
        <v>10003404</v>
      </c>
      <c r="B535" s="33" t="str">
        <f>_xlfn.XLOOKUP(C535,SkillActive!$A:$A,SkillActive!C:C,,0)</f>
        <v>1|2|3|4|5|6|7</v>
      </c>
      <c r="C535" s="5">
        <f t="shared" si="112"/>
        <v>100034</v>
      </c>
      <c r="D535" s="5">
        <v>4</v>
      </c>
      <c r="E535" s="5" t="str">
        <f>_xlfn.XLOOKUP(C535,SkillActive!A:A,SkillActive!B:B,,0)</f>
        <v>火焰诅咒</v>
      </c>
      <c r="F535">
        <f t="shared" si="110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5">
        <f t="shared" si="111"/>
        <v>10003405</v>
      </c>
      <c r="B536" s="33" t="str">
        <f>_xlfn.XLOOKUP(C536,SkillActive!$A:$A,SkillActive!C:C,,0)</f>
        <v>1|2|3|4|5|6|7</v>
      </c>
      <c r="C536" s="5">
        <f t="shared" si="112"/>
        <v>100034</v>
      </c>
      <c r="D536" s="5">
        <v>5</v>
      </c>
      <c r="E536" s="5" t="str">
        <f>_xlfn.XLOOKUP(C536,SkillActive!A:A,SkillActive!B:B,,0)</f>
        <v>火焰诅咒</v>
      </c>
      <c r="F536">
        <f t="shared" si="110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5">
        <f t="shared" si="111"/>
        <v>10003406</v>
      </c>
      <c r="B537" s="33" t="str">
        <f>_xlfn.XLOOKUP(C537,SkillActive!$A:$A,SkillActive!C:C,,0)</f>
        <v>1|2|3|4|5|6|7</v>
      </c>
      <c r="C537" s="5">
        <f t="shared" si="112"/>
        <v>100034</v>
      </c>
      <c r="D537" s="5">
        <v>6</v>
      </c>
      <c r="E537" s="5" t="str">
        <f>_xlfn.XLOOKUP(C537,SkillActive!A:A,SkillActive!B:B,,0)</f>
        <v>火焰诅咒</v>
      </c>
      <c r="F537">
        <f t="shared" si="110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5">
        <f t="shared" si="111"/>
        <v>10003407</v>
      </c>
      <c r="B538" s="33" t="str">
        <f>_xlfn.XLOOKUP(C538,SkillActive!$A:$A,SkillActive!C:C,,0)</f>
        <v>1|2|3|4|5|6|7</v>
      </c>
      <c r="C538" s="5">
        <f t="shared" si="112"/>
        <v>100034</v>
      </c>
      <c r="D538" s="5">
        <v>7</v>
      </c>
      <c r="E538" s="5" t="str">
        <f>_xlfn.XLOOKUP(C538,SkillActive!A:A,SkillActive!B:B,,0)</f>
        <v>火焰诅咒</v>
      </c>
      <c r="F538">
        <f t="shared" si="110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5">
        <f t="shared" si="111"/>
        <v>10003408</v>
      </c>
      <c r="B539" s="33" t="str">
        <f>_xlfn.XLOOKUP(C539,SkillActive!$A:$A,SkillActive!C:C,,0)</f>
        <v>1|2|3|4|5|6|7</v>
      </c>
      <c r="C539" s="5">
        <f t="shared" si="112"/>
        <v>100034</v>
      </c>
      <c r="D539" s="5">
        <v>8</v>
      </c>
      <c r="E539" s="5" t="str">
        <f>_xlfn.XLOOKUP(C539,SkillActive!A:A,SkillActive!B:B,,0)</f>
        <v>火焰诅咒</v>
      </c>
      <c r="F539">
        <f t="shared" si="110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5">
        <f t="shared" si="111"/>
        <v>10003409</v>
      </c>
      <c r="B540" s="33" t="str">
        <f>_xlfn.XLOOKUP(C540,SkillActive!$A:$A,SkillActive!C:C,,0)</f>
        <v>1|2|3|4|5|6|7</v>
      </c>
      <c r="C540" s="5">
        <f t="shared" si="112"/>
        <v>100034</v>
      </c>
      <c r="D540" s="5">
        <v>9</v>
      </c>
      <c r="E540" s="5" t="str">
        <f>_xlfn.XLOOKUP(C540,SkillActive!A:A,SkillActive!B:B,,0)</f>
        <v>火焰诅咒</v>
      </c>
      <c r="F540">
        <f t="shared" si="110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5">
        <f t="shared" si="111"/>
        <v>10003410</v>
      </c>
      <c r="B541" s="33" t="str">
        <f>_xlfn.XLOOKUP(C541,SkillActive!$A:$A,SkillActive!C:C,,0)</f>
        <v>1|2|3|4|5|6|7</v>
      </c>
      <c r="C541" s="5">
        <f t="shared" si="112"/>
        <v>100034</v>
      </c>
      <c r="D541" s="5">
        <v>10</v>
      </c>
      <c r="E541" s="5" t="str">
        <f>_xlfn.XLOOKUP(C541,SkillActive!A:A,SkillActive!B:B,,0)</f>
        <v>火焰诅咒</v>
      </c>
      <c r="F541">
        <f t="shared" si="110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5">
        <f t="shared" si="111"/>
        <v>10003411</v>
      </c>
      <c r="B542" s="33" t="str">
        <f>_xlfn.XLOOKUP(C542,SkillActive!$A:$A,SkillActive!C:C,,0)</f>
        <v>1|2|3|4|5|6|7</v>
      </c>
      <c r="C542" s="5">
        <f t="shared" si="112"/>
        <v>100034</v>
      </c>
      <c r="D542" s="5">
        <v>11</v>
      </c>
      <c r="E542" s="5" t="str">
        <f>_xlfn.XLOOKUP(C542,SkillActive!A:A,SkillActive!B:B,,0)</f>
        <v>火焰诅咒</v>
      </c>
      <c r="F542">
        <f t="shared" si="110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5">
        <f t="shared" si="111"/>
        <v>10003412</v>
      </c>
      <c r="B543" s="33" t="str">
        <f>_xlfn.XLOOKUP(C543,SkillActive!$A:$A,SkillActive!C:C,,0)</f>
        <v>1|2|3|4|5|6|7</v>
      </c>
      <c r="C543" s="5">
        <f t="shared" si="112"/>
        <v>100034</v>
      </c>
      <c r="D543" s="5">
        <v>12</v>
      </c>
      <c r="E543" s="5" t="str">
        <f>_xlfn.XLOOKUP(C543,SkillActive!A:A,SkillActive!B:B,,0)</f>
        <v>火焰诅咒</v>
      </c>
      <c r="F543">
        <f t="shared" si="110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5">
        <f t="shared" si="111"/>
        <v>10003413</v>
      </c>
      <c r="B544" s="33" t="str">
        <f>_xlfn.XLOOKUP(C544,SkillActive!$A:$A,SkillActive!C:C,,0)</f>
        <v>1|2|3|4|5|6|7</v>
      </c>
      <c r="C544" s="5">
        <f t="shared" si="112"/>
        <v>100034</v>
      </c>
      <c r="D544" s="5">
        <v>13</v>
      </c>
      <c r="E544" s="5" t="str">
        <f>_xlfn.XLOOKUP(C544,SkillActive!A:A,SkillActive!B:B,,0)</f>
        <v>火焰诅咒</v>
      </c>
      <c r="F544">
        <f t="shared" si="110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5">
        <f t="shared" si="111"/>
        <v>10003414</v>
      </c>
      <c r="B545" s="33" t="str">
        <f>_xlfn.XLOOKUP(C545,SkillActive!$A:$A,SkillActive!C:C,,0)</f>
        <v>1|2|3|4|5|6|7</v>
      </c>
      <c r="C545" s="5">
        <f t="shared" si="112"/>
        <v>100034</v>
      </c>
      <c r="D545" s="5">
        <v>14</v>
      </c>
      <c r="E545" s="5" t="str">
        <f>_xlfn.XLOOKUP(C545,SkillActive!A:A,SkillActive!B:B,,0)</f>
        <v>火焰诅咒</v>
      </c>
      <c r="F545">
        <f t="shared" si="110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5">
        <f t="shared" si="111"/>
        <v>10003415</v>
      </c>
      <c r="B546" s="33" t="str">
        <f>_xlfn.XLOOKUP(C546,SkillActive!$A:$A,SkillActive!C:C,,0)</f>
        <v>1|2|3|4|5|6|7</v>
      </c>
      <c r="C546" s="5">
        <f t="shared" si="112"/>
        <v>100034</v>
      </c>
      <c r="D546" s="5">
        <v>15</v>
      </c>
      <c r="E546" s="5" t="str">
        <f>_xlfn.XLOOKUP(C546,SkillActive!A:A,SkillActive!B:B,,0)</f>
        <v>火焰诅咒</v>
      </c>
      <c r="F546">
        <f t="shared" si="110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5">
        <f t="shared" si="111"/>
        <v>10003416</v>
      </c>
      <c r="B547" s="33" t="str">
        <f>_xlfn.XLOOKUP(C547,SkillActive!$A:$A,SkillActive!C:C,,0)</f>
        <v>1|2|3|4|5|6|7</v>
      </c>
      <c r="C547" s="5">
        <f t="shared" si="112"/>
        <v>100034</v>
      </c>
      <c r="D547" s="5">
        <v>16</v>
      </c>
      <c r="E547" s="5" t="str">
        <f>_xlfn.XLOOKUP(C547,SkillActive!A:A,SkillActive!B:B,,0)</f>
        <v>火焰诅咒</v>
      </c>
      <c r="F547">
        <f t="shared" si="110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5">
        <f t="shared" si="111"/>
        <v>10003501</v>
      </c>
      <c r="B548" s="33" t="str">
        <f>_xlfn.XLOOKUP(C548,SkillActive!$A:$A,SkillActive!C:C,,0)</f>
        <v>1|2|3|4|5|6|7</v>
      </c>
      <c r="C548" s="5">
        <f t="shared" si="112"/>
        <v>100035</v>
      </c>
      <c r="D548" s="5">
        <v>1</v>
      </c>
      <c r="E548" s="5" t="str">
        <f>_xlfn.XLOOKUP(C548,SkillActive!A:A,SkillActive!B:B,,0)</f>
        <v>寒冰诅咒</v>
      </c>
      <c r="F548">
        <f t="shared" si="110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5">
        <f t="shared" si="111"/>
        <v>10003502</v>
      </c>
      <c r="B549" s="33" t="str">
        <f>_xlfn.XLOOKUP(C549,SkillActive!$A:$A,SkillActive!C:C,,0)</f>
        <v>1|2|3|4|5|6|7</v>
      </c>
      <c r="C549" s="5">
        <f t="shared" si="112"/>
        <v>100035</v>
      </c>
      <c r="D549" s="5">
        <v>2</v>
      </c>
      <c r="E549" s="5" t="str">
        <f>_xlfn.XLOOKUP(C549,SkillActive!A:A,SkillActive!B:B,,0)</f>
        <v>寒冰诅咒</v>
      </c>
      <c r="F549">
        <f t="shared" si="110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5">
        <f t="shared" si="111"/>
        <v>10003503</v>
      </c>
      <c r="B550" s="33" t="str">
        <f>_xlfn.XLOOKUP(C550,SkillActive!$A:$A,SkillActive!C:C,,0)</f>
        <v>1|2|3|4|5|6|7</v>
      </c>
      <c r="C550" s="5">
        <f t="shared" si="112"/>
        <v>100035</v>
      </c>
      <c r="D550" s="5">
        <v>3</v>
      </c>
      <c r="E550" s="5" t="str">
        <f>_xlfn.XLOOKUP(C550,SkillActive!A:A,SkillActive!B:B,,0)</f>
        <v>寒冰诅咒</v>
      </c>
      <c r="F550">
        <f t="shared" si="110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5">
        <f t="shared" si="111"/>
        <v>10003504</v>
      </c>
      <c r="B551" s="33" t="str">
        <f>_xlfn.XLOOKUP(C551,SkillActive!$A:$A,SkillActive!C:C,,0)</f>
        <v>1|2|3|4|5|6|7</v>
      </c>
      <c r="C551" s="5">
        <f t="shared" si="112"/>
        <v>100035</v>
      </c>
      <c r="D551" s="5">
        <v>4</v>
      </c>
      <c r="E551" s="5" t="str">
        <f>_xlfn.XLOOKUP(C551,SkillActive!A:A,SkillActive!B:B,,0)</f>
        <v>寒冰诅咒</v>
      </c>
      <c r="F551">
        <f t="shared" si="110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5">
        <f t="shared" si="111"/>
        <v>10003505</v>
      </c>
      <c r="B552" s="33" t="str">
        <f>_xlfn.XLOOKUP(C552,SkillActive!$A:$A,SkillActive!C:C,,0)</f>
        <v>1|2|3|4|5|6|7</v>
      </c>
      <c r="C552" s="5">
        <f t="shared" si="112"/>
        <v>100035</v>
      </c>
      <c r="D552" s="5">
        <v>5</v>
      </c>
      <c r="E552" s="5" t="str">
        <f>_xlfn.XLOOKUP(C552,SkillActive!A:A,SkillActive!B:B,,0)</f>
        <v>寒冰诅咒</v>
      </c>
      <c r="F552">
        <f t="shared" si="110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5">
        <f t="shared" si="111"/>
        <v>10003506</v>
      </c>
      <c r="B553" s="33" t="str">
        <f>_xlfn.XLOOKUP(C553,SkillActive!$A:$A,SkillActive!C:C,,0)</f>
        <v>1|2|3|4|5|6|7</v>
      </c>
      <c r="C553" s="5">
        <f t="shared" si="112"/>
        <v>100035</v>
      </c>
      <c r="D553" s="5">
        <v>6</v>
      </c>
      <c r="E553" s="5" t="str">
        <f>_xlfn.XLOOKUP(C553,SkillActive!A:A,SkillActive!B:B,,0)</f>
        <v>寒冰诅咒</v>
      </c>
      <c r="F553">
        <f t="shared" si="110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5">
        <f t="shared" si="111"/>
        <v>10003507</v>
      </c>
      <c r="B554" s="33" t="str">
        <f>_xlfn.XLOOKUP(C554,SkillActive!$A:$A,SkillActive!C:C,,0)</f>
        <v>1|2|3|4|5|6|7</v>
      </c>
      <c r="C554" s="5">
        <f t="shared" si="112"/>
        <v>100035</v>
      </c>
      <c r="D554" s="5">
        <v>7</v>
      </c>
      <c r="E554" s="5" t="str">
        <f>_xlfn.XLOOKUP(C554,SkillActive!A:A,SkillActive!B:B,,0)</f>
        <v>寒冰诅咒</v>
      </c>
      <c r="F554">
        <f t="shared" si="110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5">
        <f t="shared" si="111"/>
        <v>10003508</v>
      </c>
      <c r="B555" s="33" t="str">
        <f>_xlfn.XLOOKUP(C555,SkillActive!$A:$A,SkillActive!C:C,,0)</f>
        <v>1|2|3|4|5|6|7</v>
      </c>
      <c r="C555" s="5">
        <f t="shared" si="112"/>
        <v>100035</v>
      </c>
      <c r="D555" s="5">
        <v>8</v>
      </c>
      <c r="E555" s="5" t="str">
        <f>_xlfn.XLOOKUP(C555,SkillActive!A:A,SkillActive!B:B,,0)</f>
        <v>寒冰诅咒</v>
      </c>
      <c r="F555">
        <f t="shared" si="110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5">
        <f t="shared" si="111"/>
        <v>10003509</v>
      </c>
      <c r="B556" s="33" t="str">
        <f>_xlfn.XLOOKUP(C556,SkillActive!$A:$A,SkillActive!C:C,,0)</f>
        <v>1|2|3|4|5|6|7</v>
      </c>
      <c r="C556" s="5">
        <f t="shared" si="112"/>
        <v>100035</v>
      </c>
      <c r="D556" s="5">
        <v>9</v>
      </c>
      <c r="E556" s="5" t="str">
        <f>_xlfn.XLOOKUP(C556,SkillActive!A:A,SkillActive!B:B,,0)</f>
        <v>寒冰诅咒</v>
      </c>
      <c r="F556">
        <f t="shared" si="110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5">
        <f t="shared" si="111"/>
        <v>10003510</v>
      </c>
      <c r="B557" s="33" t="str">
        <f>_xlfn.XLOOKUP(C557,SkillActive!$A:$A,SkillActive!C:C,,0)</f>
        <v>1|2|3|4|5|6|7</v>
      </c>
      <c r="C557" s="5">
        <f t="shared" si="112"/>
        <v>100035</v>
      </c>
      <c r="D557" s="5">
        <v>10</v>
      </c>
      <c r="E557" s="5" t="str">
        <f>_xlfn.XLOOKUP(C557,SkillActive!A:A,SkillActive!B:B,,0)</f>
        <v>寒冰诅咒</v>
      </c>
      <c r="F557">
        <f t="shared" si="110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5">
        <f t="shared" si="111"/>
        <v>10003511</v>
      </c>
      <c r="B558" s="33" t="str">
        <f>_xlfn.XLOOKUP(C558,SkillActive!$A:$A,SkillActive!C:C,,0)</f>
        <v>1|2|3|4|5|6|7</v>
      </c>
      <c r="C558" s="5">
        <f t="shared" si="112"/>
        <v>100035</v>
      </c>
      <c r="D558" s="5">
        <v>11</v>
      </c>
      <c r="E558" s="5" t="str">
        <f>_xlfn.XLOOKUP(C558,SkillActive!A:A,SkillActive!B:B,,0)</f>
        <v>寒冰诅咒</v>
      </c>
      <c r="F558">
        <f t="shared" si="110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5">
        <f t="shared" si="111"/>
        <v>10003512</v>
      </c>
      <c r="B559" s="33" t="str">
        <f>_xlfn.XLOOKUP(C559,SkillActive!$A:$A,SkillActive!C:C,,0)</f>
        <v>1|2|3|4|5|6|7</v>
      </c>
      <c r="C559" s="5">
        <f t="shared" si="112"/>
        <v>100035</v>
      </c>
      <c r="D559" s="5">
        <v>12</v>
      </c>
      <c r="E559" s="5" t="str">
        <f>_xlfn.XLOOKUP(C559,SkillActive!A:A,SkillActive!B:B,,0)</f>
        <v>寒冰诅咒</v>
      </c>
      <c r="F559">
        <f t="shared" si="110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5">
        <f t="shared" si="111"/>
        <v>10003513</v>
      </c>
      <c r="B560" s="33" t="str">
        <f>_xlfn.XLOOKUP(C560,SkillActive!$A:$A,SkillActive!C:C,,0)</f>
        <v>1|2|3|4|5|6|7</v>
      </c>
      <c r="C560" s="5">
        <f t="shared" si="112"/>
        <v>100035</v>
      </c>
      <c r="D560" s="5">
        <v>13</v>
      </c>
      <c r="E560" s="5" t="str">
        <f>_xlfn.XLOOKUP(C560,SkillActive!A:A,SkillActive!B:B,,0)</f>
        <v>寒冰诅咒</v>
      </c>
      <c r="F560">
        <f t="shared" si="110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5">
        <f t="shared" si="111"/>
        <v>10003514</v>
      </c>
      <c r="B561" s="33" t="str">
        <f>_xlfn.XLOOKUP(C561,SkillActive!$A:$A,SkillActive!C:C,,0)</f>
        <v>1|2|3|4|5|6|7</v>
      </c>
      <c r="C561" s="5">
        <f t="shared" si="112"/>
        <v>100035</v>
      </c>
      <c r="D561" s="5">
        <v>14</v>
      </c>
      <c r="E561" s="5" t="str">
        <f>_xlfn.XLOOKUP(C561,SkillActive!A:A,SkillActive!B:B,,0)</f>
        <v>寒冰诅咒</v>
      </c>
      <c r="F561">
        <f t="shared" si="110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5">
        <f t="shared" si="111"/>
        <v>10003515</v>
      </c>
      <c r="B562" s="33" t="str">
        <f>_xlfn.XLOOKUP(C562,SkillActive!$A:$A,SkillActive!C:C,,0)</f>
        <v>1|2|3|4|5|6|7</v>
      </c>
      <c r="C562" s="5">
        <f t="shared" si="112"/>
        <v>100035</v>
      </c>
      <c r="D562" s="5">
        <v>15</v>
      </c>
      <c r="E562" s="5" t="str">
        <f>_xlfn.XLOOKUP(C562,SkillActive!A:A,SkillActive!B:B,,0)</f>
        <v>寒冰诅咒</v>
      </c>
      <c r="F562">
        <f t="shared" si="110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5">
        <f t="shared" si="111"/>
        <v>10003516</v>
      </c>
      <c r="B563" s="33" t="str">
        <f>_xlfn.XLOOKUP(C563,SkillActive!$A:$A,SkillActive!C:C,,0)</f>
        <v>1|2|3|4|5|6|7</v>
      </c>
      <c r="C563" s="5">
        <f t="shared" si="112"/>
        <v>100035</v>
      </c>
      <c r="D563" s="5">
        <v>16</v>
      </c>
      <c r="E563" s="5" t="str">
        <f>_xlfn.XLOOKUP(C563,SkillActive!A:A,SkillActive!B:B,,0)</f>
        <v>寒冰诅咒</v>
      </c>
      <c r="F563">
        <f t="shared" si="110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5">
        <f t="shared" si="111"/>
        <v>10003601</v>
      </c>
      <c r="B564" s="33" t="str">
        <f>_xlfn.XLOOKUP(C564,SkillActive!$A:$A,SkillActive!C:C,,0)</f>
        <v>1|2|3|4|5|6|7</v>
      </c>
      <c r="C564" s="5">
        <f t="shared" si="112"/>
        <v>100036</v>
      </c>
      <c r="D564" s="5">
        <v>1</v>
      </c>
      <c r="E564" s="5" t="str">
        <f>_xlfn.XLOOKUP(C564,SkillActive!A:A,SkillActive!B:B,,0)</f>
        <v>闪电诅咒</v>
      </c>
      <c r="F564">
        <f t="shared" si="110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5">
        <f t="shared" si="111"/>
        <v>10003602</v>
      </c>
      <c r="B565" s="33" t="str">
        <f>_xlfn.XLOOKUP(C565,SkillActive!$A:$A,SkillActive!C:C,,0)</f>
        <v>1|2|3|4|5|6|7</v>
      </c>
      <c r="C565" s="5">
        <f t="shared" si="112"/>
        <v>100036</v>
      </c>
      <c r="D565" s="5">
        <v>2</v>
      </c>
      <c r="E565" s="5" t="str">
        <f>_xlfn.XLOOKUP(C565,SkillActive!A:A,SkillActive!B:B,,0)</f>
        <v>闪电诅咒</v>
      </c>
      <c r="F565">
        <f t="shared" si="110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5">
        <f t="shared" si="111"/>
        <v>10003603</v>
      </c>
      <c r="B566" s="33" t="str">
        <f>_xlfn.XLOOKUP(C566,SkillActive!$A:$A,SkillActive!C:C,,0)</f>
        <v>1|2|3|4|5|6|7</v>
      </c>
      <c r="C566" s="5">
        <f t="shared" si="112"/>
        <v>100036</v>
      </c>
      <c r="D566" s="5">
        <v>3</v>
      </c>
      <c r="E566" s="5" t="str">
        <f>_xlfn.XLOOKUP(C566,SkillActive!A:A,SkillActive!B:B,,0)</f>
        <v>闪电诅咒</v>
      </c>
      <c r="F566">
        <f t="shared" si="110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5">
        <f t="shared" si="111"/>
        <v>10003604</v>
      </c>
      <c r="B567" s="33" t="str">
        <f>_xlfn.XLOOKUP(C567,SkillActive!$A:$A,SkillActive!C:C,,0)</f>
        <v>1|2|3|4|5|6|7</v>
      </c>
      <c r="C567" s="5">
        <f t="shared" si="112"/>
        <v>100036</v>
      </c>
      <c r="D567" s="5">
        <v>4</v>
      </c>
      <c r="E567" s="5" t="str">
        <f>_xlfn.XLOOKUP(C567,SkillActive!A:A,SkillActive!B:B,,0)</f>
        <v>闪电诅咒</v>
      </c>
      <c r="F567">
        <f t="shared" si="110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5">
        <f t="shared" si="111"/>
        <v>10003605</v>
      </c>
      <c r="B568" s="33" t="str">
        <f>_xlfn.XLOOKUP(C568,SkillActive!$A:$A,SkillActive!C:C,,0)</f>
        <v>1|2|3|4|5|6|7</v>
      </c>
      <c r="C568" s="5">
        <f t="shared" si="112"/>
        <v>100036</v>
      </c>
      <c r="D568" s="5">
        <v>5</v>
      </c>
      <c r="E568" s="5" t="str">
        <f>_xlfn.XLOOKUP(C568,SkillActive!A:A,SkillActive!B:B,,0)</f>
        <v>闪电诅咒</v>
      </c>
      <c r="F568">
        <f t="shared" si="110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5">
        <f t="shared" si="111"/>
        <v>10003606</v>
      </c>
      <c r="B569" s="33" t="str">
        <f>_xlfn.XLOOKUP(C569,SkillActive!$A:$A,SkillActive!C:C,,0)</f>
        <v>1|2|3|4|5|6|7</v>
      </c>
      <c r="C569" s="5">
        <f t="shared" si="112"/>
        <v>100036</v>
      </c>
      <c r="D569" s="5">
        <v>6</v>
      </c>
      <c r="E569" s="5" t="str">
        <f>_xlfn.XLOOKUP(C569,SkillActive!A:A,SkillActive!B:B,,0)</f>
        <v>闪电诅咒</v>
      </c>
      <c r="F569">
        <f t="shared" si="110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5">
        <f t="shared" si="111"/>
        <v>10003607</v>
      </c>
      <c r="B570" s="33" t="str">
        <f>_xlfn.XLOOKUP(C570,SkillActive!$A:$A,SkillActive!C:C,,0)</f>
        <v>1|2|3|4|5|6|7</v>
      </c>
      <c r="C570" s="5">
        <f t="shared" si="112"/>
        <v>100036</v>
      </c>
      <c r="D570" s="5">
        <v>7</v>
      </c>
      <c r="E570" s="5" t="str">
        <f>_xlfn.XLOOKUP(C570,SkillActive!A:A,SkillActive!B:B,,0)</f>
        <v>闪电诅咒</v>
      </c>
      <c r="F570">
        <f t="shared" si="110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5">
        <f t="shared" si="111"/>
        <v>10003608</v>
      </c>
      <c r="B571" s="33" t="str">
        <f>_xlfn.XLOOKUP(C571,SkillActive!$A:$A,SkillActive!C:C,,0)</f>
        <v>1|2|3|4|5|6|7</v>
      </c>
      <c r="C571" s="5">
        <f t="shared" si="112"/>
        <v>100036</v>
      </c>
      <c r="D571" s="5">
        <v>8</v>
      </c>
      <c r="E571" s="5" t="str">
        <f>_xlfn.XLOOKUP(C571,SkillActive!A:A,SkillActive!B:B,,0)</f>
        <v>闪电诅咒</v>
      </c>
      <c r="F571">
        <f t="shared" si="110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5">
        <f t="shared" si="111"/>
        <v>10003609</v>
      </c>
      <c r="B572" s="33" t="str">
        <f>_xlfn.XLOOKUP(C572,SkillActive!$A:$A,SkillActive!C:C,,0)</f>
        <v>1|2|3|4|5|6|7</v>
      </c>
      <c r="C572" s="5">
        <f t="shared" si="112"/>
        <v>100036</v>
      </c>
      <c r="D572" s="5">
        <v>9</v>
      </c>
      <c r="E572" s="5" t="str">
        <f>_xlfn.XLOOKUP(C572,SkillActive!A:A,SkillActive!B:B,,0)</f>
        <v>闪电诅咒</v>
      </c>
      <c r="F572">
        <f t="shared" si="110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5">
        <f t="shared" si="111"/>
        <v>10003610</v>
      </c>
      <c r="B573" s="33" t="str">
        <f>_xlfn.XLOOKUP(C573,SkillActive!$A:$A,SkillActive!C:C,,0)</f>
        <v>1|2|3|4|5|6|7</v>
      </c>
      <c r="C573" s="5">
        <f t="shared" si="112"/>
        <v>100036</v>
      </c>
      <c r="D573" s="5">
        <v>10</v>
      </c>
      <c r="E573" s="5" t="str">
        <f>_xlfn.XLOOKUP(C573,SkillActive!A:A,SkillActive!B:B,,0)</f>
        <v>闪电诅咒</v>
      </c>
      <c r="F573">
        <f t="shared" si="110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5">
        <f t="shared" si="111"/>
        <v>10003611</v>
      </c>
      <c r="B574" s="33" t="str">
        <f>_xlfn.XLOOKUP(C574,SkillActive!$A:$A,SkillActive!C:C,,0)</f>
        <v>1|2|3|4|5|6|7</v>
      </c>
      <c r="C574" s="5">
        <f t="shared" si="112"/>
        <v>100036</v>
      </c>
      <c r="D574" s="5">
        <v>11</v>
      </c>
      <c r="E574" s="5" t="str">
        <f>_xlfn.XLOOKUP(C574,SkillActive!A:A,SkillActive!B:B,,0)</f>
        <v>闪电诅咒</v>
      </c>
      <c r="F574">
        <f t="shared" si="110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5">
        <f t="shared" si="111"/>
        <v>10003612</v>
      </c>
      <c r="B575" s="33" t="str">
        <f>_xlfn.XLOOKUP(C575,SkillActive!$A:$A,SkillActive!C:C,,0)</f>
        <v>1|2|3|4|5|6|7</v>
      </c>
      <c r="C575" s="5">
        <f t="shared" si="112"/>
        <v>100036</v>
      </c>
      <c r="D575" s="5">
        <v>12</v>
      </c>
      <c r="E575" s="5" t="str">
        <f>_xlfn.XLOOKUP(C575,SkillActive!A:A,SkillActive!B:B,,0)</f>
        <v>闪电诅咒</v>
      </c>
      <c r="F575">
        <f t="shared" si="110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5">
        <f t="shared" si="111"/>
        <v>10003613</v>
      </c>
      <c r="B576" s="33" t="str">
        <f>_xlfn.XLOOKUP(C576,SkillActive!$A:$A,SkillActive!C:C,,0)</f>
        <v>1|2|3|4|5|6|7</v>
      </c>
      <c r="C576" s="5">
        <f t="shared" si="112"/>
        <v>100036</v>
      </c>
      <c r="D576" s="5">
        <v>13</v>
      </c>
      <c r="E576" s="5" t="str">
        <f>_xlfn.XLOOKUP(C576,SkillActive!A:A,SkillActive!B:B,,0)</f>
        <v>闪电诅咒</v>
      </c>
      <c r="F576">
        <f t="shared" si="110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5">
        <f t="shared" si="111"/>
        <v>10003614</v>
      </c>
      <c r="B577" s="33" t="str">
        <f>_xlfn.XLOOKUP(C577,SkillActive!$A:$A,SkillActive!C:C,,0)</f>
        <v>1|2|3|4|5|6|7</v>
      </c>
      <c r="C577" s="5">
        <f t="shared" si="112"/>
        <v>100036</v>
      </c>
      <c r="D577" s="5">
        <v>14</v>
      </c>
      <c r="E577" s="5" t="str">
        <f>_xlfn.XLOOKUP(C577,SkillActive!A:A,SkillActive!B:B,,0)</f>
        <v>闪电诅咒</v>
      </c>
      <c r="F577">
        <f t="shared" si="110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5">
        <f t="shared" si="111"/>
        <v>10003615</v>
      </c>
      <c r="B578" s="33" t="str">
        <f>_xlfn.XLOOKUP(C578,SkillActive!$A:$A,SkillActive!C:C,,0)</f>
        <v>1|2|3|4|5|6|7</v>
      </c>
      <c r="C578" s="5">
        <f t="shared" si="112"/>
        <v>100036</v>
      </c>
      <c r="D578" s="5">
        <v>15</v>
      </c>
      <c r="E578" s="5" t="str">
        <f>_xlfn.XLOOKUP(C578,SkillActive!A:A,SkillActive!B:B,,0)</f>
        <v>闪电诅咒</v>
      </c>
      <c r="F578">
        <f t="shared" si="110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5">
        <f t="shared" si="111"/>
        <v>10003616</v>
      </c>
      <c r="B579" s="33" t="str">
        <f>_xlfn.XLOOKUP(C579,SkillActive!$A:$A,SkillActive!C:C,,0)</f>
        <v>1|2|3|4|5|6|7</v>
      </c>
      <c r="C579" s="5">
        <f t="shared" si="112"/>
        <v>100036</v>
      </c>
      <c r="D579" s="5">
        <v>16</v>
      </c>
      <c r="E579" s="5" t="str">
        <f>_xlfn.XLOOKUP(C579,SkillActive!A:A,SkillActive!B:B,,0)</f>
        <v>闪电诅咒</v>
      </c>
      <c r="F579">
        <f t="shared" si="110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5">
        <f t="shared" si="111"/>
        <v>10003701</v>
      </c>
      <c r="B580" s="33" t="str">
        <f>_xlfn.XLOOKUP(C580,SkillActive!$A:$A,SkillActive!C:C,,0)</f>
        <v>1|2|3|4|5|6|7</v>
      </c>
      <c r="C580" s="5">
        <f t="shared" si="112"/>
        <v>100037</v>
      </c>
      <c r="D580" s="5">
        <v>1</v>
      </c>
      <c r="E580" s="5" t="str">
        <f>_xlfn.XLOOKUP(C580,SkillActive!A:A,SkillActive!B:B,,0)</f>
        <v>混沌诅咒</v>
      </c>
      <c r="F580">
        <f t="shared" ref="F580:F627" si="113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5">
        <f t="shared" ref="A581:A627" si="114">C581*100+D581</f>
        <v>10003702</v>
      </c>
      <c r="B581" s="33" t="str">
        <f>_xlfn.XLOOKUP(C581,SkillActive!$A:$A,SkillActive!C:C,,0)</f>
        <v>1|2|3|4|5|6|7</v>
      </c>
      <c r="C581" s="5">
        <f t="shared" ref="C581:C611" si="115">C565+1</f>
        <v>100037</v>
      </c>
      <c r="D581" s="5">
        <v>2</v>
      </c>
      <c r="E581" s="5" t="str">
        <f>_xlfn.XLOOKUP(C581,SkillActive!A:A,SkillActive!B:B,,0)</f>
        <v>混沌诅咒</v>
      </c>
      <c r="F581">
        <f t="shared" si="113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5">
        <f t="shared" si="114"/>
        <v>10003703</v>
      </c>
      <c r="B582" s="33" t="str">
        <f>_xlfn.XLOOKUP(C582,SkillActive!$A:$A,SkillActive!C:C,,0)</f>
        <v>1|2|3|4|5|6|7</v>
      </c>
      <c r="C582" s="5">
        <f t="shared" si="115"/>
        <v>100037</v>
      </c>
      <c r="D582" s="5">
        <v>3</v>
      </c>
      <c r="E582" s="5" t="str">
        <f>_xlfn.XLOOKUP(C582,SkillActive!A:A,SkillActive!B:B,,0)</f>
        <v>混沌诅咒</v>
      </c>
      <c r="F582">
        <f t="shared" si="113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5">
        <f t="shared" si="114"/>
        <v>10003704</v>
      </c>
      <c r="B583" s="33" t="str">
        <f>_xlfn.XLOOKUP(C583,SkillActive!$A:$A,SkillActive!C:C,,0)</f>
        <v>1|2|3|4|5|6|7</v>
      </c>
      <c r="C583" s="5">
        <f t="shared" si="115"/>
        <v>100037</v>
      </c>
      <c r="D583" s="5">
        <v>4</v>
      </c>
      <c r="E583" s="5" t="str">
        <f>_xlfn.XLOOKUP(C583,SkillActive!A:A,SkillActive!B:B,,0)</f>
        <v>混沌诅咒</v>
      </c>
      <c r="F583">
        <f t="shared" si="113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5">
        <f t="shared" si="114"/>
        <v>10003705</v>
      </c>
      <c r="B584" s="33" t="str">
        <f>_xlfn.XLOOKUP(C584,SkillActive!$A:$A,SkillActive!C:C,,0)</f>
        <v>1|2|3|4|5|6|7</v>
      </c>
      <c r="C584" s="5">
        <f t="shared" si="115"/>
        <v>100037</v>
      </c>
      <c r="D584" s="5">
        <v>5</v>
      </c>
      <c r="E584" s="5" t="str">
        <f>_xlfn.XLOOKUP(C584,SkillActive!A:A,SkillActive!B:B,,0)</f>
        <v>混沌诅咒</v>
      </c>
      <c r="F584">
        <f t="shared" si="113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5">
        <f t="shared" si="114"/>
        <v>10003706</v>
      </c>
      <c r="B585" s="33" t="str">
        <f>_xlfn.XLOOKUP(C585,SkillActive!$A:$A,SkillActive!C:C,,0)</f>
        <v>1|2|3|4|5|6|7</v>
      </c>
      <c r="C585" s="5">
        <f t="shared" si="115"/>
        <v>100037</v>
      </c>
      <c r="D585" s="5">
        <v>6</v>
      </c>
      <c r="E585" s="5" t="str">
        <f>_xlfn.XLOOKUP(C585,SkillActive!A:A,SkillActive!B:B,,0)</f>
        <v>混沌诅咒</v>
      </c>
      <c r="F585">
        <f t="shared" si="113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5">
        <f t="shared" si="114"/>
        <v>10003707</v>
      </c>
      <c r="B586" s="33" t="str">
        <f>_xlfn.XLOOKUP(C586,SkillActive!$A:$A,SkillActive!C:C,,0)</f>
        <v>1|2|3|4|5|6|7</v>
      </c>
      <c r="C586" s="5">
        <f t="shared" si="115"/>
        <v>100037</v>
      </c>
      <c r="D586" s="5">
        <v>7</v>
      </c>
      <c r="E586" s="5" t="str">
        <f>_xlfn.XLOOKUP(C586,SkillActive!A:A,SkillActive!B:B,,0)</f>
        <v>混沌诅咒</v>
      </c>
      <c r="F586">
        <f t="shared" si="113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5">
        <f t="shared" si="114"/>
        <v>10003708</v>
      </c>
      <c r="B587" s="33" t="str">
        <f>_xlfn.XLOOKUP(C587,SkillActive!$A:$A,SkillActive!C:C,,0)</f>
        <v>1|2|3|4|5|6|7</v>
      </c>
      <c r="C587" s="5">
        <f t="shared" si="115"/>
        <v>100037</v>
      </c>
      <c r="D587" s="5">
        <v>8</v>
      </c>
      <c r="E587" s="5" t="str">
        <f>_xlfn.XLOOKUP(C587,SkillActive!A:A,SkillActive!B:B,,0)</f>
        <v>混沌诅咒</v>
      </c>
      <c r="F587">
        <f t="shared" si="113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5">
        <f t="shared" si="114"/>
        <v>10003709</v>
      </c>
      <c r="B588" s="33" t="str">
        <f>_xlfn.XLOOKUP(C588,SkillActive!$A:$A,SkillActive!C:C,,0)</f>
        <v>1|2|3|4|5|6|7</v>
      </c>
      <c r="C588" s="5">
        <f t="shared" si="115"/>
        <v>100037</v>
      </c>
      <c r="D588" s="5">
        <v>9</v>
      </c>
      <c r="E588" s="5" t="str">
        <f>_xlfn.XLOOKUP(C588,SkillActive!A:A,SkillActive!B:B,,0)</f>
        <v>混沌诅咒</v>
      </c>
      <c r="F588">
        <f t="shared" si="113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5">
        <f t="shared" si="114"/>
        <v>10003710</v>
      </c>
      <c r="B589" s="33" t="str">
        <f>_xlfn.XLOOKUP(C589,SkillActive!$A:$A,SkillActive!C:C,,0)</f>
        <v>1|2|3|4|5|6|7</v>
      </c>
      <c r="C589" s="5">
        <f t="shared" si="115"/>
        <v>100037</v>
      </c>
      <c r="D589" s="5">
        <v>10</v>
      </c>
      <c r="E589" s="5" t="str">
        <f>_xlfn.XLOOKUP(C589,SkillActive!A:A,SkillActive!B:B,,0)</f>
        <v>混沌诅咒</v>
      </c>
      <c r="F589">
        <f t="shared" si="113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5">
        <f t="shared" si="114"/>
        <v>10003711</v>
      </c>
      <c r="B590" s="33" t="str">
        <f>_xlfn.XLOOKUP(C590,SkillActive!$A:$A,SkillActive!C:C,,0)</f>
        <v>1|2|3|4|5|6|7</v>
      </c>
      <c r="C590" s="5">
        <f t="shared" si="115"/>
        <v>100037</v>
      </c>
      <c r="D590" s="5">
        <v>11</v>
      </c>
      <c r="E590" s="5" t="str">
        <f>_xlfn.XLOOKUP(C590,SkillActive!A:A,SkillActive!B:B,,0)</f>
        <v>混沌诅咒</v>
      </c>
      <c r="F590">
        <f t="shared" si="113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5">
        <f t="shared" si="114"/>
        <v>10003712</v>
      </c>
      <c r="B591" s="33" t="str">
        <f>_xlfn.XLOOKUP(C591,SkillActive!$A:$A,SkillActive!C:C,,0)</f>
        <v>1|2|3|4|5|6|7</v>
      </c>
      <c r="C591" s="5">
        <f t="shared" si="115"/>
        <v>100037</v>
      </c>
      <c r="D591" s="5">
        <v>12</v>
      </c>
      <c r="E591" s="5" t="str">
        <f>_xlfn.XLOOKUP(C591,SkillActive!A:A,SkillActive!B:B,,0)</f>
        <v>混沌诅咒</v>
      </c>
      <c r="F591">
        <f t="shared" si="113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5">
        <f t="shared" si="114"/>
        <v>10003713</v>
      </c>
      <c r="B592" s="33" t="str">
        <f>_xlfn.XLOOKUP(C592,SkillActive!$A:$A,SkillActive!C:C,,0)</f>
        <v>1|2|3|4|5|6|7</v>
      </c>
      <c r="C592" s="5">
        <f t="shared" si="115"/>
        <v>100037</v>
      </c>
      <c r="D592" s="5">
        <v>13</v>
      </c>
      <c r="E592" s="5" t="str">
        <f>_xlfn.XLOOKUP(C592,SkillActive!A:A,SkillActive!B:B,,0)</f>
        <v>混沌诅咒</v>
      </c>
      <c r="F592">
        <f t="shared" si="113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5">
        <f t="shared" si="114"/>
        <v>10003714</v>
      </c>
      <c r="B593" s="33" t="str">
        <f>_xlfn.XLOOKUP(C593,SkillActive!$A:$A,SkillActive!C:C,,0)</f>
        <v>1|2|3|4|5|6|7</v>
      </c>
      <c r="C593" s="5">
        <f t="shared" si="115"/>
        <v>100037</v>
      </c>
      <c r="D593" s="5">
        <v>14</v>
      </c>
      <c r="E593" s="5" t="str">
        <f>_xlfn.XLOOKUP(C593,SkillActive!A:A,SkillActive!B:B,,0)</f>
        <v>混沌诅咒</v>
      </c>
      <c r="F593">
        <f t="shared" si="113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5">
        <f t="shared" si="114"/>
        <v>10003715</v>
      </c>
      <c r="B594" s="33" t="str">
        <f>_xlfn.XLOOKUP(C594,SkillActive!$A:$A,SkillActive!C:C,,0)</f>
        <v>1|2|3|4|5|6|7</v>
      </c>
      <c r="C594" s="5">
        <f t="shared" si="115"/>
        <v>100037</v>
      </c>
      <c r="D594" s="5">
        <v>15</v>
      </c>
      <c r="E594" s="5" t="str">
        <f>_xlfn.XLOOKUP(C594,SkillActive!A:A,SkillActive!B:B,,0)</f>
        <v>混沌诅咒</v>
      </c>
      <c r="F594">
        <f t="shared" si="113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5">
        <f t="shared" si="114"/>
        <v>10003716</v>
      </c>
      <c r="B595" s="33" t="str">
        <f>_xlfn.XLOOKUP(C595,SkillActive!$A:$A,SkillActive!C:C,,0)</f>
        <v>1|2|3|4|5|6|7</v>
      </c>
      <c r="C595" s="5">
        <f t="shared" si="115"/>
        <v>100037</v>
      </c>
      <c r="D595" s="5">
        <v>16</v>
      </c>
      <c r="E595" s="5" t="str">
        <f>_xlfn.XLOOKUP(C595,SkillActive!A:A,SkillActive!B:B,,0)</f>
        <v>混沌诅咒</v>
      </c>
      <c r="F595">
        <f t="shared" si="113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  <row r="596" spans="1:8">
      <c r="A596" s="5">
        <f t="shared" si="114"/>
        <v>10003801</v>
      </c>
      <c r="B596" s="33" t="str">
        <f>_xlfn.XLOOKUP(C596,SkillActive!$A:$A,SkillActive!C:C,,0)</f>
        <v>1|2|3|4|5|6|7</v>
      </c>
      <c r="C596" s="5">
        <v>100038</v>
      </c>
      <c r="D596" s="5">
        <v>1</v>
      </c>
      <c r="E596" s="5" t="str">
        <f>_xlfn.XLOOKUP(C596,SkillActive!A:A,SkillActive!B:B,,0)</f>
        <v>附身电球</v>
      </c>
      <c r="F596">
        <f t="shared" si="113"/>
        <v>1</v>
      </c>
      <c r="G596">
        <f>_xlfn.XLOOKUP(C596,SkillActive!$A:$A,SkillActive!E:E,,0)</f>
        <v>2</v>
      </c>
      <c r="H596">
        <f>_xlfn.XLOOKUP(E596,SkillActive!B:B,SkillActive!K:K,,0)</f>
        <v>7</v>
      </c>
    </row>
    <row r="597" spans="1:8">
      <c r="A597" s="5">
        <f t="shared" si="114"/>
        <v>10003802</v>
      </c>
      <c r="B597" s="33" t="str">
        <f>_xlfn.XLOOKUP(C597,SkillActive!$A:$A,SkillActive!C:C,,0)</f>
        <v>1|2|3|4|5|6|7</v>
      </c>
      <c r="C597" s="5">
        <f>C581+1</f>
        <v>100038</v>
      </c>
      <c r="D597" s="5">
        <v>2</v>
      </c>
      <c r="E597" s="5" t="str">
        <f>_xlfn.XLOOKUP(C597,SkillActive!A:A,SkillActive!B:B,,0)</f>
        <v>附身电球</v>
      </c>
      <c r="F597">
        <f t="shared" si="113"/>
        <v>2</v>
      </c>
      <c r="G597">
        <f>_xlfn.XLOOKUP(C597,SkillActive!$A:$A,SkillActive!E:E,,0)</f>
        <v>2</v>
      </c>
      <c r="H597">
        <f>_xlfn.XLOOKUP(E597,SkillActive!B:B,SkillActive!K:K,,0)</f>
        <v>7</v>
      </c>
    </row>
    <row r="598" spans="1:8">
      <c r="A598" s="5">
        <f t="shared" si="114"/>
        <v>10003803</v>
      </c>
      <c r="B598" s="33" t="str">
        <f>_xlfn.XLOOKUP(C598,SkillActive!$A:$A,SkillActive!C:C,,0)</f>
        <v>1|2|3|4|5|6|7</v>
      </c>
      <c r="C598" s="5">
        <f t="shared" si="115"/>
        <v>100038</v>
      </c>
      <c r="D598" s="5">
        <v>3</v>
      </c>
      <c r="E598" s="5" t="str">
        <f>_xlfn.XLOOKUP(C598,SkillActive!A:A,SkillActive!B:B,,0)</f>
        <v>附身电球</v>
      </c>
      <c r="F598">
        <f t="shared" si="113"/>
        <v>3</v>
      </c>
      <c r="G598">
        <f>_xlfn.XLOOKUP(C598,SkillActive!$A:$A,SkillActive!E:E,,0)</f>
        <v>2</v>
      </c>
      <c r="H598">
        <f>_xlfn.XLOOKUP(E598,SkillActive!B:B,SkillActive!K:K,,0)</f>
        <v>7</v>
      </c>
    </row>
    <row r="599" spans="1:8">
      <c r="A599" s="5">
        <f t="shared" si="114"/>
        <v>10003804</v>
      </c>
      <c r="B599" s="33" t="str">
        <f>_xlfn.XLOOKUP(C599,SkillActive!$A:$A,SkillActive!C:C,,0)</f>
        <v>1|2|3|4|5|6|7</v>
      </c>
      <c r="C599" s="5">
        <f t="shared" si="115"/>
        <v>100038</v>
      </c>
      <c r="D599" s="5">
        <v>4</v>
      </c>
      <c r="E599" s="5" t="str">
        <f>_xlfn.XLOOKUP(C599,SkillActive!A:A,SkillActive!B:B,,0)</f>
        <v>附身电球</v>
      </c>
      <c r="F599">
        <f t="shared" si="113"/>
        <v>4</v>
      </c>
      <c r="G599">
        <f>_xlfn.XLOOKUP(C599,SkillActive!$A:$A,SkillActive!E:E,,0)</f>
        <v>2</v>
      </c>
      <c r="H599">
        <f>_xlfn.XLOOKUP(E599,SkillActive!B:B,SkillActive!K:K,,0)</f>
        <v>7</v>
      </c>
    </row>
    <row r="600" spans="1:8">
      <c r="A600" s="5">
        <f t="shared" si="114"/>
        <v>10003805</v>
      </c>
      <c r="B600" s="33" t="str">
        <f>_xlfn.XLOOKUP(C600,SkillActive!$A:$A,SkillActive!C:C,,0)</f>
        <v>1|2|3|4|5|6|7</v>
      </c>
      <c r="C600" s="5">
        <f t="shared" si="115"/>
        <v>100038</v>
      </c>
      <c r="D600" s="5">
        <v>5</v>
      </c>
      <c r="E600" s="5" t="str">
        <f>_xlfn.XLOOKUP(C600,SkillActive!A:A,SkillActive!B:B,,0)</f>
        <v>附身电球</v>
      </c>
      <c r="F600">
        <f t="shared" si="113"/>
        <v>5</v>
      </c>
      <c r="G600">
        <f>_xlfn.XLOOKUP(C600,SkillActive!$A:$A,SkillActive!E:E,,0)</f>
        <v>2</v>
      </c>
      <c r="H600">
        <f>_xlfn.XLOOKUP(E600,SkillActive!B:B,SkillActive!K:K,,0)</f>
        <v>7</v>
      </c>
    </row>
    <row r="601" spans="1:8">
      <c r="A601" s="5">
        <f t="shared" si="114"/>
        <v>10003806</v>
      </c>
      <c r="B601" s="33" t="str">
        <f>_xlfn.XLOOKUP(C601,SkillActive!$A:$A,SkillActive!C:C,,0)</f>
        <v>1|2|3|4|5|6|7</v>
      </c>
      <c r="C601" s="5">
        <f t="shared" si="115"/>
        <v>100038</v>
      </c>
      <c r="D601" s="5">
        <v>6</v>
      </c>
      <c r="E601" s="5" t="str">
        <f>_xlfn.XLOOKUP(C601,SkillActive!A:A,SkillActive!B:B,,0)</f>
        <v>附身电球</v>
      </c>
      <c r="F601">
        <f t="shared" si="113"/>
        <v>6</v>
      </c>
      <c r="G601">
        <f>_xlfn.XLOOKUP(C601,SkillActive!$A:$A,SkillActive!E:E,,0)</f>
        <v>2</v>
      </c>
      <c r="H601">
        <f>_xlfn.XLOOKUP(E601,SkillActive!B:B,SkillActive!K:K,,0)</f>
        <v>7</v>
      </c>
    </row>
    <row r="602" spans="1:8">
      <c r="A602" s="5">
        <f t="shared" si="114"/>
        <v>10003807</v>
      </c>
      <c r="B602" s="33" t="str">
        <f>_xlfn.XLOOKUP(C602,SkillActive!$A:$A,SkillActive!C:C,,0)</f>
        <v>1|2|3|4|5|6|7</v>
      </c>
      <c r="C602" s="5">
        <f t="shared" si="115"/>
        <v>100038</v>
      </c>
      <c r="D602" s="5">
        <v>7</v>
      </c>
      <c r="E602" s="5" t="str">
        <f>_xlfn.XLOOKUP(C602,SkillActive!A:A,SkillActive!B:B,,0)</f>
        <v>附身电球</v>
      </c>
      <c r="F602">
        <f t="shared" si="113"/>
        <v>7</v>
      </c>
      <c r="G602">
        <f>_xlfn.XLOOKUP(C602,SkillActive!$A:$A,SkillActive!E:E,,0)</f>
        <v>2</v>
      </c>
      <c r="H602">
        <f>_xlfn.XLOOKUP(E602,SkillActive!B:B,SkillActive!K:K,,0)</f>
        <v>7</v>
      </c>
    </row>
    <row r="603" spans="1:8">
      <c r="A603" s="5">
        <f t="shared" si="114"/>
        <v>10003808</v>
      </c>
      <c r="B603" s="33" t="str">
        <f>_xlfn.XLOOKUP(C603,SkillActive!$A:$A,SkillActive!C:C,,0)</f>
        <v>1|2|3|4|5|6|7</v>
      </c>
      <c r="C603" s="5">
        <f t="shared" si="115"/>
        <v>100038</v>
      </c>
      <c r="D603" s="5">
        <v>8</v>
      </c>
      <c r="E603" s="5" t="str">
        <f>_xlfn.XLOOKUP(C603,SkillActive!A:A,SkillActive!B:B,,0)</f>
        <v>附身电球</v>
      </c>
      <c r="F603">
        <f t="shared" si="113"/>
        <v>8</v>
      </c>
      <c r="G603">
        <f>_xlfn.XLOOKUP(C603,SkillActive!$A:$A,SkillActive!E:E,,0)</f>
        <v>2</v>
      </c>
      <c r="H603">
        <f>_xlfn.XLOOKUP(E603,SkillActive!B:B,SkillActive!K:K,,0)</f>
        <v>7</v>
      </c>
    </row>
    <row r="604" spans="1:8">
      <c r="A604" s="5">
        <f t="shared" si="114"/>
        <v>10003809</v>
      </c>
      <c r="B604" s="33" t="str">
        <f>_xlfn.XLOOKUP(C604,SkillActive!$A:$A,SkillActive!C:C,,0)</f>
        <v>1|2|3|4|5|6|7</v>
      </c>
      <c r="C604" s="5">
        <f t="shared" si="115"/>
        <v>100038</v>
      </c>
      <c r="D604" s="5">
        <v>9</v>
      </c>
      <c r="E604" s="5" t="str">
        <f>_xlfn.XLOOKUP(C604,SkillActive!A:A,SkillActive!B:B,,0)</f>
        <v>附身电球</v>
      </c>
      <c r="F604">
        <f t="shared" si="113"/>
        <v>9</v>
      </c>
      <c r="G604">
        <f>_xlfn.XLOOKUP(C604,SkillActive!$A:$A,SkillActive!E:E,,0)</f>
        <v>2</v>
      </c>
      <c r="H604">
        <f>_xlfn.XLOOKUP(E604,SkillActive!B:B,SkillActive!K:K,,0)</f>
        <v>7</v>
      </c>
    </row>
    <row r="605" spans="1:8">
      <c r="A605" s="5">
        <f t="shared" si="114"/>
        <v>10003810</v>
      </c>
      <c r="B605" s="33" t="str">
        <f>_xlfn.XLOOKUP(C605,SkillActive!$A:$A,SkillActive!C:C,,0)</f>
        <v>1|2|3|4|5|6|7</v>
      </c>
      <c r="C605" s="5">
        <f t="shared" si="115"/>
        <v>100038</v>
      </c>
      <c r="D605" s="5">
        <v>10</v>
      </c>
      <c r="E605" s="5" t="str">
        <f>_xlfn.XLOOKUP(C605,SkillActive!A:A,SkillActive!B:B,,0)</f>
        <v>附身电球</v>
      </c>
      <c r="F605">
        <f t="shared" si="113"/>
        <v>10</v>
      </c>
      <c r="G605">
        <f>_xlfn.XLOOKUP(C605,SkillActive!$A:$A,SkillActive!E:E,,0)</f>
        <v>2</v>
      </c>
      <c r="H605">
        <f>_xlfn.XLOOKUP(E605,SkillActive!B:B,SkillActive!K:K,,0)</f>
        <v>7</v>
      </c>
    </row>
    <row r="606" spans="1:8">
      <c r="A606" s="5">
        <f t="shared" si="114"/>
        <v>10003811</v>
      </c>
      <c r="B606" s="33" t="str">
        <f>_xlfn.XLOOKUP(C606,SkillActive!$A:$A,SkillActive!C:C,,0)</f>
        <v>1|2|3|4|5|6|7</v>
      </c>
      <c r="C606" s="5">
        <f t="shared" si="115"/>
        <v>100038</v>
      </c>
      <c r="D606" s="5">
        <v>11</v>
      </c>
      <c r="E606" s="5" t="str">
        <f>_xlfn.XLOOKUP(C606,SkillActive!A:A,SkillActive!B:B,,0)</f>
        <v>附身电球</v>
      </c>
      <c r="F606">
        <f t="shared" si="113"/>
        <v>11</v>
      </c>
      <c r="G606">
        <f>_xlfn.XLOOKUP(C606,SkillActive!$A:$A,SkillActive!E:E,,0)</f>
        <v>2</v>
      </c>
      <c r="H606">
        <f>_xlfn.XLOOKUP(E606,SkillActive!B:B,SkillActive!K:K,,0)</f>
        <v>7</v>
      </c>
    </row>
    <row r="607" spans="1:8">
      <c r="A607" s="5">
        <f t="shared" si="114"/>
        <v>10003812</v>
      </c>
      <c r="B607" s="33" t="str">
        <f>_xlfn.XLOOKUP(C607,SkillActive!$A:$A,SkillActive!C:C,,0)</f>
        <v>1|2|3|4|5|6|7</v>
      </c>
      <c r="C607" s="5">
        <f t="shared" si="115"/>
        <v>100038</v>
      </c>
      <c r="D607" s="5">
        <v>12</v>
      </c>
      <c r="E607" s="5" t="str">
        <f>_xlfn.XLOOKUP(C607,SkillActive!A:A,SkillActive!B:B,,0)</f>
        <v>附身电球</v>
      </c>
      <c r="F607">
        <f t="shared" si="113"/>
        <v>12</v>
      </c>
      <c r="G607">
        <f>_xlfn.XLOOKUP(C607,SkillActive!$A:$A,SkillActive!E:E,,0)</f>
        <v>2</v>
      </c>
      <c r="H607">
        <f>_xlfn.XLOOKUP(E607,SkillActive!B:B,SkillActive!K:K,,0)</f>
        <v>7</v>
      </c>
    </row>
    <row r="608" spans="1:8">
      <c r="A608" s="5">
        <f t="shared" si="114"/>
        <v>10003813</v>
      </c>
      <c r="B608" s="33" t="str">
        <f>_xlfn.XLOOKUP(C608,SkillActive!$A:$A,SkillActive!C:C,,0)</f>
        <v>1|2|3|4|5|6|7</v>
      </c>
      <c r="C608" s="5">
        <f t="shared" si="115"/>
        <v>100038</v>
      </c>
      <c r="D608" s="5">
        <v>13</v>
      </c>
      <c r="E608" s="5" t="str">
        <f>_xlfn.XLOOKUP(C608,SkillActive!A:A,SkillActive!B:B,,0)</f>
        <v>附身电球</v>
      </c>
      <c r="F608">
        <f t="shared" si="113"/>
        <v>13</v>
      </c>
      <c r="G608">
        <f>_xlfn.XLOOKUP(C608,SkillActive!$A:$A,SkillActive!E:E,,0)</f>
        <v>2</v>
      </c>
      <c r="H608">
        <f>_xlfn.XLOOKUP(E608,SkillActive!B:B,SkillActive!K:K,,0)</f>
        <v>7</v>
      </c>
    </row>
    <row r="609" spans="1:8">
      <c r="A609" s="5">
        <f t="shared" si="114"/>
        <v>10003814</v>
      </c>
      <c r="B609" s="33" t="str">
        <f>_xlfn.XLOOKUP(C609,SkillActive!$A:$A,SkillActive!C:C,,0)</f>
        <v>1|2|3|4|5|6|7</v>
      </c>
      <c r="C609" s="5">
        <f t="shared" si="115"/>
        <v>100038</v>
      </c>
      <c r="D609" s="5">
        <v>14</v>
      </c>
      <c r="E609" s="5" t="str">
        <f>_xlfn.XLOOKUP(C609,SkillActive!A:A,SkillActive!B:B,,0)</f>
        <v>附身电球</v>
      </c>
      <c r="F609">
        <f t="shared" si="113"/>
        <v>14</v>
      </c>
      <c r="G609">
        <f>_xlfn.XLOOKUP(C609,SkillActive!$A:$A,SkillActive!E:E,,0)</f>
        <v>2</v>
      </c>
      <c r="H609">
        <f>_xlfn.XLOOKUP(E609,SkillActive!B:B,SkillActive!K:K,,0)</f>
        <v>7</v>
      </c>
    </row>
    <row r="610" spans="1:8">
      <c r="A610" s="5">
        <f t="shared" si="114"/>
        <v>10003815</v>
      </c>
      <c r="B610" s="33" t="str">
        <f>_xlfn.XLOOKUP(C610,SkillActive!$A:$A,SkillActive!C:C,,0)</f>
        <v>1|2|3|4|5|6|7</v>
      </c>
      <c r="C610" s="5">
        <f t="shared" si="115"/>
        <v>100038</v>
      </c>
      <c r="D610" s="5">
        <v>15</v>
      </c>
      <c r="E610" s="5" t="str">
        <f>_xlfn.XLOOKUP(C610,SkillActive!A:A,SkillActive!B:B,,0)</f>
        <v>附身电球</v>
      </c>
      <c r="F610">
        <f t="shared" si="113"/>
        <v>15</v>
      </c>
      <c r="G610">
        <f>_xlfn.XLOOKUP(C610,SkillActive!$A:$A,SkillActive!E:E,,0)</f>
        <v>2</v>
      </c>
      <c r="H610">
        <f>_xlfn.XLOOKUP(E610,SkillActive!B:B,SkillActive!K:K,,0)</f>
        <v>7</v>
      </c>
    </row>
    <row r="611" spans="1:8">
      <c r="A611" s="5">
        <f t="shared" si="114"/>
        <v>10003816</v>
      </c>
      <c r="B611" s="33" t="str">
        <f>_xlfn.XLOOKUP(C611,SkillActive!$A:$A,SkillActive!C:C,,0)</f>
        <v>1|2|3|4|5|6|7</v>
      </c>
      <c r="C611" s="5">
        <f t="shared" si="115"/>
        <v>100038</v>
      </c>
      <c r="D611" s="5">
        <v>16</v>
      </c>
      <c r="E611" s="5" t="str">
        <f>_xlfn.XLOOKUP(C611,SkillActive!A:A,SkillActive!B:B,,0)</f>
        <v>附身电球</v>
      </c>
      <c r="F611">
        <f t="shared" si="113"/>
        <v>16</v>
      </c>
      <c r="G611">
        <f>_xlfn.XLOOKUP(C611,SkillActive!$A:$A,SkillActive!E:E,,0)</f>
        <v>2</v>
      </c>
      <c r="H611">
        <f>_xlfn.XLOOKUP(E611,SkillActive!B:B,SkillActive!K:K,,0)</f>
        <v>7</v>
      </c>
    </row>
    <row r="612" spans="1:8">
      <c r="A612" s="5">
        <f t="shared" si="114"/>
        <v>10003901</v>
      </c>
      <c r="B612" s="33" t="str">
        <f>_xlfn.XLOOKUP(C612,SkillActive!$A:$A,SkillActive!C:C,,0)</f>
        <v>1|2|3|4|5|6|7</v>
      </c>
      <c r="C612" s="5">
        <v>100039</v>
      </c>
      <c r="D612" s="5">
        <v>1</v>
      </c>
      <c r="E612" s="5" t="str">
        <f>_xlfn.XLOOKUP(C612,SkillActive!A:A,SkillActive!B:B,,0)</f>
        <v>火焰龙卷</v>
      </c>
      <c r="F612">
        <f t="shared" si="113"/>
        <v>1</v>
      </c>
      <c r="G612">
        <f>_xlfn.XLOOKUP(C612,SkillActive!$A:$A,SkillActive!E:E,,0)</f>
        <v>3</v>
      </c>
      <c r="H612">
        <f>_xlfn.XLOOKUP(E612,SkillActive!B:B,SkillActive!K:K,,0)</f>
        <v>15</v>
      </c>
    </row>
    <row r="613" spans="1:8">
      <c r="A613" s="5">
        <f t="shared" si="114"/>
        <v>10003902</v>
      </c>
      <c r="B613" s="33" t="str">
        <f>_xlfn.XLOOKUP(C613,SkillActive!$A:$A,SkillActive!C:C,,0)</f>
        <v>1|2|3|4|5|6|7</v>
      </c>
      <c r="C613" s="5">
        <f>C597+1</f>
        <v>100039</v>
      </c>
      <c r="D613" s="5">
        <v>2</v>
      </c>
      <c r="E613" s="5" t="str">
        <f>_xlfn.XLOOKUP(C613,SkillActive!A:A,SkillActive!B:B,,0)</f>
        <v>火焰龙卷</v>
      </c>
      <c r="F613">
        <f t="shared" si="113"/>
        <v>2</v>
      </c>
      <c r="G613">
        <f>_xlfn.XLOOKUP(C613,SkillActive!$A:$A,SkillActive!E:E,,0)</f>
        <v>3</v>
      </c>
      <c r="H613">
        <f>_xlfn.XLOOKUP(E613,SkillActive!B:B,SkillActive!K:K,,0)</f>
        <v>15</v>
      </c>
    </row>
    <row r="614" spans="1:8">
      <c r="A614" s="5">
        <f t="shared" si="114"/>
        <v>10003903</v>
      </c>
      <c r="B614" s="33" t="str">
        <f>_xlfn.XLOOKUP(C614,SkillActive!$A:$A,SkillActive!C:C,,0)</f>
        <v>1|2|3|4|5|6|7</v>
      </c>
      <c r="C614" s="5">
        <f>C598+1</f>
        <v>100039</v>
      </c>
      <c r="D614" s="5">
        <v>3</v>
      </c>
      <c r="E614" s="5" t="str">
        <f>_xlfn.XLOOKUP(C614,SkillActive!A:A,SkillActive!B:B,,0)</f>
        <v>火焰龙卷</v>
      </c>
      <c r="F614">
        <f t="shared" si="113"/>
        <v>3</v>
      </c>
      <c r="G614">
        <f>_xlfn.XLOOKUP(C614,SkillActive!$A:$A,SkillActive!E:E,,0)</f>
        <v>3</v>
      </c>
      <c r="H614">
        <f>_xlfn.XLOOKUP(E614,SkillActive!B:B,SkillActive!K:K,,0)</f>
        <v>15</v>
      </c>
    </row>
    <row r="615" spans="1:8">
      <c r="A615" s="5">
        <f t="shared" si="114"/>
        <v>10003904</v>
      </c>
      <c r="B615" s="33" t="str">
        <f>_xlfn.XLOOKUP(C615,SkillActive!$A:$A,SkillActive!C:C,,0)</f>
        <v>1|2|3|4|5|6|7</v>
      </c>
      <c r="C615" s="5">
        <f t="shared" ref="C613:C627" si="116">C599+1</f>
        <v>100039</v>
      </c>
      <c r="D615" s="5">
        <v>4</v>
      </c>
      <c r="E615" s="5" t="str">
        <f>_xlfn.XLOOKUP(C615,SkillActive!A:A,SkillActive!B:B,,0)</f>
        <v>火焰龙卷</v>
      </c>
      <c r="F615">
        <f t="shared" si="113"/>
        <v>4</v>
      </c>
      <c r="G615">
        <f>_xlfn.XLOOKUP(C615,SkillActive!$A:$A,SkillActive!E:E,,0)</f>
        <v>3</v>
      </c>
      <c r="H615">
        <f>_xlfn.XLOOKUP(E615,SkillActive!B:B,SkillActive!K:K,,0)</f>
        <v>15</v>
      </c>
    </row>
    <row r="616" spans="1:8">
      <c r="A616" s="5">
        <f t="shared" si="114"/>
        <v>10003905</v>
      </c>
      <c r="B616" s="33" t="str">
        <f>_xlfn.XLOOKUP(C616,SkillActive!$A:$A,SkillActive!C:C,,0)</f>
        <v>1|2|3|4|5|6|7</v>
      </c>
      <c r="C616" s="5">
        <f t="shared" si="116"/>
        <v>100039</v>
      </c>
      <c r="D616" s="5">
        <v>5</v>
      </c>
      <c r="E616" s="5" t="str">
        <f>_xlfn.XLOOKUP(C616,SkillActive!A:A,SkillActive!B:B,,0)</f>
        <v>火焰龙卷</v>
      </c>
      <c r="F616">
        <f t="shared" si="113"/>
        <v>5</v>
      </c>
      <c r="G616">
        <f>_xlfn.XLOOKUP(C616,SkillActive!$A:$A,SkillActive!E:E,,0)</f>
        <v>3</v>
      </c>
      <c r="H616">
        <f>_xlfn.XLOOKUP(E616,SkillActive!B:B,SkillActive!K:K,,0)</f>
        <v>15</v>
      </c>
    </row>
    <row r="617" spans="1:8">
      <c r="A617" s="5">
        <f t="shared" si="114"/>
        <v>10003906</v>
      </c>
      <c r="B617" s="33" t="str">
        <f>_xlfn.XLOOKUP(C617,SkillActive!$A:$A,SkillActive!C:C,,0)</f>
        <v>1|2|3|4|5|6|7</v>
      </c>
      <c r="C617" s="5">
        <f t="shared" si="116"/>
        <v>100039</v>
      </c>
      <c r="D617" s="5">
        <v>6</v>
      </c>
      <c r="E617" s="5" t="str">
        <f>_xlfn.XLOOKUP(C617,SkillActive!A:A,SkillActive!B:B,,0)</f>
        <v>火焰龙卷</v>
      </c>
      <c r="F617">
        <f t="shared" si="113"/>
        <v>6</v>
      </c>
      <c r="G617">
        <f>_xlfn.XLOOKUP(C617,SkillActive!$A:$A,SkillActive!E:E,,0)</f>
        <v>3</v>
      </c>
      <c r="H617">
        <f>_xlfn.XLOOKUP(E617,SkillActive!B:B,SkillActive!K:K,,0)</f>
        <v>15</v>
      </c>
    </row>
    <row r="618" spans="1:8">
      <c r="A618" s="5">
        <f t="shared" si="114"/>
        <v>10003907</v>
      </c>
      <c r="B618" s="33" t="str">
        <f>_xlfn.XLOOKUP(C618,SkillActive!$A:$A,SkillActive!C:C,,0)</f>
        <v>1|2|3|4|5|6|7</v>
      </c>
      <c r="C618" s="5">
        <f t="shared" si="116"/>
        <v>100039</v>
      </c>
      <c r="D618" s="5">
        <v>7</v>
      </c>
      <c r="E618" s="5" t="str">
        <f>_xlfn.XLOOKUP(C618,SkillActive!A:A,SkillActive!B:B,,0)</f>
        <v>火焰龙卷</v>
      </c>
      <c r="F618">
        <f t="shared" si="113"/>
        <v>7</v>
      </c>
      <c r="G618">
        <f>_xlfn.XLOOKUP(C618,SkillActive!$A:$A,SkillActive!E:E,,0)</f>
        <v>3</v>
      </c>
      <c r="H618">
        <f>_xlfn.XLOOKUP(E618,SkillActive!B:B,SkillActive!K:K,,0)</f>
        <v>15</v>
      </c>
    </row>
    <row r="619" spans="1:8">
      <c r="A619" s="5">
        <f t="shared" si="114"/>
        <v>10003908</v>
      </c>
      <c r="B619" s="33" t="str">
        <f>_xlfn.XLOOKUP(C619,SkillActive!$A:$A,SkillActive!C:C,,0)</f>
        <v>1|2|3|4|5|6|7</v>
      </c>
      <c r="C619" s="5">
        <f t="shared" si="116"/>
        <v>100039</v>
      </c>
      <c r="D619" s="5">
        <v>8</v>
      </c>
      <c r="E619" s="5" t="str">
        <f>_xlfn.XLOOKUP(C619,SkillActive!A:A,SkillActive!B:B,,0)</f>
        <v>火焰龙卷</v>
      </c>
      <c r="F619">
        <f t="shared" si="113"/>
        <v>8</v>
      </c>
      <c r="G619">
        <f>_xlfn.XLOOKUP(C619,SkillActive!$A:$A,SkillActive!E:E,,0)</f>
        <v>3</v>
      </c>
      <c r="H619">
        <f>_xlfn.XLOOKUP(E619,SkillActive!B:B,SkillActive!K:K,,0)</f>
        <v>15</v>
      </c>
    </row>
    <row r="620" spans="1:8">
      <c r="A620" s="5">
        <f t="shared" si="114"/>
        <v>10003909</v>
      </c>
      <c r="B620" s="33" t="str">
        <f>_xlfn.XLOOKUP(C620,SkillActive!$A:$A,SkillActive!C:C,,0)</f>
        <v>1|2|3|4|5|6|7</v>
      </c>
      <c r="C620" s="5">
        <f t="shared" si="116"/>
        <v>100039</v>
      </c>
      <c r="D620" s="5">
        <v>9</v>
      </c>
      <c r="E620" s="5" t="str">
        <f>_xlfn.XLOOKUP(C620,SkillActive!A:A,SkillActive!B:B,,0)</f>
        <v>火焰龙卷</v>
      </c>
      <c r="F620">
        <f t="shared" si="113"/>
        <v>9</v>
      </c>
      <c r="G620">
        <f>_xlfn.XLOOKUP(C620,SkillActive!$A:$A,SkillActive!E:E,,0)</f>
        <v>3</v>
      </c>
      <c r="H620">
        <f>_xlfn.XLOOKUP(E620,SkillActive!B:B,SkillActive!K:K,,0)</f>
        <v>15</v>
      </c>
    </row>
    <row r="621" spans="1:8">
      <c r="A621" s="5">
        <f t="shared" si="114"/>
        <v>10003910</v>
      </c>
      <c r="B621" s="33" t="str">
        <f>_xlfn.XLOOKUP(C621,SkillActive!$A:$A,SkillActive!C:C,,0)</f>
        <v>1|2|3|4|5|6|7</v>
      </c>
      <c r="C621" s="5">
        <f t="shared" si="116"/>
        <v>100039</v>
      </c>
      <c r="D621" s="5">
        <v>10</v>
      </c>
      <c r="E621" s="5" t="str">
        <f>_xlfn.XLOOKUP(C621,SkillActive!A:A,SkillActive!B:B,,0)</f>
        <v>火焰龙卷</v>
      </c>
      <c r="F621">
        <f t="shared" si="113"/>
        <v>10</v>
      </c>
      <c r="G621">
        <f>_xlfn.XLOOKUP(C621,SkillActive!$A:$A,SkillActive!E:E,,0)</f>
        <v>3</v>
      </c>
      <c r="H621">
        <f>_xlfn.XLOOKUP(E621,SkillActive!B:B,SkillActive!K:K,,0)</f>
        <v>15</v>
      </c>
    </row>
    <row r="622" spans="1:8">
      <c r="A622" s="5">
        <f t="shared" si="114"/>
        <v>10003911</v>
      </c>
      <c r="B622" s="33" t="str">
        <f>_xlfn.XLOOKUP(C622,SkillActive!$A:$A,SkillActive!C:C,,0)</f>
        <v>1|2|3|4|5|6|7</v>
      </c>
      <c r="C622" s="5">
        <f t="shared" si="116"/>
        <v>100039</v>
      </c>
      <c r="D622" s="5">
        <v>11</v>
      </c>
      <c r="E622" s="5" t="str">
        <f>_xlfn.XLOOKUP(C622,SkillActive!A:A,SkillActive!B:B,,0)</f>
        <v>火焰龙卷</v>
      </c>
      <c r="F622">
        <f t="shared" si="113"/>
        <v>11</v>
      </c>
      <c r="G622">
        <f>_xlfn.XLOOKUP(C622,SkillActive!$A:$A,SkillActive!E:E,,0)</f>
        <v>3</v>
      </c>
      <c r="H622">
        <f>_xlfn.XLOOKUP(E622,SkillActive!B:B,SkillActive!K:K,,0)</f>
        <v>15</v>
      </c>
    </row>
    <row r="623" spans="1:8">
      <c r="A623" s="5">
        <f t="shared" si="114"/>
        <v>10003912</v>
      </c>
      <c r="B623" s="33" t="str">
        <f>_xlfn.XLOOKUP(C623,SkillActive!$A:$A,SkillActive!C:C,,0)</f>
        <v>1|2|3|4|5|6|7</v>
      </c>
      <c r="C623" s="5">
        <f t="shared" si="116"/>
        <v>100039</v>
      </c>
      <c r="D623" s="5">
        <v>12</v>
      </c>
      <c r="E623" s="5" t="str">
        <f>_xlfn.XLOOKUP(C623,SkillActive!A:A,SkillActive!B:B,,0)</f>
        <v>火焰龙卷</v>
      </c>
      <c r="F623">
        <f t="shared" si="113"/>
        <v>12</v>
      </c>
      <c r="G623">
        <f>_xlfn.XLOOKUP(C623,SkillActive!$A:$A,SkillActive!E:E,,0)</f>
        <v>3</v>
      </c>
      <c r="H623">
        <f>_xlfn.XLOOKUP(E623,SkillActive!B:B,SkillActive!K:K,,0)</f>
        <v>15</v>
      </c>
    </row>
    <row r="624" spans="1:8">
      <c r="A624" s="5">
        <f t="shared" si="114"/>
        <v>10003913</v>
      </c>
      <c r="B624" s="33" t="str">
        <f>_xlfn.XLOOKUP(C624,SkillActive!$A:$A,SkillActive!C:C,,0)</f>
        <v>1|2|3|4|5|6|7</v>
      </c>
      <c r="C624" s="5">
        <f t="shared" si="116"/>
        <v>100039</v>
      </c>
      <c r="D624" s="5">
        <v>13</v>
      </c>
      <c r="E624" s="5" t="str">
        <f>_xlfn.XLOOKUP(C624,SkillActive!A:A,SkillActive!B:B,,0)</f>
        <v>火焰龙卷</v>
      </c>
      <c r="F624">
        <f t="shared" si="113"/>
        <v>13</v>
      </c>
      <c r="G624">
        <f>_xlfn.XLOOKUP(C624,SkillActive!$A:$A,SkillActive!E:E,,0)</f>
        <v>3</v>
      </c>
      <c r="H624">
        <f>_xlfn.XLOOKUP(E624,SkillActive!B:B,SkillActive!K:K,,0)</f>
        <v>15</v>
      </c>
    </row>
    <row r="625" spans="1:8">
      <c r="A625" s="5">
        <f t="shared" si="114"/>
        <v>10003914</v>
      </c>
      <c r="B625" s="33" t="str">
        <f>_xlfn.XLOOKUP(C625,SkillActive!$A:$A,SkillActive!C:C,,0)</f>
        <v>1|2|3|4|5|6|7</v>
      </c>
      <c r="C625" s="5">
        <f t="shared" si="116"/>
        <v>100039</v>
      </c>
      <c r="D625" s="5">
        <v>14</v>
      </c>
      <c r="E625" s="5" t="str">
        <f>_xlfn.XLOOKUP(C625,SkillActive!A:A,SkillActive!B:B,,0)</f>
        <v>火焰龙卷</v>
      </c>
      <c r="F625">
        <f t="shared" si="113"/>
        <v>14</v>
      </c>
      <c r="G625">
        <f>_xlfn.XLOOKUP(C625,SkillActive!$A:$A,SkillActive!E:E,,0)</f>
        <v>3</v>
      </c>
      <c r="H625">
        <f>_xlfn.XLOOKUP(E625,SkillActive!B:B,SkillActive!K:K,,0)</f>
        <v>15</v>
      </c>
    </row>
    <row r="626" spans="1:8">
      <c r="A626" s="5">
        <f t="shared" si="114"/>
        <v>10003915</v>
      </c>
      <c r="B626" s="33" t="str">
        <f>_xlfn.XLOOKUP(C626,SkillActive!$A:$A,SkillActive!C:C,,0)</f>
        <v>1|2|3|4|5|6|7</v>
      </c>
      <c r="C626" s="5">
        <f t="shared" si="116"/>
        <v>100039</v>
      </c>
      <c r="D626" s="5">
        <v>15</v>
      </c>
      <c r="E626" s="5" t="str">
        <f>_xlfn.XLOOKUP(C626,SkillActive!A:A,SkillActive!B:B,,0)</f>
        <v>火焰龙卷</v>
      </c>
      <c r="F626">
        <f t="shared" si="113"/>
        <v>15</v>
      </c>
      <c r="G626">
        <f>_xlfn.XLOOKUP(C626,SkillActive!$A:$A,SkillActive!E:E,,0)</f>
        <v>3</v>
      </c>
      <c r="H626">
        <f>_xlfn.XLOOKUP(E626,SkillActive!B:B,SkillActive!K:K,,0)</f>
        <v>15</v>
      </c>
    </row>
    <row r="627" spans="1:8">
      <c r="A627" s="5">
        <f t="shared" si="114"/>
        <v>10003916</v>
      </c>
      <c r="B627" s="33" t="str">
        <f>_xlfn.XLOOKUP(C627,SkillActive!$A:$A,SkillActive!C:C,,0)</f>
        <v>1|2|3|4|5|6|7</v>
      </c>
      <c r="C627" s="5">
        <f t="shared" si="116"/>
        <v>100039</v>
      </c>
      <c r="D627" s="5">
        <v>16</v>
      </c>
      <c r="E627" s="5" t="str">
        <f>_xlfn.XLOOKUP(C627,SkillActive!A:A,SkillActive!B:B,,0)</f>
        <v>火焰龙卷</v>
      </c>
      <c r="F627">
        <f t="shared" si="113"/>
        <v>16</v>
      </c>
      <c r="G627">
        <f>_xlfn.XLOOKUP(C627,SkillActive!$A:$A,SkillActive!E:E,,0)</f>
        <v>3</v>
      </c>
      <c r="H627">
        <f>_xlfn.XLOOKUP(E627,SkillActive!B:B,SkillActive!K:K,,0)</f>
        <v>15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M151"/>
  <sheetViews>
    <sheetView tabSelected="1" zoomScale="115" zoomScaleNormal="115" workbookViewId="0">
      <pane xSplit="1" ySplit="3" topLeftCell="B133" activePane="bottomRight" state="frozen"/>
      <selection/>
      <selection pane="topRight"/>
      <selection pane="bottomLeft"/>
      <selection pane="bottomRight" activeCell="D138" sqref="D138"/>
    </sheetView>
  </sheetViews>
  <sheetFormatPr defaultColWidth="9" defaultRowHeight="13.5"/>
  <cols>
    <col min="1" max="1" width="14" style="5" customWidth="1"/>
    <col min="2" max="2" width="18.625" style="5" customWidth="1"/>
    <col min="3" max="3" width="11.5" style="5" customWidth="1"/>
    <col min="4" max="4" width="61.875" style="5" customWidth="1"/>
    <col min="5" max="5" width="20.375" style="5" customWidth="1"/>
    <col min="6" max="6" width="11.5" style="5" customWidth="1"/>
    <col min="7" max="7" width="28.375" style="5" customWidth="1"/>
    <col min="8" max="8" width="15.875" style="5" customWidth="1"/>
    <col min="9" max="9" width="90.25" style="5" customWidth="1"/>
    <col min="10" max="10" width="12" style="5" customWidth="1"/>
    <col min="11" max="11" width="11.5" style="5" customWidth="1"/>
    <col min="12" max="12" width="10.375" style="5" customWidth="1"/>
    <col min="13" max="13" width="20.25" style="5" customWidth="1"/>
    <col min="14" max="16384" width="9" style="5"/>
  </cols>
  <sheetData>
    <row r="1" spans="1:13">
      <c r="A1" s="6">
        <v>10030</v>
      </c>
      <c r="B1" s="6" t="s">
        <v>342</v>
      </c>
      <c r="C1" s="6" t="s">
        <v>2</v>
      </c>
      <c r="D1" s="5" t="s">
        <v>343</v>
      </c>
      <c r="E1" s="5" t="s">
        <v>344</v>
      </c>
      <c r="F1" s="6" t="s">
        <v>345</v>
      </c>
      <c r="G1" s="6" t="s">
        <v>179</v>
      </c>
      <c r="H1" s="6" t="s">
        <v>180</v>
      </c>
      <c r="I1" s="6" t="s">
        <v>181</v>
      </c>
      <c r="J1" s="6" t="s">
        <v>182</v>
      </c>
      <c r="K1" s="6" t="s">
        <v>346</v>
      </c>
      <c r="L1" s="6" t="s">
        <v>184</v>
      </c>
      <c r="M1" s="5" t="s">
        <v>185</v>
      </c>
    </row>
    <row r="2" spans="1:13">
      <c r="A2" s="7" t="s">
        <v>18</v>
      </c>
      <c r="B2" s="7" t="s">
        <v>168</v>
      </c>
      <c r="C2" s="7" t="s">
        <v>20</v>
      </c>
      <c r="D2" s="7" t="s">
        <v>347</v>
      </c>
      <c r="E2" s="7" t="s">
        <v>348</v>
      </c>
      <c r="F2" s="7" t="s">
        <v>349</v>
      </c>
      <c r="G2" s="7" t="s">
        <v>29</v>
      </c>
      <c r="H2" s="7" t="s">
        <v>19</v>
      </c>
      <c r="I2" s="7" t="s">
        <v>30</v>
      </c>
      <c r="J2" s="7" t="s">
        <v>191</v>
      </c>
      <c r="K2" s="7" t="s">
        <v>192</v>
      </c>
      <c r="L2" s="7" t="s">
        <v>24</v>
      </c>
      <c r="M2" s="7" t="s">
        <v>194</v>
      </c>
    </row>
    <row r="3" spans="1:13">
      <c r="A3" s="8" t="s">
        <v>36</v>
      </c>
      <c r="B3" s="8" t="s">
        <v>37</v>
      </c>
      <c r="C3" s="8" t="s">
        <v>36</v>
      </c>
      <c r="D3" s="8" t="s">
        <v>38</v>
      </c>
      <c r="E3" s="8" t="s">
        <v>38</v>
      </c>
      <c r="F3" s="8" t="s">
        <v>36</v>
      </c>
      <c r="G3" s="8" t="s">
        <v>37</v>
      </c>
      <c r="H3" s="8" t="s">
        <v>37</v>
      </c>
      <c r="I3" s="8" t="s">
        <v>37</v>
      </c>
      <c r="J3" s="8" t="s">
        <v>38</v>
      </c>
      <c r="K3" s="8" t="s">
        <v>40</v>
      </c>
      <c r="L3" s="8" t="s">
        <v>38</v>
      </c>
      <c r="M3" s="8" t="s">
        <v>40</v>
      </c>
    </row>
    <row r="4" s="16" customFormat="1" spans="1:13">
      <c r="A4" s="23">
        <v>1000001</v>
      </c>
      <c r="B4" s="16" t="s">
        <v>350</v>
      </c>
      <c r="C4" s="16">
        <v>0</v>
      </c>
      <c r="D4" s="23">
        <v>1000002</v>
      </c>
      <c r="E4" s="23" t="s">
        <v>351</v>
      </c>
      <c r="F4" s="16">
        <v>1</v>
      </c>
      <c r="G4" s="16" t="s">
        <v>352</v>
      </c>
      <c r="H4" s="16" t="s">
        <v>353</v>
      </c>
      <c r="I4" s="16" t="s">
        <v>354</v>
      </c>
      <c r="M4" s="16" t="s">
        <v>355</v>
      </c>
    </row>
    <row r="5" s="16" customFormat="1" spans="1:13">
      <c r="A5" s="23">
        <v>1000002</v>
      </c>
      <c r="B5" s="16" t="s">
        <v>356</v>
      </c>
      <c r="C5" s="16">
        <v>0</v>
      </c>
      <c r="D5" s="23" t="s">
        <v>357</v>
      </c>
      <c r="E5" s="23" t="s">
        <v>358</v>
      </c>
      <c r="F5" s="16">
        <v>1</v>
      </c>
      <c r="G5" s="16" t="s">
        <v>352</v>
      </c>
      <c r="H5" s="16" t="s">
        <v>353</v>
      </c>
      <c r="I5" s="16" t="s">
        <v>354</v>
      </c>
      <c r="M5" s="16" t="s">
        <v>355</v>
      </c>
    </row>
    <row r="6" s="16" customFormat="1" spans="1:13">
      <c r="A6" s="23">
        <v>1000003</v>
      </c>
      <c r="B6" s="16" t="s">
        <v>359</v>
      </c>
      <c r="C6" s="16">
        <v>0</v>
      </c>
      <c r="D6" s="23" t="s">
        <v>360</v>
      </c>
      <c r="E6" s="23" t="s">
        <v>361</v>
      </c>
      <c r="F6" s="16">
        <v>1</v>
      </c>
      <c r="G6" s="16" t="s">
        <v>352</v>
      </c>
      <c r="H6" s="16" t="s">
        <v>353</v>
      </c>
      <c r="I6" s="16" t="s">
        <v>354</v>
      </c>
      <c r="M6" s="16" t="s">
        <v>355</v>
      </c>
    </row>
    <row r="7" s="16" customFormat="1" spans="1:13">
      <c r="A7" s="23">
        <v>1000004</v>
      </c>
      <c r="B7" s="16" t="s">
        <v>362</v>
      </c>
      <c r="C7" s="16">
        <v>0</v>
      </c>
      <c r="D7" s="23" t="s">
        <v>363</v>
      </c>
      <c r="E7" s="23" t="s">
        <v>364</v>
      </c>
      <c r="F7" s="16">
        <v>1</v>
      </c>
      <c r="G7" s="16" t="s">
        <v>352</v>
      </c>
      <c r="H7" s="16" t="s">
        <v>353</v>
      </c>
      <c r="I7" s="16" t="s">
        <v>354</v>
      </c>
      <c r="M7" s="16" t="s">
        <v>355</v>
      </c>
    </row>
    <row r="8" s="16" customFormat="1" spans="1:13">
      <c r="A8" s="23">
        <v>1000005</v>
      </c>
      <c r="B8" s="16" t="s">
        <v>365</v>
      </c>
      <c r="C8" s="16">
        <v>0</v>
      </c>
      <c r="D8" s="23" t="s">
        <v>366</v>
      </c>
      <c r="E8" s="23" t="s">
        <v>367</v>
      </c>
      <c r="F8" s="16">
        <v>1</v>
      </c>
      <c r="G8" s="16" t="s">
        <v>352</v>
      </c>
      <c r="H8" s="16" t="s">
        <v>353</v>
      </c>
      <c r="I8" s="16" t="s">
        <v>354</v>
      </c>
      <c r="M8" s="16" t="s">
        <v>355</v>
      </c>
    </row>
    <row r="9" s="16" customFormat="1" spans="1:13">
      <c r="A9" s="23">
        <v>1000006</v>
      </c>
      <c r="B9" s="16" t="s">
        <v>368</v>
      </c>
      <c r="C9" s="16">
        <v>0</v>
      </c>
      <c r="D9" s="23" t="s">
        <v>369</v>
      </c>
      <c r="E9" s="23" t="s">
        <v>370</v>
      </c>
      <c r="F9" s="16">
        <v>1</v>
      </c>
      <c r="G9" s="16" t="s">
        <v>352</v>
      </c>
      <c r="H9" s="16" t="s">
        <v>353</v>
      </c>
      <c r="I9" s="16" t="s">
        <v>354</v>
      </c>
      <c r="M9" s="16" t="s">
        <v>355</v>
      </c>
    </row>
    <row r="10" s="16" customFormat="1" spans="1:13">
      <c r="A10" s="23">
        <v>1000007</v>
      </c>
      <c r="B10" s="16" t="s">
        <v>371</v>
      </c>
      <c r="C10" s="16">
        <v>0</v>
      </c>
      <c r="D10" s="23" t="s">
        <v>372</v>
      </c>
      <c r="E10" s="23" t="s">
        <v>373</v>
      </c>
      <c r="F10" s="16">
        <v>3</v>
      </c>
      <c r="G10" s="16" t="s">
        <v>374</v>
      </c>
      <c r="H10" s="16" t="s">
        <v>375</v>
      </c>
      <c r="I10" s="16" t="s">
        <v>376</v>
      </c>
    </row>
    <row r="11" s="16" customFormat="1" spans="1:13">
      <c r="A11" s="23">
        <v>1000008</v>
      </c>
      <c r="B11" s="16" t="s">
        <v>377</v>
      </c>
      <c r="C11" s="16">
        <v>0</v>
      </c>
      <c r="D11" s="23" t="s">
        <v>378</v>
      </c>
      <c r="E11" s="23" t="s">
        <v>379</v>
      </c>
      <c r="F11" s="16">
        <v>1</v>
      </c>
      <c r="G11" s="16" t="s">
        <v>380</v>
      </c>
      <c r="H11" s="16" t="s">
        <v>381</v>
      </c>
      <c r="I11" s="16" t="s">
        <v>382</v>
      </c>
      <c r="M11" s="16" t="s">
        <v>383</v>
      </c>
    </row>
    <row r="12" s="16" customFormat="1" spans="1:13">
      <c r="A12" s="23">
        <v>1000009</v>
      </c>
      <c r="B12" s="16" t="s">
        <v>384</v>
      </c>
      <c r="C12" s="16">
        <v>0</v>
      </c>
      <c r="D12" s="23" t="s">
        <v>385</v>
      </c>
      <c r="E12" s="23" t="s">
        <v>386</v>
      </c>
      <c r="F12" s="16">
        <v>1</v>
      </c>
      <c r="G12" s="16" t="s">
        <v>380</v>
      </c>
      <c r="H12" s="16" t="s">
        <v>381</v>
      </c>
      <c r="I12" s="16" t="s">
        <v>387</v>
      </c>
      <c r="M12" s="16" t="s">
        <v>388</v>
      </c>
    </row>
    <row r="13" s="16" customFormat="1" spans="1:13">
      <c r="A13" s="23">
        <v>1000010</v>
      </c>
      <c r="B13" s="16" t="s">
        <v>389</v>
      </c>
      <c r="C13" s="16">
        <v>0</v>
      </c>
      <c r="D13" s="23" t="s">
        <v>390</v>
      </c>
      <c r="E13" s="23" t="s">
        <v>391</v>
      </c>
      <c r="F13" s="16">
        <v>2</v>
      </c>
      <c r="G13" s="16" t="s">
        <v>380</v>
      </c>
      <c r="H13" s="16" t="s">
        <v>381</v>
      </c>
      <c r="I13" s="16" t="s">
        <v>392</v>
      </c>
      <c r="M13" s="16" t="s">
        <v>393</v>
      </c>
    </row>
    <row r="14" s="16" customFormat="1" spans="1:13">
      <c r="A14" s="23">
        <v>1000011</v>
      </c>
      <c r="B14" s="16" t="s">
        <v>394</v>
      </c>
      <c r="C14" s="16">
        <v>0</v>
      </c>
      <c r="D14" s="23" t="s">
        <v>395</v>
      </c>
      <c r="E14" s="23" t="s">
        <v>396</v>
      </c>
      <c r="F14" s="16">
        <v>1</v>
      </c>
      <c r="G14" s="16" t="s">
        <v>380</v>
      </c>
      <c r="H14" s="16" t="s">
        <v>381</v>
      </c>
      <c r="I14" s="16" t="s">
        <v>387</v>
      </c>
      <c r="M14" s="16" t="s">
        <v>388</v>
      </c>
    </row>
    <row r="15" s="16" customFormat="1" spans="1:13">
      <c r="A15" s="23">
        <v>1000012</v>
      </c>
      <c r="B15" s="16" t="s">
        <v>397</v>
      </c>
      <c r="C15" s="16">
        <v>0</v>
      </c>
      <c r="D15" s="23" t="s">
        <v>398</v>
      </c>
      <c r="E15" s="23" t="s">
        <v>399</v>
      </c>
      <c r="F15" s="16">
        <v>1</v>
      </c>
      <c r="G15" s="16" t="s">
        <v>380</v>
      </c>
      <c r="H15" s="16" t="s">
        <v>381</v>
      </c>
      <c r="I15" s="16" t="s">
        <v>382</v>
      </c>
      <c r="M15" s="16" t="s">
        <v>383</v>
      </c>
    </row>
    <row r="16" s="16" customFormat="1" spans="1:13">
      <c r="A16" s="23">
        <v>1000013</v>
      </c>
      <c r="B16" s="16" t="s">
        <v>400</v>
      </c>
      <c r="C16" s="16">
        <v>0</v>
      </c>
      <c r="D16" s="23" t="s">
        <v>401</v>
      </c>
      <c r="E16" s="23" t="s">
        <v>402</v>
      </c>
      <c r="F16" s="16">
        <v>1</v>
      </c>
      <c r="G16" s="16" t="s">
        <v>403</v>
      </c>
      <c r="H16" s="16" t="s">
        <v>404</v>
      </c>
      <c r="I16" s="16" t="s">
        <v>405</v>
      </c>
      <c r="M16" s="16" t="s">
        <v>406</v>
      </c>
    </row>
    <row r="17" s="16" customFormat="1" spans="1:13">
      <c r="A17" s="23">
        <v>1000014</v>
      </c>
      <c r="B17" s="16" t="s">
        <v>407</v>
      </c>
      <c r="C17" s="16">
        <v>0</v>
      </c>
      <c r="D17" s="23" t="s">
        <v>408</v>
      </c>
      <c r="E17" s="23" t="s">
        <v>409</v>
      </c>
      <c r="F17" s="16">
        <v>1</v>
      </c>
      <c r="G17" s="16" t="s">
        <v>403</v>
      </c>
      <c r="H17" s="16" t="s">
        <v>404</v>
      </c>
      <c r="I17" s="16" t="s">
        <v>410</v>
      </c>
      <c r="M17" s="16" t="s">
        <v>411</v>
      </c>
    </row>
    <row r="18" s="16" customFormat="1" spans="1:13">
      <c r="A18" s="23">
        <v>1000015</v>
      </c>
      <c r="B18" s="16" t="s">
        <v>412</v>
      </c>
      <c r="C18" s="16">
        <v>0</v>
      </c>
      <c r="D18" s="23" t="s">
        <v>413</v>
      </c>
      <c r="E18" s="23" t="s">
        <v>414</v>
      </c>
      <c r="F18" s="16">
        <v>2</v>
      </c>
      <c r="G18" s="16" t="s">
        <v>403</v>
      </c>
      <c r="H18" s="16" t="s">
        <v>404</v>
      </c>
      <c r="I18" s="16" t="s">
        <v>415</v>
      </c>
      <c r="M18" s="16" t="s">
        <v>416</v>
      </c>
    </row>
    <row r="19" s="16" customFormat="1" spans="1:13">
      <c r="A19" s="23">
        <v>1000016</v>
      </c>
      <c r="B19" s="16" t="s">
        <v>417</v>
      </c>
      <c r="C19" s="16">
        <v>0</v>
      </c>
      <c r="D19" s="23" t="s">
        <v>418</v>
      </c>
      <c r="E19" s="23" t="s">
        <v>419</v>
      </c>
      <c r="F19" s="16">
        <v>1</v>
      </c>
      <c r="G19" s="16" t="s">
        <v>403</v>
      </c>
      <c r="H19" s="16" t="s">
        <v>404</v>
      </c>
      <c r="I19" s="16" t="s">
        <v>410</v>
      </c>
      <c r="M19" s="16" t="s">
        <v>411</v>
      </c>
    </row>
    <row r="20" s="16" customFormat="1" spans="1:13">
      <c r="A20" s="23">
        <v>1000017</v>
      </c>
      <c r="B20" s="16" t="s">
        <v>420</v>
      </c>
      <c r="C20" s="16">
        <v>0</v>
      </c>
      <c r="D20" s="23" t="s">
        <v>421</v>
      </c>
      <c r="E20" s="23" t="s">
        <v>422</v>
      </c>
      <c r="F20" s="16">
        <v>1</v>
      </c>
      <c r="G20" s="16" t="s">
        <v>403</v>
      </c>
      <c r="H20" s="16" t="s">
        <v>404</v>
      </c>
      <c r="I20" s="16" t="s">
        <v>405</v>
      </c>
      <c r="M20" s="16" t="s">
        <v>406</v>
      </c>
    </row>
    <row r="21" s="16" customFormat="1" spans="1:13">
      <c r="A21" s="23">
        <v>1000018</v>
      </c>
      <c r="B21" s="16" t="s">
        <v>423</v>
      </c>
      <c r="C21" s="16">
        <v>0</v>
      </c>
      <c r="D21" s="23" t="s">
        <v>424</v>
      </c>
      <c r="E21" s="23" t="s">
        <v>425</v>
      </c>
      <c r="F21" s="16">
        <v>1</v>
      </c>
      <c r="G21" s="16" t="s">
        <v>426</v>
      </c>
      <c r="H21" s="16" t="s">
        <v>427</v>
      </c>
      <c r="I21" s="16" t="s">
        <v>428</v>
      </c>
      <c r="M21" s="16" t="s">
        <v>429</v>
      </c>
    </row>
    <row r="22" s="16" customFormat="1" spans="1:13">
      <c r="A22" s="23">
        <v>1000019</v>
      </c>
      <c r="B22" s="16" t="s">
        <v>430</v>
      </c>
      <c r="C22" s="16">
        <v>0</v>
      </c>
      <c r="D22" s="23" t="s">
        <v>431</v>
      </c>
      <c r="E22" s="23" t="s">
        <v>432</v>
      </c>
      <c r="F22" s="16">
        <v>1</v>
      </c>
      <c r="G22" s="16" t="s">
        <v>426</v>
      </c>
      <c r="H22" s="16" t="s">
        <v>427</v>
      </c>
      <c r="I22" s="16" t="s">
        <v>433</v>
      </c>
      <c r="M22" s="16" t="s">
        <v>434</v>
      </c>
    </row>
    <row r="23" s="16" customFormat="1" spans="1:13">
      <c r="A23" s="23">
        <v>1000020</v>
      </c>
      <c r="B23" s="16" t="s">
        <v>435</v>
      </c>
      <c r="C23" s="16">
        <v>0</v>
      </c>
      <c r="D23" s="23" t="s">
        <v>436</v>
      </c>
      <c r="E23" s="23" t="s">
        <v>437</v>
      </c>
      <c r="F23" s="16">
        <v>2</v>
      </c>
      <c r="G23" s="16" t="s">
        <v>426</v>
      </c>
      <c r="H23" s="16" t="s">
        <v>427</v>
      </c>
      <c r="I23" s="16" t="s">
        <v>438</v>
      </c>
      <c r="M23" s="16" t="s">
        <v>439</v>
      </c>
    </row>
    <row r="24" s="16" customFormat="1" spans="1:13">
      <c r="A24" s="23">
        <v>1000021</v>
      </c>
      <c r="B24" s="16" t="s">
        <v>440</v>
      </c>
      <c r="C24" s="16">
        <v>0</v>
      </c>
      <c r="D24" s="23" t="s">
        <v>441</v>
      </c>
      <c r="E24" s="23" t="s">
        <v>442</v>
      </c>
      <c r="F24" s="16">
        <v>1</v>
      </c>
      <c r="G24" s="16" t="s">
        <v>426</v>
      </c>
      <c r="H24" s="16" t="s">
        <v>427</v>
      </c>
      <c r="I24" s="16" t="s">
        <v>433</v>
      </c>
      <c r="M24" s="16" t="s">
        <v>434</v>
      </c>
    </row>
    <row r="25" s="16" customFormat="1" spans="1:13">
      <c r="A25" s="23">
        <v>1000022</v>
      </c>
      <c r="B25" s="16" t="s">
        <v>443</v>
      </c>
      <c r="C25" s="16">
        <v>0</v>
      </c>
      <c r="D25" s="23" t="s">
        <v>444</v>
      </c>
      <c r="E25" s="23" t="s">
        <v>445</v>
      </c>
      <c r="F25" s="16">
        <v>1</v>
      </c>
      <c r="G25" s="16" t="s">
        <v>426</v>
      </c>
      <c r="H25" s="16" t="s">
        <v>427</v>
      </c>
      <c r="I25" s="16" t="s">
        <v>428</v>
      </c>
      <c r="M25" s="16" t="s">
        <v>429</v>
      </c>
    </row>
    <row r="26" s="16" customFormat="1" spans="1:13">
      <c r="A26" s="23">
        <v>1000023</v>
      </c>
      <c r="B26" s="16" t="s">
        <v>446</v>
      </c>
      <c r="C26" s="16">
        <v>0</v>
      </c>
      <c r="D26" s="23" t="s">
        <v>447</v>
      </c>
      <c r="E26" s="23" t="s">
        <v>448</v>
      </c>
      <c r="F26" s="16">
        <v>1</v>
      </c>
      <c r="G26" s="16" t="s">
        <v>449</v>
      </c>
      <c r="H26" s="16" t="s">
        <v>450</v>
      </c>
      <c r="I26" s="16" t="s">
        <v>451</v>
      </c>
      <c r="M26" s="16" t="s">
        <v>452</v>
      </c>
    </row>
    <row r="27" s="16" customFormat="1" spans="1:13">
      <c r="A27" s="23">
        <v>1000024</v>
      </c>
      <c r="B27" s="16" t="s">
        <v>453</v>
      </c>
      <c r="C27" s="16">
        <v>0</v>
      </c>
      <c r="D27" s="23" t="s">
        <v>454</v>
      </c>
      <c r="E27" s="23" t="s">
        <v>455</v>
      </c>
      <c r="F27" s="16">
        <v>1</v>
      </c>
      <c r="G27" s="16" t="s">
        <v>449</v>
      </c>
      <c r="H27" s="16" t="s">
        <v>450</v>
      </c>
      <c r="I27" s="16" t="s">
        <v>456</v>
      </c>
      <c r="M27" s="16" t="s">
        <v>457</v>
      </c>
    </row>
    <row r="28" s="16" customFormat="1" spans="1:13">
      <c r="A28" s="23">
        <v>1000025</v>
      </c>
      <c r="B28" s="16" t="s">
        <v>458</v>
      </c>
      <c r="C28" s="16">
        <v>0</v>
      </c>
      <c r="D28" s="23" t="s">
        <v>459</v>
      </c>
      <c r="E28" s="23" t="s">
        <v>460</v>
      </c>
      <c r="F28" s="16">
        <v>2</v>
      </c>
      <c r="G28" s="16" t="s">
        <v>449</v>
      </c>
      <c r="H28" s="16" t="s">
        <v>450</v>
      </c>
      <c r="I28" s="16" t="s">
        <v>461</v>
      </c>
      <c r="M28" s="16" t="s">
        <v>462</v>
      </c>
    </row>
    <row r="29" s="16" customFormat="1" spans="1:13">
      <c r="A29" s="23">
        <v>1000026</v>
      </c>
      <c r="B29" s="16" t="s">
        <v>463</v>
      </c>
      <c r="C29" s="16">
        <v>0</v>
      </c>
      <c r="D29" s="23" t="s">
        <v>464</v>
      </c>
      <c r="E29" s="23" t="s">
        <v>465</v>
      </c>
      <c r="F29" s="16">
        <v>1</v>
      </c>
      <c r="G29" s="16" t="s">
        <v>449</v>
      </c>
      <c r="H29" s="16" t="s">
        <v>450</v>
      </c>
      <c r="I29" s="16" t="s">
        <v>456</v>
      </c>
      <c r="M29" s="16" t="s">
        <v>457</v>
      </c>
    </row>
    <row r="30" s="16" customFormat="1" spans="1:13">
      <c r="A30" s="23">
        <v>1000027</v>
      </c>
      <c r="B30" s="16" t="s">
        <v>466</v>
      </c>
      <c r="C30" s="16">
        <v>0</v>
      </c>
      <c r="D30" s="23" t="s">
        <v>467</v>
      </c>
      <c r="E30" s="23" t="s">
        <v>468</v>
      </c>
      <c r="F30" s="16">
        <v>1</v>
      </c>
      <c r="G30" s="16" t="s">
        <v>449</v>
      </c>
      <c r="H30" s="16" t="s">
        <v>450</v>
      </c>
      <c r="I30" s="16" t="s">
        <v>451</v>
      </c>
      <c r="M30" s="16" t="s">
        <v>452</v>
      </c>
    </row>
    <row r="31" s="16" customFormat="1" spans="1:13">
      <c r="A31" s="23">
        <v>1000028</v>
      </c>
      <c r="B31" s="16" t="s">
        <v>469</v>
      </c>
      <c r="C31" s="16">
        <v>0</v>
      </c>
      <c r="D31" s="23" t="s">
        <v>470</v>
      </c>
      <c r="E31" s="23" t="s">
        <v>471</v>
      </c>
      <c r="F31" s="16">
        <v>1</v>
      </c>
      <c r="G31" s="16" t="s">
        <v>352</v>
      </c>
      <c r="H31" s="16" t="s">
        <v>353</v>
      </c>
      <c r="I31" s="16" t="s">
        <v>354</v>
      </c>
      <c r="M31" s="16" t="s">
        <v>355</v>
      </c>
    </row>
    <row r="32" s="16" customFormat="1" spans="1:13">
      <c r="A32" s="23">
        <v>1000029</v>
      </c>
      <c r="B32" s="16" t="s">
        <v>472</v>
      </c>
      <c r="C32" s="16">
        <v>0</v>
      </c>
      <c r="D32" s="23" t="s">
        <v>473</v>
      </c>
      <c r="E32" s="23" t="s">
        <v>474</v>
      </c>
      <c r="F32" s="16">
        <v>1</v>
      </c>
      <c r="G32" s="16" t="s">
        <v>352</v>
      </c>
      <c r="H32" s="16" t="s">
        <v>353</v>
      </c>
      <c r="I32" s="16" t="s">
        <v>354</v>
      </c>
      <c r="M32" s="16" t="s">
        <v>355</v>
      </c>
    </row>
    <row r="33" s="16" customFormat="1" spans="1:13">
      <c r="A33" s="23">
        <v>1000030</v>
      </c>
      <c r="B33" s="16" t="s">
        <v>475</v>
      </c>
      <c r="C33" s="16">
        <v>0</v>
      </c>
      <c r="D33" s="23" t="s">
        <v>476</v>
      </c>
      <c r="E33" s="23" t="s">
        <v>477</v>
      </c>
      <c r="F33" s="16">
        <v>1</v>
      </c>
      <c r="G33" s="16" t="s">
        <v>352</v>
      </c>
      <c r="H33" s="16" t="s">
        <v>353</v>
      </c>
      <c r="I33" s="16" t="s">
        <v>354</v>
      </c>
      <c r="M33" s="16" t="s">
        <v>355</v>
      </c>
    </row>
    <row r="34" s="16" customFormat="1" spans="1:13">
      <c r="A34" s="23">
        <v>1000031</v>
      </c>
      <c r="B34" s="16" t="s">
        <v>478</v>
      </c>
      <c r="C34" s="16">
        <v>0</v>
      </c>
      <c r="D34" s="23" t="s">
        <v>479</v>
      </c>
      <c r="E34" s="23" t="s">
        <v>480</v>
      </c>
      <c r="F34" s="16">
        <v>1</v>
      </c>
      <c r="G34" s="16" t="s">
        <v>352</v>
      </c>
      <c r="H34" s="16" t="s">
        <v>353</v>
      </c>
      <c r="I34" s="16" t="s">
        <v>354</v>
      </c>
      <c r="M34" s="16" t="s">
        <v>355</v>
      </c>
    </row>
    <row r="35" s="16" customFormat="1" spans="1:13">
      <c r="A35" s="23">
        <v>1000032</v>
      </c>
      <c r="B35" s="16" t="s">
        <v>481</v>
      </c>
      <c r="C35" s="16">
        <v>0</v>
      </c>
      <c r="D35" s="23" t="s">
        <v>482</v>
      </c>
      <c r="E35" s="23" t="s">
        <v>483</v>
      </c>
      <c r="F35" s="16">
        <v>1</v>
      </c>
      <c r="G35" s="16" t="s">
        <v>352</v>
      </c>
      <c r="H35" s="16" t="s">
        <v>353</v>
      </c>
      <c r="I35" s="16" t="s">
        <v>354</v>
      </c>
      <c r="M35" s="16" t="s">
        <v>355</v>
      </c>
    </row>
    <row r="36" s="16" customFormat="1" spans="1:13">
      <c r="A36" s="23">
        <v>1000033</v>
      </c>
      <c r="B36" s="16" t="s">
        <v>484</v>
      </c>
      <c r="C36" s="16">
        <v>0</v>
      </c>
      <c r="D36" s="23" t="s">
        <v>485</v>
      </c>
      <c r="E36" s="23" t="s">
        <v>486</v>
      </c>
      <c r="F36" s="16">
        <v>1</v>
      </c>
      <c r="G36" s="16" t="s">
        <v>487</v>
      </c>
      <c r="H36" s="16" t="s">
        <v>488</v>
      </c>
      <c r="I36" s="16" t="s">
        <v>489</v>
      </c>
      <c r="M36" s="16" t="s">
        <v>490</v>
      </c>
    </row>
    <row r="37" s="16" customFormat="1" spans="1:13">
      <c r="A37" s="23">
        <v>1000034</v>
      </c>
      <c r="B37" s="16" t="s">
        <v>491</v>
      </c>
      <c r="C37" s="16">
        <v>0</v>
      </c>
      <c r="D37" s="23" t="s">
        <v>492</v>
      </c>
      <c r="E37" s="23" t="s">
        <v>493</v>
      </c>
      <c r="F37" s="16">
        <v>1</v>
      </c>
      <c r="G37" s="16" t="s">
        <v>487</v>
      </c>
      <c r="H37" s="16" t="s">
        <v>488</v>
      </c>
      <c r="I37" s="16" t="s">
        <v>494</v>
      </c>
      <c r="M37" s="16" t="s">
        <v>495</v>
      </c>
    </row>
    <row r="38" s="16" customFormat="1" spans="1:13">
      <c r="A38" s="23">
        <v>1000035</v>
      </c>
      <c r="B38" s="16" t="s">
        <v>496</v>
      </c>
      <c r="C38" s="16">
        <v>0</v>
      </c>
      <c r="D38" s="23" t="s">
        <v>497</v>
      </c>
      <c r="E38" s="23" t="s">
        <v>498</v>
      </c>
      <c r="F38" s="16">
        <v>2</v>
      </c>
      <c r="G38" s="16" t="s">
        <v>499</v>
      </c>
      <c r="H38" s="16" t="s">
        <v>500</v>
      </c>
      <c r="I38" s="16" t="s">
        <v>501</v>
      </c>
      <c r="M38" s="16" t="s">
        <v>502</v>
      </c>
    </row>
    <row r="39" s="16" customFormat="1" spans="1:13">
      <c r="A39" s="23">
        <v>1000036</v>
      </c>
      <c r="B39" s="16" t="s">
        <v>503</v>
      </c>
      <c r="C39" s="16">
        <v>0</v>
      </c>
      <c r="D39" s="23" t="s">
        <v>504</v>
      </c>
      <c r="E39" s="23" t="s">
        <v>505</v>
      </c>
      <c r="F39" s="16">
        <v>1</v>
      </c>
      <c r="G39" s="16" t="s">
        <v>487</v>
      </c>
      <c r="H39" s="16" t="s">
        <v>488</v>
      </c>
      <c r="I39" s="16" t="s">
        <v>494</v>
      </c>
      <c r="M39" s="16" t="s">
        <v>495</v>
      </c>
    </row>
    <row r="40" s="16" customFormat="1" spans="1:13">
      <c r="A40" s="23">
        <v>1000037</v>
      </c>
      <c r="B40" s="16" t="s">
        <v>506</v>
      </c>
      <c r="C40" s="16">
        <v>0</v>
      </c>
      <c r="D40" s="23" t="s">
        <v>507</v>
      </c>
      <c r="E40" s="23" t="s">
        <v>508</v>
      </c>
      <c r="F40" s="16">
        <v>1</v>
      </c>
      <c r="G40" s="16" t="s">
        <v>487</v>
      </c>
      <c r="H40" s="16" t="s">
        <v>488</v>
      </c>
      <c r="I40" s="16" t="s">
        <v>489</v>
      </c>
      <c r="M40" s="16" t="s">
        <v>490</v>
      </c>
    </row>
    <row r="41" s="16" customFormat="1" spans="1:13">
      <c r="A41" s="23">
        <v>1000038</v>
      </c>
      <c r="B41" s="16" t="s">
        <v>509</v>
      </c>
      <c r="C41" s="16">
        <v>0</v>
      </c>
      <c r="D41" s="23" t="s">
        <v>510</v>
      </c>
      <c r="E41" s="23" t="s">
        <v>511</v>
      </c>
      <c r="F41" s="16">
        <v>1</v>
      </c>
      <c r="G41" s="16" t="s">
        <v>512</v>
      </c>
      <c r="H41" s="16" t="s">
        <v>513</v>
      </c>
      <c r="I41" s="16" t="s">
        <v>514</v>
      </c>
      <c r="M41" s="16" t="s">
        <v>515</v>
      </c>
    </row>
    <row r="42" s="16" customFormat="1" spans="1:13">
      <c r="A42" s="23">
        <v>1000039</v>
      </c>
      <c r="B42" s="16" t="s">
        <v>516</v>
      </c>
      <c r="C42" s="16">
        <v>0</v>
      </c>
      <c r="D42" s="23" t="s">
        <v>517</v>
      </c>
      <c r="E42" s="23" t="s">
        <v>518</v>
      </c>
      <c r="F42" s="16">
        <v>1</v>
      </c>
      <c r="G42" s="16" t="s">
        <v>512</v>
      </c>
      <c r="H42" s="16" t="s">
        <v>513</v>
      </c>
      <c r="I42" s="16" t="s">
        <v>519</v>
      </c>
      <c r="M42" s="16" t="s">
        <v>520</v>
      </c>
    </row>
    <row r="43" s="16" customFormat="1" spans="1:13">
      <c r="A43" s="23">
        <v>1000040</v>
      </c>
      <c r="B43" s="16" t="s">
        <v>521</v>
      </c>
      <c r="C43" s="16">
        <v>0</v>
      </c>
      <c r="D43" s="23" t="s">
        <v>522</v>
      </c>
      <c r="E43" s="23" t="s">
        <v>523</v>
      </c>
      <c r="F43" s="16">
        <v>2</v>
      </c>
      <c r="G43" s="16" t="s">
        <v>524</v>
      </c>
      <c r="H43" s="16" t="s">
        <v>525</v>
      </c>
      <c r="I43" s="16" t="s">
        <v>526</v>
      </c>
      <c r="M43" s="16" t="s">
        <v>527</v>
      </c>
    </row>
    <row r="44" s="16" customFormat="1" spans="1:13">
      <c r="A44" s="23">
        <v>1000041</v>
      </c>
      <c r="B44" s="16" t="s">
        <v>528</v>
      </c>
      <c r="C44" s="16">
        <v>0</v>
      </c>
      <c r="D44" s="23" t="s">
        <v>529</v>
      </c>
      <c r="E44" s="23" t="s">
        <v>530</v>
      </c>
      <c r="F44" s="16">
        <v>1</v>
      </c>
      <c r="G44" s="16" t="s">
        <v>512</v>
      </c>
      <c r="H44" s="16" t="s">
        <v>513</v>
      </c>
      <c r="I44" s="16" t="s">
        <v>519</v>
      </c>
      <c r="M44" s="16" t="s">
        <v>520</v>
      </c>
    </row>
    <row r="45" s="16" customFormat="1" spans="1:13">
      <c r="A45" s="23">
        <v>1000042</v>
      </c>
      <c r="B45" s="16" t="s">
        <v>531</v>
      </c>
      <c r="C45" s="16">
        <v>0</v>
      </c>
      <c r="D45" s="23" t="s">
        <v>532</v>
      </c>
      <c r="E45" s="23" t="s">
        <v>533</v>
      </c>
      <c r="F45" s="16">
        <v>1</v>
      </c>
      <c r="G45" s="16" t="s">
        <v>512</v>
      </c>
      <c r="H45" s="16" t="s">
        <v>513</v>
      </c>
      <c r="I45" s="16" t="s">
        <v>514</v>
      </c>
      <c r="M45" s="16" t="s">
        <v>515</v>
      </c>
    </row>
    <row r="46" s="16" customFormat="1" spans="1:13">
      <c r="A46" s="23">
        <v>1000043</v>
      </c>
      <c r="B46" s="16" t="s">
        <v>534</v>
      </c>
      <c r="C46" s="16">
        <v>0</v>
      </c>
      <c r="D46" s="23" t="s">
        <v>535</v>
      </c>
      <c r="E46" s="23" t="s">
        <v>536</v>
      </c>
      <c r="F46" s="16">
        <v>1</v>
      </c>
      <c r="G46" s="16" t="s">
        <v>537</v>
      </c>
      <c r="H46" s="16" t="s">
        <v>538</v>
      </c>
      <c r="I46" s="16" t="s">
        <v>539</v>
      </c>
      <c r="M46" s="16" t="s">
        <v>540</v>
      </c>
    </row>
    <row r="47" s="16" customFormat="1" spans="1:13">
      <c r="A47" s="23">
        <v>1000044</v>
      </c>
      <c r="B47" s="16" t="s">
        <v>541</v>
      </c>
      <c r="C47" s="16">
        <v>0</v>
      </c>
      <c r="D47" s="23" t="s">
        <v>542</v>
      </c>
      <c r="E47" s="23" t="s">
        <v>543</v>
      </c>
      <c r="F47" s="16">
        <v>1</v>
      </c>
      <c r="G47" s="16" t="s">
        <v>537</v>
      </c>
      <c r="H47" s="16" t="s">
        <v>538</v>
      </c>
      <c r="I47" s="16" t="s">
        <v>544</v>
      </c>
      <c r="M47" s="16" t="s">
        <v>545</v>
      </c>
    </row>
    <row r="48" s="16" customFormat="1" spans="1:13">
      <c r="A48" s="23">
        <v>1000045</v>
      </c>
      <c r="B48" s="16" t="s">
        <v>546</v>
      </c>
      <c r="C48" s="16">
        <v>0</v>
      </c>
      <c r="D48" s="23" t="s">
        <v>547</v>
      </c>
      <c r="E48" s="23" t="s">
        <v>548</v>
      </c>
      <c r="F48" s="16">
        <v>2</v>
      </c>
      <c r="G48" s="16" t="s">
        <v>549</v>
      </c>
      <c r="H48" s="16" t="s">
        <v>550</v>
      </c>
      <c r="I48" s="16" t="s">
        <v>551</v>
      </c>
      <c r="M48" s="16" t="s">
        <v>552</v>
      </c>
    </row>
    <row r="49" s="16" customFormat="1" spans="1:13">
      <c r="A49" s="23">
        <v>1000046</v>
      </c>
      <c r="B49" s="16" t="s">
        <v>553</v>
      </c>
      <c r="C49" s="16">
        <v>0</v>
      </c>
      <c r="D49" s="23" t="s">
        <v>554</v>
      </c>
      <c r="E49" s="23" t="s">
        <v>555</v>
      </c>
      <c r="F49" s="16">
        <v>1</v>
      </c>
      <c r="G49" s="16" t="s">
        <v>537</v>
      </c>
      <c r="H49" s="16" t="s">
        <v>538</v>
      </c>
      <c r="I49" s="16" t="s">
        <v>544</v>
      </c>
      <c r="M49" s="16" t="s">
        <v>545</v>
      </c>
    </row>
    <row r="50" s="16" customFormat="1" spans="1:13">
      <c r="A50" s="23">
        <v>1000047</v>
      </c>
      <c r="B50" s="16" t="s">
        <v>556</v>
      </c>
      <c r="C50" s="16">
        <v>0</v>
      </c>
      <c r="D50" s="23" t="s">
        <v>557</v>
      </c>
      <c r="E50" s="23" t="s">
        <v>558</v>
      </c>
      <c r="F50" s="16">
        <v>1</v>
      </c>
      <c r="G50" s="16" t="s">
        <v>537</v>
      </c>
      <c r="H50" s="16" t="s">
        <v>538</v>
      </c>
      <c r="I50" s="16" t="s">
        <v>539</v>
      </c>
      <c r="M50" s="16" t="s">
        <v>540</v>
      </c>
    </row>
    <row r="51" s="16" customFormat="1" spans="1:13">
      <c r="A51" s="23">
        <v>1000048</v>
      </c>
      <c r="B51" s="16" t="s">
        <v>559</v>
      </c>
      <c r="C51" s="16">
        <v>0</v>
      </c>
      <c r="D51" s="23" t="s">
        <v>560</v>
      </c>
      <c r="E51" s="23" t="s">
        <v>561</v>
      </c>
      <c r="F51" s="16">
        <v>1</v>
      </c>
      <c r="G51" s="16" t="s">
        <v>562</v>
      </c>
      <c r="H51" s="16" t="s">
        <v>563</v>
      </c>
      <c r="I51" s="16" t="s">
        <v>564</v>
      </c>
      <c r="M51" s="16" t="s">
        <v>565</v>
      </c>
    </row>
    <row r="52" s="16" customFormat="1" spans="1:13">
      <c r="A52" s="23">
        <v>1000049</v>
      </c>
      <c r="B52" s="16" t="s">
        <v>566</v>
      </c>
      <c r="C52" s="16">
        <v>0</v>
      </c>
      <c r="D52" s="23" t="s">
        <v>567</v>
      </c>
      <c r="E52" s="23" t="s">
        <v>568</v>
      </c>
      <c r="F52" s="16">
        <v>1</v>
      </c>
      <c r="G52" s="16" t="s">
        <v>562</v>
      </c>
      <c r="H52" s="16" t="s">
        <v>563</v>
      </c>
      <c r="I52" s="16" t="s">
        <v>569</v>
      </c>
      <c r="M52" s="16" t="s">
        <v>570</v>
      </c>
    </row>
    <row r="53" s="16" customFormat="1" spans="1:13">
      <c r="A53" s="23">
        <v>1000050</v>
      </c>
      <c r="B53" s="16" t="s">
        <v>571</v>
      </c>
      <c r="C53" s="16">
        <v>0</v>
      </c>
      <c r="D53" s="23" t="s">
        <v>572</v>
      </c>
      <c r="E53" s="23" t="s">
        <v>573</v>
      </c>
      <c r="F53" s="16">
        <v>2</v>
      </c>
      <c r="G53" s="16" t="s">
        <v>574</v>
      </c>
      <c r="H53" s="16" t="s">
        <v>575</v>
      </c>
      <c r="I53" s="16" t="s">
        <v>576</v>
      </c>
      <c r="M53" s="16" t="s">
        <v>577</v>
      </c>
    </row>
    <row r="54" s="16" customFormat="1" spans="1:13">
      <c r="A54" s="23">
        <v>1000051</v>
      </c>
      <c r="B54" s="16" t="s">
        <v>578</v>
      </c>
      <c r="C54" s="16">
        <v>0</v>
      </c>
      <c r="D54" s="23" t="s">
        <v>579</v>
      </c>
      <c r="E54" s="23" t="s">
        <v>580</v>
      </c>
      <c r="F54" s="16">
        <v>1</v>
      </c>
      <c r="G54" s="16" t="s">
        <v>562</v>
      </c>
      <c r="H54" s="16" t="s">
        <v>563</v>
      </c>
      <c r="I54" s="16" t="s">
        <v>569</v>
      </c>
      <c r="M54" s="16" t="s">
        <v>570</v>
      </c>
    </row>
    <row r="55" s="16" customFormat="1" spans="1:13">
      <c r="A55" s="23">
        <v>1000052</v>
      </c>
      <c r="B55" s="16" t="s">
        <v>581</v>
      </c>
      <c r="C55" s="16">
        <v>0</v>
      </c>
      <c r="D55" s="23" t="s">
        <v>582</v>
      </c>
      <c r="E55" s="23" t="s">
        <v>583</v>
      </c>
      <c r="F55" s="16">
        <v>1</v>
      </c>
      <c r="G55" s="16" t="s">
        <v>562</v>
      </c>
      <c r="H55" s="16" t="s">
        <v>563</v>
      </c>
      <c r="I55" s="16" t="s">
        <v>564</v>
      </c>
      <c r="M55" s="16" t="s">
        <v>565</v>
      </c>
    </row>
    <row r="56" s="16" customFormat="1" spans="1:13">
      <c r="A56" s="23">
        <v>1000053</v>
      </c>
      <c r="B56" s="16" t="s">
        <v>584</v>
      </c>
      <c r="C56" s="16">
        <v>0</v>
      </c>
      <c r="D56" s="23" t="s">
        <v>585</v>
      </c>
      <c r="E56" s="23" t="s">
        <v>586</v>
      </c>
      <c r="F56" s="16">
        <v>3</v>
      </c>
      <c r="G56" s="16" t="s">
        <v>374</v>
      </c>
      <c r="H56" s="16" t="s">
        <v>375</v>
      </c>
      <c r="I56" s="16" t="s">
        <v>376</v>
      </c>
    </row>
    <row r="57" s="17" customFormat="1" spans="1:13">
      <c r="A57" s="17">
        <v>1002001</v>
      </c>
      <c r="B57" s="17" t="s">
        <v>587</v>
      </c>
      <c r="C57" s="17">
        <v>9</v>
      </c>
      <c r="D57" s="24">
        <v>1002002</v>
      </c>
      <c r="E57" s="24" t="s">
        <v>351</v>
      </c>
      <c r="F57" s="17">
        <v>1</v>
      </c>
      <c r="G57" s="17" t="s">
        <v>588</v>
      </c>
      <c r="H57" s="17" t="s">
        <v>589</v>
      </c>
      <c r="I57" s="17" t="s">
        <v>590</v>
      </c>
      <c r="M57" s="17" t="s">
        <v>591</v>
      </c>
    </row>
    <row r="58" s="17" customFormat="1" spans="1:13">
      <c r="A58" s="17">
        <v>1002002</v>
      </c>
      <c r="B58" s="17" t="s">
        <v>592</v>
      </c>
      <c r="C58" s="17">
        <v>9</v>
      </c>
      <c r="D58" s="24" t="s">
        <v>593</v>
      </c>
      <c r="E58" s="24" t="s">
        <v>358</v>
      </c>
      <c r="F58" s="17">
        <v>1</v>
      </c>
      <c r="G58" s="17" t="s">
        <v>588</v>
      </c>
      <c r="H58" s="17" t="s">
        <v>589</v>
      </c>
      <c r="I58" s="17" t="s">
        <v>590</v>
      </c>
      <c r="M58" s="17" t="s">
        <v>591</v>
      </c>
    </row>
    <row r="59" s="17" customFormat="1" spans="1:13">
      <c r="A59" s="17">
        <v>1002003</v>
      </c>
      <c r="B59" s="17" t="s">
        <v>594</v>
      </c>
      <c r="C59" s="17">
        <v>9</v>
      </c>
      <c r="D59" s="24" t="s">
        <v>595</v>
      </c>
      <c r="E59" s="24" t="s">
        <v>361</v>
      </c>
      <c r="F59" s="17">
        <v>1</v>
      </c>
      <c r="G59" s="17" t="s">
        <v>588</v>
      </c>
      <c r="H59" s="17" t="s">
        <v>589</v>
      </c>
      <c r="I59" s="17" t="s">
        <v>590</v>
      </c>
      <c r="M59" s="17" t="s">
        <v>591</v>
      </c>
    </row>
    <row r="60" s="17" customFormat="1" spans="1:13">
      <c r="A60" s="17">
        <v>1002004</v>
      </c>
      <c r="B60" s="17" t="s">
        <v>596</v>
      </c>
      <c r="C60" s="17">
        <v>9</v>
      </c>
      <c r="D60" s="24" t="s">
        <v>597</v>
      </c>
      <c r="E60" s="24" t="s">
        <v>364</v>
      </c>
      <c r="F60" s="17">
        <v>1</v>
      </c>
      <c r="G60" s="17" t="s">
        <v>588</v>
      </c>
      <c r="H60" s="17" t="s">
        <v>589</v>
      </c>
      <c r="I60" s="17" t="s">
        <v>590</v>
      </c>
      <c r="M60" s="17" t="s">
        <v>591</v>
      </c>
    </row>
    <row r="61" s="17" customFormat="1" spans="1:13">
      <c r="A61" s="17">
        <v>1002005</v>
      </c>
      <c r="B61" s="17" t="s">
        <v>598</v>
      </c>
      <c r="C61" s="17">
        <v>9</v>
      </c>
      <c r="D61" s="24" t="s">
        <v>599</v>
      </c>
      <c r="E61" s="24" t="s">
        <v>367</v>
      </c>
      <c r="F61" s="17">
        <v>1</v>
      </c>
      <c r="G61" s="17" t="s">
        <v>588</v>
      </c>
      <c r="H61" s="17" t="s">
        <v>589</v>
      </c>
      <c r="I61" s="17" t="s">
        <v>590</v>
      </c>
      <c r="M61" s="17" t="s">
        <v>591</v>
      </c>
    </row>
    <row r="62" s="17" customFormat="1" spans="1:13">
      <c r="A62" s="17">
        <v>1002006</v>
      </c>
      <c r="B62" s="17" t="s">
        <v>600</v>
      </c>
      <c r="C62" s="17">
        <v>9</v>
      </c>
      <c r="D62" s="24" t="s">
        <v>601</v>
      </c>
      <c r="E62" s="24" t="s">
        <v>370</v>
      </c>
      <c r="F62" s="17">
        <v>1</v>
      </c>
      <c r="G62" s="17" t="s">
        <v>588</v>
      </c>
      <c r="H62" s="17" t="s">
        <v>589</v>
      </c>
      <c r="I62" s="17" t="s">
        <v>590</v>
      </c>
      <c r="M62" s="17" t="s">
        <v>591</v>
      </c>
    </row>
    <row r="63" s="17" customFormat="1" spans="1:13">
      <c r="A63" s="17">
        <v>1002007</v>
      </c>
      <c r="B63" s="17" t="s">
        <v>602</v>
      </c>
      <c r="C63" s="17">
        <v>9</v>
      </c>
      <c r="D63" s="24" t="s">
        <v>603</v>
      </c>
      <c r="E63" s="24" t="s">
        <v>373</v>
      </c>
      <c r="F63" s="17">
        <v>3</v>
      </c>
      <c r="G63" s="17" t="s">
        <v>374</v>
      </c>
      <c r="H63" s="17" t="s">
        <v>375</v>
      </c>
      <c r="I63" s="17" t="s">
        <v>376</v>
      </c>
    </row>
    <row r="64" s="17" customFormat="1" spans="1:13">
      <c r="A64" s="17">
        <v>1002008</v>
      </c>
      <c r="B64" s="17" t="s">
        <v>604</v>
      </c>
      <c r="C64" s="17">
        <v>9</v>
      </c>
      <c r="D64" s="24" t="s">
        <v>605</v>
      </c>
      <c r="E64" s="24" t="s">
        <v>379</v>
      </c>
      <c r="F64" s="17">
        <v>1</v>
      </c>
      <c r="G64" s="17" t="s">
        <v>606</v>
      </c>
      <c r="H64" s="17" t="s">
        <v>607</v>
      </c>
      <c r="I64" s="17" t="s">
        <v>608</v>
      </c>
      <c r="J64" s="17">
        <v>40001</v>
      </c>
    </row>
    <row r="65" s="17" customFormat="1" spans="1:13">
      <c r="A65" s="17">
        <v>1002009</v>
      </c>
      <c r="B65" s="17" t="s">
        <v>609</v>
      </c>
      <c r="C65" s="17">
        <v>9</v>
      </c>
      <c r="D65" s="24" t="s">
        <v>610</v>
      </c>
      <c r="E65" s="24" t="s">
        <v>386</v>
      </c>
      <c r="F65" s="17">
        <v>1</v>
      </c>
      <c r="G65" s="17" t="s">
        <v>606</v>
      </c>
      <c r="H65" s="17" t="s">
        <v>607</v>
      </c>
      <c r="I65" s="17" t="s">
        <v>611</v>
      </c>
      <c r="J65" s="17">
        <v>40002</v>
      </c>
    </row>
    <row r="66" s="17" customFormat="1" spans="1:13">
      <c r="A66" s="17">
        <v>1002010</v>
      </c>
      <c r="B66" s="17" t="s">
        <v>612</v>
      </c>
      <c r="C66" s="17">
        <v>9</v>
      </c>
      <c r="D66" s="24" t="s">
        <v>613</v>
      </c>
      <c r="E66" s="24" t="s">
        <v>391</v>
      </c>
      <c r="F66" s="17">
        <v>2</v>
      </c>
      <c r="G66" s="17" t="s">
        <v>606</v>
      </c>
      <c r="H66" s="17" t="s">
        <v>607</v>
      </c>
      <c r="I66" s="17" t="s">
        <v>611</v>
      </c>
      <c r="J66" s="17">
        <v>40002</v>
      </c>
    </row>
    <row r="67" s="17" customFormat="1" spans="1:13">
      <c r="A67" s="17">
        <v>1002011</v>
      </c>
      <c r="B67" s="17" t="s">
        <v>614</v>
      </c>
      <c r="C67" s="17">
        <v>9</v>
      </c>
      <c r="D67" s="24" t="s">
        <v>615</v>
      </c>
      <c r="E67" s="24" t="s">
        <v>396</v>
      </c>
      <c r="F67" s="17">
        <v>1</v>
      </c>
      <c r="G67" s="17" t="s">
        <v>606</v>
      </c>
      <c r="H67" s="17" t="s">
        <v>607</v>
      </c>
      <c r="I67" s="17" t="s">
        <v>611</v>
      </c>
      <c r="J67" s="17">
        <v>40002</v>
      </c>
    </row>
    <row r="68" s="17" customFormat="1" spans="1:13">
      <c r="A68" s="17">
        <v>1002012</v>
      </c>
      <c r="B68" s="17" t="s">
        <v>616</v>
      </c>
      <c r="C68" s="17">
        <v>9</v>
      </c>
      <c r="D68" s="24" t="s">
        <v>617</v>
      </c>
      <c r="E68" s="24" t="s">
        <v>399</v>
      </c>
      <c r="F68" s="17">
        <v>1</v>
      </c>
      <c r="G68" s="17" t="s">
        <v>606</v>
      </c>
      <c r="H68" s="17" t="s">
        <v>607</v>
      </c>
      <c r="I68" s="17" t="s">
        <v>608</v>
      </c>
      <c r="J68" s="17">
        <v>40001</v>
      </c>
    </row>
    <row r="69" s="17" customFormat="1" spans="1:13">
      <c r="A69" s="17">
        <v>1002013</v>
      </c>
      <c r="B69" s="17" t="s">
        <v>618</v>
      </c>
      <c r="C69" s="17">
        <v>9</v>
      </c>
      <c r="D69" s="24" t="s">
        <v>619</v>
      </c>
      <c r="E69" s="24" t="s">
        <v>402</v>
      </c>
      <c r="F69" s="17">
        <v>1</v>
      </c>
      <c r="G69" s="17" t="s">
        <v>620</v>
      </c>
      <c r="H69" s="17" t="s">
        <v>621</v>
      </c>
      <c r="I69" s="17" t="s">
        <v>622</v>
      </c>
      <c r="J69" s="17">
        <v>40003</v>
      </c>
    </row>
    <row r="70" s="17" customFormat="1" spans="1:13">
      <c r="A70" s="17">
        <v>1002014</v>
      </c>
      <c r="B70" s="17" t="s">
        <v>623</v>
      </c>
      <c r="C70" s="17">
        <v>9</v>
      </c>
      <c r="D70" s="24" t="s">
        <v>624</v>
      </c>
      <c r="E70" s="24" t="s">
        <v>409</v>
      </c>
      <c r="F70" s="17">
        <v>1</v>
      </c>
      <c r="G70" s="17" t="s">
        <v>620</v>
      </c>
      <c r="H70" s="17" t="s">
        <v>621</v>
      </c>
      <c r="I70" s="17" t="s">
        <v>625</v>
      </c>
      <c r="J70" s="17">
        <v>40004</v>
      </c>
    </row>
    <row r="71" s="17" customFormat="1" spans="1:13">
      <c r="A71" s="17">
        <v>1002015</v>
      </c>
      <c r="B71" s="17" t="s">
        <v>626</v>
      </c>
      <c r="C71" s="17">
        <v>9</v>
      </c>
      <c r="D71" s="24" t="s">
        <v>627</v>
      </c>
      <c r="E71" s="24" t="s">
        <v>414</v>
      </c>
      <c r="F71" s="17">
        <v>2</v>
      </c>
      <c r="G71" s="17" t="s">
        <v>620</v>
      </c>
      <c r="H71" s="17" t="s">
        <v>621</v>
      </c>
      <c r="I71" s="17" t="s">
        <v>625</v>
      </c>
      <c r="J71" s="17">
        <v>40004</v>
      </c>
    </row>
    <row r="72" s="17" customFormat="1" spans="1:13">
      <c r="A72" s="17">
        <v>1002016</v>
      </c>
      <c r="B72" s="17" t="s">
        <v>628</v>
      </c>
      <c r="C72" s="17">
        <v>9</v>
      </c>
      <c r="D72" s="24" t="s">
        <v>629</v>
      </c>
      <c r="E72" s="24" t="s">
        <v>419</v>
      </c>
      <c r="F72" s="17">
        <v>1</v>
      </c>
      <c r="G72" s="17" t="s">
        <v>620</v>
      </c>
      <c r="H72" s="17" t="s">
        <v>621</v>
      </c>
      <c r="I72" s="17" t="s">
        <v>625</v>
      </c>
      <c r="J72" s="17">
        <v>40004</v>
      </c>
    </row>
    <row r="73" s="17" customFormat="1" spans="1:13">
      <c r="A73" s="17">
        <v>1002017</v>
      </c>
      <c r="B73" s="17" t="s">
        <v>630</v>
      </c>
      <c r="C73" s="17">
        <v>9</v>
      </c>
      <c r="D73" s="24" t="s">
        <v>631</v>
      </c>
      <c r="E73" s="24" t="s">
        <v>422</v>
      </c>
      <c r="F73" s="17">
        <v>1</v>
      </c>
      <c r="G73" s="17" t="s">
        <v>620</v>
      </c>
      <c r="H73" s="17" t="s">
        <v>621</v>
      </c>
      <c r="I73" s="17" t="s">
        <v>622</v>
      </c>
      <c r="J73" s="17">
        <v>40003</v>
      </c>
    </row>
    <row r="74" s="17" customFormat="1" spans="1:13">
      <c r="A74" s="17">
        <v>1002018</v>
      </c>
      <c r="B74" s="17" t="s">
        <v>632</v>
      </c>
      <c r="C74" s="17">
        <v>9</v>
      </c>
      <c r="D74" s="24" t="s">
        <v>633</v>
      </c>
      <c r="E74" s="24" t="s">
        <v>425</v>
      </c>
      <c r="F74" s="17">
        <v>1</v>
      </c>
      <c r="G74" s="17" t="s">
        <v>634</v>
      </c>
      <c r="H74" s="17" t="s">
        <v>635</v>
      </c>
      <c r="I74" s="17" t="s">
        <v>636</v>
      </c>
      <c r="M74" s="17" t="s">
        <v>637</v>
      </c>
    </row>
    <row r="75" s="17" customFormat="1" spans="1:13">
      <c r="A75" s="17">
        <v>1002019</v>
      </c>
      <c r="B75" s="17" t="s">
        <v>638</v>
      </c>
      <c r="C75" s="17">
        <v>9</v>
      </c>
      <c r="D75" s="24" t="s">
        <v>639</v>
      </c>
      <c r="E75" s="24" t="s">
        <v>432</v>
      </c>
      <c r="F75" s="17">
        <v>1</v>
      </c>
      <c r="G75" s="17" t="s">
        <v>634</v>
      </c>
      <c r="H75" s="17" t="s">
        <v>635</v>
      </c>
      <c r="I75" s="17" t="s">
        <v>640</v>
      </c>
      <c r="M75" s="17" t="s">
        <v>641</v>
      </c>
    </row>
    <row r="76" s="17" customFormat="1" spans="1:13">
      <c r="A76" s="17">
        <v>1002020</v>
      </c>
      <c r="B76" s="17" t="s">
        <v>642</v>
      </c>
      <c r="C76" s="17">
        <v>9</v>
      </c>
      <c r="D76" s="24" t="s">
        <v>643</v>
      </c>
      <c r="E76" s="24" t="s">
        <v>437</v>
      </c>
      <c r="F76" s="17">
        <v>2</v>
      </c>
      <c r="G76" s="17" t="s">
        <v>634</v>
      </c>
      <c r="H76" s="17" t="s">
        <v>635</v>
      </c>
      <c r="I76" s="17" t="s">
        <v>644</v>
      </c>
      <c r="M76" s="17" t="s">
        <v>645</v>
      </c>
    </row>
    <row r="77" s="17" customFormat="1" spans="1:13">
      <c r="A77" s="17">
        <v>1002021</v>
      </c>
      <c r="B77" s="17" t="s">
        <v>646</v>
      </c>
      <c r="C77" s="17">
        <v>9</v>
      </c>
      <c r="D77" s="24" t="s">
        <v>647</v>
      </c>
      <c r="E77" s="24" t="s">
        <v>442</v>
      </c>
      <c r="F77" s="17">
        <v>1</v>
      </c>
      <c r="G77" s="17" t="s">
        <v>634</v>
      </c>
      <c r="H77" s="17" t="s">
        <v>635</v>
      </c>
      <c r="I77" s="17" t="s">
        <v>640</v>
      </c>
      <c r="M77" s="17" t="s">
        <v>641</v>
      </c>
    </row>
    <row r="78" s="17" customFormat="1" spans="1:13">
      <c r="A78" s="17">
        <v>1002022</v>
      </c>
      <c r="B78" s="17" t="s">
        <v>648</v>
      </c>
      <c r="C78" s="17">
        <v>9</v>
      </c>
      <c r="D78" s="24" t="s">
        <v>649</v>
      </c>
      <c r="E78" s="24" t="s">
        <v>445</v>
      </c>
      <c r="F78" s="17">
        <v>1</v>
      </c>
      <c r="G78" s="17" t="s">
        <v>634</v>
      </c>
      <c r="H78" s="17" t="s">
        <v>635</v>
      </c>
      <c r="I78" s="17" t="s">
        <v>636</v>
      </c>
      <c r="M78" s="17" t="s">
        <v>637</v>
      </c>
    </row>
    <row r="79" s="17" customFormat="1" spans="1:13">
      <c r="A79" s="17">
        <v>1002023</v>
      </c>
      <c r="B79" s="17" t="s">
        <v>650</v>
      </c>
      <c r="C79" s="17">
        <v>9</v>
      </c>
      <c r="D79" s="24" t="s">
        <v>651</v>
      </c>
      <c r="E79" s="24" t="s">
        <v>448</v>
      </c>
      <c r="F79" s="17">
        <v>1</v>
      </c>
      <c r="G79" s="17" t="s">
        <v>652</v>
      </c>
      <c r="H79" s="17" t="s">
        <v>653</v>
      </c>
      <c r="I79" s="17" t="s">
        <v>654</v>
      </c>
      <c r="J79" s="17">
        <v>40005</v>
      </c>
    </row>
    <row r="80" s="17" customFormat="1" spans="1:13">
      <c r="A80" s="17">
        <v>1002024</v>
      </c>
      <c r="B80" s="17" t="s">
        <v>655</v>
      </c>
      <c r="C80" s="17">
        <v>9</v>
      </c>
      <c r="D80" s="24" t="s">
        <v>656</v>
      </c>
      <c r="E80" s="24" t="s">
        <v>455</v>
      </c>
      <c r="F80" s="17">
        <v>1</v>
      </c>
      <c r="G80" s="17" t="s">
        <v>652</v>
      </c>
      <c r="H80" s="17" t="s">
        <v>653</v>
      </c>
      <c r="I80" s="17" t="s">
        <v>657</v>
      </c>
      <c r="J80" s="17">
        <v>40006</v>
      </c>
    </row>
    <row r="81" s="17" customFormat="1" spans="1:13">
      <c r="A81" s="17">
        <v>1002025</v>
      </c>
      <c r="B81" s="17" t="s">
        <v>658</v>
      </c>
      <c r="C81" s="17">
        <v>9</v>
      </c>
      <c r="D81" s="24" t="s">
        <v>659</v>
      </c>
      <c r="E81" s="24" t="s">
        <v>460</v>
      </c>
      <c r="F81" s="17">
        <v>2</v>
      </c>
      <c r="G81" s="17" t="s">
        <v>652</v>
      </c>
      <c r="H81" s="17" t="s">
        <v>653</v>
      </c>
      <c r="I81" s="17" t="s">
        <v>657</v>
      </c>
      <c r="J81" s="17">
        <v>40006</v>
      </c>
    </row>
    <row r="82" s="17" customFormat="1" spans="1:13">
      <c r="A82" s="17">
        <v>1002026</v>
      </c>
      <c r="B82" s="17" t="s">
        <v>660</v>
      </c>
      <c r="C82" s="17">
        <v>9</v>
      </c>
      <c r="D82" s="24" t="s">
        <v>661</v>
      </c>
      <c r="E82" s="24" t="s">
        <v>465</v>
      </c>
      <c r="F82" s="17">
        <v>1</v>
      </c>
      <c r="G82" s="17" t="s">
        <v>652</v>
      </c>
      <c r="H82" s="17" t="s">
        <v>653</v>
      </c>
      <c r="I82" s="17" t="s">
        <v>657</v>
      </c>
      <c r="J82" s="17">
        <v>40006</v>
      </c>
    </row>
    <row r="83" s="17" customFormat="1" spans="1:13">
      <c r="A83" s="17">
        <v>1002027</v>
      </c>
      <c r="B83" s="17" t="s">
        <v>662</v>
      </c>
      <c r="C83" s="17">
        <v>9</v>
      </c>
      <c r="D83" s="24" t="s">
        <v>663</v>
      </c>
      <c r="E83" s="24" t="s">
        <v>468</v>
      </c>
      <c r="F83" s="17">
        <v>1</v>
      </c>
      <c r="G83" s="17" t="s">
        <v>652</v>
      </c>
      <c r="H83" s="17" t="s">
        <v>653</v>
      </c>
      <c r="I83" s="17" t="s">
        <v>654</v>
      </c>
      <c r="J83" s="17">
        <v>40005</v>
      </c>
    </row>
    <row r="84" s="17" customFormat="1" spans="1:13">
      <c r="A84" s="17">
        <v>1002028</v>
      </c>
      <c r="B84" s="17" t="s">
        <v>664</v>
      </c>
      <c r="C84" s="17">
        <v>9</v>
      </c>
      <c r="D84" s="24" t="s">
        <v>665</v>
      </c>
      <c r="E84" s="24" t="s">
        <v>471</v>
      </c>
      <c r="F84" s="17">
        <v>1</v>
      </c>
      <c r="G84" s="17" t="s">
        <v>666</v>
      </c>
      <c r="H84" s="17" t="s">
        <v>667</v>
      </c>
      <c r="I84" s="17" t="s">
        <v>668</v>
      </c>
      <c r="J84" s="17">
        <v>40007</v>
      </c>
    </row>
    <row r="85" s="17" customFormat="1" spans="1:13">
      <c r="A85" s="17">
        <v>1002029</v>
      </c>
      <c r="B85" s="17" t="s">
        <v>669</v>
      </c>
      <c r="C85" s="17">
        <v>9</v>
      </c>
      <c r="D85" s="24" t="s">
        <v>670</v>
      </c>
      <c r="E85" s="24" t="s">
        <v>474</v>
      </c>
      <c r="F85" s="17">
        <v>1</v>
      </c>
      <c r="G85" s="17" t="s">
        <v>666</v>
      </c>
      <c r="H85" s="17" t="s">
        <v>667</v>
      </c>
      <c r="I85" s="17" t="s">
        <v>668</v>
      </c>
      <c r="J85" s="17">
        <v>40007</v>
      </c>
    </row>
    <row r="86" s="17" customFormat="1" spans="1:13">
      <c r="A86" s="17">
        <v>1002030</v>
      </c>
      <c r="B86" s="17" t="s">
        <v>671</v>
      </c>
      <c r="C86" s="17">
        <v>9</v>
      </c>
      <c r="D86" s="24" t="s">
        <v>672</v>
      </c>
      <c r="E86" s="24" t="s">
        <v>477</v>
      </c>
      <c r="F86" s="17">
        <v>1</v>
      </c>
      <c r="G86" s="17" t="s">
        <v>666</v>
      </c>
      <c r="H86" s="17" t="s">
        <v>667</v>
      </c>
      <c r="I86" s="17" t="s">
        <v>668</v>
      </c>
      <c r="J86" s="17">
        <v>40007</v>
      </c>
    </row>
    <row r="87" s="17" customFormat="1" spans="1:13">
      <c r="A87" s="17">
        <v>1002031</v>
      </c>
      <c r="B87" s="17" t="s">
        <v>673</v>
      </c>
      <c r="C87" s="17">
        <v>9</v>
      </c>
      <c r="D87" s="24" t="s">
        <v>674</v>
      </c>
      <c r="E87" s="24" t="s">
        <v>480</v>
      </c>
      <c r="F87" s="17">
        <v>1</v>
      </c>
      <c r="G87" s="17" t="s">
        <v>666</v>
      </c>
      <c r="H87" s="17" t="s">
        <v>667</v>
      </c>
      <c r="I87" s="17" t="s">
        <v>668</v>
      </c>
      <c r="J87" s="17">
        <v>40007</v>
      </c>
    </row>
    <row r="88" s="17" customFormat="1" spans="1:13">
      <c r="A88" s="17">
        <v>1002032</v>
      </c>
      <c r="B88" s="17" t="s">
        <v>675</v>
      </c>
      <c r="C88" s="17">
        <v>9</v>
      </c>
      <c r="D88" s="24" t="s">
        <v>676</v>
      </c>
      <c r="E88" s="24" t="s">
        <v>483</v>
      </c>
      <c r="F88" s="17">
        <v>1</v>
      </c>
      <c r="G88" s="17" t="s">
        <v>666</v>
      </c>
      <c r="H88" s="17" t="s">
        <v>667</v>
      </c>
      <c r="I88" s="17" t="s">
        <v>668</v>
      </c>
      <c r="J88" s="17">
        <v>40007</v>
      </c>
    </row>
    <row r="89" s="17" customFormat="1" spans="1:13">
      <c r="A89" s="17">
        <v>1002033</v>
      </c>
      <c r="B89" s="17" t="s">
        <v>677</v>
      </c>
      <c r="C89" s="17">
        <v>9</v>
      </c>
      <c r="D89" s="24" t="s">
        <v>678</v>
      </c>
      <c r="E89" s="24" t="s">
        <v>486</v>
      </c>
      <c r="F89" s="17">
        <v>1</v>
      </c>
      <c r="G89" s="17" t="s">
        <v>679</v>
      </c>
      <c r="H89" s="17" t="s">
        <v>680</v>
      </c>
      <c r="I89" s="17" t="s">
        <v>681</v>
      </c>
      <c r="M89" s="17" t="s">
        <v>682</v>
      </c>
    </row>
    <row r="90" s="17" customFormat="1" spans="1:13">
      <c r="A90" s="17">
        <v>1002034</v>
      </c>
      <c r="B90" s="17" t="s">
        <v>683</v>
      </c>
      <c r="C90" s="17">
        <v>9</v>
      </c>
      <c r="D90" s="24" t="s">
        <v>684</v>
      </c>
      <c r="E90" s="24" t="s">
        <v>493</v>
      </c>
      <c r="F90" s="17">
        <v>1</v>
      </c>
      <c r="G90" s="17" t="s">
        <v>679</v>
      </c>
      <c r="H90" s="17" t="s">
        <v>680</v>
      </c>
      <c r="I90" s="17" t="s">
        <v>685</v>
      </c>
      <c r="M90" s="17" t="s">
        <v>686</v>
      </c>
    </row>
    <row r="91" s="17" customFormat="1" spans="1:13">
      <c r="A91" s="17">
        <v>1002035</v>
      </c>
      <c r="B91" s="17" t="s">
        <v>687</v>
      </c>
      <c r="C91" s="17">
        <v>9</v>
      </c>
      <c r="D91" s="24" t="s">
        <v>688</v>
      </c>
      <c r="E91" s="24" t="s">
        <v>498</v>
      </c>
      <c r="F91" s="17">
        <v>2</v>
      </c>
      <c r="G91" s="17" t="s">
        <v>679</v>
      </c>
      <c r="H91" s="17" t="s">
        <v>680</v>
      </c>
      <c r="I91" s="17" t="s">
        <v>689</v>
      </c>
      <c r="M91" s="17" t="s">
        <v>690</v>
      </c>
    </row>
    <row r="92" s="17" customFormat="1" spans="1:13">
      <c r="A92" s="17">
        <v>1002036</v>
      </c>
      <c r="B92" s="17" t="s">
        <v>691</v>
      </c>
      <c r="C92" s="17">
        <v>9</v>
      </c>
      <c r="D92" s="24" t="s">
        <v>692</v>
      </c>
      <c r="E92" s="24" t="s">
        <v>505</v>
      </c>
      <c r="F92" s="17">
        <v>1</v>
      </c>
      <c r="G92" s="17" t="s">
        <v>679</v>
      </c>
      <c r="H92" s="17" t="s">
        <v>680</v>
      </c>
      <c r="I92" s="17" t="s">
        <v>685</v>
      </c>
      <c r="M92" s="17" t="s">
        <v>686</v>
      </c>
    </row>
    <row r="93" s="17" customFormat="1" spans="1:13">
      <c r="A93" s="17">
        <v>1002037</v>
      </c>
      <c r="B93" s="17" t="s">
        <v>693</v>
      </c>
      <c r="C93" s="17">
        <v>9</v>
      </c>
      <c r="D93" s="24" t="s">
        <v>694</v>
      </c>
      <c r="E93" s="24" t="s">
        <v>508</v>
      </c>
      <c r="F93" s="17">
        <v>1</v>
      </c>
      <c r="G93" s="17" t="s">
        <v>679</v>
      </c>
      <c r="H93" s="17" t="s">
        <v>680</v>
      </c>
      <c r="I93" s="17" t="s">
        <v>681</v>
      </c>
      <c r="M93" s="17" t="s">
        <v>682</v>
      </c>
    </row>
    <row r="94" s="17" customFormat="1" spans="1:13">
      <c r="A94" s="17">
        <v>1002038</v>
      </c>
      <c r="B94" s="17" t="s">
        <v>695</v>
      </c>
      <c r="C94" s="17">
        <v>9</v>
      </c>
      <c r="D94" s="24" t="s">
        <v>696</v>
      </c>
      <c r="E94" s="24" t="s">
        <v>511</v>
      </c>
      <c r="F94" s="17">
        <v>1</v>
      </c>
      <c r="G94" s="17" t="s">
        <v>697</v>
      </c>
      <c r="H94" s="17" t="s">
        <v>698</v>
      </c>
      <c r="I94" s="17" t="s">
        <v>699</v>
      </c>
      <c r="J94" s="17">
        <v>40024</v>
      </c>
    </row>
    <row r="95" s="17" customFormat="1" spans="1:13">
      <c r="A95" s="17">
        <v>1002039</v>
      </c>
      <c r="B95" s="17" t="s">
        <v>700</v>
      </c>
      <c r="C95" s="17">
        <v>9</v>
      </c>
      <c r="D95" s="24" t="s">
        <v>701</v>
      </c>
      <c r="E95" s="24" t="s">
        <v>518</v>
      </c>
      <c r="F95" s="17">
        <v>1</v>
      </c>
      <c r="G95" s="17" t="s">
        <v>697</v>
      </c>
      <c r="H95" s="17" t="s">
        <v>698</v>
      </c>
      <c r="I95" s="17" t="s">
        <v>702</v>
      </c>
      <c r="J95" s="17">
        <v>40025</v>
      </c>
    </row>
    <row r="96" s="17" customFormat="1" spans="1:13">
      <c r="A96" s="17">
        <v>1002040</v>
      </c>
      <c r="B96" s="17" t="s">
        <v>703</v>
      </c>
      <c r="C96" s="17">
        <v>9</v>
      </c>
      <c r="D96" s="24" t="s">
        <v>704</v>
      </c>
      <c r="E96" s="24" t="s">
        <v>523</v>
      </c>
      <c r="F96" s="17">
        <v>2</v>
      </c>
      <c r="G96" s="17" t="s">
        <v>705</v>
      </c>
      <c r="H96" s="17" t="s">
        <v>706</v>
      </c>
      <c r="I96" s="17" t="s">
        <v>707</v>
      </c>
      <c r="M96" s="17" t="s">
        <v>708</v>
      </c>
    </row>
    <row r="97" s="17" customFormat="1" spans="1:13">
      <c r="A97" s="17">
        <v>1002041</v>
      </c>
      <c r="B97" s="17" t="s">
        <v>709</v>
      </c>
      <c r="C97" s="17">
        <v>9</v>
      </c>
      <c r="D97" s="24" t="s">
        <v>710</v>
      </c>
      <c r="E97" s="24" t="s">
        <v>530</v>
      </c>
      <c r="F97" s="17">
        <v>1</v>
      </c>
      <c r="G97" s="17" t="s">
        <v>697</v>
      </c>
      <c r="H97" s="17" t="s">
        <v>698</v>
      </c>
      <c r="I97" s="17" t="s">
        <v>702</v>
      </c>
      <c r="J97" s="17">
        <v>40025</v>
      </c>
    </row>
    <row r="98" s="17" customFormat="1" spans="1:13">
      <c r="A98" s="17">
        <v>1002042</v>
      </c>
      <c r="B98" s="17" t="s">
        <v>711</v>
      </c>
      <c r="C98" s="17">
        <v>9</v>
      </c>
      <c r="D98" s="24" t="s">
        <v>712</v>
      </c>
      <c r="E98" s="24" t="s">
        <v>533</v>
      </c>
      <c r="F98" s="17">
        <v>1</v>
      </c>
      <c r="G98" s="17" t="s">
        <v>697</v>
      </c>
      <c r="H98" s="17" t="s">
        <v>698</v>
      </c>
      <c r="I98" s="17" t="s">
        <v>699</v>
      </c>
      <c r="J98" s="17">
        <v>40024</v>
      </c>
    </row>
    <row r="99" s="17" customFormat="1" spans="1:13">
      <c r="A99" s="17">
        <v>1002043</v>
      </c>
      <c r="B99" s="17" t="s">
        <v>713</v>
      </c>
      <c r="C99" s="17">
        <v>9</v>
      </c>
      <c r="D99" s="24" t="s">
        <v>714</v>
      </c>
      <c r="E99" s="24" t="s">
        <v>536</v>
      </c>
      <c r="F99" s="17">
        <v>1</v>
      </c>
      <c r="G99" s="17" t="s">
        <v>715</v>
      </c>
      <c r="H99" s="17" t="s">
        <v>716</v>
      </c>
      <c r="I99" s="17" t="s">
        <v>717</v>
      </c>
      <c r="J99" s="17">
        <v>40010</v>
      </c>
    </row>
    <row r="100" s="17" customFormat="1" spans="1:13">
      <c r="A100" s="17">
        <v>1002044</v>
      </c>
      <c r="B100" s="17" t="s">
        <v>718</v>
      </c>
      <c r="C100" s="17">
        <v>9</v>
      </c>
      <c r="D100" s="24" t="s">
        <v>719</v>
      </c>
      <c r="E100" s="24" t="s">
        <v>543</v>
      </c>
      <c r="F100" s="17">
        <v>1</v>
      </c>
      <c r="G100" s="17" t="s">
        <v>715</v>
      </c>
      <c r="H100" s="17" t="s">
        <v>716</v>
      </c>
      <c r="I100" s="17" t="s">
        <v>720</v>
      </c>
      <c r="J100" s="17">
        <v>40011</v>
      </c>
    </row>
    <row r="101" s="17" customFormat="1" spans="1:13">
      <c r="A101" s="17">
        <v>1002045</v>
      </c>
      <c r="B101" s="17" t="s">
        <v>721</v>
      </c>
      <c r="C101" s="17">
        <v>9</v>
      </c>
      <c r="D101" s="24" t="s">
        <v>722</v>
      </c>
      <c r="E101" s="24" t="s">
        <v>548</v>
      </c>
      <c r="F101" s="17">
        <v>2</v>
      </c>
      <c r="G101" s="17" t="s">
        <v>715</v>
      </c>
      <c r="H101" s="17" t="s">
        <v>723</v>
      </c>
      <c r="I101" s="17" t="s">
        <v>724</v>
      </c>
      <c r="M101" s="17" t="s">
        <v>725</v>
      </c>
    </row>
    <row r="102" s="17" customFormat="1" spans="1:13">
      <c r="A102" s="17">
        <v>1002046</v>
      </c>
      <c r="B102" s="17" t="s">
        <v>726</v>
      </c>
      <c r="C102" s="17">
        <v>9</v>
      </c>
      <c r="D102" s="24" t="s">
        <v>727</v>
      </c>
      <c r="E102" s="24" t="s">
        <v>555</v>
      </c>
      <c r="F102" s="17">
        <v>1</v>
      </c>
      <c r="G102" s="17" t="s">
        <v>715</v>
      </c>
      <c r="H102" s="17" t="s">
        <v>716</v>
      </c>
      <c r="I102" s="17" t="s">
        <v>720</v>
      </c>
      <c r="J102" s="17">
        <v>40011</v>
      </c>
    </row>
    <row r="103" s="17" customFormat="1" spans="1:13">
      <c r="A103" s="17">
        <v>1002047</v>
      </c>
      <c r="B103" s="17" t="s">
        <v>728</v>
      </c>
      <c r="C103" s="17">
        <v>9</v>
      </c>
      <c r="D103" s="24" t="s">
        <v>729</v>
      </c>
      <c r="E103" s="24" t="s">
        <v>558</v>
      </c>
      <c r="F103" s="17">
        <v>1</v>
      </c>
      <c r="G103" s="17" t="s">
        <v>715</v>
      </c>
      <c r="H103" s="17" t="s">
        <v>716</v>
      </c>
      <c r="I103" s="17" t="s">
        <v>717</v>
      </c>
      <c r="J103" s="17">
        <v>40010</v>
      </c>
    </row>
    <row r="104" s="17" customFormat="1" spans="1:13">
      <c r="A104" s="17">
        <v>1002048</v>
      </c>
      <c r="B104" s="17" t="s">
        <v>730</v>
      </c>
      <c r="C104" s="17">
        <v>9</v>
      </c>
      <c r="D104" s="24" t="s">
        <v>731</v>
      </c>
      <c r="E104" s="24" t="s">
        <v>561</v>
      </c>
      <c r="F104" s="17">
        <v>1</v>
      </c>
      <c r="G104" s="17" t="s">
        <v>732</v>
      </c>
      <c r="H104" s="17" t="s">
        <v>733</v>
      </c>
      <c r="I104" s="17" t="s">
        <v>734</v>
      </c>
      <c r="J104" s="17">
        <v>40012</v>
      </c>
    </row>
    <row r="105" s="17" customFormat="1" spans="1:13">
      <c r="A105" s="17">
        <v>1002049</v>
      </c>
      <c r="B105" s="17" t="s">
        <v>735</v>
      </c>
      <c r="C105" s="17">
        <v>9</v>
      </c>
      <c r="D105" s="24" t="s">
        <v>736</v>
      </c>
      <c r="E105" s="24" t="s">
        <v>568</v>
      </c>
      <c r="F105" s="17">
        <v>1</v>
      </c>
      <c r="G105" s="17" t="s">
        <v>732</v>
      </c>
      <c r="H105" s="17" t="s">
        <v>733</v>
      </c>
      <c r="I105" s="17" t="s">
        <v>737</v>
      </c>
      <c r="J105" s="17">
        <v>40013</v>
      </c>
    </row>
    <row r="106" s="17" customFormat="1" spans="1:13">
      <c r="A106" s="17">
        <v>1002050</v>
      </c>
      <c r="B106" s="17" t="s">
        <v>738</v>
      </c>
      <c r="C106" s="17">
        <v>9</v>
      </c>
      <c r="D106" s="24" t="s">
        <v>739</v>
      </c>
      <c r="E106" s="24" t="s">
        <v>573</v>
      </c>
      <c r="F106" s="17">
        <v>2</v>
      </c>
      <c r="G106" s="17" t="s">
        <v>732</v>
      </c>
      <c r="H106" s="17" t="s">
        <v>740</v>
      </c>
      <c r="I106" s="17" t="s">
        <v>741</v>
      </c>
      <c r="M106" s="17" t="s">
        <v>742</v>
      </c>
    </row>
    <row r="107" s="17" customFormat="1" spans="1:13">
      <c r="A107" s="17">
        <v>1002051</v>
      </c>
      <c r="B107" s="17" t="s">
        <v>743</v>
      </c>
      <c r="C107" s="17">
        <v>9</v>
      </c>
      <c r="D107" s="24" t="s">
        <v>744</v>
      </c>
      <c r="E107" s="24" t="s">
        <v>580</v>
      </c>
      <c r="F107" s="17">
        <v>1</v>
      </c>
      <c r="G107" s="17" t="s">
        <v>732</v>
      </c>
      <c r="H107" s="17" t="s">
        <v>733</v>
      </c>
      <c r="I107" s="17" t="s">
        <v>737</v>
      </c>
      <c r="J107" s="17">
        <v>40013</v>
      </c>
    </row>
    <row r="108" s="17" customFormat="1" spans="1:13">
      <c r="A108" s="17">
        <v>1002052</v>
      </c>
      <c r="B108" s="17" t="s">
        <v>745</v>
      </c>
      <c r="C108" s="17">
        <v>9</v>
      </c>
      <c r="D108" s="24" t="s">
        <v>746</v>
      </c>
      <c r="E108" s="24" t="s">
        <v>583</v>
      </c>
      <c r="F108" s="17">
        <v>1</v>
      </c>
      <c r="G108" s="17" t="s">
        <v>732</v>
      </c>
      <c r="H108" s="17" t="s">
        <v>733</v>
      </c>
      <c r="I108" s="17" t="s">
        <v>734</v>
      </c>
      <c r="J108" s="17">
        <v>40012</v>
      </c>
    </row>
    <row r="109" s="17" customFormat="1" spans="1:13">
      <c r="A109" s="17">
        <v>1002053</v>
      </c>
      <c r="B109" s="17" t="s">
        <v>747</v>
      </c>
      <c r="C109" s="17">
        <v>9</v>
      </c>
      <c r="D109" s="24" t="s">
        <v>748</v>
      </c>
      <c r="E109" s="24" t="s">
        <v>586</v>
      </c>
      <c r="F109" s="17">
        <v>3</v>
      </c>
      <c r="G109" s="17" t="s">
        <v>374</v>
      </c>
      <c r="H109" s="17" t="s">
        <v>375</v>
      </c>
      <c r="I109" s="17" t="s">
        <v>376</v>
      </c>
    </row>
    <row r="110" s="11" customFormat="1" ht="15.95" customHeight="1" spans="1:13">
      <c r="A110" s="11">
        <v>1003002</v>
      </c>
      <c r="B110" s="11" t="s">
        <v>749</v>
      </c>
      <c r="C110" s="11">
        <v>2</v>
      </c>
      <c r="D110" s="25" t="s">
        <v>750</v>
      </c>
      <c r="E110" s="25" t="s">
        <v>751</v>
      </c>
      <c r="F110" s="11">
        <v>2</v>
      </c>
      <c r="G110" s="11" t="s">
        <v>752</v>
      </c>
      <c r="H110" s="11" t="s">
        <v>753</v>
      </c>
      <c r="I110" s="11" t="s">
        <v>754</v>
      </c>
      <c r="J110" s="11">
        <v>10085</v>
      </c>
      <c r="K110" s="11" t="s">
        <v>238</v>
      </c>
    </row>
    <row r="111" s="11" customFormat="1" ht="15.95" customHeight="1" spans="1:13">
      <c r="A111" s="11">
        <v>1003004</v>
      </c>
      <c r="B111" s="11" t="s">
        <v>755</v>
      </c>
      <c r="C111" s="11">
        <v>2</v>
      </c>
      <c r="D111" s="25" t="s">
        <v>756</v>
      </c>
      <c r="E111" s="25" t="s">
        <v>757</v>
      </c>
      <c r="F111" s="11">
        <v>2</v>
      </c>
      <c r="G111" s="11" t="s">
        <v>758</v>
      </c>
      <c r="H111" s="11" t="s">
        <v>759</v>
      </c>
      <c r="I111" s="11" t="s">
        <v>760</v>
      </c>
      <c r="L111" s="11">
        <v>2150000410</v>
      </c>
    </row>
    <row r="112" s="11" customFormat="1" ht="15.95" customHeight="1" spans="1:13">
      <c r="A112" s="11">
        <v>1003006</v>
      </c>
      <c r="B112" s="11" t="s">
        <v>761</v>
      </c>
      <c r="C112" s="11">
        <v>2</v>
      </c>
      <c r="D112" s="25" t="s">
        <v>762</v>
      </c>
      <c r="E112" s="25" t="s">
        <v>763</v>
      </c>
      <c r="F112" s="11">
        <v>2</v>
      </c>
      <c r="G112" s="11" t="s">
        <v>764</v>
      </c>
      <c r="H112" s="11" t="s">
        <v>765</v>
      </c>
      <c r="I112" s="11" t="s">
        <v>766</v>
      </c>
      <c r="J112" s="11">
        <v>10089</v>
      </c>
      <c r="K112" s="11" t="s">
        <v>238</v>
      </c>
    </row>
    <row r="113" s="11" customFormat="1" ht="15.95" customHeight="1" spans="1:13">
      <c r="A113" s="11">
        <v>1003008</v>
      </c>
      <c r="B113" s="11" t="s">
        <v>767</v>
      </c>
      <c r="C113" s="11">
        <v>2</v>
      </c>
      <c r="D113" s="25">
        <v>1003006</v>
      </c>
      <c r="E113" s="25" t="s">
        <v>768</v>
      </c>
      <c r="F113" s="11">
        <v>2</v>
      </c>
      <c r="G113" s="11" t="s">
        <v>769</v>
      </c>
      <c r="H113" s="11" t="s">
        <v>770</v>
      </c>
      <c r="I113" s="11" t="s">
        <v>771</v>
      </c>
      <c r="L113" s="11">
        <v>2150000430</v>
      </c>
    </row>
    <row r="114" s="11" customFormat="1" ht="15.95" customHeight="1" spans="1:13">
      <c r="A114" s="11">
        <v>1003010</v>
      </c>
      <c r="B114" s="11" t="s">
        <v>772</v>
      </c>
      <c r="C114" s="11">
        <v>2</v>
      </c>
      <c r="D114" s="25">
        <v>1003004</v>
      </c>
      <c r="E114" s="25" t="s">
        <v>773</v>
      </c>
      <c r="F114" s="11">
        <v>2</v>
      </c>
      <c r="G114" s="11" t="s">
        <v>774</v>
      </c>
      <c r="H114" s="11" t="s">
        <v>775</v>
      </c>
      <c r="I114" s="11" t="s">
        <v>776</v>
      </c>
      <c r="L114" s="11">
        <v>2150000440</v>
      </c>
    </row>
    <row r="115" s="11" customFormat="1" ht="15.95" customHeight="1" spans="1:13">
      <c r="A115" s="11">
        <v>1003012</v>
      </c>
      <c r="B115" s="11" t="s">
        <v>777</v>
      </c>
      <c r="C115" s="11">
        <v>2</v>
      </c>
      <c r="D115" s="25" t="s">
        <v>778</v>
      </c>
      <c r="E115" s="25" t="s">
        <v>779</v>
      </c>
      <c r="F115" s="11">
        <v>2</v>
      </c>
      <c r="G115" s="11" t="s">
        <v>780</v>
      </c>
      <c r="H115" s="11" t="s">
        <v>781</v>
      </c>
      <c r="I115" s="11" t="s">
        <v>782</v>
      </c>
      <c r="J115" s="11"/>
      <c r="K115" s="11"/>
      <c r="L115" s="11">
        <v>2150000010</v>
      </c>
    </row>
    <row r="116" s="11" customFormat="1" ht="15.95" customHeight="1" spans="1:13">
      <c r="A116" s="11">
        <v>1003014</v>
      </c>
      <c r="B116" s="11" t="s">
        <v>783</v>
      </c>
      <c r="C116" s="11">
        <v>2</v>
      </c>
      <c r="D116" s="25">
        <v>1003012</v>
      </c>
      <c r="E116" s="25" t="s">
        <v>784</v>
      </c>
      <c r="F116" s="11">
        <v>2</v>
      </c>
      <c r="G116" s="11" t="s">
        <v>785</v>
      </c>
      <c r="H116" s="11" t="s">
        <v>786</v>
      </c>
      <c r="I116" s="11" t="s">
        <v>787</v>
      </c>
      <c r="J116" s="11"/>
      <c r="K116" s="11"/>
      <c r="L116" s="11">
        <v>2150000020</v>
      </c>
    </row>
    <row r="117" s="18" customFormat="1" ht="22" customHeight="1" spans="1:13">
      <c r="A117" s="26">
        <v>1005002</v>
      </c>
      <c r="B117" s="18" t="s">
        <v>788</v>
      </c>
      <c r="C117" s="18">
        <v>6</v>
      </c>
      <c r="D117" s="18" t="s">
        <v>789</v>
      </c>
      <c r="E117" s="27" t="s">
        <v>790</v>
      </c>
      <c r="F117" s="18">
        <v>2</v>
      </c>
      <c r="G117" s="18" t="s">
        <v>791</v>
      </c>
      <c r="H117" s="18" t="s">
        <v>792</v>
      </c>
      <c r="I117" s="18" t="s">
        <v>793</v>
      </c>
      <c r="J117" s="18"/>
      <c r="K117" s="18"/>
      <c r="L117" s="18">
        <v>2120000040</v>
      </c>
    </row>
    <row r="118" s="18" customFormat="1" ht="22" customHeight="1" spans="1:13">
      <c r="A118" s="26">
        <v>1005004</v>
      </c>
      <c r="B118" s="18" t="s">
        <v>794</v>
      </c>
      <c r="C118" s="18">
        <v>6</v>
      </c>
      <c r="D118" s="18" t="s">
        <v>795</v>
      </c>
      <c r="E118" s="27" t="s">
        <v>773</v>
      </c>
      <c r="F118" s="18">
        <v>2</v>
      </c>
      <c r="G118" s="18" t="s">
        <v>796</v>
      </c>
      <c r="H118" s="18" t="s">
        <v>797</v>
      </c>
      <c r="I118" s="18" t="s">
        <v>798</v>
      </c>
      <c r="J118" s="18">
        <v>10103</v>
      </c>
    </row>
    <row r="119" s="18" customFormat="1" ht="22" customHeight="1" spans="1:13">
      <c r="A119" s="26">
        <v>1005006</v>
      </c>
      <c r="B119" s="18" t="s">
        <v>799</v>
      </c>
      <c r="C119" s="18">
        <v>6</v>
      </c>
      <c r="D119" s="18">
        <v>1005004</v>
      </c>
      <c r="E119" s="27" t="s">
        <v>800</v>
      </c>
      <c r="F119" s="18">
        <v>2</v>
      </c>
      <c r="G119" s="18" t="s">
        <v>801</v>
      </c>
      <c r="H119" s="18" t="s">
        <v>802</v>
      </c>
      <c r="I119" s="18" t="s">
        <v>803</v>
      </c>
      <c r="J119" s="18">
        <v>10105</v>
      </c>
    </row>
    <row r="120" s="18" customFormat="1" ht="22" customHeight="1" spans="1:13">
      <c r="A120" s="26">
        <v>1005008</v>
      </c>
      <c r="B120" s="18" t="s">
        <v>804</v>
      </c>
      <c r="C120" s="18">
        <v>6</v>
      </c>
      <c r="D120" s="18">
        <v>1005002</v>
      </c>
      <c r="E120" s="27" t="s">
        <v>805</v>
      </c>
      <c r="F120" s="18">
        <v>2</v>
      </c>
      <c r="G120" s="18" t="s">
        <v>806</v>
      </c>
      <c r="H120" s="18" t="s">
        <v>807</v>
      </c>
      <c r="I120" s="18" t="s">
        <v>808</v>
      </c>
      <c r="J120" s="18"/>
      <c r="M120" s="18" t="s">
        <v>809</v>
      </c>
    </row>
    <row r="121" s="18" customFormat="1" ht="22" customHeight="1" spans="1:13">
      <c r="A121" s="26">
        <v>1005010</v>
      </c>
      <c r="B121" s="18" t="s">
        <v>810</v>
      </c>
      <c r="C121" s="18">
        <v>6</v>
      </c>
      <c r="D121" s="18">
        <v>1005002</v>
      </c>
      <c r="E121" s="27" t="s">
        <v>811</v>
      </c>
      <c r="F121" s="18">
        <v>2</v>
      </c>
      <c r="G121" s="18" t="s">
        <v>812</v>
      </c>
      <c r="H121" s="18" t="s">
        <v>813</v>
      </c>
      <c r="I121" s="18" t="s">
        <v>814</v>
      </c>
      <c r="J121" s="18"/>
      <c r="K121" s="18"/>
      <c r="M121" s="18" t="s">
        <v>815</v>
      </c>
    </row>
    <row r="122" s="18" customFormat="1" ht="22" customHeight="1" spans="1:13">
      <c r="A122" s="26">
        <v>1005012</v>
      </c>
      <c r="B122" s="18" t="s">
        <v>816</v>
      </c>
      <c r="C122" s="18">
        <v>6</v>
      </c>
      <c r="D122" s="18">
        <v>1005004</v>
      </c>
      <c r="E122" s="27" t="s">
        <v>817</v>
      </c>
      <c r="F122" s="18">
        <v>2</v>
      </c>
      <c r="G122" s="18" t="s">
        <v>818</v>
      </c>
      <c r="H122" s="18" t="s">
        <v>819</v>
      </c>
      <c r="I122" s="18" t="s">
        <v>820</v>
      </c>
      <c r="J122" s="18">
        <v>10101</v>
      </c>
    </row>
    <row r="123" s="18" customFormat="1" ht="22" customHeight="1" spans="1:13">
      <c r="A123" s="26">
        <v>1005014</v>
      </c>
      <c r="B123" s="18" t="s">
        <v>821</v>
      </c>
      <c r="C123" s="18">
        <v>6</v>
      </c>
      <c r="D123" s="18">
        <v>1005004</v>
      </c>
      <c r="E123" s="27" t="s">
        <v>822</v>
      </c>
      <c r="F123" s="18">
        <v>2</v>
      </c>
      <c r="G123" s="18" t="s">
        <v>823</v>
      </c>
      <c r="H123" s="18" t="s">
        <v>824</v>
      </c>
      <c r="I123" s="18" t="s">
        <v>825</v>
      </c>
      <c r="J123" s="18">
        <v>10130</v>
      </c>
    </row>
    <row r="124" s="19" customFormat="1" ht="18.95" customHeight="1" spans="1:13">
      <c r="A124" s="19">
        <v>1004002</v>
      </c>
      <c r="B124" s="19" t="s">
        <v>826</v>
      </c>
      <c r="C124" s="19">
        <v>5</v>
      </c>
      <c r="D124" s="19" t="s">
        <v>827</v>
      </c>
      <c r="E124" s="19" t="s">
        <v>790</v>
      </c>
      <c r="F124" s="19">
        <v>2</v>
      </c>
      <c r="G124" s="19" t="s">
        <v>828</v>
      </c>
      <c r="H124" s="19" t="s">
        <v>829</v>
      </c>
      <c r="I124" s="19" t="s">
        <v>830</v>
      </c>
      <c r="L124" s="19">
        <v>2120000020</v>
      </c>
    </row>
    <row r="125" s="19" customFormat="1" ht="18.95" customHeight="1" spans="1:13">
      <c r="A125" s="19">
        <v>1004004</v>
      </c>
      <c r="B125" s="19" t="s">
        <v>831</v>
      </c>
      <c r="C125" s="19">
        <v>5</v>
      </c>
      <c r="D125" s="19" t="s">
        <v>832</v>
      </c>
      <c r="E125" s="19" t="s">
        <v>833</v>
      </c>
      <c r="F125" s="19">
        <v>2</v>
      </c>
      <c r="G125" s="19" t="s">
        <v>834</v>
      </c>
      <c r="H125" s="19" t="s">
        <v>835</v>
      </c>
      <c r="I125" s="19" t="s">
        <v>836</v>
      </c>
      <c r="J125" s="19">
        <v>10099</v>
      </c>
    </row>
    <row r="126" s="19" customFormat="1" ht="18.95" customHeight="1" spans="1:13">
      <c r="A126" s="19">
        <v>1004006</v>
      </c>
      <c r="B126" s="19" t="s">
        <v>837</v>
      </c>
      <c r="C126" s="19">
        <v>5</v>
      </c>
      <c r="D126" s="19">
        <v>1004004</v>
      </c>
      <c r="E126" s="19" t="s">
        <v>838</v>
      </c>
      <c r="F126" s="19">
        <v>2</v>
      </c>
      <c r="G126" s="19" t="s">
        <v>839</v>
      </c>
      <c r="H126" s="19" t="s">
        <v>840</v>
      </c>
      <c r="I126" s="19" t="s">
        <v>841</v>
      </c>
      <c r="J126" s="19" t="s">
        <v>842</v>
      </c>
    </row>
    <row r="127" s="19" customFormat="1" ht="18.95" customHeight="1" spans="1:13">
      <c r="A127" s="19">
        <v>1004008</v>
      </c>
      <c r="B127" s="19" t="s">
        <v>843</v>
      </c>
      <c r="C127" s="19">
        <v>5</v>
      </c>
      <c r="D127" s="19">
        <v>1004004</v>
      </c>
      <c r="E127" s="19" t="s">
        <v>844</v>
      </c>
      <c r="F127" s="19">
        <v>2</v>
      </c>
      <c r="G127" s="19" t="s">
        <v>845</v>
      </c>
      <c r="H127" s="19" t="s">
        <v>846</v>
      </c>
      <c r="I127" s="19" t="s">
        <v>847</v>
      </c>
      <c r="J127" s="19">
        <v>10100</v>
      </c>
    </row>
    <row r="128" s="19" customFormat="1" ht="18.95" customHeight="1" spans="1:13">
      <c r="A128" s="19">
        <v>1004010</v>
      </c>
      <c r="B128" s="19" t="s">
        <v>848</v>
      </c>
      <c r="C128" s="19">
        <v>5</v>
      </c>
      <c r="D128" s="19">
        <v>1004004</v>
      </c>
      <c r="E128" s="19" t="s">
        <v>849</v>
      </c>
      <c r="F128" s="19">
        <v>2</v>
      </c>
      <c r="G128" s="19" t="s">
        <v>850</v>
      </c>
      <c r="H128" s="19" t="s">
        <v>851</v>
      </c>
      <c r="I128" s="19" t="s">
        <v>852</v>
      </c>
      <c r="J128" s="19">
        <v>10077</v>
      </c>
      <c r="K128" s="19" t="s">
        <v>295</v>
      </c>
    </row>
    <row r="129" s="19" customFormat="1" ht="18.95" customHeight="1" spans="1:13">
      <c r="A129" s="19">
        <v>1004012</v>
      </c>
      <c r="B129" s="19" t="s">
        <v>853</v>
      </c>
      <c r="C129" s="19">
        <v>5</v>
      </c>
      <c r="D129" s="19">
        <v>1004002</v>
      </c>
      <c r="E129" s="19" t="s">
        <v>854</v>
      </c>
      <c r="F129" s="19">
        <v>2</v>
      </c>
      <c r="G129" s="19" t="s">
        <v>855</v>
      </c>
      <c r="H129" s="19" t="s">
        <v>856</v>
      </c>
      <c r="I129" s="19" t="s">
        <v>857</v>
      </c>
      <c r="J129" s="19">
        <v>10097</v>
      </c>
    </row>
    <row r="130" s="19" customFormat="1" ht="18.95" customHeight="1" spans="1:13">
      <c r="A130" s="19">
        <v>1004014</v>
      </c>
      <c r="B130" s="19" t="s">
        <v>858</v>
      </c>
      <c r="C130" s="19">
        <v>5</v>
      </c>
      <c r="D130" s="19">
        <v>1004002</v>
      </c>
      <c r="E130" s="19" t="s">
        <v>859</v>
      </c>
      <c r="F130" s="19">
        <v>2</v>
      </c>
      <c r="G130" s="19" t="s">
        <v>860</v>
      </c>
      <c r="H130" s="19" t="s">
        <v>861</v>
      </c>
      <c r="I130" s="19" t="s">
        <v>862</v>
      </c>
      <c r="L130" s="19">
        <v>2120000060</v>
      </c>
    </row>
    <row r="131" s="20" customFormat="1" ht="18.95" customHeight="1" spans="1:13">
      <c r="A131" s="28">
        <v>1006002</v>
      </c>
      <c r="B131" s="20" t="s">
        <v>863</v>
      </c>
      <c r="C131" s="20">
        <v>7</v>
      </c>
      <c r="D131" s="28" t="s">
        <v>864</v>
      </c>
      <c r="E131" s="28" t="s">
        <v>865</v>
      </c>
      <c r="F131" s="20">
        <v>2</v>
      </c>
      <c r="G131" s="20" t="s">
        <v>866</v>
      </c>
      <c r="H131" s="20" t="s">
        <v>867</v>
      </c>
      <c r="I131" s="20" t="s">
        <v>868</v>
      </c>
      <c r="J131" s="20">
        <v>10038</v>
      </c>
      <c r="K131" s="20" t="s">
        <v>295</v>
      </c>
    </row>
    <row r="132" s="20" customFormat="1" ht="18.95" customHeight="1" spans="1:13">
      <c r="A132" s="28">
        <v>1006004</v>
      </c>
      <c r="B132" s="20" t="s">
        <v>869</v>
      </c>
      <c r="C132" s="20">
        <v>7</v>
      </c>
      <c r="D132" s="28" t="s">
        <v>870</v>
      </c>
      <c r="E132" s="28" t="s">
        <v>871</v>
      </c>
      <c r="F132" s="20">
        <v>2</v>
      </c>
      <c r="G132" s="20" t="s">
        <v>872</v>
      </c>
      <c r="H132" s="20" t="s">
        <v>873</v>
      </c>
      <c r="I132" s="20" t="s">
        <v>874</v>
      </c>
      <c r="J132" s="20"/>
      <c r="K132" s="20"/>
      <c r="L132" s="20">
        <v>2150000130</v>
      </c>
    </row>
    <row r="133" s="20" customFormat="1" ht="18.95" customHeight="1" spans="1:13">
      <c r="A133" s="28">
        <v>1006006</v>
      </c>
      <c r="B133" s="20" t="s">
        <v>875</v>
      </c>
      <c r="C133" s="20">
        <v>7</v>
      </c>
      <c r="D133" s="28">
        <v>1006004</v>
      </c>
      <c r="E133" s="28" t="s">
        <v>876</v>
      </c>
      <c r="F133" s="20">
        <v>2</v>
      </c>
      <c r="G133" s="20" t="s">
        <v>877</v>
      </c>
      <c r="H133" s="20" t="s">
        <v>878</v>
      </c>
      <c r="I133" s="20" t="s">
        <v>879</v>
      </c>
      <c r="J133" s="20">
        <v>10110</v>
      </c>
    </row>
    <row r="134" s="20" customFormat="1" ht="18.95" customHeight="1" spans="1:13">
      <c r="A134" s="28">
        <v>1006008</v>
      </c>
      <c r="B134" s="20" t="s">
        <v>880</v>
      </c>
      <c r="C134" s="20">
        <v>7</v>
      </c>
      <c r="D134" s="28" t="s">
        <v>881</v>
      </c>
      <c r="E134" s="28" t="s">
        <v>882</v>
      </c>
      <c r="F134" s="20">
        <v>2</v>
      </c>
      <c r="G134" s="20" t="s">
        <v>883</v>
      </c>
      <c r="H134" s="20" t="s">
        <v>884</v>
      </c>
      <c r="I134" s="20" t="s">
        <v>885</v>
      </c>
      <c r="J134" s="20"/>
      <c r="M134" s="20" t="s">
        <v>886</v>
      </c>
    </row>
    <row r="135" s="20" customFormat="1" ht="18.95" customHeight="1" spans="1:13">
      <c r="A135" s="28">
        <v>1006010</v>
      </c>
      <c r="B135" s="20" t="s">
        <v>887</v>
      </c>
      <c r="C135" s="20">
        <v>7</v>
      </c>
      <c r="D135" s="28">
        <v>1006008</v>
      </c>
      <c r="E135" s="28" t="s">
        <v>888</v>
      </c>
      <c r="F135" s="20">
        <v>2</v>
      </c>
      <c r="G135" s="20" t="s">
        <v>889</v>
      </c>
      <c r="H135" s="20" t="s">
        <v>890</v>
      </c>
      <c r="I135" s="20" t="s">
        <v>891</v>
      </c>
      <c r="J135" s="20">
        <v>10144</v>
      </c>
    </row>
    <row r="136" s="20" customFormat="1" ht="18.95" customHeight="1" spans="1:13">
      <c r="A136" s="28">
        <v>1006012</v>
      </c>
      <c r="B136" s="20" t="s">
        <v>892</v>
      </c>
      <c r="C136" s="20">
        <v>7</v>
      </c>
      <c r="D136" s="28" t="s">
        <v>893</v>
      </c>
      <c r="E136" s="28" t="s">
        <v>894</v>
      </c>
      <c r="F136" s="20">
        <v>2</v>
      </c>
      <c r="G136" s="20" t="s">
        <v>895</v>
      </c>
      <c r="H136" s="20" t="s">
        <v>896</v>
      </c>
      <c r="I136" s="20" t="s">
        <v>897</v>
      </c>
      <c r="J136" s="20"/>
      <c r="L136" s="20">
        <v>2150000080</v>
      </c>
    </row>
    <row r="137" s="20" customFormat="1" ht="18.95" customHeight="1" spans="1:13">
      <c r="A137" s="28">
        <v>1006014</v>
      </c>
      <c r="B137" s="20" t="s">
        <v>898</v>
      </c>
      <c r="C137" s="20">
        <v>7</v>
      </c>
      <c r="D137" s="28">
        <v>1006012</v>
      </c>
      <c r="E137" s="28" t="s">
        <v>899</v>
      </c>
      <c r="F137" s="20">
        <v>2</v>
      </c>
      <c r="G137" s="20" t="s">
        <v>900</v>
      </c>
      <c r="H137" s="20" t="s">
        <v>901</v>
      </c>
      <c r="I137" s="20" t="s">
        <v>902</v>
      </c>
      <c r="J137" s="20"/>
      <c r="K137" s="20"/>
      <c r="L137" s="20">
        <v>2150000060</v>
      </c>
    </row>
    <row r="138" s="21" customFormat="1" ht="18.95" customHeight="1" spans="1:13">
      <c r="A138" s="29">
        <v>1007002</v>
      </c>
      <c r="B138" s="21" t="s">
        <v>903</v>
      </c>
      <c r="C138" s="21">
        <v>4</v>
      </c>
      <c r="D138" s="29" t="s">
        <v>904</v>
      </c>
      <c r="E138" s="30" t="s">
        <v>800</v>
      </c>
      <c r="F138" s="21">
        <v>2</v>
      </c>
      <c r="G138" s="21" t="s">
        <v>905</v>
      </c>
      <c r="H138" s="21" t="s">
        <v>906</v>
      </c>
      <c r="I138" s="21" t="s">
        <v>907</v>
      </c>
      <c r="J138" s="21">
        <v>10143</v>
      </c>
      <c r="K138" s="21" t="s">
        <v>908</v>
      </c>
      <c r="L138" s="21">
        <v>2150000100</v>
      </c>
    </row>
    <row r="139" s="21" customFormat="1" ht="18.95" customHeight="1" spans="1:13">
      <c r="A139" s="29">
        <v>1007004</v>
      </c>
      <c r="B139" s="21" t="s">
        <v>909</v>
      </c>
      <c r="C139" s="21">
        <v>4</v>
      </c>
      <c r="D139" s="29" t="s">
        <v>910</v>
      </c>
      <c r="E139" s="30" t="s">
        <v>849</v>
      </c>
      <c r="F139" s="21">
        <v>2</v>
      </c>
      <c r="G139" s="21" t="s">
        <v>911</v>
      </c>
      <c r="H139" s="21" t="s">
        <v>912</v>
      </c>
      <c r="I139" s="21" t="s">
        <v>913</v>
      </c>
      <c r="J139" s="21">
        <v>10138</v>
      </c>
    </row>
    <row r="140" s="21" customFormat="1" ht="18.95" customHeight="1" spans="1:13">
      <c r="A140" s="29">
        <v>1007006</v>
      </c>
      <c r="B140" s="21" t="s">
        <v>914</v>
      </c>
      <c r="C140" s="21">
        <v>4</v>
      </c>
      <c r="D140" s="29">
        <v>1007004</v>
      </c>
      <c r="E140" s="59" t="s">
        <v>915</v>
      </c>
      <c r="F140" s="21">
        <v>2</v>
      </c>
      <c r="G140" s="21" t="s">
        <v>916</v>
      </c>
      <c r="H140" s="21" t="s">
        <v>917</v>
      </c>
      <c r="I140" s="21" t="s">
        <v>918</v>
      </c>
      <c r="J140" s="21">
        <v>10137</v>
      </c>
    </row>
    <row r="141" s="21" customFormat="1" ht="18.95" customHeight="1" spans="1:13">
      <c r="A141" s="29">
        <v>1007008</v>
      </c>
      <c r="B141" s="21" t="s">
        <v>919</v>
      </c>
      <c r="C141" s="21">
        <v>4</v>
      </c>
      <c r="D141" s="29" t="s">
        <v>920</v>
      </c>
      <c r="E141" s="59" t="s">
        <v>921</v>
      </c>
      <c r="F141" s="21">
        <v>2</v>
      </c>
      <c r="G141" s="22" t="s">
        <v>922</v>
      </c>
      <c r="H141" s="22" t="s">
        <v>923</v>
      </c>
      <c r="I141" s="22" t="s">
        <v>924</v>
      </c>
      <c r="J141" s="22">
        <v>10119</v>
      </c>
      <c r="K141" s="22"/>
      <c r="L141" s="22"/>
      <c r="M141" s="22"/>
    </row>
    <row r="142" s="21" customFormat="1" ht="18.95" customHeight="1" spans="1:13">
      <c r="A142" s="29">
        <v>1007010</v>
      </c>
      <c r="B142" s="21" t="s">
        <v>925</v>
      </c>
      <c r="C142" s="21">
        <v>4</v>
      </c>
      <c r="D142" s="29">
        <v>1007008</v>
      </c>
      <c r="E142" s="59" t="s">
        <v>926</v>
      </c>
      <c r="F142" s="21">
        <v>2</v>
      </c>
      <c r="G142" s="21" t="s">
        <v>927</v>
      </c>
      <c r="H142" s="21" t="s">
        <v>928</v>
      </c>
      <c r="I142" s="21" t="s">
        <v>929</v>
      </c>
      <c r="J142" s="21">
        <v>10141</v>
      </c>
    </row>
    <row r="143" s="21" customFormat="1" ht="18.95" customHeight="1" spans="1:13">
      <c r="A143" s="29">
        <v>1007012</v>
      </c>
      <c r="B143" s="21" t="s">
        <v>930</v>
      </c>
      <c r="C143" s="21">
        <v>4</v>
      </c>
      <c r="D143" s="29" t="s">
        <v>931</v>
      </c>
      <c r="E143" s="30" t="s">
        <v>932</v>
      </c>
      <c r="F143" s="21">
        <v>2</v>
      </c>
      <c r="G143" s="22" t="s">
        <v>933</v>
      </c>
      <c r="H143" s="22" t="s">
        <v>934</v>
      </c>
      <c r="I143" s="22" t="s">
        <v>935</v>
      </c>
      <c r="J143" s="22">
        <v>10139</v>
      </c>
      <c r="K143" s="22"/>
      <c r="L143" s="22"/>
    </row>
    <row r="144" s="21" customFormat="1" ht="18.95" customHeight="1" spans="1:13">
      <c r="A144" s="29">
        <v>1007014</v>
      </c>
      <c r="B144" s="21" t="s">
        <v>936</v>
      </c>
      <c r="C144" s="21">
        <v>4</v>
      </c>
      <c r="D144" s="29">
        <v>1007012</v>
      </c>
      <c r="E144" s="30" t="s">
        <v>937</v>
      </c>
      <c r="F144" s="21">
        <v>2</v>
      </c>
      <c r="G144" s="21" t="s">
        <v>938</v>
      </c>
      <c r="H144" s="21" t="s">
        <v>939</v>
      </c>
      <c r="I144" s="21" t="s">
        <v>940</v>
      </c>
      <c r="L144" s="21">
        <v>2150000090</v>
      </c>
    </row>
    <row r="145" s="22" customFormat="1" ht="28" customHeight="1" spans="1:13">
      <c r="A145" s="31">
        <v>1008002</v>
      </c>
      <c r="B145" s="22" t="s">
        <v>941</v>
      </c>
      <c r="C145" s="22">
        <v>3</v>
      </c>
      <c r="D145" s="22" t="s">
        <v>942</v>
      </c>
      <c r="E145" s="22" t="s">
        <v>943</v>
      </c>
      <c r="F145" s="22">
        <v>2</v>
      </c>
      <c r="G145" s="22" t="s">
        <v>758</v>
      </c>
      <c r="H145" s="22" t="s">
        <v>944</v>
      </c>
      <c r="I145" s="32" t="s">
        <v>885</v>
      </c>
      <c r="J145" s="22"/>
      <c r="K145" s="22"/>
      <c r="L145" s="22"/>
      <c r="M145" s="22" t="s">
        <v>886</v>
      </c>
    </row>
    <row r="146" s="22" customFormat="1" ht="28" customHeight="1" spans="1:13">
      <c r="A146" s="31">
        <v>1008004</v>
      </c>
      <c r="B146" s="22" t="s">
        <v>945</v>
      </c>
      <c r="C146" s="22">
        <v>3</v>
      </c>
      <c r="D146" s="22" t="s">
        <v>946</v>
      </c>
      <c r="E146" s="22" t="s">
        <v>947</v>
      </c>
      <c r="F146" s="22">
        <v>2</v>
      </c>
      <c r="G146" s="22" t="s">
        <v>752</v>
      </c>
      <c r="H146" s="22" t="s">
        <v>948</v>
      </c>
      <c r="I146" s="22" t="s">
        <v>949</v>
      </c>
      <c r="J146" s="22" t="s">
        <v>950</v>
      </c>
      <c r="K146" s="22" t="s">
        <v>295</v>
      </c>
    </row>
    <row r="147" s="22" customFormat="1" ht="28" customHeight="1" spans="1:13">
      <c r="A147" s="31">
        <v>1008006</v>
      </c>
      <c r="B147" s="22" t="s">
        <v>951</v>
      </c>
      <c r="C147" s="22">
        <v>3</v>
      </c>
      <c r="D147" s="22">
        <v>1008004</v>
      </c>
      <c r="E147" s="22" t="s">
        <v>952</v>
      </c>
      <c r="F147" s="22">
        <v>2</v>
      </c>
      <c r="G147" s="22" t="s">
        <v>769</v>
      </c>
      <c r="H147" s="22" t="s">
        <v>953</v>
      </c>
      <c r="I147" s="22" t="s">
        <v>954</v>
      </c>
      <c r="J147" s="22"/>
      <c r="K147" s="22"/>
      <c r="L147" s="22">
        <v>2150000460</v>
      </c>
    </row>
    <row r="148" s="22" customFormat="1" ht="28" customHeight="1" spans="1:13">
      <c r="A148" s="31">
        <v>1008008</v>
      </c>
      <c r="B148" s="22" t="s">
        <v>955</v>
      </c>
      <c r="C148" s="22">
        <v>3</v>
      </c>
      <c r="D148" s="22">
        <v>1008004</v>
      </c>
      <c r="E148" s="60" t="s">
        <v>956</v>
      </c>
      <c r="F148" s="22">
        <v>2</v>
      </c>
      <c r="G148" s="22" t="s">
        <v>780</v>
      </c>
      <c r="H148" s="22" t="s">
        <v>957</v>
      </c>
      <c r="I148" s="32" t="s">
        <v>958</v>
      </c>
      <c r="J148" s="22">
        <v>10126</v>
      </c>
      <c r="K148" s="22" t="s">
        <v>219</v>
      </c>
      <c r="L148" s="22">
        <v>2150000450</v>
      </c>
    </row>
    <row r="149" s="22" customFormat="1" ht="28" customHeight="1" spans="1:13">
      <c r="A149" s="31">
        <v>1008010</v>
      </c>
      <c r="B149" s="22" t="s">
        <v>959</v>
      </c>
      <c r="C149" s="22">
        <v>3</v>
      </c>
      <c r="D149" s="22" t="s">
        <v>960</v>
      </c>
      <c r="E149" s="60" t="s">
        <v>961</v>
      </c>
      <c r="F149" s="22">
        <v>2</v>
      </c>
      <c r="G149" s="22" t="s">
        <v>774</v>
      </c>
      <c r="H149" s="22" t="s">
        <v>962</v>
      </c>
      <c r="I149" s="22" t="s">
        <v>963</v>
      </c>
      <c r="J149" s="22">
        <v>10087</v>
      </c>
      <c r="K149" s="22" t="s">
        <v>964</v>
      </c>
    </row>
    <row r="150" s="22" customFormat="1" ht="28" customHeight="1" spans="1:13">
      <c r="A150" s="31">
        <v>1008012</v>
      </c>
      <c r="B150" s="22" t="s">
        <v>965</v>
      </c>
      <c r="C150" s="22">
        <v>3</v>
      </c>
      <c r="D150" s="22">
        <v>1008010</v>
      </c>
      <c r="E150" s="60" t="s">
        <v>966</v>
      </c>
      <c r="F150" s="22">
        <v>2</v>
      </c>
      <c r="G150" s="22" t="s">
        <v>764</v>
      </c>
      <c r="H150" s="22" t="s">
        <v>967</v>
      </c>
      <c r="I150" s="22" t="s">
        <v>968</v>
      </c>
      <c r="J150" s="22" t="s">
        <v>969</v>
      </c>
      <c r="K150" s="22" t="s">
        <v>970</v>
      </c>
    </row>
    <row r="151" s="22" customFormat="1" ht="28" customHeight="1" spans="1:13">
      <c r="A151" s="31">
        <v>1008014</v>
      </c>
      <c r="B151" s="22" t="s">
        <v>971</v>
      </c>
      <c r="C151" s="22">
        <v>3</v>
      </c>
      <c r="D151" s="22">
        <v>1008010</v>
      </c>
      <c r="E151" s="60" t="s">
        <v>972</v>
      </c>
      <c r="F151" s="22">
        <v>2</v>
      </c>
      <c r="G151" s="22" t="s">
        <v>785</v>
      </c>
      <c r="H151" s="22" t="s">
        <v>973</v>
      </c>
      <c r="I151" s="22" t="s">
        <v>974</v>
      </c>
    </row>
  </sheetData>
  <autoFilter xmlns:etc="http://www.wps.cn/officeDocument/2017/etCustomData" ref="F1:F151" etc:filterBottomFollowUsedRange="0">
    <extLst/>
  </autoFilter>
  <conditionalFormatting sqref="A1:A2">
    <cfRule type="duplicateValues" dxfId="0" priority="71"/>
  </conditionalFormatting>
  <conditionalFormatting sqref="A7:A23">
    <cfRule type="duplicateValues" dxfId="0" priority="104"/>
  </conditionalFormatting>
  <conditionalFormatting sqref="B1:B2">
    <cfRule type="duplicateValues" dxfId="0" priority="70"/>
  </conditionalFormatting>
  <conditionalFormatting sqref="D1:D2">
    <cfRule type="duplicateValues" dxfId="0" priority="4"/>
  </conditionalFormatting>
  <conditionalFormatting sqref="E1:E2">
    <cfRule type="duplicateValues" dxfId="0" priority="1"/>
  </conditionalFormatting>
  <conditionalFormatting sqref="L1:L2">
    <cfRule type="duplicateValues" dxfId="0" priority="9"/>
  </conditionalFormatting>
  <conditionalFormatting sqref="M1:M2">
    <cfRule type="duplicateValues" dxfId="0" priority="8"/>
  </conditionalFormatting>
  <conditionalFormatting sqref="C1:C2 F1:I2">
    <cfRule type="duplicateValues" dxfId="0" priority="69"/>
  </conditionalFormatting>
  <conditionalFormatting sqref="J1:K2">
    <cfRule type="duplicateValues" dxfId="0" priority="10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5" customWidth="1"/>
    <col min="2" max="2" width="14.25" style="5" customWidth="1"/>
    <col min="3" max="3" width="11.5" style="5" customWidth="1"/>
    <col min="4" max="4" width="19.25" style="5" customWidth="1"/>
    <col min="5" max="5" width="25.375" style="5" customWidth="1"/>
    <col min="6" max="6" width="11.5" style="5" customWidth="1"/>
    <col min="7" max="7" width="97" style="5" customWidth="1"/>
    <col min="8" max="8" width="14.375" style="5" customWidth="1"/>
    <col min="9" max="9" width="12.875" style="5" customWidth="1"/>
    <col min="10" max="10" width="20.25" style="5" customWidth="1"/>
  </cols>
  <sheetData>
    <row r="1" ht="27" spans="1:10">
      <c r="A1" s="6" t="s">
        <v>0</v>
      </c>
      <c r="B1" s="6" t="s">
        <v>342</v>
      </c>
      <c r="C1" s="6" t="s">
        <v>2</v>
      </c>
      <c r="D1" s="6" t="s">
        <v>975</v>
      </c>
      <c r="E1" s="6" t="s">
        <v>179</v>
      </c>
      <c r="F1" s="6" t="s">
        <v>180</v>
      </c>
      <c r="G1" s="6" t="s">
        <v>181</v>
      </c>
      <c r="H1" s="6" t="s">
        <v>182</v>
      </c>
      <c r="I1" s="6" t="s">
        <v>184</v>
      </c>
      <c r="J1" s="5" t="s">
        <v>185</v>
      </c>
    </row>
    <row r="2" spans="1:10">
      <c r="A2" s="7" t="s">
        <v>18</v>
      </c>
      <c r="B2" s="7" t="s">
        <v>168</v>
      </c>
      <c r="C2" s="7" t="s">
        <v>20</v>
      </c>
      <c r="D2" s="7" t="s">
        <v>976</v>
      </c>
      <c r="E2" s="7" t="s">
        <v>29</v>
      </c>
      <c r="F2" s="7" t="s">
        <v>19</v>
      </c>
      <c r="G2" s="7" t="s">
        <v>30</v>
      </c>
      <c r="H2" s="7" t="s">
        <v>191</v>
      </c>
      <c r="I2" s="7" t="s">
        <v>24</v>
      </c>
      <c r="J2" s="7" t="s">
        <v>194</v>
      </c>
    </row>
    <row r="3" spans="1:10">
      <c r="A3" s="8" t="s">
        <v>36</v>
      </c>
      <c r="B3" s="8" t="s">
        <v>37</v>
      </c>
      <c r="C3" s="8" t="s">
        <v>36</v>
      </c>
      <c r="D3" s="8" t="s">
        <v>36</v>
      </c>
      <c r="E3" s="8" t="s">
        <v>37</v>
      </c>
      <c r="F3" s="8" t="s">
        <v>37</v>
      </c>
      <c r="G3" s="8" t="s">
        <v>37</v>
      </c>
      <c r="H3" s="8" t="s">
        <v>38</v>
      </c>
      <c r="I3" s="8" t="s">
        <v>38</v>
      </c>
      <c r="J3" s="8" t="s">
        <v>40</v>
      </c>
    </row>
    <row r="4" spans="1:10">
      <c r="A4" s="11">
        <v>2000001</v>
      </c>
      <c r="B4" s="11" t="s">
        <v>977</v>
      </c>
      <c r="C4" s="11">
        <v>0</v>
      </c>
      <c r="D4" s="11">
        <v>1</v>
      </c>
      <c r="E4" s="11" t="s">
        <v>978</v>
      </c>
      <c r="F4" s="11" t="s">
        <v>979</v>
      </c>
      <c r="G4" s="12" t="s">
        <v>980</v>
      </c>
      <c r="H4" s="11">
        <v>10094</v>
      </c>
      <c r="I4" s="11"/>
      <c r="J4" s="11"/>
    </row>
    <row r="5" spans="1:10">
      <c r="A5" s="11">
        <v>2000002</v>
      </c>
      <c r="B5" s="11" t="s">
        <v>981</v>
      </c>
      <c r="C5" s="11">
        <v>0</v>
      </c>
      <c r="D5" s="11">
        <v>1</v>
      </c>
      <c r="E5" s="11" t="s">
        <v>982</v>
      </c>
      <c r="F5" s="11" t="s">
        <v>983</v>
      </c>
      <c r="G5" s="11" t="s">
        <v>984</v>
      </c>
      <c r="H5" s="11">
        <v>10093</v>
      </c>
      <c r="I5" s="11"/>
      <c r="J5" s="11"/>
    </row>
    <row r="6" spans="1:10">
      <c r="A6" s="11">
        <v>2000003</v>
      </c>
      <c r="B6" s="11" t="s">
        <v>985</v>
      </c>
      <c r="C6" s="11">
        <v>0</v>
      </c>
      <c r="D6" s="11">
        <v>2</v>
      </c>
      <c r="E6" s="11" t="s">
        <v>986</v>
      </c>
      <c r="F6" s="11" t="s">
        <v>987</v>
      </c>
      <c r="G6" s="11" t="s">
        <v>988</v>
      </c>
      <c r="H6" s="11">
        <v>10090</v>
      </c>
      <c r="I6" s="11"/>
      <c r="J6" s="11"/>
    </row>
    <row r="7" spans="1:10">
      <c r="A7" s="11">
        <v>2000004</v>
      </c>
      <c r="B7" s="11" t="s">
        <v>989</v>
      </c>
      <c r="C7" s="11">
        <v>0</v>
      </c>
      <c r="D7" s="11">
        <v>2</v>
      </c>
      <c r="E7" s="11" t="s">
        <v>990</v>
      </c>
      <c r="F7" s="11" t="s">
        <v>991</v>
      </c>
      <c r="G7" s="13" t="s">
        <v>992</v>
      </c>
      <c r="H7" s="11">
        <v>10091</v>
      </c>
      <c r="I7" s="11">
        <v>2140000100</v>
      </c>
      <c r="J7" s="11"/>
    </row>
    <row r="8" spans="1:10">
      <c r="A8" s="11">
        <v>2000005</v>
      </c>
      <c r="B8" s="11" t="s">
        <v>993</v>
      </c>
      <c r="C8" s="11">
        <v>0</v>
      </c>
      <c r="D8" s="11">
        <v>2</v>
      </c>
      <c r="E8" s="11" t="s">
        <v>994</v>
      </c>
      <c r="F8" s="11" t="s">
        <v>995</v>
      </c>
      <c r="G8" s="11" t="s">
        <v>996</v>
      </c>
      <c r="H8" s="11">
        <v>10092</v>
      </c>
      <c r="I8" s="11"/>
      <c r="J8" s="11"/>
    </row>
    <row r="9" spans="1:10">
      <c r="A9" s="14">
        <v>2002001</v>
      </c>
      <c r="B9" s="14" t="s">
        <v>997</v>
      </c>
      <c r="C9" s="14">
        <v>2</v>
      </c>
      <c r="D9" s="14">
        <v>1</v>
      </c>
      <c r="E9" s="14" t="s">
        <v>998</v>
      </c>
      <c r="F9" s="14" t="s">
        <v>948</v>
      </c>
      <c r="G9" s="14" t="s">
        <v>999</v>
      </c>
      <c r="H9" s="14"/>
      <c r="I9" s="14"/>
      <c r="J9" s="14"/>
    </row>
    <row r="10" spans="1:10">
      <c r="A10" s="14">
        <v>2002002</v>
      </c>
      <c r="B10" s="14" t="s">
        <v>749</v>
      </c>
      <c r="C10" s="14">
        <v>2</v>
      </c>
      <c r="D10" s="14">
        <v>1</v>
      </c>
      <c r="E10" s="14" t="s">
        <v>752</v>
      </c>
      <c r="F10" s="14" t="s">
        <v>1000</v>
      </c>
      <c r="G10" s="14" t="s">
        <v>1001</v>
      </c>
      <c r="H10" s="14"/>
      <c r="I10" s="14"/>
      <c r="J10" s="14"/>
    </row>
    <row r="11" spans="1:10">
      <c r="A11" s="14">
        <v>2002003</v>
      </c>
      <c r="B11" s="14" t="s">
        <v>1002</v>
      </c>
      <c r="C11" s="14">
        <v>2</v>
      </c>
      <c r="D11" s="14">
        <v>1</v>
      </c>
      <c r="E11" s="14" t="s">
        <v>764</v>
      </c>
      <c r="F11" s="14" t="s">
        <v>1003</v>
      </c>
      <c r="G11" s="14" t="s">
        <v>766</v>
      </c>
      <c r="H11" s="14"/>
      <c r="I11" s="14"/>
      <c r="J11" s="14"/>
    </row>
    <row r="12" spans="1:10">
      <c r="A12" s="14">
        <v>2002004</v>
      </c>
      <c r="B12" s="14" t="s">
        <v>1002</v>
      </c>
      <c r="C12" s="14">
        <v>2</v>
      </c>
      <c r="D12" s="14">
        <v>1</v>
      </c>
      <c r="E12" s="14" t="s">
        <v>780</v>
      </c>
      <c r="F12" s="14" t="s">
        <v>1004</v>
      </c>
      <c r="G12" s="14" t="s">
        <v>782</v>
      </c>
      <c r="H12" s="14"/>
      <c r="I12" s="14">
        <v>2150000010</v>
      </c>
      <c r="J12" s="14"/>
    </row>
    <row r="13" spans="1:10">
      <c r="A13" s="14">
        <v>2002005</v>
      </c>
      <c r="B13" s="14" t="s">
        <v>1002</v>
      </c>
      <c r="C13" s="14">
        <v>2</v>
      </c>
      <c r="D13" s="14">
        <v>1</v>
      </c>
      <c r="E13" s="14" t="s">
        <v>774</v>
      </c>
      <c r="F13" s="14" t="s">
        <v>962</v>
      </c>
      <c r="G13" s="14" t="s">
        <v>963</v>
      </c>
      <c r="H13" s="14"/>
      <c r="I13" s="14"/>
      <c r="J13" s="14"/>
    </row>
    <row r="14" spans="1:10">
      <c r="A14" s="14">
        <v>2002006</v>
      </c>
      <c r="B14" s="14" t="s">
        <v>755</v>
      </c>
      <c r="C14" s="14">
        <v>2</v>
      </c>
      <c r="D14" s="14">
        <v>2</v>
      </c>
      <c r="E14" s="14" t="s">
        <v>785</v>
      </c>
      <c r="F14" s="14" t="s">
        <v>1005</v>
      </c>
      <c r="G14" s="15" t="s">
        <v>1006</v>
      </c>
      <c r="H14" s="14"/>
      <c r="I14" s="14">
        <v>2150000020</v>
      </c>
      <c r="J14" s="14"/>
    </row>
    <row r="15" spans="1:10">
      <c r="A15" s="14">
        <v>2002007</v>
      </c>
      <c r="B15" s="14" t="s">
        <v>755</v>
      </c>
      <c r="C15" s="14">
        <v>2</v>
      </c>
      <c r="D15" s="14">
        <v>2</v>
      </c>
      <c r="E15" s="14" t="s">
        <v>769</v>
      </c>
      <c r="F15" s="14" t="s">
        <v>1007</v>
      </c>
      <c r="G15" s="14" t="s">
        <v>1008</v>
      </c>
      <c r="H15" s="14"/>
      <c r="I15" s="14">
        <v>2150000030</v>
      </c>
      <c r="J15" s="14"/>
    </row>
    <row r="16" spans="1:10">
      <c r="A16" s="14">
        <v>2002008</v>
      </c>
      <c r="B16" s="14" t="s">
        <v>755</v>
      </c>
      <c r="C16" s="14">
        <v>2</v>
      </c>
      <c r="D16" s="14">
        <v>2</v>
      </c>
      <c r="E16" s="14" t="s">
        <v>758</v>
      </c>
      <c r="F16" s="14" t="s">
        <v>944</v>
      </c>
      <c r="G16" s="14" t="s">
        <v>885</v>
      </c>
      <c r="H16" s="14"/>
      <c r="I16" s="14"/>
      <c r="J16" s="14" t="s">
        <v>886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1" t="s">
        <v>1009</v>
      </c>
    </row>
    <row r="2" spans="1:1">
      <c r="A2" s="2" t="s">
        <v>1010</v>
      </c>
    </row>
    <row r="3" spans="1:1">
      <c r="A3" s="3" t="s">
        <v>38</v>
      </c>
    </row>
    <row r="4" spans="1:1">
      <c r="A4" t="s">
        <v>1011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zoomScale="55" zoomScaleNormal="55"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5" customWidth="1"/>
    <col min="7" max="7" width="12.625" style="5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5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1" t="s">
        <v>1012</v>
      </c>
      <c r="B1" s="1" t="s">
        <v>1013</v>
      </c>
      <c r="C1" s="1" t="s">
        <v>1014</v>
      </c>
      <c r="D1" s="1" t="s">
        <v>342</v>
      </c>
      <c r="E1" s="1" t="s">
        <v>1015</v>
      </c>
      <c r="F1" s="6" t="s">
        <v>1016</v>
      </c>
      <c r="G1" s="6" t="s">
        <v>1017</v>
      </c>
      <c r="H1" s="1" t="s">
        <v>1018</v>
      </c>
      <c r="I1" s="1" t="s">
        <v>179</v>
      </c>
      <c r="J1" s="1" t="s">
        <v>180</v>
      </c>
      <c r="K1" s="1" t="s">
        <v>181</v>
      </c>
      <c r="L1" s="1" t="s">
        <v>182</v>
      </c>
      <c r="M1" s="6" t="s">
        <v>184</v>
      </c>
      <c r="N1" s="1" t="s">
        <v>185</v>
      </c>
      <c r="O1" s="1" t="s">
        <v>1019</v>
      </c>
      <c r="P1" s="1" t="s">
        <v>1020</v>
      </c>
      <c r="Q1" s="1" t="s">
        <v>1021</v>
      </c>
      <c r="R1" s="1" t="s">
        <v>1022</v>
      </c>
      <c r="S1" s="1" t="s">
        <v>1023</v>
      </c>
      <c r="T1" s="1" t="s">
        <v>1024</v>
      </c>
      <c r="U1" s="1" t="s">
        <v>1025</v>
      </c>
      <c r="V1" s="1" t="s">
        <v>1026</v>
      </c>
    </row>
    <row r="2" spans="1:22">
      <c r="A2" s="2" t="s">
        <v>18</v>
      </c>
      <c r="B2" s="2" t="s">
        <v>1027</v>
      </c>
      <c r="C2" s="2" t="s">
        <v>1028</v>
      </c>
      <c r="D2" s="2" t="s">
        <v>168</v>
      </c>
      <c r="E2" s="2" t="s">
        <v>1029</v>
      </c>
      <c r="F2" s="7" t="s">
        <v>1030</v>
      </c>
      <c r="G2" s="7" t="s">
        <v>1031</v>
      </c>
      <c r="H2" s="2" t="s">
        <v>1032</v>
      </c>
      <c r="I2" s="2" t="s">
        <v>29</v>
      </c>
      <c r="J2" s="2" t="s">
        <v>19</v>
      </c>
      <c r="K2" s="2" t="s">
        <v>30</v>
      </c>
      <c r="L2" s="2" t="s">
        <v>191</v>
      </c>
      <c r="M2" s="7" t="s">
        <v>24</v>
      </c>
      <c r="N2" s="2" t="s">
        <v>194</v>
      </c>
      <c r="O2" s="2" t="s">
        <v>1033</v>
      </c>
      <c r="P2" s="2" t="s">
        <v>1034</v>
      </c>
      <c r="Q2" s="2" t="s">
        <v>1035</v>
      </c>
      <c r="R2" s="2" t="s">
        <v>1036</v>
      </c>
      <c r="S2" s="2" t="s">
        <v>1037</v>
      </c>
      <c r="T2" s="2" t="s">
        <v>1038</v>
      </c>
      <c r="U2" s="2" t="s">
        <v>1039</v>
      </c>
      <c r="V2" s="2" t="s">
        <v>1040</v>
      </c>
    </row>
    <row r="3" spans="1:22">
      <c r="A3" s="3" t="s">
        <v>36</v>
      </c>
      <c r="B3" s="3" t="s">
        <v>36</v>
      </c>
      <c r="C3" s="3" t="s">
        <v>36</v>
      </c>
      <c r="D3" s="3" t="s">
        <v>37</v>
      </c>
      <c r="E3" s="3" t="s">
        <v>36</v>
      </c>
      <c r="F3" s="8" t="s">
        <v>36</v>
      </c>
      <c r="G3" s="8" t="s">
        <v>39</v>
      </c>
      <c r="H3" s="3" t="s">
        <v>40</v>
      </c>
      <c r="I3" s="3" t="s">
        <v>37</v>
      </c>
      <c r="J3" s="3" t="s">
        <v>37</v>
      </c>
      <c r="K3" s="3" t="s">
        <v>37</v>
      </c>
      <c r="L3" s="3" t="s">
        <v>39</v>
      </c>
      <c r="M3" s="8" t="s">
        <v>38</v>
      </c>
      <c r="N3" s="3" t="s">
        <v>40</v>
      </c>
      <c r="O3" s="3" t="s">
        <v>40</v>
      </c>
      <c r="P3" s="3" t="s">
        <v>40</v>
      </c>
      <c r="Q3" s="3" t="s">
        <v>40</v>
      </c>
      <c r="R3" s="3" t="s">
        <v>40</v>
      </c>
      <c r="S3" s="3" t="s">
        <v>36</v>
      </c>
      <c r="T3" s="3" t="s">
        <v>1041</v>
      </c>
      <c r="U3" s="3" t="s">
        <v>1041</v>
      </c>
      <c r="V3" s="3" t="s">
        <v>36</v>
      </c>
    </row>
    <row r="4" spans="1:22">
      <c r="A4">
        <v>1011</v>
      </c>
      <c r="B4">
        <v>1</v>
      </c>
      <c r="C4">
        <v>3</v>
      </c>
      <c r="D4" t="s">
        <v>1042</v>
      </c>
      <c r="E4">
        <v>101101</v>
      </c>
      <c r="F4" s="5" t="s">
        <v>1043</v>
      </c>
      <c r="H4" t="s">
        <v>1044</v>
      </c>
      <c r="I4" t="s">
        <v>198</v>
      </c>
      <c r="J4" t="s">
        <v>1045</v>
      </c>
      <c r="K4" s="9" t="s">
        <v>1046</v>
      </c>
      <c r="N4" t="s">
        <v>1047</v>
      </c>
      <c r="O4" t="s">
        <v>1048</v>
      </c>
      <c r="P4" t="s">
        <v>1049</v>
      </c>
      <c r="Q4" t="s">
        <v>1050</v>
      </c>
      <c r="R4" t="s">
        <v>1051</v>
      </c>
      <c r="S4">
        <v>1000</v>
      </c>
      <c r="T4" t="s">
        <v>1052</v>
      </c>
      <c r="U4" t="s">
        <v>1053</v>
      </c>
      <c r="V4">
        <v>1</v>
      </c>
    </row>
    <row r="5" spans="1:22">
      <c r="A5">
        <v>1011</v>
      </c>
      <c r="B5">
        <v>2</v>
      </c>
      <c r="C5">
        <v>4</v>
      </c>
      <c r="D5" t="s">
        <v>1042</v>
      </c>
      <c r="E5">
        <v>101102</v>
      </c>
      <c r="F5" s="5" t="s">
        <v>1043</v>
      </c>
      <c r="H5" t="s">
        <v>1054</v>
      </c>
      <c r="I5" t="s">
        <v>202</v>
      </c>
      <c r="J5" t="s">
        <v>1045</v>
      </c>
      <c r="K5" s="9" t="s">
        <v>1055</v>
      </c>
      <c r="L5">
        <v>120112000</v>
      </c>
      <c r="N5" t="s">
        <v>1047</v>
      </c>
      <c r="O5" t="s">
        <v>1048</v>
      </c>
      <c r="P5" t="s">
        <v>1056</v>
      </c>
      <c r="Q5" t="s">
        <v>1057</v>
      </c>
      <c r="R5" t="s">
        <v>1051</v>
      </c>
      <c r="S5">
        <v>3000</v>
      </c>
      <c r="T5" t="s">
        <v>1058</v>
      </c>
      <c r="U5" t="s">
        <v>1059</v>
      </c>
      <c r="V5">
        <v>1</v>
      </c>
    </row>
    <row r="6" spans="1:22">
      <c r="A6">
        <v>1011</v>
      </c>
      <c r="B6">
        <v>3</v>
      </c>
      <c r="C6">
        <v>6</v>
      </c>
      <c r="D6" t="s">
        <v>1042</v>
      </c>
      <c r="E6">
        <v>101103</v>
      </c>
      <c r="F6" s="5" t="s">
        <v>1043</v>
      </c>
      <c r="H6" t="s">
        <v>1060</v>
      </c>
      <c r="I6" t="s">
        <v>1061</v>
      </c>
      <c r="J6" t="s">
        <v>1045</v>
      </c>
      <c r="K6" s="9" t="s">
        <v>1062</v>
      </c>
      <c r="L6">
        <v>120112000</v>
      </c>
      <c r="N6" t="s">
        <v>1063</v>
      </c>
      <c r="O6" t="s">
        <v>1048</v>
      </c>
      <c r="P6" t="s">
        <v>1064</v>
      </c>
      <c r="Q6" t="s">
        <v>1065</v>
      </c>
      <c r="R6" t="s">
        <v>1051</v>
      </c>
      <c r="S6">
        <v>6000</v>
      </c>
      <c r="T6" t="s">
        <v>1058</v>
      </c>
      <c r="U6" t="s">
        <v>1059</v>
      </c>
      <c r="V6">
        <v>1</v>
      </c>
    </row>
    <row r="7" spans="1:22">
      <c r="A7">
        <v>1011</v>
      </c>
      <c r="B7">
        <v>4</v>
      </c>
      <c r="C7">
        <v>8</v>
      </c>
      <c r="D7" t="s">
        <v>1042</v>
      </c>
      <c r="E7">
        <v>101104</v>
      </c>
      <c r="F7" s="5" t="s">
        <v>1043</v>
      </c>
      <c r="G7" s="5" t="s">
        <v>1066</v>
      </c>
      <c r="H7" t="s">
        <v>1067</v>
      </c>
      <c r="I7" t="s">
        <v>1068</v>
      </c>
      <c r="J7" t="s">
        <v>1045</v>
      </c>
      <c r="K7" s="9" t="s">
        <v>1069</v>
      </c>
      <c r="L7">
        <v>120114000</v>
      </c>
      <c r="M7" s="5">
        <v>120114000</v>
      </c>
      <c r="N7" t="s">
        <v>1063</v>
      </c>
      <c r="O7" t="s">
        <v>1048</v>
      </c>
      <c r="P7" t="s">
        <v>1070</v>
      </c>
      <c r="Q7" t="s">
        <v>1071</v>
      </c>
      <c r="R7" t="s">
        <v>1051</v>
      </c>
      <c r="S7">
        <v>10000</v>
      </c>
      <c r="T7" t="s">
        <v>1058</v>
      </c>
      <c r="U7" t="s">
        <v>1059</v>
      </c>
      <c r="V7">
        <v>1</v>
      </c>
    </row>
    <row r="8" spans="1:22">
      <c r="A8">
        <v>5011</v>
      </c>
      <c r="B8">
        <v>1</v>
      </c>
      <c r="C8">
        <v>3</v>
      </c>
      <c r="D8" t="s">
        <v>1042</v>
      </c>
      <c r="E8">
        <v>101201</v>
      </c>
      <c r="F8" s="5" t="s">
        <v>1072</v>
      </c>
      <c r="H8" t="s">
        <v>1073</v>
      </c>
      <c r="I8" t="s">
        <v>206</v>
      </c>
      <c r="J8" t="s">
        <v>1074</v>
      </c>
      <c r="K8" s="9" t="s">
        <v>1075</v>
      </c>
      <c r="M8" s="5">
        <v>120121000</v>
      </c>
      <c r="O8" t="s">
        <v>1048</v>
      </c>
      <c r="P8" t="s">
        <v>1049</v>
      </c>
      <c r="Q8" t="s">
        <v>1050</v>
      </c>
      <c r="R8" t="s">
        <v>1051</v>
      </c>
      <c r="S8">
        <v>1000</v>
      </c>
      <c r="T8" t="s">
        <v>1076</v>
      </c>
      <c r="U8" t="s">
        <v>1053</v>
      </c>
      <c r="V8">
        <v>1</v>
      </c>
    </row>
    <row r="9" spans="1:22">
      <c r="A9">
        <v>5011</v>
      </c>
      <c r="B9">
        <v>2</v>
      </c>
      <c r="C9">
        <v>4</v>
      </c>
      <c r="D9" t="s">
        <v>1042</v>
      </c>
      <c r="E9">
        <v>101202</v>
      </c>
      <c r="F9" s="5" t="s">
        <v>1072</v>
      </c>
      <c r="H9" t="s">
        <v>1077</v>
      </c>
      <c r="I9" t="s">
        <v>1078</v>
      </c>
      <c r="J9" t="s">
        <v>1074</v>
      </c>
      <c r="K9" s="9" t="s">
        <v>1079</v>
      </c>
      <c r="M9" s="5" t="s">
        <v>1080</v>
      </c>
      <c r="O9" t="s">
        <v>1048</v>
      </c>
      <c r="P9" t="s">
        <v>1056</v>
      </c>
      <c r="Q9" t="s">
        <v>1057</v>
      </c>
      <c r="R9" t="s">
        <v>1051</v>
      </c>
      <c r="S9">
        <v>3000</v>
      </c>
      <c r="T9" t="s">
        <v>1081</v>
      </c>
      <c r="U9" t="s">
        <v>1059</v>
      </c>
      <c r="V9">
        <v>1</v>
      </c>
    </row>
    <row r="10" spans="1:22">
      <c r="A10">
        <v>5011</v>
      </c>
      <c r="B10">
        <v>3</v>
      </c>
      <c r="C10">
        <v>6</v>
      </c>
      <c r="D10" t="s">
        <v>1042</v>
      </c>
      <c r="E10">
        <v>101203</v>
      </c>
      <c r="F10" s="5" t="s">
        <v>1072</v>
      </c>
      <c r="H10" t="s">
        <v>1082</v>
      </c>
      <c r="I10" t="s">
        <v>1083</v>
      </c>
      <c r="J10" t="s">
        <v>1074</v>
      </c>
      <c r="K10" s="9" t="s">
        <v>1084</v>
      </c>
      <c r="M10" s="5" t="s">
        <v>1080</v>
      </c>
      <c r="N10" t="s">
        <v>1085</v>
      </c>
      <c r="O10" t="s">
        <v>1048</v>
      </c>
      <c r="P10" t="s">
        <v>1064</v>
      </c>
      <c r="Q10" t="s">
        <v>1065</v>
      </c>
      <c r="R10" t="s">
        <v>1051</v>
      </c>
      <c r="S10">
        <v>6000</v>
      </c>
      <c r="T10" t="s">
        <v>1081</v>
      </c>
      <c r="U10" t="s">
        <v>1059</v>
      </c>
      <c r="V10">
        <v>1</v>
      </c>
    </row>
    <row r="11" spans="1:22">
      <c r="A11">
        <v>1012</v>
      </c>
      <c r="B11">
        <v>4</v>
      </c>
      <c r="C11">
        <v>8</v>
      </c>
      <c r="D11" t="s">
        <v>1042</v>
      </c>
      <c r="E11">
        <v>101204</v>
      </c>
      <c r="F11" s="5" t="s">
        <v>1072</v>
      </c>
      <c r="G11" s="5" t="s">
        <v>1086</v>
      </c>
      <c r="H11" t="s">
        <v>1087</v>
      </c>
      <c r="I11" t="s">
        <v>1088</v>
      </c>
      <c r="J11" t="s">
        <v>1074</v>
      </c>
      <c r="K11" s="9" t="s">
        <v>1089</v>
      </c>
      <c r="M11" s="5" t="s">
        <v>1090</v>
      </c>
      <c r="N11" t="s">
        <v>1085</v>
      </c>
      <c r="O11" t="s">
        <v>1048</v>
      </c>
      <c r="P11" t="s">
        <v>1070</v>
      </c>
      <c r="Q11" t="s">
        <v>1071</v>
      </c>
      <c r="R11" t="s">
        <v>1051</v>
      </c>
      <c r="S11">
        <v>10000</v>
      </c>
      <c r="T11" t="s">
        <v>1081</v>
      </c>
      <c r="U11" t="s">
        <v>1059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5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1091</v>
      </c>
      <c r="K12" s="9" t="s">
        <v>1092</v>
      </c>
      <c r="N12" t="s">
        <v>1093</v>
      </c>
      <c r="O12" t="s">
        <v>1048</v>
      </c>
      <c r="P12" t="s">
        <v>1049</v>
      </c>
      <c r="Q12" t="s">
        <v>1050</v>
      </c>
      <c r="R12" t="str">
        <f>R8</f>
        <v>[[103,10]]</v>
      </c>
      <c r="S12">
        <f>S4</f>
        <v>1000</v>
      </c>
      <c r="T12" t="s">
        <v>1052</v>
      </c>
      <c r="U12" t="s">
        <v>1053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5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1091</v>
      </c>
      <c r="K13" s="9" t="s">
        <v>1094</v>
      </c>
      <c r="L13">
        <v>120132000</v>
      </c>
      <c r="M13" s="5">
        <v>120132000</v>
      </c>
      <c r="N13" t="s">
        <v>1093</v>
      </c>
      <c r="O13" t="s">
        <v>1048</v>
      </c>
      <c r="P13" t="s">
        <v>1056</v>
      </c>
      <c r="Q13" t="s">
        <v>1057</v>
      </c>
      <c r="R13" t="str">
        <f>R9</f>
        <v>[[103,10]]</v>
      </c>
      <c r="S13">
        <f>S5</f>
        <v>3000</v>
      </c>
      <c r="T13" t="s">
        <v>1095</v>
      </c>
      <c r="U13" t="s">
        <v>1059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5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1091</v>
      </c>
      <c r="K14" s="9" t="s">
        <v>1062</v>
      </c>
      <c r="L14">
        <v>120132000</v>
      </c>
      <c r="M14" s="5">
        <v>120132000</v>
      </c>
      <c r="N14" t="s">
        <v>1096</v>
      </c>
      <c r="O14" t="s">
        <v>1048</v>
      </c>
      <c r="P14" t="s">
        <v>1064</v>
      </c>
      <c r="Q14" t="s">
        <v>1065</v>
      </c>
      <c r="R14" t="str">
        <f>R10</f>
        <v>[[103,10]]</v>
      </c>
      <c r="S14">
        <f>S6</f>
        <v>6000</v>
      </c>
      <c r="T14" t="s">
        <v>1095</v>
      </c>
      <c r="U14" t="s">
        <v>1059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5">
        <f t="shared" si="1"/>
        <v>101310</v>
      </c>
      <c r="G15" s="5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1091</v>
      </c>
      <c r="K15" s="9" t="s">
        <v>1097</v>
      </c>
      <c r="L15">
        <v>120132000</v>
      </c>
      <c r="M15" s="5">
        <v>120134000</v>
      </c>
      <c r="N15" t="s">
        <v>1096</v>
      </c>
      <c r="O15" t="s">
        <v>1048</v>
      </c>
      <c r="P15" t="s">
        <v>1070</v>
      </c>
      <c r="Q15" t="s">
        <v>1071</v>
      </c>
      <c r="R15" t="str">
        <f>R11</f>
        <v>[[103,10]]</v>
      </c>
      <c r="S15">
        <f>S7</f>
        <v>10000</v>
      </c>
      <c r="T15" t="s">
        <v>1095</v>
      </c>
      <c r="U15" t="s">
        <v>1059</v>
      </c>
      <c r="V15">
        <v>0</v>
      </c>
    </row>
    <row r="16" spans="1:22">
      <c r="A16">
        <v>1021</v>
      </c>
      <c r="B16">
        <v>1</v>
      </c>
      <c r="C16">
        <v>3</v>
      </c>
      <c r="D16" t="s">
        <v>1098</v>
      </c>
      <c r="E16">
        <v>102101</v>
      </c>
      <c r="F16" s="5" t="s">
        <v>1099</v>
      </c>
      <c r="H16" t="s">
        <v>1100</v>
      </c>
      <c r="I16" t="s">
        <v>224</v>
      </c>
      <c r="J16" t="s">
        <v>1101</v>
      </c>
      <c r="K16" s="9" t="s">
        <v>1102</v>
      </c>
      <c r="M16" s="10"/>
      <c r="N16" t="s">
        <v>1103</v>
      </c>
      <c r="O16" t="s">
        <v>1048</v>
      </c>
      <c r="P16" t="s">
        <v>1049</v>
      </c>
      <c r="Q16" t="s">
        <v>1050</v>
      </c>
      <c r="R16" t="s">
        <v>1051</v>
      </c>
      <c r="S16">
        <v>2000</v>
      </c>
      <c r="T16" t="s">
        <v>1104</v>
      </c>
      <c r="U16" t="s">
        <v>1105</v>
      </c>
      <c r="V16">
        <v>1</v>
      </c>
    </row>
    <row r="17" spans="1:22">
      <c r="A17">
        <v>1021</v>
      </c>
      <c r="B17">
        <v>2</v>
      </c>
      <c r="C17">
        <v>4</v>
      </c>
      <c r="D17" t="s">
        <v>1098</v>
      </c>
      <c r="E17">
        <v>102102</v>
      </c>
      <c r="F17" s="5" t="s">
        <v>1099</v>
      </c>
      <c r="H17" t="s">
        <v>1106</v>
      </c>
      <c r="I17" t="s">
        <v>227</v>
      </c>
      <c r="J17" t="s">
        <v>1101</v>
      </c>
      <c r="K17" s="9" t="s">
        <v>1107</v>
      </c>
      <c r="L17">
        <v>120212000</v>
      </c>
      <c r="M17" s="10"/>
      <c r="N17" t="s">
        <v>1103</v>
      </c>
      <c r="O17" t="s">
        <v>1048</v>
      </c>
      <c r="P17" t="s">
        <v>1056</v>
      </c>
      <c r="Q17" t="s">
        <v>1057</v>
      </c>
      <c r="R17" t="s">
        <v>1051</v>
      </c>
      <c r="S17">
        <v>5000</v>
      </c>
      <c r="T17" t="s">
        <v>1108</v>
      </c>
      <c r="U17" t="s">
        <v>1109</v>
      </c>
      <c r="V17">
        <v>1</v>
      </c>
    </row>
    <row r="18" spans="1:22">
      <c r="A18">
        <v>1021</v>
      </c>
      <c r="B18">
        <v>3</v>
      </c>
      <c r="C18">
        <v>6</v>
      </c>
      <c r="D18" t="s">
        <v>1098</v>
      </c>
      <c r="E18">
        <v>102103</v>
      </c>
      <c r="F18" s="5" t="s">
        <v>1099</v>
      </c>
      <c r="H18" t="s">
        <v>1110</v>
      </c>
      <c r="I18" t="s">
        <v>230</v>
      </c>
      <c r="J18" t="s">
        <v>1101</v>
      </c>
      <c r="K18" s="9" t="s">
        <v>1111</v>
      </c>
      <c r="L18">
        <v>120212000</v>
      </c>
      <c r="M18" s="10">
        <v>120213000</v>
      </c>
      <c r="N18" t="s">
        <v>1103</v>
      </c>
      <c r="O18" t="s">
        <v>1048</v>
      </c>
      <c r="P18" t="s">
        <v>1064</v>
      </c>
      <c r="Q18" t="s">
        <v>1065</v>
      </c>
      <c r="R18" t="s">
        <v>1051</v>
      </c>
      <c r="S18">
        <v>10000</v>
      </c>
      <c r="T18" t="s">
        <v>1108</v>
      </c>
      <c r="U18" t="s">
        <v>1109</v>
      </c>
      <c r="V18">
        <v>1</v>
      </c>
    </row>
    <row r="19" spans="1:22">
      <c r="A19">
        <v>1021</v>
      </c>
      <c r="B19">
        <v>4</v>
      </c>
      <c r="C19">
        <v>8</v>
      </c>
      <c r="D19" t="s">
        <v>1098</v>
      </c>
      <c r="E19">
        <v>102104</v>
      </c>
      <c r="F19" s="5" t="s">
        <v>1099</v>
      </c>
      <c r="G19" s="5" t="s">
        <v>1112</v>
      </c>
      <c r="H19" t="s">
        <v>1113</v>
      </c>
      <c r="I19" t="s">
        <v>233</v>
      </c>
      <c r="J19" t="s">
        <v>1101</v>
      </c>
      <c r="K19" s="9" t="s">
        <v>1114</v>
      </c>
      <c r="L19">
        <v>120214000</v>
      </c>
      <c r="M19" s="10">
        <v>120213000</v>
      </c>
      <c r="N19" t="s">
        <v>1103</v>
      </c>
      <c r="O19" t="s">
        <v>1048</v>
      </c>
      <c r="P19" t="s">
        <v>1070</v>
      </c>
      <c r="Q19" t="s">
        <v>1071</v>
      </c>
      <c r="R19" t="s">
        <v>1051</v>
      </c>
      <c r="S19">
        <v>20000</v>
      </c>
      <c r="T19" t="s">
        <v>1108</v>
      </c>
      <c r="U19" t="s">
        <v>1109</v>
      </c>
      <c r="V19">
        <v>1</v>
      </c>
    </row>
    <row r="20" spans="1:22">
      <c r="A20">
        <v>1022</v>
      </c>
      <c r="B20">
        <v>1</v>
      </c>
      <c r="C20">
        <v>3</v>
      </c>
      <c r="D20" t="s">
        <v>1098</v>
      </c>
      <c r="E20">
        <v>102201</v>
      </c>
      <c r="F20" s="5" t="s">
        <v>1115</v>
      </c>
      <c r="H20" t="s">
        <v>1116</v>
      </c>
      <c r="I20" t="s">
        <v>239</v>
      </c>
      <c r="J20" t="s">
        <v>1117</v>
      </c>
      <c r="K20" s="9" t="s">
        <v>1118</v>
      </c>
      <c r="L20">
        <v>120221000</v>
      </c>
      <c r="O20" t="s">
        <v>1048</v>
      </c>
      <c r="P20" t="s">
        <v>1049</v>
      </c>
      <c r="Q20" t="s">
        <v>1050</v>
      </c>
      <c r="R20" t="s">
        <v>1051</v>
      </c>
      <c r="S20">
        <v>2000</v>
      </c>
      <c r="T20" t="s">
        <v>1119</v>
      </c>
      <c r="U20" t="s">
        <v>1053</v>
      </c>
      <c r="V20">
        <v>1</v>
      </c>
    </row>
    <row r="21" spans="1:22">
      <c r="A21">
        <v>1022</v>
      </c>
      <c r="B21">
        <v>2</v>
      </c>
      <c r="C21">
        <v>4</v>
      </c>
      <c r="D21" t="s">
        <v>1098</v>
      </c>
      <c r="E21">
        <v>102202</v>
      </c>
      <c r="F21" s="5" t="s">
        <v>1115</v>
      </c>
      <c r="H21" t="s">
        <v>1120</v>
      </c>
      <c r="I21" t="s">
        <v>242</v>
      </c>
      <c r="J21" t="s">
        <v>1117</v>
      </c>
      <c r="K21" s="9" t="s">
        <v>1121</v>
      </c>
      <c r="L21">
        <v>120222000</v>
      </c>
      <c r="M21" s="10"/>
      <c r="O21" t="s">
        <v>1048</v>
      </c>
      <c r="P21" t="s">
        <v>1056</v>
      </c>
      <c r="Q21" t="s">
        <v>1057</v>
      </c>
      <c r="R21" t="s">
        <v>1051</v>
      </c>
      <c r="S21">
        <v>5000</v>
      </c>
      <c r="T21" t="s">
        <v>1122</v>
      </c>
      <c r="U21" t="s">
        <v>1059</v>
      </c>
      <c r="V21">
        <v>1</v>
      </c>
    </row>
    <row r="22" spans="1:22">
      <c r="A22">
        <v>1022</v>
      </c>
      <c r="B22">
        <v>3</v>
      </c>
      <c r="C22">
        <v>6</v>
      </c>
      <c r="D22" t="s">
        <v>1098</v>
      </c>
      <c r="E22">
        <v>102203</v>
      </c>
      <c r="F22" s="5" t="s">
        <v>1115</v>
      </c>
      <c r="H22" t="s">
        <v>1123</v>
      </c>
      <c r="I22" t="s">
        <v>245</v>
      </c>
      <c r="J22" t="s">
        <v>1117</v>
      </c>
      <c r="K22" s="9" t="s">
        <v>1124</v>
      </c>
      <c r="L22">
        <v>120222000</v>
      </c>
      <c r="M22" s="10"/>
      <c r="N22" t="s">
        <v>1125</v>
      </c>
      <c r="O22" t="s">
        <v>1048</v>
      </c>
      <c r="P22" t="s">
        <v>1064</v>
      </c>
      <c r="Q22" t="s">
        <v>1065</v>
      </c>
      <c r="R22" t="s">
        <v>1051</v>
      </c>
      <c r="S22">
        <v>10000</v>
      </c>
      <c r="T22" t="s">
        <v>1122</v>
      </c>
      <c r="U22" t="s">
        <v>1059</v>
      </c>
      <c r="V22">
        <v>1</v>
      </c>
    </row>
    <row r="23" spans="1:22">
      <c r="A23">
        <v>1022</v>
      </c>
      <c r="B23">
        <v>4</v>
      </c>
      <c r="C23">
        <v>8</v>
      </c>
      <c r="D23" t="s">
        <v>1098</v>
      </c>
      <c r="E23">
        <v>102204</v>
      </c>
      <c r="F23" s="5" t="s">
        <v>1115</v>
      </c>
      <c r="G23" s="5" t="s">
        <v>1126</v>
      </c>
      <c r="H23" t="s">
        <v>1127</v>
      </c>
      <c r="I23" t="s">
        <v>248</v>
      </c>
      <c r="J23" t="s">
        <v>1117</v>
      </c>
      <c r="K23" s="9" t="s">
        <v>1128</v>
      </c>
      <c r="L23">
        <v>120224000</v>
      </c>
      <c r="M23" s="10"/>
      <c r="N23" t="s">
        <v>1125</v>
      </c>
      <c r="O23" t="s">
        <v>1048</v>
      </c>
      <c r="P23" t="s">
        <v>1070</v>
      </c>
      <c r="Q23" t="s">
        <v>1071</v>
      </c>
      <c r="R23" t="s">
        <v>1051</v>
      </c>
      <c r="S23">
        <v>20000</v>
      </c>
      <c r="T23" t="s">
        <v>1122</v>
      </c>
      <c r="U23" t="s">
        <v>1059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5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1129</v>
      </c>
      <c r="K24" s="9" t="s">
        <v>1046</v>
      </c>
      <c r="N24" t="s">
        <v>1047</v>
      </c>
      <c r="O24" t="s">
        <v>1048</v>
      </c>
      <c r="P24" t="s">
        <v>1049</v>
      </c>
      <c r="Q24" t="s">
        <v>1050</v>
      </c>
      <c r="R24" t="str">
        <f t="shared" ref="R24:R27" si="9">R20</f>
        <v>[[103,10]]</v>
      </c>
      <c r="S24">
        <f t="shared" ref="S24:S27" si="10">S16</f>
        <v>2000</v>
      </c>
      <c r="T24" t="s">
        <v>315</v>
      </c>
      <c r="U24" t="s">
        <v>1053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5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1129</v>
      </c>
      <c r="K25" s="9" t="s">
        <v>1130</v>
      </c>
      <c r="L25">
        <v>120232000</v>
      </c>
      <c r="M25" s="5">
        <v>120232000</v>
      </c>
      <c r="N25" t="s">
        <v>1047</v>
      </c>
      <c r="O25" t="s">
        <v>1048</v>
      </c>
      <c r="P25" t="s">
        <v>1056</v>
      </c>
      <c r="Q25" t="s">
        <v>1057</v>
      </c>
      <c r="R25" t="str">
        <f t="shared" si="9"/>
        <v>[[103,10]]</v>
      </c>
      <c r="S25">
        <f t="shared" si="10"/>
        <v>5000</v>
      </c>
      <c r="T25" t="s">
        <v>1131</v>
      </c>
      <c r="U25" t="s">
        <v>1059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5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1129</v>
      </c>
      <c r="K26" s="9" t="s">
        <v>1132</v>
      </c>
      <c r="L26">
        <v>120232000</v>
      </c>
      <c r="M26" s="5">
        <v>120232000</v>
      </c>
      <c r="N26" t="s">
        <v>1133</v>
      </c>
      <c r="O26" t="s">
        <v>1048</v>
      </c>
      <c r="P26" t="s">
        <v>1064</v>
      </c>
      <c r="Q26" t="s">
        <v>1065</v>
      </c>
      <c r="R26" t="str">
        <f t="shared" si="9"/>
        <v>[[103,10]]</v>
      </c>
      <c r="S26">
        <f t="shared" si="10"/>
        <v>10000</v>
      </c>
      <c r="T26" t="s">
        <v>1131</v>
      </c>
      <c r="U26" t="s">
        <v>1059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5">
        <f t="shared" si="7"/>
        <v>102310</v>
      </c>
      <c r="G27" s="5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1129</v>
      </c>
      <c r="K27" s="9" t="s">
        <v>1134</v>
      </c>
      <c r="L27">
        <v>120232000</v>
      </c>
      <c r="M27" s="5">
        <v>120234000</v>
      </c>
      <c r="N27" t="s">
        <v>1133</v>
      </c>
      <c r="O27" t="s">
        <v>1048</v>
      </c>
      <c r="P27" t="s">
        <v>1070</v>
      </c>
      <c r="Q27" t="s">
        <v>1071</v>
      </c>
      <c r="R27" t="str">
        <f t="shared" si="9"/>
        <v>[[103,10]]</v>
      </c>
      <c r="S27">
        <f t="shared" si="10"/>
        <v>20000</v>
      </c>
      <c r="T27" t="s">
        <v>1131</v>
      </c>
      <c r="U27" t="s">
        <v>1059</v>
      </c>
      <c r="V27">
        <v>0</v>
      </c>
    </row>
    <row r="28" spans="1:22">
      <c r="A28">
        <v>1031</v>
      </c>
      <c r="B28">
        <v>1</v>
      </c>
      <c r="C28">
        <v>3</v>
      </c>
      <c r="D28" t="s">
        <v>1135</v>
      </c>
      <c r="E28">
        <v>103101</v>
      </c>
      <c r="F28" s="5" t="s">
        <v>1136</v>
      </c>
      <c r="H28" t="s">
        <v>1137</v>
      </c>
      <c r="I28" t="s">
        <v>1138</v>
      </c>
      <c r="J28" t="s">
        <v>1139</v>
      </c>
      <c r="K28" s="9" t="s">
        <v>1140</v>
      </c>
      <c r="N28" t="s">
        <v>1141</v>
      </c>
      <c r="O28" t="s">
        <v>1048</v>
      </c>
      <c r="P28" t="s">
        <v>1049</v>
      </c>
      <c r="Q28" t="s">
        <v>1050</v>
      </c>
      <c r="R28" t="s">
        <v>1051</v>
      </c>
      <c r="S28">
        <v>1000</v>
      </c>
      <c r="T28" t="s">
        <v>1142</v>
      </c>
      <c r="U28" t="s">
        <v>1143</v>
      </c>
      <c r="V28">
        <v>1</v>
      </c>
    </row>
    <row r="29" spans="1:22">
      <c r="A29">
        <v>1031</v>
      </c>
      <c r="B29">
        <v>2</v>
      </c>
      <c r="C29">
        <v>4</v>
      </c>
      <c r="D29" t="s">
        <v>1135</v>
      </c>
      <c r="E29">
        <v>103102</v>
      </c>
      <c r="F29" s="5" t="s">
        <v>1136</v>
      </c>
      <c r="H29" t="s">
        <v>1144</v>
      </c>
      <c r="I29" t="s">
        <v>1145</v>
      </c>
      <c r="J29" t="s">
        <v>1139</v>
      </c>
      <c r="K29" s="9" t="s">
        <v>1146</v>
      </c>
      <c r="L29">
        <v>120312000</v>
      </c>
      <c r="N29" t="s">
        <v>1141</v>
      </c>
      <c r="O29" t="s">
        <v>1048</v>
      </c>
      <c r="P29" t="s">
        <v>1056</v>
      </c>
      <c r="Q29" t="s">
        <v>1057</v>
      </c>
      <c r="R29" t="s">
        <v>1051</v>
      </c>
      <c r="S29">
        <v>3000</v>
      </c>
      <c r="T29" t="s">
        <v>1147</v>
      </c>
      <c r="U29" t="s">
        <v>1148</v>
      </c>
      <c r="V29">
        <v>1</v>
      </c>
    </row>
    <row r="30" spans="1:22">
      <c r="A30">
        <v>1031</v>
      </c>
      <c r="B30">
        <v>3</v>
      </c>
      <c r="C30">
        <v>6</v>
      </c>
      <c r="D30" t="s">
        <v>1135</v>
      </c>
      <c r="E30">
        <v>103103</v>
      </c>
      <c r="F30" s="5" t="s">
        <v>1136</v>
      </c>
      <c r="H30" t="s">
        <v>1149</v>
      </c>
      <c r="I30" t="s">
        <v>1150</v>
      </c>
      <c r="J30" t="s">
        <v>1139</v>
      </c>
      <c r="K30" s="9" t="s">
        <v>1151</v>
      </c>
      <c r="L30">
        <v>120312000</v>
      </c>
      <c r="N30" t="s">
        <v>1152</v>
      </c>
      <c r="O30" t="s">
        <v>1048</v>
      </c>
      <c r="P30" t="s">
        <v>1064</v>
      </c>
      <c r="Q30" t="s">
        <v>1065</v>
      </c>
      <c r="R30" t="s">
        <v>1051</v>
      </c>
      <c r="S30">
        <v>6000</v>
      </c>
      <c r="T30" t="s">
        <v>1147</v>
      </c>
      <c r="U30" t="s">
        <v>1148</v>
      </c>
      <c r="V30">
        <v>1</v>
      </c>
    </row>
    <row r="31" spans="1:22">
      <c r="A31">
        <v>1031</v>
      </c>
      <c r="B31">
        <v>4</v>
      </c>
      <c r="C31">
        <v>8</v>
      </c>
      <c r="D31" t="s">
        <v>1135</v>
      </c>
      <c r="E31">
        <v>103104</v>
      </c>
      <c r="F31" s="5" t="s">
        <v>1136</v>
      </c>
      <c r="G31" s="5" t="s">
        <v>1153</v>
      </c>
      <c r="H31" t="s">
        <v>1154</v>
      </c>
      <c r="I31" t="s">
        <v>1155</v>
      </c>
      <c r="J31" t="s">
        <v>1139</v>
      </c>
      <c r="K31" s="9" t="s">
        <v>1156</v>
      </c>
      <c r="L31">
        <v>120314000</v>
      </c>
      <c r="N31" t="s">
        <v>1152</v>
      </c>
      <c r="O31" t="s">
        <v>1048</v>
      </c>
      <c r="P31" t="s">
        <v>1070</v>
      </c>
      <c r="Q31" t="s">
        <v>1071</v>
      </c>
      <c r="R31" t="s">
        <v>1051</v>
      </c>
      <c r="S31">
        <v>10000</v>
      </c>
      <c r="T31" t="s">
        <v>1147</v>
      </c>
      <c r="U31" t="s">
        <v>1148</v>
      </c>
      <c r="V31">
        <v>1</v>
      </c>
    </row>
    <row r="32" spans="1:22">
      <c r="A32">
        <v>1032</v>
      </c>
      <c r="B32">
        <v>1</v>
      </c>
      <c r="C32">
        <v>3</v>
      </c>
      <c r="D32" t="s">
        <v>1135</v>
      </c>
      <c r="E32">
        <v>103201</v>
      </c>
      <c r="F32" s="5" t="s">
        <v>1157</v>
      </c>
      <c r="H32" t="s">
        <v>1158</v>
      </c>
      <c r="I32" t="s">
        <v>1159</v>
      </c>
      <c r="J32" t="s">
        <v>1160</v>
      </c>
      <c r="K32" s="9" t="s">
        <v>1161</v>
      </c>
      <c r="N32" t="s">
        <v>1162</v>
      </c>
      <c r="O32" t="s">
        <v>1048</v>
      </c>
      <c r="P32" t="s">
        <v>1049</v>
      </c>
      <c r="Q32" t="s">
        <v>1050</v>
      </c>
      <c r="R32" t="s">
        <v>1051</v>
      </c>
      <c r="S32">
        <v>1000</v>
      </c>
      <c r="T32" t="s">
        <v>1163</v>
      </c>
      <c r="U32" t="s">
        <v>1053</v>
      </c>
      <c r="V32">
        <v>1</v>
      </c>
    </row>
    <row r="33" spans="1:22">
      <c r="A33">
        <v>1032</v>
      </c>
      <c r="B33">
        <v>2</v>
      </c>
      <c r="C33">
        <v>4</v>
      </c>
      <c r="D33" t="s">
        <v>1135</v>
      </c>
      <c r="E33">
        <v>103202</v>
      </c>
      <c r="F33" s="5" t="s">
        <v>1157</v>
      </c>
      <c r="H33" t="s">
        <v>1164</v>
      </c>
      <c r="I33" t="s">
        <v>1165</v>
      </c>
      <c r="J33" t="s">
        <v>1160</v>
      </c>
      <c r="K33" s="9" t="s">
        <v>1166</v>
      </c>
      <c r="L33">
        <v>120322000</v>
      </c>
      <c r="N33" t="s">
        <v>1162</v>
      </c>
      <c r="O33" t="s">
        <v>1048</v>
      </c>
      <c r="P33" t="s">
        <v>1056</v>
      </c>
      <c r="Q33" t="s">
        <v>1057</v>
      </c>
      <c r="R33" t="s">
        <v>1051</v>
      </c>
      <c r="S33">
        <v>3000</v>
      </c>
      <c r="T33" t="s">
        <v>1167</v>
      </c>
      <c r="U33" t="s">
        <v>1168</v>
      </c>
      <c r="V33">
        <v>1</v>
      </c>
    </row>
    <row r="34" spans="1:22">
      <c r="A34">
        <v>1032</v>
      </c>
      <c r="B34">
        <v>3</v>
      </c>
      <c r="C34">
        <v>6</v>
      </c>
      <c r="D34" t="s">
        <v>1135</v>
      </c>
      <c r="E34">
        <v>103203</v>
      </c>
      <c r="F34" s="5" t="s">
        <v>1157</v>
      </c>
      <c r="H34" t="s">
        <v>1169</v>
      </c>
      <c r="I34" t="s">
        <v>1170</v>
      </c>
      <c r="J34" t="s">
        <v>1160</v>
      </c>
      <c r="K34" s="9" t="s">
        <v>1171</v>
      </c>
      <c r="L34">
        <v>120322000</v>
      </c>
      <c r="N34" t="s">
        <v>1172</v>
      </c>
      <c r="O34" t="s">
        <v>1048</v>
      </c>
      <c r="P34" t="s">
        <v>1064</v>
      </c>
      <c r="Q34" t="s">
        <v>1065</v>
      </c>
      <c r="R34" t="s">
        <v>1051</v>
      </c>
      <c r="S34">
        <v>6000</v>
      </c>
      <c r="T34" t="s">
        <v>1167</v>
      </c>
      <c r="U34" t="s">
        <v>1168</v>
      </c>
      <c r="V34">
        <v>1</v>
      </c>
    </row>
    <row r="35" spans="1:22">
      <c r="A35">
        <v>1032</v>
      </c>
      <c r="B35">
        <v>4</v>
      </c>
      <c r="C35">
        <v>8</v>
      </c>
      <c r="D35" t="s">
        <v>1135</v>
      </c>
      <c r="E35">
        <v>103204</v>
      </c>
      <c r="F35" s="5" t="s">
        <v>1157</v>
      </c>
      <c r="G35" s="5" t="s">
        <v>1173</v>
      </c>
      <c r="H35" t="s">
        <v>1174</v>
      </c>
      <c r="I35" t="s">
        <v>1175</v>
      </c>
      <c r="J35" t="s">
        <v>1160</v>
      </c>
      <c r="K35" s="9" t="s">
        <v>1176</v>
      </c>
      <c r="L35">
        <v>120322000</v>
      </c>
      <c r="M35" s="5">
        <v>120324000</v>
      </c>
      <c r="N35" t="s">
        <v>1172</v>
      </c>
      <c r="O35" t="s">
        <v>1048</v>
      </c>
      <c r="P35" t="s">
        <v>1070</v>
      </c>
      <c r="Q35" t="s">
        <v>1071</v>
      </c>
      <c r="R35" t="s">
        <v>1051</v>
      </c>
      <c r="S35">
        <v>10000</v>
      </c>
      <c r="T35" t="s">
        <v>1167</v>
      </c>
      <c r="U35" t="s">
        <v>1168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5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1177</v>
      </c>
      <c r="K36" s="9" t="s">
        <v>1178</v>
      </c>
      <c r="N36" t="s">
        <v>1179</v>
      </c>
      <c r="O36" t="s">
        <v>1048</v>
      </c>
      <c r="P36" t="s">
        <v>1049</v>
      </c>
      <c r="Q36" t="s">
        <v>1050</v>
      </c>
      <c r="R36" t="str">
        <f t="shared" ref="R36:R39" si="18">R32</f>
        <v>[[103,10]]</v>
      </c>
      <c r="S36">
        <f t="shared" ref="S36:S39" si="19">S28</f>
        <v>1000</v>
      </c>
      <c r="T36" t="s">
        <v>1142</v>
      </c>
      <c r="U36" t="s">
        <v>1143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5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1177</v>
      </c>
      <c r="K37" s="9" t="s">
        <v>1180</v>
      </c>
      <c r="L37">
        <v>120332000</v>
      </c>
      <c r="M37" s="5">
        <v>120332001</v>
      </c>
      <c r="N37" t="s">
        <v>1179</v>
      </c>
      <c r="O37" t="s">
        <v>1048</v>
      </c>
      <c r="P37" t="s">
        <v>1056</v>
      </c>
      <c r="Q37" t="s">
        <v>1057</v>
      </c>
      <c r="R37" t="str">
        <f t="shared" si="18"/>
        <v>[[103,10]]</v>
      </c>
      <c r="S37">
        <f t="shared" si="19"/>
        <v>3000</v>
      </c>
      <c r="T37" t="s">
        <v>1147</v>
      </c>
      <c r="U37" t="s">
        <v>1148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5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1177</v>
      </c>
      <c r="K38" s="9" t="s">
        <v>1181</v>
      </c>
      <c r="L38">
        <v>120332000</v>
      </c>
      <c r="M38" s="5">
        <v>120332001</v>
      </c>
      <c r="N38" t="s">
        <v>1182</v>
      </c>
      <c r="O38" t="s">
        <v>1048</v>
      </c>
      <c r="P38" t="s">
        <v>1064</v>
      </c>
      <c r="Q38" t="s">
        <v>1065</v>
      </c>
      <c r="R38" t="str">
        <f t="shared" si="18"/>
        <v>[[103,10]]</v>
      </c>
      <c r="S38">
        <f t="shared" si="19"/>
        <v>6000</v>
      </c>
      <c r="T38" t="s">
        <v>1147</v>
      </c>
      <c r="U38" t="s">
        <v>1148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5">
        <f t="shared" si="16"/>
        <v>103310</v>
      </c>
      <c r="G39" s="5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1177</v>
      </c>
      <c r="K39" s="9" t="s">
        <v>1183</v>
      </c>
      <c r="L39">
        <v>120332000</v>
      </c>
      <c r="M39" s="5">
        <v>120334001</v>
      </c>
      <c r="N39" t="s">
        <v>1182</v>
      </c>
      <c r="O39" t="s">
        <v>1048</v>
      </c>
      <c r="P39" t="s">
        <v>1070</v>
      </c>
      <c r="Q39" t="s">
        <v>1071</v>
      </c>
      <c r="R39" t="str">
        <f t="shared" si="18"/>
        <v>[[103,10]]</v>
      </c>
      <c r="S39">
        <f t="shared" si="19"/>
        <v>10000</v>
      </c>
      <c r="T39" t="s">
        <v>1147</v>
      </c>
      <c r="U39" t="s">
        <v>1148</v>
      </c>
      <c r="V39">
        <v>0</v>
      </c>
    </row>
    <row r="40" spans="1:22">
      <c r="A40">
        <v>1041</v>
      </c>
      <c r="B40">
        <v>1</v>
      </c>
      <c r="C40">
        <v>3</v>
      </c>
      <c r="D40" t="s">
        <v>1184</v>
      </c>
      <c r="E40">
        <v>104101</v>
      </c>
      <c r="F40" s="5" t="s">
        <v>1185</v>
      </c>
      <c r="H40" t="s">
        <v>1186</v>
      </c>
      <c r="I40" t="s">
        <v>1187</v>
      </c>
      <c r="J40" t="s">
        <v>1188</v>
      </c>
      <c r="K40" s="9" t="s">
        <v>1189</v>
      </c>
      <c r="N40" t="s">
        <v>1190</v>
      </c>
      <c r="O40" t="s">
        <v>1048</v>
      </c>
      <c r="P40" t="s">
        <v>1049</v>
      </c>
      <c r="Q40" t="s">
        <v>1050</v>
      </c>
      <c r="R40" t="s">
        <v>1051</v>
      </c>
      <c r="S40">
        <v>1000</v>
      </c>
      <c r="T40" t="s">
        <v>1052</v>
      </c>
      <c r="U40" t="s">
        <v>1053</v>
      </c>
      <c r="V40">
        <v>1</v>
      </c>
    </row>
    <row r="41" spans="1:22">
      <c r="A41">
        <v>1041</v>
      </c>
      <c r="B41">
        <v>2</v>
      </c>
      <c r="C41">
        <v>4</v>
      </c>
      <c r="D41" t="s">
        <v>1184</v>
      </c>
      <c r="E41">
        <v>104102</v>
      </c>
      <c r="F41" s="5" t="s">
        <v>1185</v>
      </c>
      <c r="H41" t="s">
        <v>1191</v>
      </c>
      <c r="I41" t="s">
        <v>1192</v>
      </c>
      <c r="J41" t="s">
        <v>1188</v>
      </c>
      <c r="K41" s="9" t="s">
        <v>1193</v>
      </c>
      <c r="L41">
        <v>120412000</v>
      </c>
      <c r="N41" t="s">
        <v>1190</v>
      </c>
      <c r="O41" t="s">
        <v>1048</v>
      </c>
      <c r="P41" t="s">
        <v>1056</v>
      </c>
      <c r="Q41" t="s">
        <v>1057</v>
      </c>
      <c r="R41" t="s">
        <v>1051</v>
      </c>
      <c r="S41">
        <v>3000</v>
      </c>
      <c r="T41" t="s">
        <v>1194</v>
      </c>
      <c r="U41" t="s">
        <v>1195</v>
      </c>
      <c r="V41">
        <v>1</v>
      </c>
    </row>
    <row r="42" spans="1:22">
      <c r="A42">
        <v>1041</v>
      </c>
      <c r="B42">
        <v>3</v>
      </c>
      <c r="C42">
        <v>6</v>
      </c>
      <c r="D42" t="s">
        <v>1184</v>
      </c>
      <c r="E42">
        <v>104103</v>
      </c>
      <c r="F42" s="5" t="s">
        <v>1185</v>
      </c>
      <c r="H42" t="s">
        <v>1196</v>
      </c>
      <c r="I42" t="s">
        <v>1197</v>
      </c>
      <c r="J42" t="s">
        <v>1188</v>
      </c>
      <c r="K42" s="9" t="s">
        <v>1062</v>
      </c>
      <c r="L42">
        <v>120412000</v>
      </c>
      <c r="N42" t="s">
        <v>1198</v>
      </c>
      <c r="O42" t="s">
        <v>1048</v>
      </c>
      <c r="P42" t="s">
        <v>1064</v>
      </c>
      <c r="Q42" t="s">
        <v>1065</v>
      </c>
      <c r="R42" t="s">
        <v>1051</v>
      </c>
      <c r="S42">
        <v>6000</v>
      </c>
      <c r="T42" t="s">
        <v>1194</v>
      </c>
      <c r="U42" t="s">
        <v>1195</v>
      </c>
      <c r="V42">
        <v>1</v>
      </c>
    </row>
    <row r="43" spans="1:22">
      <c r="A43">
        <v>1041</v>
      </c>
      <c r="B43">
        <v>4</v>
      </c>
      <c r="C43">
        <v>8</v>
      </c>
      <c r="D43" t="s">
        <v>1184</v>
      </c>
      <c r="E43">
        <v>104104</v>
      </c>
      <c r="F43" s="5" t="s">
        <v>1185</v>
      </c>
      <c r="G43" s="5" t="s">
        <v>1199</v>
      </c>
      <c r="H43" t="s">
        <v>1200</v>
      </c>
      <c r="I43" t="s">
        <v>1201</v>
      </c>
      <c r="J43" t="s">
        <v>1188</v>
      </c>
      <c r="K43" s="9" t="s">
        <v>1202</v>
      </c>
      <c r="L43">
        <v>120414000</v>
      </c>
      <c r="N43" t="s">
        <v>1198</v>
      </c>
      <c r="O43" t="s">
        <v>1048</v>
      </c>
      <c r="P43" t="s">
        <v>1070</v>
      </c>
      <c r="Q43" t="s">
        <v>1071</v>
      </c>
      <c r="R43" t="s">
        <v>1051</v>
      </c>
      <c r="S43">
        <v>10000</v>
      </c>
      <c r="T43" t="s">
        <v>1194</v>
      </c>
      <c r="U43" t="s">
        <v>1195</v>
      </c>
      <c r="V43">
        <v>1</v>
      </c>
    </row>
    <row r="44" spans="1:22">
      <c r="A44">
        <v>1042</v>
      </c>
      <c r="B44">
        <v>1</v>
      </c>
      <c r="C44">
        <v>3</v>
      </c>
      <c r="D44" t="s">
        <v>1184</v>
      </c>
      <c r="E44">
        <v>104201</v>
      </c>
      <c r="F44" s="5" t="s">
        <v>1203</v>
      </c>
      <c r="H44" t="s">
        <v>1204</v>
      </c>
      <c r="I44" t="s">
        <v>1205</v>
      </c>
      <c r="J44" t="s">
        <v>1206</v>
      </c>
      <c r="K44" s="9" t="s">
        <v>1207</v>
      </c>
      <c r="N44" t="s">
        <v>1208</v>
      </c>
      <c r="O44" t="s">
        <v>1048</v>
      </c>
      <c r="P44" t="s">
        <v>1049</v>
      </c>
      <c r="Q44" t="s">
        <v>1050</v>
      </c>
      <c r="R44" t="s">
        <v>1051</v>
      </c>
      <c r="S44">
        <v>1000</v>
      </c>
      <c r="T44" t="s">
        <v>319</v>
      </c>
      <c r="U44" t="s">
        <v>1209</v>
      </c>
      <c r="V44">
        <v>1</v>
      </c>
    </row>
    <row r="45" spans="1:22">
      <c r="A45">
        <v>1042</v>
      </c>
      <c r="B45">
        <v>2</v>
      </c>
      <c r="C45">
        <v>4</v>
      </c>
      <c r="D45" t="s">
        <v>1184</v>
      </c>
      <c r="E45">
        <v>104202</v>
      </c>
      <c r="F45" s="5" t="s">
        <v>1203</v>
      </c>
      <c r="H45" t="s">
        <v>1210</v>
      </c>
      <c r="I45" t="s">
        <v>1211</v>
      </c>
      <c r="J45" t="s">
        <v>1206</v>
      </c>
      <c r="K45" s="9" t="s">
        <v>1212</v>
      </c>
      <c r="L45">
        <v>120422000</v>
      </c>
      <c r="N45" t="s">
        <v>1208</v>
      </c>
      <c r="O45" t="s">
        <v>1048</v>
      </c>
      <c r="P45" t="s">
        <v>1056</v>
      </c>
      <c r="Q45" t="s">
        <v>1057</v>
      </c>
      <c r="R45" t="s">
        <v>1051</v>
      </c>
      <c r="S45">
        <v>3000</v>
      </c>
      <c r="T45" t="s">
        <v>1213</v>
      </c>
      <c r="U45" t="s">
        <v>1214</v>
      </c>
      <c r="V45">
        <v>1</v>
      </c>
    </row>
    <row r="46" spans="1:22">
      <c r="A46">
        <v>1042</v>
      </c>
      <c r="B46">
        <v>3</v>
      </c>
      <c r="C46">
        <v>6</v>
      </c>
      <c r="D46" t="s">
        <v>1184</v>
      </c>
      <c r="E46">
        <v>104203</v>
      </c>
      <c r="F46" s="5" t="s">
        <v>1203</v>
      </c>
      <c r="H46" t="s">
        <v>1215</v>
      </c>
      <c r="I46" t="s">
        <v>1216</v>
      </c>
      <c r="J46" t="s">
        <v>1206</v>
      </c>
      <c r="K46" s="9" t="s">
        <v>1217</v>
      </c>
      <c r="L46">
        <v>120422000</v>
      </c>
      <c r="N46" t="s">
        <v>1218</v>
      </c>
      <c r="O46" t="s">
        <v>1048</v>
      </c>
      <c r="P46" t="s">
        <v>1064</v>
      </c>
      <c r="Q46" t="s">
        <v>1065</v>
      </c>
      <c r="R46" t="s">
        <v>1051</v>
      </c>
      <c r="S46">
        <v>6000</v>
      </c>
      <c r="T46" t="s">
        <v>1213</v>
      </c>
      <c r="U46" t="s">
        <v>1214</v>
      </c>
      <c r="V46">
        <v>1</v>
      </c>
    </row>
    <row r="47" spans="1:22">
      <c r="A47">
        <v>1042</v>
      </c>
      <c r="B47">
        <v>4</v>
      </c>
      <c r="C47">
        <v>8</v>
      </c>
      <c r="D47" t="s">
        <v>1184</v>
      </c>
      <c r="E47">
        <v>104204</v>
      </c>
      <c r="F47" s="5" t="s">
        <v>1203</v>
      </c>
      <c r="G47" s="5" t="s">
        <v>1219</v>
      </c>
      <c r="H47" t="s">
        <v>1220</v>
      </c>
      <c r="I47" t="s">
        <v>1221</v>
      </c>
      <c r="J47" t="s">
        <v>1206</v>
      </c>
      <c r="K47" s="9" t="s">
        <v>1222</v>
      </c>
      <c r="L47">
        <v>120424000</v>
      </c>
      <c r="N47" t="s">
        <v>1218</v>
      </c>
      <c r="O47" t="s">
        <v>1048</v>
      </c>
      <c r="P47" t="s">
        <v>1070</v>
      </c>
      <c r="Q47" t="s">
        <v>1071</v>
      </c>
      <c r="R47" t="s">
        <v>1051</v>
      </c>
      <c r="S47">
        <v>10000</v>
      </c>
      <c r="T47" t="s">
        <v>1213</v>
      </c>
      <c r="U47" t="s">
        <v>1214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5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1223</v>
      </c>
      <c r="K48" s="9" t="s">
        <v>1207</v>
      </c>
      <c r="N48" t="s">
        <v>1208</v>
      </c>
      <c r="O48" t="s">
        <v>1048</v>
      </c>
      <c r="P48" t="s">
        <v>1049</v>
      </c>
      <c r="Q48" t="s">
        <v>1050</v>
      </c>
      <c r="R48" t="str">
        <f t="shared" ref="R48:R51" si="27">R44</f>
        <v>[[103,10]]</v>
      </c>
      <c r="S48">
        <f t="shared" ref="S48:S51" si="28">S40</f>
        <v>1000</v>
      </c>
      <c r="T48" t="s">
        <v>319</v>
      </c>
      <c r="U48" t="s">
        <v>1209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5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1223</v>
      </c>
      <c r="K49" s="9" t="s">
        <v>1224</v>
      </c>
      <c r="L49">
        <v>120432000</v>
      </c>
      <c r="M49" s="5">
        <v>1204320010</v>
      </c>
      <c r="N49" t="s">
        <v>1208</v>
      </c>
      <c r="O49" t="s">
        <v>1048</v>
      </c>
      <c r="P49" t="s">
        <v>1056</v>
      </c>
      <c r="Q49" t="s">
        <v>1057</v>
      </c>
      <c r="R49" t="str">
        <f t="shared" si="27"/>
        <v>[[103,10]]</v>
      </c>
      <c r="S49">
        <f t="shared" si="28"/>
        <v>3000</v>
      </c>
      <c r="T49" t="s">
        <v>1225</v>
      </c>
      <c r="U49" t="s">
        <v>1226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5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1223</v>
      </c>
      <c r="K50" s="9" t="s">
        <v>1062</v>
      </c>
      <c r="L50">
        <v>120432000</v>
      </c>
      <c r="M50" s="5">
        <v>1204320010</v>
      </c>
      <c r="N50" t="s">
        <v>1227</v>
      </c>
      <c r="O50" t="s">
        <v>1048</v>
      </c>
      <c r="P50" t="s">
        <v>1064</v>
      </c>
      <c r="Q50" t="s">
        <v>1065</v>
      </c>
      <c r="R50" t="str">
        <f t="shared" si="27"/>
        <v>[[103,10]]</v>
      </c>
      <c r="S50">
        <f t="shared" si="28"/>
        <v>6000</v>
      </c>
      <c r="T50" t="s">
        <v>1225</v>
      </c>
      <c r="U50" t="s">
        <v>1226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5">
        <f t="shared" si="25"/>
        <v>104310</v>
      </c>
      <c r="G51" s="5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1223</v>
      </c>
      <c r="K51" s="9" t="s">
        <v>1228</v>
      </c>
      <c r="L51">
        <v>120432000</v>
      </c>
      <c r="M51" s="5">
        <v>1204340010</v>
      </c>
      <c r="N51" t="s">
        <v>1227</v>
      </c>
      <c r="O51" t="s">
        <v>1048</v>
      </c>
      <c r="P51" t="s">
        <v>1070</v>
      </c>
      <c r="Q51" t="s">
        <v>1071</v>
      </c>
      <c r="R51" t="str">
        <f t="shared" si="27"/>
        <v>[[103,10]]</v>
      </c>
      <c r="S51">
        <f t="shared" si="28"/>
        <v>10000</v>
      </c>
      <c r="T51" t="s">
        <v>1225</v>
      </c>
      <c r="U51" t="s">
        <v>1226</v>
      </c>
      <c r="V51">
        <v>0</v>
      </c>
    </row>
    <row r="52" spans="1:22">
      <c r="A52">
        <v>1051</v>
      </c>
      <c r="B52">
        <v>1</v>
      </c>
      <c r="C52">
        <v>3</v>
      </c>
      <c r="D52" t="s">
        <v>1229</v>
      </c>
      <c r="E52">
        <v>105101</v>
      </c>
      <c r="F52" s="5" t="s">
        <v>1230</v>
      </c>
      <c r="H52" t="s">
        <v>1231</v>
      </c>
      <c r="I52" t="s">
        <v>1232</v>
      </c>
      <c r="J52" t="s">
        <v>1233</v>
      </c>
      <c r="K52" s="9" t="s">
        <v>1234</v>
      </c>
      <c r="N52" t="s">
        <v>1235</v>
      </c>
      <c r="O52" t="s">
        <v>1048</v>
      </c>
      <c r="P52" t="s">
        <v>1049</v>
      </c>
      <c r="Q52" t="s">
        <v>1050</v>
      </c>
      <c r="R52" t="s">
        <v>1051</v>
      </c>
      <c r="S52">
        <v>1000</v>
      </c>
      <c r="T52" t="s">
        <v>1052</v>
      </c>
      <c r="U52" t="s">
        <v>1053</v>
      </c>
      <c r="V52">
        <v>1</v>
      </c>
    </row>
    <row r="53" spans="1:22">
      <c r="A53">
        <v>1051</v>
      </c>
      <c r="B53">
        <v>2</v>
      </c>
      <c r="C53">
        <v>4</v>
      </c>
      <c r="D53" t="s">
        <v>1229</v>
      </c>
      <c r="E53">
        <v>105102</v>
      </c>
      <c r="F53" s="5" t="s">
        <v>1230</v>
      </c>
      <c r="H53" t="s">
        <v>1236</v>
      </c>
      <c r="I53" t="s">
        <v>1237</v>
      </c>
      <c r="J53" t="s">
        <v>1233</v>
      </c>
      <c r="K53" s="9" t="s">
        <v>1238</v>
      </c>
      <c r="L53">
        <v>120512000</v>
      </c>
      <c r="M53" s="5">
        <v>120512000</v>
      </c>
      <c r="N53" t="s">
        <v>1235</v>
      </c>
      <c r="O53" t="s">
        <v>1048</v>
      </c>
      <c r="P53" t="s">
        <v>1056</v>
      </c>
      <c r="Q53" t="s">
        <v>1057</v>
      </c>
      <c r="R53" t="s">
        <v>1051</v>
      </c>
      <c r="S53">
        <v>4000</v>
      </c>
      <c r="T53" t="s">
        <v>1058</v>
      </c>
      <c r="U53" t="s">
        <v>1059</v>
      </c>
      <c r="V53">
        <v>1</v>
      </c>
    </row>
    <row r="54" spans="1:22">
      <c r="A54">
        <v>1051</v>
      </c>
      <c r="B54">
        <v>3</v>
      </c>
      <c r="C54">
        <v>6</v>
      </c>
      <c r="D54" t="s">
        <v>1229</v>
      </c>
      <c r="E54">
        <v>105103</v>
      </c>
      <c r="F54" s="5" t="s">
        <v>1230</v>
      </c>
      <c r="H54" t="s">
        <v>1239</v>
      </c>
      <c r="I54" t="s">
        <v>1240</v>
      </c>
      <c r="J54" t="s">
        <v>1233</v>
      </c>
      <c r="K54" s="9" t="s">
        <v>1241</v>
      </c>
      <c r="L54">
        <v>120512000</v>
      </c>
      <c r="M54" s="5">
        <v>120512000</v>
      </c>
      <c r="N54" t="s">
        <v>1242</v>
      </c>
      <c r="O54" t="s">
        <v>1048</v>
      </c>
      <c r="P54" t="s">
        <v>1064</v>
      </c>
      <c r="Q54" t="s">
        <v>1065</v>
      </c>
      <c r="R54" t="s">
        <v>1051</v>
      </c>
      <c r="S54">
        <v>7500</v>
      </c>
      <c r="T54" t="s">
        <v>1058</v>
      </c>
      <c r="U54" t="s">
        <v>1059</v>
      </c>
      <c r="V54">
        <v>1</v>
      </c>
    </row>
    <row r="55" spans="1:22">
      <c r="A55">
        <v>1051</v>
      </c>
      <c r="B55">
        <v>4</v>
      </c>
      <c r="C55">
        <v>8</v>
      </c>
      <c r="D55" t="s">
        <v>1229</v>
      </c>
      <c r="E55">
        <v>105104</v>
      </c>
      <c r="F55" s="5" t="s">
        <v>1230</v>
      </c>
      <c r="G55" s="5" t="s">
        <v>1243</v>
      </c>
      <c r="H55" t="s">
        <v>1244</v>
      </c>
      <c r="I55" t="s">
        <v>1245</v>
      </c>
      <c r="J55" t="s">
        <v>1233</v>
      </c>
      <c r="K55" s="9" t="s">
        <v>1246</v>
      </c>
      <c r="L55">
        <v>120512000</v>
      </c>
      <c r="M55" s="5">
        <v>120514000</v>
      </c>
      <c r="N55" t="s">
        <v>1242</v>
      </c>
      <c r="O55" t="s">
        <v>1048</v>
      </c>
      <c r="P55" t="s">
        <v>1070</v>
      </c>
      <c r="Q55" t="s">
        <v>1071</v>
      </c>
      <c r="R55" t="s">
        <v>1051</v>
      </c>
      <c r="S55">
        <v>15000</v>
      </c>
      <c r="T55" t="s">
        <v>1058</v>
      </c>
      <c r="U55" t="s">
        <v>1059</v>
      </c>
      <c r="V55">
        <v>1</v>
      </c>
    </row>
    <row r="56" spans="1:22">
      <c r="A56">
        <v>1052</v>
      </c>
      <c r="B56">
        <v>1</v>
      </c>
      <c r="C56">
        <v>3</v>
      </c>
      <c r="D56" t="s">
        <v>1229</v>
      </c>
      <c r="E56">
        <v>105201</v>
      </c>
      <c r="F56" s="5" t="s">
        <v>1247</v>
      </c>
      <c r="H56" t="s">
        <v>1248</v>
      </c>
      <c r="I56" t="s">
        <v>1249</v>
      </c>
      <c r="J56" t="s">
        <v>1250</v>
      </c>
      <c r="K56" s="9" t="s">
        <v>1251</v>
      </c>
      <c r="N56" t="s">
        <v>1252</v>
      </c>
      <c r="O56" t="s">
        <v>1048</v>
      </c>
      <c r="P56" t="s">
        <v>1049</v>
      </c>
      <c r="Q56" t="s">
        <v>1050</v>
      </c>
      <c r="R56" t="s">
        <v>1051</v>
      </c>
      <c r="S56">
        <v>1000</v>
      </c>
      <c r="T56" t="s">
        <v>1052</v>
      </c>
      <c r="U56" t="s">
        <v>1053</v>
      </c>
      <c r="V56">
        <v>1</v>
      </c>
    </row>
    <row r="57" spans="1:22">
      <c r="A57">
        <v>1052</v>
      </c>
      <c r="B57">
        <v>2</v>
      </c>
      <c r="C57">
        <v>4</v>
      </c>
      <c r="D57" t="s">
        <v>1229</v>
      </c>
      <c r="E57">
        <v>105202</v>
      </c>
      <c r="F57" s="5" t="s">
        <v>1247</v>
      </c>
      <c r="H57" t="s">
        <v>1253</v>
      </c>
      <c r="I57" t="s">
        <v>1254</v>
      </c>
      <c r="J57" t="s">
        <v>1250</v>
      </c>
      <c r="K57" s="9" t="s">
        <v>1255</v>
      </c>
      <c r="L57">
        <v>120522000</v>
      </c>
      <c r="N57" t="s">
        <v>1252</v>
      </c>
      <c r="O57" t="s">
        <v>1048</v>
      </c>
      <c r="P57" t="s">
        <v>1056</v>
      </c>
      <c r="Q57" t="s">
        <v>1057</v>
      </c>
      <c r="R57" t="s">
        <v>1051</v>
      </c>
      <c r="S57">
        <v>4000</v>
      </c>
      <c r="T57" t="s">
        <v>1256</v>
      </c>
      <c r="U57" t="s">
        <v>1059</v>
      </c>
      <c r="V57">
        <v>1</v>
      </c>
    </row>
    <row r="58" spans="1:22">
      <c r="A58">
        <v>1052</v>
      </c>
      <c r="B58">
        <v>3</v>
      </c>
      <c r="C58">
        <v>6</v>
      </c>
      <c r="D58" t="s">
        <v>1229</v>
      </c>
      <c r="E58">
        <v>105203</v>
      </c>
      <c r="F58" s="5" t="s">
        <v>1247</v>
      </c>
      <c r="H58" t="s">
        <v>1257</v>
      </c>
      <c r="I58" t="s">
        <v>1258</v>
      </c>
      <c r="J58" t="s">
        <v>1250</v>
      </c>
      <c r="K58" s="9" t="s">
        <v>1259</v>
      </c>
      <c r="L58">
        <v>120522000</v>
      </c>
      <c r="N58" t="s">
        <v>1260</v>
      </c>
      <c r="O58" t="s">
        <v>1048</v>
      </c>
      <c r="P58" t="s">
        <v>1064</v>
      </c>
      <c r="Q58" t="s">
        <v>1065</v>
      </c>
      <c r="R58" t="s">
        <v>1051</v>
      </c>
      <c r="S58">
        <v>7500</v>
      </c>
      <c r="T58" t="s">
        <v>1256</v>
      </c>
      <c r="U58" t="s">
        <v>1059</v>
      </c>
      <c r="V58">
        <v>1</v>
      </c>
    </row>
    <row r="59" spans="1:22">
      <c r="A59">
        <v>1052</v>
      </c>
      <c r="B59">
        <v>4</v>
      </c>
      <c r="C59">
        <v>8</v>
      </c>
      <c r="D59" t="s">
        <v>1229</v>
      </c>
      <c r="E59">
        <v>105204</v>
      </c>
      <c r="F59" s="5" t="s">
        <v>1247</v>
      </c>
      <c r="G59" s="5" t="s">
        <v>1261</v>
      </c>
      <c r="H59" t="s">
        <v>1262</v>
      </c>
      <c r="I59" t="s">
        <v>1263</v>
      </c>
      <c r="J59" t="s">
        <v>1250</v>
      </c>
      <c r="K59" s="9" t="s">
        <v>1264</v>
      </c>
      <c r="L59">
        <v>120524000</v>
      </c>
      <c r="N59" t="s">
        <v>1260</v>
      </c>
      <c r="O59" t="s">
        <v>1048</v>
      </c>
      <c r="P59" t="s">
        <v>1070</v>
      </c>
      <c r="Q59" t="s">
        <v>1071</v>
      </c>
      <c r="R59" t="s">
        <v>1051</v>
      </c>
      <c r="S59">
        <v>15000</v>
      </c>
      <c r="T59" t="s">
        <v>1256</v>
      </c>
      <c r="U59" t="s">
        <v>1059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5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1265</v>
      </c>
      <c r="K60" s="9" t="s">
        <v>1151</v>
      </c>
      <c r="N60" t="s">
        <v>1266</v>
      </c>
      <c r="O60" t="s">
        <v>1048</v>
      </c>
      <c r="P60" t="s">
        <v>1049</v>
      </c>
      <c r="Q60" t="s">
        <v>1050</v>
      </c>
      <c r="R60" t="str">
        <f t="shared" ref="R60:R63" si="36">R56</f>
        <v>[[103,10]]</v>
      </c>
      <c r="S60">
        <f t="shared" ref="S60:S63" si="37">S52</f>
        <v>1000</v>
      </c>
      <c r="T60" t="s">
        <v>1052</v>
      </c>
      <c r="U60" t="s">
        <v>1053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5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1265</v>
      </c>
      <c r="K61" s="9" t="s">
        <v>1267</v>
      </c>
      <c r="L61">
        <v>120532000</v>
      </c>
      <c r="N61" t="s">
        <v>1266</v>
      </c>
      <c r="O61" t="s">
        <v>1048</v>
      </c>
      <c r="P61" t="s">
        <v>1056</v>
      </c>
      <c r="Q61" t="s">
        <v>1057</v>
      </c>
      <c r="R61" t="str">
        <f t="shared" si="36"/>
        <v>[[103,10]]</v>
      </c>
      <c r="S61">
        <f t="shared" si="37"/>
        <v>4000</v>
      </c>
      <c r="T61" t="s">
        <v>1095</v>
      </c>
      <c r="U61" t="s">
        <v>1059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5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1265</v>
      </c>
      <c r="K62" s="9" t="s">
        <v>1268</v>
      </c>
      <c r="L62">
        <v>120532000</v>
      </c>
      <c r="N62" t="s">
        <v>1269</v>
      </c>
      <c r="O62" t="s">
        <v>1048</v>
      </c>
      <c r="P62" t="s">
        <v>1064</v>
      </c>
      <c r="Q62" t="s">
        <v>1065</v>
      </c>
      <c r="R62" t="str">
        <f t="shared" si="36"/>
        <v>[[103,10]]</v>
      </c>
      <c r="S62">
        <f t="shared" si="37"/>
        <v>7500</v>
      </c>
      <c r="T62" t="s">
        <v>1095</v>
      </c>
      <c r="U62" t="s">
        <v>1059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5">
        <f t="shared" si="34"/>
        <v>105310</v>
      </c>
      <c r="G63" s="5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1265</v>
      </c>
      <c r="K63" s="9" t="s">
        <v>1270</v>
      </c>
      <c r="L63">
        <v>120532000</v>
      </c>
      <c r="M63" s="5">
        <v>1205340000</v>
      </c>
      <c r="N63" t="s">
        <v>1269</v>
      </c>
      <c r="O63" t="s">
        <v>1048</v>
      </c>
      <c r="P63" t="s">
        <v>1070</v>
      </c>
      <c r="Q63" t="s">
        <v>1071</v>
      </c>
      <c r="R63" t="str">
        <f t="shared" si="36"/>
        <v>[[103,10]]</v>
      </c>
      <c r="S63">
        <f t="shared" si="37"/>
        <v>15000</v>
      </c>
      <c r="T63" t="s">
        <v>1095</v>
      </c>
      <c r="U63" t="s">
        <v>1059</v>
      </c>
      <c r="V63">
        <v>0</v>
      </c>
    </row>
    <row r="64" spans="1:22">
      <c r="A64">
        <v>2011</v>
      </c>
      <c r="B64">
        <v>1</v>
      </c>
      <c r="C64">
        <v>3</v>
      </c>
      <c r="D64" t="s">
        <v>1042</v>
      </c>
      <c r="E64">
        <v>201101</v>
      </c>
      <c r="F64" s="5" t="s">
        <v>1271</v>
      </c>
      <c r="H64" t="s">
        <v>1272</v>
      </c>
      <c r="I64" t="s">
        <v>1273</v>
      </c>
      <c r="J64" t="s">
        <v>1274</v>
      </c>
      <c r="K64" t="s">
        <v>1275</v>
      </c>
      <c r="N64" t="s">
        <v>1103</v>
      </c>
      <c r="O64" t="s">
        <v>1048</v>
      </c>
      <c r="P64" t="s">
        <v>1049</v>
      </c>
      <c r="Q64" t="s">
        <v>1050</v>
      </c>
      <c r="R64" t="s">
        <v>1051</v>
      </c>
      <c r="S64">
        <v>1000</v>
      </c>
      <c r="T64" t="s">
        <v>1104</v>
      </c>
      <c r="U64" t="s">
        <v>1105</v>
      </c>
      <c r="V64">
        <v>1</v>
      </c>
    </row>
    <row r="65" spans="1:22">
      <c r="A65">
        <v>2011</v>
      </c>
      <c r="B65">
        <v>2</v>
      </c>
      <c r="C65">
        <v>4</v>
      </c>
      <c r="D65" t="s">
        <v>1042</v>
      </c>
      <c r="E65">
        <v>201102</v>
      </c>
      <c r="F65" s="5" t="s">
        <v>1271</v>
      </c>
      <c r="H65" t="s">
        <v>1276</v>
      </c>
      <c r="I65" t="s">
        <v>1277</v>
      </c>
      <c r="J65" t="s">
        <v>1274</v>
      </c>
      <c r="K65" t="s">
        <v>1278</v>
      </c>
      <c r="L65">
        <v>100112000</v>
      </c>
      <c r="N65" t="s">
        <v>1103</v>
      </c>
      <c r="O65" t="s">
        <v>1048</v>
      </c>
      <c r="P65" t="s">
        <v>1056</v>
      </c>
      <c r="Q65" t="s">
        <v>1057</v>
      </c>
      <c r="R65" t="s">
        <v>1051</v>
      </c>
      <c r="S65">
        <v>3000</v>
      </c>
      <c r="T65" t="s">
        <v>1104</v>
      </c>
      <c r="U65" t="s">
        <v>1105</v>
      </c>
      <c r="V65">
        <v>1</v>
      </c>
    </row>
    <row r="66" spans="1:22">
      <c r="A66">
        <v>2011</v>
      </c>
      <c r="B66">
        <v>3</v>
      </c>
      <c r="C66">
        <v>6</v>
      </c>
      <c r="D66" t="s">
        <v>1042</v>
      </c>
      <c r="E66">
        <v>201103</v>
      </c>
      <c r="F66" s="5" t="s">
        <v>1271</v>
      </c>
      <c r="H66" t="s">
        <v>1279</v>
      </c>
      <c r="I66" t="s">
        <v>1280</v>
      </c>
      <c r="J66" t="s">
        <v>1274</v>
      </c>
      <c r="K66" t="s">
        <v>1281</v>
      </c>
      <c r="L66">
        <v>100112000</v>
      </c>
      <c r="N66" t="s">
        <v>1282</v>
      </c>
      <c r="O66" t="s">
        <v>1048</v>
      </c>
      <c r="P66" t="s">
        <v>1064</v>
      </c>
      <c r="Q66" t="s">
        <v>1065</v>
      </c>
      <c r="R66" t="s">
        <v>1051</v>
      </c>
      <c r="S66">
        <v>6000</v>
      </c>
      <c r="T66" t="s">
        <v>1104</v>
      </c>
      <c r="U66" t="s">
        <v>1105</v>
      </c>
      <c r="V66">
        <v>1</v>
      </c>
    </row>
    <row r="67" spans="1:22">
      <c r="A67">
        <v>2011</v>
      </c>
      <c r="B67">
        <v>4</v>
      </c>
      <c r="C67">
        <v>8</v>
      </c>
      <c r="D67" t="s">
        <v>1042</v>
      </c>
      <c r="E67">
        <v>201104</v>
      </c>
      <c r="F67" s="5" t="s">
        <v>1271</v>
      </c>
      <c r="G67" s="5" t="s">
        <v>1283</v>
      </c>
      <c r="H67" t="s">
        <v>1284</v>
      </c>
      <c r="I67" t="s">
        <v>1285</v>
      </c>
      <c r="J67" t="s">
        <v>1274</v>
      </c>
      <c r="K67" t="s">
        <v>1286</v>
      </c>
      <c r="L67">
        <v>100114000</v>
      </c>
      <c r="M67" s="5">
        <v>100114000</v>
      </c>
      <c r="N67" t="s">
        <v>1282</v>
      </c>
      <c r="O67" t="s">
        <v>1048</v>
      </c>
      <c r="P67" t="s">
        <v>1070</v>
      </c>
      <c r="Q67" t="s">
        <v>1071</v>
      </c>
      <c r="R67" t="s">
        <v>1051</v>
      </c>
      <c r="S67">
        <v>10000</v>
      </c>
      <c r="T67" t="s">
        <v>1287</v>
      </c>
      <c r="U67" t="s">
        <v>1288</v>
      </c>
      <c r="V67">
        <v>1</v>
      </c>
    </row>
    <row r="68" spans="1:22">
      <c r="A68">
        <v>2012</v>
      </c>
      <c r="B68">
        <v>1</v>
      </c>
      <c r="C68">
        <v>3</v>
      </c>
      <c r="D68" t="s">
        <v>1042</v>
      </c>
      <c r="E68">
        <v>201201</v>
      </c>
      <c r="F68" s="5" t="s">
        <v>1289</v>
      </c>
      <c r="H68" t="s">
        <v>1290</v>
      </c>
      <c r="I68" t="s">
        <v>1291</v>
      </c>
      <c r="J68" t="s">
        <v>1292</v>
      </c>
      <c r="K68" t="s">
        <v>1293</v>
      </c>
      <c r="N68" t="s">
        <v>1294</v>
      </c>
      <c r="O68" t="s">
        <v>1048</v>
      </c>
      <c r="P68" t="s">
        <v>1049</v>
      </c>
      <c r="Q68" t="s">
        <v>1050</v>
      </c>
      <c r="R68" t="s">
        <v>1051</v>
      </c>
      <c r="S68">
        <v>1000</v>
      </c>
      <c r="T68" t="s">
        <v>1295</v>
      </c>
      <c r="U68" t="s">
        <v>1105</v>
      </c>
      <c r="V68">
        <v>1</v>
      </c>
    </row>
    <row r="69" spans="1:22">
      <c r="A69">
        <v>2012</v>
      </c>
      <c r="B69">
        <v>2</v>
      </c>
      <c r="C69">
        <v>4</v>
      </c>
      <c r="D69" t="s">
        <v>1042</v>
      </c>
      <c r="E69">
        <v>201202</v>
      </c>
      <c r="F69" s="5" t="s">
        <v>1289</v>
      </c>
      <c r="H69" t="s">
        <v>1296</v>
      </c>
      <c r="I69" t="s">
        <v>1297</v>
      </c>
      <c r="J69" t="s">
        <v>1292</v>
      </c>
      <c r="K69" t="s">
        <v>1298</v>
      </c>
      <c r="L69">
        <v>100122000</v>
      </c>
      <c r="N69" t="s">
        <v>1294</v>
      </c>
      <c r="O69" t="s">
        <v>1048</v>
      </c>
      <c r="P69" t="s">
        <v>1056</v>
      </c>
      <c r="Q69" t="s">
        <v>1057</v>
      </c>
      <c r="R69" t="s">
        <v>1051</v>
      </c>
      <c r="S69">
        <v>3000</v>
      </c>
      <c r="T69" t="s">
        <v>1299</v>
      </c>
      <c r="U69" t="s">
        <v>1109</v>
      </c>
      <c r="V69">
        <v>1</v>
      </c>
    </row>
    <row r="70" spans="1:22">
      <c r="A70">
        <v>2012</v>
      </c>
      <c r="B70">
        <v>3</v>
      </c>
      <c r="C70">
        <v>6</v>
      </c>
      <c r="D70" t="s">
        <v>1042</v>
      </c>
      <c r="E70">
        <v>201203</v>
      </c>
      <c r="F70" s="5" t="s">
        <v>1289</v>
      </c>
      <c r="H70" t="s">
        <v>1300</v>
      </c>
      <c r="I70" t="s">
        <v>1301</v>
      </c>
      <c r="J70" t="s">
        <v>1292</v>
      </c>
      <c r="K70" t="s">
        <v>1302</v>
      </c>
      <c r="L70">
        <v>100122000</v>
      </c>
      <c r="N70" t="s">
        <v>1303</v>
      </c>
      <c r="O70" t="s">
        <v>1048</v>
      </c>
      <c r="P70" t="s">
        <v>1064</v>
      </c>
      <c r="Q70" t="s">
        <v>1065</v>
      </c>
      <c r="R70" t="s">
        <v>1051</v>
      </c>
      <c r="S70">
        <v>6000</v>
      </c>
      <c r="T70" t="s">
        <v>1299</v>
      </c>
      <c r="U70" t="s">
        <v>1109</v>
      </c>
      <c r="V70">
        <v>1</v>
      </c>
    </row>
    <row r="71" spans="1:22">
      <c r="A71">
        <v>2012</v>
      </c>
      <c r="B71">
        <v>4</v>
      </c>
      <c r="C71">
        <v>8</v>
      </c>
      <c r="D71" t="s">
        <v>1042</v>
      </c>
      <c r="E71">
        <v>201204</v>
      </c>
      <c r="F71" s="5" t="s">
        <v>1289</v>
      </c>
      <c r="G71" s="5" t="s">
        <v>1304</v>
      </c>
      <c r="H71" t="s">
        <v>1305</v>
      </c>
      <c r="I71" t="s">
        <v>1306</v>
      </c>
      <c r="J71" t="s">
        <v>1292</v>
      </c>
      <c r="K71" t="s">
        <v>1307</v>
      </c>
      <c r="L71">
        <v>100124000</v>
      </c>
      <c r="N71" t="s">
        <v>1303</v>
      </c>
      <c r="O71" t="s">
        <v>1048</v>
      </c>
      <c r="P71" t="s">
        <v>1070</v>
      </c>
      <c r="Q71" t="s">
        <v>1071</v>
      </c>
      <c r="R71" t="s">
        <v>1051</v>
      </c>
      <c r="S71">
        <v>10000</v>
      </c>
      <c r="T71" t="s">
        <v>1299</v>
      </c>
      <c r="U71" t="s">
        <v>1109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5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1308</v>
      </c>
      <c r="K72" s="9" t="s">
        <v>1309</v>
      </c>
      <c r="N72" t="s">
        <v>1310</v>
      </c>
      <c r="O72" t="s">
        <v>1048</v>
      </c>
      <c r="P72" t="s">
        <v>1049</v>
      </c>
      <c r="Q72" t="s">
        <v>1050</v>
      </c>
      <c r="R72" t="str">
        <f t="shared" ref="R72:R75" si="45">R68</f>
        <v>[[103,10]]</v>
      </c>
      <c r="S72">
        <f t="shared" ref="S72:S75" si="46">S64</f>
        <v>1000</v>
      </c>
      <c r="T72" t="s">
        <v>1052</v>
      </c>
      <c r="U72" t="s">
        <v>1053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5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1308</v>
      </c>
      <c r="K73" s="9" t="s">
        <v>1311</v>
      </c>
      <c r="L73">
        <v>100132000</v>
      </c>
      <c r="M73" s="5">
        <v>100132000</v>
      </c>
      <c r="N73" t="s">
        <v>1310</v>
      </c>
      <c r="O73" t="s">
        <v>1048</v>
      </c>
      <c r="P73" t="s">
        <v>1056</v>
      </c>
      <c r="Q73" t="s">
        <v>1057</v>
      </c>
      <c r="R73" t="str">
        <f t="shared" si="45"/>
        <v>[[103,10]]</v>
      </c>
      <c r="S73">
        <f t="shared" si="46"/>
        <v>3000</v>
      </c>
      <c r="T73" t="s">
        <v>1052</v>
      </c>
      <c r="U73" t="s">
        <v>1053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5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1308</v>
      </c>
      <c r="K74" s="9" t="s">
        <v>1312</v>
      </c>
      <c r="L74">
        <v>100132000</v>
      </c>
      <c r="M74" s="5">
        <v>100132000</v>
      </c>
      <c r="N74" t="s">
        <v>1313</v>
      </c>
      <c r="O74" t="s">
        <v>1048</v>
      </c>
      <c r="P74" t="s">
        <v>1064</v>
      </c>
      <c r="Q74" t="s">
        <v>1065</v>
      </c>
      <c r="R74" t="str">
        <f t="shared" si="45"/>
        <v>[[103,10]]</v>
      </c>
      <c r="S74">
        <f t="shared" si="46"/>
        <v>6000</v>
      </c>
      <c r="T74" t="s">
        <v>1052</v>
      </c>
      <c r="U74" t="s">
        <v>1053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5">
        <f t="shared" si="43"/>
        <v>201310</v>
      </c>
      <c r="G75" s="5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1308</v>
      </c>
      <c r="K75" s="9" t="s">
        <v>1314</v>
      </c>
      <c r="L75">
        <v>100134000</v>
      </c>
      <c r="M75" s="5" t="s">
        <v>1315</v>
      </c>
      <c r="N75" t="s">
        <v>1313</v>
      </c>
      <c r="O75" t="s">
        <v>1048</v>
      </c>
      <c r="P75" t="s">
        <v>1070</v>
      </c>
      <c r="Q75" t="s">
        <v>1071</v>
      </c>
      <c r="R75" t="str">
        <f t="shared" si="45"/>
        <v>[[103,10]]</v>
      </c>
      <c r="S75">
        <f t="shared" si="46"/>
        <v>10000</v>
      </c>
      <c r="T75" t="s">
        <v>1052</v>
      </c>
      <c r="U75" t="s">
        <v>1053</v>
      </c>
      <c r="V75">
        <v>0</v>
      </c>
    </row>
    <row r="76" spans="1:22">
      <c r="A76">
        <v>2021</v>
      </c>
      <c r="B76">
        <v>1</v>
      </c>
      <c r="C76">
        <v>3</v>
      </c>
      <c r="D76" t="s">
        <v>1098</v>
      </c>
      <c r="E76">
        <v>202101</v>
      </c>
      <c r="F76" s="5" t="s">
        <v>1316</v>
      </c>
      <c r="H76" t="s">
        <v>1317</v>
      </c>
      <c r="I76" t="s">
        <v>1318</v>
      </c>
      <c r="J76" t="s">
        <v>1319</v>
      </c>
      <c r="K76" t="s">
        <v>1320</v>
      </c>
      <c r="L76">
        <v>100211000</v>
      </c>
      <c r="O76" t="s">
        <v>1048</v>
      </c>
      <c r="P76" t="s">
        <v>1049</v>
      </c>
      <c r="Q76" t="s">
        <v>1050</v>
      </c>
      <c r="R76" t="s">
        <v>1051</v>
      </c>
      <c r="S76">
        <v>2000</v>
      </c>
      <c r="T76" t="s">
        <v>1104</v>
      </c>
      <c r="U76" t="s">
        <v>1105</v>
      </c>
      <c r="V76">
        <v>1</v>
      </c>
    </row>
    <row r="77" spans="1:22">
      <c r="A77">
        <v>2021</v>
      </c>
      <c r="B77">
        <v>2</v>
      </c>
      <c r="C77">
        <v>4</v>
      </c>
      <c r="D77" t="s">
        <v>1098</v>
      </c>
      <c r="E77">
        <v>202102</v>
      </c>
      <c r="F77" s="5" t="s">
        <v>1316</v>
      </c>
      <c r="H77" t="s">
        <v>1321</v>
      </c>
      <c r="I77" t="s">
        <v>1322</v>
      </c>
      <c r="J77" t="s">
        <v>1319</v>
      </c>
      <c r="K77" t="s">
        <v>1323</v>
      </c>
      <c r="L77">
        <v>100212000</v>
      </c>
      <c r="M77" s="5">
        <v>100212000</v>
      </c>
      <c r="O77" t="s">
        <v>1048</v>
      </c>
      <c r="P77" t="s">
        <v>1056</v>
      </c>
      <c r="Q77" t="s">
        <v>1057</v>
      </c>
      <c r="R77" t="s">
        <v>1051</v>
      </c>
      <c r="S77">
        <v>5000</v>
      </c>
      <c r="T77" t="s">
        <v>1104</v>
      </c>
      <c r="U77" t="s">
        <v>1105</v>
      </c>
      <c r="V77">
        <v>1</v>
      </c>
    </row>
    <row r="78" spans="1:22">
      <c r="A78">
        <v>2021</v>
      </c>
      <c r="B78">
        <v>3</v>
      </c>
      <c r="C78">
        <v>6</v>
      </c>
      <c r="D78" t="s">
        <v>1098</v>
      </c>
      <c r="E78">
        <v>202103</v>
      </c>
      <c r="F78" s="5" t="s">
        <v>1316</v>
      </c>
      <c r="H78" t="s">
        <v>1324</v>
      </c>
      <c r="I78" t="s">
        <v>1325</v>
      </c>
      <c r="J78" t="s">
        <v>1319</v>
      </c>
      <c r="K78" t="s">
        <v>1326</v>
      </c>
      <c r="L78">
        <v>100212000</v>
      </c>
      <c r="M78" s="5">
        <v>100212000</v>
      </c>
      <c r="N78" t="s">
        <v>1327</v>
      </c>
      <c r="O78" t="s">
        <v>1048</v>
      </c>
      <c r="P78" t="s">
        <v>1064</v>
      </c>
      <c r="Q78" t="s">
        <v>1065</v>
      </c>
      <c r="R78" t="s">
        <v>1051</v>
      </c>
      <c r="S78">
        <v>10000</v>
      </c>
      <c r="T78" t="s">
        <v>1104</v>
      </c>
      <c r="U78" t="s">
        <v>1105</v>
      </c>
      <c r="V78">
        <v>1</v>
      </c>
    </row>
    <row r="79" spans="1:22">
      <c r="A79">
        <v>2021</v>
      </c>
      <c r="B79">
        <v>4</v>
      </c>
      <c r="C79">
        <v>8</v>
      </c>
      <c r="D79" t="s">
        <v>1098</v>
      </c>
      <c r="E79">
        <v>202104</v>
      </c>
      <c r="F79" s="5" t="s">
        <v>1316</v>
      </c>
      <c r="G79" s="5" t="s">
        <v>1328</v>
      </c>
      <c r="H79" t="s">
        <v>1329</v>
      </c>
      <c r="I79" t="s">
        <v>1330</v>
      </c>
      <c r="J79" t="s">
        <v>1319</v>
      </c>
      <c r="K79" t="s">
        <v>1331</v>
      </c>
      <c r="L79">
        <v>100214000</v>
      </c>
      <c r="M79" s="5">
        <v>100212000</v>
      </c>
      <c r="N79" t="s">
        <v>1327</v>
      </c>
      <c r="O79" t="s">
        <v>1048</v>
      </c>
      <c r="P79" t="s">
        <v>1070</v>
      </c>
      <c r="Q79" t="s">
        <v>1071</v>
      </c>
      <c r="R79" t="s">
        <v>1051</v>
      </c>
      <c r="S79">
        <v>20000</v>
      </c>
      <c r="T79" t="s">
        <v>1108</v>
      </c>
      <c r="U79" t="s">
        <v>1109</v>
      </c>
      <c r="V79">
        <v>1</v>
      </c>
    </row>
    <row r="80" spans="1:22">
      <c r="A80">
        <v>2022</v>
      </c>
      <c r="B80">
        <v>1</v>
      </c>
      <c r="C80">
        <v>3</v>
      </c>
      <c r="D80" t="s">
        <v>1098</v>
      </c>
      <c r="E80">
        <v>202201</v>
      </c>
      <c r="F80" s="5" t="s">
        <v>1332</v>
      </c>
      <c r="H80" t="s">
        <v>1333</v>
      </c>
      <c r="I80" t="s">
        <v>1334</v>
      </c>
      <c r="J80" t="s">
        <v>1335</v>
      </c>
      <c r="K80" t="s">
        <v>1302</v>
      </c>
      <c r="N80" t="s">
        <v>1336</v>
      </c>
      <c r="O80" t="s">
        <v>1048</v>
      </c>
      <c r="P80" t="s">
        <v>1049</v>
      </c>
      <c r="Q80" t="s">
        <v>1050</v>
      </c>
      <c r="R80" t="s">
        <v>1051</v>
      </c>
      <c r="S80">
        <v>2000</v>
      </c>
      <c r="T80" t="s">
        <v>1295</v>
      </c>
      <c r="U80" t="s">
        <v>1105</v>
      </c>
      <c r="V80">
        <v>1</v>
      </c>
    </row>
    <row r="81" spans="1:22">
      <c r="A81">
        <v>2022</v>
      </c>
      <c r="B81">
        <v>2</v>
      </c>
      <c r="C81">
        <v>4</v>
      </c>
      <c r="D81" t="s">
        <v>1098</v>
      </c>
      <c r="E81">
        <v>202202</v>
      </c>
      <c r="F81" s="5" t="s">
        <v>1332</v>
      </c>
      <c r="H81" t="s">
        <v>1337</v>
      </c>
      <c r="I81" t="s">
        <v>1338</v>
      </c>
      <c r="J81" t="s">
        <v>1335</v>
      </c>
      <c r="K81" t="s">
        <v>1339</v>
      </c>
      <c r="L81">
        <v>100222000</v>
      </c>
      <c r="M81" s="5">
        <v>100222000</v>
      </c>
      <c r="N81" t="s">
        <v>1336</v>
      </c>
      <c r="O81" t="s">
        <v>1048</v>
      </c>
      <c r="P81" t="s">
        <v>1056</v>
      </c>
      <c r="Q81" t="s">
        <v>1057</v>
      </c>
      <c r="R81" t="s">
        <v>1051</v>
      </c>
      <c r="S81">
        <v>5000</v>
      </c>
      <c r="T81" t="s">
        <v>1299</v>
      </c>
      <c r="U81" t="s">
        <v>1109</v>
      </c>
      <c r="V81">
        <v>1</v>
      </c>
    </row>
    <row r="82" spans="1:22">
      <c r="A82">
        <v>2022</v>
      </c>
      <c r="B82">
        <v>3</v>
      </c>
      <c r="C82">
        <v>6</v>
      </c>
      <c r="D82" t="s">
        <v>1098</v>
      </c>
      <c r="E82">
        <v>202203</v>
      </c>
      <c r="F82" s="5" t="s">
        <v>1332</v>
      </c>
      <c r="H82" t="s">
        <v>1340</v>
      </c>
      <c r="I82" t="s">
        <v>1341</v>
      </c>
      <c r="J82" t="s">
        <v>1335</v>
      </c>
      <c r="K82" t="s">
        <v>1342</v>
      </c>
      <c r="L82">
        <v>100222000</v>
      </c>
      <c r="M82" s="5">
        <v>100222000</v>
      </c>
      <c r="N82" t="s">
        <v>1343</v>
      </c>
      <c r="O82" t="s">
        <v>1048</v>
      </c>
      <c r="P82" t="s">
        <v>1064</v>
      </c>
      <c r="Q82" t="s">
        <v>1065</v>
      </c>
      <c r="R82" t="s">
        <v>1051</v>
      </c>
      <c r="S82">
        <v>10000</v>
      </c>
      <c r="T82" t="s">
        <v>1299</v>
      </c>
      <c r="U82" t="s">
        <v>1109</v>
      </c>
      <c r="V82">
        <v>1</v>
      </c>
    </row>
    <row r="83" spans="1:22">
      <c r="A83">
        <v>2022</v>
      </c>
      <c r="B83">
        <v>4</v>
      </c>
      <c r="C83">
        <v>8</v>
      </c>
      <c r="D83" t="s">
        <v>1098</v>
      </c>
      <c r="E83">
        <v>202204</v>
      </c>
      <c r="F83" s="5" t="s">
        <v>1332</v>
      </c>
      <c r="G83" s="5" t="s">
        <v>1344</v>
      </c>
      <c r="H83" t="s">
        <v>1345</v>
      </c>
      <c r="I83" t="s">
        <v>1346</v>
      </c>
      <c r="J83" t="s">
        <v>1335</v>
      </c>
      <c r="K83" t="s">
        <v>1347</v>
      </c>
      <c r="L83">
        <v>100224000</v>
      </c>
      <c r="M83" s="5">
        <v>100224000</v>
      </c>
      <c r="N83" t="s">
        <v>1343</v>
      </c>
      <c r="O83" t="s">
        <v>1048</v>
      </c>
      <c r="P83" t="s">
        <v>1070</v>
      </c>
      <c r="Q83" t="s">
        <v>1071</v>
      </c>
      <c r="R83" t="s">
        <v>1051</v>
      </c>
      <c r="S83">
        <v>20000</v>
      </c>
      <c r="T83" t="s">
        <v>1299</v>
      </c>
      <c r="U83" t="s">
        <v>1109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5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1348</v>
      </c>
      <c r="K84" s="9" t="s">
        <v>1349</v>
      </c>
      <c r="N84" t="s">
        <v>1350</v>
      </c>
      <c r="O84" t="s">
        <v>1048</v>
      </c>
      <c r="P84" t="s">
        <v>1049</v>
      </c>
      <c r="Q84" t="s">
        <v>1050</v>
      </c>
      <c r="R84" t="str">
        <f t="shared" ref="R84:R87" si="54">R80</f>
        <v>[[103,10]]</v>
      </c>
      <c r="S84">
        <f t="shared" ref="S84:S87" si="55">S76</f>
        <v>2000</v>
      </c>
      <c r="T84" t="s">
        <v>1052</v>
      </c>
      <c r="U84" t="s">
        <v>1053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5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1348</v>
      </c>
      <c r="K85" s="9" t="s">
        <v>1351</v>
      </c>
      <c r="L85">
        <v>100232000</v>
      </c>
      <c r="M85" s="5">
        <v>100232000</v>
      </c>
      <c r="N85" t="s">
        <v>1350</v>
      </c>
      <c r="O85" t="s">
        <v>1048</v>
      </c>
      <c r="P85" t="s">
        <v>1056</v>
      </c>
      <c r="Q85" t="s">
        <v>1057</v>
      </c>
      <c r="R85" t="str">
        <f t="shared" si="54"/>
        <v>[[103,10]]</v>
      </c>
      <c r="S85">
        <f t="shared" si="55"/>
        <v>5000</v>
      </c>
      <c r="T85" t="s">
        <v>1052</v>
      </c>
      <c r="U85" t="s">
        <v>1053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5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1348</v>
      </c>
      <c r="K86" s="9" t="s">
        <v>1352</v>
      </c>
      <c r="L86">
        <v>100232000</v>
      </c>
      <c r="M86" s="5">
        <v>100232000</v>
      </c>
      <c r="N86" t="s">
        <v>1353</v>
      </c>
      <c r="O86" t="s">
        <v>1048</v>
      </c>
      <c r="P86" t="s">
        <v>1064</v>
      </c>
      <c r="Q86" t="s">
        <v>1065</v>
      </c>
      <c r="R86" t="str">
        <f t="shared" si="54"/>
        <v>[[103,10]]</v>
      </c>
      <c r="S86">
        <f t="shared" si="55"/>
        <v>10000</v>
      </c>
      <c r="T86" t="s">
        <v>1052</v>
      </c>
      <c r="U86" t="s">
        <v>1053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5">
        <f t="shared" si="52"/>
        <v>202310</v>
      </c>
      <c r="G87" s="5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1348</v>
      </c>
      <c r="K87" s="9" t="s">
        <v>1354</v>
      </c>
      <c r="L87">
        <v>100234000</v>
      </c>
      <c r="M87" s="5">
        <v>100234000</v>
      </c>
      <c r="N87" t="s">
        <v>1353</v>
      </c>
      <c r="O87" t="s">
        <v>1048</v>
      </c>
      <c r="P87" t="s">
        <v>1070</v>
      </c>
      <c r="Q87" t="s">
        <v>1071</v>
      </c>
      <c r="R87" t="str">
        <f t="shared" si="54"/>
        <v>[[103,10]]</v>
      </c>
      <c r="S87">
        <f t="shared" si="55"/>
        <v>20000</v>
      </c>
      <c r="T87" t="s">
        <v>1052</v>
      </c>
      <c r="U87" t="s">
        <v>1053</v>
      </c>
      <c r="V87">
        <v>0</v>
      </c>
    </row>
    <row r="88" spans="1:22">
      <c r="A88">
        <v>2031</v>
      </c>
      <c r="B88">
        <v>1</v>
      </c>
      <c r="C88">
        <v>3</v>
      </c>
      <c r="D88" t="s">
        <v>1135</v>
      </c>
      <c r="E88">
        <v>203101</v>
      </c>
      <c r="F88" s="5" t="s">
        <v>1355</v>
      </c>
      <c r="H88" t="s">
        <v>1356</v>
      </c>
      <c r="I88" t="s">
        <v>1357</v>
      </c>
      <c r="J88" t="s">
        <v>1358</v>
      </c>
      <c r="K88" t="s">
        <v>1359</v>
      </c>
      <c r="L88">
        <v>100311000</v>
      </c>
      <c r="N88" t="s">
        <v>1360</v>
      </c>
      <c r="O88" t="s">
        <v>1048</v>
      </c>
      <c r="P88" t="s">
        <v>1049</v>
      </c>
      <c r="Q88" t="s">
        <v>1050</v>
      </c>
      <c r="R88" t="s">
        <v>1051</v>
      </c>
      <c r="S88">
        <v>1000</v>
      </c>
      <c r="T88" t="s">
        <v>1142</v>
      </c>
      <c r="U88" t="s">
        <v>1361</v>
      </c>
      <c r="V88">
        <v>1</v>
      </c>
    </row>
    <row r="89" spans="1:22">
      <c r="A89">
        <v>2031</v>
      </c>
      <c r="B89">
        <v>2</v>
      </c>
      <c r="C89">
        <v>4</v>
      </c>
      <c r="D89" t="s">
        <v>1135</v>
      </c>
      <c r="E89">
        <v>203102</v>
      </c>
      <c r="F89" s="5" t="s">
        <v>1355</v>
      </c>
      <c r="H89" t="s">
        <v>1362</v>
      </c>
      <c r="I89" t="s">
        <v>1363</v>
      </c>
      <c r="J89" t="s">
        <v>1358</v>
      </c>
      <c r="K89" t="s">
        <v>1364</v>
      </c>
      <c r="L89">
        <v>100312000</v>
      </c>
      <c r="N89" t="s">
        <v>1360</v>
      </c>
      <c r="O89" t="s">
        <v>1048</v>
      </c>
      <c r="P89" t="s">
        <v>1056</v>
      </c>
      <c r="Q89" t="s">
        <v>1057</v>
      </c>
      <c r="R89" t="s">
        <v>1051</v>
      </c>
      <c r="S89">
        <v>3000</v>
      </c>
      <c r="T89" t="s">
        <v>1365</v>
      </c>
      <c r="U89" t="s">
        <v>1366</v>
      </c>
      <c r="V89">
        <v>1</v>
      </c>
    </row>
    <row r="90" spans="1:22">
      <c r="A90">
        <v>2031</v>
      </c>
      <c r="B90">
        <v>3</v>
      </c>
      <c r="C90">
        <v>6</v>
      </c>
      <c r="D90" t="s">
        <v>1135</v>
      </c>
      <c r="E90">
        <v>203103</v>
      </c>
      <c r="F90" s="5" t="s">
        <v>1355</v>
      </c>
      <c r="H90" t="s">
        <v>1367</v>
      </c>
      <c r="I90" t="s">
        <v>1368</v>
      </c>
      <c r="J90" t="s">
        <v>1358</v>
      </c>
      <c r="K90" t="s">
        <v>1369</v>
      </c>
      <c r="L90">
        <v>100312000</v>
      </c>
      <c r="N90" t="s">
        <v>1370</v>
      </c>
      <c r="O90" t="s">
        <v>1048</v>
      </c>
      <c r="P90" t="s">
        <v>1064</v>
      </c>
      <c r="Q90" t="s">
        <v>1065</v>
      </c>
      <c r="R90" t="s">
        <v>1051</v>
      </c>
      <c r="S90">
        <v>6000</v>
      </c>
      <c r="T90" t="s">
        <v>1365</v>
      </c>
      <c r="U90" t="s">
        <v>1366</v>
      </c>
      <c r="V90">
        <v>1</v>
      </c>
    </row>
    <row r="91" spans="1:22">
      <c r="A91">
        <v>2031</v>
      </c>
      <c r="B91">
        <v>4</v>
      </c>
      <c r="C91">
        <v>8</v>
      </c>
      <c r="D91" t="s">
        <v>1135</v>
      </c>
      <c r="E91">
        <v>203104</v>
      </c>
      <c r="F91" s="5" t="s">
        <v>1355</v>
      </c>
      <c r="G91" s="5" t="s">
        <v>1371</v>
      </c>
      <c r="H91" t="s">
        <v>1372</v>
      </c>
      <c r="I91" t="s">
        <v>1373</v>
      </c>
      <c r="J91" t="s">
        <v>1358</v>
      </c>
      <c r="K91" t="s">
        <v>1374</v>
      </c>
      <c r="L91">
        <v>100314000</v>
      </c>
      <c r="N91" t="s">
        <v>1370</v>
      </c>
      <c r="O91" t="s">
        <v>1048</v>
      </c>
      <c r="P91" t="s">
        <v>1070</v>
      </c>
      <c r="Q91" t="s">
        <v>1071</v>
      </c>
      <c r="R91" t="s">
        <v>1051</v>
      </c>
      <c r="S91">
        <v>10000</v>
      </c>
      <c r="T91" t="s">
        <v>1365</v>
      </c>
      <c r="U91" t="s">
        <v>1366</v>
      </c>
      <c r="V91">
        <v>1</v>
      </c>
    </row>
    <row r="92" spans="1:22">
      <c r="A92">
        <v>2032</v>
      </c>
      <c r="B92">
        <v>1</v>
      </c>
      <c r="C92">
        <v>3</v>
      </c>
      <c r="D92" t="s">
        <v>1135</v>
      </c>
      <c r="E92">
        <v>203201</v>
      </c>
      <c r="F92" s="5" t="s">
        <v>1375</v>
      </c>
      <c r="H92" t="s">
        <v>1376</v>
      </c>
      <c r="I92" t="s">
        <v>1377</v>
      </c>
      <c r="J92" t="s">
        <v>1378</v>
      </c>
      <c r="K92" t="s">
        <v>1312</v>
      </c>
      <c r="N92" t="s">
        <v>1047</v>
      </c>
      <c r="O92" t="s">
        <v>1048</v>
      </c>
      <c r="P92" t="s">
        <v>1049</v>
      </c>
      <c r="Q92" t="s">
        <v>1050</v>
      </c>
      <c r="R92" t="s">
        <v>1051</v>
      </c>
      <c r="S92">
        <v>1000</v>
      </c>
      <c r="T92" t="s">
        <v>1379</v>
      </c>
      <c r="U92" t="s">
        <v>1380</v>
      </c>
      <c r="V92">
        <v>1</v>
      </c>
    </row>
    <row r="93" spans="1:22">
      <c r="A93">
        <v>2032</v>
      </c>
      <c r="B93">
        <v>2</v>
      </c>
      <c r="C93">
        <v>4</v>
      </c>
      <c r="D93" t="s">
        <v>1135</v>
      </c>
      <c r="E93">
        <v>203202</v>
      </c>
      <c r="F93" s="5" t="s">
        <v>1375</v>
      </c>
      <c r="H93" t="s">
        <v>1381</v>
      </c>
      <c r="I93" t="s">
        <v>1382</v>
      </c>
      <c r="J93" t="s">
        <v>1378</v>
      </c>
      <c r="K93" t="s">
        <v>1383</v>
      </c>
      <c r="L93">
        <v>100322000</v>
      </c>
      <c r="N93" t="s">
        <v>1047</v>
      </c>
      <c r="O93" t="s">
        <v>1048</v>
      </c>
      <c r="P93" t="s">
        <v>1056</v>
      </c>
      <c r="Q93" t="s">
        <v>1057</v>
      </c>
      <c r="R93" t="s">
        <v>1051</v>
      </c>
      <c r="S93">
        <v>3000</v>
      </c>
      <c r="T93" t="s">
        <v>1379</v>
      </c>
      <c r="U93" t="s">
        <v>1380</v>
      </c>
      <c r="V93">
        <v>1</v>
      </c>
    </row>
    <row r="94" spans="1:22">
      <c r="A94">
        <v>2032</v>
      </c>
      <c r="B94">
        <v>3</v>
      </c>
      <c r="C94">
        <v>6</v>
      </c>
      <c r="D94" t="s">
        <v>1135</v>
      </c>
      <c r="E94">
        <v>203203</v>
      </c>
      <c r="F94" s="5" t="s">
        <v>1375</v>
      </c>
      <c r="H94" t="s">
        <v>1384</v>
      </c>
      <c r="I94" t="s">
        <v>1385</v>
      </c>
      <c r="J94" t="s">
        <v>1378</v>
      </c>
      <c r="K94" t="s">
        <v>1275</v>
      </c>
      <c r="L94">
        <v>100322000</v>
      </c>
      <c r="N94" t="s">
        <v>1386</v>
      </c>
      <c r="O94" t="s">
        <v>1048</v>
      </c>
      <c r="P94" t="s">
        <v>1064</v>
      </c>
      <c r="Q94" t="s">
        <v>1065</v>
      </c>
      <c r="R94" t="s">
        <v>1051</v>
      </c>
      <c r="S94">
        <v>6000</v>
      </c>
      <c r="T94" t="s">
        <v>1379</v>
      </c>
      <c r="U94" t="s">
        <v>1380</v>
      </c>
      <c r="V94">
        <v>1</v>
      </c>
    </row>
    <row r="95" spans="1:22">
      <c r="A95">
        <v>2032</v>
      </c>
      <c r="B95">
        <v>4</v>
      </c>
      <c r="C95">
        <v>8</v>
      </c>
      <c r="D95" t="s">
        <v>1135</v>
      </c>
      <c r="E95">
        <v>203204</v>
      </c>
      <c r="F95" s="5" t="s">
        <v>1375</v>
      </c>
      <c r="G95" s="5" t="s">
        <v>1387</v>
      </c>
      <c r="H95" t="s">
        <v>1388</v>
      </c>
      <c r="I95" t="s">
        <v>1389</v>
      </c>
      <c r="J95" t="s">
        <v>1378</v>
      </c>
      <c r="K95" t="s">
        <v>1390</v>
      </c>
      <c r="L95">
        <v>100324000</v>
      </c>
      <c r="N95" t="s">
        <v>1386</v>
      </c>
      <c r="O95" t="s">
        <v>1048</v>
      </c>
      <c r="P95" t="s">
        <v>1070</v>
      </c>
      <c r="Q95" t="s">
        <v>1071</v>
      </c>
      <c r="R95" t="s">
        <v>1051</v>
      </c>
      <c r="S95">
        <v>10000</v>
      </c>
      <c r="T95" t="s">
        <v>1379</v>
      </c>
      <c r="U95" t="s">
        <v>1380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5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1391</v>
      </c>
      <c r="K96" s="9" t="s">
        <v>1392</v>
      </c>
      <c r="N96" t="s">
        <v>1393</v>
      </c>
      <c r="O96" t="s">
        <v>1048</v>
      </c>
      <c r="P96" t="s">
        <v>1049</v>
      </c>
      <c r="Q96" t="s">
        <v>1050</v>
      </c>
      <c r="R96" t="str">
        <f t="shared" ref="R96:R99" si="63">R92</f>
        <v>[[103,10]]</v>
      </c>
      <c r="S96">
        <f t="shared" ref="S96:S99" si="64">S88</f>
        <v>1000</v>
      </c>
      <c r="T96" t="s">
        <v>1365</v>
      </c>
      <c r="U96" t="s">
        <v>1366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5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1391</v>
      </c>
      <c r="K97" s="9" t="s">
        <v>1394</v>
      </c>
      <c r="L97">
        <v>100332000</v>
      </c>
      <c r="N97" t="s">
        <v>1393</v>
      </c>
      <c r="O97" t="s">
        <v>1048</v>
      </c>
      <c r="P97" t="s">
        <v>1056</v>
      </c>
      <c r="Q97" t="s">
        <v>1057</v>
      </c>
      <c r="R97" t="str">
        <f t="shared" si="63"/>
        <v>[[103,10]]</v>
      </c>
      <c r="S97">
        <f t="shared" si="64"/>
        <v>3000</v>
      </c>
      <c r="T97" t="s">
        <v>1365</v>
      </c>
      <c r="U97" t="s">
        <v>1366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5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1391</v>
      </c>
      <c r="K98" s="9" t="s">
        <v>1395</v>
      </c>
      <c r="L98">
        <v>100332000</v>
      </c>
      <c r="N98" t="s">
        <v>1396</v>
      </c>
      <c r="O98" t="s">
        <v>1048</v>
      </c>
      <c r="P98" t="s">
        <v>1064</v>
      </c>
      <c r="Q98" t="s">
        <v>1065</v>
      </c>
      <c r="R98" t="str">
        <f t="shared" si="63"/>
        <v>[[103,10]]</v>
      </c>
      <c r="S98">
        <f t="shared" si="64"/>
        <v>6000</v>
      </c>
      <c r="T98" t="s">
        <v>1365</v>
      </c>
      <c r="U98" t="s">
        <v>1366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5">
        <f t="shared" si="61"/>
        <v>203310</v>
      </c>
      <c r="G99" s="5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1391</v>
      </c>
      <c r="K99" s="9" t="s">
        <v>1397</v>
      </c>
      <c r="L99">
        <v>100334000</v>
      </c>
      <c r="N99" t="s">
        <v>1396</v>
      </c>
      <c r="O99" t="s">
        <v>1048</v>
      </c>
      <c r="P99" t="s">
        <v>1070</v>
      </c>
      <c r="Q99" t="s">
        <v>1071</v>
      </c>
      <c r="R99" t="str">
        <f t="shared" si="63"/>
        <v>[[103,10]]</v>
      </c>
      <c r="S99">
        <f t="shared" si="64"/>
        <v>10000</v>
      </c>
      <c r="T99" t="s">
        <v>1365</v>
      </c>
      <c r="U99" t="s">
        <v>1366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1184</v>
      </c>
      <c r="E100">
        <v>204101</v>
      </c>
      <c r="F100" s="5" t="s">
        <v>1398</v>
      </c>
      <c r="H100" t="s">
        <v>1399</v>
      </c>
      <c r="I100" t="s">
        <v>1400</v>
      </c>
      <c r="J100" t="s">
        <v>1401</v>
      </c>
      <c r="K100" t="s">
        <v>1402</v>
      </c>
      <c r="N100" t="s">
        <v>1208</v>
      </c>
      <c r="O100" t="s">
        <v>1048</v>
      </c>
      <c r="P100" t="s">
        <v>1049</v>
      </c>
      <c r="Q100" t="s">
        <v>1050</v>
      </c>
      <c r="R100" t="s">
        <v>1051</v>
      </c>
      <c r="S100">
        <v>1000</v>
      </c>
      <c r="T100" t="s">
        <v>319</v>
      </c>
      <c r="U100" t="s">
        <v>1361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1184</v>
      </c>
      <c r="E101">
        <v>204102</v>
      </c>
      <c r="F101" s="5" t="s">
        <v>1398</v>
      </c>
      <c r="H101" t="s">
        <v>1403</v>
      </c>
      <c r="I101" t="s">
        <v>1404</v>
      </c>
      <c r="J101" t="s">
        <v>1401</v>
      </c>
      <c r="K101" t="s">
        <v>1405</v>
      </c>
      <c r="L101">
        <v>100412000</v>
      </c>
      <c r="N101" t="s">
        <v>1208</v>
      </c>
      <c r="O101" t="s">
        <v>1048</v>
      </c>
      <c r="P101" t="s">
        <v>1056</v>
      </c>
      <c r="Q101" t="s">
        <v>1057</v>
      </c>
      <c r="R101" t="s">
        <v>1051</v>
      </c>
      <c r="S101">
        <v>3000</v>
      </c>
      <c r="T101" t="s">
        <v>319</v>
      </c>
      <c r="U101" t="s">
        <v>1361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1184</v>
      </c>
      <c r="E102">
        <v>204103</v>
      </c>
      <c r="F102" s="5" t="s">
        <v>1398</v>
      </c>
      <c r="H102" t="s">
        <v>1406</v>
      </c>
      <c r="I102" t="s">
        <v>1407</v>
      </c>
      <c r="J102" t="s">
        <v>1401</v>
      </c>
      <c r="K102" t="s">
        <v>1408</v>
      </c>
      <c r="L102">
        <v>100412000</v>
      </c>
      <c r="N102" t="s">
        <v>1218</v>
      </c>
      <c r="O102" t="s">
        <v>1048</v>
      </c>
      <c r="P102" t="s">
        <v>1064</v>
      </c>
      <c r="Q102" t="s">
        <v>1065</v>
      </c>
      <c r="R102" t="s">
        <v>1051</v>
      </c>
      <c r="S102">
        <v>6000</v>
      </c>
      <c r="T102" t="s">
        <v>319</v>
      </c>
      <c r="U102" t="s">
        <v>1361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1184</v>
      </c>
      <c r="E103">
        <v>204104</v>
      </c>
      <c r="F103" s="5" t="s">
        <v>1398</v>
      </c>
      <c r="G103" s="5" t="s">
        <v>1409</v>
      </c>
      <c r="H103" t="s">
        <v>1410</v>
      </c>
      <c r="I103" t="s">
        <v>1411</v>
      </c>
      <c r="J103" t="s">
        <v>1401</v>
      </c>
      <c r="K103" t="s">
        <v>1412</v>
      </c>
      <c r="L103">
        <v>100414000</v>
      </c>
      <c r="N103" t="s">
        <v>1218</v>
      </c>
      <c r="O103" t="s">
        <v>1048</v>
      </c>
      <c r="P103" t="s">
        <v>1070</v>
      </c>
      <c r="Q103" t="s">
        <v>1071</v>
      </c>
      <c r="R103" t="s">
        <v>1051</v>
      </c>
      <c r="S103">
        <v>10000</v>
      </c>
      <c r="T103" t="s">
        <v>319</v>
      </c>
      <c r="U103" t="s">
        <v>1361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1184</v>
      </c>
      <c r="E104">
        <v>204201</v>
      </c>
      <c r="F104" s="5" t="s">
        <v>1413</v>
      </c>
      <c r="H104" t="s">
        <v>1414</v>
      </c>
      <c r="I104" t="s">
        <v>1415</v>
      </c>
      <c r="J104" t="s">
        <v>1416</v>
      </c>
      <c r="K104" t="s">
        <v>1312</v>
      </c>
      <c r="N104" t="s">
        <v>1047</v>
      </c>
      <c r="O104" t="s">
        <v>1048</v>
      </c>
      <c r="P104" t="s">
        <v>1049</v>
      </c>
      <c r="Q104" t="s">
        <v>1050</v>
      </c>
      <c r="R104" t="s">
        <v>1051</v>
      </c>
      <c r="S104">
        <v>1000</v>
      </c>
      <c r="T104" t="s">
        <v>1417</v>
      </c>
      <c r="U104" t="s">
        <v>1418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1184</v>
      </c>
      <c r="E105">
        <v>204202</v>
      </c>
      <c r="F105" s="5" t="s">
        <v>1413</v>
      </c>
      <c r="H105" t="s">
        <v>1419</v>
      </c>
      <c r="I105" t="s">
        <v>1420</v>
      </c>
      <c r="J105" t="s">
        <v>1416</v>
      </c>
      <c r="K105" t="s">
        <v>1421</v>
      </c>
      <c r="L105">
        <v>100422000</v>
      </c>
      <c r="N105" t="s">
        <v>1047</v>
      </c>
      <c r="O105" t="s">
        <v>1048</v>
      </c>
      <c r="P105" t="s">
        <v>1056</v>
      </c>
      <c r="Q105" t="s">
        <v>1057</v>
      </c>
      <c r="R105" t="s">
        <v>1051</v>
      </c>
      <c r="S105">
        <v>3000</v>
      </c>
      <c r="T105" t="s">
        <v>1417</v>
      </c>
      <c r="U105" t="s">
        <v>1418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1184</v>
      </c>
      <c r="E106">
        <v>204203</v>
      </c>
      <c r="F106" s="5" t="s">
        <v>1413</v>
      </c>
      <c r="H106" t="s">
        <v>1422</v>
      </c>
      <c r="I106" t="s">
        <v>1423</v>
      </c>
      <c r="J106" t="s">
        <v>1416</v>
      </c>
      <c r="K106" t="s">
        <v>1424</v>
      </c>
      <c r="L106">
        <v>100422000</v>
      </c>
      <c r="N106" t="s">
        <v>1425</v>
      </c>
      <c r="O106" t="s">
        <v>1048</v>
      </c>
      <c r="P106" t="s">
        <v>1064</v>
      </c>
      <c r="Q106" t="s">
        <v>1065</v>
      </c>
      <c r="R106" t="s">
        <v>1051</v>
      </c>
      <c r="S106">
        <v>6000</v>
      </c>
      <c r="T106" t="s">
        <v>1417</v>
      </c>
      <c r="U106" t="s">
        <v>1418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1184</v>
      </c>
      <c r="E107">
        <v>204204</v>
      </c>
      <c r="F107" s="5" t="s">
        <v>1413</v>
      </c>
      <c r="G107" s="5" t="s">
        <v>1426</v>
      </c>
      <c r="H107" t="s">
        <v>1427</v>
      </c>
      <c r="I107" t="s">
        <v>1428</v>
      </c>
      <c r="J107" t="s">
        <v>1416</v>
      </c>
      <c r="K107" t="s">
        <v>1429</v>
      </c>
      <c r="L107">
        <v>100424000</v>
      </c>
      <c r="N107" t="s">
        <v>1425</v>
      </c>
      <c r="O107" t="s">
        <v>1048</v>
      </c>
      <c r="P107" t="s">
        <v>1070</v>
      </c>
      <c r="Q107" t="s">
        <v>1071</v>
      </c>
      <c r="R107" t="s">
        <v>1051</v>
      </c>
      <c r="S107">
        <v>10000</v>
      </c>
      <c r="T107" t="s">
        <v>1417</v>
      </c>
      <c r="U107" t="s">
        <v>1418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5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1430</v>
      </c>
      <c r="K108" s="9" t="s">
        <v>1431</v>
      </c>
      <c r="N108" t="s">
        <v>1432</v>
      </c>
      <c r="O108" t="s">
        <v>1048</v>
      </c>
      <c r="P108" t="s">
        <v>1049</v>
      </c>
      <c r="Q108" t="s">
        <v>1050</v>
      </c>
      <c r="R108" t="str">
        <f t="shared" ref="R108:R111" si="72">R104</f>
        <v>[[103,10]]</v>
      </c>
      <c r="S108">
        <f t="shared" ref="S108:S111" si="73">S100</f>
        <v>1000</v>
      </c>
      <c r="T108" t="s">
        <v>1417</v>
      </c>
      <c r="U108" t="s">
        <v>1418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5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1430</v>
      </c>
      <c r="K109" s="9" t="s">
        <v>1433</v>
      </c>
      <c r="L109">
        <v>100432000</v>
      </c>
      <c r="N109" t="s">
        <v>1432</v>
      </c>
      <c r="O109" t="s">
        <v>1048</v>
      </c>
      <c r="P109" t="s">
        <v>1056</v>
      </c>
      <c r="Q109" t="s">
        <v>1057</v>
      </c>
      <c r="R109" t="str">
        <f t="shared" si="72"/>
        <v>[[103,10]]</v>
      </c>
      <c r="S109">
        <f t="shared" si="73"/>
        <v>3000</v>
      </c>
      <c r="T109" t="s">
        <v>1417</v>
      </c>
      <c r="U109" t="s">
        <v>1418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5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1430</v>
      </c>
      <c r="K110" s="9" t="s">
        <v>1434</v>
      </c>
      <c r="L110">
        <v>100432000</v>
      </c>
      <c r="N110" t="s">
        <v>1435</v>
      </c>
      <c r="O110" t="s">
        <v>1048</v>
      </c>
      <c r="P110" t="s">
        <v>1064</v>
      </c>
      <c r="Q110" t="s">
        <v>1065</v>
      </c>
      <c r="R110" t="str">
        <f t="shared" si="72"/>
        <v>[[103,10]]</v>
      </c>
      <c r="S110">
        <f t="shared" si="73"/>
        <v>6000</v>
      </c>
      <c r="T110" t="s">
        <v>1417</v>
      </c>
      <c r="U110" t="s">
        <v>1418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5">
        <f t="shared" si="70"/>
        <v>204310</v>
      </c>
      <c r="G111" s="5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1430</v>
      </c>
      <c r="K111" s="9" t="s">
        <v>1436</v>
      </c>
      <c r="L111">
        <v>100434000</v>
      </c>
      <c r="N111" t="s">
        <v>1435</v>
      </c>
      <c r="O111" t="s">
        <v>1048</v>
      </c>
      <c r="P111" t="s">
        <v>1070</v>
      </c>
      <c r="Q111" t="s">
        <v>1071</v>
      </c>
      <c r="R111" t="str">
        <f t="shared" si="72"/>
        <v>[[103,10]]</v>
      </c>
      <c r="S111">
        <f t="shared" si="73"/>
        <v>10000</v>
      </c>
      <c r="T111" t="s">
        <v>1417</v>
      </c>
      <c r="U111" t="s">
        <v>1418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1229</v>
      </c>
      <c r="E112">
        <v>205101</v>
      </c>
      <c r="F112" s="5" t="s">
        <v>1437</v>
      </c>
      <c r="H112" t="s">
        <v>1438</v>
      </c>
      <c r="I112" t="s">
        <v>1439</v>
      </c>
      <c r="J112" t="s">
        <v>1440</v>
      </c>
      <c r="K112" t="s">
        <v>1441</v>
      </c>
      <c r="N112" t="s">
        <v>1393</v>
      </c>
      <c r="O112" t="s">
        <v>1048</v>
      </c>
      <c r="P112" t="s">
        <v>1049</v>
      </c>
      <c r="Q112" t="s">
        <v>1050</v>
      </c>
      <c r="R112" t="s">
        <v>1051</v>
      </c>
      <c r="S112">
        <v>1000</v>
      </c>
      <c r="T112" t="s">
        <v>1295</v>
      </c>
      <c r="U112" t="s">
        <v>1105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1229</v>
      </c>
      <c r="E113">
        <v>205102</v>
      </c>
      <c r="F113" s="5" t="s">
        <v>1437</v>
      </c>
      <c r="H113" t="s">
        <v>1442</v>
      </c>
      <c r="I113" t="s">
        <v>1443</v>
      </c>
      <c r="J113" t="s">
        <v>1440</v>
      </c>
      <c r="K113" t="s">
        <v>1444</v>
      </c>
      <c r="L113">
        <v>100522000</v>
      </c>
      <c r="N113" t="s">
        <v>1393</v>
      </c>
      <c r="O113" t="s">
        <v>1048</v>
      </c>
      <c r="P113" t="s">
        <v>1056</v>
      </c>
      <c r="Q113" t="s">
        <v>1057</v>
      </c>
      <c r="R113" t="s">
        <v>1051</v>
      </c>
      <c r="S113">
        <v>4000</v>
      </c>
      <c r="T113" t="s">
        <v>1295</v>
      </c>
      <c r="U113" t="s">
        <v>1105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1229</v>
      </c>
      <c r="E114">
        <v>205103</v>
      </c>
      <c r="F114" s="5" t="s">
        <v>1437</v>
      </c>
      <c r="H114" t="s">
        <v>1445</v>
      </c>
      <c r="I114" t="s">
        <v>1446</v>
      </c>
      <c r="J114" t="s">
        <v>1440</v>
      </c>
      <c r="K114" t="s">
        <v>1447</v>
      </c>
      <c r="L114">
        <v>100522000</v>
      </c>
      <c r="N114" t="s">
        <v>1448</v>
      </c>
      <c r="O114" t="s">
        <v>1048</v>
      </c>
      <c r="P114" t="s">
        <v>1064</v>
      </c>
      <c r="Q114" t="s">
        <v>1065</v>
      </c>
      <c r="R114" t="s">
        <v>1051</v>
      </c>
      <c r="S114">
        <v>7500</v>
      </c>
      <c r="T114" t="s">
        <v>1295</v>
      </c>
      <c r="U114" t="s">
        <v>1105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1229</v>
      </c>
      <c r="E115">
        <v>205104</v>
      </c>
      <c r="F115" s="5" t="s">
        <v>1437</v>
      </c>
      <c r="G115" s="5" t="s">
        <v>1449</v>
      </c>
      <c r="H115" t="s">
        <v>1450</v>
      </c>
      <c r="I115" t="s">
        <v>1451</v>
      </c>
      <c r="J115" t="s">
        <v>1440</v>
      </c>
      <c r="K115" t="s">
        <v>1452</v>
      </c>
      <c r="L115">
        <v>100524000</v>
      </c>
      <c r="N115" t="s">
        <v>1448</v>
      </c>
      <c r="O115" t="s">
        <v>1048</v>
      </c>
      <c r="P115" t="s">
        <v>1070</v>
      </c>
      <c r="Q115" t="s">
        <v>1071</v>
      </c>
      <c r="R115" t="s">
        <v>1051</v>
      </c>
      <c r="S115">
        <v>15000</v>
      </c>
      <c r="T115" t="s">
        <v>1295</v>
      </c>
      <c r="U115" t="s">
        <v>1105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1229</v>
      </c>
      <c r="E116">
        <v>205201</v>
      </c>
      <c r="F116" s="5" t="s">
        <v>1453</v>
      </c>
      <c r="H116" t="s">
        <v>1454</v>
      </c>
      <c r="I116" t="s">
        <v>1455</v>
      </c>
      <c r="J116" t="s">
        <v>1456</v>
      </c>
      <c r="K116" t="s">
        <v>1457</v>
      </c>
      <c r="M116"/>
      <c r="N116" t="s">
        <v>1458</v>
      </c>
      <c r="O116" t="s">
        <v>1048</v>
      </c>
      <c r="P116" t="s">
        <v>1049</v>
      </c>
      <c r="Q116" t="s">
        <v>1050</v>
      </c>
      <c r="R116" t="str">
        <f t="shared" ref="R116:R119" si="74">R112</f>
        <v>[[103,10]]</v>
      </c>
      <c r="S116">
        <f t="shared" ref="S116:S119" si="75">S108</f>
        <v>1000</v>
      </c>
      <c r="T116" t="s">
        <v>1052</v>
      </c>
      <c r="U116" t="s">
        <v>1053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1229</v>
      </c>
      <c r="E117">
        <v>205202</v>
      </c>
      <c r="F117" s="5" t="s">
        <v>1453</v>
      </c>
      <c r="H117" t="s">
        <v>1459</v>
      </c>
      <c r="I117" t="s">
        <v>1460</v>
      </c>
      <c r="J117" t="s">
        <v>1456</v>
      </c>
      <c r="K117" s="9" t="s">
        <v>1461</v>
      </c>
      <c r="L117">
        <v>100512000</v>
      </c>
      <c r="M117"/>
      <c r="N117" t="s">
        <v>1458</v>
      </c>
      <c r="O117" t="s">
        <v>1048</v>
      </c>
      <c r="P117" t="s">
        <v>1056</v>
      </c>
      <c r="Q117" t="s">
        <v>1057</v>
      </c>
      <c r="R117" t="str">
        <f t="shared" si="74"/>
        <v>[[103,10]]</v>
      </c>
      <c r="S117">
        <f t="shared" si="75"/>
        <v>3000</v>
      </c>
      <c r="T117" t="s">
        <v>1052</v>
      </c>
      <c r="U117" t="s">
        <v>1053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1229</v>
      </c>
      <c r="E118">
        <v>205203</v>
      </c>
      <c r="F118" s="5" t="s">
        <v>1453</v>
      </c>
      <c r="H118" t="s">
        <v>1462</v>
      </c>
      <c r="I118" t="s">
        <v>1463</v>
      </c>
      <c r="J118" t="s">
        <v>1456</v>
      </c>
      <c r="K118" t="s">
        <v>1464</v>
      </c>
      <c r="L118">
        <v>100512000</v>
      </c>
      <c r="M118"/>
      <c r="N118" t="s">
        <v>1465</v>
      </c>
      <c r="O118" t="s">
        <v>1048</v>
      </c>
      <c r="P118" t="s">
        <v>1064</v>
      </c>
      <c r="Q118" t="s">
        <v>1065</v>
      </c>
      <c r="R118" t="str">
        <f t="shared" si="74"/>
        <v>[[103,10]]</v>
      </c>
      <c r="S118">
        <f t="shared" si="75"/>
        <v>6000</v>
      </c>
      <c r="T118" t="s">
        <v>1052</v>
      </c>
      <c r="U118" t="s">
        <v>1053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1229</v>
      </c>
      <c r="E119">
        <v>205204</v>
      </c>
      <c r="F119" s="5" t="s">
        <v>1453</v>
      </c>
      <c r="G119" s="5">
        <v>205220</v>
      </c>
      <c r="H119" t="s">
        <v>1466</v>
      </c>
      <c r="I119" t="s">
        <v>1467</v>
      </c>
      <c r="J119" t="s">
        <v>1456</v>
      </c>
      <c r="K119" s="9" t="s">
        <v>1468</v>
      </c>
      <c r="L119">
        <v>100514000</v>
      </c>
      <c r="M119"/>
      <c r="N119" t="s">
        <v>1465</v>
      </c>
      <c r="O119" t="s">
        <v>1048</v>
      </c>
      <c r="P119" t="s">
        <v>1070</v>
      </c>
      <c r="Q119" t="s">
        <v>1071</v>
      </c>
      <c r="R119" t="str">
        <f t="shared" si="74"/>
        <v>[[103,10]]</v>
      </c>
      <c r="S119">
        <f t="shared" si="75"/>
        <v>10000</v>
      </c>
      <c r="T119" t="s">
        <v>1052</v>
      </c>
      <c r="U119" t="s">
        <v>1053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5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1469</v>
      </c>
      <c r="K120" t="s">
        <v>1312</v>
      </c>
      <c r="N120" t="s">
        <v>1047</v>
      </c>
      <c r="O120" t="s">
        <v>1048</v>
      </c>
      <c r="P120" t="s">
        <v>1049</v>
      </c>
      <c r="Q120" t="s">
        <v>1050</v>
      </c>
      <c r="R120" t="s">
        <v>1051</v>
      </c>
      <c r="S120">
        <v>1000</v>
      </c>
      <c r="T120" t="s">
        <v>1104</v>
      </c>
      <c r="U120" t="s">
        <v>1105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5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1469</v>
      </c>
      <c r="K121" t="s">
        <v>1470</v>
      </c>
      <c r="L121">
        <v>100532000</v>
      </c>
      <c r="N121" t="s">
        <v>1047</v>
      </c>
      <c r="O121" t="s">
        <v>1048</v>
      </c>
      <c r="P121" t="s">
        <v>1056</v>
      </c>
      <c r="Q121" t="s">
        <v>1057</v>
      </c>
      <c r="R121" t="s">
        <v>1051</v>
      </c>
      <c r="S121">
        <v>4000</v>
      </c>
      <c r="T121" t="s">
        <v>1108</v>
      </c>
      <c r="U121" t="s">
        <v>1109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5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1469</v>
      </c>
      <c r="K122" t="s">
        <v>1471</v>
      </c>
      <c r="L122">
        <v>100532000</v>
      </c>
      <c r="N122" t="s">
        <v>1472</v>
      </c>
      <c r="O122" t="s">
        <v>1048</v>
      </c>
      <c r="P122" t="s">
        <v>1064</v>
      </c>
      <c r="Q122" t="s">
        <v>1065</v>
      </c>
      <c r="R122" t="s">
        <v>1051</v>
      </c>
      <c r="S122">
        <v>7500</v>
      </c>
      <c r="T122" t="s">
        <v>1108</v>
      </c>
      <c r="U122" t="s">
        <v>1109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5">
        <f t="shared" si="81"/>
        <v>205310</v>
      </c>
      <c r="G123" s="5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1469</v>
      </c>
      <c r="K123" t="s">
        <v>1473</v>
      </c>
      <c r="L123">
        <v>100534000</v>
      </c>
      <c r="N123" t="s">
        <v>1472</v>
      </c>
      <c r="O123" t="s">
        <v>1048</v>
      </c>
      <c r="P123" t="s">
        <v>1070</v>
      </c>
      <c r="Q123" t="s">
        <v>1071</v>
      </c>
      <c r="R123" t="s">
        <v>1051</v>
      </c>
      <c r="S123">
        <v>15000</v>
      </c>
      <c r="T123" t="s">
        <v>1108</v>
      </c>
      <c r="U123" t="s">
        <v>1109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1042</v>
      </c>
      <c r="E124">
        <v>301101</v>
      </c>
      <c r="F124" s="5" t="s">
        <v>1474</v>
      </c>
      <c r="H124" t="s">
        <v>1475</v>
      </c>
      <c r="I124" t="s">
        <v>1476</v>
      </c>
      <c r="J124" t="s">
        <v>1477</v>
      </c>
      <c r="K124" t="s">
        <v>1293</v>
      </c>
      <c r="N124" t="s">
        <v>1294</v>
      </c>
      <c r="O124" t="s">
        <v>1048</v>
      </c>
      <c r="P124" t="s">
        <v>1049</v>
      </c>
      <c r="Q124" t="s">
        <v>1050</v>
      </c>
      <c r="R124" t="s">
        <v>1051</v>
      </c>
      <c r="S124">
        <v>1000</v>
      </c>
      <c r="T124" t="s">
        <v>1299</v>
      </c>
      <c r="U124" t="s">
        <v>1109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1042</v>
      </c>
      <c r="E125">
        <v>301102</v>
      </c>
      <c r="F125" s="5" t="s">
        <v>1474</v>
      </c>
      <c r="H125" t="s">
        <v>1478</v>
      </c>
      <c r="I125" t="s">
        <v>1479</v>
      </c>
      <c r="J125" t="s">
        <v>1477</v>
      </c>
      <c r="K125" t="s">
        <v>1480</v>
      </c>
      <c r="L125">
        <v>130112000</v>
      </c>
      <c r="M125" s="5">
        <v>130112000</v>
      </c>
      <c r="N125" t="s">
        <v>1294</v>
      </c>
      <c r="O125" t="s">
        <v>1048</v>
      </c>
      <c r="P125" t="s">
        <v>1056</v>
      </c>
      <c r="Q125" t="s">
        <v>1057</v>
      </c>
      <c r="R125" t="s">
        <v>1051</v>
      </c>
      <c r="S125">
        <v>3000</v>
      </c>
      <c r="T125" t="s">
        <v>1299</v>
      </c>
      <c r="U125" t="s">
        <v>1109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1042</v>
      </c>
      <c r="E126">
        <v>301103</v>
      </c>
      <c r="F126" s="5" t="s">
        <v>1474</v>
      </c>
      <c r="H126" t="s">
        <v>1481</v>
      </c>
      <c r="I126" t="s">
        <v>1482</v>
      </c>
      <c r="J126" t="s">
        <v>1477</v>
      </c>
      <c r="K126" t="s">
        <v>1483</v>
      </c>
      <c r="L126">
        <v>130112000</v>
      </c>
      <c r="M126" s="5">
        <v>130112000</v>
      </c>
      <c r="N126" t="s">
        <v>1484</v>
      </c>
      <c r="O126" t="s">
        <v>1048</v>
      </c>
      <c r="P126" t="s">
        <v>1064</v>
      </c>
      <c r="Q126" t="s">
        <v>1065</v>
      </c>
      <c r="R126" t="s">
        <v>1051</v>
      </c>
      <c r="S126">
        <v>6000</v>
      </c>
      <c r="T126" t="s">
        <v>1299</v>
      </c>
      <c r="U126" t="s">
        <v>1109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1042</v>
      </c>
      <c r="E127">
        <v>301104</v>
      </c>
      <c r="F127" s="5" t="s">
        <v>1474</v>
      </c>
      <c r="G127" s="5" t="s">
        <v>1485</v>
      </c>
      <c r="H127" t="s">
        <v>1486</v>
      </c>
      <c r="I127" t="s">
        <v>1487</v>
      </c>
      <c r="J127" t="s">
        <v>1477</v>
      </c>
      <c r="K127" t="s">
        <v>1488</v>
      </c>
      <c r="L127">
        <v>130114000</v>
      </c>
      <c r="M127" s="5" t="s">
        <v>1489</v>
      </c>
      <c r="N127" t="s">
        <v>1484</v>
      </c>
      <c r="O127" t="s">
        <v>1048</v>
      </c>
      <c r="P127" t="s">
        <v>1070</v>
      </c>
      <c r="Q127" t="s">
        <v>1071</v>
      </c>
      <c r="R127" t="s">
        <v>1051</v>
      </c>
      <c r="S127">
        <v>10000</v>
      </c>
      <c r="T127" t="s">
        <v>1299</v>
      </c>
      <c r="U127" t="s">
        <v>1109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1042</v>
      </c>
      <c r="E128">
        <v>301201</v>
      </c>
      <c r="F128" s="5" t="s">
        <v>1490</v>
      </c>
      <c r="H128" t="s">
        <v>1491</v>
      </c>
      <c r="I128" t="s">
        <v>1492</v>
      </c>
      <c r="J128" t="s">
        <v>1493</v>
      </c>
      <c r="K128" t="s">
        <v>1494</v>
      </c>
      <c r="N128" t="s">
        <v>1495</v>
      </c>
      <c r="O128" t="s">
        <v>1048</v>
      </c>
      <c r="P128" t="s">
        <v>1049</v>
      </c>
      <c r="Q128" t="s">
        <v>1050</v>
      </c>
      <c r="R128" t="s">
        <v>1051</v>
      </c>
      <c r="S128">
        <v>1000</v>
      </c>
      <c r="T128" t="s">
        <v>1496</v>
      </c>
      <c r="U128" t="s">
        <v>1105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1042</v>
      </c>
      <c r="E129">
        <v>301202</v>
      </c>
      <c r="F129" s="5" t="s">
        <v>1490</v>
      </c>
      <c r="H129" t="s">
        <v>1497</v>
      </c>
      <c r="I129" t="s">
        <v>1498</v>
      </c>
      <c r="J129" t="s">
        <v>1493</v>
      </c>
      <c r="K129" t="s">
        <v>1499</v>
      </c>
      <c r="L129">
        <v>130122000</v>
      </c>
      <c r="M129" s="5">
        <v>130122000</v>
      </c>
      <c r="N129" t="s">
        <v>1495</v>
      </c>
      <c r="O129" t="s">
        <v>1048</v>
      </c>
      <c r="P129" t="s">
        <v>1056</v>
      </c>
      <c r="Q129" t="s">
        <v>1057</v>
      </c>
      <c r="R129" t="s">
        <v>1051</v>
      </c>
      <c r="S129">
        <v>3000</v>
      </c>
      <c r="T129" t="s">
        <v>1496</v>
      </c>
      <c r="U129" t="s">
        <v>1105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1042</v>
      </c>
      <c r="E130">
        <v>301203</v>
      </c>
      <c r="F130" s="5" t="s">
        <v>1490</v>
      </c>
      <c r="H130" t="s">
        <v>1500</v>
      </c>
      <c r="I130" t="s">
        <v>1501</v>
      </c>
      <c r="J130" t="s">
        <v>1493</v>
      </c>
      <c r="K130" t="s">
        <v>1502</v>
      </c>
      <c r="L130">
        <v>130122000</v>
      </c>
      <c r="M130" s="5">
        <v>130122000</v>
      </c>
      <c r="N130" t="s">
        <v>1503</v>
      </c>
      <c r="O130" t="s">
        <v>1048</v>
      </c>
      <c r="P130" t="s">
        <v>1064</v>
      </c>
      <c r="Q130" t="s">
        <v>1065</v>
      </c>
      <c r="R130" t="s">
        <v>1051</v>
      </c>
      <c r="S130">
        <v>6000</v>
      </c>
      <c r="T130" t="s">
        <v>1496</v>
      </c>
      <c r="U130" t="s">
        <v>1105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1042</v>
      </c>
      <c r="E131">
        <v>301204</v>
      </c>
      <c r="F131" s="5" t="s">
        <v>1490</v>
      </c>
      <c r="G131" s="5" t="s">
        <v>1504</v>
      </c>
      <c r="H131" t="s">
        <v>1505</v>
      </c>
      <c r="I131" t="s">
        <v>1506</v>
      </c>
      <c r="J131" t="s">
        <v>1493</v>
      </c>
      <c r="K131" t="s">
        <v>1507</v>
      </c>
      <c r="L131">
        <v>130124000</v>
      </c>
      <c r="M131" s="5">
        <v>130124000</v>
      </c>
      <c r="N131" t="s">
        <v>1503</v>
      </c>
      <c r="O131" t="s">
        <v>1048</v>
      </c>
      <c r="P131" t="s">
        <v>1070</v>
      </c>
      <c r="Q131" t="s">
        <v>1071</v>
      </c>
      <c r="R131" t="s">
        <v>1051</v>
      </c>
      <c r="S131">
        <v>10000</v>
      </c>
      <c r="T131" t="s">
        <v>1496</v>
      </c>
      <c r="U131" t="s">
        <v>1105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5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1508</v>
      </c>
      <c r="K132" t="s">
        <v>1424</v>
      </c>
      <c r="N132" t="s">
        <v>1509</v>
      </c>
      <c r="O132" t="s">
        <v>1048</v>
      </c>
      <c r="P132" t="s">
        <v>1049</v>
      </c>
      <c r="Q132" t="s">
        <v>1050</v>
      </c>
      <c r="R132" t="str">
        <f t="shared" ref="R132:R135" si="90">R128</f>
        <v>[[103,10]]</v>
      </c>
      <c r="S132">
        <f t="shared" ref="S132:S135" si="91">S124</f>
        <v>1000</v>
      </c>
      <c r="T132" t="s">
        <v>1052</v>
      </c>
      <c r="U132" t="s">
        <v>1053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5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1508</v>
      </c>
      <c r="K133" s="9" t="s">
        <v>1510</v>
      </c>
      <c r="L133">
        <v>130132000</v>
      </c>
      <c r="M133" s="5">
        <v>130132000</v>
      </c>
      <c r="N133" t="s">
        <v>1509</v>
      </c>
      <c r="O133" t="s">
        <v>1048</v>
      </c>
      <c r="P133" t="s">
        <v>1056</v>
      </c>
      <c r="Q133" t="s">
        <v>1057</v>
      </c>
      <c r="R133" t="str">
        <f t="shared" si="90"/>
        <v>[[103,10]]</v>
      </c>
      <c r="S133">
        <f t="shared" si="91"/>
        <v>3000</v>
      </c>
      <c r="T133" t="s">
        <v>1052</v>
      </c>
      <c r="U133" t="s">
        <v>1053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5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1508</v>
      </c>
      <c r="K134" t="s">
        <v>1312</v>
      </c>
      <c r="L134">
        <v>130132000</v>
      </c>
      <c r="M134" s="5">
        <v>130132000</v>
      </c>
      <c r="N134" t="s">
        <v>1425</v>
      </c>
      <c r="O134" t="s">
        <v>1048</v>
      </c>
      <c r="P134" t="s">
        <v>1064</v>
      </c>
      <c r="Q134" t="s">
        <v>1065</v>
      </c>
      <c r="R134" t="str">
        <f t="shared" si="90"/>
        <v>[[103,10]]</v>
      </c>
      <c r="S134">
        <f t="shared" si="91"/>
        <v>6000</v>
      </c>
      <c r="T134" t="s">
        <v>1052</v>
      </c>
      <c r="U134" t="s">
        <v>1053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5">
        <f t="shared" si="88"/>
        <v>301310</v>
      </c>
      <c r="G135" s="5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1508</v>
      </c>
      <c r="K135" s="9" t="s">
        <v>1511</v>
      </c>
      <c r="L135">
        <v>130132000</v>
      </c>
      <c r="M135" s="5" t="s">
        <v>1512</v>
      </c>
      <c r="N135" t="s">
        <v>1425</v>
      </c>
      <c r="O135" t="s">
        <v>1048</v>
      </c>
      <c r="P135" t="s">
        <v>1070</v>
      </c>
      <c r="Q135" t="s">
        <v>1071</v>
      </c>
      <c r="R135" t="str">
        <f t="shared" si="90"/>
        <v>[[103,10]]</v>
      </c>
      <c r="S135">
        <f t="shared" si="91"/>
        <v>10000</v>
      </c>
      <c r="T135" t="s">
        <v>1052</v>
      </c>
      <c r="U135" t="s">
        <v>1053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1098</v>
      </c>
      <c r="E136">
        <v>302101</v>
      </c>
      <c r="F136" s="5" t="s">
        <v>1513</v>
      </c>
      <c r="H136" t="s">
        <v>1514</v>
      </c>
      <c r="I136" t="s">
        <v>1515</v>
      </c>
      <c r="J136" t="s">
        <v>1516</v>
      </c>
      <c r="K136" t="s">
        <v>1517</v>
      </c>
      <c r="L136">
        <v>130211000</v>
      </c>
      <c r="O136" t="s">
        <v>1048</v>
      </c>
      <c r="P136" t="s">
        <v>1049</v>
      </c>
      <c r="Q136" t="s">
        <v>1050</v>
      </c>
      <c r="R136" t="s">
        <v>1051</v>
      </c>
      <c r="S136">
        <v>2000</v>
      </c>
      <c r="T136" t="s">
        <v>1299</v>
      </c>
      <c r="U136" t="s">
        <v>1109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1098</v>
      </c>
      <c r="E137">
        <v>302102</v>
      </c>
      <c r="F137" s="5" t="s">
        <v>1513</v>
      </c>
      <c r="H137" t="s">
        <v>1518</v>
      </c>
      <c r="I137" t="s">
        <v>1519</v>
      </c>
      <c r="J137" t="s">
        <v>1516</v>
      </c>
      <c r="K137" t="s">
        <v>1520</v>
      </c>
      <c r="L137">
        <v>130212000</v>
      </c>
      <c r="O137" t="s">
        <v>1048</v>
      </c>
      <c r="P137" t="s">
        <v>1056</v>
      </c>
      <c r="Q137" t="s">
        <v>1057</v>
      </c>
      <c r="R137" t="s">
        <v>1051</v>
      </c>
      <c r="S137">
        <v>5000</v>
      </c>
      <c r="T137" t="s">
        <v>1299</v>
      </c>
      <c r="U137" t="s">
        <v>1109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1098</v>
      </c>
      <c r="E138">
        <v>302103</v>
      </c>
      <c r="F138" s="5" t="s">
        <v>1513</v>
      </c>
      <c r="H138" t="s">
        <v>1521</v>
      </c>
      <c r="I138" t="s">
        <v>1522</v>
      </c>
      <c r="J138" t="s">
        <v>1516</v>
      </c>
      <c r="K138" t="s">
        <v>1342</v>
      </c>
      <c r="L138">
        <v>130212000</v>
      </c>
      <c r="N138" t="s">
        <v>1523</v>
      </c>
      <c r="O138" t="s">
        <v>1048</v>
      </c>
      <c r="P138" t="s">
        <v>1064</v>
      </c>
      <c r="Q138" t="s">
        <v>1065</v>
      </c>
      <c r="R138" t="s">
        <v>1051</v>
      </c>
      <c r="S138">
        <v>10000</v>
      </c>
      <c r="T138" t="s">
        <v>1299</v>
      </c>
      <c r="U138" t="s">
        <v>1109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1098</v>
      </c>
      <c r="E139">
        <v>302104</v>
      </c>
      <c r="F139" s="5" t="s">
        <v>1513</v>
      </c>
      <c r="G139" s="5" t="s">
        <v>1524</v>
      </c>
      <c r="H139" t="s">
        <v>1525</v>
      </c>
      <c r="I139" t="s">
        <v>1526</v>
      </c>
      <c r="J139" t="s">
        <v>1516</v>
      </c>
      <c r="K139" t="s">
        <v>1527</v>
      </c>
      <c r="L139">
        <v>130214000</v>
      </c>
      <c r="N139" t="s">
        <v>1523</v>
      </c>
      <c r="O139" t="s">
        <v>1048</v>
      </c>
      <c r="P139" t="s">
        <v>1070</v>
      </c>
      <c r="Q139" t="s">
        <v>1071</v>
      </c>
      <c r="R139" t="s">
        <v>1051</v>
      </c>
      <c r="S139">
        <v>20000</v>
      </c>
      <c r="T139" t="s">
        <v>1299</v>
      </c>
      <c r="U139" t="s">
        <v>1109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1098</v>
      </c>
      <c r="E140">
        <v>302201</v>
      </c>
      <c r="F140" s="5" t="s">
        <v>1528</v>
      </c>
      <c r="H140" t="s">
        <v>1529</v>
      </c>
      <c r="I140" t="s">
        <v>1530</v>
      </c>
      <c r="J140" t="s">
        <v>1531</v>
      </c>
      <c r="K140" t="s">
        <v>1424</v>
      </c>
      <c r="N140" t="s">
        <v>1509</v>
      </c>
      <c r="O140" t="s">
        <v>1048</v>
      </c>
      <c r="P140" t="s">
        <v>1049</v>
      </c>
      <c r="Q140" t="s">
        <v>1050</v>
      </c>
      <c r="R140" t="s">
        <v>1051</v>
      </c>
      <c r="S140">
        <v>2000</v>
      </c>
      <c r="T140" t="s">
        <v>1496</v>
      </c>
      <c r="U140" t="s">
        <v>1105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1098</v>
      </c>
      <c r="E141">
        <v>302202</v>
      </c>
      <c r="F141" s="5" t="s">
        <v>1528</v>
      </c>
      <c r="H141" t="s">
        <v>1532</v>
      </c>
      <c r="I141" t="s">
        <v>1533</v>
      </c>
      <c r="J141" t="s">
        <v>1531</v>
      </c>
      <c r="K141" t="s">
        <v>1534</v>
      </c>
      <c r="L141">
        <v>130222000</v>
      </c>
      <c r="N141" t="s">
        <v>1509</v>
      </c>
      <c r="O141" t="s">
        <v>1048</v>
      </c>
      <c r="P141" t="s">
        <v>1056</v>
      </c>
      <c r="Q141" t="s">
        <v>1057</v>
      </c>
      <c r="R141" t="s">
        <v>1051</v>
      </c>
      <c r="S141">
        <v>5000</v>
      </c>
      <c r="T141" t="s">
        <v>1496</v>
      </c>
      <c r="U141" t="s">
        <v>1105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1098</v>
      </c>
      <c r="E142">
        <v>302203</v>
      </c>
      <c r="F142" s="5" t="s">
        <v>1528</v>
      </c>
      <c r="H142" t="s">
        <v>1535</v>
      </c>
      <c r="I142" t="s">
        <v>1536</v>
      </c>
      <c r="J142" t="s">
        <v>1531</v>
      </c>
      <c r="K142" t="s">
        <v>1537</v>
      </c>
      <c r="L142">
        <v>130222000</v>
      </c>
      <c r="N142" t="s">
        <v>1538</v>
      </c>
      <c r="O142" t="s">
        <v>1048</v>
      </c>
      <c r="P142" t="s">
        <v>1064</v>
      </c>
      <c r="Q142" t="s">
        <v>1065</v>
      </c>
      <c r="R142" t="s">
        <v>1051</v>
      </c>
      <c r="S142">
        <v>10000</v>
      </c>
      <c r="T142" t="s">
        <v>1496</v>
      </c>
      <c r="U142" t="s">
        <v>1105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1098</v>
      </c>
      <c r="E143">
        <v>302204</v>
      </c>
      <c r="F143" s="5" t="s">
        <v>1528</v>
      </c>
      <c r="G143" s="5" t="s">
        <v>1539</v>
      </c>
      <c r="H143" t="s">
        <v>1540</v>
      </c>
      <c r="I143" t="s">
        <v>1541</v>
      </c>
      <c r="J143" t="s">
        <v>1531</v>
      </c>
      <c r="K143" t="s">
        <v>1542</v>
      </c>
      <c r="L143">
        <v>130224000</v>
      </c>
      <c r="N143" t="s">
        <v>1538</v>
      </c>
      <c r="O143" t="s">
        <v>1048</v>
      </c>
      <c r="P143" t="s">
        <v>1070</v>
      </c>
      <c r="Q143" t="s">
        <v>1071</v>
      </c>
      <c r="R143" t="s">
        <v>1051</v>
      </c>
      <c r="S143">
        <v>20000</v>
      </c>
      <c r="T143" t="s">
        <v>1496</v>
      </c>
      <c r="U143" t="s">
        <v>1105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5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1543</v>
      </c>
      <c r="K144" s="9" t="s">
        <v>1544</v>
      </c>
      <c r="N144" t="s">
        <v>1545</v>
      </c>
      <c r="O144" t="s">
        <v>1048</v>
      </c>
      <c r="P144" t="s">
        <v>1049</v>
      </c>
      <c r="Q144" t="s">
        <v>1050</v>
      </c>
      <c r="R144" t="str">
        <f t="shared" ref="R144:R147" si="99">R140</f>
        <v>[[103,10]]</v>
      </c>
      <c r="S144">
        <f t="shared" ref="S144:S147" si="100">S136</f>
        <v>2000</v>
      </c>
      <c r="T144" t="s">
        <v>1052</v>
      </c>
      <c r="U144" t="s">
        <v>1053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5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1543</v>
      </c>
      <c r="K145" s="9" t="s">
        <v>1546</v>
      </c>
      <c r="L145">
        <v>130232000</v>
      </c>
      <c r="N145" t="s">
        <v>1545</v>
      </c>
      <c r="O145" t="s">
        <v>1048</v>
      </c>
      <c r="P145" t="s">
        <v>1056</v>
      </c>
      <c r="Q145" t="s">
        <v>1057</v>
      </c>
      <c r="R145" t="str">
        <f t="shared" si="99"/>
        <v>[[103,10]]</v>
      </c>
      <c r="S145">
        <f t="shared" si="100"/>
        <v>5000</v>
      </c>
      <c r="T145" t="s">
        <v>1052</v>
      </c>
      <c r="U145" t="s">
        <v>1053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5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1543</v>
      </c>
      <c r="K146" s="9" t="s">
        <v>1547</v>
      </c>
      <c r="L146">
        <v>130232000</v>
      </c>
      <c r="N146" t="s">
        <v>1548</v>
      </c>
      <c r="O146" t="s">
        <v>1048</v>
      </c>
      <c r="P146" t="s">
        <v>1064</v>
      </c>
      <c r="Q146" t="s">
        <v>1065</v>
      </c>
      <c r="R146" t="str">
        <f t="shared" si="99"/>
        <v>[[103,10]]</v>
      </c>
      <c r="S146">
        <f t="shared" si="100"/>
        <v>10000</v>
      </c>
      <c r="T146" t="s">
        <v>1052</v>
      </c>
      <c r="U146" t="s">
        <v>1053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5">
        <f t="shared" si="97"/>
        <v>302310</v>
      </c>
      <c r="G147" s="5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1543</v>
      </c>
      <c r="K147" s="9" t="s">
        <v>1549</v>
      </c>
      <c r="L147">
        <v>130234000</v>
      </c>
      <c r="N147" t="s">
        <v>1548</v>
      </c>
      <c r="O147" t="s">
        <v>1048</v>
      </c>
      <c r="P147" t="s">
        <v>1070</v>
      </c>
      <c r="Q147" t="s">
        <v>1071</v>
      </c>
      <c r="R147" t="str">
        <f t="shared" si="99"/>
        <v>[[103,10]]</v>
      </c>
      <c r="S147">
        <f t="shared" si="100"/>
        <v>20000</v>
      </c>
      <c r="T147" t="s">
        <v>1052</v>
      </c>
      <c r="U147" t="s">
        <v>1053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1135</v>
      </c>
      <c r="E148">
        <v>303101</v>
      </c>
      <c r="F148" s="5" t="s">
        <v>1550</v>
      </c>
      <c r="H148" t="s">
        <v>1551</v>
      </c>
      <c r="I148" t="s">
        <v>1552</v>
      </c>
      <c r="J148" t="s">
        <v>1553</v>
      </c>
      <c r="K148" t="s">
        <v>1281</v>
      </c>
      <c r="N148" t="s">
        <v>1554</v>
      </c>
      <c r="O148" t="s">
        <v>1048</v>
      </c>
      <c r="P148" t="s">
        <v>1049</v>
      </c>
      <c r="Q148" t="s">
        <v>1050</v>
      </c>
      <c r="R148" t="s">
        <v>1051</v>
      </c>
      <c r="S148">
        <v>1000</v>
      </c>
      <c r="T148" t="s">
        <v>1555</v>
      </c>
      <c r="U148" t="s">
        <v>1556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1135</v>
      </c>
      <c r="E149">
        <v>303102</v>
      </c>
      <c r="F149" s="5" t="s">
        <v>1550</v>
      </c>
      <c r="H149" t="s">
        <v>1557</v>
      </c>
      <c r="I149" t="s">
        <v>1558</v>
      </c>
      <c r="J149" t="s">
        <v>1553</v>
      </c>
      <c r="K149" t="s">
        <v>1559</v>
      </c>
      <c r="L149">
        <v>130312000</v>
      </c>
      <c r="N149" t="s">
        <v>1554</v>
      </c>
      <c r="O149" t="s">
        <v>1048</v>
      </c>
      <c r="P149" t="s">
        <v>1056</v>
      </c>
      <c r="Q149" t="s">
        <v>1057</v>
      </c>
      <c r="R149" t="s">
        <v>1051</v>
      </c>
      <c r="S149">
        <v>3000</v>
      </c>
      <c r="T149" t="s">
        <v>1555</v>
      </c>
      <c r="U149" t="s">
        <v>1556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1135</v>
      </c>
      <c r="E150">
        <v>303103</v>
      </c>
      <c r="F150" s="5" t="s">
        <v>1550</v>
      </c>
      <c r="H150" t="s">
        <v>1560</v>
      </c>
      <c r="I150" t="s">
        <v>1561</v>
      </c>
      <c r="J150" t="s">
        <v>1553</v>
      </c>
      <c r="K150" t="s">
        <v>1562</v>
      </c>
      <c r="L150">
        <v>130313000</v>
      </c>
      <c r="N150" t="s">
        <v>1563</v>
      </c>
      <c r="O150" t="s">
        <v>1048</v>
      </c>
      <c r="P150" t="s">
        <v>1064</v>
      </c>
      <c r="Q150" t="s">
        <v>1065</v>
      </c>
      <c r="R150" t="s">
        <v>1051</v>
      </c>
      <c r="S150">
        <v>6000</v>
      </c>
      <c r="T150" t="s">
        <v>1555</v>
      </c>
      <c r="U150" t="s">
        <v>1556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1135</v>
      </c>
      <c r="E151">
        <v>303104</v>
      </c>
      <c r="F151" s="5" t="s">
        <v>1550</v>
      </c>
      <c r="G151" s="5" t="s">
        <v>1564</v>
      </c>
      <c r="H151" t="s">
        <v>1565</v>
      </c>
      <c r="I151" t="s">
        <v>1566</v>
      </c>
      <c r="J151" t="s">
        <v>1553</v>
      </c>
      <c r="K151" t="s">
        <v>1567</v>
      </c>
      <c r="L151">
        <v>130314000</v>
      </c>
      <c r="N151" t="s">
        <v>1563</v>
      </c>
      <c r="O151" t="s">
        <v>1048</v>
      </c>
      <c r="P151" t="s">
        <v>1070</v>
      </c>
      <c r="Q151" t="s">
        <v>1071</v>
      </c>
      <c r="R151" t="s">
        <v>1051</v>
      </c>
      <c r="S151">
        <v>10000</v>
      </c>
      <c r="T151" t="s">
        <v>1555</v>
      </c>
      <c r="U151" t="s">
        <v>1556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1135</v>
      </c>
      <c r="E152">
        <v>303201</v>
      </c>
      <c r="F152" s="5" t="s">
        <v>1568</v>
      </c>
      <c r="H152" t="s">
        <v>1569</v>
      </c>
      <c r="I152" t="s">
        <v>1570</v>
      </c>
      <c r="J152" t="s">
        <v>1571</v>
      </c>
      <c r="K152" t="s">
        <v>1572</v>
      </c>
      <c r="N152" t="s">
        <v>1266</v>
      </c>
      <c r="O152" t="s">
        <v>1048</v>
      </c>
      <c r="P152" t="s">
        <v>1049</v>
      </c>
      <c r="Q152" t="s">
        <v>1050</v>
      </c>
      <c r="R152" t="s">
        <v>1051</v>
      </c>
      <c r="S152">
        <v>1000</v>
      </c>
      <c r="T152" t="s">
        <v>1573</v>
      </c>
      <c r="U152" t="s">
        <v>1143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1135</v>
      </c>
      <c r="E153">
        <v>303202</v>
      </c>
      <c r="F153" s="5" t="s">
        <v>1568</v>
      </c>
      <c r="H153" t="s">
        <v>1574</v>
      </c>
      <c r="I153" t="s">
        <v>1575</v>
      </c>
      <c r="J153" t="s">
        <v>1571</v>
      </c>
      <c r="K153" t="s">
        <v>1576</v>
      </c>
      <c r="L153">
        <v>130322000</v>
      </c>
      <c r="N153" t="s">
        <v>1266</v>
      </c>
      <c r="O153" t="s">
        <v>1048</v>
      </c>
      <c r="P153" t="s">
        <v>1056</v>
      </c>
      <c r="Q153" t="s">
        <v>1057</v>
      </c>
      <c r="R153" t="s">
        <v>1051</v>
      </c>
      <c r="S153">
        <v>3000</v>
      </c>
      <c r="T153" t="s">
        <v>1573</v>
      </c>
      <c r="U153" t="s">
        <v>1143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1135</v>
      </c>
      <c r="E154">
        <v>303203</v>
      </c>
      <c r="F154" s="5" t="s">
        <v>1568</v>
      </c>
      <c r="H154" t="s">
        <v>1577</v>
      </c>
      <c r="I154" t="s">
        <v>1578</v>
      </c>
      <c r="J154" t="s">
        <v>1571</v>
      </c>
      <c r="K154" t="s">
        <v>1579</v>
      </c>
      <c r="N154" t="s">
        <v>1580</v>
      </c>
      <c r="O154" t="s">
        <v>1048</v>
      </c>
      <c r="P154" t="s">
        <v>1064</v>
      </c>
      <c r="Q154" t="s">
        <v>1065</v>
      </c>
      <c r="R154" t="s">
        <v>1051</v>
      </c>
      <c r="S154">
        <v>6000</v>
      </c>
      <c r="T154" t="s">
        <v>1573</v>
      </c>
      <c r="U154" t="s">
        <v>1143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1135</v>
      </c>
      <c r="E155">
        <v>303204</v>
      </c>
      <c r="F155" s="5" t="s">
        <v>1568</v>
      </c>
      <c r="G155" s="5" t="s">
        <v>1581</v>
      </c>
      <c r="H155" t="s">
        <v>1582</v>
      </c>
      <c r="I155" t="s">
        <v>1583</v>
      </c>
      <c r="J155" t="s">
        <v>1571</v>
      </c>
      <c r="K155" t="s">
        <v>1584</v>
      </c>
      <c r="L155">
        <v>130324000</v>
      </c>
      <c r="N155" t="s">
        <v>1580</v>
      </c>
      <c r="O155" t="s">
        <v>1048</v>
      </c>
      <c r="P155" t="s">
        <v>1070</v>
      </c>
      <c r="Q155" t="s">
        <v>1071</v>
      </c>
      <c r="R155" t="s">
        <v>1051</v>
      </c>
      <c r="S155">
        <v>10000</v>
      </c>
      <c r="T155" t="s">
        <v>1573</v>
      </c>
      <c r="U155" t="s">
        <v>1143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5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1585</v>
      </c>
      <c r="K156" t="s">
        <v>1586</v>
      </c>
      <c r="N156" t="s">
        <v>1093</v>
      </c>
      <c r="O156" t="s">
        <v>1048</v>
      </c>
      <c r="P156" t="s">
        <v>1049</v>
      </c>
      <c r="Q156" t="s">
        <v>1050</v>
      </c>
      <c r="R156" t="str">
        <f t="shared" ref="R156:R159" si="108">R152</f>
        <v>[[103,10]]</v>
      </c>
      <c r="S156">
        <f t="shared" ref="S156:S159" si="109">S148</f>
        <v>1000</v>
      </c>
      <c r="T156" t="s">
        <v>1587</v>
      </c>
      <c r="U156" t="s">
        <v>1588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5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1585</v>
      </c>
      <c r="K157" s="9" t="s">
        <v>1589</v>
      </c>
      <c r="L157">
        <v>130332000</v>
      </c>
      <c r="N157" t="s">
        <v>1093</v>
      </c>
      <c r="O157" t="s">
        <v>1048</v>
      </c>
      <c r="P157" t="s">
        <v>1056</v>
      </c>
      <c r="Q157" t="s">
        <v>1057</v>
      </c>
      <c r="R157" t="str">
        <f t="shared" si="108"/>
        <v>[[103,10]]</v>
      </c>
      <c r="S157">
        <f t="shared" si="109"/>
        <v>3000</v>
      </c>
      <c r="T157" t="s">
        <v>1587</v>
      </c>
      <c r="U157" t="s">
        <v>1588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5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1585</v>
      </c>
      <c r="K158" t="s">
        <v>1590</v>
      </c>
      <c r="L158">
        <v>130332000</v>
      </c>
      <c r="N158" t="s">
        <v>1591</v>
      </c>
      <c r="O158" t="s">
        <v>1048</v>
      </c>
      <c r="P158" t="s">
        <v>1064</v>
      </c>
      <c r="Q158" t="s">
        <v>1065</v>
      </c>
      <c r="R158" t="str">
        <f t="shared" si="108"/>
        <v>[[103,10]]</v>
      </c>
      <c r="S158">
        <f t="shared" si="109"/>
        <v>6000</v>
      </c>
      <c r="T158" t="s">
        <v>1587</v>
      </c>
      <c r="U158" t="s">
        <v>1588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5">
        <f t="shared" si="106"/>
        <v>303310</v>
      </c>
      <c r="G159" s="5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1585</v>
      </c>
      <c r="K159" s="9" t="s">
        <v>1592</v>
      </c>
      <c r="L159">
        <v>130334000</v>
      </c>
      <c r="N159" t="s">
        <v>1591</v>
      </c>
      <c r="O159" t="s">
        <v>1048</v>
      </c>
      <c r="P159" t="s">
        <v>1070</v>
      </c>
      <c r="Q159" t="s">
        <v>1071</v>
      </c>
      <c r="R159" t="str">
        <f t="shared" si="108"/>
        <v>[[103,10]]</v>
      </c>
      <c r="S159">
        <f t="shared" si="109"/>
        <v>10000</v>
      </c>
      <c r="T159" t="s">
        <v>1587</v>
      </c>
      <c r="U159" t="s">
        <v>1588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1184</v>
      </c>
      <c r="E160">
        <v>304101</v>
      </c>
      <c r="F160" s="5" t="s">
        <v>1593</v>
      </c>
      <c r="H160" t="s">
        <v>1594</v>
      </c>
      <c r="I160" t="s">
        <v>1595</v>
      </c>
      <c r="J160" t="s">
        <v>1596</v>
      </c>
      <c r="K160" t="s">
        <v>1281</v>
      </c>
      <c r="N160" t="s">
        <v>1554</v>
      </c>
      <c r="O160" t="s">
        <v>1048</v>
      </c>
      <c r="P160" t="s">
        <v>1049</v>
      </c>
      <c r="Q160" t="s">
        <v>1050</v>
      </c>
      <c r="R160" t="s">
        <v>1051</v>
      </c>
      <c r="S160">
        <v>1000</v>
      </c>
      <c r="T160" t="s">
        <v>1417</v>
      </c>
      <c r="U160" t="s">
        <v>1380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1184</v>
      </c>
      <c r="E161">
        <v>304102</v>
      </c>
      <c r="F161" s="5" t="s">
        <v>1593</v>
      </c>
      <c r="H161" t="s">
        <v>1597</v>
      </c>
      <c r="I161" t="s">
        <v>1598</v>
      </c>
      <c r="J161" t="s">
        <v>1596</v>
      </c>
      <c r="K161" t="s">
        <v>1599</v>
      </c>
      <c r="L161">
        <v>130412000</v>
      </c>
      <c r="N161" t="s">
        <v>1554</v>
      </c>
      <c r="O161" t="s">
        <v>1048</v>
      </c>
      <c r="P161" t="s">
        <v>1056</v>
      </c>
      <c r="Q161" t="s">
        <v>1057</v>
      </c>
      <c r="R161" t="s">
        <v>1051</v>
      </c>
      <c r="S161">
        <v>3000</v>
      </c>
      <c r="T161" t="s">
        <v>1600</v>
      </c>
      <c r="U161" t="s">
        <v>1601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1184</v>
      </c>
      <c r="E162">
        <v>304103</v>
      </c>
      <c r="F162" s="5" t="s">
        <v>1593</v>
      </c>
      <c r="H162" t="s">
        <v>1602</v>
      </c>
      <c r="I162" t="s">
        <v>1603</v>
      </c>
      <c r="J162" t="s">
        <v>1596</v>
      </c>
      <c r="K162" t="s">
        <v>1604</v>
      </c>
      <c r="L162">
        <v>130412000</v>
      </c>
      <c r="N162" t="s">
        <v>1605</v>
      </c>
      <c r="O162" t="s">
        <v>1048</v>
      </c>
      <c r="P162" t="s">
        <v>1064</v>
      </c>
      <c r="Q162" t="s">
        <v>1065</v>
      </c>
      <c r="R162" t="s">
        <v>1051</v>
      </c>
      <c r="S162">
        <v>6000</v>
      </c>
      <c r="T162" t="s">
        <v>1600</v>
      </c>
      <c r="U162" t="s">
        <v>1601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1184</v>
      </c>
      <c r="E163">
        <v>304104</v>
      </c>
      <c r="F163" s="5" t="s">
        <v>1593</v>
      </c>
      <c r="G163" s="5" t="s">
        <v>1606</v>
      </c>
      <c r="H163" t="s">
        <v>1607</v>
      </c>
      <c r="I163" t="s">
        <v>1608</v>
      </c>
      <c r="J163" t="s">
        <v>1596</v>
      </c>
      <c r="K163" t="s">
        <v>1609</v>
      </c>
      <c r="L163">
        <v>130414000</v>
      </c>
      <c r="N163" t="s">
        <v>1605</v>
      </c>
      <c r="O163" t="s">
        <v>1048</v>
      </c>
      <c r="P163" t="s">
        <v>1070</v>
      </c>
      <c r="Q163" t="s">
        <v>1071</v>
      </c>
      <c r="R163" t="s">
        <v>1051</v>
      </c>
      <c r="S163">
        <v>10000</v>
      </c>
      <c r="T163" t="s">
        <v>1600</v>
      </c>
      <c r="U163" t="s">
        <v>1601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1184</v>
      </c>
      <c r="E164">
        <v>304201</v>
      </c>
      <c r="F164" s="5" t="s">
        <v>1610</v>
      </c>
      <c r="H164" t="s">
        <v>1611</v>
      </c>
      <c r="I164" t="s">
        <v>1612</v>
      </c>
      <c r="J164" t="s">
        <v>1613</v>
      </c>
      <c r="K164" t="s">
        <v>1614</v>
      </c>
      <c r="L164">
        <v>130411000</v>
      </c>
      <c r="N164" t="s">
        <v>1615</v>
      </c>
      <c r="O164" t="s">
        <v>1048</v>
      </c>
      <c r="P164" t="s">
        <v>1049</v>
      </c>
      <c r="Q164" t="s">
        <v>1050</v>
      </c>
      <c r="R164" t="s">
        <v>1051</v>
      </c>
      <c r="S164">
        <v>1000</v>
      </c>
      <c r="T164" t="s">
        <v>1417</v>
      </c>
      <c r="U164" t="s">
        <v>1380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1184</v>
      </c>
      <c r="E165">
        <v>304202</v>
      </c>
      <c r="F165" s="5" t="s">
        <v>1610</v>
      </c>
      <c r="H165" t="s">
        <v>1616</v>
      </c>
      <c r="I165" t="s">
        <v>1617</v>
      </c>
      <c r="J165" t="s">
        <v>1613</v>
      </c>
      <c r="K165" t="s">
        <v>1618</v>
      </c>
      <c r="L165">
        <v>130422000</v>
      </c>
      <c r="N165" t="s">
        <v>1615</v>
      </c>
      <c r="O165" t="s">
        <v>1048</v>
      </c>
      <c r="P165" t="s">
        <v>1056</v>
      </c>
      <c r="Q165" t="s">
        <v>1057</v>
      </c>
      <c r="R165" t="s">
        <v>1051</v>
      </c>
      <c r="S165">
        <v>3000</v>
      </c>
      <c r="T165" t="s">
        <v>1417</v>
      </c>
      <c r="U165" t="s">
        <v>1380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1184</v>
      </c>
      <c r="E166">
        <v>304203</v>
      </c>
      <c r="F166" s="5" t="s">
        <v>1610</v>
      </c>
      <c r="H166" t="s">
        <v>1619</v>
      </c>
      <c r="I166" t="s">
        <v>1620</v>
      </c>
      <c r="J166" t="s">
        <v>1613</v>
      </c>
      <c r="K166" t="s">
        <v>1424</v>
      </c>
      <c r="L166">
        <v>130422000</v>
      </c>
      <c r="N166" t="s">
        <v>1621</v>
      </c>
      <c r="O166" t="s">
        <v>1048</v>
      </c>
      <c r="P166" t="s">
        <v>1064</v>
      </c>
      <c r="Q166" t="s">
        <v>1065</v>
      </c>
      <c r="R166" t="s">
        <v>1051</v>
      </c>
      <c r="S166">
        <v>6000</v>
      </c>
      <c r="T166" t="s">
        <v>1417</v>
      </c>
      <c r="U166" t="s">
        <v>1380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1184</v>
      </c>
      <c r="E167">
        <v>304204</v>
      </c>
      <c r="F167" s="5" t="s">
        <v>1610</v>
      </c>
      <c r="G167" s="5" t="s">
        <v>1622</v>
      </c>
      <c r="H167" t="s">
        <v>1623</v>
      </c>
      <c r="I167" t="s">
        <v>1624</v>
      </c>
      <c r="J167" t="s">
        <v>1613</v>
      </c>
      <c r="K167" t="s">
        <v>1625</v>
      </c>
      <c r="L167">
        <v>130424000</v>
      </c>
      <c r="N167" t="s">
        <v>1621</v>
      </c>
      <c r="O167" t="s">
        <v>1048</v>
      </c>
      <c r="P167" t="s">
        <v>1070</v>
      </c>
      <c r="Q167" t="s">
        <v>1071</v>
      </c>
      <c r="R167" t="s">
        <v>1051</v>
      </c>
      <c r="S167">
        <v>10000</v>
      </c>
      <c r="T167" t="s">
        <v>1417</v>
      </c>
      <c r="U167" t="s">
        <v>1380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5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1626</v>
      </c>
      <c r="K168" t="s">
        <v>1627</v>
      </c>
      <c r="N168" t="s">
        <v>1628</v>
      </c>
      <c r="O168" t="s">
        <v>1048</v>
      </c>
      <c r="P168" t="s">
        <v>1049</v>
      </c>
      <c r="Q168" t="s">
        <v>1050</v>
      </c>
      <c r="R168" t="str">
        <f t="shared" ref="R168:R171" si="117">R164</f>
        <v>[[103,10]]</v>
      </c>
      <c r="S168">
        <f t="shared" ref="S168:S171" si="118">S160</f>
        <v>1000</v>
      </c>
      <c r="T168" t="s">
        <v>1629</v>
      </c>
      <c r="U168" t="s">
        <v>1143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5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1626</v>
      </c>
      <c r="K169" s="9" t="s">
        <v>1630</v>
      </c>
      <c r="L169">
        <v>130432000</v>
      </c>
      <c r="N169" t="s">
        <v>1628</v>
      </c>
      <c r="O169" t="s">
        <v>1048</v>
      </c>
      <c r="P169" t="s">
        <v>1056</v>
      </c>
      <c r="Q169" t="s">
        <v>1057</v>
      </c>
      <c r="R169" t="str">
        <f t="shared" si="117"/>
        <v>[[103,10]]</v>
      </c>
      <c r="S169">
        <f t="shared" si="118"/>
        <v>3000</v>
      </c>
      <c r="T169" t="s">
        <v>1629</v>
      </c>
      <c r="U169" t="s">
        <v>1143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5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1626</v>
      </c>
      <c r="K170" t="s">
        <v>1631</v>
      </c>
      <c r="L170">
        <v>130432000</v>
      </c>
      <c r="N170" t="s">
        <v>1632</v>
      </c>
      <c r="O170" t="s">
        <v>1048</v>
      </c>
      <c r="P170" t="s">
        <v>1064</v>
      </c>
      <c r="Q170" t="s">
        <v>1065</v>
      </c>
      <c r="R170" t="str">
        <f t="shared" si="117"/>
        <v>[[103,10]]</v>
      </c>
      <c r="S170">
        <f t="shared" si="118"/>
        <v>6000</v>
      </c>
      <c r="T170" t="s">
        <v>1629</v>
      </c>
      <c r="U170" t="s">
        <v>1143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5">
        <f t="shared" si="115"/>
        <v>304310</v>
      </c>
      <c r="G171" s="5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1626</v>
      </c>
      <c r="K171" s="9" t="s">
        <v>1633</v>
      </c>
      <c r="L171">
        <v>130434000</v>
      </c>
      <c r="N171" t="s">
        <v>1632</v>
      </c>
      <c r="O171" t="s">
        <v>1048</v>
      </c>
      <c r="P171" t="s">
        <v>1070</v>
      </c>
      <c r="Q171" t="s">
        <v>1071</v>
      </c>
      <c r="R171" t="str">
        <f t="shared" si="117"/>
        <v>[[103,10]]</v>
      </c>
      <c r="S171">
        <f t="shared" si="118"/>
        <v>10000</v>
      </c>
      <c r="T171" t="s">
        <v>1629</v>
      </c>
      <c r="U171" t="s">
        <v>1143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1229</v>
      </c>
      <c r="E172">
        <v>305101</v>
      </c>
      <c r="F172" s="5" t="s">
        <v>1634</v>
      </c>
      <c r="H172" t="s">
        <v>1635</v>
      </c>
      <c r="I172" t="s">
        <v>1636</v>
      </c>
      <c r="J172" t="s">
        <v>1637</v>
      </c>
      <c r="K172" t="s">
        <v>1638</v>
      </c>
      <c r="L172">
        <v>130511000</v>
      </c>
      <c r="N172" t="s">
        <v>1639</v>
      </c>
      <c r="O172" t="s">
        <v>1048</v>
      </c>
      <c r="P172" t="s">
        <v>1049</v>
      </c>
      <c r="Q172" t="s">
        <v>1050</v>
      </c>
      <c r="R172" t="s">
        <v>1051</v>
      </c>
      <c r="S172">
        <v>1000</v>
      </c>
      <c r="T172" t="s">
        <v>1299</v>
      </c>
      <c r="U172" t="s">
        <v>1109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1229</v>
      </c>
      <c r="E173">
        <v>305102</v>
      </c>
      <c r="F173" s="5" t="s">
        <v>1634</v>
      </c>
      <c r="H173" t="s">
        <v>1640</v>
      </c>
      <c r="I173" t="s">
        <v>1641</v>
      </c>
      <c r="J173" t="s">
        <v>1637</v>
      </c>
      <c r="K173" t="s">
        <v>1642</v>
      </c>
      <c r="L173">
        <v>130512000</v>
      </c>
      <c r="N173" t="s">
        <v>1639</v>
      </c>
      <c r="O173" t="s">
        <v>1048</v>
      </c>
      <c r="P173" t="s">
        <v>1056</v>
      </c>
      <c r="Q173" t="s">
        <v>1057</v>
      </c>
      <c r="R173" t="s">
        <v>1051</v>
      </c>
      <c r="S173">
        <v>4000</v>
      </c>
      <c r="T173" t="s">
        <v>1299</v>
      </c>
      <c r="U173" t="s">
        <v>1109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1229</v>
      </c>
      <c r="E174">
        <v>305103</v>
      </c>
      <c r="F174" s="5" t="s">
        <v>1634</v>
      </c>
      <c r="H174" t="s">
        <v>1643</v>
      </c>
      <c r="I174" t="s">
        <v>1644</v>
      </c>
      <c r="J174" t="s">
        <v>1637</v>
      </c>
      <c r="K174" t="s">
        <v>1645</v>
      </c>
      <c r="L174">
        <v>130512000</v>
      </c>
      <c r="N174" t="s">
        <v>1646</v>
      </c>
      <c r="O174" t="s">
        <v>1048</v>
      </c>
      <c r="P174" t="s">
        <v>1064</v>
      </c>
      <c r="Q174" t="s">
        <v>1065</v>
      </c>
      <c r="R174" t="s">
        <v>1051</v>
      </c>
      <c r="S174">
        <v>7500</v>
      </c>
      <c r="T174" t="s">
        <v>1299</v>
      </c>
      <c r="U174" t="s">
        <v>1109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1229</v>
      </c>
      <c r="E175">
        <v>305104</v>
      </c>
      <c r="F175" s="5" t="s">
        <v>1634</v>
      </c>
      <c r="G175" s="5" t="s">
        <v>1647</v>
      </c>
      <c r="H175" t="s">
        <v>1648</v>
      </c>
      <c r="I175" t="s">
        <v>1649</v>
      </c>
      <c r="J175" t="s">
        <v>1637</v>
      </c>
      <c r="K175" t="s">
        <v>1650</v>
      </c>
      <c r="L175">
        <v>130514000</v>
      </c>
      <c r="N175" t="s">
        <v>1646</v>
      </c>
      <c r="O175" t="s">
        <v>1048</v>
      </c>
      <c r="P175" t="s">
        <v>1070</v>
      </c>
      <c r="Q175" t="s">
        <v>1071</v>
      </c>
      <c r="R175" t="s">
        <v>1051</v>
      </c>
      <c r="S175">
        <v>15000</v>
      </c>
      <c r="T175" t="s">
        <v>1299</v>
      </c>
      <c r="U175" t="s">
        <v>1109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1229</v>
      </c>
      <c r="E176">
        <v>305201</v>
      </c>
      <c r="F176" s="5" t="s">
        <v>1651</v>
      </c>
      <c r="H176" t="s">
        <v>1652</v>
      </c>
      <c r="I176" t="s">
        <v>1653</v>
      </c>
      <c r="J176" t="s">
        <v>1654</v>
      </c>
      <c r="K176" t="s">
        <v>1655</v>
      </c>
      <c r="N176" t="s">
        <v>1656</v>
      </c>
      <c r="O176" t="s">
        <v>1048</v>
      </c>
      <c r="P176" t="s">
        <v>1049</v>
      </c>
      <c r="Q176" t="s">
        <v>1050</v>
      </c>
      <c r="R176" t="s">
        <v>1051</v>
      </c>
      <c r="S176">
        <v>1000</v>
      </c>
      <c r="T176" t="s">
        <v>1496</v>
      </c>
      <c r="U176" t="s">
        <v>1105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1229</v>
      </c>
      <c r="E177">
        <v>305202</v>
      </c>
      <c r="F177" s="5" t="s">
        <v>1651</v>
      </c>
      <c r="H177" t="s">
        <v>1657</v>
      </c>
      <c r="I177" t="s">
        <v>1658</v>
      </c>
      <c r="J177" t="s">
        <v>1654</v>
      </c>
      <c r="K177" t="s">
        <v>1659</v>
      </c>
      <c r="L177">
        <v>130522000</v>
      </c>
      <c r="N177" t="s">
        <v>1656</v>
      </c>
      <c r="O177" t="s">
        <v>1048</v>
      </c>
      <c r="P177" t="s">
        <v>1056</v>
      </c>
      <c r="Q177" t="s">
        <v>1057</v>
      </c>
      <c r="R177" t="s">
        <v>1051</v>
      </c>
      <c r="S177">
        <v>4000</v>
      </c>
      <c r="T177" t="s">
        <v>1496</v>
      </c>
      <c r="U177" t="s">
        <v>1105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1229</v>
      </c>
      <c r="E178">
        <v>305203</v>
      </c>
      <c r="F178" s="5" t="s">
        <v>1651</v>
      </c>
      <c r="H178" t="s">
        <v>1660</v>
      </c>
      <c r="I178" t="s">
        <v>1661</v>
      </c>
      <c r="J178" t="s">
        <v>1654</v>
      </c>
      <c r="K178" t="s">
        <v>1662</v>
      </c>
      <c r="L178">
        <v>130522000</v>
      </c>
      <c r="N178" t="s">
        <v>1663</v>
      </c>
      <c r="O178" t="s">
        <v>1048</v>
      </c>
      <c r="P178" t="s">
        <v>1064</v>
      </c>
      <c r="Q178" t="s">
        <v>1065</v>
      </c>
      <c r="R178" t="s">
        <v>1051</v>
      </c>
      <c r="S178">
        <v>7500</v>
      </c>
      <c r="T178" t="s">
        <v>1496</v>
      </c>
      <c r="U178" t="s">
        <v>1105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1229</v>
      </c>
      <c r="E179">
        <v>305204</v>
      </c>
      <c r="F179" s="5" t="s">
        <v>1651</v>
      </c>
      <c r="G179" s="5" t="s">
        <v>1664</v>
      </c>
      <c r="H179" t="s">
        <v>1665</v>
      </c>
      <c r="I179" t="s">
        <v>1666</v>
      </c>
      <c r="J179" t="s">
        <v>1654</v>
      </c>
      <c r="K179" t="s">
        <v>1667</v>
      </c>
      <c r="L179">
        <v>130524000</v>
      </c>
      <c r="N179" t="s">
        <v>1663</v>
      </c>
      <c r="O179" t="s">
        <v>1048</v>
      </c>
      <c r="P179" t="s">
        <v>1070</v>
      </c>
      <c r="Q179" t="s">
        <v>1071</v>
      </c>
      <c r="R179" t="s">
        <v>1051</v>
      </c>
      <c r="S179">
        <v>15000</v>
      </c>
      <c r="T179" t="s">
        <v>1496</v>
      </c>
      <c r="U179" t="s">
        <v>1105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5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1668</v>
      </c>
      <c r="K180" t="s">
        <v>1572</v>
      </c>
      <c r="N180" t="s">
        <v>1266</v>
      </c>
      <c r="O180" t="s">
        <v>1048</v>
      </c>
      <c r="P180" t="s">
        <v>1049</v>
      </c>
      <c r="Q180" t="s">
        <v>1050</v>
      </c>
      <c r="R180" t="str">
        <f t="shared" ref="R180:R183" si="126">R176</f>
        <v>[[103,10]]</v>
      </c>
      <c r="S180">
        <f t="shared" ref="S180:S183" si="127">S172</f>
        <v>1000</v>
      </c>
      <c r="T180" t="s">
        <v>1052</v>
      </c>
      <c r="U180" t="s">
        <v>1053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5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1668</v>
      </c>
      <c r="K181" s="9" t="s">
        <v>1669</v>
      </c>
      <c r="L181">
        <v>130532000</v>
      </c>
      <c r="N181" t="s">
        <v>1266</v>
      </c>
      <c r="O181" t="s">
        <v>1048</v>
      </c>
      <c r="P181" t="s">
        <v>1056</v>
      </c>
      <c r="Q181" t="s">
        <v>1057</v>
      </c>
      <c r="R181" t="str">
        <f t="shared" si="126"/>
        <v>[[103,10]]</v>
      </c>
      <c r="S181">
        <f t="shared" si="127"/>
        <v>4000</v>
      </c>
      <c r="T181" t="s">
        <v>1052</v>
      </c>
      <c r="U181" t="s">
        <v>1053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5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1668</v>
      </c>
      <c r="K182" s="9" t="s">
        <v>1670</v>
      </c>
      <c r="L182">
        <v>130532000</v>
      </c>
      <c r="N182" t="s">
        <v>1671</v>
      </c>
      <c r="O182" t="s">
        <v>1048</v>
      </c>
      <c r="P182" t="s">
        <v>1064</v>
      </c>
      <c r="Q182" t="s">
        <v>1065</v>
      </c>
      <c r="R182" t="str">
        <f t="shared" si="126"/>
        <v>[[103,10]]</v>
      </c>
      <c r="S182">
        <f t="shared" si="127"/>
        <v>7500</v>
      </c>
      <c r="T182" t="s">
        <v>1052</v>
      </c>
      <c r="U182" t="s">
        <v>1053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5">
        <f t="shared" si="124"/>
        <v>305310</v>
      </c>
      <c r="G183" s="5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1668</v>
      </c>
      <c r="K183" s="9" t="s">
        <v>1672</v>
      </c>
      <c r="L183">
        <v>130534000</v>
      </c>
      <c r="N183" t="s">
        <v>1671</v>
      </c>
      <c r="O183" t="s">
        <v>1048</v>
      </c>
      <c r="P183" t="s">
        <v>1070</v>
      </c>
      <c r="Q183" t="s">
        <v>1071</v>
      </c>
      <c r="R183" t="str">
        <f t="shared" si="126"/>
        <v>[[103,10]]</v>
      </c>
      <c r="S183">
        <f t="shared" si="127"/>
        <v>15000</v>
      </c>
      <c r="T183" t="s">
        <v>1052</v>
      </c>
      <c r="U183" t="s">
        <v>1053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H14" sqref="H14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1" t="s">
        <v>163</v>
      </c>
      <c r="B1" s="1" t="s">
        <v>165</v>
      </c>
      <c r="C1" s="1" t="s">
        <v>1673</v>
      </c>
      <c r="D1" s="1" t="s">
        <v>1674</v>
      </c>
      <c r="E1" s="1" t="s">
        <v>1675</v>
      </c>
      <c r="F1" s="1" t="s">
        <v>1676</v>
      </c>
      <c r="G1" t="s">
        <v>1677</v>
      </c>
      <c r="H1" t="s">
        <v>1678</v>
      </c>
    </row>
    <row r="2" spans="1:8">
      <c r="A2" s="2" t="s">
        <v>18</v>
      </c>
      <c r="B2" s="2" t="s">
        <v>168</v>
      </c>
      <c r="C2" s="2" t="s">
        <v>1038</v>
      </c>
      <c r="D2" s="2" t="s">
        <v>167</v>
      </c>
      <c r="E2" s="2" t="s">
        <v>1679</v>
      </c>
      <c r="F2" s="2" t="s">
        <v>1680</v>
      </c>
      <c r="G2" s="2" t="s">
        <v>1681</v>
      </c>
      <c r="H2" s="2" t="s">
        <v>1682</v>
      </c>
    </row>
    <row r="3" spans="1:8">
      <c r="A3" s="3" t="s">
        <v>36</v>
      </c>
      <c r="B3" s="3" t="s">
        <v>37</v>
      </c>
      <c r="C3" s="3" t="s">
        <v>36</v>
      </c>
      <c r="D3" s="3" t="s">
        <v>36</v>
      </c>
      <c r="E3" s="3" t="s">
        <v>36</v>
      </c>
      <c r="F3" s="3" t="s">
        <v>39</v>
      </c>
      <c r="G3" s="3" t="s">
        <v>39</v>
      </c>
      <c r="H3" s="3" t="s">
        <v>40</v>
      </c>
    </row>
    <row r="4" spans="1:8">
      <c r="A4" s="4" t="s">
        <v>1683</v>
      </c>
      <c r="B4" s="4" t="s">
        <v>1684</v>
      </c>
      <c r="C4">
        <v>1</v>
      </c>
      <c r="D4">
        <v>1</v>
      </c>
      <c r="E4">
        <v>1</v>
      </c>
      <c r="F4">
        <v>2</v>
      </c>
      <c r="G4">
        <v>1</v>
      </c>
      <c r="H4" s="4" t="s">
        <v>1685</v>
      </c>
    </row>
    <row r="5" spans="1:8">
      <c r="A5" s="4" t="s">
        <v>1686</v>
      </c>
      <c r="B5" s="4" t="s">
        <v>1687</v>
      </c>
      <c r="C5">
        <v>1</v>
      </c>
      <c r="D5">
        <v>2</v>
      </c>
      <c r="E5">
        <v>1</v>
      </c>
      <c r="F5">
        <v>2</v>
      </c>
      <c r="G5">
        <v>0.95</v>
      </c>
      <c r="H5" s="4" t="s">
        <v>1688</v>
      </c>
    </row>
    <row r="6" spans="1:8">
      <c r="A6" s="4" t="s">
        <v>1689</v>
      </c>
      <c r="B6" s="4" t="s">
        <v>1690</v>
      </c>
      <c r="C6">
        <v>1</v>
      </c>
      <c r="D6">
        <v>3</v>
      </c>
      <c r="E6">
        <v>1</v>
      </c>
      <c r="F6">
        <v>2</v>
      </c>
      <c r="G6">
        <v>0.9</v>
      </c>
      <c r="H6" s="4" t="s">
        <v>1691</v>
      </c>
    </row>
    <row r="7" spans="1:8">
      <c r="A7" s="4" t="s">
        <v>1692</v>
      </c>
      <c r="B7" s="4" t="s">
        <v>1693</v>
      </c>
      <c r="C7">
        <v>1</v>
      </c>
      <c r="D7">
        <v>4</v>
      </c>
      <c r="E7">
        <v>1</v>
      </c>
      <c r="F7">
        <v>2</v>
      </c>
      <c r="G7">
        <v>0.85</v>
      </c>
      <c r="H7" s="4" t="s">
        <v>1694</v>
      </c>
    </row>
    <row r="8" spans="1:8">
      <c r="A8" s="4" t="s">
        <v>1695</v>
      </c>
      <c r="B8" s="4" t="s">
        <v>1696</v>
      </c>
      <c r="C8">
        <v>1</v>
      </c>
      <c r="D8">
        <v>5</v>
      </c>
      <c r="E8">
        <v>1</v>
      </c>
      <c r="F8">
        <v>2</v>
      </c>
      <c r="G8">
        <v>0.8</v>
      </c>
      <c r="H8" s="4" t="s">
        <v>1697</v>
      </c>
    </row>
    <row r="9" spans="1:8">
      <c r="A9" s="4" t="s">
        <v>1698</v>
      </c>
      <c r="B9" s="4" t="s">
        <v>1699</v>
      </c>
      <c r="C9">
        <v>1</v>
      </c>
      <c r="D9">
        <v>6</v>
      </c>
      <c r="E9">
        <v>1</v>
      </c>
      <c r="F9">
        <v>2</v>
      </c>
      <c r="G9">
        <v>0.7</v>
      </c>
      <c r="H9" s="4" t="s">
        <v>1700</v>
      </c>
    </row>
    <row r="10" spans="1:8">
      <c r="A10" s="4" t="s">
        <v>1701</v>
      </c>
      <c r="B10" s="4" t="s">
        <v>1702</v>
      </c>
      <c r="C10">
        <v>1</v>
      </c>
      <c r="D10">
        <v>7</v>
      </c>
      <c r="E10">
        <v>1</v>
      </c>
      <c r="F10">
        <v>2</v>
      </c>
      <c r="G10">
        <v>0.6</v>
      </c>
      <c r="H10" s="4" t="s">
        <v>1703</v>
      </c>
    </row>
    <row r="11" spans="1:8">
      <c r="A11" s="4" t="s">
        <v>1704</v>
      </c>
      <c r="B11" s="4" t="s">
        <v>1705</v>
      </c>
      <c r="C11">
        <v>1</v>
      </c>
      <c r="D11">
        <v>8</v>
      </c>
      <c r="E11">
        <v>1</v>
      </c>
      <c r="F11">
        <v>2</v>
      </c>
      <c r="G11">
        <v>0.5</v>
      </c>
      <c r="H11" s="4" t="s">
        <v>1706</v>
      </c>
    </row>
    <row r="12" spans="1:8">
      <c r="A12" s="4" t="s">
        <v>1707</v>
      </c>
      <c r="B12" s="4" t="s">
        <v>1708</v>
      </c>
      <c r="C12">
        <v>1</v>
      </c>
      <c r="D12">
        <v>9</v>
      </c>
      <c r="E12">
        <v>1</v>
      </c>
      <c r="F12">
        <v>2</v>
      </c>
      <c r="G12">
        <v>0.4</v>
      </c>
      <c r="H12" s="4" t="s">
        <v>1709</v>
      </c>
    </row>
    <row r="13" spans="1:8">
      <c r="A13" s="4" t="s">
        <v>1710</v>
      </c>
      <c r="B13" s="4" t="s">
        <v>1711</v>
      </c>
      <c r="C13">
        <v>1</v>
      </c>
      <c r="D13">
        <v>10</v>
      </c>
      <c r="E13">
        <v>1</v>
      </c>
      <c r="F13">
        <v>2</v>
      </c>
      <c r="G13">
        <v>0.3</v>
      </c>
      <c r="H13" s="4" t="s">
        <v>1712</v>
      </c>
    </row>
    <row r="14" spans="1:8">
      <c r="A14" s="4" t="s">
        <v>1713</v>
      </c>
      <c r="B14" s="4" t="s">
        <v>1714</v>
      </c>
      <c r="C14">
        <v>1</v>
      </c>
      <c r="D14">
        <v>11</v>
      </c>
      <c r="E14">
        <v>1</v>
      </c>
      <c r="F14">
        <v>2</v>
      </c>
      <c r="G14">
        <v>0.2</v>
      </c>
      <c r="H14" s="4" t="s">
        <v>1715</v>
      </c>
    </row>
    <row r="15" spans="1:8">
      <c r="A15" s="4" t="s">
        <v>1716</v>
      </c>
      <c r="B15" s="4" t="s">
        <v>1717</v>
      </c>
      <c r="C15">
        <v>1</v>
      </c>
      <c r="D15">
        <v>12</v>
      </c>
      <c r="E15">
        <v>1</v>
      </c>
      <c r="F15">
        <v>2</v>
      </c>
      <c r="G15">
        <v>0.0999999999999994</v>
      </c>
      <c r="H15" s="4" t="s">
        <v>1718</v>
      </c>
    </row>
    <row r="16" spans="1:8">
      <c r="A16" s="4" t="s">
        <v>1719</v>
      </c>
      <c r="B16" s="4" t="s">
        <v>1720</v>
      </c>
      <c r="C16">
        <v>1</v>
      </c>
      <c r="D16">
        <v>13</v>
      </c>
      <c r="E16">
        <v>1</v>
      </c>
      <c r="F16">
        <v>2</v>
      </c>
      <c r="H16" s="4"/>
    </row>
    <row r="17" spans="1:8">
      <c r="A17" s="4" t="s">
        <v>1721</v>
      </c>
      <c r="B17" s="4" t="s">
        <v>1722</v>
      </c>
      <c r="C17">
        <v>1</v>
      </c>
      <c r="D17">
        <v>14</v>
      </c>
      <c r="E17">
        <v>1</v>
      </c>
      <c r="F17">
        <v>2</v>
      </c>
      <c r="H17" s="4"/>
    </row>
    <row r="18" spans="1:8">
      <c r="A18" s="4" t="s">
        <v>1723</v>
      </c>
      <c r="B18" s="4" t="s">
        <v>1724</v>
      </c>
      <c r="C18">
        <v>1</v>
      </c>
      <c r="D18">
        <v>15</v>
      </c>
      <c r="E18">
        <v>1</v>
      </c>
      <c r="F18">
        <v>2</v>
      </c>
      <c r="H18" s="4"/>
    </row>
    <row r="19" spans="1:8">
      <c r="A19" s="4" t="s">
        <v>1725</v>
      </c>
      <c r="B19" s="4" t="s">
        <v>1726</v>
      </c>
      <c r="C19">
        <v>1</v>
      </c>
      <c r="D19">
        <v>16</v>
      </c>
      <c r="E19">
        <v>0</v>
      </c>
    </row>
    <row r="20" spans="1:8">
      <c r="A20" s="4" t="s">
        <v>1727</v>
      </c>
      <c r="B20" t="s">
        <v>1728</v>
      </c>
      <c r="C20">
        <v>2</v>
      </c>
      <c r="D20">
        <v>1</v>
      </c>
      <c r="E20">
        <v>0</v>
      </c>
    </row>
    <row r="21" spans="1:8">
      <c r="A21" s="4" t="s">
        <v>1729</v>
      </c>
      <c r="B21" t="s">
        <v>1730</v>
      </c>
      <c r="C21">
        <v>2</v>
      </c>
      <c r="D21">
        <v>2</v>
      </c>
      <c r="E21">
        <v>0</v>
      </c>
    </row>
    <row r="22" spans="1:8">
      <c r="A22" s="4" t="s">
        <v>1731</v>
      </c>
      <c r="B22" t="s">
        <v>1732</v>
      </c>
      <c r="C22">
        <v>2</v>
      </c>
      <c r="D22">
        <v>3</v>
      </c>
      <c r="E22">
        <v>0</v>
      </c>
    </row>
    <row r="23" spans="1:8">
      <c r="A23" s="4" t="s">
        <v>1733</v>
      </c>
      <c r="B23" t="s">
        <v>1734</v>
      </c>
      <c r="C23">
        <v>2</v>
      </c>
      <c r="D23">
        <v>4</v>
      </c>
      <c r="E23">
        <v>0</v>
      </c>
    </row>
    <row r="24" spans="1:8">
      <c r="A24" s="4" t="s">
        <v>1735</v>
      </c>
      <c r="B24" t="s">
        <v>1736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SkillActive</vt:lpstr>
      <vt:lpstr>SkillSlot</vt:lpstr>
      <vt:lpstr>SkillGem</vt:lpstr>
      <vt:lpstr>SkillBook</vt:lpstr>
      <vt:lpstr>SkillPassive</vt:lpstr>
      <vt:lpstr>SkillPassiveOptional</vt:lpstr>
      <vt:lpstr>SkillSet</vt:lpstr>
      <vt:lpstr>SkillSect</vt:lpstr>
      <vt:lpstr>SkillSelectBox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企业用户_982215154</cp:lastModifiedBy>
  <dcterms:created xsi:type="dcterms:W3CDTF">2023-08-07T02:59:00Z</dcterms:created>
  <dcterms:modified xsi:type="dcterms:W3CDTF">2026-09-15T02:17:42Z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