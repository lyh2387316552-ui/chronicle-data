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8800" windowHeight="12255" tabRatio="600" firstSheet="0" activeTab="3" autoFilterDateGrouping="1"/>
  </bookViews>
  <sheets>
    <sheet xmlns:r="http://schemas.openxmlformats.org/officeDocument/2006/relationships" name="SkillActive" sheetId="1" state="visible" r:id="rId1"/>
    <sheet xmlns:r="http://schemas.openxmlformats.org/officeDocument/2006/relationships" name="SkillSlot" sheetId="2" state="visible" r:id="rId2"/>
    <sheet xmlns:r="http://schemas.openxmlformats.org/officeDocument/2006/relationships" name="SkillGem" sheetId="3" state="visible" r:id="rId3"/>
    <sheet xmlns:r="http://schemas.openxmlformats.org/officeDocument/2006/relationships" name="SkillBook" sheetId="4" state="visible" r:id="rId4"/>
    <sheet xmlns:r="http://schemas.openxmlformats.org/officeDocument/2006/relationships" name="SkillPassiveOptional" sheetId="5" state="visible" r:id="rId5"/>
    <sheet xmlns:r="http://schemas.openxmlformats.org/officeDocument/2006/relationships" name="SkillSet" sheetId="6" state="visible" r:id="rId6"/>
    <sheet xmlns:r="http://schemas.openxmlformats.org/officeDocument/2006/relationships" name="SkillSect" sheetId="7" state="visible" r:id="rId7"/>
    <sheet xmlns:r="http://schemas.openxmlformats.org/officeDocument/2006/relationships" name="SkillSelectBox" sheetId="8" state="visible" r:id="rId8"/>
    <sheet xmlns:r="http://schemas.openxmlformats.org/officeDocument/2006/relationships" name="SkillPassive" sheetId="9" state="visible" r:id="rId9"/>
    <sheet xmlns:r="http://schemas.openxmlformats.org/officeDocument/2006/relationships" name="TalentGrid" sheetId="10" state="visible" r:id="rId10"/>
  </sheets>
  <definedNames>
    <definedName name="_xlnm._FilterDatabase" localSheetId="6" hidden="1">'SkillSect'!$A$1:$V$183</definedName>
    <definedName name="_xlnm._FilterDatabase" localSheetId="8" hidden="1">'SkillPassive'!$G$1:$G$280</definedName>
  </definedNames>
  <calcPr calcId="191029" fullCalcOnLoad="1"/>
</workbook>
</file>

<file path=xl/styles.xml><?xml version="1.0" encoding="utf-8"?>
<styleSheet xmlns="http://schemas.openxmlformats.org/spreadsheetml/2006/main">
  <numFmts count="0"/>
  <fonts count="34">
    <font>
      <name val="宋体"/>
      <charset val="134"/>
      <color indexed="8"/>
      <sz val="11"/>
    </font>
    <font>
      <name val="宋体"/>
      <charset val="134"/>
      <color theme="1"/>
      <sz val="11"/>
      <scheme val="minor"/>
    </font>
    <font>
      <name val="宋体"/>
      <charset val="0"/>
      <color rgb="FF000000"/>
      <sz val="11"/>
    </font>
    <font>
      <name val="等线"/>
      <charset val="134"/>
      <color rgb="FF000000"/>
      <sz val="10"/>
    </font>
    <font>
      <name val="宋体"/>
      <charset val="134"/>
      <sz val="11"/>
    </font>
    <font>
      <name val="宋体"/>
      <charset val="134"/>
      <color rgb="FF000000"/>
      <sz val="11"/>
    </font>
    <font>
      <name val="宋体"/>
      <charset val="134"/>
      <color theme="1"/>
      <sz val="11"/>
    </font>
    <font>
      <name val="宋体"/>
      <charset val="134"/>
      <color rgb="FFFF0000"/>
      <sz val="11"/>
    </font>
    <font>
      <name val="Helvetica"/>
      <charset val="134"/>
      <color rgb="FF000000"/>
      <sz val="11"/>
    </font>
    <font>
      <name val="宋体"/>
      <charset val="134"/>
      <color rgb="FFFF0000"/>
      <sz val="11"/>
      <scheme val="minor"/>
    </font>
    <font>
      <name val="Segoe UI"/>
      <charset val="134"/>
      <color rgb="FF0F1115"/>
      <sz val="12"/>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sz val="12"/>
    </font>
    <font>
      <name val="宋体"/>
      <charset val="134"/>
      <sz val="9"/>
    </font>
    <font>
      <name val="宋体"/>
      <charset val="134"/>
      <b val="1"/>
      <sz val="9"/>
    </font>
    <font>
      <name val="微软雅黑"/>
      <charset val="134"/>
      <sz val="10"/>
    </font>
  </fonts>
  <fills count="44">
    <fill>
      <patternFill/>
    </fill>
    <fill>
      <patternFill patternType="gray125"/>
    </fill>
    <fill>
      <patternFill patternType="solid">
        <fgColor theme="6" tint="0.398937955870235"/>
        <bgColor indexed="64"/>
      </patternFill>
    </fill>
    <fill>
      <patternFill patternType="solid">
        <fgColor rgb="FFFFFF00"/>
        <bgColor indexed="64"/>
      </patternFill>
    </fill>
    <fill>
      <patternFill patternType="solid">
        <fgColor theme="3" tint="0.799981688894314"/>
        <bgColor indexed="64"/>
      </patternFill>
    </fill>
    <fill>
      <patternFill patternType="solid">
        <fgColor theme="0" tint="-0.349986266670736"/>
        <bgColor indexed="64"/>
      </patternFill>
    </fill>
    <fill>
      <patternFill patternType="solid">
        <fgColor theme="6" tint="0.599993896298105"/>
        <bgColor indexed="64"/>
      </patternFill>
    </fill>
    <fill>
      <patternFill patternType="solid">
        <fgColor theme="7" tint="0.6"/>
        <bgColor indexed="64"/>
      </patternFill>
    </fill>
    <fill>
      <patternFill patternType="solid">
        <fgColor theme="9" tint="0.599993896298105"/>
        <bgColor indexed="64"/>
      </patternFill>
    </fill>
    <fill>
      <patternFill patternType="solid">
        <fgColor rgb="FFFFC000"/>
        <bgColor indexed="64"/>
      </patternFill>
    </fill>
    <fill>
      <patternFill patternType="solid">
        <fgColor rgb="FF00B0F0"/>
        <bgColor indexed="64"/>
      </patternFill>
    </fill>
    <fill>
      <patternFill patternType="solid">
        <fgColor rgb="FFD6DCE4"/>
        <bgColor rgb="FF000000"/>
      </patternFill>
    </fill>
    <fill>
      <patternFill patternType="solid">
        <fgColor theme="7" tint="0.599993896298105"/>
        <bgColor indexed="64"/>
      </patternFill>
    </fill>
    <fill>
      <patternFill patternType="solid">
        <fgColor rgb="FFFFFFFF"/>
        <bgColor indexed="64"/>
      </patternFill>
    </fill>
    <fill>
      <patternFill patternType="solid">
        <fgColor theme="0" tint="-0.15"/>
        <bgColor indexed="64"/>
      </patternFill>
    </fill>
    <fill>
      <patternFill patternType="solid">
        <fgColor theme="0" tint="-0.3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11">
    <border>
      <left/>
      <right/>
      <top/>
      <bottom/>
      <diagonal/>
    </border>
    <border>
      <left style="thin">
        <color rgb="FFE7DED9"/>
      </left>
      <right style="thin">
        <color rgb="FFE7DED9"/>
      </right>
      <top style="thin">
        <color rgb="FFE7DED9"/>
      </top>
      <bottom style="thin">
        <color rgb="FFE7DED9"/>
      </bottom>
      <diagonal/>
    </border>
    <border>
      <left style="thin">
        <color rgb="FFD9DEE7"/>
      </left>
      <right style="thin">
        <color rgb="FFD9DEE7"/>
      </right>
      <top style="thin">
        <color rgb="FFD9DEE7"/>
      </top>
      <bottom style="thin">
        <color rgb="FFD9DE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pplyAlignment="1">
      <alignment vertical="center"/>
    </xf>
    <xf numFmtId="43" fontId="1" fillId="0" borderId="0" applyAlignment="1">
      <alignment vertical="center"/>
    </xf>
    <xf numFmtId="44" fontId="1" fillId="0" borderId="0" applyAlignment="1">
      <alignment vertical="center"/>
    </xf>
    <xf numFmtId="9" fontId="1" fillId="0" borderId="0" applyAlignment="1">
      <alignment vertical="center"/>
    </xf>
    <xf numFmtId="41" fontId="1" fillId="0" borderId="0" applyAlignment="1">
      <alignment vertical="center"/>
    </xf>
    <xf numFmtId="42" fontId="1" fillId="0" borderId="0" applyAlignment="1">
      <alignment vertical="center"/>
    </xf>
    <xf numFmtId="0" fontId="11" fillId="0" borderId="0" applyAlignment="1">
      <alignment vertical="center"/>
    </xf>
    <xf numFmtId="0" fontId="12" fillId="0" borderId="0" applyAlignment="1">
      <alignment vertical="center"/>
    </xf>
    <xf numFmtId="0" fontId="1" fillId="16" borderId="3" applyAlignment="1">
      <alignment vertical="center"/>
    </xf>
    <xf numFmtId="0" fontId="13" fillId="0" borderId="0" applyAlignment="1">
      <alignment vertical="center"/>
    </xf>
    <xf numFmtId="0" fontId="14" fillId="0" borderId="0" applyAlignment="1">
      <alignment vertical="center"/>
    </xf>
    <xf numFmtId="0" fontId="15" fillId="0" borderId="0" applyAlignment="1">
      <alignment vertical="center"/>
    </xf>
    <xf numFmtId="0" fontId="16" fillId="0" borderId="4" applyAlignment="1">
      <alignment vertical="center"/>
    </xf>
    <xf numFmtId="0" fontId="17" fillId="0" borderId="4" applyAlignment="1">
      <alignment vertical="center"/>
    </xf>
    <xf numFmtId="0" fontId="18" fillId="0" borderId="5" applyAlignment="1">
      <alignment vertical="center"/>
    </xf>
    <xf numFmtId="0" fontId="18" fillId="0" borderId="0" applyAlignment="1">
      <alignment vertical="center"/>
    </xf>
    <xf numFmtId="0" fontId="19" fillId="17" borderId="6" applyAlignment="1">
      <alignment vertical="center"/>
    </xf>
    <xf numFmtId="0" fontId="20" fillId="18" borderId="7" applyAlignment="1">
      <alignment vertical="center"/>
    </xf>
    <xf numFmtId="0" fontId="21" fillId="18" borderId="6" applyAlignment="1">
      <alignment vertical="center"/>
    </xf>
    <xf numFmtId="0" fontId="22" fillId="19" borderId="8" applyAlignment="1">
      <alignment vertical="center"/>
    </xf>
    <xf numFmtId="0" fontId="23" fillId="0" borderId="9" applyAlignment="1">
      <alignment vertical="center"/>
    </xf>
    <xf numFmtId="0" fontId="24" fillId="0" borderId="10" applyAlignment="1">
      <alignment vertical="center"/>
    </xf>
    <xf numFmtId="0" fontId="25" fillId="20" borderId="0" applyAlignment="1">
      <alignment vertical="center"/>
    </xf>
    <xf numFmtId="0" fontId="26" fillId="21" borderId="0" applyAlignment="1">
      <alignment vertical="center"/>
    </xf>
    <xf numFmtId="0" fontId="27" fillId="22" borderId="0" applyAlignment="1">
      <alignment vertical="center"/>
    </xf>
    <xf numFmtId="0" fontId="28" fillId="23" borderId="0" applyAlignment="1">
      <alignment vertical="center"/>
    </xf>
    <xf numFmtId="0" fontId="29" fillId="24" borderId="0" applyAlignment="1">
      <alignment vertical="center"/>
    </xf>
    <xf numFmtId="0" fontId="29" fillId="25" borderId="0" applyAlignment="1">
      <alignment vertical="center"/>
    </xf>
    <xf numFmtId="0" fontId="28" fillId="26" borderId="0" applyAlignment="1">
      <alignment vertical="center"/>
    </xf>
    <xf numFmtId="0" fontId="28" fillId="27" borderId="0" applyAlignment="1">
      <alignment vertical="center"/>
    </xf>
    <xf numFmtId="0" fontId="29" fillId="28" borderId="0" applyAlignment="1">
      <alignment vertical="center"/>
    </xf>
    <xf numFmtId="0" fontId="29" fillId="29" borderId="0" applyAlignment="1">
      <alignment vertical="center"/>
    </xf>
    <xf numFmtId="0" fontId="28" fillId="30" borderId="0" applyAlignment="1">
      <alignment vertical="center"/>
    </xf>
    <xf numFmtId="0" fontId="28" fillId="31" borderId="0" applyAlignment="1">
      <alignment vertical="center"/>
    </xf>
    <xf numFmtId="0" fontId="29" fillId="32" borderId="0" applyAlignment="1">
      <alignment vertical="center"/>
    </xf>
    <xf numFmtId="0" fontId="29" fillId="6" borderId="0" applyAlignment="1">
      <alignment vertical="center"/>
    </xf>
    <xf numFmtId="0" fontId="28" fillId="33" borderId="0" applyAlignment="1">
      <alignment vertical="center"/>
    </xf>
    <xf numFmtId="0" fontId="28" fillId="34" borderId="0" applyAlignment="1">
      <alignment vertical="center"/>
    </xf>
    <xf numFmtId="0" fontId="29" fillId="35" borderId="0" applyAlignment="1">
      <alignment vertical="center"/>
    </xf>
    <xf numFmtId="0" fontId="29" fillId="12" borderId="0" applyAlignment="1">
      <alignment vertical="center"/>
    </xf>
    <xf numFmtId="0" fontId="28" fillId="36" borderId="0" applyAlignment="1">
      <alignment vertical="center"/>
    </xf>
    <xf numFmtId="0" fontId="28" fillId="37" borderId="0" applyAlignment="1">
      <alignment vertical="center"/>
    </xf>
    <xf numFmtId="0" fontId="29" fillId="38" borderId="0" applyAlignment="1">
      <alignment vertical="center"/>
    </xf>
    <xf numFmtId="0" fontId="29" fillId="39" borderId="0" applyAlignment="1">
      <alignment vertical="center"/>
    </xf>
    <xf numFmtId="0" fontId="28" fillId="40" borderId="0" applyAlignment="1">
      <alignment vertical="center"/>
    </xf>
    <xf numFmtId="0" fontId="28" fillId="41" borderId="0" applyAlignment="1">
      <alignment vertical="center"/>
    </xf>
    <xf numFmtId="0" fontId="29" fillId="42" borderId="0" applyAlignment="1">
      <alignment vertical="center"/>
    </xf>
    <xf numFmtId="0" fontId="29" fillId="8" borderId="0" applyAlignment="1">
      <alignment vertical="center"/>
    </xf>
    <xf numFmtId="0" fontId="28" fillId="43" borderId="0" applyAlignment="1">
      <alignment vertical="center"/>
    </xf>
    <xf numFmtId="0" fontId="30" fillId="0" borderId="0" applyAlignment="1">
      <alignment vertical="center"/>
    </xf>
    <xf numFmtId="0" fontId="1" fillId="0" borderId="0" applyAlignment="1">
      <alignment vertical="center"/>
    </xf>
    <xf numFmtId="0" fontId="1" fillId="0" borderId="0"/>
    <xf numFmtId="0" fontId="1" fillId="0" borderId="0" applyAlignment="1">
      <alignment vertical="center"/>
    </xf>
    <xf numFmtId="0" fontId="0" fillId="0" borderId="0" applyAlignment="1">
      <alignment vertical="center"/>
    </xf>
  </cellStyleXfs>
  <cellXfs count="79">
    <xf numFmtId="0" fontId="0" fillId="0" borderId="0" applyAlignment="1" pivotButton="0" quotePrefix="0" xfId="0">
      <alignment vertical="center"/>
    </xf>
    <xf numFmtId="0" fontId="0" fillId="0" borderId="0" applyAlignment="1" pivotButton="0" quotePrefix="0" xfId="0">
      <alignment horizontal="left" vertical="center" wrapText="1"/>
    </xf>
    <xf numFmtId="0" fontId="0" fillId="2" borderId="0" applyAlignment="1" pivotButton="0" quotePrefix="0" xfId="0">
      <alignment horizontal="left" vertical="center"/>
    </xf>
    <xf numFmtId="0" fontId="0" fillId="3" borderId="0" applyAlignment="1" pivotButton="0" quotePrefix="0" xfId="0">
      <alignment horizontal="left" vertical="center"/>
    </xf>
    <xf numFmtId="0" fontId="1" fillId="4" borderId="0" applyAlignment="1" pivotButton="0" quotePrefix="0" xfId="0">
      <alignment horizontal="left" vertical="center"/>
    </xf>
    <xf numFmtId="0" fontId="0" fillId="4" borderId="0" applyAlignment="1" pivotButton="0" quotePrefix="0" xfId="0">
      <alignment horizontal="left" vertical="center"/>
    </xf>
    <xf numFmtId="0" fontId="0" fillId="5" borderId="0" applyAlignment="1" pivotButton="0" quotePrefix="0" xfId="0">
      <alignment horizontal="left" vertical="center"/>
    </xf>
    <xf numFmtId="0" fontId="0" fillId="6" borderId="0" applyAlignment="1" pivotButton="0" quotePrefix="0" xfId="0">
      <alignment horizontal="left" vertical="center"/>
    </xf>
    <xf numFmtId="0" fontId="0" fillId="7" borderId="0" applyAlignment="1" pivotButton="0" quotePrefix="0" xfId="0">
      <alignment horizontal="left" vertical="center"/>
    </xf>
    <xf numFmtId="0" fontId="0" fillId="8" borderId="0" applyAlignment="1" pivotButton="0" quotePrefix="0" xfId="0">
      <alignment horizontal="left" vertical="center"/>
    </xf>
    <xf numFmtId="0" fontId="0" fillId="9" borderId="0" applyAlignment="1" pivotButton="0" quotePrefix="0" xfId="0">
      <alignment horizontal="left" vertical="center"/>
    </xf>
    <xf numFmtId="0" fontId="0" fillId="10" borderId="0" applyAlignment="1" pivotButton="0" quotePrefix="0" xfId="0">
      <alignment horizontal="left" vertical="center"/>
    </xf>
    <xf numFmtId="0" fontId="1" fillId="10" borderId="0" applyAlignment="1" pivotButton="0" quotePrefix="0" xfId="0">
      <alignment horizontal="left" vertical="center"/>
    </xf>
    <xf numFmtId="0" fontId="0" fillId="4" borderId="0" applyAlignment="1" pivotButton="0" quotePrefix="0" xfId="0">
      <alignment horizontal="left" vertical="center"/>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2" borderId="0" applyAlignment="1" pivotButton="0" quotePrefix="0" xfId="0">
      <alignment horizontal="left" vertical="center"/>
    </xf>
    <xf numFmtId="0" fontId="0" fillId="3"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1" fillId="9" borderId="0"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vertical="center"/>
    </xf>
    <xf numFmtId="0" fontId="0" fillId="10" borderId="0" applyAlignment="1" pivotButton="0" quotePrefix="0" xfId="0">
      <alignment horizontal="left" vertical="center" wrapText="1"/>
    </xf>
    <xf numFmtId="0" fontId="0" fillId="0" borderId="0" applyAlignment="1" pivotButton="0" quotePrefix="0" xfId="0">
      <alignment horizontal="left" vertical="center"/>
    </xf>
    <xf numFmtId="0" fontId="2" fillId="11" borderId="0" applyAlignment="1" pivotButton="0" quotePrefix="0" xfId="0">
      <alignment horizontal="left" vertical="center"/>
    </xf>
    <xf numFmtId="0" fontId="0" fillId="4" borderId="0" applyAlignment="1" pivotButton="0" quotePrefix="0" xfId="0">
      <alignment horizontal="left" vertical="center"/>
    </xf>
    <xf numFmtId="49" fontId="3" fillId="0" borderId="1" applyAlignment="1" pivotButton="0" quotePrefix="0" xfId="0">
      <alignment horizontal="left" vertical="center" wrapText="1"/>
    </xf>
    <xf numFmtId="0" fontId="1" fillId="4" borderId="0" applyAlignment="1" pivotButton="0" quotePrefix="0" xfId="0">
      <alignment horizontal="left" vertical="center"/>
    </xf>
    <xf numFmtId="0" fontId="0" fillId="4" borderId="0" applyAlignment="1" pivotButton="0" quotePrefix="0" xfId="0">
      <alignment horizontal="left" vertical="center" wrapText="1"/>
    </xf>
    <xf numFmtId="0" fontId="0" fillId="4" borderId="0" applyAlignment="1" pivotButton="0" quotePrefix="0" xfId="0">
      <alignment horizontal="left" vertical="center"/>
    </xf>
    <xf numFmtId="0" fontId="0" fillId="0" borderId="0" applyAlignment="1" pivotButton="0" quotePrefix="0" xfId="0">
      <alignment horizontal="center" vertical="center" wrapText="1"/>
    </xf>
    <xf numFmtId="0" fontId="0" fillId="2" borderId="0" applyAlignment="1" pivotButton="0" quotePrefix="0" xfId="0">
      <alignment horizontal="center" vertical="center"/>
    </xf>
    <xf numFmtId="0" fontId="0" fillId="3" borderId="0" applyAlignment="1" pivotButton="0" quotePrefix="0" xfId="0">
      <alignment horizontal="center" vertical="center"/>
    </xf>
    <xf numFmtId="49" fontId="1"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5" fillId="6" borderId="0" applyAlignment="1" pivotButton="0" quotePrefix="0" xfId="0">
      <alignment horizontal="left" vertical="center"/>
    </xf>
    <xf numFmtId="0" fontId="6" fillId="6" borderId="0" applyAlignment="1" pivotButton="0" quotePrefix="0" xfId="0">
      <alignment horizontal="left" vertical="center" wrapText="1"/>
    </xf>
    <xf numFmtId="0" fontId="0" fillId="12" borderId="0" applyAlignment="1" pivotButton="0" quotePrefix="0" xfId="0">
      <alignment horizontal="left" vertical="center"/>
    </xf>
    <xf numFmtId="0" fontId="0" fillId="12" borderId="0" applyAlignment="1" pivotButton="0" quotePrefix="0" xfId="0">
      <alignment horizontal="left" vertical="center" wrapText="1"/>
    </xf>
    <xf numFmtId="0" fontId="0" fillId="0" borderId="0" applyAlignment="1" pivotButton="0" quotePrefix="0" xfId="0">
      <alignment horizontal="right" vertical="center"/>
    </xf>
    <xf numFmtId="0" fontId="7" fillId="0" borderId="0" applyAlignment="1" pivotButton="0" quotePrefix="0" xfId="0">
      <alignment horizontal="center" vertical="center" wrapText="1"/>
    </xf>
    <xf numFmtId="0" fontId="7" fillId="2" borderId="0" applyAlignment="1" pivotButton="0" quotePrefix="0" xfId="0">
      <alignment horizontal="center" vertical="center"/>
    </xf>
    <xf numFmtId="0" fontId="7" fillId="3" borderId="0" applyAlignment="1" pivotButton="0" quotePrefix="0" xfId="0">
      <alignment horizontal="center" vertical="center"/>
    </xf>
    <xf numFmtId="0" fontId="7"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left" vertical="center" wrapText="1"/>
    </xf>
    <xf numFmtId="0" fontId="6" fillId="2" borderId="0" applyAlignment="1" pivotButton="0" quotePrefix="0" xfId="0">
      <alignment horizontal="left" vertical="center"/>
    </xf>
    <xf numFmtId="0" fontId="6" fillId="3" borderId="0" applyAlignment="1" pivotButton="0" quotePrefix="0" xfId="0">
      <alignment horizontal="left" vertical="center"/>
    </xf>
    <xf numFmtId="0" fontId="8" fillId="13" borderId="2" applyAlignment="1" pivotButton="0" quotePrefix="0" xfId="0">
      <alignment horizontal="center" vertical="center" wrapText="1"/>
    </xf>
    <xf numFmtId="0" fontId="1" fillId="0" borderId="0" applyAlignment="1" pivotButton="0" quotePrefix="0" xfId="0">
      <alignment horizontal="center"/>
    </xf>
    <xf numFmtId="0" fontId="7" fillId="13" borderId="2" applyAlignment="1" pivotButton="0" quotePrefix="0" xfId="0">
      <alignment horizontal="center" vertical="center" wrapText="1"/>
    </xf>
    <xf numFmtId="0" fontId="9" fillId="0" borderId="0" applyAlignment="1" pivotButton="0" quotePrefix="0" xfId="0">
      <alignment horizontal="center"/>
    </xf>
    <xf numFmtId="0" fontId="7" fillId="0" borderId="0" applyAlignment="1" pivotButton="0" quotePrefix="0" xfId="0">
      <alignment horizontal="left" vertical="center"/>
    </xf>
    <xf numFmtId="0" fontId="7" fillId="0" borderId="0" applyAlignment="1" pivotButton="0" quotePrefix="0" xfId="0">
      <alignment vertical="center"/>
    </xf>
    <xf numFmtId="0" fontId="1" fillId="0" borderId="0" applyAlignment="1" pivotButton="0" quotePrefix="0" xfId="0">
      <alignment horizontal="left"/>
    </xf>
    <xf numFmtId="0" fontId="0" fillId="0" borderId="2" applyAlignment="1" pivotButton="0" quotePrefix="0" xfId="0">
      <alignment horizontal="center" vertical="center"/>
    </xf>
    <xf numFmtId="0" fontId="5" fillId="13" borderId="2" applyAlignment="1" pivotButton="0" quotePrefix="0" xfId="0">
      <alignment horizontal="center" vertical="center" wrapText="1"/>
    </xf>
    <xf numFmtId="0" fontId="0" fillId="0" borderId="0" applyAlignment="1" pivotButton="0" quotePrefix="0" xfId="0">
      <alignment horizontal="center" vertical="center"/>
    </xf>
    <xf numFmtId="0" fontId="1" fillId="0" borderId="0" applyAlignment="1" pivotButton="0" quotePrefix="0" xfId="0">
      <alignment horizontal="center"/>
    </xf>
    <xf numFmtId="0" fontId="8" fillId="13" borderId="0" applyAlignment="1" pivotButton="0" quotePrefix="0" xfId="0">
      <alignment horizontal="center" vertical="center" wrapText="1"/>
    </xf>
    <xf numFmtId="0" fontId="6" fillId="14" borderId="0" applyAlignment="1" pivotButton="0" quotePrefix="0" xfId="0">
      <alignment horizontal="left" vertical="center"/>
    </xf>
    <xf numFmtId="0" fontId="6" fillId="15" borderId="0" applyAlignment="1" pivotButton="0" quotePrefix="0" xfId="0">
      <alignment horizontal="left" vertical="center"/>
    </xf>
    <xf numFmtId="0" fontId="6"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0" fillId="0" borderId="0" applyAlignment="1" pivotButton="0" quotePrefix="0" xfId="0">
      <alignment vertical="center"/>
    </xf>
    <xf numFmtId="0" fontId="6" fillId="0" borderId="0" applyAlignment="1" pivotButton="0" quotePrefix="0" xfId="0">
      <alignment horizontal="left" vertical="center" wrapText="1"/>
    </xf>
    <xf numFmtId="0" fontId="6" fillId="0" borderId="0" applyAlignment="1" pivotButton="0" quotePrefix="0" xfId="0">
      <alignment horizontal="left" vertical="center"/>
    </xf>
    <xf numFmtId="0" fontId="6" fillId="15" borderId="0" applyAlignment="1" pivotButton="0" quotePrefix="0" xfId="0">
      <alignment horizontal="left" vertical="center" wrapText="1"/>
    </xf>
    <xf numFmtId="0" fontId="6" fillId="14" borderId="0" applyAlignment="1" pivotButton="0" quotePrefix="0" xfId="0">
      <alignment horizontal="left" vertical="center" wrapText="1"/>
    </xf>
    <xf numFmtId="0" fontId="1" fillId="9" borderId="0" applyAlignment="1" pivotButton="0" quotePrefix="1" xfId="0">
      <alignment horizontal="left" vertical="center"/>
    </xf>
    <xf numFmtId="0" fontId="1" fillId="3" borderId="0" applyAlignment="1" pivotButton="0" quotePrefix="1" xfId="0">
      <alignment vertical="center"/>
    </xf>
    <xf numFmtId="0" fontId="0" fillId="10" borderId="0" applyAlignment="1" pivotButton="0" quotePrefix="1" xfId="0">
      <alignment horizontal="left" vertical="center"/>
    </xf>
    <xf numFmtId="0" fontId="1" fillId="10" borderId="0" applyAlignment="1" pivotButton="0" quotePrefix="1" xfId="0">
      <alignment horizontal="left" vertical="center"/>
    </xf>
    <xf numFmtId="0" fontId="0" fillId="0" borderId="0" pivotButton="0" quotePrefix="0" xfId="0"/>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4" xfId="52"/>
    <cellStyle name="常规 53" xfId="53"/>
  </cellStyles>
  <dxfs count="19">
    <dxf>
      <font>
        <color rgb="FF9C0006"/>
      </font>
      <fill>
        <patternFill patternType="solid">
          <bgColor rgb="FFFFC7CE"/>
        </patternFill>
      </fill>
    </dxf>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4399-5080</author>
    <author>1250</author>
  </authors>
  <commentList>
    <comment ref="A1" authorId="0" shapeId="0">
      <text>
        <t>第一位	职业id
第三位	主动技能类型</t>
      </text>
    </comment>
    <comment ref="C1" authorId="0" shapeId="0">
      <text>
        <t>关联职业表
Rolejobs
1狂战
2剑客
3灵使</t>
      </text>
    </comment>
    <comment ref="D1" authorId="1" shapeId="0">
      <text>
        <t>1250:
0：空手也生效的技能
11001：要求法杖
11002：要求长剑</t>
      </text>
    </comment>
  </commentList>
</comments>
</file>

<file path=xl/comments/comment2.xml><?xml version="1.0" encoding="utf-8"?>
<comments xmlns="http://schemas.openxmlformats.org/spreadsheetml/2006/main">
  <authors>
    <author>4399-5080</author>
    <author>4399-5629</author>
  </authors>
  <commentList>
    <comment ref="A1" authorId="0" shapeId="0">
      <text>
        <t>a+bbb+cc
a为职业id
bbbb为宝石组：根据不同宝石组定id，同一宝石组基础效果相同
cc为宝石等级</t>
      </text>
    </comment>
    <comment ref="Q1" authorId="1" shapeId="0">
      <text>
        <t>4399-5629:
序号从小往大排
留空视为最大值</t>
      </text>
    </comment>
  </commentList>
</comments>
</file>

<file path=xl/comments/comment3.xml><?xml version="1.0" encoding="utf-8"?>
<comments xmlns="http://schemas.openxmlformats.org/spreadsheetml/2006/main">
  <authors>
    <author>5000PC</author>
    <author>4399-5080</author>
  </authors>
  <commentList>
    <comment ref="A1" authorId="0" shapeId="0">
      <text>
        <t xml:space="preserve">a+bb+ccc+dd
a为技能等阶
bb为技能类型
ccc为等阶内技能序号
dd为技能等级
</t>
      </text>
    </comment>
    <comment ref="B1" authorId="1" shapeId="0">
      <text>
        <t>关联职业表
Rolejobs
1狂战
2剑客
3灵使</t>
      </text>
    </comment>
  </commentList>
</comments>
</file>

<file path=xl/comments/comment4.xml><?xml version="1.0" encoding="utf-8"?>
<comments xmlns="http://schemas.openxmlformats.org/spreadsheetml/2006/main">
  <authors>
    <author>4399-5080</author>
    <author>PC-7020</author>
  </authors>
  <commentList>
    <comment ref="A1" authorId="0" shapeId="0">
      <text>
        <t xml:space="preserve">第一位	固定位1
第二位	职业id 通用填0
第三、四位	序号
</t>
      </text>
    </comment>
    <comment ref="C1" authorId="0" shapeId="0">
      <text>
        <t>关联职业表
Rolejobs
0 通用
1 狂战
2 剑客
3 灵使</t>
      </text>
    </comment>
    <comment ref="D1" authorId="1" shapeId="0">
      <text>
        <t>PC-7020:
第几个天赋大节点解锁</t>
      </text>
    </comment>
  </commentList>
</comments>
</file>

<file path=xl/comments/comment5.xml><?xml version="1.0" encoding="utf-8"?>
<comments xmlns="http://schemas.openxmlformats.org/spreadsheetml/2006/main">
  <authors>
    <author>4399-5080</author>
  </authors>
  <commentList>
    <comment ref="A1" authorId="0" shapeId="0">
      <text>
        <t xml:space="preserve">10000 常规行动及衍生攻击
1+职业（2位数）+技能id（2位数）
技能00-20为普攻、30-50为重击、60-70为跳跃、80-90为翻滚
20000 主动技能
2+职业（2位数）+技能id（2位数）
30000 QTE技能+被动
3+职业（2位数）+技能id（2位数）
0-40前为QTE 50-90为被动
60000 转职后 常规行动及衍生攻击
6+职业（2位数）+技能id（2位数）
70000 转职后 主动技能
7+职业（2位数）+技能id（2位数）
80000 转职后 QTE技能+被动
8+职业（2位数）+技能id（2位数）
</t>
      </text>
    </comment>
  </commentList>
</comments>
</file>

<file path=xl/comments/comment6.xml><?xml version="1.0" encoding="utf-8"?>
<comments xmlns="http://schemas.openxmlformats.org/spreadsheetml/2006/main">
  <authors>
    <author>4399-5080</author>
    <author>PC-7020</author>
    <author>5000PC</author>
    <author>1250c</author>
  </authors>
  <commentList>
    <comment ref="A1" authorId="0" shapeId="0">
      <text>
        <t xml:space="preserve">第一位	固定位1
第二位	职业id 通用填0
第三、四位	序号
</t>
      </text>
    </comment>
    <comment ref="C1" authorId="0" shapeId="0">
      <text>
        <t>关联职业表
Rolejobs
0 通用
1 狂战
2 剑客
3 灵使</t>
      </text>
    </comment>
    <comment ref="D1" authorId="1" shapeId="0">
      <text>
        <t>PC-7020:
这个节点连那个技能节点</t>
      </text>
    </comment>
    <comment ref="E1" authorId="1" shapeId="0">
      <text>
        <t>PC-7020:
横轴|纵轴</t>
      </text>
    </comment>
    <comment ref="G1" authorId="2" shapeId="0">
      <text>
        <t>在天赋盘中：
1 基础天赋
2 进阶天赋
3 核心天赋
在进阶天赋中：
1 小型天赋
2 中型天赋
3 大型天赋</t>
      </text>
    </comment>
    <comment ref="M2" authorId="3" shapeId="0">
      <text>
        <t>1250c:
词缀V值填入规则
默认按照顺序对词缀ID字段中的词缀依次插入数值
如词缀ID为XXX1,XXX2</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100000">
              <a:srgbClr val="9CBEE0"/>
            </a:gs>
            <a:gs pos="0">
              <a:srgbClr val="BBD5F0"/>
            </a:gs>
          </a:gsLst>
          <a:lin ang="5400000" scaled="0"/>
        </a:gradFill>
        <a:ln w="15875" cap="flat" cmpd="sng" algn="ctr">
          <a:solidFill>
            <a:srgbClr val="739CC3"/>
          </a:solidFill>
          <a:prstDash val="solid"/>
          <a:miter lim="200000"/>
        </a:ln>
      </a:spPr>
      <a:bodyPr/>
      <a:lstStyle/>
    </a:spDef>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codeName="Sheet1">
    <outlinePr summaryBelow="1" summaryRight="1"/>
    <pageSetUpPr/>
  </sheetPr>
  <dimension ref="A1:R44"/>
  <sheetViews>
    <sheetView workbookViewId="0">
      <pane xSplit="2" ySplit="3" topLeftCell="C4" activePane="bottomRight" state="frozen"/>
      <selection activeCell="A1" sqref="A1"/>
      <selection pane="topRight" activeCell="A1" sqref="A1"/>
      <selection pane="bottomLeft" activeCell="A1" sqref="A1"/>
      <selection pane="bottomRight" activeCell="A1" sqref="A$1:A$1048576"/>
    </sheetView>
  </sheetViews>
  <sheetFormatPr baseColWidth="8" defaultColWidth="9" defaultRowHeight="13.5"/>
  <cols>
    <col width="7.5" customWidth="1" style="71" min="1" max="1"/>
    <col width="15.125" customWidth="1" style="71" min="2" max="2"/>
    <col width="14.875" customWidth="1" style="71" min="3" max="3"/>
    <col width="19.375" customWidth="1" style="71" min="4" max="4"/>
    <col width="8.375" customWidth="1" style="71" min="5" max="5"/>
    <col width="15.75" customWidth="1" style="71" min="6" max="6"/>
    <col width="11.5" customWidth="1" style="71" min="7" max="7"/>
    <col width="12.875" customWidth="1" style="71" min="8" max="8"/>
    <col width="32.625" customWidth="1" style="71" min="9" max="9"/>
    <col width="16.5" customWidth="1" style="71" min="10" max="10"/>
    <col width="12.5" customWidth="1" style="71" min="11" max="11"/>
    <col width="23.25" customWidth="1" style="71" min="12" max="12"/>
    <col width="89.625" customWidth="1" style="70" min="13" max="13"/>
    <col width="51.5" customWidth="1" style="71" min="14" max="14"/>
    <col width="24.875" customWidth="1" style="71" min="15" max="15"/>
    <col width="12.5" customWidth="1" style="71" min="16" max="16"/>
    <col width="17.5" customWidth="1" style="71" min="17" max="17"/>
    <col width="8.125" customWidth="1" style="71" min="18" max="18"/>
    <col width="9" customWidth="1" style="71" min="19" max="16384"/>
  </cols>
  <sheetData>
    <row r="1" ht="27" customFormat="1" customHeight="1" s="70">
      <c r="A1" s="70" t="inlineStr">
        <is>
          <t>技能</t>
        </is>
      </c>
      <c r="B1" s="70" t="inlineStr">
        <is>
          <t>技能名称</t>
        </is>
      </c>
      <c r="C1" s="70" t="inlineStr">
        <is>
          <t>职业</t>
        </is>
      </c>
      <c r="D1" s="70" t="inlineStr">
        <is>
          <t>武器类型</t>
        </is>
      </c>
      <c r="E1" s="70" t="inlineStr">
        <is>
          <t>(nouse)等阶</t>
        </is>
      </c>
      <c r="F1" s="70" t="inlineStr">
        <is>
          <t>对应战斗技能表id</t>
        </is>
      </c>
      <c r="G1" s="70" t="inlineStr">
        <is>
          <t>对应特技id</t>
        </is>
      </c>
      <c r="H1" s="71" t="inlineStr">
        <is>
          <t>对应技能书组</t>
        </is>
      </c>
      <c r="I1" s="71" t="inlineStr">
        <is>
          <t>可镶嵌的技能宝石组</t>
        </is>
      </c>
      <c r="J1" s="70" t="inlineStr">
        <is>
          <t>未解锁提示</t>
        </is>
      </c>
      <c r="K1" s="70" t="inlineStr">
        <is>
          <t>解锁角色等级</t>
        </is>
      </c>
      <c r="L1" s="70" t="inlineStr">
        <is>
          <t>技能Icon</t>
        </is>
      </c>
      <c r="M1" s="70" t="inlineStr">
        <is>
          <t>技能描述</t>
        </is>
      </c>
      <c r="N1" s="70" t="inlineStr">
        <is>
          <t>子弹关联</t>
        </is>
      </c>
      <c r="O1" s="70" t="inlineStr">
        <is>
          <t>特殊描述</t>
        </is>
      </c>
      <c r="P1" s="70" t="inlineStr">
        <is>
          <t>特殊描述参数</t>
        </is>
      </c>
      <c r="Q1" s="70" t="inlineStr">
        <is>
          <t>buff描述</t>
        </is>
      </c>
      <c r="R1" s="70" t="inlineStr">
        <is>
          <t>是否投放</t>
        </is>
      </c>
    </row>
    <row r="2" customFormat="1" s="71">
      <c r="A2" s="51" t="inlineStr">
        <is>
          <t>id.p</t>
        </is>
      </c>
      <c r="B2" s="51" t="inlineStr">
        <is>
          <t>name</t>
        </is>
      </c>
      <c r="C2" s="51" t="inlineStr">
        <is>
          <t>occupation</t>
        </is>
      </c>
      <c r="D2" s="51" t="inlineStr">
        <is>
          <t>weaponType</t>
        </is>
      </c>
      <c r="E2" s="51" t="inlineStr">
        <is>
          <t>rank</t>
        </is>
      </c>
      <c r="F2" s="51" t="inlineStr">
        <is>
          <t>skill</t>
        </is>
      </c>
      <c r="G2" s="51" t="inlineStr">
        <is>
          <t>stunt</t>
        </is>
      </c>
      <c r="H2" s="51" t="inlineStr">
        <is>
          <t>skillBook</t>
        </is>
      </c>
      <c r="I2" s="51" t="inlineStr">
        <is>
          <t>skillGem</t>
        </is>
      </c>
      <c r="J2" s="51" t="inlineStr">
        <is>
          <t>lockTip</t>
        </is>
      </c>
      <c r="K2" s="51" t="inlineStr">
        <is>
          <t>limitLv</t>
        </is>
      </c>
      <c r="L2" s="51" t="inlineStr">
        <is>
          <t>icon</t>
        </is>
      </c>
      <c r="M2" s="67" t="inlineStr">
        <is>
          <t>desc</t>
        </is>
      </c>
      <c r="N2" s="51" t="inlineStr">
        <is>
          <t>shootAmmo</t>
        </is>
      </c>
      <c r="O2" s="51" t="inlineStr">
        <is>
          <t>descSpecial</t>
        </is>
      </c>
      <c r="P2" s="51" t="inlineStr">
        <is>
          <t>descParam</t>
        </is>
      </c>
      <c r="Q2" s="51" t="inlineStr">
        <is>
          <t>buffDesc</t>
        </is>
      </c>
      <c r="R2" s="51" t="inlineStr">
        <is>
          <t>isUse</t>
        </is>
      </c>
    </row>
    <row r="3" customFormat="1" s="71">
      <c r="A3" s="52" t="inlineStr">
        <is>
          <t>number</t>
        </is>
      </c>
      <c r="B3" s="52" t="inlineStr">
        <is>
          <t>string</t>
        </is>
      </c>
      <c r="C3" s="52" t="inlineStr">
        <is>
          <t>numberArr</t>
        </is>
      </c>
      <c r="D3" s="52" t="inlineStr">
        <is>
          <t>numberArr</t>
        </is>
      </c>
      <c r="E3" s="52" t="inlineStr">
        <is>
          <t>string</t>
        </is>
      </c>
      <c r="F3" s="52" t="inlineStr">
        <is>
          <t>number2</t>
        </is>
      </c>
      <c r="G3" s="52" t="inlineStr">
        <is>
          <t>number2</t>
        </is>
      </c>
      <c r="H3" s="52" t="inlineStr">
        <is>
          <t>number</t>
        </is>
      </c>
      <c r="I3" s="52" t="inlineStr">
        <is>
          <t>numberArr</t>
        </is>
      </c>
      <c r="J3" s="52" t="inlineStr">
        <is>
          <t>string</t>
        </is>
      </c>
      <c r="K3" s="52" t="inlineStr">
        <is>
          <t>number</t>
        </is>
      </c>
      <c r="L3" s="52" t="inlineStr">
        <is>
          <t>string</t>
        </is>
      </c>
      <c r="M3" s="68" t="inlineStr">
        <is>
          <t>string</t>
        </is>
      </c>
      <c r="N3" s="52" t="inlineStr">
        <is>
          <t>object</t>
        </is>
      </c>
      <c r="O3" s="52" t="inlineStr">
        <is>
          <t>string</t>
        </is>
      </c>
      <c r="P3" s="52" t="inlineStr">
        <is>
          <t>numberArr</t>
        </is>
      </c>
      <c r="Q3" s="52" t="inlineStr">
        <is>
          <t>numberArr</t>
        </is>
      </c>
      <c r="R3" s="52" t="inlineStr">
        <is>
          <t>number</t>
        </is>
      </c>
    </row>
    <row r="4" ht="17.25" customHeight="1" s="78">
      <c r="A4" s="71" t="n">
        <v>100001</v>
      </c>
      <c r="B4" s="71" t="inlineStr">
        <is>
          <t>专注斩</t>
        </is>
      </c>
      <c r="C4" s="71" t="inlineStr">
        <is>
          <t>1|2|3|4|5|6|7</t>
        </is>
      </c>
      <c r="D4" s="71" t="n">
        <v>11002</v>
      </c>
      <c r="E4" s="71" t="n">
        <v>1</v>
      </c>
      <c r="F4" s="71" t="n">
        <v>1110000050</v>
      </c>
      <c r="H4" s="71" t="n">
        <v>100001</v>
      </c>
      <c r="I4" s="69" t="inlineStr">
        <is>
          <t>1|2|3|4|5|6|7|8|9|10|11|12|13|14|15|16|17|18|19|20|21|22|23|24|25|26|27|28|29|30|31|32|33|34|35|36|37|38|39</t>
        </is>
      </c>
      <c r="K4" s="71" t="n">
        <v>0</v>
      </c>
      <c r="L4" s="71" t="inlineStr">
        <is>
          <t>linshi/8</t>
        </is>
      </c>
      <c r="M4" s="70" t="inlineStr">
        <is>
          <t>向前方目标连续造成3次共计{0}，随后再造成更高的{1}</t>
        </is>
      </c>
      <c r="N4" s="71" t="inlineStr">
        <is>
          <t>[[1111100050,1111200050,1111300050],[1111400050]]</t>
        </is>
      </c>
      <c r="O4" s="71" t="inlineStr">
        <is>
          <t>该技能额外造成{0}伤害</t>
        </is>
      </c>
      <c r="P4" s="71" t="inlineStr">
        <is>
          <t>21|1.1</t>
        </is>
      </c>
      <c r="R4" s="71" t="n">
        <v>1</v>
      </c>
    </row>
    <row r="5" ht="17.25" customHeight="1" s="78">
      <c r="A5" s="71" t="n">
        <v>100002</v>
      </c>
      <c r="B5" s="71" t="inlineStr">
        <is>
          <t>旋风斩</t>
        </is>
      </c>
      <c r="C5" s="71" t="inlineStr">
        <is>
          <t>1|2|3|4|5|6|7</t>
        </is>
      </c>
      <c r="D5" s="71" t="n">
        <v>11002</v>
      </c>
      <c r="E5" s="71" t="n">
        <v>1</v>
      </c>
      <c r="F5" s="71" t="n">
        <v>1110000040</v>
      </c>
      <c r="H5" s="71" t="n">
        <v>100002</v>
      </c>
      <c r="I5" s="69" t="inlineStr">
        <is>
          <t>1|2|3|4|5|6|7|8|9|10|11|12|13|14|15|16|17|18|19|20|21|22|23|24|25|26|27|28|29|30|31|32|33|34|35|36|37|38|39</t>
        </is>
      </c>
      <c r="K5" s="71" t="n">
        <v>0</v>
      </c>
      <c r="L5" s="71" t="inlineStr">
        <is>
          <t>linshi/9</t>
        </is>
      </c>
      <c r="M5" s="70" t="inlineStr">
        <is>
          <t>对自身一定范围内的敌人造成一次{0}</t>
        </is>
      </c>
      <c r="N5" s="71" t="inlineStr">
        <is>
          <t>[[1111000040]]</t>
        </is>
      </c>
      <c r="O5" s="71" t="inlineStr">
        <is>
          <t>该技能额外造成{0}伤害</t>
        </is>
      </c>
      <c r="P5" s="71" t="inlineStr">
        <is>
          <t>21|1.1</t>
        </is>
      </c>
      <c r="R5" s="71" t="n">
        <v>1</v>
      </c>
    </row>
    <row r="6" ht="17.25" customHeight="1" s="78">
      <c r="A6" s="71" t="n">
        <v>100003</v>
      </c>
      <c r="B6" s="71" t="inlineStr">
        <is>
          <t>月光斩</t>
        </is>
      </c>
      <c r="C6" s="71" t="inlineStr">
        <is>
          <t>1|2|3|4|5|6|7</t>
        </is>
      </c>
      <c r="D6" s="71" t="n">
        <v>11002</v>
      </c>
      <c r="E6" s="71" t="n">
        <v>1</v>
      </c>
      <c r="F6" s="71" t="n">
        <v>1110000010</v>
      </c>
      <c r="H6" s="71" t="n">
        <v>100003</v>
      </c>
      <c r="I6" s="69" t="inlineStr">
        <is>
          <t>1|2|3|4|5|6|7|8|9|10|11|12|13|14|15|16|17|18|19|20|21|22|23|24|25|26|27|28|29|30|31|32|33|34|35|36|37|38|39</t>
        </is>
      </c>
      <c r="K6" s="71" t="n">
        <v>0</v>
      </c>
      <c r="L6" s="71" t="inlineStr">
        <is>
          <t>jianke/2</t>
        </is>
      </c>
      <c r="M6" s="70" t="inlineStr">
        <is>
          <t>对前方小范围的敌人快速造成两次{0}。\n攻击冻结敌人时会出现月光残影，对范围内敌人造成{1}</t>
        </is>
      </c>
      <c r="N6" s="71" t="inlineStr">
        <is>
          <t>[[1111000010,1111100010],[1111200010]]</t>
        </is>
      </c>
      <c r="O6" s="71" t="inlineStr">
        <is>
          <t>该技能额外造成{0}伤害</t>
        </is>
      </c>
      <c r="P6" s="71" t="inlineStr">
        <is>
          <t>21|1.1</t>
        </is>
      </c>
      <c r="R6" s="71" t="n">
        <v>1</v>
      </c>
    </row>
    <row r="7" ht="27" customHeight="1" s="78">
      <c r="A7" s="71" t="n">
        <v>100004</v>
      </c>
      <c r="B7" s="71" t="inlineStr">
        <is>
          <t>混沌刺击</t>
        </is>
      </c>
      <c r="C7" s="71" t="inlineStr">
        <is>
          <t>1|2|3|4|5|6|7</t>
        </is>
      </c>
      <c r="D7" s="71" t="n">
        <v>11002</v>
      </c>
      <c r="E7" s="71" t="n">
        <v>1</v>
      </c>
      <c r="F7" s="71" t="n">
        <v>1110000030</v>
      </c>
      <c r="H7" s="71" t="n">
        <v>100004</v>
      </c>
      <c r="I7" s="69" t="inlineStr">
        <is>
          <t>1|2|3|4|5|6|7|8|9|10|11|12|13|14|15|16|17|18|19|20|21|22|23|24|25|26|27|28|29|30|31|32|33|34|35|36|37|38|39|40</t>
        </is>
      </c>
      <c r="K7" s="71" t="n">
        <v>0</v>
      </c>
      <c r="L7" s="71" t="inlineStr">
        <is>
          <t>linshi/1</t>
        </is>
      </c>
      <c r="M7" s="70" t="inlineStr">
        <is>
          <t>向前单个敌人刺击造成{0}，命中敌人后会向前产生[混沌剑气]。\n[混沌剑气]具有穿透效果，造成{1}，投射物数量增加会增加[混沌剑气]的数量，以0.2秒的固定间隔向前发射</t>
        </is>
      </c>
      <c r="N7" s="71" t="inlineStr">
        <is>
          <t>[[1111000030],[1111100030]]</t>
        </is>
      </c>
      <c r="O7" s="71" t="inlineStr">
        <is>
          <t>该技能额外造成{0}伤害</t>
        </is>
      </c>
      <c r="P7" s="71" t="inlineStr">
        <is>
          <t>21|1.1</t>
        </is>
      </c>
      <c r="R7" s="71" t="n">
        <v>1</v>
      </c>
    </row>
    <row r="8" ht="17.25" customHeight="1" s="78">
      <c r="A8" s="71" t="n">
        <v>100005</v>
      </c>
      <c r="B8" s="71" t="inlineStr">
        <is>
          <t>冥地喷涌</t>
        </is>
      </c>
      <c r="C8" s="71" t="inlineStr">
        <is>
          <t>1|2|3|4|5|6|7</t>
        </is>
      </c>
      <c r="D8" s="71" t="n">
        <v>11003</v>
      </c>
      <c r="E8" s="71" t="n">
        <v>1</v>
      </c>
      <c r="F8" s="71" t="n">
        <v>1120000040</v>
      </c>
      <c r="H8" s="71">
        <f>A8</f>
        <v/>
      </c>
      <c r="I8" s="69" t="inlineStr">
        <is>
          <t>1|2|3|4|5|6|7|8|9|10|11|12|13|14|15|16|17|18|19|20|21|22|23|24|25|26|27|28|29|30|31|32|33|34|35|36|37|38|39|40</t>
        </is>
      </c>
      <c r="K8" s="71">
        <f t="array" ref="K8">_xlfn.SWITCH(E8,1,0,2,7,3,15,4,25,5,50)</f>
        <v/>
      </c>
      <c r="L8" s="71" t="inlineStr">
        <is>
          <t>fashu/mindipenyong</t>
        </is>
      </c>
      <c r="M8" s="70" t="inlineStr">
        <is>
          <t>在目标脚下生成混沌裂隙，短暂延迟后对范围内敌方单位造成两次{0}</t>
        </is>
      </c>
      <c r="N8" s="71" t="inlineStr">
        <is>
          <t>[[1121200040]]</t>
        </is>
      </c>
      <c r="O8" s="71" t="inlineStr">
        <is>
          <t>该技能额外造成{0}伤害</t>
        </is>
      </c>
      <c r="P8" s="71" t="inlineStr">
        <is>
          <t>21|1.1</t>
        </is>
      </c>
      <c r="R8" s="71" t="n">
        <v>1</v>
      </c>
    </row>
    <row r="9" ht="17.25" customHeight="1" s="78">
      <c r="A9" s="71" t="n">
        <v>100006</v>
      </c>
      <c r="B9" s="71" t="inlineStr">
        <is>
          <t>冰霜新星</t>
        </is>
      </c>
      <c r="C9" s="71" t="inlineStr">
        <is>
          <t>1|2|3|4|5|6|7</t>
        </is>
      </c>
      <c r="D9" s="71" t="n">
        <v>11003</v>
      </c>
      <c r="E9" s="71" t="n">
        <v>1</v>
      </c>
      <c r="F9" s="71" t="n">
        <v>1120000132</v>
      </c>
      <c r="H9" s="71">
        <f>A9</f>
        <v/>
      </c>
      <c r="I9" s="69" t="inlineStr">
        <is>
          <t>1|2|3|4|5|6|7|8|9|10|11|12|13|14|15|16|17|18|19|20|21|22|23|24|25|26|27|28|29|30|31|32|33|34|35|36|37|38|39|40</t>
        </is>
      </c>
      <c r="K9" s="71">
        <f t="array" ref="K9">_xlfn.SWITCH(E9,1,0,2,7,3,15,4,25,5,50)</f>
        <v/>
      </c>
      <c r="L9" s="71" t="inlineStr">
        <is>
          <t>fashu/bingshuangxinxing</t>
        </is>
      </c>
      <c r="M9" s="70" t="inlineStr">
        <is>
          <t>自身一定范围内形成一圈冰刺，造成{0}，每3次释放，会造成一次更大范围的{1}</t>
        </is>
      </c>
      <c r="N9" s="71" t="inlineStr">
        <is>
          <t>[[1121100130],[1121100131]]</t>
        </is>
      </c>
      <c r="O9" s="71" t="inlineStr">
        <is>
          <t>该技能额外造成{0}伤害</t>
        </is>
      </c>
      <c r="P9" s="71" t="inlineStr">
        <is>
          <t>21|1.1</t>
        </is>
      </c>
      <c r="R9" s="71" t="n">
        <v>1</v>
      </c>
    </row>
    <row r="10" ht="27" customHeight="1" s="78">
      <c r="A10" s="71" t="n">
        <v>100007</v>
      </c>
      <c r="B10" s="71" t="inlineStr">
        <is>
          <t>移形换影</t>
        </is>
      </c>
      <c r="C10" s="71" t="inlineStr">
        <is>
          <t>1|2|3|4|5|6|7</t>
        </is>
      </c>
      <c r="D10" s="71" t="n">
        <v>0</v>
      </c>
      <c r="E10" s="71" t="n">
        <v>1</v>
      </c>
      <c r="G10" s="71" t="n">
        <v>2120000011</v>
      </c>
      <c r="H10" s="71">
        <f>A10</f>
        <v/>
      </c>
      <c r="I10" s="69" t="inlineStr">
        <is>
          <t>1|2|3|4|5|6|7|8|9|10|11|12|13|14|15|16|17|18|19|20|21|22|23|24|25|26|27|28|29|30|31|32|33|34|35|36|37|38|39|40</t>
        </is>
      </c>
      <c r="K10" s="71">
        <f t="array" ref="K10">_xlfn.SWITCH(E10,1,0,2,7,3,15,4,25,5,50)</f>
        <v/>
      </c>
      <c r="L10" s="71" t="inlineStr">
        <is>
          <t>fashu/yixinghuanying</t>
        </is>
      </c>
      <c r="M10" s="70" t="inlineStr">
        <is>
          <t>向移动方向闪现，并在原地留下一个幻影幻影不可移动，不可攻击，持续4秒内持续释放技能1，幻影的上限为1</t>
        </is>
      </c>
      <c r="O10" s="71" t="inlineStr">
        <is>
          <t>该技能额外造成{0}伤害</t>
        </is>
      </c>
      <c r="P10" s="71" t="inlineStr">
        <is>
          <t>21|1.1</t>
        </is>
      </c>
      <c r="Q10" s="71" t="n">
        <v>2122100011</v>
      </c>
      <c r="R10" s="71" t="n">
        <v>1</v>
      </c>
    </row>
    <row r="11" ht="17.25" customHeight="1" s="78">
      <c r="A11" s="71" t="n">
        <v>100008</v>
      </c>
      <c r="B11" s="71" t="inlineStr">
        <is>
          <t>法术旋龙</t>
        </is>
      </c>
      <c r="C11" s="71" t="inlineStr">
        <is>
          <t>1|2|3|4|5|6|7</t>
        </is>
      </c>
      <c r="D11" s="71" t="n">
        <v>11001</v>
      </c>
      <c r="E11" s="71" t="n">
        <v>1</v>
      </c>
      <c r="F11" s="71" t="n">
        <v>1120000020</v>
      </c>
      <c r="H11" s="71">
        <f>A11</f>
        <v/>
      </c>
      <c r="I11" s="69" t="inlineStr">
        <is>
          <t>1|2|3|4|5|6|7|8|9|10|11|12|13|14|15|16|17|18|19|20|21|22|23|24|25|26|27|28|29|30|31|32|33|34|35|36|37|38|39|40</t>
        </is>
      </c>
      <c r="K11" s="71">
        <f t="array" ref="K11">_xlfn.SWITCH(E11,1,0,2,7,3,15,4,25,5,50)</f>
        <v/>
      </c>
      <c r="L11" s="71" t="inlineStr">
        <is>
          <t>linshi/26</t>
        </is>
      </c>
      <c r="M11" s="71" t="inlineStr">
        <is>
          <t>释放一道旋龙，旋龙会不规则移动，穿透并对沿途的所有敌人造成{0}，持续3秒。\n当旋龙碰到其他技能产生的旋风时，可以吸收并生成一个新的旋龙，旋龙分裂后造成{1}\n旋龙只可以分裂一次。\n同时生成的旋龙对同一个目标每0.6秒只能造成一次伤害</t>
        </is>
      </c>
      <c r="N11" s="71" t="inlineStr">
        <is>
          <t>[[1121000020],[1121100020]]</t>
        </is>
      </c>
      <c r="O11" s="71" t="inlineStr">
        <is>
          <t>该技能额外造成{0}伤害</t>
        </is>
      </c>
      <c r="P11" s="71" t="inlineStr">
        <is>
          <t>21|1.1</t>
        </is>
      </c>
      <c r="R11" s="71" t="n">
        <v>1</v>
      </c>
    </row>
    <row r="12" ht="17.25" customHeight="1" s="78">
      <c r="A12" s="71" t="n">
        <v>100009</v>
      </c>
      <c r="B12" s="71" t="inlineStr">
        <is>
          <t>火球术</t>
        </is>
      </c>
      <c r="C12" s="71" t="inlineStr">
        <is>
          <t>1|2|3|4|5|6|7</t>
        </is>
      </c>
      <c r="D12" s="71" t="n">
        <v>11001</v>
      </c>
      <c r="E12" s="71" t="n">
        <v>1</v>
      </c>
      <c r="F12" s="71" t="n">
        <v>1120000080</v>
      </c>
      <c r="H12" s="71">
        <f>A12</f>
        <v/>
      </c>
      <c r="I12" s="69" t="inlineStr">
        <is>
          <t>1|2|3|4|5|6|7|8|9|10|11|12|13|14|15|16|17|18|19|20|21|22|23|24|25|26|27|28|29|30|31|32|33|34|35|36|37|38|39|40</t>
        </is>
      </c>
      <c r="K12" s="71">
        <f t="array" ref="K12">_xlfn.SWITCH(E12,1,0,2,7,3,15,4,25,5,50)</f>
        <v/>
      </c>
      <c r="L12" s="71" t="inlineStr">
        <is>
          <t>linshi/25</t>
        </is>
      </c>
      <c r="M12" s="71" t="inlineStr">
        <is>
          <t>扔出一枚火球，碰到敌人时产生{0}。\n火球的数量上限为3\n爆炸时尽量消耗一层毁灭注能，生成更加强大的爆炸，造成{1}，并且在爆炸位置生成火焰地面，并在爆炸时产生8发小型火球，小型火球造成{2}\n散射火球术的数量无法被修改\n爆炸每4秒只会被强化一次</t>
        </is>
      </c>
      <c r="N12" s="71" t="inlineStr">
        <is>
          <t>[[1121000081],[1121000085],[1121000084]]</t>
        </is>
      </c>
      <c r="O12" s="71" t="inlineStr">
        <is>
          <t>该技能额外造成{0}伤害</t>
        </is>
      </c>
      <c r="P12" s="71" t="inlineStr">
        <is>
          <t>21|1.1</t>
        </is>
      </c>
      <c r="R12" s="71" t="n">
        <v>1</v>
      </c>
    </row>
    <row r="13" ht="27" customHeight="1" s="78">
      <c r="A13" s="71" t="n">
        <v>100010</v>
      </c>
      <c r="B13" s="71" t="inlineStr">
        <is>
          <t>混沌陨星</t>
        </is>
      </c>
      <c r="C13" s="71" t="inlineStr">
        <is>
          <t>1|2|3|4|5|6|7</t>
        </is>
      </c>
      <c r="D13" s="71" t="n">
        <v>11003</v>
      </c>
      <c r="E13" s="71" t="n">
        <v>1</v>
      </c>
      <c r="F13" s="71" t="n">
        <v>1120000140</v>
      </c>
      <c r="H13" s="71">
        <f>A13</f>
        <v/>
      </c>
      <c r="I13" s="69" t="inlineStr">
        <is>
          <t>1|2|3|4|5|6|7|8|9|10|11|12|13|14|15|16|17|18|19|20|21|22|23|24|25|26|27|28|29|30|31|32|33|34|35|36|37|38|39|40</t>
        </is>
      </c>
      <c r="K13" s="71">
        <f t="array" ref="K13">_xlfn.SWITCH(E13,1,0,2,7,3,15,4,25,5,50)</f>
        <v/>
      </c>
      <c r="L13" s="71" t="inlineStr">
        <is>
          <t>fashu/hundunyunxing</t>
        </is>
      </c>
      <c r="M13" s="70" t="inlineStr">
        <is>
          <t>在目标位置产生陨石冲击，造成范围{0}，并产生一片中毒云雾，中毒强度基础值为生命值上限的20%；混沌云雾碰撞到点燃单位或者火焰子弹时，会对敌人产生爆炸造成大量{1}</t>
        </is>
      </c>
      <c r="N13" s="71" t="inlineStr">
        <is>
          <t>[[1121100140],[1121500140]]</t>
        </is>
      </c>
      <c r="O13" s="71" t="inlineStr">
        <is>
          <t>该技能额外造成{0}伤害</t>
        </is>
      </c>
      <c r="P13" s="71" t="inlineStr">
        <is>
          <t>21|1.1</t>
        </is>
      </c>
      <c r="R13" s="71" t="n">
        <v>1</v>
      </c>
    </row>
    <row r="14" ht="17.25" customHeight="1" s="78">
      <c r="A14" s="71" t="n">
        <v>100011</v>
      </c>
      <c r="B14" s="71" t="inlineStr">
        <is>
          <t>闪电之捷</t>
        </is>
      </c>
      <c r="C14" s="71" t="inlineStr">
        <is>
          <t>1|2|3|4|5|6|7</t>
        </is>
      </c>
      <c r="D14" s="71" t="n">
        <v>0</v>
      </c>
      <c r="E14" s="71" t="n">
        <v>2</v>
      </c>
      <c r="G14" s="71" t="n">
        <v>2110000010</v>
      </c>
      <c r="H14" s="71">
        <f>A14</f>
        <v/>
      </c>
      <c r="I14" s="69" t="inlineStr">
        <is>
          <t>1|2|3|4|5|6|7|8|9|10|11|12|13|14|15|16|17|18|19|20|21|22|23|24|25|26|27|28|29|30|31|32|33|34|35|36|37|38|39|40</t>
        </is>
      </c>
      <c r="K14" s="71">
        <f t="array" ref="K14">_xlfn.SWITCH(E14,1,0,2,7,3,15,4,25,5,50)</f>
        <v/>
      </c>
      <c r="L14" s="71" t="inlineStr">
        <is>
          <t>gongji/shandianzhijie</t>
        </is>
      </c>
      <c r="M14" s="70" t="inlineStr">
        <is>
          <t>佩戴时，非捷技能击中并击败感电敌人会使后续的击中释放出闪电，对范围内敌方单位造成{0}</t>
        </is>
      </c>
      <c r="N14" s="71" t="inlineStr">
        <is>
          <t>[[2111000010]]</t>
        </is>
      </c>
      <c r="O14" s="71" t="inlineStr">
        <is>
          <t>该技能额外造成{0}伤害</t>
        </is>
      </c>
      <c r="P14" s="71" t="inlineStr">
        <is>
          <t>21|1.1</t>
        </is>
      </c>
      <c r="Q14" s="71" t="n">
        <v>2112000012</v>
      </c>
      <c r="R14" s="71" t="n">
        <v>1</v>
      </c>
    </row>
    <row r="15" ht="17.25" customHeight="1" s="78">
      <c r="A15" s="71" t="n">
        <v>100012</v>
      </c>
      <c r="B15" s="71" t="inlineStr">
        <is>
          <t>拔刀斩</t>
        </is>
      </c>
      <c r="C15" s="71" t="inlineStr">
        <is>
          <t>1|2|3|4|5|6|7</t>
        </is>
      </c>
      <c r="D15" s="71" t="n">
        <v>11002</v>
      </c>
      <c r="E15" s="71" t="n">
        <v>2</v>
      </c>
      <c r="F15" s="71" t="n">
        <v>1110000020</v>
      </c>
      <c r="H15" s="71">
        <f>A15</f>
        <v/>
      </c>
      <c r="I15" s="69" t="inlineStr">
        <is>
          <t>1|2|3|4|5|6|7|8|9|10|11|12|13|14|15|16|17|18|19|20|21|22|23|24|25|26|27|28|29|30|31|32|33|34|35|36|37|38|39|40</t>
        </is>
      </c>
      <c r="K15" s="71">
        <f t="array" ref="K15">_xlfn.SWITCH(E15,1,0,2,7,3,15,4,25,5,50)</f>
        <v/>
      </c>
      <c r="L15" s="71" t="inlineStr">
        <is>
          <t>jianke/1</t>
        </is>
      </c>
      <c r="M15" s="70" t="inlineStr">
        <is>
          <t>对前方大范围内的敌人造成伤害，造成{0}</t>
        </is>
      </c>
      <c r="N15" s="71" t="inlineStr">
        <is>
          <t>[[1111000020]]</t>
        </is>
      </c>
      <c r="O15" s="71" t="inlineStr">
        <is>
          <t>该技能额外造成{0}伤害</t>
        </is>
      </c>
      <c r="P15" s="71" t="inlineStr">
        <is>
          <t>21|1.1</t>
        </is>
      </c>
      <c r="Q15" s="71" t="n">
        <v>1112000020</v>
      </c>
      <c r="R15" s="71" t="n">
        <v>1</v>
      </c>
    </row>
    <row r="16" ht="27" customHeight="1" s="78">
      <c r="A16" s="71" t="n">
        <v>100013</v>
      </c>
      <c r="B16" s="71" t="inlineStr">
        <is>
          <t>气刃纵斩</t>
        </is>
      </c>
      <c r="C16" s="71" t="inlineStr">
        <is>
          <t>1|2|3|4|5|6|7</t>
        </is>
      </c>
      <c r="D16" s="71" t="n">
        <v>11002</v>
      </c>
      <c r="E16" s="71" t="n">
        <v>2</v>
      </c>
      <c r="F16" s="71" t="n">
        <v>1110000060</v>
      </c>
      <c r="H16" s="71">
        <f>A16</f>
        <v/>
      </c>
      <c r="I16" s="69" t="inlineStr">
        <is>
          <t>1|2|3|4|5|6|7|8|9|10|11|12|13|14|15|16|17|18|19|20|21|22|23|24|25|26|27|28|29|30|31|32|33|34|35|36|37|38|39|40</t>
        </is>
      </c>
      <c r="K16" s="71">
        <f t="array" ref="K16">_xlfn.SWITCH(E16,1,0,2,7,3,15,4,25,5,50)</f>
        <v/>
      </c>
      <c r="L16" s="71" t="inlineStr">
        <is>
          <t>jianke/3</t>
        </is>
      </c>
      <c r="M16" s="70" t="inlineStr">
        <is>
          <t>对前方发出一道巨大的剑波，造成{0}，攻击沿途的所有敌人\n在目标位置生成一片冰冷地面，每秒产生{1}，持续4秒</t>
        </is>
      </c>
      <c r="N16" s="71" t="inlineStr">
        <is>
          <t>[[1111000060],[1111000061]]</t>
        </is>
      </c>
      <c r="O16" s="71" t="inlineStr">
        <is>
          <t>该技能额外造成{0}伤害</t>
        </is>
      </c>
      <c r="P16" s="71" t="inlineStr">
        <is>
          <t>21|1.1</t>
        </is>
      </c>
      <c r="R16" s="71" t="n">
        <v>1</v>
      </c>
    </row>
    <row r="17" ht="17.25" customHeight="1" s="78">
      <c r="A17" s="71" t="n">
        <v>100014</v>
      </c>
      <c r="B17" s="71" t="inlineStr">
        <is>
          <t>回旋龙卷</t>
        </is>
      </c>
      <c r="C17" s="71" t="inlineStr">
        <is>
          <t>1|2|3|4|5|6|7</t>
        </is>
      </c>
      <c r="D17" s="71" t="n">
        <v>11001</v>
      </c>
      <c r="E17" s="71" t="n">
        <v>2</v>
      </c>
      <c r="F17" s="71" t="n">
        <v>1120000050</v>
      </c>
      <c r="H17" s="71">
        <f>A17</f>
        <v/>
      </c>
      <c r="I17" s="69" t="inlineStr">
        <is>
          <t>1|2|3|4|5|6|7|8|9|10|11|12|13|14|15|16|17|18|19|20|21|22|23|24|25|26|27|28|29|30|31|32|33|34|35|36|37|38|39|40</t>
        </is>
      </c>
      <c r="K17" s="71">
        <f t="array" ref="K17">_xlfn.SWITCH(E17,1,0,2,7,3,15,4,25,5,50)</f>
        <v/>
      </c>
      <c r="L17" s="71" t="inlineStr">
        <is>
          <t>linshi/14</t>
        </is>
      </c>
      <c r="M17" s="71" t="inlineStr">
        <is>
          <t>在身边召唤3个围绕自身盘旋的龙卷旋风，对碰撞到的敌人造成{0}。</t>
        </is>
      </c>
      <c r="N17" s="71" t="inlineStr">
        <is>
          <t>[[1121000050]]</t>
        </is>
      </c>
      <c r="O17" s="71" t="inlineStr">
        <is>
          <t>该技能额外造成{0}伤害</t>
        </is>
      </c>
      <c r="P17" s="71" t="inlineStr">
        <is>
          <t>21|1.1</t>
        </is>
      </c>
      <c r="R17" s="71" t="n">
        <v>1</v>
      </c>
    </row>
    <row r="18" ht="17.25" customFormat="1" customHeight="1" s="65">
      <c r="A18" s="65" t="n">
        <v>100015</v>
      </c>
      <c r="B18" s="65" t="inlineStr">
        <is>
          <t>魔力满溢</t>
        </is>
      </c>
      <c r="C18" s="65" t="n"/>
      <c r="D18" s="65" t="n"/>
      <c r="E18" s="65" t="n">
        <v>2</v>
      </c>
      <c r="F18" s="65" t="n"/>
      <c r="G18" s="65" t="n">
        <v>2140000140</v>
      </c>
      <c r="H18" s="65">
        <f>A18</f>
        <v/>
      </c>
      <c r="I18" s="69" t="inlineStr">
        <is>
          <t>1|2|3|4|5|6|7|8|9|10|11|12|13|14|15|16|17|18|19|20|21|22|23|24|25|26|27|28|29|30|31|32|33|34|35|36|37|38|39|40</t>
        </is>
      </c>
      <c r="K18" s="65">
        <f t="array" ref="K18">_xlfn.SWITCH(E18,1,0,2,7,3,15,4,25,5,50)</f>
        <v/>
      </c>
      <c r="M18" s="72" t="inlineStr">
        <is>
          <t>无用</t>
        </is>
      </c>
      <c r="N18" s="71" t="n"/>
      <c r="O18" s="71" t="n"/>
      <c r="P18" s="71" t="inlineStr">
        <is>
          <t>21|1.1</t>
        </is>
      </c>
      <c r="R18" s="65" t="n">
        <v>0</v>
      </c>
    </row>
    <row r="19" ht="28" customHeight="1" s="78">
      <c r="A19" s="71" t="n">
        <v>100016</v>
      </c>
      <c r="B19" s="71" t="inlineStr">
        <is>
          <t>灰烬之捷</t>
        </is>
      </c>
      <c r="C19" s="71" t="inlineStr">
        <is>
          <t>1|2|3|4|5|6|7</t>
        </is>
      </c>
      <c r="D19" s="71" t="n">
        <v>0</v>
      </c>
      <c r="E19" s="71" t="n">
        <v>2</v>
      </c>
      <c r="G19" s="71" t="n">
        <v>2110000020</v>
      </c>
      <c r="H19" s="71">
        <f>A19</f>
        <v/>
      </c>
      <c r="I19" s="69" t="inlineStr">
        <is>
          <t>1|2|3|4|5|6|7|8|9|10|11|12|13|14|15|16|17|18|19|20|21|22|23|24|25|26|27|28|29|30|31|32|33|34|35|36|37|38|39|40</t>
        </is>
      </c>
      <c r="K19" s="71">
        <f t="array" ref="K19">_xlfn.SWITCH(E19,1,0,2,7,3,15,4,25,5,50)</f>
        <v/>
      </c>
      <c r="L19" s="71" t="inlineStr">
        <is>
          <t>linshi/17</t>
        </is>
      </c>
      <c r="M19" s="70" t="inlineStr">
        <is>
          <t>佩戴时，非捷技能的火焰伤害敌人被击杀时有10%几率产生爆炸，并范围内敌方单位造成生命值上限{0}</t>
        </is>
      </c>
      <c r="N19" s="71" t="inlineStr">
        <is>
          <t>[[2111000020]]</t>
        </is>
      </c>
      <c r="O19" s="71" t="inlineStr">
        <is>
          <t>该技能额外造成{0}伤害</t>
        </is>
      </c>
      <c r="P19" s="71" t="inlineStr">
        <is>
          <t>21|1.1</t>
        </is>
      </c>
      <c r="Q19" s="71" t="n">
        <v>2112000021</v>
      </c>
      <c r="R19" s="71" t="n">
        <v>1</v>
      </c>
    </row>
    <row r="20" ht="28" customHeight="1" s="78">
      <c r="A20" s="71" t="n">
        <v>100017</v>
      </c>
      <c r="B20" s="71" t="inlineStr">
        <is>
          <t>月神赐福</t>
        </is>
      </c>
      <c r="C20" s="71" t="inlineStr">
        <is>
          <t>1|2|3|4|5|6|7</t>
        </is>
      </c>
      <c r="D20" s="71" t="n">
        <v>11002</v>
      </c>
      <c r="E20" s="71" t="n">
        <v>3</v>
      </c>
      <c r="F20" s="71" t="n">
        <v>1140000010</v>
      </c>
      <c r="H20" s="71" t="n">
        <v>100017</v>
      </c>
      <c r="I20" s="69" t="inlineStr">
        <is>
          <t>1|2|3|4|5|6|7|8|9|10|11|12|13|14|15|16|17|18|19|20|21|22|23|24|25|26|27|28|29|30|31|32|33|34|35|36|37|38|39|40</t>
        </is>
      </c>
      <c r="K20" s="71" t="n">
        <v>15</v>
      </c>
      <c r="L20" s="71" t="inlineStr">
        <is>
          <t>jianke/5</t>
        </is>
      </c>
      <c r="M20" s="70" t="inlineStr">
        <is>
          <t>进入月神赐福状态，使用冰冷近战技能击中敌人时会对目标敌人召唤1发剑影，造成{0}，月神赐福状态持续8秒\n1发剑影最多攻击5名敌人\n对冻结敌人伤害额外提高100%</t>
        </is>
      </c>
      <c r="N20" s="71" t="inlineStr">
        <is>
          <t>[[1141100011]]</t>
        </is>
      </c>
      <c r="O20" s="71" t="inlineStr">
        <is>
          <t>该技能额外造成{0}伤害</t>
        </is>
      </c>
      <c r="P20" s="71" t="inlineStr">
        <is>
          <t>21|1.1</t>
        </is>
      </c>
      <c r="R20" s="71" t="n">
        <v>1</v>
      </c>
    </row>
    <row r="21" ht="28" customHeight="1" s="78">
      <c r="A21" s="71" t="n">
        <v>100018</v>
      </c>
      <c r="B21" s="71" t="inlineStr">
        <is>
          <t>回响</t>
        </is>
      </c>
      <c r="C21" s="71" t="inlineStr">
        <is>
          <t>1|2|3|4|5|6|7</t>
        </is>
      </c>
      <c r="D21" s="71" t="n">
        <v>11001</v>
      </c>
      <c r="E21" s="71" t="n">
        <v>3</v>
      </c>
      <c r="F21" s="71" t="n">
        <v>1120000010</v>
      </c>
      <c r="H21" s="71">
        <f>A21</f>
        <v/>
      </c>
      <c r="I21" s="69" t="inlineStr">
        <is>
          <t>1|2|3|4|5|6|7|8|9|10|11|12|13|14|15|16|17|18|19|20|21|22|23|24|25|26|27|28|29|30|31|32|33|34|35|36|37|38|39|40</t>
        </is>
      </c>
      <c r="K21" s="71">
        <f t="array" ref="K21">_xlfn.SWITCH(E21,1,0,2,7,3,15,4,25,5,50)</f>
        <v/>
      </c>
      <c r="L21" s="71" t="inlineStr">
        <is>
          <t>linshi/27</t>
        </is>
      </c>
      <c r="M21" s="71" t="inlineStr">
        <is>
          <t>可以使下一个可重复技能额外释放1次</t>
        </is>
      </c>
      <c r="N21" s="71" t="n"/>
      <c r="O21" s="71" t="n"/>
      <c r="P21" s="71" t="n"/>
      <c r="Q21" s="71" t="n">
        <v>1122000010</v>
      </c>
      <c r="R21" s="71" t="n">
        <v>1</v>
      </c>
    </row>
    <row r="22" ht="28" customHeight="1" s="78">
      <c r="A22" s="71" t="n">
        <v>100019</v>
      </c>
      <c r="B22" s="71" t="inlineStr">
        <is>
          <t>极地战吼</t>
        </is>
      </c>
      <c r="C22" s="71" t="inlineStr">
        <is>
          <t>1|2|3|4|5|6|7</t>
        </is>
      </c>
      <c r="D22" s="71" t="n">
        <v>0</v>
      </c>
      <c r="E22" s="71" t="n">
        <v>3</v>
      </c>
      <c r="F22" s="71" t="n">
        <v>1140000020</v>
      </c>
      <c r="H22" s="71">
        <f>A22</f>
        <v/>
      </c>
      <c r="I22" s="69" t="inlineStr">
        <is>
          <t>1|2|3|4|5|6|7|8|9|10|11|12|13|14|15|16|17|18|19|20|21|22|23|24|25|26|27|28|29|30|31|32|33|34|35|36|37|38|39|40</t>
        </is>
      </c>
      <c r="K22" s="71">
        <f t="array" ref="K22">_xlfn.SWITCH(E22,1,0,2,7,3,15,4,25,5,50)</f>
        <v/>
      </c>
      <c r="L22" s="71" t="inlineStr">
        <is>
          <t>zengyi/jidizhanhou</t>
        </is>
      </c>
      <c r="M22" s="71" t="inlineStr">
        <is>
          <t>发出极地战吼，对周围5米范围内的敌人造成{0}，冰冻效果额外提高80%</t>
        </is>
      </c>
      <c r="N22" s="71" t="inlineStr">
        <is>
          <t>[[1141000020]]</t>
        </is>
      </c>
      <c r="O22" s="71" t="inlineStr">
        <is>
          <t>该技能额外造成{0}伤害</t>
        </is>
      </c>
      <c r="P22" s="71" t="inlineStr">
        <is>
          <t>21|1.1</t>
        </is>
      </c>
      <c r="Q22" s="71" t="n">
        <v>1142000020</v>
      </c>
      <c r="R22" s="71" t="n">
        <v>1</v>
      </c>
    </row>
    <row r="23" ht="28" customHeight="1" s="78">
      <c r="A23" s="71" t="n">
        <v>100020</v>
      </c>
      <c r="B23" s="71" t="inlineStr">
        <is>
          <t>冰霜之捷</t>
        </is>
      </c>
      <c r="C23" s="71" t="inlineStr">
        <is>
          <t>1|2|3|4|5|6|7</t>
        </is>
      </c>
      <c r="D23" s="71" t="n">
        <v>0</v>
      </c>
      <c r="E23" s="71" t="n">
        <v>2</v>
      </c>
      <c r="G23" s="71" t="n">
        <v>2110000030</v>
      </c>
      <c r="H23" s="71">
        <f>A23</f>
        <v/>
      </c>
      <c r="I23" s="69" t="inlineStr">
        <is>
          <t>1|2|3|4|5|6|7|8|9|10|11|12|13|14|15|16|17|18|19|20|21|22|23|24|25|26|27|28|29|30|31|32|33|34|35|36|37|38|39|40</t>
        </is>
      </c>
      <c r="K23" s="71">
        <f t="array" ref="K23">_xlfn.SWITCH(E23,1,0,2,7,3,15,4,25,5,50)</f>
        <v/>
      </c>
      <c r="L23" s="71" t="inlineStr">
        <is>
          <t>linshi/7</t>
        </is>
      </c>
      <c r="M23" s="70" t="inlineStr">
        <is>
          <t>佩戴时，非捷技能击中一名冰冻敌人并击杀时会产生冰霜爆炸，对范围内敌方单位造成{0}</t>
        </is>
      </c>
      <c r="N23" s="71" t="inlineStr">
        <is>
          <t>[[2111100030]]</t>
        </is>
      </c>
      <c r="O23" s="71" t="inlineStr">
        <is>
          <t>该技能额外造成{0}伤害</t>
        </is>
      </c>
      <c r="P23" s="71" t="inlineStr">
        <is>
          <t>21|1.1</t>
        </is>
      </c>
      <c r="Q23" s="71" t="n">
        <v>2112000031</v>
      </c>
      <c r="R23" s="71" t="n">
        <v>1</v>
      </c>
    </row>
    <row r="24" ht="28" customHeight="1" s="78">
      <c r="A24" s="71" t="n">
        <v>100021</v>
      </c>
      <c r="B24" s="71" t="inlineStr">
        <is>
          <t>冰晶术</t>
        </is>
      </c>
      <c r="C24" s="71" t="inlineStr">
        <is>
          <t>1|2|3|4|5|6|7</t>
        </is>
      </c>
      <c r="D24" s="71" t="n">
        <v>11001</v>
      </c>
      <c r="E24" s="71" t="n">
        <v>4</v>
      </c>
      <c r="F24" s="71" t="n">
        <v>1120000031</v>
      </c>
      <c r="H24" s="71">
        <f>A24</f>
        <v/>
      </c>
      <c r="I24" s="69" t="inlineStr">
        <is>
          <t>1|2|3|4|5|6|7|8|9|10|11|12|13|14|15|16|17|18|19|20|21|22|23|24|25|26|27|28|29|30|31|32|33|34|35|36|37|38|39|40</t>
        </is>
      </c>
      <c r="K24" s="71">
        <f t="array" ref="K24">_xlfn.SWITCH(E24,1,0,2,7,3,15,4,25,5,50)</f>
        <v/>
      </c>
      <c r="L24" s="71" t="inlineStr">
        <is>
          <t>zengyi/dadizhinu</t>
        </is>
      </c>
      <c r="M24" s="71" t="inlineStr">
        <is>
          <t>召唤一枚巨大冰晶，对范围内敌人造成{0}</t>
        </is>
      </c>
      <c r="N24" s="71" t="inlineStr">
        <is>
          <t>[[1121100031]]</t>
        </is>
      </c>
      <c r="O24" s="71" t="inlineStr">
        <is>
          <t>该技能额外造成{0}伤害</t>
        </is>
      </c>
      <c r="P24" s="71" t="inlineStr">
        <is>
          <t>21|1.1</t>
        </is>
      </c>
      <c r="R24" s="71" t="n">
        <v>1</v>
      </c>
    </row>
    <row r="25" ht="17.25" customFormat="1" customHeight="1" s="66">
      <c r="A25" s="66" t="n">
        <v>100022</v>
      </c>
      <c r="B25" s="66" t="inlineStr">
        <is>
          <t>元素脉冲</t>
        </is>
      </c>
      <c r="C25" s="66" t="n"/>
      <c r="D25" s="66" t="n"/>
      <c r="E25" s="66" t="n">
        <v>4</v>
      </c>
      <c r="G25" s="66" t="n">
        <v>2140000080</v>
      </c>
      <c r="H25" s="66">
        <f>A25</f>
        <v/>
      </c>
      <c r="I25" s="69" t="inlineStr">
        <is>
          <t>1|2|3|4|5|6|7|8|9|10|11|12|13|14|15|16|17|18|19|20|21|22|23|24|25|26|27|28|29|30|31|32|33|34|35|36|37|38|39|40</t>
        </is>
      </c>
      <c r="K25" s="66">
        <f t="array" ref="K25">_xlfn.SWITCH(E25,1,0,2,7,3,15,4,25,5,50)</f>
        <v/>
      </c>
      <c r="M25" s="72" t="inlineStr">
        <is>
          <t>需更新修改为"诅咒"</t>
        </is>
      </c>
      <c r="N25" s="66" t="inlineStr">
        <is>
          <t>[[1111000040]]</t>
        </is>
      </c>
      <c r="O25" s="66" t="inlineStr">
        <is>
          <t>该技能额外造成{0}伤害</t>
        </is>
      </c>
      <c r="P25" s="66" t="inlineStr">
        <is>
          <t>21|1.1</t>
        </is>
      </c>
      <c r="R25" s="66" t="n">
        <v>0</v>
      </c>
    </row>
    <row r="26" ht="17.25" customFormat="1" customHeight="1" s="65">
      <c r="A26" s="65" t="n">
        <v>100023</v>
      </c>
      <c r="B26" s="65" t="inlineStr">
        <is>
          <t>毁灭意志</t>
        </is>
      </c>
      <c r="C26" s="65" t="n"/>
      <c r="D26" s="65" t="n"/>
      <c r="E26" s="65" t="n">
        <v>4</v>
      </c>
      <c r="F26" s="65" t="n"/>
      <c r="G26" s="65" t="n">
        <v>2140000110</v>
      </c>
      <c r="H26" s="65">
        <f>A26</f>
        <v/>
      </c>
      <c r="I26" s="69" t="inlineStr">
        <is>
          <t>1|2|3|4|5|6|7|8|9|10|11|12|13|14|15|16|17|18|19|20|21|22|23|24|25|26|27|28|29|30|31|32|33|34|35|36|37|38|39|40</t>
        </is>
      </c>
      <c r="K26" s="65">
        <f t="array" ref="K26">_xlfn.SWITCH(E26,1,0,2,7,3,15,4,25,5,50)</f>
        <v/>
      </c>
      <c r="M26" s="73" t="inlineStr">
        <is>
          <t>无等级成长效果</t>
        </is>
      </c>
      <c r="N26" s="65" t="inlineStr">
        <is>
          <t>[[1111000040]]</t>
        </is>
      </c>
      <c r="O26" s="65" t="inlineStr">
        <is>
          <t>该技能额外造成{0}伤害</t>
        </is>
      </c>
      <c r="P26" s="65" t="inlineStr">
        <is>
          <t>21|1.1</t>
        </is>
      </c>
      <c r="R26" s="65" t="n">
        <v>0</v>
      </c>
    </row>
    <row r="27" ht="17.25" customFormat="1" customHeight="1" s="66">
      <c r="A27" s="66" t="n">
        <v>100024</v>
      </c>
      <c r="B27" s="66" t="inlineStr">
        <is>
          <t>迅捷</t>
        </is>
      </c>
      <c r="E27" s="66" t="n">
        <v>5</v>
      </c>
      <c r="G27" s="66" t="n">
        <v>2114000020</v>
      </c>
      <c r="H27" s="66">
        <f>A27</f>
        <v/>
      </c>
      <c r="I27" s="69" t="inlineStr">
        <is>
          <t>1|2|3|4|5|6|7|8|9|10|11|12|13|14|15|16|17|18|19|20|21|22|23|24|25|26|27|28|29|30|31|32|33|34|35|36|37|38|39|40</t>
        </is>
      </c>
      <c r="K27" s="66">
        <f t="array" ref="K27">_xlfn.SWITCH(E27,1,0,2,7,3,15,4,25,5,50)</f>
        <v/>
      </c>
      <c r="L27" s="71" t="inlineStr">
        <is>
          <t>gonghuizhan/1</t>
        </is>
      </c>
      <c r="M27" s="72" t="inlineStr">
        <is>
          <t>无用</t>
        </is>
      </c>
      <c r="N27" s="66" t="inlineStr">
        <is>
          <t>[[1111000040]]</t>
        </is>
      </c>
      <c r="O27" s="66" t="inlineStr">
        <is>
          <t>该技能额外造成{0}伤害</t>
        </is>
      </c>
      <c r="P27" s="66" t="inlineStr">
        <is>
          <t>21|1.1</t>
        </is>
      </c>
      <c r="R27" s="66" t="n">
        <v>0</v>
      </c>
    </row>
    <row r="28" ht="17.25" customFormat="1" customHeight="1" s="66">
      <c r="A28" s="66" t="n">
        <v>100025</v>
      </c>
      <c r="B28" s="66" t="inlineStr">
        <is>
          <t>吞噬</t>
        </is>
      </c>
      <c r="E28" s="66" t="n">
        <v>5</v>
      </c>
      <c r="G28" s="66" t="n">
        <v>2150000020</v>
      </c>
      <c r="H28" s="66">
        <f>A28</f>
        <v/>
      </c>
      <c r="I28" s="69" t="inlineStr">
        <is>
          <t>1|2|3|4|5|6|7|8|9|10|11|12|13|14|15|16|17|18|19|20|21|22|23|24|25|26|27|28|29|30|31|32|33|34|35|36|37|38|39|40</t>
        </is>
      </c>
      <c r="K28" s="66">
        <f t="array" ref="K28">_xlfn.SWITCH(E28,1,0,2,7,3,15,4,25,5,50)</f>
        <v/>
      </c>
      <c r="M28" s="72" t="inlineStr">
        <is>
          <t>无用</t>
        </is>
      </c>
      <c r="N28" s="66" t="inlineStr">
        <is>
          <t>[[1111000040]]</t>
        </is>
      </c>
      <c r="O28" s="66" t="inlineStr">
        <is>
          <t>该技能额外造成{0}伤害</t>
        </is>
      </c>
      <c r="P28" s="66" t="inlineStr">
        <is>
          <t>21|1.1</t>
        </is>
      </c>
      <c r="R28" s="66" t="n">
        <v>0</v>
      </c>
    </row>
    <row r="29" ht="17.25" customHeight="1" s="78">
      <c r="A29" s="71" t="n">
        <v>100026</v>
      </c>
      <c r="B29" s="71" t="inlineStr">
        <is>
          <t>迅捷</t>
        </is>
      </c>
      <c r="C29" s="71" t="inlineStr">
        <is>
          <t>1|2|3|4|5|6|7</t>
        </is>
      </c>
      <c r="D29" s="71" t="n">
        <v>0</v>
      </c>
      <c r="E29" s="71" t="n">
        <v>5</v>
      </c>
      <c r="G29" s="71" t="n">
        <v>2114000020</v>
      </c>
      <c r="H29" s="71">
        <f>A29</f>
        <v/>
      </c>
      <c r="I29" s="69" t="inlineStr">
        <is>
          <t>1|2|3|4|5|6|7|8|9|10|11|12|13|14|15|16|17|18|19|20|21|22|23|24|25|26|27|28|29|30|31|32|33|34|35|36|37|38|39|40</t>
        </is>
      </c>
      <c r="K29" s="71">
        <f t="array" ref="K29">_xlfn.SWITCH(E29,1,0,2,7,3,15,4,25,5,50)</f>
        <v/>
      </c>
      <c r="L29" s="71" t="inlineStr">
        <is>
          <t>gonghuizhan/1</t>
        </is>
      </c>
      <c r="M29" s="70" t="inlineStr">
        <is>
          <t>佩戴时，获得效果</t>
        </is>
      </c>
      <c r="Q29" s="71" t="n">
        <v>2142000020</v>
      </c>
      <c r="R29" s="71" t="n">
        <v>1</v>
      </c>
    </row>
    <row r="30" ht="17.25" customHeight="1" s="78">
      <c r="A30" s="71" t="n">
        <v>100027</v>
      </c>
      <c r="B30" s="71" t="inlineStr">
        <is>
          <t>精准投射</t>
        </is>
      </c>
      <c r="C30" s="71" t="inlineStr">
        <is>
          <t>1|2|3|4|5|6|7</t>
        </is>
      </c>
      <c r="D30" s="71" t="n">
        <v>0</v>
      </c>
      <c r="E30" s="71" t="n">
        <v>5</v>
      </c>
      <c r="G30" s="71" t="n">
        <v>2140000040</v>
      </c>
      <c r="H30" s="71">
        <f>A30</f>
        <v/>
      </c>
      <c r="I30" s="69" t="inlineStr">
        <is>
          <t>1|2|3|4|5|6|7|8|9|10|11|12|13|14|15|16|17|18|19|20|21|22|23|24|25|26|27|28|29|30|31|32|33|34|35|36|37|38|39|40</t>
        </is>
      </c>
      <c r="K30" s="71">
        <f t="array" ref="K30">_xlfn.SWITCH(E30,1,0,2,7,3,15,4,25,5,50)</f>
        <v/>
      </c>
      <c r="L30" s="71" t="inlineStr">
        <is>
          <t>linshi/3</t>
        </is>
      </c>
      <c r="M30" s="70" t="inlineStr">
        <is>
          <t>佩戴时，获得效果</t>
        </is>
      </c>
      <c r="Q30" s="71" t="n">
        <v>2142000040</v>
      </c>
      <c r="R30" s="71" t="n">
        <v>1</v>
      </c>
    </row>
    <row r="31" ht="17.25" customHeight="1" s="78">
      <c r="A31" s="71" t="n">
        <v>100028</v>
      </c>
      <c r="B31" s="71" t="inlineStr">
        <is>
          <t>领域扩张</t>
        </is>
      </c>
      <c r="C31" s="71" t="inlineStr">
        <is>
          <t>1|2|3|4|5|6|7</t>
        </is>
      </c>
      <c r="D31" s="71" t="n">
        <v>0</v>
      </c>
      <c r="E31" s="71" t="n">
        <v>5</v>
      </c>
      <c r="G31" s="71" t="n">
        <v>2140000050</v>
      </c>
      <c r="H31" s="71">
        <f>A31</f>
        <v/>
      </c>
      <c r="I31" s="69" t="inlineStr">
        <is>
          <t>1|2|3|4|5|6|7|8|9|10|11|12|13|14|15|16|17|18|19|20|21|22|23|24|25|26|27|28|29|30|31|32|33|34|35|36|37|38|39|40</t>
        </is>
      </c>
      <c r="K31" s="71">
        <f t="array" ref="K31">_xlfn.SWITCH(E31,1,0,2,7,3,15,4,25,5,50)</f>
        <v/>
      </c>
      <c r="L31" s="71" t="inlineStr">
        <is>
          <t>linshi/16</t>
        </is>
      </c>
      <c r="M31" s="70" t="inlineStr">
        <is>
          <t>佩戴时，获得效果</t>
        </is>
      </c>
      <c r="Q31" s="71" t="n">
        <v>2142000050</v>
      </c>
      <c r="R31" s="71" t="n">
        <v>1</v>
      </c>
    </row>
    <row r="32" ht="17.25" customHeight="1" s="78">
      <c r="A32" s="71" t="n">
        <v>100029</v>
      </c>
      <c r="B32" s="71" t="inlineStr">
        <is>
          <t>狂暴</t>
        </is>
      </c>
      <c r="C32" s="71" t="inlineStr">
        <is>
          <t>1|2|3|4|5|6|7</t>
        </is>
      </c>
      <c r="D32" s="71" t="n">
        <v>0</v>
      </c>
      <c r="E32" s="71" t="n">
        <v>5</v>
      </c>
      <c r="G32" s="71" t="n">
        <v>2140000060</v>
      </c>
      <c r="H32" s="71">
        <f>A32</f>
        <v/>
      </c>
      <c r="I32" s="69" t="inlineStr">
        <is>
          <t>1|2|3|4|5|6|7|8|9|10|11|12|13|14|15|16|17|18|19|20|21|22|23|24|25|26|27|28|29|30|31|32|33|34|35|36|37|38|39|40</t>
        </is>
      </c>
      <c r="K32" s="71">
        <f t="array" ref="K32">_xlfn.SWITCH(E32,1,0,2,7,3,15,4,25,5,50)</f>
        <v/>
      </c>
      <c r="L32" s="71" t="inlineStr">
        <is>
          <t>zengyi/kuangnu</t>
        </is>
      </c>
      <c r="M32" s="70" t="inlineStr">
        <is>
          <t>佩戴时，获得效果</t>
        </is>
      </c>
      <c r="Q32" s="71" t="n">
        <v>2142000060</v>
      </c>
      <c r="R32" s="71" t="n">
        <v>1</v>
      </c>
    </row>
    <row r="33" ht="17.25" customHeight="1" s="78">
      <c r="A33" s="71" t="n">
        <v>100030</v>
      </c>
      <c r="B33" s="71" t="inlineStr">
        <is>
          <t>生命再生</t>
        </is>
      </c>
      <c r="C33" s="71" t="inlineStr">
        <is>
          <t>1|2|3|4|5|6|7</t>
        </is>
      </c>
      <c r="D33" s="71" t="n">
        <v>0</v>
      </c>
      <c r="E33" s="71" t="n">
        <v>5</v>
      </c>
      <c r="G33" s="71" t="n">
        <v>2140000070</v>
      </c>
      <c r="H33" s="71">
        <f>A33</f>
        <v/>
      </c>
      <c r="I33" s="69" t="inlineStr">
        <is>
          <t>1|2|3|4|5|6|7|8|9|10|11|12|13|14|15|16|17|18|19|20|21|22|23|24|25|26|27|28|29|30|31|32|33|34|35|36|37|38|39|40</t>
        </is>
      </c>
      <c r="K33" s="71">
        <f t="array" ref="K33">_xlfn.SWITCH(E33,1,0,2,7,3,15,4,25,5,50)</f>
        <v/>
      </c>
      <c r="L33" s="71" t="inlineStr">
        <is>
          <t>zengyi/huifu</t>
        </is>
      </c>
      <c r="M33" s="70" t="inlineStr">
        <is>
          <t>佩戴时，获得效果</t>
        </is>
      </c>
      <c r="Q33" s="71" t="n">
        <v>2142000070</v>
      </c>
      <c r="R33" s="71" t="n">
        <v>1</v>
      </c>
    </row>
    <row r="34" ht="17.25" customHeight="1" s="78">
      <c r="A34" s="71" t="n">
        <v>100031</v>
      </c>
      <c r="B34" s="71" t="inlineStr">
        <is>
          <t>鲜血之捷</t>
        </is>
      </c>
      <c r="C34" s="71" t="inlineStr">
        <is>
          <t>1|2|3|4|5|6|7</t>
        </is>
      </c>
      <c r="D34" s="71" t="n">
        <v>0</v>
      </c>
      <c r="E34" s="71" t="n">
        <v>2</v>
      </c>
      <c r="G34" s="71" t="n">
        <v>2120000090</v>
      </c>
      <c r="H34" s="71">
        <f>A34</f>
        <v/>
      </c>
      <c r="I34" s="69" t="inlineStr">
        <is>
          <t>1|2|3|4|5|6|7|8|9|10|11|12|13|14|15|16|17|18|19|20|21|22|23|24|25|26|27|28|29|30|31|32|33|34|35|36|37|38|39|40</t>
        </is>
      </c>
      <c r="K34" s="71">
        <f t="array" ref="K34">_xlfn.SWITCH(E34,1,0,2,7,3,15,4,25,5,50)</f>
        <v/>
      </c>
      <c r="L34" s="71" t="inlineStr">
        <is>
          <t>fashu/blood_splash</t>
        </is>
      </c>
      <c r="M34" s="70" t="inlineStr">
        <is>
          <t>佩戴时，击败流血的敌人会将其流血效果扩散给周围的其他敌人</t>
        </is>
      </c>
      <c r="Q34" s="71" t="n">
        <v>2122100090</v>
      </c>
      <c r="R34" s="71" t="n">
        <v>1</v>
      </c>
    </row>
    <row r="35" ht="17.25" customHeight="1" s="78">
      <c r="A35" s="71" t="n">
        <v>100032</v>
      </c>
      <c r="B35" s="71" t="inlineStr">
        <is>
          <t>瘟疫之捷</t>
        </is>
      </c>
      <c r="C35" s="71" t="inlineStr">
        <is>
          <t>1|2|3|4|5|6|7</t>
        </is>
      </c>
      <c r="D35" s="71" t="n">
        <v>0</v>
      </c>
      <c r="E35" s="71" t="n">
        <v>2</v>
      </c>
      <c r="G35" s="71" t="n">
        <v>2120000080</v>
      </c>
      <c r="H35" s="71">
        <f>A35</f>
        <v/>
      </c>
      <c r="I35" s="69" t="inlineStr">
        <is>
          <t>1|2|3|4|5|6|7|8|9|10|11|12|13|14|15|16|17|18|19|20|21|22|23|24|25|26|27|28|29|30|31|32|33|34|35|36|37|38|39|40</t>
        </is>
      </c>
      <c r="K35" s="71">
        <f t="array" ref="K35">_xlfn.SWITCH(E35,1,0,2,7,3,15,4,25,5,50)</f>
        <v/>
      </c>
      <c r="L35" s="71" t="inlineStr">
        <is>
          <t>fashu/poison_green</t>
        </is>
      </c>
      <c r="M35" s="70" t="inlineStr">
        <is>
          <t>佩戴时，击败中毒的敌人会将其中毒效果扩散给周围的其他敌人</t>
        </is>
      </c>
      <c r="Q35" s="71" t="n">
        <v>2122100080</v>
      </c>
      <c r="R35" s="71" t="n">
        <v>1</v>
      </c>
    </row>
    <row r="36" ht="17.25" customHeight="1" s="78">
      <c r="A36" s="71" t="n">
        <v>100033</v>
      </c>
      <c r="B36" s="71" t="inlineStr">
        <is>
          <t>物理诅咒</t>
        </is>
      </c>
      <c r="C36" s="71" t="inlineStr">
        <is>
          <t>1|2|3|4|5|6|7</t>
        </is>
      </c>
      <c r="D36" s="71" t="n">
        <v>0</v>
      </c>
      <c r="E36" s="71" t="n">
        <v>3</v>
      </c>
      <c r="F36" s="71" t="n">
        <v>1120000180</v>
      </c>
      <c r="H36" s="71">
        <f>A36</f>
        <v/>
      </c>
      <c r="I36" s="69" t="inlineStr">
        <is>
          <t>1|2|3|4|5|6|7|8|9|10|11|12|13|14|15|16|17|18|19|20|21|22|23|24|25|26|27|28|29|30|31|32|33|34|35|36|37|38|39|40</t>
        </is>
      </c>
      <c r="K36" s="71">
        <f t="array" ref="K36">_xlfn.SWITCH(E36,1,0,2,7,3,15,4,25,5,50)</f>
        <v/>
      </c>
      <c r="L36" s="71" t="inlineStr">
        <is>
          <t>fashu/earth_swirl</t>
        </is>
      </c>
      <c r="Q36" s="71" t="n">
        <v>1122000180</v>
      </c>
      <c r="R36" s="71" t="n">
        <v>1</v>
      </c>
    </row>
    <row r="37" ht="17.25" customHeight="1" s="78">
      <c r="A37" s="71" t="n">
        <v>100034</v>
      </c>
      <c r="B37" s="71" t="inlineStr">
        <is>
          <t>火焰诅咒</t>
        </is>
      </c>
      <c r="C37" s="71" t="inlineStr">
        <is>
          <t>1|2|3|4|5|6|7</t>
        </is>
      </c>
      <c r="D37" s="71" t="n">
        <v>0</v>
      </c>
      <c r="E37" s="71" t="n">
        <v>3</v>
      </c>
      <c r="F37" s="71" t="n">
        <v>1120000190</v>
      </c>
      <c r="H37" s="71">
        <f>A37</f>
        <v/>
      </c>
      <c r="I37" s="69" t="inlineStr">
        <is>
          <t>1|2|3|4|5|6|7|8|9|10|11|12|13|14|15|16|17|18|19|20|21|22|23|24|25|26|27|28|29|30|31|32|33|34|35|36|37|38|39|40</t>
        </is>
      </c>
      <c r="K37" s="71">
        <f t="array" ref="K37">_xlfn.SWITCH(E37,1,0,2,7,3,15,4,25,5,50)</f>
        <v/>
      </c>
      <c r="L37" s="71" t="inlineStr">
        <is>
          <t>fashu/fire</t>
        </is>
      </c>
      <c r="Q37" s="71" t="n">
        <v>1122000190</v>
      </c>
      <c r="R37" s="71" t="n">
        <v>1</v>
      </c>
    </row>
    <row r="38" ht="17.25" customHeight="1" s="78">
      <c r="A38" s="71" t="n">
        <v>100035</v>
      </c>
      <c r="B38" s="71" t="inlineStr">
        <is>
          <t>寒冰诅咒</t>
        </is>
      </c>
      <c r="C38" s="71" t="inlineStr">
        <is>
          <t>1|2|3|4|5|6|7</t>
        </is>
      </c>
      <c r="D38" s="71" t="n">
        <v>0</v>
      </c>
      <c r="E38" s="71" t="n">
        <v>3</v>
      </c>
      <c r="F38" s="71" t="n">
        <v>1120000200</v>
      </c>
      <c r="H38" s="71">
        <f>A38</f>
        <v/>
      </c>
      <c r="I38" s="69" t="inlineStr">
        <is>
          <t>1|2|3|4|5|6|7|8|9|10|11|12|13|14|15|16|17|18|19|20|21|22|23|24|25|26|27|28|29|30|31|32|33|34|35|36|37|38|39|40</t>
        </is>
      </c>
      <c r="K38" s="71">
        <f t="array" ref="K38">_xlfn.SWITCH(E38,1,0,2,7,3,15,4,25,5,50)</f>
        <v/>
      </c>
      <c r="L38" s="71" t="inlineStr">
        <is>
          <t>fashu/storm_ice</t>
        </is>
      </c>
      <c r="Q38" s="71" t="n">
        <v>1122000200</v>
      </c>
      <c r="R38" s="71" t="n">
        <v>1</v>
      </c>
    </row>
    <row r="39" ht="17.25" customHeight="1" s="78">
      <c r="A39" s="71" t="n">
        <v>100036</v>
      </c>
      <c r="B39" s="71" t="inlineStr">
        <is>
          <t>闪电诅咒</t>
        </is>
      </c>
      <c r="C39" s="71" t="inlineStr">
        <is>
          <t>1|2|3|4|5|6|7</t>
        </is>
      </c>
      <c r="D39" s="71" t="n">
        <v>0</v>
      </c>
      <c r="E39" s="71" t="n">
        <v>3</v>
      </c>
      <c r="F39" s="71" t="n">
        <v>1120000210</v>
      </c>
      <c r="H39" s="71">
        <f>A39</f>
        <v/>
      </c>
      <c r="I39" s="69" t="inlineStr">
        <is>
          <t>1|2|3|4|5|6|7|8|9|10|11|12|13|14|15|16|17|18|19|20|21|22|23|24|25|26|27|28|29|30|31|32|33|34|35|36|37|38|39|40</t>
        </is>
      </c>
      <c r="K39" s="71">
        <f t="array" ref="K39">_xlfn.SWITCH(E39,1,0,2,7,3,15,4,25,5,50)</f>
        <v/>
      </c>
      <c r="L39" s="71" t="inlineStr">
        <is>
          <t>fashu/lightning</t>
        </is>
      </c>
      <c r="Q39" s="71" t="n">
        <v>1122000210</v>
      </c>
      <c r="R39" s="71" t="n">
        <v>1</v>
      </c>
    </row>
    <row r="40" ht="17.25" customHeight="1" s="78">
      <c r="A40" s="71" t="n">
        <v>100037</v>
      </c>
      <c r="B40" s="71" t="inlineStr">
        <is>
          <t>混沌诅咒</t>
        </is>
      </c>
      <c r="C40" s="71" t="inlineStr">
        <is>
          <t>1|2|3|4|5|6|7</t>
        </is>
      </c>
      <c r="D40" s="71" t="n">
        <v>0</v>
      </c>
      <c r="E40" s="71" t="n">
        <v>3</v>
      </c>
      <c r="F40" s="71" t="n">
        <v>1120000220</v>
      </c>
      <c r="H40" s="71">
        <f>A40</f>
        <v/>
      </c>
      <c r="I40" s="69" t="inlineStr">
        <is>
          <t>1|2|3|4|5|6|7|8|9|10|11|12|13|14|15|16|17|18|19|20|21|22|23|24|25|26|27|28|29|30|31|32|33|34|35|36|37|38|39|40</t>
        </is>
      </c>
      <c r="K40" s="71">
        <f t="array" ref="K40">_xlfn.SWITCH(E40,1,0,2,7,3,15,4,25,5,50)</f>
        <v/>
      </c>
      <c r="L40" s="71" t="inlineStr">
        <is>
          <t>fashu/void_dark</t>
        </is>
      </c>
      <c r="Q40" s="71" t="n">
        <v>1122000220</v>
      </c>
      <c r="R40" s="71" t="n">
        <v>1</v>
      </c>
    </row>
    <row r="41" ht="17.25" customHeight="1" s="78">
      <c r="A41" s="71" t="n">
        <v>100038</v>
      </c>
      <c r="B41" s="71" t="inlineStr">
        <is>
          <t>附身电球</t>
        </is>
      </c>
      <c r="C41" s="71" t="inlineStr">
        <is>
          <t>1|2|3|4|5|6|7</t>
        </is>
      </c>
      <c r="D41" s="71" t="n">
        <v>11001</v>
      </c>
      <c r="E41" s="71" t="n">
        <v>2</v>
      </c>
      <c r="F41" s="71" t="n">
        <v>1120000150</v>
      </c>
      <c r="H41" s="71">
        <f>A41</f>
        <v/>
      </c>
      <c r="I41" s="69" t="inlineStr">
        <is>
          <t>1|2|3|4|5|6|7|8|9|10|11|12|13|14|15|16|17|18|19|20|21|22|23|24|25|26|27|28|29|30|31|32|33|34|35|36|37|38|39|40</t>
        </is>
      </c>
      <c r="K41" s="71">
        <f t="array" ref="K41">_xlfn.SWITCH(E41,1,0,2,7,3,15,4,25,5,50)</f>
        <v/>
      </c>
      <c r="L41" s="71" t="inlineStr">
        <is>
          <t>linshi/28</t>
        </is>
      </c>
      <c r="M41" s="71" t="inlineStr">
        <is>
          <t>召唤4个围绕自身盘旋的电球，电球在碰到敌人后会附着在敌人身上，每隔1.5秒对周围敌人造成{0}，每个电球可以生成3次电弧。</t>
        </is>
      </c>
      <c r="N41" s="71" t="inlineStr">
        <is>
          <t>[[1121000150]]</t>
        </is>
      </c>
      <c r="O41" s="71" t="inlineStr">
        <is>
          <t>该技能额外造成{0}伤害</t>
        </is>
      </c>
      <c r="P41" s="71" t="inlineStr">
        <is>
          <t>21|1.1</t>
        </is>
      </c>
      <c r="R41" s="71" t="n">
        <v>1</v>
      </c>
    </row>
    <row r="42" ht="17.25" customHeight="1" s="78">
      <c r="A42" s="71" t="n">
        <v>100039</v>
      </c>
      <c r="B42" s="71" t="inlineStr">
        <is>
          <t>火焰龙卷</t>
        </is>
      </c>
      <c r="C42" s="71" t="inlineStr">
        <is>
          <t>1|2|3|4|5|6|7</t>
        </is>
      </c>
      <c r="D42" s="71" t="n">
        <v>11003</v>
      </c>
      <c r="E42" s="71" t="n">
        <v>3</v>
      </c>
      <c r="F42" s="71" t="n">
        <v>1120000170</v>
      </c>
      <c r="H42" s="71">
        <f>A42</f>
        <v/>
      </c>
      <c r="I42" s="69" t="inlineStr">
        <is>
          <t>1|2|3|4|5|6|7|8|9|10|11|12|13|14|15|16|17|18|19|20|21|22|23|24|25|26|27|28|29|30|31|32|33|34|35|36|37|38|39|40</t>
        </is>
      </c>
      <c r="K42" s="71">
        <f t="array" ref="K42">_xlfn.SWITCH(E42,1,0,2,7,3,15,4,25,5,50)</f>
        <v/>
      </c>
      <c r="L42" s="71" t="inlineStr">
        <is>
          <t>linshi/6</t>
        </is>
      </c>
      <c r="M42" s="71" t="inlineStr">
        <is>
          <t>召唤一道可以跟随自身移动的火焰龙卷，对经过的敌人造成{0}。\n火焰龙卷的数量无法被修改</t>
        </is>
      </c>
      <c r="N42" s="71" t="inlineStr">
        <is>
          <t>[[1121000170]]</t>
        </is>
      </c>
      <c r="O42" s="71" t="inlineStr">
        <is>
          <t>该技能额外造成{0}伤害</t>
        </is>
      </c>
      <c r="P42" s="71" t="inlineStr">
        <is>
          <t>21|1.1</t>
        </is>
      </c>
      <c r="R42" s="71" t="n">
        <v>1</v>
      </c>
    </row>
    <row r="43" ht="17.25" customFormat="1" customHeight="1" s="71">
      <c r="A43" s="71" t="n">
        <v>100040</v>
      </c>
      <c r="B43" s="71" t="inlineStr">
        <is>
          <t>混沌剑阵</t>
        </is>
      </c>
      <c r="C43" s="71" t="inlineStr">
        <is>
          <t>1|2|3|4|5|6|7</t>
        </is>
      </c>
      <c r="D43" s="71" t="n">
        <v>11002</v>
      </c>
      <c r="E43" s="71" t="n">
        <v>2</v>
      </c>
      <c r="F43" s="71" t="n">
        <v>1110000100</v>
      </c>
      <c r="G43" s="71" t="n">
        <v>1110000101</v>
      </c>
      <c r="H43" s="71">
        <f>A43</f>
        <v/>
      </c>
      <c r="I43" s="69" t="inlineStr">
        <is>
          <t>1|2|3|4|5|6|7|8|9|10|11|12|13|14|15|16|17|18|19|20|21|22|23|24|25|26|27|28|29|30|31|32|33|34|35|36|37|38|39|40</t>
        </is>
      </c>
      <c r="K43" s="71" t="n">
        <v>7</v>
      </c>
      <c r="L43" s="71" t="inlineStr">
        <is>
          <t>gongji/hundunjianzhen</t>
        </is>
      </c>
      <c r="M43" s="70" t="inlineStr">
        <is>
          <t>随后隐入剑影中，对周围的敌人进行连斩，造成六段{0}，混沌剑气的每次击中减少当前冷却的10%</t>
        </is>
      </c>
      <c r="N43" s="71" t="inlineStr">
        <is>
          <t>[[1111000100]]</t>
        </is>
      </c>
      <c r="O43" s="71" t="inlineStr">
        <is>
          <t>该技能额外造成{0}伤害</t>
        </is>
      </c>
      <c r="P43" s="71" t="inlineStr">
        <is>
          <t>21|1.1</t>
        </is>
      </c>
      <c r="R43" s="71" t="n">
        <v>1</v>
      </c>
    </row>
    <row r="44" ht="27" customFormat="1" customHeight="1" s="71">
      <c r="A44" s="71" t="n">
        <v>100041</v>
      </c>
      <c r="B44" s="71" t="inlineStr">
        <is>
          <t>我即闪电</t>
        </is>
      </c>
      <c r="C44" s="71" t="inlineStr">
        <is>
          <t>1|2|3|4|5|6|7</t>
        </is>
      </c>
      <c r="D44" s="71" t="n">
        <v>11001</v>
      </c>
      <c r="E44" s="71" t="n">
        <v>2</v>
      </c>
      <c r="F44" s="71" t="n">
        <v>1120000100</v>
      </c>
      <c r="G44" s="71" t="n">
        <v>2120000050</v>
      </c>
      <c r="H44" s="71">
        <f>A44</f>
        <v/>
      </c>
      <c r="I44" s="69" t="inlineStr">
        <is>
          <t>1|2|3|4|5|6|7|8|9|10|11|12|13|14|15|16|17|18|19|20|21|22|23|24|25|26|27|28|29|30|31|32|33|34|35|36|37|38|39|40</t>
        </is>
      </c>
      <c r="K44" s="71" t="n">
        <v>7</v>
      </c>
      <c r="L44" s="71" t="inlineStr">
        <is>
          <t>linshi/29</t>
        </is>
      </c>
      <c r="M44" s="70" t="inlineStr">
        <is>
          <t>变身成为一个电球，碰撞敌人时造成{0}，消耗闪电场中敌人的感电状态，产生一次闪电对敌人造成{1}\n消耗当前拥有的所有迅捷注能，每消耗2层迅捷注能，电球的持续时间增加2秒</t>
        </is>
      </c>
      <c r="N44" s="71" t="inlineStr">
        <is>
          <t>[[1121000100],[1121300100]]</t>
        </is>
      </c>
      <c r="O44" s="71" t="inlineStr">
        <is>
          <t>该技能额外造成{0}伤害</t>
        </is>
      </c>
      <c r="P44" s="71" t="inlineStr">
        <is>
          <t>21|1.1</t>
        </is>
      </c>
      <c r="R44" s="71" t="n">
        <v>1</v>
      </c>
    </row>
  </sheetData>
  <conditionalFormatting sqref="A1:A2">
    <cfRule type="duplicateValues" priority="37" dxfId="0"/>
  </conditionalFormatting>
  <conditionalFormatting sqref="A45:A1048576">
    <cfRule type="duplicateValues" priority="145" dxfId="0"/>
  </conditionalFormatting>
  <conditionalFormatting sqref="B1:B2">
    <cfRule type="duplicateValues" priority="36" dxfId="0"/>
  </conditionalFormatting>
  <conditionalFormatting sqref="H1:H2">
    <cfRule type="duplicateValues" priority="30" dxfId="0"/>
  </conditionalFormatting>
  <conditionalFormatting sqref="J1:J2">
    <cfRule type="duplicateValues" priority="31" dxfId="0"/>
  </conditionalFormatting>
  <conditionalFormatting sqref="K1:K2">
    <cfRule type="duplicateValues" priority="3" dxfId="0"/>
  </conditionalFormatting>
  <conditionalFormatting sqref="L1:L2">
    <cfRule type="duplicateValues" priority="2" dxfId="0"/>
  </conditionalFormatting>
  <conditionalFormatting sqref="C1:E2">
    <cfRule type="duplicateValues" priority="35" dxfId="0"/>
  </conditionalFormatting>
  <conditionalFormatting sqref="F1:G2 I1:I2">
    <cfRule type="duplicateValues" priority="34" dxfId="0"/>
  </conditionalFormatting>
  <conditionalFormatting sqref="A4:A17 A19:A24 A29:A44">
    <cfRule type="duplicateValues" priority="27" dxfId="0"/>
  </conditionalFormatting>
  <pageMargins left="0.75" right="0.75" top="1" bottom="1" header="0.5" footer="0.5"/>
  <pageSetup orientation="portrait" paperSize="9"/>
  <legacyDrawing xmlns:r="http://schemas.openxmlformats.org/officeDocument/2006/relationships" r:id="anysvml"/>
</worksheet>
</file>

<file path=xl/worksheets/sheet2.xml><?xml version="1.0" encoding="utf-8"?>
<worksheet xmlns="http://schemas.openxmlformats.org/spreadsheetml/2006/main">
  <sheetPr codeName="Sheet2">
    <outlinePr summaryBelow="1" summaryRight="1"/>
    <pageSetUpPr/>
  </sheetPr>
  <dimension ref="A1:D8"/>
  <sheetViews>
    <sheetView workbookViewId="0">
      <selection activeCell="B10" sqref="B10"/>
    </sheetView>
  </sheetViews>
  <sheetFormatPr baseColWidth="8" defaultColWidth="9" defaultRowHeight="13.5" outlineLevelRow="7"/>
  <cols>
    <col width="9" customWidth="1" style="25" min="1" max="2"/>
    <col width="12.375" customWidth="1" style="25" min="3" max="3"/>
    <col width="9.375" customWidth="1" style="78" min="4" max="4"/>
  </cols>
  <sheetData>
    <row r="1">
      <c r="A1" s="15" t="inlineStr">
        <is>
          <t>id</t>
        </is>
      </c>
      <c r="B1" s="15" t="inlineStr">
        <is>
          <t>解锁等级</t>
        </is>
      </c>
      <c r="C1" s="25" t="inlineStr">
        <is>
          <t>备注(nouse)</t>
        </is>
      </c>
      <c r="D1" s="25" t="inlineStr">
        <is>
          <t>优先级</t>
        </is>
      </c>
    </row>
    <row r="2">
      <c r="A2" s="16" t="inlineStr">
        <is>
          <t>id.p</t>
        </is>
      </c>
      <c r="B2" s="16" t="inlineStr">
        <is>
          <t>level</t>
        </is>
      </c>
      <c r="C2" s="16" t="inlineStr">
        <is>
          <t>desc999</t>
        </is>
      </c>
      <c r="D2" s="16" t="inlineStr">
        <is>
          <t>priority</t>
        </is>
      </c>
    </row>
    <row r="3">
      <c r="A3" s="17" t="inlineStr">
        <is>
          <t>number</t>
        </is>
      </c>
      <c r="B3" s="17" t="inlineStr">
        <is>
          <t>number</t>
        </is>
      </c>
      <c r="C3" s="17" t="inlineStr">
        <is>
          <t>string</t>
        </is>
      </c>
      <c r="D3" s="17" t="inlineStr">
        <is>
          <t>number</t>
        </is>
      </c>
    </row>
    <row r="4">
      <c r="A4" s="25" t="n">
        <v>1</v>
      </c>
      <c r="B4" s="25" t="n">
        <v>0</v>
      </c>
      <c r="C4" s="25" t="inlineStr">
        <is>
          <t>槽位1</t>
        </is>
      </c>
      <c r="D4" s="47" t="n">
        <v>5</v>
      </c>
    </row>
    <row r="5">
      <c r="A5" s="25" t="n">
        <v>2</v>
      </c>
      <c r="B5" s="25" t="n">
        <v>3</v>
      </c>
      <c r="C5" s="25" t="inlineStr">
        <is>
          <t>槽位2</t>
        </is>
      </c>
      <c r="D5" s="47" t="n">
        <v>4</v>
      </c>
    </row>
    <row r="6">
      <c r="A6" s="25" t="n">
        <v>3</v>
      </c>
      <c r="B6" s="25" t="n">
        <v>7</v>
      </c>
      <c r="C6" s="25" t="inlineStr">
        <is>
          <t>槽位3</t>
        </is>
      </c>
      <c r="D6" s="47" t="n">
        <v>3</v>
      </c>
    </row>
    <row r="7">
      <c r="A7" s="25" t="n">
        <v>4</v>
      </c>
      <c r="B7" s="25" t="n">
        <v>10</v>
      </c>
      <c r="C7" s="25" t="inlineStr">
        <is>
          <t>槽位4</t>
        </is>
      </c>
      <c r="D7" s="47" t="n">
        <v>2</v>
      </c>
    </row>
    <row r="8">
      <c r="A8" s="25" t="n">
        <v>5</v>
      </c>
      <c r="B8" s="25" t="n">
        <v>15</v>
      </c>
      <c r="C8" s="25" t="inlineStr">
        <is>
          <t>槽位5</t>
        </is>
      </c>
      <c r="D8" s="47" t="n">
        <v>1</v>
      </c>
    </row>
  </sheetData>
  <conditionalFormatting sqref="A1:A2">
    <cfRule type="duplicateValues" priority="4" dxfId="0"/>
  </conditionalFormatting>
  <conditionalFormatting sqref="B1:B2">
    <cfRule type="duplicateValues" priority="3" dxfId="0"/>
  </conditionalFormatting>
  <conditionalFormatting sqref="C1:C2">
    <cfRule type="duplicateValues" priority="2" dxfId="0"/>
  </conditionalFormatting>
  <conditionalFormatting sqref="D1:D2">
    <cfRule type="duplicateValues" priority="1" dxfId="0"/>
  </conditionalFormatting>
  <pageMargins left="0.75" right="0.75" top="1" bottom="1" header="0.5" footer="0.5"/>
</worksheet>
</file>

<file path=xl/worksheets/sheet3.xml><?xml version="1.0" encoding="utf-8"?>
<worksheet xmlns="http://schemas.openxmlformats.org/spreadsheetml/2006/main">
  <sheetPr codeName="Sheet3">
    <outlinePr summaryBelow="1" summaryRight="1"/>
    <pageSetUpPr/>
  </sheetPr>
  <dimension ref="A1:Q68"/>
  <sheetViews>
    <sheetView zoomScale="85" zoomScaleNormal="85" workbookViewId="0">
      <pane ySplit="3" topLeftCell="A41" activePane="bottomLeft" state="frozen"/>
      <selection activeCell="A1" sqref="A1"/>
      <selection pane="bottomLeft" activeCell="B86" sqref="B86"/>
    </sheetView>
  </sheetViews>
  <sheetFormatPr baseColWidth="8" defaultColWidth="9" defaultRowHeight="13.5"/>
  <cols>
    <col width="11" customWidth="1" style="78" min="1" max="1"/>
    <col width="16" customWidth="1" style="78" min="4" max="4"/>
    <col width="19.375" customWidth="1" style="78" min="5" max="5"/>
    <col width="15.625" customWidth="1" style="62" min="6" max="6"/>
    <col width="65.875" customWidth="1" style="25" min="7" max="7"/>
    <col width="13.125" customWidth="1" style="62" min="8" max="9"/>
    <col width="13.5" customWidth="1" style="25" min="10" max="10"/>
    <col width="12.875" customWidth="1" style="62" min="11" max="11"/>
    <col width="29.375" customWidth="1" style="78" min="12" max="12"/>
    <col width="12.625" customWidth="1" style="78" min="13" max="13"/>
    <col width="11.5" customWidth="1" style="78" min="14" max="14"/>
    <col width="8.125" customWidth="1" style="71" min="16" max="16"/>
  </cols>
  <sheetData>
    <row r="1" ht="27" customHeight="1" s="78">
      <c r="A1" s="62" t="inlineStr">
        <is>
          <t>技能宝石id</t>
        </is>
      </c>
      <c r="B1" s="32" t="inlineStr">
        <is>
          <t>宝石组id</t>
        </is>
      </c>
      <c r="C1" s="32" t="inlineStr">
        <is>
          <t>(nouse)编号</t>
        </is>
      </c>
      <c r="D1" s="32" t="inlineStr">
        <is>
          <t>宝石等级(废弃)</t>
        </is>
      </c>
      <c r="E1" s="32" t="inlineStr">
        <is>
          <t>图标</t>
        </is>
      </c>
      <c r="F1" s="32" t="inlineStr">
        <is>
          <t>名称</t>
        </is>
      </c>
      <c r="G1" s="15" t="inlineStr">
        <is>
          <t>描述</t>
        </is>
      </c>
      <c r="H1" s="32" t="inlineStr">
        <is>
          <t>词缀id</t>
        </is>
      </c>
      <c r="I1" s="32" t="inlineStr">
        <is>
          <t>词缀数值</t>
        </is>
      </c>
      <c r="J1" s="15" t="inlineStr">
        <is>
          <t>被动表id</t>
        </is>
      </c>
      <c r="K1" s="32" t="inlineStr">
        <is>
          <t>词缀数值</t>
        </is>
      </c>
      <c r="L1" s="32" t="inlineStr">
        <is>
          <t>提供属性-启用加属性</t>
        </is>
      </c>
      <c r="M1" s="32" t="inlineStr">
        <is>
          <t>自选箱最低可选等级</t>
        </is>
      </c>
      <c r="N1" s="32" t="inlineStr">
        <is>
          <t>所属阶级</t>
        </is>
      </c>
      <c r="O1" s="32" t="inlineStr">
        <is>
          <t>不朽宝石</t>
        </is>
      </c>
      <c r="P1" s="70" t="inlineStr">
        <is>
          <t>是否投放</t>
        </is>
      </c>
      <c r="Q1" s="32" t="inlineStr">
        <is>
          <t>组内序号</t>
        </is>
      </c>
    </row>
    <row r="2">
      <c r="A2" s="33" t="inlineStr">
        <is>
          <t>id.p</t>
        </is>
      </c>
      <c r="B2" s="33" t="inlineStr">
        <is>
          <t>group</t>
        </is>
      </c>
      <c r="C2" s="33" t="inlineStr">
        <is>
          <t>order</t>
        </is>
      </c>
      <c r="D2" s="33" t="inlineStr">
        <is>
          <t>level</t>
        </is>
      </c>
      <c r="E2" s="33" t="inlineStr">
        <is>
          <t>icon</t>
        </is>
      </c>
      <c r="F2" s="33" t="inlineStr">
        <is>
          <t>name</t>
        </is>
      </c>
      <c r="G2" s="16" t="inlineStr">
        <is>
          <t>desc</t>
        </is>
      </c>
      <c r="H2" s="33" t="inlineStr">
        <is>
          <t>skillAffix</t>
        </is>
      </c>
      <c r="I2" s="33" t="inlineStr">
        <is>
          <t>affixValue</t>
        </is>
      </c>
      <c r="J2" s="16" t="inlineStr">
        <is>
          <t>stunt</t>
        </is>
      </c>
      <c r="K2" s="33" t="inlineStr">
        <is>
          <t>stuntValue</t>
        </is>
      </c>
      <c r="L2" s="33" t="inlineStr">
        <is>
          <t>attr</t>
        </is>
      </c>
      <c r="M2" s="33" t="inlineStr">
        <is>
          <t>selectLimitLevel</t>
        </is>
      </c>
      <c r="N2" s="33" t="inlineStr">
        <is>
          <t>stageLevel</t>
        </is>
      </c>
      <c r="O2" s="33" t="inlineStr">
        <is>
          <t>special</t>
        </is>
      </c>
      <c r="P2" s="51" t="inlineStr">
        <is>
          <t>isUse</t>
        </is>
      </c>
      <c r="Q2" s="33" t="inlineStr">
        <is>
          <t>sequence</t>
        </is>
      </c>
    </row>
    <row r="3">
      <c r="A3" s="34" t="inlineStr">
        <is>
          <t>number</t>
        </is>
      </c>
      <c r="B3" s="34" t="inlineStr">
        <is>
          <t>number</t>
        </is>
      </c>
      <c r="C3" s="34" t="inlineStr">
        <is>
          <t>string</t>
        </is>
      </c>
      <c r="D3" s="34" t="inlineStr">
        <is>
          <t>number</t>
        </is>
      </c>
      <c r="E3" s="34" t="inlineStr">
        <is>
          <t>string</t>
        </is>
      </c>
      <c r="F3" s="34" t="inlineStr">
        <is>
          <t>string</t>
        </is>
      </c>
      <c r="G3" s="17" t="inlineStr">
        <is>
          <t>string</t>
        </is>
      </c>
      <c r="H3" s="17" t="inlineStr">
        <is>
          <t>numberArr</t>
        </is>
      </c>
      <c r="I3" s="17" t="inlineStr">
        <is>
          <t>object</t>
        </is>
      </c>
      <c r="J3" s="17" t="inlineStr">
        <is>
          <t>numberArr</t>
        </is>
      </c>
      <c r="K3" s="17" t="inlineStr">
        <is>
          <t>object</t>
        </is>
      </c>
      <c r="L3" s="34" t="inlineStr">
        <is>
          <t>object</t>
        </is>
      </c>
      <c r="M3" s="34" t="inlineStr">
        <is>
          <t>number</t>
        </is>
      </c>
      <c r="N3" s="34" t="inlineStr">
        <is>
          <t>number</t>
        </is>
      </c>
      <c r="O3" s="34" t="inlineStr">
        <is>
          <t>number</t>
        </is>
      </c>
      <c r="P3" s="52" t="inlineStr">
        <is>
          <t>number</t>
        </is>
      </c>
      <c r="Q3" s="34" t="inlineStr">
        <is>
          <t>number2</t>
        </is>
      </c>
    </row>
    <row r="4" ht="14.25" customHeight="1" s="78">
      <c r="A4" s="47" t="n">
        <v>100101</v>
      </c>
      <c r="B4" s="47" t="n">
        <v>1</v>
      </c>
      <c r="C4" s="47" t="n">
        <v>1</v>
      </c>
      <c r="D4" s="47" t="n">
        <v>1</v>
      </c>
      <c r="E4" s="47" t="inlineStr">
        <is>
          <t>skill/sect/101101</t>
        </is>
      </c>
      <c r="F4" s="53" t="inlineStr">
        <is>
          <t>大范围·一</t>
        </is>
      </c>
      <c r="G4" s="47" t="inlineStr">
        <is>
          <t>辅助有范围标签的技能，范围效果扩大25%</t>
        </is>
      </c>
      <c r="H4" s="62" t="n">
        <v>10032</v>
      </c>
      <c r="I4" s="62" t="inlineStr">
        <is>
          <t>[[0.25]]</t>
        </is>
      </c>
      <c r="M4" s="47" t="n">
        <v>1</v>
      </c>
      <c r="N4" s="47" t="n">
        <v>1</v>
      </c>
      <c r="O4" s="47" t="n">
        <v>0</v>
      </c>
      <c r="P4" s="71" t="n">
        <v>1</v>
      </c>
    </row>
    <row r="5" ht="14.25" customHeight="1" s="78">
      <c r="A5" s="47" t="n">
        <v>100301</v>
      </c>
      <c r="B5" s="47" t="n">
        <v>3</v>
      </c>
      <c r="C5" s="47" t="n">
        <v>1</v>
      </c>
      <c r="D5" s="47" t="n">
        <v>1</v>
      </c>
      <c r="E5" s="47" t="inlineStr">
        <is>
          <t>skill/sect/101301</t>
        </is>
      </c>
      <c r="F5" s="53" t="inlineStr">
        <is>
          <t>快攻·一</t>
        </is>
      </c>
      <c r="G5" s="47" t="inlineStr">
        <is>
          <t>辅助有攻击标签的技能，攻击速度提高15%</t>
        </is>
      </c>
      <c r="H5" s="62" t="n">
        <v>10031</v>
      </c>
      <c r="I5" s="62" t="inlineStr">
        <is>
          <t>[[0.15]]</t>
        </is>
      </c>
      <c r="M5" s="47" t="n">
        <v>1</v>
      </c>
      <c r="N5" s="47" t="n">
        <v>1</v>
      </c>
      <c r="O5" s="47" t="n">
        <v>0</v>
      </c>
      <c r="P5" s="71" t="n">
        <v>1</v>
      </c>
    </row>
    <row r="6" ht="14.25" customHeight="1" s="78">
      <c r="A6" s="47" t="n">
        <v>100401</v>
      </c>
      <c r="B6" s="47" t="n">
        <v>4</v>
      </c>
      <c r="C6" s="47" t="n">
        <v>1</v>
      </c>
      <c r="D6" s="47" t="n">
        <v>1</v>
      </c>
      <c r="E6" s="47" t="inlineStr">
        <is>
          <t>skill/sect/102101</t>
        </is>
      </c>
      <c r="F6" s="53" t="inlineStr">
        <is>
          <t>集中·一</t>
        </is>
      </c>
      <c r="G6" s="37" t="inlineStr">
        <is>
          <t>辅助有范围标签的技能，使其范围总降50%，伤害额外提高15%</t>
        </is>
      </c>
      <c r="H6" s="63" t="n">
        <v>10037</v>
      </c>
      <c r="I6" s="63" t="inlineStr">
        <is>
          <t>[[0.15]]</t>
        </is>
      </c>
      <c r="J6" s="37" t="n"/>
      <c r="K6" s="63" t="n"/>
      <c r="M6" s="47" t="n">
        <v>1</v>
      </c>
      <c r="N6" s="47" t="n">
        <v>1</v>
      </c>
      <c r="O6" s="47" t="n">
        <v>0</v>
      </c>
      <c r="P6" s="71" t="n">
        <v>1</v>
      </c>
    </row>
    <row r="7">
      <c r="A7" s="58" t="n">
        <v>100901</v>
      </c>
      <c r="B7" s="58" t="n">
        <v>9</v>
      </c>
      <c r="C7" s="58" t="n">
        <v>1</v>
      </c>
      <c r="D7" s="58" t="n">
        <v>2</v>
      </c>
      <c r="E7" s="58" t="inlineStr">
        <is>
          <t>skill/sect/102204</t>
        </is>
      </c>
      <c r="F7" s="55" t="inlineStr">
        <is>
          <t>无限·一</t>
        </is>
      </c>
      <c r="G7" s="58" t="inlineStr">
        <is>
          <t>使获得的能量提高25%</t>
        </is>
      </c>
      <c r="H7" s="56" t="n">
        <v>10040</v>
      </c>
      <c r="I7" s="56" t="inlineStr">
        <is>
          <t>[[0.25]]</t>
        </is>
      </c>
      <c r="J7" s="57" t="n"/>
      <c r="K7" s="56" t="n"/>
      <c r="L7" s="58" t="n"/>
      <c r="M7" s="58" t="n">
        <v>1</v>
      </c>
      <c r="N7" s="58" t="n">
        <v>1</v>
      </c>
      <c r="O7" s="58" t="n">
        <v>0</v>
      </c>
      <c r="P7" s="57" t="n">
        <v>0</v>
      </c>
      <c r="Q7" s="58" t="n"/>
    </row>
    <row r="8">
      <c r="A8" s="58" t="n">
        <v>100902</v>
      </c>
      <c r="B8" s="58" t="n">
        <v>9</v>
      </c>
      <c r="C8" s="58" t="n">
        <v>2</v>
      </c>
      <c r="D8" s="58" t="n">
        <v>4</v>
      </c>
      <c r="E8" s="58" t="inlineStr">
        <is>
          <t>skill/sect/102204</t>
        </is>
      </c>
      <c r="F8" s="55" t="inlineStr">
        <is>
          <t>无限·二</t>
        </is>
      </c>
      <c r="G8" s="58" t="inlineStr">
        <is>
          <t>使获得的能量提高50%</t>
        </is>
      </c>
      <c r="H8" s="56" t="n">
        <v>10040</v>
      </c>
      <c r="I8" s="56" t="inlineStr">
        <is>
          <t>[[0.5]]</t>
        </is>
      </c>
      <c r="J8" s="57" t="n"/>
      <c r="K8" s="56" t="n"/>
      <c r="L8" s="58" t="n"/>
      <c r="M8" s="58" t="n">
        <v>1</v>
      </c>
      <c r="N8" s="58" t="n">
        <v>1</v>
      </c>
      <c r="O8" s="58" t="n">
        <v>0</v>
      </c>
      <c r="P8" s="57" t="n">
        <v>0</v>
      </c>
      <c r="Q8" s="58" t="n"/>
    </row>
    <row r="9" ht="14.25" customHeight="1" s="78">
      <c r="A9" s="47" t="n">
        <v>101001</v>
      </c>
      <c r="B9" s="47" t="n">
        <v>10</v>
      </c>
      <c r="C9" s="47" t="n">
        <v>1</v>
      </c>
      <c r="D9" s="47" t="n">
        <v>3</v>
      </c>
      <c r="E9" s="47" t="inlineStr">
        <is>
          <t>skill/sect/102204</t>
        </is>
      </c>
      <c r="F9" s="53" t="inlineStr">
        <is>
          <t>冻久·一</t>
        </is>
      </c>
      <c r="G9" s="47" t="inlineStr">
        <is>
          <t>被冰冻敌人的冻结时间额外提高25%</t>
        </is>
      </c>
      <c r="H9" s="63" t="n">
        <v>10041</v>
      </c>
      <c r="I9" s="63" t="inlineStr">
        <is>
          <t>[[0.25]]</t>
        </is>
      </c>
      <c r="J9" s="37" t="n"/>
      <c r="K9" s="63" t="n"/>
      <c r="M9" s="47" t="n">
        <v>1</v>
      </c>
      <c r="N9" s="47" t="n">
        <v>1</v>
      </c>
      <c r="O9" s="47" t="n">
        <v>0</v>
      </c>
      <c r="P9" s="71" t="n">
        <v>1</v>
      </c>
    </row>
    <row r="10" ht="14.25" customHeight="1" s="78">
      <c r="A10" s="47" t="n">
        <v>101101</v>
      </c>
      <c r="B10" s="47" t="n">
        <v>11</v>
      </c>
      <c r="C10" s="47" t="n">
        <v>1</v>
      </c>
      <c r="D10" s="47" t="n">
        <v>2</v>
      </c>
      <c r="E10" s="47" t="inlineStr">
        <is>
          <t>skill/sect/102204</t>
        </is>
      </c>
      <c r="F10" s="53" t="inlineStr">
        <is>
          <t>元素·一</t>
        </is>
      </c>
      <c r="G10" s="47" t="inlineStr">
        <is>
          <t>元素伤害额外提高15%</t>
        </is>
      </c>
      <c r="H10" s="63" t="n">
        <v>10042</v>
      </c>
      <c r="I10" s="63" t="inlineStr">
        <is>
          <t>[[0.15]]</t>
        </is>
      </c>
      <c r="J10" s="37" t="n"/>
      <c r="K10" s="63" t="n"/>
      <c r="M10" s="47" t="n">
        <v>1</v>
      </c>
      <c r="N10" s="47" t="n">
        <v>1</v>
      </c>
      <c r="O10" s="47" t="n">
        <v>0</v>
      </c>
      <c r="P10" s="71" t="n">
        <v>1</v>
      </c>
    </row>
    <row r="11" ht="14.25" customHeight="1" s="78">
      <c r="A11" s="47" t="n">
        <v>102101</v>
      </c>
      <c r="B11" s="47" t="n">
        <v>21</v>
      </c>
      <c r="C11" s="47" t="n">
        <v>1</v>
      </c>
      <c r="D11" s="47" t="n">
        <v>1</v>
      </c>
      <c r="E11" s="47" t="inlineStr">
        <is>
          <t>skill/sect/102101</t>
        </is>
      </c>
      <c r="F11" s="53" t="inlineStr">
        <is>
          <t>弹速·一</t>
        </is>
      </c>
      <c r="G11" s="59" t="inlineStr">
        <is>
          <t>辅助有投射物标签的技能，使其生成的投射物飞行速度额外加快20%</t>
        </is>
      </c>
      <c r="H11" s="63" t="n">
        <v>10147</v>
      </c>
      <c r="I11" s="63" t="inlineStr">
        <is>
          <t>[[0.2]]</t>
        </is>
      </c>
      <c r="J11" s="37" t="n"/>
      <c r="K11" s="63" t="n"/>
      <c r="M11" s="47" t="n">
        <v>1</v>
      </c>
      <c r="N11" s="47" t="n">
        <v>1</v>
      </c>
      <c r="O11" s="47" t="n">
        <v>0</v>
      </c>
      <c r="P11" s="71" t="n">
        <v>1</v>
      </c>
    </row>
    <row r="12" ht="14.25" customHeight="1" s="78">
      <c r="A12" s="47" t="n">
        <v>102301</v>
      </c>
      <c r="B12" s="47" t="n">
        <v>23</v>
      </c>
      <c r="C12" s="47" t="n">
        <v>1</v>
      </c>
      <c r="D12" s="47" t="n">
        <v>1</v>
      </c>
      <c r="E12" s="58" t="inlineStr">
        <is>
          <t>skill/sect/101301</t>
        </is>
      </c>
      <c r="F12" s="53" t="inlineStr">
        <is>
          <t>快施·一</t>
        </is>
      </c>
      <c r="G12" s="47" t="inlineStr">
        <is>
          <t>辅助有法术标签的技能，法术释放速度提高15%</t>
        </is>
      </c>
      <c r="H12" s="62" t="n">
        <v>10050</v>
      </c>
      <c r="I12" s="62" t="inlineStr">
        <is>
          <t>[[0.15]]</t>
        </is>
      </c>
      <c r="M12" s="47" t="n">
        <v>1</v>
      </c>
      <c r="N12" s="47" t="n">
        <v>1</v>
      </c>
      <c r="O12" s="47" t="n">
        <v>0</v>
      </c>
      <c r="P12" s="71" t="n">
        <v>1</v>
      </c>
    </row>
    <row r="13">
      <c r="A13" s="47" t="n">
        <v>102801</v>
      </c>
      <c r="B13" s="47" t="n">
        <v>28</v>
      </c>
      <c r="C13" s="47" t="n">
        <v>1</v>
      </c>
      <c r="D13" s="47" t="n">
        <v>1</v>
      </c>
      <c r="E13" s="47" t="inlineStr">
        <is>
          <t>skill/sect/102204</t>
        </is>
      </c>
      <c r="F13" s="60" t="inlineStr">
        <is>
          <t>元素脉冲</t>
        </is>
      </c>
      <c r="G13" s="25" t="inlineStr">
        <is>
          <t>被辅助的技能，在命中后，随机造成50%元素伤害倍率的附加伤害</t>
        </is>
      </c>
      <c r="J13" s="25" t="n">
        <v>2140000190</v>
      </c>
      <c r="M13" s="47" t="n">
        <v>1</v>
      </c>
      <c r="N13" s="47" t="n">
        <v>1</v>
      </c>
      <c r="O13" s="47" t="n">
        <v>0</v>
      </c>
      <c r="P13" s="71" t="n">
        <v>1</v>
      </c>
      <c r="Q13" s="47" t="n">
        <v>1</v>
      </c>
    </row>
    <row r="14">
      <c r="A14" s="47" t="n">
        <v>104001</v>
      </c>
      <c r="B14" s="47" t="n">
        <v>40</v>
      </c>
      <c r="C14" s="47" t="n">
        <v>1</v>
      </c>
      <c r="D14" s="47" t="n">
        <v>1</v>
      </c>
      <c r="E14" s="47" t="inlineStr">
        <is>
          <t>skill/sect/102102</t>
        </is>
      </c>
      <c r="F14" s="61" t="inlineStr">
        <is>
          <t>冰冷冲击</t>
        </is>
      </c>
      <c r="G14" s="25" t="inlineStr">
        <is>
          <t>被辅助的攻击技能，在造成冻结时有20%概率产生一次100%冰冷伤害倍率的冲击波，冲击波无法造成冻结</t>
        </is>
      </c>
      <c r="H14" s="62" t="n"/>
      <c r="I14" s="62" t="n"/>
      <c r="J14" s="47" t="n">
        <v>3140000070</v>
      </c>
      <c r="K14" s="62" t="n"/>
      <c r="L14" s="47" t="n"/>
      <c r="M14" s="47" t="n">
        <v>1</v>
      </c>
      <c r="N14" s="47" t="n">
        <v>1</v>
      </c>
      <c r="O14" s="47" t="n">
        <v>0</v>
      </c>
      <c r="P14" s="71" t="n">
        <v>1</v>
      </c>
    </row>
    <row r="15" ht="14.25" customHeight="1" s="78">
      <c r="A15" s="47" t="n">
        <v>100201</v>
      </c>
      <c r="B15" s="47" t="n">
        <v>2</v>
      </c>
      <c r="C15" s="47" t="n">
        <v>1</v>
      </c>
      <c r="D15" s="47" t="n">
        <v>1</v>
      </c>
      <c r="E15" s="47" t="inlineStr">
        <is>
          <t>skill/sect/101201</t>
        </is>
      </c>
      <c r="F15" s="53" t="inlineStr">
        <is>
          <t>加弹·一</t>
        </is>
      </c>
      <c r="G15" s="59" t="inlineStr">
        <is>
          <t>辅助有投射物标签的技能，使其生成的投射物数量+1，造成的伤害额外降低30%</t>
        </is>
      </c>
      <c r="H15" s="63" t="inlineStr">
        <is>
          <t>10038|10146</t>
        </is>
      </c>
      <c r="I15" s="63" t="inlineStr">
        <is>
          <t>[[1],[-0.3]]</t>
        </is>
      </c>
      <c r="K15" s="63" t="n"/>
      <c r="M15" s="47" t="n">
        <v>1</v>
      </c>
      <c r="N15" s="47" t="n">
        <v>1</v>
      </c>
      <c r="O15" s="47" t="n">
        <v>0</v>
      </c>
      <c r="P15" s="71" t="n">
        <v>1</v>
      </c>
    </row>
    <row r="16" ht="14.25" customHeight="1" s="78">
      <c r="A16" s="47" t="n">
        <v>100501</v>
      </c>
      <c r="B16" s="47" t="n">
        <v>5</v>
      </c>
      <c r="C16" s="47" t="n">
        <v>1</v>
      </c>
      <c r="D16" s="47" t="n">
        <v>3</v>
      </c>
      <c r="E16" s="47" t="inlineStr">
        <is>
          <t>skill/sect/102103</t>
        </is>
      </c>
      <c r="F16" s="53" t="inlineStr">
        <is>
          <t>冰冻·一</t>
        </is>
      </c>
      <c r="G16" s="37" t="inlineStr">
        <is>
          <t>辅助有冰霜标签的技能，使其冻结的积蓄值额外提高25%</t>
        </is>
      </c>
      <c r="H16" s="63" t="n">
        <v>10033</v>
      </c>
      <c r="I16" s="63" t="inlineStr">
        <is>
          <t>[[0.25]]</t>
        </is>
      </c>
      <c r="J16" s="37" t="n"/>
      <c r="K16" s="63" t="n"/>
      <c r="M16" s="47" t="n">
        <v>2</v>
      </c>
      <c r="N16" s="47" t="n">
        <v>2</v>
      </c>
      <c r="O16" s="47" t="n">
        <v>0</v>
      </c>
      <c r="P16" s="71" t="n">
        <v>1</v>
      </c>
    </row>
    <row r="17" ht="14.25" customHeight="1" s="78">
      <c r="A17" s="47" t="n">
        <v>100601</v>
      </c>
      <c r="B17" s="47" t="n">
        <v>6</v>
      </c>
      <c r="C17" s="47" t="n">
        <v>1</v>
      </c>
      <c r="D17" s="47" t="n">
        <v>5</v>
      </c>
      <c r="E17" s="47" t="inlineStr">
        <is>
          <t>skill/sect/102104</t>
        </is>
      </c>
      <c r="F17" s="53" t="inlineStr">
        <is>
          <t>加时·一</t>
        </is>
      </c>
      <c r="G17" s="37" t="inlineStr">
        <is>
          <t>辅助有持续性技能标签的技能，使其持续时间提高20%</t>
        </is>
      </c>
      <c r="H17" s="63" t="n">
        <v>10034</v>
      </c>
      <c r="I17" s="63" t="inlineStr">
        <is>
          <t>[[0.2]]</t>
        </is>
      </c>
      <c r="J17" s="37" t="n"/>
      <c r="K17" s="63" t="n"/>
      <c r="M17" s="47" t="n">
        <v>2</v>
      </c>
      <c r="N17" s="47" t="n">
        <v>2</v>
      </c>
      <c r="O17" s="47" t="n">
        <v>0</v>
      </c>
      <c r="P17" s="71" t="n">
        <v>1</v>
      </c>
    </row>
    <row r="18" ht="14.25" customHeight="1" s="78">
      <c r="A18" s="47" t="n">
        <v>100701</v>
      </c>
      <c r="B18" s="47" t="n">
        <v>7</v>
      </c>
      <c r="C18" s="47" t="n">
        <v>1</v>
      </c>
      <c r="D18" s="47" t="n">
        <v>2</v>
      </c>
      <c r="E18" s="47" t="inlineStr">
        <is>
          <t>skill/sect/102202</t>
        </is>
      </c>
      <c r="F18" s="53" t="inlineStr">
        <is>
          <t>减冷·一</t>
        </is>
      </c>
      <c r="G18" s="37" t="inlineStr">
        <is>
          <t>辅助技能，使其冷却回复率增加15%</t>
        </is>
      </c>
      <c r="H18" s="63" t="n">
        <v>10106</v>
      </c>
      <c r="I18" s="63" t="inlineStr">
        <is>
          <t>[[0.15]]</t>
        </is>
      </c>
      <c r="J18" s="37" t="n"/>
      <c r="K18" s="63" t="n"/>
      <c r="M18" s="47" t="n">
        <v>2</v>
      </c>
      <c r="N18" s="47" t="n">
        <v>2</v>
      </c>
      <c r="O18" s="47" t="n">
        <v>0</v>
      </c>
      <c r="P18" s="71" t="n">
        <v>1</v>
      </c>
    </row>
    <row r="19">
      <c r="A19" s="47" t="n">
        <v>101201</v>
      </c>
      <c r="B19" s="47" t="n">
        <v>12</v>
      </c>
      <c r="C19" s="47" t="n">
        <v>1</v>
      </c>
      <c r="D19" s="47" t="n">
        <v>3</v>
      </c>
      <c r="E19" s="47" t="inlineStr">
        <is>
          <t>skill/sect/102204</t>
        </is>
      </c>
      <c r="F19" s="53" t="inlineStr">
        <is>
          <t>闪偏</t>
        </is>
      </c>
      <c r="G19" s="47" t="inlineStr">
        <is>
          <t>闪电倍率提高25%，火焰倍率和冰冷倍率下降25%</t>
        </is>
      </c>
      <c r="H19" s="63" t="n">
        <v>10044</v>
      </c>
      <c r="I19" s="63" t="n"/>
      <c r="J19" s="37" t="n"/>
      <c r="K19" s="63" t="n"/>
      <c r="M19" s="47" t="n">
        <v>2</v>
      </c>
      <c r="N19" s="47" t="n">
        <v>2</v>
      </c>
      <c r="O19" s="47" t="n">
        <v>0</v>
      </c>
      <c r="P19" s="71" t="n">
        <v>1</v>
      </c>
    </row>
    <row r="20" customFormat="1" s="58">
      <c r="A20" s="47" t="n">
        <v>101301</v>
      </c>
      <c r="B20" s="47" t="n">
        <v>13</v>
      </c>
      <c r="C20" s="47" t="n">
        <v>1</v>
      </c>
      <c r="D20" s="47" t="n">
        <v>4</v>
      </c>
      <c r="E20" s="47" t="inlineStr">
        <is>
          <t>skill/sect/102204</t>
        </is>
      </c>
      <c r="F20" s="53" t="inlineStr">
        <is>
          <t>冰偏</t>
        </is>
      </c>
      <c r="G20" s="47" t="inlineStr">
        <is>
          <t>冰冷倍率提高25%，火焰倍率和闪电倍率下降25%</t>
        </is>
      </c>
      <c r="H20" s="63" t="n">
        <v>10045</v>
      </c>
      <c r="I20" s="63" t="n"/>
      <c r="J20" s="37" t="n"/>
      <c r="K20" s="63" t="n"/>
      <c r="L20" s="47" t="n"/>
      <c r="M20" s="47" t="n">
        <v>2</v>
      </c>
      <c r="N20" s="47" t="n">
        <v>2</v>
      </c>
      <c r="O20" s="47" t="n">
        <v>0</v>
      </c>
      <c r="P20" s="71" t="n">
        <v>1</v>
      </c>
      <c r="Q20" s="47" t="n"/>
    </row>
    <row r="21" customFormat="1" s="58">
      <c r="A21" s="47" t="n">
        <v>101401</v>
      </c>
      <c r="B21" s="47" t="n">
        <v>14</v>
      </c>
      <c r="C21" s="47" t="n">
        <v>1</v>
      </c>
      <c r="D21" s="47" t="n">
        <v>5</v>
      </c>
      <c r="E21" s="47" t="inlineStr">
        <is>
          <t>skill/sect/102204</t>
        </is>
      </c>
      <c r="F21" s="53" t="inlineStr">
        <is>
          <t>火偏</t>
        </is>
      </c>
      <c r="G21" s="47" t="inlineStr">
        <is>
          <t>火焰倍率提高25%，闪电倍率和冰冷倍率下降25%</t>
        </is>
      </c>
      <c r="H21" s="63" t="n">
        <v>10046</v>
      </c>
      <c r="I21" s="63" t="n"/>
      <c r="J21" s="37" t="n"/>
      <c r="K21" s="63" t="n"/>
      <c r="L21" s="47" t="n"/>
      <c r="M21" s="47" t="n">
        <v>2</v>
      </c>
      <c r="N21" s="47" t="n">
        <v>2</v>
      </c>
      <c r="O21" s="47" t="n">
        <v>0</v>
      </c>
      <c r="P21" s="71" t="n">
        <v>1</v>
      </c>
      <c r="Q21" s="47" t="n"/>
    </row>
    <row r="22" ht="14.25" customHeight="1" s="78">
      <c r="A22" s="47" t="n">
        <v>101501</v>
      </c>
      <c r="B22" s="47" t="n">
        <v>15</v>
      </c>
      <c r="C22" s="47" t="n">
        <v>1</v>
      </c>
      <c r="D22" s="47" t="n">
        <v>1</v>
      </c>
      <c r="E22" s="47" t="inlineStr">
        <is>
          <t>skill/sect/102101</t>
        </is>
      </c>
      <c r="F22" s="53" t="inlineStr">
        <is>
          <t>重击·一</t>
        </is>
      </c>
      <c r="G22" s="37" t="inlineStr">
        <is>
          <t>攻击速度降低10%，近战物理伤害额外提高25%</t>
        </is>
      </c>
      <c r="H22" s="63" t="n">
        <v>10047</v>
      </c>
      <c r="I22" s="63" t="inlineStr">
        <is>
          <t>[[0.25]]</t>
        </is>
      </c>
      <c r="J22" s="37" t="n"/>
      <c r="K22" s="63" t="n"/>
      <c r="M22" s="47" t="n">
        <v>2</v>
      </c>
      <c r="N22" s="47" t="n">
        <v>2</v>
      </c>
      <c r="O22" s="47" t="n">
        <v>0</v>
      </c>
      <c r="P22" s="71" t="n">
        <v>1</v>
      </c>
    </row>
    <row r="23" ht="14.25" customHeight="1" s="78">
      <c r="A23" s="47" t="n">
        <v>101601</v>
      </c>
      <c r="B23" s="47" t="n">
        <v>16</v>
      </c>
      <c r="C23" s="47" t="n">
        <v>1</v>
      </c>
      <c r="D23" s="47" t="n">
        <v>1</v>
      </c>
      <c r="E23" s="47" t="inlineStr">
        <is>
          <t>skill/sect/102101</t>
        </is>
      </c>
      <c r="F23" s="53" t="inlineStr">
        <is>
          <t>迎寒·一</t>
        </is>
      </c>
      <c r="G23" s="47" t="inlineStr">
        <is>
          <t>被辅助技能冻结敌人时，获得15%的额外冰冷伤害，持续6秒</t>
        </is>
      </c>
      <c r="H23" s="63" t="n">
        <v>10048</v>
      </c>
      <c r="I23" s="63" t="inlineStr">
        <is>
          <t>[[0.15]]</t>
        </is>
      </c>
      <c r="J23" s="37" t="n"/>
      <c r="K23" s="63" t="n"/>
      <c r="M23" s="47" t="n">
        <v>2</v>
      </c>
      <c r="N23" s="47" t="n">
        <v>2</v>
      </c>
      <c r="O23" s="47" t="n">
        <v>0</v>
      </c>
      <c r="P23" s="71" t="n">
        <v>1</v>
      </c>
    </row>
    <row r="24" ht="14.25" customHeight="1" s="78">
      <c r="A24" s="47" t="n">
        <v>101701</v>
      </c>
      <c r="B24" s="47" t="n">
        <v>17</v>
      </c>
      <c r="C24" s="47" t="n">
        <v>1</v>
      </c>
      <c r="D24" s="47" t="n">
        <v>1</v>
      </c>
      <c r="E24" s="47" t="inlineStr">
        <is>
          <t>skill/sect/102101</t>
        </is>
      </c>
      <c r="F24" s="53" t="inlineStr">
        <is>
          <t>猛毒·一</t>
        </is>
      </c>
      <c r="G24" s="47" t="inlineStr">
        <is>
          <t>被辅助技能，击中中毒目标时，每层中毒效果伤害额外提高3%，上限5层</t>
        </is>
      </c>
      <c r="H24" s="63" t="n"/>
      <c r="I24" s="63" t="n"/>
      <c r="J24" s="47" t="n">
        <v>3140000040</v>
      </c>
      <c r="K24" s="63" t="inlineStr">
        <is>
          <t>[[0.03]]</t>
        </is>
      </c>
      <c r="M24" s="47" t="n">
        <v>2</v>
      </c>
      <c r="N24" s="47" t="n">
        <v>2</v>
      </c>
      <c r="O24" s="47" t="n">
        <v>0</v>
      </c>
      <c r="P24" s="71" t="n">
        <v>1</v>
      </c>
    </row>
    <row r="25" ht="14.25" customHeight="1" s="78">
      <c r="A25" s="47" t="n">
        <v>101801</v>
      </c>
      <c r="B25" s="47" t="n">
        <v>18</v>
      </c>
      <c r="C25" s="47" t="n">
        <v>1</v>
      </c>
      <c r="D25" s="47" t="n">
        <v>1</v>
      </c>
      <c r="E25" s="47" t="inlineStr">
        <is>
          <t>skill/sect/102101</t>
        </is>
      </c>
      <c r="F25" s="53" t="inlineStr">
        <is>
          <t>毒化·一</t>
        </is>
      </c>
      <c r="G25" s="47" t="inlineStr">
        <is>
          <t>被辅助技能，混沌伤害额外提高10% ，中毒几率增加20%</t>
        </is>
      </c>
      <c r="H25" s="63" t="inlineStr">
        <is>
          <t>10128|10051</t>
        </is>
      </c>
      <c r="I25" s="63" t="inlineStr">
        <is>
          <t>[[0.10],[0.20]]</t>
        </is>
      </c>
      <c r="J25" s="37" t="n"/>
      <c r="K25" s="63" t="n"/>
      <c r="M25" s="47" t="n">
        <v>2</v>
      </c>
      <c r="N25" s="47" t="n">
        <v>2</v>
      </c>
      <c r="O25" s="47" t="n">
        <v>0</v>
      </c>
      <c r="P25" s="71" t="n">
        <v>1</v>
      </c>
    </row>
    <row r="26">
      <c r="A26" s="47" t="n">
        <v>102201</v>
      </c>
      <c r="B26" s="47" t="n">
        <v>22</v>
      </c>
      <c r="C26" s="47" t="n">
        <v>1</v>
      </c>
      <c r="D26" s="47" t="n">
        <v>1</v>
      </c>
      <c r="E26" s="47" t="inlineStr">
        <is>
          <t>skill/sect/102101</t>
        </is>
      </c>
      <c r="F26" s="53" t="inlineStr">
        <is>
          <t>冻核</t>
        </is>
      </c>
      <c r="G26" s="47" t="inlineStr">
        <is>
          <t>被辅助技能冻结敌人时，在被冻结者脚底生成一片冰冷地面</t>
        </is>
      </c>
      <c r="H26" s="63" t="n"/>
      <c r="I26" s="63" t="n"/>
      <c r="J26" s="37" t="n">
        <v>3140000050</v>
      </c>
      <c r="K26" s="63" t="n"/>
      <c r="M26" s="47" t="n">
        <v>2</v>
      </c>
      <c r="N26" s="47" t="n">
        <v>2</v>
      </c>
      <c r="O26" s="47" t="n">
        <v>0</v>
      </c>
      <c r="P26" s="71" t="n">
        <v>1</v>
      </c>
    </row>
    <row r="27" ht="14.25" customHeight="1" s="78">
      <c r="A27" s="47" t="n">
        <v>102501</v>
      </c>
      <c r="B27" s="47" t="n">
        <v>25</v>
      </c>
      <c r="C27" s="47" t="n">
        <v>1</v>
      </c>
      <c r="D27" s="47" t="n">
        <v>1</v>
      </c>
      <c r="E27" s="47" t="inlineStr">
        <is>
          <t>skill/sect/102101</t>
        </is>
      </c>
      <c r="F27" s="53" t="inlineStr">
        <is>
          <t>流血·一</t>
        </is>
      </c>
      <c r="G27" s="25" t="inlineStr">
        <is>
          <t>被辅助的技能，流血几率增加20%</t>
        </is>
      </c>
      <c r="L27" s="47" t="inlineStr">
        <is>
          <t>[[11054,0.2]]</t>
        </is>
      </c>
      <c r="M27" s="47" t="n">
        <v>2</v>
      </c>
      <c r="N27" s="47" t="n">
        <v>2</v>
      </c>
      <c r="O27" s="47" t="n">
        <v>0</v>
      </c>
      <c r="P27" s="71" t="n">
        <v>1</v>
      </c>
    </row>
    <row r="28" ht="14.25" customHeight="1" s="78">
      <c r="A28" s="47" t="n">
        <v>102601</v>
      </c>
      <c r="B28" s="47" t="n">
        <v>26</v>
      </c>
      <c r="C28" s="47" t="n">
        <v>1</v>
      </c>
      <c r="D28" s="47" t="n">
        <v>1</v>
      </c>
      <c r="E28" s="47" t="inlineStr">
        <is>
          <t>skill/sect/102101</t>
        </is>
      </c>
      <c r="F28" s="53" t="inlineStr">
        <is>
          <t>点燃·一</t>
        </is>
      </c>
      <c r="G28" s="25" t="inlineStr">
        <is>
          <t>被辅助的技能，点燃几率增加20%</t>
        </is>
      </c>
      <c r="L28" s="47" t="inlineStr">
        <is>
          <t>[[11006,0.2]]</t>
        </is>
      </c>
      <c r="M28" s="47" t="n">
        <v>2</v>
      </c>
      <c r="N28" s="47" t="n">
        <v>2</v>
      </c>
      <c r="O28" s="47" t="n">
        <v>0</v>
      </c>
      <c r="P28" s="71" t="n">
        <v>1</v>
      </c>
    </row>
    <row r="29" ht="14.25" customHeight="1" s="78">
      <c r="A29" s="47" t="n">
        <v>102701</v>
      </c>
      <c r="B29" s="47" t="n">
        <v>27</v>
      </c>
      <c r="C29" s="47" t="n">
        <v>1</v>
      </c>
      <c r="D29" s="47" t="n">
        <v>1</v>
      </c>
      <c r="E29" s="47" t="inlineStr">
        <is>
          <t>skill/sect/102101</t>
        </is>
      </c>
      <c r="F29" s="53" t="inlineStr">
        <is>
          <t>感电·一</t>
        </is>
      </c>
      <c r="G29" s="25" t="inlineStr">
        <is>
          <t>被辅助的技能，感电几率增加20%</t>
        </is>
      </c>
      <c r="L29" s="47" t="inlineStr">
        <is>
          <t>[[11009,0.2]]</t>
        </is>
      </c>
      <c r="M29" s="47" t="n">
        <v>2</v>
      </c>
      <c r="N29" s="47" t="n">
        <v>2</v>
      </c>
      <c r="O29" s="47" t="n">
        <v>0</v>
      </c>
      <c r="P29" s="71" t="n">
        <v>1</v>
      </c>
    </row>
    <row r="30">
      <c r="A30" s="47" t="n">
        <v>102901</v>
      </c>
      <c r="B30" s="47" t="n">
        <v>29</v>
      </c>
      <c r="C30" s="47" t="n">
        <v>1</v>
      </c>
      <c r="D30" s="47" t="n">
        <v>2</v>
      </c>
      <c r="E30" s="47" t="inlineStr">
        <is>
          <t>skill/sect/102102</t>
        </is>
      </c>
      <c r="F30" s="61" t="inlineStr">
        <is>
          <t>物理穿透</t>
        </is>
      </c>
      <c r="G30" s="25" t="inlineStr">
        <is>
          <t>被辅助的技能物理穿透提高25%</t>
        </is>
      </c>
      <c r="H30" s="62" t="n"/>
      <c r="I30" s="62" t="n"/>
      <c r="J30" s="25" t="n"/>
      <c r="K30" s="62" t="n"/>
      <c r="L30" s="47" t="inlineStr">
        <is>
          <t>[[11048,0.25]]</t>
        </is>
      </c>
      <c r="M30" s="47" t="n">
        <v>2</v>
      </c>
      <c r="N30" s="47" t="n">
        <v>2</v>
      </c>
      <c r="O30" s="47" t="n">
        <v>0</v>
      </c>
      <c r="P30" s="71" t="n">
        <v>1</v>
      </c>
    </row>
    <row r="31">
      <c r="A31" s="47" t="n">
        <v>103001</v>
      </c>
      <c r="B31" s="47" t="n">
        <v>30</v>
      </c>
      <c r="C31" s="47" t="n">
        <v>1</v>
      </c>
      <c r="D31" s="47" t="n">
        <v>2</v>
      </c>
      <c r="E31" s="47" t="inlineStr">
        <is>
          <t>skill/sect/102102</t>
        </is>
      </c>
      <c r="F31" s="61" t="inlineStr">
        <is>
          <t>火焰穿透</t>
        </is>
      </c>
      <c r="G31" s="25" t="inlineStr">
        <is>
          <t>被辅助的技能火焰穿透提高25%</t>
        </is>
      </c>
      <c r="H31" s="62" t="n"/>
      <c r="I31" s="62" t="n"/>
      <c r="J31" s="25" t="n"/>
      <c r="K31" s="62" t="n"/>
      <c r="L31" s="47" t="inlineStr">
        <is>
          <t>[[11049,0.25]]</t>
        </is>
      </c>
      <c r="M31" s="47" t="n">
        <v>2</v>
      </c>
      <c r="N31" s="47" t="n">
        <v>2</v>
      </c>
      <c r="O31" s="47" t="n">
        <v>0</v>
      </c>
      <c r="P31" s="71" t="n">
        <v>1</v>
      </c>
    </row>
    <row r="32">
      <c r="A32" s="47" t="n">
        <v>103101</v>
      </c>
      <c r="B32" s="47" t="n">
        <v>31</v>
      </c>
      <c r="C32" s="47" t="n">
        <v>1</v>
      </c>
      <c r="D32" s="47" t="n">
        <v>2</v>
      </c>
      <c r="E32" s="47" t="inlineStr">
        <is>
          <t>skill/sect/102102</t>
        </is>
      </c>
      <c r="F32" s="61" t="inlineStr">
        <is>
          <t>冰冷穿透</t>
        </is>
      </c>
      <c r="G32" s="25" t="inlineStr">
        <is>
          <t>被辅助的技能冰冷穿透提高25%</t>
        </is>
      </c>
      <c r="H32" s="62" t="n"/>
      <c r="I32" s="62" t="n"/>
      <c r="J32" s="25" t="n"/>
      <c r="K32" s="62" t="n"/>
      <c r="L32" s="47" t="inlineStr">
        <is>
          <t>[[11050,0.25]]</t>
        </is>
      </c>
      <c r="M32" s="47" t="n">
        <v>2</v>
      </c>
      <c r="N32" s="47" t="n">
        <v>2</v>
      </c>
      <c r="O32" s="47" t="n">
        <v>0</v>
      </c>
      <c r="P32" s="71" t="n">
        <v>1</v>
      </c>
    </row>
    <row r="33">
      <c r="A33" s="47" t="n">
        <v>103201</v>
      </c>
      <c r="B33" s="47" t="n">
        <v>32</v>
      </c>
      <c r="C33" s="47" t="n">
        <v>1</v>
      </c>
      <c r="D33" s="47" t="n">
        <v>2</v>
      </c>
      <c r="E33" s="47" t="inlineStr">
        <is>
          <t>skill/sect/102102</t>
        </is>
      </c>
      <c r="F33" s="61" t="inlineStr">
        <is>
          <t>闪电穿透</t>
        </is>
      </c>
      <c r="G33" s="25" t="inlineStr">
        <is>
          <t>被辅助的技能闪电穿透提高25%</t>
        </is>
      </c>
      <c r="H33" s="62" t="n"/>
      <c r="I33" s="62" t="n"/>
      <c r="J33" s="25" t="n"/>
      <c r="K33" s="62" t="n"/>
      <c r="L33" s="47" t="inlineStr">
        <is>
          <t>[[11051,0.25]]</t>
        </is>
      </c>
      <c r="M33" s="47" t="n">
        <v>2</v>
      </c>
      <c r="N33" s="47" t="n">
        <v>2</v>
      </c>
      <c r="O33" s="47" t="n">
        <v>0</v>
      </c>
      <c r="P33" s="71" t="n">
        <v>1</v>
      </c>
    </row>
    <row r="34">
      <c r="A34" s="47" t="n">
        <v>103301</v>
      </c>
      <c r="B34" s="47" t="n">
        <v>33</v>
      </c>
      <c r="C34" s="47" t="n">
        <v>1</v>
      </c>
      <c r="D34" s="47" t="n">
        <v>2</v>
      </c>
      <c r="E34" s="47" t="inlineStr">
        <is>
          <t>skill/sect/102102</t>
        </is>
      </c>
      <c r="F34" s="61" t="inlineStr">
        <is>
          <t>混沌穿透</t>
        </is>
      </c>
      <c r="G34" s="25" t="inlineStr">
        <is>
          <t>被辅助的技能混沌穿透提高25%</t>
        </is>
      </c>
      <c r="H34" s="62" t="n"/>
      <c r="I34" s="62" t="n"/>
      <c r="J34" s="25" t="n"/>
      <c r="K34" s="62" t="n"/>
      <c r="L34" s="47" t="inlineStr">
        <is>
          <t>[[11052,0.25]]</t>
        </is>
      </c>
      <c r="M34" s="47" t="n">
        <v>2</v>
      </c>
      <c r="N34" s="47" t="n">
        <v>2</v>
      </c>
      <c r="O34" s="47" t="n">
        <v>0</v>
      </c>
      <c r="P34" s="71" t="n">
        <v>1</v>
      </c>
    </row>
    <row r="35">
      <c r="A35" s="47" t="n">
        <v>103401</v>
      </c>
      <c r="B35" s="47" t="n">
        <v>34</v>
      </c>
      <c r="C35" s="47" t="n">
        <v>1</v>
      </c>
      <c r="D35" s="47" t="n">
        <v>2</v>
      </c>
      <c r="E35" s="47" t="inlineStr">
        <is>
          <t>skill/sect/102102</t>
        </is>
      </c>
      <c r="F35" s="61" t="inlineStr">
        <is>
          <t>精准</t>
        </is>
      </c>
      <c r="G35" s="25" t="inlineStr">
        <is>
          <t>被辅助的技能暴击率额外提高80%，暴击伤害额外降低30%</t>
        </is>
      </c>
      <c r="H35" s="62" t="inlineStr">
        <is>
          <t>10074|10261</t>
        </is>
      </c>
      <c r="I35" s="63" t="inlineStr">
        <is>
          <t>[[0.8],[-0.3]]</t>
        </is>
      </c>
      <c r="J35" s="25" t="n"/>
      <c r="K35" s="62" t="n"/>
      <c r="L35" s="47" t="n"/>
      <c r="M35" s="47" t="n">
        <v>2</v>
      </c>
      <c r="N35" s="47" t="n">
        <v>2</v>
      </c>
      <c r="O35" s="47" t="n">
        <v>0</v>
      </c>
      <c r="P35" s="71" t="n">
        <v>1</v>
      </c>
    </row>
    <row r="36">
      <c r="A36" s="47" t="n">
        <v>103501</v>
      </c>
      <c r="B36" s="47" t="n">
        <v>35</v>
      </c>
      <c r="C36" s="47" t="n">
        <v>1</v>
      </c>
      <c r="D36" s="47" t="n">
        <v>2</v>
      </c>
      <c r="E36" s="47" t="inlineStr">
        <is>
          <t>skill/sect/102102</t>
        </is>
      </c>
      <c r="F36" s="61" t="inlineStr">
        <is>
          <t>绝杀</t>
        </is>
      </c>
      <c r="G36" s="25" t="inlineStr">
        <is>
          <t>被辅助的技能暴击伤害额外提高60%，暴击率额外降低40%</t>
        </is>
      </c>
      <c r="H36" s="62" t="inlineStr">
        <is>
          <t>10074|10261</t>
        </is>
      </c>
      <c r="I36" s="63" t="inlineStr">
        <is>
          <t>[[-0.4],[0.6]]</t>
        </is>
      </c>
      <c r="J36" s="25" t="n"/>
      <c r="K36" s="62" t="n"/>
      <c r="L36" s="47" t="n"/>
      <c r="M36" s="47" t="n">
        <v>2</v>
      </c>
      <c r="N36" s="47" t="n">
        <v>2</v>
      </c>
      <c r="O36" s="47" t="n">
        <v>0</v>
      </c>
      <c r="P36" s="71" t="n">
        <v>1</v>
      </c>
    </row>
    <row r="37" s="78">
      <c r="A37" s="47" t="n">
        <v>103801</v>
      </c>
      <c r="B37" s="47" t="n">
        <v>38</v>
      </c>
      <c r="C37" s="47" t="n">
        <v>1</v>
      </c>
      <c r="D37" s="47" t="n">
        <v>2</v>
      </c>
      <c r="E37" s="47" t="inlineStr">
        <is>
          <t>skill/sect/102102</t>
        </is>
      </c>
      <c r="F37" s="61" t="inlineStr">
        <is>
          <t>狩猎</t>
        </is>
      </c>
      <c r="G37" s="25" t="inlineStr">
        <is>
          <t>被辅助的技能对满血敌人的暴击率额外提高80%</t>
        </is>
      </c>
      <c r="H37" s="62" t="n">
        <v>10267</v>
      </c>
      <c r="I37" s="62" t="inlineStr">
        <is>
          <t>[[0.8]]</t>
        </is>
      </c>
      <c r="J37" s="25" t="n"/>
      <c r="K37" s="62" t="n"/>
      <c r="L37" s="47" t="n"/>
      <c r="M37" s="47" t="n">
        <v>2</v>
      </c>
      <c r="N37" s="47" t="n">
        <v>2</v>
      </c>
      <c r="O37" s="47" t="n">
        <v>0</v>
      </c>
      <c r="P37" s="71" t="n">
        <v>1</v>
      </c>
    </row>
    <row r="38" s="78">
      <c r="A38" s="47" t="n">
        <v>103901</v>
      </c>
      <c r="B38" s="47" t="n">
        <v>39</v>
      </c>
      <c r="C38" s="47" t="n">
        <v>1</v>
      </c>
      <c r="D38" s="47" t="n">
        <v>2</v>
      </c>
      <c r="E38" s="47" t="inlineStr">
        <is>
          <t>skill/sect/102102</t>
        </is>
      </c>
      <c r="F38" s="61" t="inlineStr">
        <is>
          <t>弱点观察</t>
        </is>
      </c>
      <c r="G38" s="25" t="inlineStr">
        <is>
          <t>被辅助的技能对冻结敌人的暴击率额外提高40%</t>
        </is>
      </c>
      <c r="H38" s="62" t="n">
        <v>10268</v>
      </c>
      <c r="I38" s="62" t="inlineStr">
        <is>
          <t>[[0.4]]</t>
        </is>
      </c>
      <c r="J38" s="25" t="n"/>
      <c r="K38" s="62" t="n"/>
      <c r="L38" s="47" t="n"/>
      <c r="M38" s="47" t="n">
        <v>2</v>
      </c>
      <c r="N38" s="47" t="n">
        <v>2</v>
      </c>
      <c r="O38" s="47" t="n">
        <v>0</v>
      </c>
      <c r="P38" s="71" t="n">
        <v>1</v>
      </c>
    </row>
    <row r="39" ht="14.25" customHeight="1" s="78">
      <c r="A39" s="47" t="n">
        <v>100302</v>
      </c>
      <c r="B39" s="47" t="n">
        <v>3</v>
      </c>
      <c r="C39" s="47" t="n">
        <v>2</v>
      </c>
      <c r="D39" s="47" t="n">
        <v>2</v>
      </c>
      <c r="E39" s="47" t="inlineStr">
        <is>
          <t>skill/sect/101302</t>
        </is>
      </c>
      <c r="F39" s="53" t="inlineStr">
        <is>
          <t>快攻·二</t>
        </is>
      </c>
      <c r="G39" s="47" t="inlineStr">
        <is>
          <t>辅助有攻击标签的技能，攻击速度提高25%</t>
        </is>
      </c>
      <c r="H39" s="62" t="n">
        <v>10031</v>
      </c>
      <c r="I39" s="62" t="inlineStr">
        <is>
          <t>[[0.25]]</t>
        </is>
      </c>
      <c r="J39" s="25" t="n"/>
      <c r="K39" s="62" t="n"/>
      <c r="M39" s="47" t="n">
        <v>3</v>
      </c>
      <c r="N39" s="47" t="n">
        <v>3</v>
      </c>
      <c r="O39" s="47" t="n">
        <v>0</v>
      </c>
      <c r="P39" s="71" t="n">
        <v>1</v>
      </c>
    </row>
    <row r="40" s="78">
      <c r="A40" s="47" t="n">
        <v>100801</v>
      </c>
      <c r="B40" s="47" t="n">
        <v>8</v>
      </c>
      <c r="C40" s="47" t="n">
        <v>1</v>
      </c>
      <c r="D40" s="47" t="n">
        <v>4</v>
      </c>
      <c r="E40" s="47" t="inlineStr">
        <is>
          <t>skill/sect/102204</t>
        </is>
      </c>
      <c r="F40" s="53" t="inlineStr">
        <is>
          <t>多重</t>
        </is>
      </c>
      <c r="G40" s="37" t="inlineStr">
        <is>
          <t>辅助有触发标签的技能，使其伤害总降20%，重复使用技能3次，不能对同一目标使用</t>
        </is>
      </c>
      <c r="H40" s="63" t="n">
        <v>10036</v>
      </c>
      <c r="I40" s="63" t="n"/>
      <c r="J40" s="37" t="n"/>
      <c r="K40" s="63" t="n"/>
      <c r="M40" s="47" t="n">
        <v>3</v>
      </c>
      <c r="N40" s="47" t="n">
        <v>3</v>
      </c>
      <c r="O40" s="47" t="n">
        <v>0</v>
      </c>
      <c r="P40" s="71" t="n">
        <v>1</v>
      </c>
    </row>
    <row r="41" ht="14.25" customHeight="1" s="78">
      <c r="A41" s="47" t="n">
        <v>101002</v>
      </c>
      <c r="B41" s="47" t="n">
        <v>10</v>
      </c>
      <c r="C41" s="47" t="n">
        <v>2</v>
      </c>
      <c r="D41" s="47" t="n">
        <v>5</v>
      </c>
      <c r="E41" s="47" t="inlineStr">
        <is>
          <t>skill/sect/102204</t>
        </is>
      </c>
      <c r="F41" s="53" t="inlineStr">
        <is>
          <t>冻久·二</t>
        </is>
      </c>
      <c r="G41" s="47" t="inlineStr">
        <is>
          <t>被冰冻敌人的冻结时间额外提高50%</t>
        </is>
      </c>
      <c r="H41" s="63" t="n">
        <v>10041</v>
      </c>
      <c r="I41" s="63" t="inlineStr">
        <is>
          <t>[[0.5]]</t>
        </is>
      </c>
      <c r="J41" s="37" t="n"/>
      <c r="K41" s="63" t="n"/>
      <c r="M41" s="47" t="n">
        <v>3</v>
      </c>
      <c r="N41" s="47" t="n">
        <v>3</v>
      </c>
      <c r="O41" s="47" t="n">
        <v>0</v>
      </c>
      <c r="P41" s="71" t="n">
        <v>1</v>
      </c>
    </row>
    <row r="42" ht="14.25" customHeight="1" s="78">
      <c r="A42" s="47" t="n">
        <v>101901</v>
      </c>
      <c r="B42" s="47" t="n">
        <v>19</v>
      </c>
      <c r="C42" s="47" t="n">
        <v>1</v>
      </c>
      <c r="D42" s="47" t="n">
        <v>1</v>
      </c>
      <c r="E42" s="47" t="inlineStr">
        <is>
          <t>skill/sect/102101</t>
        </is>
      </c>
      <c r="F42" s="53" t="inlineStr">
        <is>
          <t>包围·一</t>
        </is>
      </c>
      <c r="G42" s="47" t="inlineStr">
        <is>
          <t>辅助有环绕标签的技能，环绕子弹数量+1，造成的伤害额外降低30%</t>
        </is>
      </c>
      <c r="H42" s="63" t="inlineStr">
        <is>
          <t>10131|10146</t>
        </is>
      </c>
      <c r="I42" s="63" t="inlineStr">
        <is>
          <t>[[1],[-0.3]]</t>
        </is>
      </c>
      <c r="J42" s="37" t="n"/>
      <c r="K42" s="63" t="n"/>
      <c r="M42" s="47" t="n">
        <v>3</v>
      </c>
      <c r="N42" s="47" t="n">
        <v>3</v>
      </c>
      <c r="O42" s="47" t="n">
        <v>0</v>
      </c>
      <c r="P42" s="71" t="n">
        <v>1</v>
      </c>
    </row>
    <row r="43" ht="14.25" customHeight="1" s="78">
      <c r="A43" s="47" t="n">
        <v>102001</v>
      </c>
      <c r="B43" s="47" t="n">
        <v>20</v>
      </c>
      <c r="C43" s="47" t="n">
        <v>1</v>
      </c>
      <c r="D43" s="47" t="n">
        <v>1</v>
      </c>
      <c r="E43" s="47" t="inlineStr">
        <is>
          <t>skill/sect/102101</t>
        </is>
      </c>
      <c r="F43" s="53" t="inlineStr">
        <is>
          <t>盘旋·一</t>
        </is>
      </c>
      <c r="G43" s="47" t="inlineStr">
        <is>
          <t>辅助有环绕标签的技能，被辅助技能的环绕子弹速度提高30%</t>
        </is>
      </c>
      <c r="H43" s="63" t="n">
        <v>10132</v>
      </c>
      <c r="I43" s="63" t="inlineStr">
        <is>
          <t>[[0.3]]</t>
        </is>
      </c>
      <c r="J43" s="37" t="n"/>
      <c r="K43" s="63" t="n"/>
      <c r="M43" s="47" t="n">
        <v>3</v>
      </c>
      <c r="N43" s="47" t="n">
        <v>3</v>
      </c>
      <c r="O43" s="47" t="n">
        <v>0</v>
      </c>
      <c r="P43" s="71" t="n">
        <v>1</v>
      </c>
    </row>
    <row r="44" ht="14.25" customHeight="1" s="78">
      <c r="A44" s="47" t="n">
        <v>102102</v>
      </c>
      <c r="B44" s="47" t="n">
        <v>21</v>
      </c>
      <c r="C44" s="47" t="n">
        <v>2</v>
      </c>
      <c r="D44" s="47" t="n">
        <v>1</v>
      </c>
      <c r="E44" s="47" t="inlineStr">
        <is>
          <t>skill/sect/102102</t>
        </is>
      </c>
      <c r="F44" s="53" t="inlineStr">
        <is>
          <t>弹速·二</t>
        </is>
      </c>
      <c r="G44" s="59" t="inlineStr">
        <is>
          <t>辅助有投射物标签的技能，使其生成的投射物飞行速度额外加快40%</t>
        </is>
      </c>
      <c r="H44" s="63" t="n">
        <v>10147</v>
      </c>
      <c r="I44" s="63" t="inlineStr">
        <is>
          <t>[[0.4]]</t>
        </is>
      </c>
      <c r="J44" s="37" t="n"/>
      <c r="K44" s="63" t="n"/>
      <c r="M44" s="47" t="n">
        <v>3</v>
      </c>
      <c r="N44" s="47" t="n">
        <v>3</v>
      </c>
      <c r="O44" s="47" t="n">
        <v>0</v>
      </c>
      <c r="P44" s="71" t="n">
        <v>1</v>
      </c>
    </row>
    <row r="45" s="78">
      <c r="A45" s="47" t="n">
        <v>103601</v>
      </c>
      <c r="B45" s="47" t="n">
        <v>36</v>
      </c>
      <c r="C45" s="47" t="n">
        <v>1</v>
      </c>
      <c r="D45" s="47" t="n">
        <v>3</v>
      </c>
      <c r="E45" s="47" t="inlineStr">
        <is>
          <t>skill/sect/102102</t>
        </is>
      </c>
      <c r="F45" s="61" t="inlineStr">
        <is>
          <t>暴击转化</t>
        </is>
      </c>
      <c r="G45" s="25" t="inlineStr">
        <is>
          <t>被辅助的技能无法再造成暴击，法术伤害额外提高60%</t>
        </is>
      </c>
      <c r="H45" s="62" t="inlineStr">
        <is>
          <t>10266|10135</t>
        </is>
      </c>
      <c r="I45" s="62" t="inlineStr">
        <is>
          <t>[[0.6]]</t>
        </is>
      </c>
      <c r="J45" s="25" t="n"/>
      <c r="K45" s="62" t="n"/>
      <c r="L45" s="47" t="n"/>
      <c r="M45" s="47" t="n">
        <v>3</v>
      </c>
      <c r="N45" s="47" t="n">
        <v>3</v>
      </c>
      <c r="O45" s="47" t="n">
        <v>0</v>
      </c>
      <c r="P45" s="71" t="n">
        <v>1</v>
      </c>
    </row>
    <row r="46" ht="14.25" customHeight="1" s="78">
      <c r="A46" s="47" t="n">
        <v>100102</v>
      </c>
      <c r="B46" s="47" t="n">
        <v>1</v>
      </c>
      <c r="C46" s="47" t="n">
        <v>2</v>
      </c>
      <c r="D46" s="47" t="n">
        <v>2</v>
      </c>
      <c r="E46" s="47" t="inlineStr">
        <is>
          <t>skill/sect/101102</t>
        </is>
      </c>
      <c r="F46" s="53" t="inlineStr">
        <is>
          <t>大范围·二</t>
        </is>
      </c>
      <c r="G46" s="47" t="inlineStr">
        <is>
          <t>辅助有范围标签的技能，范围效果扩大50%</t>
        </is>
      </c>
      <c r="H46" s="62" t="n">
        <v>10032</v>
      </c>
      <c r="I46" s="62" t="inlineStr">
        <is>
          <t>[[0.5]]</t>
        </is>
      </c>
      <c r="J46" s="25" t="n"/>
      <c r="K46" s="62" t="n"/>
      <c r="M46" s="47" t="n">
        <v>4</v>
      </c>
      <c r="N46" s="47" t="n">
        <v>4</v>
      </c>
      <c r="O46" s="47" t="n">
        <v>0</v>
      </c>
      <c r="P46" s="71" t="n">
        <v>1</v>
      </c>
    </row>
    <row r="47" ht="14.25" customHeight="1" s="78">
      <c r="A47" s="47" t="n">
        <v>100202</v>
      </c>
      <c r="B47" s="47" t="n">
        <v>2</v>
      </c>
      <c r="C47" s="47" t="n">
        <v>2</v>
      </c>
      <c r="D47" s="47" t="n">
        <v>1</v>
      </c>
      <c r="E47" s="47" t="inlineStr">
        <is>
          <t>skill/sect/101201</t>
        </is>
      </c>
      <c r="F47" s="53" t="inlineStr">
        <is>
          <t>加弹·二</t>
        </is>
      </c>
      <c r="G47" s="59" t="inlineStr">
        <is>
          <t>辅助有投射物标签的技能，使其生成的投射物数量+2，造成的伤害额外降低30%</t>
        </is>
      </c>
      <c r="H47" s="63" t="inlineStr">
        <is>
          <t>10038|10146</t>
        </is>
      </c>
      <c r="I47" s="63" t="inlineStr">
        <is>
          <t>[[2],[-0.3]]</t>
        </is>
      </c>
      <c r="K47" s="63" t="n"/>
      <c r="M47" s="47" t="n">
        <v>4</v>
      </c>
      <c r="N47" s="47" t="n">
        <v>4</v>
      </c>
      <c r="O47" s="47" t="n">
        <v>0</v>
      </c>
      <c r="P47" s="71" t="n">
        <v>1</v>
      </c>
    </row>
    <row r="48" ht="14.25" customHeight="1" s="78">
      <c r="A48" s="47" t="n">
        <v>100402</v>
      </c>
      <c r="B48" s="47" t="n">
        <v>4</v>
      </c>
      <c r="C48" s="47" t="n">
        <v>2</v>
      </c>
      <c r="D48" s="47" t="n">
        <v>2</v>
      </c>
      <c r="E48" s="47" t="inlineStr">
        <is>
          <t>skill/sect/102102</t>
        </is>
      </c>
      <c r="F48" s="53" t="inlineStr">
        <is>
          <t>集中·二</t>
        </is>
      </c>
      <c r="G48" s="37" t="inlineStr">
        <is>
          <t>辅助有范围标签的技能，使其范围总降50%，伤害额外提高30%</t>
        </is>
      </c>
      <c r="H48" s="63" t="n">
        <v>10037</v>
      </c>
      <c r="I48" s="63" t="inlineStr">
        <is>
          <t>[[0.3]]</t>
        </is>
      </c>
      <c r="J48" s="37" t="n"/>
      <c r="K48" s="63" t="n"/>
      <c r="M48" s="47" t="n">
        <v>4</v>
      </c>
      <c r="N48" s="47" t="n">
        <v>4</v>
      </c>
      <c r="O48" s="47" t="n">
        <v>0</v>
      </c>
      <c r="P48" s="71" t="n">
        <v>1</v>
      </c>
    </row>
    <row r="49" ht="14.25" customHeight="1" s="78">
      <c r="A49" s="47" t="n">
        <v>100602</v>
      </c>
      <c r="B49" s="47" t="n">
        <v>6</v>
      </c>
      <c r="C49" s="47" t="n">
        <v>2</v>
      </c>
      <c r="D49" s="47" t="n">
        <v>1</v>
      </c>
      <c r="E49" s="47" t="inlineStr">
        <is>
          <t>skill/sect/102201</t>
        </is>
      </c>
      <c r="F49" s="53" t="inlineStr">
        <is>
          <t>加时·二</t>
        </is>
      </c>
      <c r="G49" s="37" t="inlineStr">
        <is>
          <t>辅助有持续性技能标签的技能，使其持续时间提高30%</t>
        </is>
      </c>
      <c r="H49" s="63" t="n">
        <v>10034</v>
      </c>
      <c r="I49" s="63" t="inlineStr">
        <is>
          <t>[[0.3]]</t>
        </is>
      </c>
      <c r="K49" s="63" t="n"/>
      <c r="M49" s="47" t="n">
        <v>4</v>
      </c>
      <c r="N49" s="47" t="n">
        <v>4</v>
      </c>
      <c r="O49" s="47" t="n">
        <v>0</v>
      </c>
      <c r="P49" s="71" t="n">
        <v>1</v>
      </c>
    </row>
    <row r="50" ht="14.25" customHeight="1" s="78">
      <c r="A50" s="47" t="n">
        <v>101102</v>
      </c>
      <c r="B50" s="47" t="n">
        <v>11</v>
      </c>
      <c r="C50" s="47" t="n">
        <v>2</v>
      </c>
      <c r="D50" s="47" t="n">
        <v>5</v>
      </c>
      <c r="E50" s="47" t="inlineStr">
        <is>
          <t>skill/sect/102204</t>
        </is>
      </c>
      <c r="F50" s="53" t="inlineStr">
        <is>
          <t>元素·二</t>
        </is>
      </c>
      <c r="G50" s="47" t="inlineStr">
        <is>
          <t>元素伤害额外提高25%</t>
        </is>
      </c>
      <c r="H50" s="63" t="n">
        <v>10042</v>
      </c>
      <c r="I50" s="63" t="inlineStr">
        <is>
          <t>[[0.25]]</t>
        </is>
      </c>
      <c r="J50" s="37" t="n"/>
      <c r="K50" s="63" t="n"/>
      <c r="M50" s="47" t="n">
        <v>4</v>
      </c>
      <c r="N50" s="47" t="n">
        <v>4</v>
      </c>
      <c r="O50" s="47" t="n">
        <v>0</v>
      </c>
      <c r="P50" s="71" t="n">
        <v>1</v>
      </c>
    </row>
    <row r="51" ht="14.25" customHeight="1" s="78">
      <c r="A51" s="47" t="n">
        <v>101502</v>
      </c>
      <c r="B51" s="47" t="n">
        <v>15</v>
      </c>
      <c r="C51" s="47" t="n">
        <v>2</v>
      </c>
      <c r="D51" s="47" t="n">
        <v>2</v>
      </c>
      <c r="E51" s="47" t="inlineStr">
        <is>
          <t>skill/sect/102102</t>
        </is>
      </c>
      <c r="F51" s="53" t="inlineStr">
        <is>
          <t>重击·二</t>
        </is>
      </c>
      <c r="G51" s="37" t="inlineStr">
        <is>
          <t>攻击速度降低10%，近战物理伤害额外提高40%</t>
        </is>
      </c>
      <c r="H51" s="63" t="n">
        <v>10047</v>
      </c>
      <c r="I51" s="63" t="inlineStr">
        <is>
          <t>[[0.4]]</t>
        </is>
      </c>
      <c r="J51" s="37" t="n"/>
      <c r="K51" s="63" t="n"/>
      <c r="M51" s="47" t="n">
        <v>4</v>
      </c>
      <c r="N51" s="47" t="n">
        <v>4</v>
      </c>
      <c r="O51" s="47" t="n">
        <v>0</v>
      </c>
      <c r="P51" s="71" t="n">
        <v>1</v>
      </c>
    </row>
    <row r="52" ht="14.25" customHeight="1" s="78">
      <c r="A52" s="47" t="n">
        <v>101802</v>
      </c>
      <c r="B52" s="47" t="n">
        <v>18</v>
      </c>
      <c r="C52" s="47" t="n">
        <v>2</v>
      </c>
      <c r="D52" s="47" t="n">
        <v>2</v>
      </c>
      <c r="E52" s="47" t="inlineStr">
        <is>
          <t>skill/sect/102102</t>
        </is>
      </c>
      <c r="F52" s="53" t="inlineStr">
        <is>
          <t>毒化·二</t>
        </is>
      </c>
      <c r="G52" s="47" t="inlineStr">
        <is>
          <t>被辅助技能，混沌伤害额外提高20% ，中毒几率增加40%</t>
        </is>
      </c>
      <c r="H52" s="63" t="inlineStr">
        <is>
          <t>10128|10051</t>
        </is>
      </c>
      <c r="I52" s="63" t="inlineStr">
        <is>
          <t>[[0.20],[0.40]]</t>
        </is>
      </c>
      <c r="J52" s="37" t="n"/>
      <c r="K52" s="63" t="n"/>
      <c r="M52" s="47" t="n">
        <v>4</v>
      </c>
      <c r="N52" s="47" t="n">
        <v>4</v>
      </c>
      <c r="O52" s="47" t="n">
        <v>0</v>
      </c>
      <c r="P52" s="71" t="n">
        <v>1</v>
      </c>
    </row>
    <row r="53" ht="14.25" customHeight="1" s="78">
      <c r="A53" s="47" t="n">
        <v>102302</v>
      </c>
      <c r="B53" s="47" t="n">
        <v>23</v>
      </c>
      <c r="C53" s="47" t="n">
        <v>2</v>
      </c>
      <c r="D53" s="47" t="n">
        <v>2</v>
      </c>
      <c r="E53" s="58" t="inlineStr">
        <is>
          <t>skill/sect/101302</t>
        </is>
      </c>
      <c r="F53" s="53" t="inlineStr">
        <is>
          <t>快施·二</t>
        </is>
      </c>
      <c r="G53" s="47" t="inlineStr">
        <is>
          <t>辅助有法术标签的技能，法术施放速度提高25%</t>
        </is>
      </c>
      <c r="H53" s="62" t="n">
        <v>10050</v>
      </c>
      <c r="I53" s="62" t="inlineStr">
        <is>
          <t>[[0.25]]</t>
        </is>
      </c>
      <c r="M53" s="47" t="n">
        <v>4</v>
      </c>
      <c r="N53" s="47" t="n">
        <v>4</v>
      </c>
      <c r="O53" s="47" t="n">
        <v>0</v>
      </c>
      <c r="P53" s="71" t="n">
        <v>1</v>
      </c>
    </row>
    <row r="54">
      <c r="A54" s="47" t="n">
        <v>103701</v>
      </c>
      <c r="B54" s="47" t="n">
        <v>37</v>
      </c>
      <c r="C54" s="47" t="n">
        <v>1</v>
      </c>
      <c r="D54" s="47" t="n">
        <v>4</v>
      </c>
      <c r="E54" s="47" t="inlineStr">
        <is>
          <t>skill/sect/102102</t>
        </is>
      </c>
      <c r="F54" s="61" t="inlineStr">
        <is>
          <t>炽烈</t>
        </is>
      </c>
      <c r="G54" s="25" t="inlineStr">
        <is>
          <t>被辅助的技能造成暴击时，获得15%的额外火焰伤害，持续6秒</t>
        </is>
      </c>
      <c r="H54" s="62" t="n">
        <v>10269</v>
      </c>
      <c r="I54" s="62" t="n"/>
      <c r="J54" s="25" t="n"/>
      <c r="K54" s="62" t="n"/>
      <c r="L54" s="47" t="n"/>
      <c r="M54" s="47" t="n">
        <v>4</v>
      </c>
      <c r="N54" s="47" t="n">
        <v>4</v>
      </c>
      <c r="O54" s="47" t="n">
        <v>0</v>
      </c>
      <c r="P54" s="71" t="n">
        <v>1</v>
      </c>
    </row>
    <row r="55">
      <c r="A55" s="47" t="n">
        <v>100204</v>
      </c>
      <c r="B55" s="47" t="n">
        <v>2</v>
      </c>
      <c r="C55" s="47" t="n">
        <v>4</v>
      </c>
      <c r="D55" s="47" t="n">
        <v>5</v>
      </c>
      <c r="E55" s="47" t="inlineStr">
        <is>
          <t>skill/sect/101201</t>
        </is>
      </c>
      <c r="F55" s="53" t="inlineStr">
        <is>
          <t>新星</t>
        </is>
      </c>
      <c r="G55" s="47" t="inlineStr">
        <is>
          <t>投射物数量+5，投射物变更为环形发射，投射物伤害总降50%</t>
        </is>
      </c>
      <c r="H55" s="63" t="n">
        <v>10043</v>
      </c>
      <c r="I55" s="63" t="n"/>
      <c r="K55" s="63" t="n"/>
      <c r="M55" s="47" t="n">
        <v>5</v>
      </c>
      <c r="N55" s="47" t="n">
        <v>5</v>
      </c>
      <c r="O55" s="47" t="n">
        <v>0</v>
      </c>
      <c r="P55" s="71" t="n">
        <v>1</v>
      </c>
    </row>
    <row r="56" ht="14.25" customHeight="1" s="78">
      <c r="A56" s="47" t="n">
        <v>100502</v>
      </c>
      <c r="B56" s="47" t="n">
        <v>5</v>
      </c>
      <c r="C56" s="47" t="n">
        <v>2</v>
      </c>
      <c r="D56" s="47" t="n">
        <v>4</v>
      </c>
      <c r="E56" s="47" t="inlineStr">
        <is>
          <t>skill/sect/102104</t>
        </is>
      </c>
      <c r="F56" s="64" t="inlineStr">
        <is>
          <t>冰冻·二</t>
        </is>
      </c>
      <c r="G56" s="37" t="inlineStr">
        <is>
          <t>辅助有冰霜标签的技能，使其冻结的积蓄值额外提高50%</t>
        </is>
      </c>
      <c r="H56" s="63" t="n">
        <v>10033</v>
      </c>
      <c r="I56" s="63" t="inlineStr">
        <is>
          <t>[[0.5]]</t>
        </is>
      </c>
      <c r="J56" s="37" t="n"/>
      <c r="K56" s="63" t="n"/>
      <c r="M56" s="47" t="n">
        <v>5</v>
      </c>
      <c r="N56" s="47" t="n">
        <v>5</v>
      </c>
      <c r="O56" s="47" t="n">
        <v>0</v>
      </c>
      <c r="P56" s="71" t="n">
        <v>1</v>
      </c>
    </row>
    <row r="57" ht="14.25" customFormat="1" customHeight="1" s="47">
      <c r="A57" s="47" t="n">
        <v>100702</v>
      </c>
      <c r="B57" s="47" t="n">
        <v>7</v>
      </c>
      <c r="C57" s="47" t="n">
        <v>2</v>
      </c>
      <c r="D57" s="47" t="n">
        <v>3</v>
      </c>
      <c r="E57" s="47" t="inlineStr">
        <is>
          <t>skill/sect/102203</t>
        </is>
      </c>
      <c r="F57" s="53" t="inlineStr">
        <is>
          <t>减冷·二</t>
        </is>
      </c>
      <c r="G57" s="37" t="inlineStr">
        <is>
          <t>辅助技能，使其冷却回复率增加25%</t>
        </is>
      </c>
      <c r="H57" s="63" t="n">
        <v>10106</v>
      </c>
      <c r="I57" s="63" t="inlineStr">
        <is>
          <t>[[0.25]]</t>
        </is>
      </c>
      <c r="J57" s="37" t="n"/>
      <c r="K57" s="63" t="n"/>
      <c r="L57" s="47" t="n"/>
      <c r="M57" s="47" t="n">
        <v>5</v>
      </c>
      <c r="N57" s="47" t="n">
        <v>5</v>
      </c>
      <c r="O57" s="47" t="n">
        <v>0</v>
      </c>
      <c r="P57" s="71" t="n">
        <v>1</v>
      </c>
      <c r="Q57" s="47" t="n"/>
    </row>
    <row r="58" ht="14.25" customFormat="1" customHeight="1" s="47">
      <c r="A58" s="47" t="n">
        <v>101602</v>
      </c>
      <c r="B58" s="47" t="n">
        <v>16</v>
      </c>
      <c r="C58" s="47" t="n">
        <v>2</v>
      </c>
      <c r="D58" s="47" t="n">
        <v>2</v>
      </c>
      <c r="E58" s="47" t="inlineStr">
        <is>
          <t>skill/sect/102102</t>
        </is>
      </c>
      <c r="F58" s="53" t="inlineStr">
        <is>
          <t>迎寒·二</t>
        </is>
      </c>
      <c r="G58" s="47" t="inlineStr">
        <is>
          <t>被辅助技能冻结敌人时，获得30%的额外冰冷伤害，持续6秒</t>
        </is>
      </c>
      <c r="H58" s="63" t="n">
        <v>10048</v>
      </c>
      <c r="I58" s="63" t="inlineStr">
        <is>
          <t>[[0.3]]</t>
        </is>
      </c>
      <c r="J58" s="37" t="n"/>
      <c r="K58" s="63" t="n"/>
      <c r="L58" s="47" t="n"/>
      <c r="M58" s="47" t="n">
        <v>5</v>
      </c>
      <c r="N58" s="47" t="n">
        <v>5</v>
      </c>
      <c r="O58" s="47" t="n">
        <v>0</v>
      </c>
      <c r="P58" s="71" t="n">
        <v>1</v>
      </c>
      <c r="Q58" s="47" t="n"/>
    </row>
    <row r="59" ht="14.25" customFormat="1" customHeight="1" s="47">
      <c r="A59" s="47" t="n">
        <v>101702</v>
      </c>
      <c r="B59" s="47" t="n">
        <v>17</v>
      </c>
      <c r="C59" s="47" t="n">
        <v>2</v>
      </c>
      <c r="D59" s="47" t="n">
        <v>2</v>
      </c>
      <c r="E59" s="47" t="inlineStr">
        <is>
          <t>skill/sect/102102</t>
        </is>
      </c>
      <c r="F59" s="53" t="inlineStr">
        <is>
          <t>猛毒·二</t>
        </is>
      </c>
      <c r="G59" s="47" t="inlineStr">
        <is>
          <t>被辅助技能，击中中毒目标时，每层中毒效果伤害额外提高6%，上限5层</t>
        </is>
      </c>
      <c r="H59" s="63" t="n"/>
      <c r="I59" s="63" t="n"/>
      <c r="J59" s="47" t="n">
        <v>3140000040</v>
      </c>
      <c r="K59" s="63" t="inlineStr">
        <is>
          <t>[[0.06]]</t>
        </is>
      </c>
      <c r="L59" s="47" t="n"/>
      <c r="M59" s="47" t="n">
        <v>5</v>
      </c>
      <c r="N59" s="47" t="n">
        <v>5</v>
      </c>
      <c r="O59" s="47" t="n">
        <v>0</v>
      </c>
      <c r="P59" s="71" t="n">
        <v>1</v>
      </c>
      <c r="Q59" s="47" t="n"/>
    </row>
    <row r="60" ht="14.25" customFormat="1" customHeight="1" s="47">
      <c r="A60" s="47" t="n">
        <v>101902</v>
      </c>
      <c r="B60" s="47" t="n">
        <v>19</v>
      </c>
      <c r="C60" s="47" t="n">
        <v>2</v>
      </c>
      <c r="D60" s="47" t="n">
        <v>2</v>
      </c>
      <c r="E60" s="47" t="inlineStr">
        <is>
          <t>skill/sect/102102</t>
        </is>
      </c>
      <c r="F60" s="53" t="inlineStr">
        <is>
          <t>包围·二</t>
        </is>
      </c>
      <c r="G60" s="47" t="inlineStr">
        <is>
          <t>辅助有环绕标签的技能，环绕子弹数量+1</t>
        </is>
      </c>
      <c r="H60" s="63" t="n">
        <v>10131</v>
      </c>
      <c r="I60" s="63" t="inlineStr">
        <is>
          <t>[[1]]</t>
        </is>
      </c>
      <c r="J60" s="37" t="n"/>
      <c r="K60" s="63" t="n"/>
      <c r="L60" s="47" t="n"/>
      <c r="M60" s="47" t="n">
        <v>5</v>
      </c>
      <c r="N60" s="47" t="n">
        <v>5</v>
      </c>
      <c r="O60" s="47" t="n">
        <v>0</v>
      </c>
      <c r="P60" s="71" t="n">
        <v>1</v>
      </c>
      <c r="Q60" s="47" t="n"/>
    </row>
    <row r="61" ht="14.25" customFormat="1" customHeight="1" s="47">
      <c r="A61" s="47" t="n">
        <v>102002</v>
      </c>
      <c r="B61" s="47" t="n">
        <v>20</v>
      </c>
      <c r="C61" s="47" t="n">
        <v>2</v>
      </c>
      <c r="D61" s="47" t="n">
        <v>2</v>
      </c>
      <c r="E61" s="47" t="inlineStr">
        <is>
          <t>skill/sect/102102</t>
        </is>
      </c>
      <c r="F61" s="53" t="inlineStr">
        <is>
          <t>盘旋·二</t>
        </is>
      </c>
      <c r="G61" s="47" t="inlineStr">
        <is>
          <t>辅助有环绕标签的技能，被辅助技能的环绕子弹速度提高50%</t>
        </is>
      </c>
      <c r="H61" s="63" t="n">
        <v>10132</v>
      </c>
      <c r="I61" s="63" t="inlineStr">
        <is>
          <t>[[0.5]]</t>
        </is>
      </c>
      <c r="J61" s="37" t="n"/>
      <c r="K61" s="63" t="n"/>
      <c r="L61" s="47" t="n"/>
      <c r="M61" s="47" t="n">
        <v>5</v>
      </c>
      <c r="N61" s="47" t="n">
        <v>5</v>
      </c>
      <c r="O61" s="47" t="n">
        <v>0</v>
      </c>
      <c r="P61" s="71" t="n">
        <v>1</v>
      </c>
      <c r="Q61" s="47" t="n"/>
    </row>
    <row r="62" ht="14.25" customFormat="1" customHeight="1" s="47">
      <c r="A62" s="47" t="n">
        <v>102103</v>
      </c>
      <c r="B62" s="47" t="n">
        <v>21</v>
      </c>
      <c r="C62" s="47" t="n">
        <v>3</v>
      </c>
      <c r="D62" s="47" t="n">
        <v>1</v>
      </c>
      <c r="E62" s="47" t="inlineStr">
        <is>
          <t>skill/sect/102103</t>
        </is>
      </c>
      <c r="F62" s="53" t="inlineStr">
        <is>
          <t>弹速·三</t>
        </is>
      </c>
      <c r="G62" s="59" t="inlineStr">
        <is>
          <t>辅助有投射物标签的技能，使其生成的投射物飞行速度额外加快40%。投射物伤害增加25%</t>
        </is>
      </c>
      <c r="H62" s="63" t="inlineStr">
        <is>
          <t>10147|10064</t>
        </is>
      </c>
      <c r="I62" s="63" t="inlineStr">
        <is>
          <t>[[0.4],[0.25]]</t>
        </is>
      </c>
      <c r="J62" s="37" t="n"/>
      <c r="K62" s="63" t="n"/>
      <c r="L62" s="47" t="n"/>
      <c r="M62" s="47" t="n">
        <v>5</v>
      </c>
      <c r="N62" s="47" t="n">
        <v>5</v>
      </c>
      <c r="O62" s="47" t="n">
        <v>0</v>
      </c>
      <c r="P62" s="71" t="n">
        <v>1</v>
      </c>
      <c r="Q62" s="47" t="n"/>
    </row>
    <row r="63" ht="14.25" customFormat="1" customHeight="1" s="47">
      <c r="A63" s="47" t="n">
        <v>102502</v>
      </c>
      <c r="B63" s="47" t="n">
        <v>25</v>
      </c>
      <c r="C63" s="47" t="n">
        <v>2</v>
      </c>
      <c r="D63" s="47" t="n">
        <v>1</v>
      </c>
      <c r="E63" s="47" t="inlineStr">
        <is>
          <t>skill/sect/102102</t>
        </is>
      </c>
      <c r="F63" s="53" t="inlineStr">
        <is>
          <t>流血·二</t>
        </is>
      </c>
      <c r="G63" s="25" t="inlineStr">
        <is>
          <t>被辅助的技能，流血几率增加35%</t>
        </is>
      </c>
      <c r="H63" s="62" t="n"/>
      <c r="I63" s="62" t="n"/>
      <c r="J63" s="25" t="n"/>
      <c r="K63" s="62" t="n"/>
      <c r="L63" s="47" t="inlineStr">
        <is>
          <t>[[11054,0.35]]</t>
        </is>
      </c>
      <c r="M63" s="47" t="n">
        <v>5</v>
      </c>
      <c r="N63" s="47" t="n">
        <v>5</v>
      </c>
      <c r="O63" s="47" t="n">
        <v>0</v>
      </c>
      <c r="P63" s="71" t="n">
        <v>1</v>
      </c>
      <c r="Q63" s="47" t="n"/>
    </row>
    <row r="64" ht="14.25" customFormat="1" customHeight="1" s="47">
      <c r="A64" s="47" t="n">
        <v>102602</v>
      </c>
      <c r="B64" s="47" t="n">
        <v>26</v>
      </c>
      <c r="C64" s="47" t="n">
        <v>2</v>
      </c>
      <c r="D64" s="47" t="n">
        <v>1</v>
      </c>
      <c r="E64" s="47" t="inlineStr">
        <is>
          <t>skill/sect/102102</t>
        </is>
      </c>
      <c r="F64" s="53" t="inlineStr">
        <is>
          <t>点燃·二</t>
        </is>
      </c>
      <c r="G64" s="25" t="inlineStr">
        <is>
          <t>被辅助的技能，点燃几率增加35%</t>
        </is>
      </c>
      <c r="H64" s="62" t="n"/>
      <c r="I64" s="62" t="n"/>
      <c r="J64" s="25" t="n"/>
      <c r="K64" s="62" t="n"/>
      <c r="L64" s="47" t="inlineStr">
        <is>
          <t>[[11006,0.35]]</t>
        </is>
      </c>
      <c r="M64" s="47" t="n">
        <v>5</v>
      </c>
      <c r="N64" s="47" t="n">
        <v>5</v>
      </c>
      <c r="O64" s="47" t="n">
        <v>0</v>
      </c>
      <c r="P64" s="71" t="n">
        <v>1</v>
      </c>
      <c r="Q64" s="47" t="n"/>
    </row>
    <row r="65" ht="14.25" customFormat="1" customHeight="1" s="47">
      <c r="A65" s="47" t="n">
        <v>102702</v>
      </c>
      <c r="B65" s="47" t="n">
        <v>27</v>
      </c>
      <c r="C65" s="47" t="n">
        <v>2</v>
      </c>
      <c r="D65" s="47" t="n">
        <v>1</v>
      </c>
      <c r="E65" s="47" t="inlineStr">
        <is>
          <t>skill/sect/102102</t>
        </is>
      </c>
      <c r="F65" s="53" t="inlineStr">
        <is>
          <t>感电·二</t>
        </is>
      </c>
      <c r="G65" s="25" t="inlineStr">
        <is>
          <t>被辅助的技能，感电几率增加35%</t>
        </is>
      </c>
      <c r="H65" s="62" t="n"/>
      <c r="I65" s="62" t="n"/>
      <c r="J65" s="25" t="n"/>
      <c r="K65" s="62" t="n"/>
      <c r="L65" s="47" t="inlineStr">
        <is>
          <t>[[11009,0.35]]</t>
        </is>
      </c>
      <c r="M65" s="47" t="n">
        <v>5</v>
      </c>
      <c r="N65" s="47" t="n">
        <v>5</v>
      </c>
      <c r="O65" s="47" t="n">
        <v>0</v>
      </c>
      <c r="P65" s="71" t="n">
        <v>1</v>
      </c>
      <c r="Q65" s="47" t="n"/>
    </row>
    <row r="66" customFormat="1" s="47">
      <c r="A66" s="47" t="n">
        <v>102401</v>
      </c>
      <c r="B66" s="47" t="n">
        <v>24</v>
      </c>
      <c r="C66" s="47" t="n">
        <v>1</v>
      </c>
      <c r="D66" s="47" t="n">
        <v>1</v>
      </c>
      <c r="E66" s="58" t="inlineStr">
        <is>
          <t>skill/sect/102101</t>
        </is>
      </c>
      <c r="F66" s="53" t="inlineStr">
        <is>
          <t>暴击</t>
        </is>
      </c>
      <c r="G66" s="25" t="inlineStr">
        <is>
          <t>辅助法术技能，技能携带该辅助宝石时，当你对敌人造成暴击时会获得20点能量，达到100点能量后触发镶嵌的法术；被辅助的技能无法主动释放</t>
        </is>
      </c>
      <c r="H66" s="62" t="n">
        <v>10244</v>
      </c>
      <c r="I66" s="62" t="n"/>
      <c r="J66" s="25" t="n"/>
      <c r="K66" s="62" t="n"/>
      <c r="L66" s="47" t="n"/>
      <c r="M66" s="47" t="n">
        <v>999</v>
      </c>
      <c r="N66" s="47" t="n">
        <v>999</v>
      </c>
      <c r="O66" s="47" t="n">
        <v>1</v>
      </c>
      <c r="P66" s="71" t="n">
        <v>1</v>
      </c>
      <c r="Q66" s="47" t="n"/>
    </row>
    <row r="67" customFormat="1" s="47">
      <c r="A67" s="47" t="n">
        <v>102402</v>
      </c>
      <c r="B67" s="47" t="n">
        <v>24</v>
      </c>
      <c r="C67" s="47" t="n">
        <v>2</v>
      </c>
      <c r="D67" s="47" t="n">
        <v>1</v>
      </c>
      <c r="E67" s="58" t="inlineStr">
        <is>
          <t>skill/sect/102102</t>
        </is>
      </c>
      <c r="F67" s="53" t="inlineStr">
        <is>
          <t>移动</t>
        </is>
      </c>
      <c r="G67" s="25" t="inlineStr">
        <is>
          <t>辅助法术技能，技能携带该辅助宝石时，当你移动一定距离后会获得20点能量，达到100点能量后触发镶嵌的法术；被辅助的技能无法主动释放</t>
        </is>
      </c>
      <c r="H67" s="62" t="n">
        <v>10245</v>
      </c>
      <c r="I67" s="62" t="n"/>
      <c r="J67" s="25" t="n"/>
      <c r="K67" s="62" t="n"/>
      <c r="L67" s="47" t="n"/>
      <c r="M67" s="47" t="n">
        <v>999</v>
      </c>
      <c r="N67" s="47" t="n">
        <v>999</v>
      </c>
      <c r="O67" s="47" t="n">
        <v>1</v>
      </c>
      <c r="P67" s="71" t="n">
        <v>1</v>
      </c>
      <c r="Q67" s="47" t="n"/>
    </row>
    <row r="68" customFormat="1" s="47">
      <c r="A68" s="47" t="n">
        <v>102403</v>
      </c>
      <c r="B68" s="47" t="n">
        <v>24</v>
      </c>
      <c r="C68" s="47" t="n">
        <v>3</v>
      </c>
      <c r="D68" s="47" t="n">
        <v>1</v>
      </c>
      <c r="E68" s="58" t="inlineStr">
        <is>
          <t>skill/sect/102103</t>
        </is>
      </c>
      <c r="F68" s="53" t="inlineStr">
        <is>
          <t>格挡</t>
        </is>
      </c>
      <c r="G68" s="25" t="inlineStr">
        <is>
          <t>辅助法术技能，技能携带该辅助宝石时，当你格挡时会获得20点能量，达到100点能量后触发镶嵌的法术；被辅助的技能无法主动释放</t>
        </is>
      </c>
      <c r="H68" s="62" t="n">
        <v>10246</v>
      </c>
      <c r="I68" s="62" t="n"/>
      <c r="J68" s="25" t="n"/>
      <c r="K68" s="62" t="n"/>
      <c r="L68" s="47" t="n"/>
      <c r="M68" s="47" t="n">
        <v>999</v>
      </c>
      <c r="N68" s="47" t="n">
        <v>999</v>
      </c>
      <c r="O68" s="47" t="n">
        <v>1</v>
      </c>
      <c r="P68" s="71" t="n">
        <v>1</v>
      </c>
      <c r="Q68" s="47" t="n"/>
    </row>
  </sheetData>
  <conditionalFormatting sqref="A1:A2">
    <cfRule type="duplicateValues" priority="21" dxfId="0"/>
  </conditionalFormatting>
  <conditionalFormatting sqref="B1:B2">
    <cfRule type="duplicateValues" priority="14" dxfId="0"/>
  </conditionalFormatting>
  <conditionalFormatting sqref="C1:C2">
    <cfRule type="duplicateValues" priority="7" dxfId="0"/>
  </conditionalFormatting>
  <conditionalFormatting sqref="D1:D2">
    <cfRule type="duplicateValues" priority="13" dxfId="0"/>
  </conditionalFormatting>
  <conditionalFormatting sqref="E1:E2">
    <cfRule type="duplicateValues" priority="20" dxfId="0"/>
  </conditionalFormatting>
  <conditionalFormatting sqref="F1:F2">
    <cfRule type="duplicateValues" priority="19" dxfId="0"/>
  </conditionalFormatting>
  <conditionalFormatting sqref="G1:G2">
    <cfRule type="duplicateValues" priority="18" dxfId="0"/>
  </conditionalFormatting>
  <conditionalFormatting sqref="H1:H2">
    <cfRule type="duplicateValues" priority="17" dxfId="0"/>
  </conditionalFormatting>
  <conditionalFormatting sqref="I1:I2">
    <cfRule type="duplicateValues" priority="6" dxfId="0"/>
  </conditionalFormatting>
  <conditionalFormatting sqref="J1:J2">
    <cfRule type="duplicateValues" priority="3" dxfId="0"/>
  </conditionalFormatting>
  <conditionalFormatting sqref="K1:K2">
    <cfRule type="duplicateValues" priority="4" dxfId="0"/>
  </conditionalFormatting>
  <conditionalFormatting sqref="L1:L2">
    <cfRule type="duplicateValues" priority="15" dxfId="0"/>
  </conditionalFormatting>
  <conditionalFormatting sqref="M1:M2">
    <cfRule type="duplicateValues" priority="9" dxfId="0"/>
  </conditionalFormatting>
  <conditionalFormatting sqref="N1:N2">
    <cfRule type="duplicateValues" priority="8" dxfId="0"/>
  </conditionalFormatting>
  <conditionalFormatting sqref="O1:O2">
    <cfRule type="duplicateValues" priority="2" dxfId="0"/>
  </conditionalFormatting>
  <conditionalFormatting sqref="Q1:Q2">
    <cfRule type="duplicateValues" priority="1" dxfId="0"/>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codeName="Sheet4">
    <outlinePr summaryBelow="1" summaryRight="1"/>
    <pageSetUpPr/>
  </sheetPr>
  <dimension ref="A1:H659"/>
  <sheetViews>
    <sheetView tabSelected="1" workbookViewId="0">
      <pane ySplit="3" topLeftCell="A4" activePane="bottomLeft" state="frozen"/>
      <selection activeCell="A1" sqref="A1"/>
      <selection pane="bottomLeft" activeCell="E4" sqref="E4"/>
    </sheetView>
  </sheetViews>
  <sheetFormatPr baseColWidth="8" defaultColWidth="9" defaultRowHeight="13.5"/>
  <cols>
    <col width="12.25" customWidth="1" style="25" min="1" max="1"/>
    <col width="18.625" customWidth="1" style="42" min="2" max="2"/>
    <col width="15.5" customWidth="1" style="25" min="3" max="3"/>
    <col width="8.125" customWidth="1" style="25" min="4" max="4"/>
    <col width="12.375" customWidth="1" style="25" min="5" max="5"/>
    <col width="18.25" customWidth="1" style="78" min="6" max="6"/>
    <col width="11.5" customWidth="1" style="78" min="7" max="7"/>
  </cols>
  <sheetData>
    <row r="1">
      <c r="A1" s="15" t="inlineStr">
        <is>
          <t>技能书id</t>
        </is>
      </c>
      <c r="B1" s="15" t="inlineStr">
        <is>
          <t>职业</t>
        </is>
      </c>
      <c r="C1" s="15" t="inlineStr">
        <is>
          <t>技能书组</t>
        </is>
      </c>
      <c r="D1" s="15" t="inlineStr">
        <is>
          <t>等级</t>
        </is>
      </c>
      <c r="E1" s="15" t="inlineStr">
        <is>
          <t>备注(nouse)</t>
        </is>
      </c>
      <c r="F1" s="32" t="inlineStr">
        <is>
          <t>自选箱最低可选等级</t>
        </is>
      </c>
      <c r="G1" s="32" t="inlineStr">
        <is>
          <t>所属阶级</t>
        </is>
      </c>
      <c r="H1" s="43" t="inlineStr">
        <is>
          <t>解锁等级</t>
        </is>
      </c>
    </row>
    <row r="2">
      <c r="A2" s="16" t="inlineStr">
        <is>
          <t>id.p</t>
        </is>
      </c>
      <c r="B2" s="16" t="inlineStr">
        <is>
          <t>occupation</t>
        </is>
      </c>
      <c r="C2" s="16" t="inlineStr">
        <is>
          <t>group</t>
        </is>
      </c>
      <c r="D2" s="16" t="inlineStr">
        <is>
          <t>level</t>
        </is>
      </c>
      <c r="E2" s="16" t="inlineStr">
        <is>
          <t>desc999</t>
        </is>
      </c>
      <c r="F2" s="33" t="inlineStr">
        <is>
          <t>selectLimitLevel</t>
        </is>
      </c>
      <c r="G2" s="33" t="inlineStr">
        <is>
          <t>stageLevel</t>
        </is>
      </c>
      <c r="H2" s="44" t="inlineStr">
        <is>
          <t>limitLv</t>
        </is>
      </c>
    </row>
    <row r="3">
      <c r="A3" s="17" t="inlineStr">
        <is>
          <t>number</t>
        </is>
      </c>
      <c r="B3" s="17" t="inlineStr">
        <is>
          <t>numberArr</t>
        </is>
      </c>
      <c r="C3" s="17" t="inlineStr">
        <is>
          <t>number</t>
        </is>
      </c>
      <c r="D3" s="17" t="inlineStr">
        <is>
          <t>number</t>
        </is>
      </c>
      <c r="E3" s="17" t="inlineStr">
        <is>
          <t>string</t>
        </is>
      </c>
      <c r="F3" s="34" t="inlineStr">
        <is>
          <t>number</t>
        </is>
      </c>
      <c r="G3" s="34" t="inlineStr">
        <is>
          <t>number</t>
        </is>
      </c>
      <c r="H3" s="45" t="inlineStr">
        <is>
          <t>number</t>
        </is>
      </c>
    </row>
    <row r="4">
      <c r="A4" s="25">
        <f>C4*100+D4</f>
        <v/>
      </c>
      <c r="B4" s="42">
        <f>_xlfn.XLOOKUP(C4,SkillActive!$A:$A,SkillActive!C:C,,0)</f>
        <v/>
      </c>
      <c r="C4" s="25" t="n">
        <v>100001</v>
      </c>
      <c r="D4" s="25" t="n">
        <v>1</v>
      </c>
      <c r="E4" s="25">
        <f t="array" ref="E4">_xlfn.XLOOKUP(C4,SkillActive!A:A,INDEX(SkillActive!A:AA,0,MATCH("name",SkillActive!$2:$2,0)),,0)</f>
        <v/>
      </c>
      <c r="F4" s="47">
        <f>D4</f>
        <v/>
      </c>
      <c r="G4" s="47">
        <f>_xlfn.XLOOKUP(C4,SkillActive!$A:$A,SkillActive!E:E,,0)</f>
        <v/>
      </c>
      <c r="H4" s="47">
        <f>_xlfn.XLOOKUP(E4,SkillActive!B:B,SkillActive!K:K,,0)</f>
        <v/>
      </c>
    </row>
    <row r="5">
      <c r="A5" s="25">
        <f>C5*100+D5</f>
        <v/>
      </c>
      <c r="B5" s="42">
        <f>_xlfn.XLOOKUP(C5,SkillActive!$A:$A,SkillActive!C:C,,0)</f>
        <v/>
      </c>
      <c r="C5" s="25">
        <f>C4</f>
        <v/>
      </c>
      <c r="D5" s="25" t="n">
        <v>2</v>
      </c>
      <c r="E5" s="25">
        <f t="array" ref="E5">_xlfn.XLOOKUP(C5,SkillActive!A:A,INDEX(SkillActive!A:AA,0,MATCH("name",SkillActive!$2:$2,0)),,0)</f>
        <v/>
      </c>
      <c r="F5" s="47">
        <f>D5</f>
        <v/>
      </c>
      <c r="G5" s="47">
        <f>_xlfn.XLOOKUP(C5,SkillActive!$A:$A,SkillActive!E:E,,0)</f>
        <v/>
      </c>
      <c r="H5" s="47">
        <f>_xlfn.XLOOKUP(E5,SkillActive!B:B,SkillActive!K:K,,0)</f>
        <v/>
      </c>
    </row>
    <row r="6">
      <c r="A6" s="25">
        <f>C6*100+D6</f>
        <v/>
      </c>
      <c r="B6" s="42">
        <f>_xlfn.XLOOKUP(C6,SkillActive!$A:$A,SkillActive!C:C,,0)</f>
        <v/>
      </c>
      <c r="C6" s="25">
        <f>C5</f>
        <v/>
      </c>
      <c r="D6" s="25" t="n">
        <v>3</v>
      </c>
      <c r="E6" s="25">
        <f t="array" ref="E6">_xlfn.XLOOKUP(C6,SkillActive!A:A,INDEX(SkillActive!A:AA,0,MATCH("name",SkillActive!$2:$2,0)),,0)</f>
        <v/>
      </c>
      <c r="F6" s="47">
        <f>D6</f>
        <v/>
      </c>
      <c r="G6" s="47">
        <f>_xlfn.XLOOKUP(C6,SkillActive!$A:$A,SkillActive!E:E,,0)</f>
        <v/>
      </c>
      <c r="H6" s="47">
        <f>_xlfn.XLOOKUP(E6,SkillActive!B:B,SkillActive!K:K,,0)</f>
        <v/>
      </c>
    </row>
    <row r="7">
      <c r="A7" s="25">
        <f>C7*100+D7</f>
        <v/>
      </c>
      <c r="B7" s="42">
        <f>_xlfn.XLOOKUP(C7,SkillActive!$A:$A,SkillActive!C:C,,0)</f>
        <v/>
      </c>
      <c r="C7" s="25">
        <f>C6</f>
        <v/>
      </c>
      <c r="D7" s="25" t="n">
        <v>4</v>
      </c>
      <c r="E7" s="25">
        <f t="array" ref="E7">_xlfn.XLOOKUP(C7,SkillActive!A:A,INDEX(SkillActive!A:AA,0,MATCH("name",SkillActive!$2:$2,0)),,0)</f>
        <v/>
      </c>
      <c r="F7" s="47">
        <f>D7</f>
        <v/>
      </c>
      <c r="G7" s="47">
        <f>_xlfn.XLOOKUP(C7,SkillActive!$A:$A,SkillActive!E:E,,0)</f>
        <v/>
      </c>
      <c r="H7" s="47">
        <f>_xlfn.XLOOKUP(E7,SkillActive!B:B,SkillActive!K:K,,0)</f>
        <v/>
      </c>
    </row>
    <row r="8">
      <c r="A8" s="25">
        <f>C8*100+D8</f>
        <v/>
      </c>
      <c r="B8" s="42">
        <f>_xlfn.XLOOKUP(C8,SkillActive!$A:$A,SkillActive!C:C,,0)</f>
        <v/>
      </c>
      <c r="C8" s="25">
        <f>C7</f>
        <v/>
      </c>
      <c r="D8" s="25" t="n">
        <v>5</v>
      </c>
      <c r="E8" s="25">
        <f t="array" ref="E8">_xlfn.XLOOKUP(C8,SkillActive!A:A,INDEX(SkillActive!A:AA,0,MATCH("name",SkillActive!$2:$2,0)),,0)</f>
        <v/>
      </c>
      <c r="F8" s="47">
        <f>D8</f>
        <v/>
      </c>
      <c r="G8" s="47">
        <f>_xlfn.XLOOKUP(C8,SkillActive!$A:$A,SkillActive!E:E,,0)</f>
        <v/>
      </c>
      <c r="H8" s="47">
        <f>_xlfn.XLOOKUP(E8,SkillActive!B:B,SkillActive!K:K,,0)</f>
        <v/>
      </c>
    </row>
    <row r="9">
      <c r="A9" s="25">
        <f>C9*100+D9</f>
        <v/>
      </c>
      <c r="B9" s="42">
        <f>_xlfn.XLOOKUP(C9,SkillActive!$A:$A,SkillActive!C:C,,0)</f>
        <v/>
      </c>
      <c r="C9" s="25">
        <f>C8</f>
        <v/>
      </c>
      <c r="D9" s="25" t="n">
        <v>6</v>
      </c>
      <c r="E9" s="25">
        <f t="array" ref="E9">_xlfn.XLOOKUP(C9,SkillActive!A:A,INDEX(SkillActive!A:AA,0,MATCH("name",SkillActive!$2:$2,0)),,0)</f>
        <v/>
      </c>
      <c r="F9" s="47">
        <f>D9</f>
        <v/>
      </c>
      <c r="G9" s="47">
        <f>_xlfn.XLOOKUP(C9,SkillActive!$A:$A,SkillActive!E:E,,0)</f>
        <v/>
      </c>
      <c r="H9" s="47">
        <f>_xlfn.XLOOKUP(E9,SkillActive!B:B,SkillActive!K:K,,0)</f>
        <v/>
      </c>
    </row>
    <row r="10">
      <c r="A10" s="25">
        <f>C10*100+D10</f>
        <v/>
      </c>
      <c r="B10" s="42">
        <f>_xlfn.XLOOKUP(C10,SkillActive!$A:$A,SkillActive!C:C,,0)</f>
        <v/>
      </c>
      <c r="C10" s="25">
        <f>C9</f>
        <v/>
      </c>
      <c r="D10" s="25" t="n">
        <v>7</v>
      </c>
      <c r="E10" s="25">
        <f t="array" ref="E10">_xlfn.XLOOKUP(C10,SkillActive!A:A,INDEX(SkillActive!A:AA,0,MATCH("name",SkillActive!$2:$2,0)),,0)</f>
        <v/>
      </c>
      <c r="F10" s="47">
        <f>D10</f>
        <v/>
      </c>
      <c r="G10" s="47">
        <f>_xlfn.XLOOKUP(C10,SkillActive!$A:$A,SkillActive!E:E,,0)</f>
        <v/>
      </c>
      <c r="H10" s="47">
        <f>_xlfn.XLOOKUP(E10,SkillActive!B:B,SkillActive!K:K,,0)</f>
        <v/>
      </c>
    </row>
    <row r="11">
      <c r="A11" s="25">
        <f>C11*100+D11</f>
        <v/>
      </c>
      <c r="B11" s="42">
        <f>_xlfn.XLOOKUP(C11,SkillActive!$A:$A,SkillActive!C:C,,0)</f>
        <v/>
      </c>
      <c r="C11" s="25">
        <f>C10</f>
        <v/>
      </c>
      <c r="D11" s="25" t="n">
        <v>8</v>
      </c>
      <c r="E11" s="25">
        <f t="array" ref="E11">_xlfn.XLOOKUP(C11,SkillActive!A:A,INDEX(SkillActive!A:AA,0,MATCH("name",SkillActive!$2:$2,0)),,0)</f>
        <v/>
      </c>
      <c r="F11" s="47">
        <f>D11</f>
        <v/>
      </c>
      <c r="G11" s="47">
        <f>_xlfn.XLOOKUP(C11,SkillActive!$A:$A,SkillActive!E:E,,0)</f>
        <v/>
      </c>
      <c r="H11" s="47">
        <f>_xlfn.XLOOKUP(E11,SkillActive!B:B,SkillActive!K:K,,0)</f>
        <v/>
      </c>
    </row>
    <row r="12">
      <c r="A12" s="25">
        <f>C12*100+D12</f>
        <v/>
      </c>
      <c r="B12" s="42">
        <f>_xlfn.XLOOKUP(C12,SkillActive!$A:$A,SkillActive!C:C,,0)</f>
        <v/>
      </c>
      <c r="C12" s="25">
        <f>C11</f>
        <v/>
      </c>
      <c r="D12" s="25" t="n">
        <v>9</v>
      </c>
      <c r="E12" s="25">
        <f t="array" ref="E12">_xlfn.XLOOKUP(C12,SkillActive!A:A,INDEX(SkillActive!A:AA,0,MATCH("name",SkillActive!$2:$2,0)),,0)</f>
        <v/>
      </c>
      <c r="F12" s="47">
        <f>D12</f>
        <v/>
      </c>
      <c r="G12" s="47">
        <f>_xlfn.XLOOKUP(C12,SkillActive!$A:$A,SkillActive!E:E,,0)</f>
        <v/>
      </c>
      <c r="H12" s="47">
        <f>_xlfn.XLOOKUP(E12,SkillActive!B:B,SkillActive!K:K,,0)</f>
        <v/>
      </c>
    </row>
    <row r="13">
      <c r="A13" s="25">
        <f>C13*100+D13</f>
        <v/>
      </c>
      <c r="B13" s="42">
        <f>_xlfn.XLOOKUP(C13,SkillActive!$A:$A,SkillActive!C:C,,0)</f>
        <v/>
      </c>
      <c r="C13" s="25">
        <f>C12</f>
        <v/>
      </c>
      <c r="D13" s="25" t="n">
        <v>10</v>
      </c>
      <c r="E13" s="25">
        <f t="array" ref="E13">_xlfn.XLOOKUP(C13,SkillActive!A:A,INDEX(SkillActive!A:AA,0,MATCH("name",SkillActive!$2:$2,0)),,0)</f>
        <v/>
      </c>
      <c r="F13" s="47">
        <f>D13</f>
        <v/>
      </c>
      <c r="G13" s="47">
        <f>_xlfn.XLOOKUP(C13,SkillActive!$A:$A,SkillActive!E:E,,0)</f>
        <v/>
      </c>
      <c r="H13" s="47">
        <f>_xlfn.XLOOKUP(E13,SkillActive!B:B,SkillActive!K:K,,0)</f>
        <v/>
      </c>
    </row>
    <row r="14">
      <c r="A14" s="25">
        <f>C14*100+D14</f>
        <v/>
      </c>
      <c r="B14" s="42">
        <f>_xlfn.XLOOKUP(C14,SkillActive!$A:$A,SkillActive!C:C,,0)</f>
        <v/>
      </c>
      <c r="C14" s="25">
        <f>C13</f>
        <v/>
      </c>
      <c r="D14" s="25" t="n">
        <v>11</v>
      </c>
      <c r="E14" s="25">
        <f t="array" ref="E14">_xlfn.XLOOKUP(C14,SkillActive!A:A,INDEX(SkillActive!A:AA,0,MATCH("name",SkillActive!$2:$2,0)),,0)</f>
        <v/>
      </c>
      <c r="F14" s="47">
        <f>D14</f>
        <v/>
      </c>
      <c r="G14" s="47">
        <f>_xlfn.XLOOKUP(C14,SkillActive!$A:$A,SkillActive!E:E,,0)</f>
        <v/>
      </c>
      <c r="H14" s="47">
        <f>_xlfn.XLOOKUP(E14,SkillActive!B:B,SkillActive!K:K,,0)</f>
        <v/>
      </c>
    </row>
    <row r="15">
      <c r="A15" s="25">
        <f>C15*100+D15</f>
        <v/>
      </c>
      <c r="B15" s="42">
        <f>_xlfn.XLOOKUP(C15,SkillActive!$A:$A,SkillActive!C:C,,0)</f>
        <v/>
      </c>
      <c r="C15" s="25">
        <f>C14</f>
        <v/>
      </c>
      <c r="D15" s="25" t="n">
        <v>12</v>
      </c>
      <c r="E15" s="25">
        <f t="array" ref="E15">_xlfn.XLOOKUP(C15,SkillActive!A:A,INDEX(SkillActive!A:AA,0,MATCH("name",SkillActive!$2:$2,0)),,0)</f>
        <v/>
      </c>
      <c r="F15" s="47">
        <f>D15</f>
        <v/>
      </c>
      <c r="G15" s="47">
        <f>_xlfn.XLOOKUP(C15,SkillActive!$A:$A,SkillActive!E:E,,0)</f>
        <v/>
      </c>
      <c r="H15" s="47">
        <f>_xlfn.XLOOKUP(E15,SkillActive!B:B,SkillActive!K:K,,0)</f>
        <v/>
      </c>
    </row>
    <row r="16">
      <c r="A16" s="25">
        <f>C16*100+D16</f>
        <v/>
      </c>
      <c r="B16" s="42">
        <f>_xlfn.XLOOKUP(C16,SkillActive!$A:$A,SkillActive!C:C,,0)</f>
        <v/>
      </c>
      <c r="C16" s="25">
        <f>C15</f>
        <v/>
      </c>
      <c r="D16" s="25" t="n">
        <v>13</v>
      </c>
      <c r="E16" s="25">
        <f t="array" ref="E16">_xlfn.XLOOKUP(C16,SkillActive!A:A,INDEX(SkillActive!A:AA,0,MATCH("name",SkillActive!$2:$2,0)),,0)</f>
        <v/>
      </c>
      <c r="F16" s="47">
        <f>D16</f>
        <v/>
      </c>
      <c r="G16" s="47">
        <f>_xlfn.XLOOKUP(C16,SkillActive!$A:$A,SkillActive!E:E,,0)</f>
        <v/>
      </c>
      <c r="H16" s="47">
        <f>_xlfn.XLOOKUP(E16,SkillActive!B:B,SkillActive!K:K,,0)</f>
        <v/>
      </c>
    </row>
    <row r="17">
      <c r="A17" s="25">
        <f>C17*100+D17</f>
        <v/>
      </c>
      <c r="B17" s="42">
        <f>_xlfn.XLOOKUP(C17,SkillActive!$A:$A,SkillActive!C:C,,0)</f>
        <v/>
      </c>
      <c r="C17" s="25">
        <f>C16</f>
        <v/>
      </c>
      <c r="D17" s="25" t="n">
        <v>14</v>
      </c>
      <c r="E17" s="25">
        <f t="array" ref="E17">_xlfn.XLOOKUP(C17,SkillActive!A:A,INDEX(SkillActive!A:AA,0,MATCH("name",SkillActive!$2:$2,0)),,0)</f>
        <v/>
      </c>
      <c r="F17" s="47">
        <f>D17</f>
        <v/>
      </c>
      <c r="G17" s="47">
        <f>_xlfn.XLOOKUP(C17,SkillActive!$A:$A,SkillActive!E:E,,0)</f>
        <v/>
      </c>
      <c r="H17" s="47">
        <f>_xlfn.XLOOKUP(E17,SkillActive!B:B,SkillActive!K:K,,0)</f>
        <v/>
      </c>
    </row>
    <row r="18">
      <c r="A18" s="25">
        <f>C18*100+D18</f>
        <v/>
      </c>
      <c r="B18" s="42">
        <f>_xlfn.XLOOKUP(C18,SkillActive!$A:$A,SkillActive!C:C,,0)</f>
        <v/>
      </c>
      <c r="C18" s="25">
        <f>C17</f>
        <v/>
      </c>
      <c r="D18" s="25" t="n">
        <v>15</v>
      </c>
      <c r="E18" s="25">
        <f t="array" ref="E18">_xlfn.XLOOKUP(C18,SkillActive!A:A,INDEX(SkillActive!A:AA,0,MATCH("name",SkillActive!$2:$2,0)),,0)</f>
        <v/>
      </c>
      <c r="F18" s="47">
        <f>D18</f>
        <v/>
      </c>
      <c r="G18" s="47">
        <f>_xlfn.XLOOKUP(C18,SkillActive!$A:$A,SkillActive!E:E,,0)</f>
        <v/>
      </c>
      <c r="H18" s="47">
        <f>_xlfn.XLOOKUP(E18,SkillActive!B:B,SkillActive!K:K,,0)</f>
        <v/>
      </c>
    </row>
    <row r="19">
      <c r="A19" s="25">
        <f>C19*100+D19</f>
        <v/>
      </c>
      <c r="B19" s="42">
        <f>_xlfn.XLOOKUP(C19,SkillActive!$A:$A,SkillActive!C:C,,0)</f>
        <v/>
      </c>
      <c r="C19" s="25">
        <f>C18</f>
        <v/>
      </c>
      <c r="D19" s="25" t="n">
        <v>16</v>
      </c>
      <c r="E19" s="25">
        <f t="array" ref="E19">_xlfn.XLOOKUP(C19,SkillActive!A:A,INDEX(SkillActive!A:AA,0,MATCH("name",SkillActive!$2:$2,0)),,0)</f>
        <v/>
      </c>
      <c r="F19" s="47">
        <f>D19</f>
        <v/>
      </c>
      <c r="G19" s="47">
        <f>_xlfn.XLOOKUP(C19,SkillActive!$A:$A,SkillActive!E:E,,0)</f>
        <v/>
      </c>
      <c r="H19" s="47">
        <f>_xlfn.XLOOKUP(E19,SkillActive!B:B,SkillActive!K:K,,0)</f>
        <v/>
      </c>
    </row>
    <row r="20">
      <c r="A20" s="25">
        <f>C20*100+D20</f>
        <v/>
      </c>
      <c r="B20" s="42">
        <f>_xlfn.XLOOKUP(C20,SkillActive!$A:$A,SkillActive!C:C,,0)</f>
        <v/>
      </c>
      <c r="C20" s="25">
        <f>C4+1</f>
        <v/>
      </c>
      <c r="D20" s="25">
        <f>D4</f>
        <v/>
      </c>
      <c r="E20" s="25">
        <f t="array" ref="E20">_xlfn.XLOOKUP(C20,SkillActive!A:A,INDEX(SkillActive!A:AA,0,MATCH("name",SkillActive!$2:$2,0)),,0)</f>
        <v/>
      </c>
      <c r="F20" s="47">
        <f>D20</f>
        <v/>
      </c>
      <c r="G20" s="47">
        <f>_xlfn.XLOOKUP(C20,SkillActive!$A:$A,SkillActive!E:E,,0)</f>
        <v/>
      </c>
      <c r="H20" s="47">
        <f>_xlfn.XLOOKUP(E20,SkillActive!B:B,SkillActive!K:K,,0)</f>
        <v/>
      </c>
    </row>
    <row r="21">
      <c r="A21" s="25">
        <f>C21*100+D21</f>
        <v/>
      </c>
      <c r="B21" s="42">
        <f>_xlfn.XLOOKUP(C21,SkillActive!$A:$A,SkillActive!C:C,,0)</f>
        <v/>
      </c>
      <c r="C21" s="25">
        <f>C5+1</f>
        <v/>
      </c>
      <c r="D21" s="25">
        <f>D5</f>
        <v/>
      </c>
      <c r="E21" s="25">
        <f t="array" ref="E21">_xlfn.XLOOKUP(C21,SkillActive!A:A,INDEX(SkillActive!A:AA,0,MATCH("name",SkillActive!$2:$2,0)),,0)</f>
        <v/>
      </c>
      <c r="F21" s="47">
        <f>D21</f>
        <v/>
      </c>
      <c r="G21" s="47">
        <f>_xlfn.XLOOKUP(C21,SkillActive!$A:$A,SkillActive!E:E,,0)</f>
        <v/>
      </c>
      <c r="H21" s="47">
        <f>_xlfn.XLOOKUP(E21,SkillActive!B:B,SkillActive!K:K,,0)</f>
        <v/>
      </c>
    </row>
    <row r="22">
      <c r="A22" s="25">
        <f>C22*100+D22</f>
        <v/>
      </c>
      <c r="B22" s="42">
        <f>_xlfn.XLOOKUP(C22,SkillActive!$A:$A,SkillActive!C:C,,0)</f>
        <v/>
      </c>
      <c r="C22" s="25">
        <f>C6+1</f>
        <v/>
      </c>
      <c r="D22" s="25">
        <f>D6</f>
        <v/>
      </c>
      <c r="E22" s="25">
        <f t="array" ref="E22">_xlfn.XLOOKUP(C22,SkillActive!A:A,INDEX(SkillActive!A:AA,0,MATCH("name",SkillActive!$2:$2,0)),,0)</f>
        <v/>
      </c>
      <c r="F22" s="47">
        <f>D22</f>
        <v/>
      </c>
      <c r="G22" s="47">
        <f>_xlfn.XLOOKUP(C22,SkillActive!$A:$A,SkillActive!E:E,,0)</f>
        <v/>
      </c>
      <c r="H22" s="47">
        <f>_xlfn.XLOOKUP(E22,SkillActive!B:B,SkillActive!K:K,,0)</f>
        <v/>
      </c>
    </row>
    <row r="23">
      <c r="A23" s="25">
        <f>C23*100+D23</f>
        <v/>
      </c>
      <c r="B23" s="42">
        <f>_xlfn.XLOOKUP(C23,SkillActive!$A:$A,SkillActive!C:C,,0)</f>
        <v/>
      </c>
      <c r="C23" s="25">
        <f>C7+1</f>
        <v/>
      </c>
      <c r="D23" s="25">
        <f>D7</f>
        <v/>
      </c>
      <c r="E23" s="25">
        <f t="array" ref="E23">_xlfn.XLOOKUP(C23,SkillActive!A:A,INDEX(SkillActive!A:AA,0,MATCH("name",SkillActive!$2:$2,0)),,0)</f>
        <v/>
      </c>
      <c r="F23" s="47">
        <f>D23</f>
        <v/>
      </c>
      <c r="G23" s="47">
        <f>_xlfn.XLOOKUP(C23,SkillActive!$A:$A,SkillActive!E:E,,0)</f>
        <v/>
      </c>
      <c r="H23" s="47">
        <f>_xlfn.XLOOKUP(E23,SkillActive!B:B,SkillActive!K:K,,0)</f>
        <v/>
      </c>
    </row>
    <row r="24">
      <c r="A24" s="25">
        <f>C24*100+D24</f>
        <v/>
      </c>
      <c r="B24" s="42">
        <f>_xlfn.XLOOKUP(C24,SkillActive!$A:$A,SkillActive!C:C,,0)</f>
        <v/>
      </c>
      <c r="C24" s="25">
        <f>C8+1</f>
        <v/>
      </c>
      <c r="D24" s="25">
        <f>D8</f>
        <v/>
      </c>
      <c r="E24" s="25">
        <f t="array" ref="E24">_xlfn.XLOOKUP(C24,SkillActive!A:A,INDEX(SkillActive!A:AA,0,MATCH("name",SkillActive!$2:$2,0)),,0)</f>
        <v/>
      </c>
      <c r="F24" s="47">
        <f>D24</f>
        <v/>
      </c>
      <c r="G24" s="47">
        <f>_xlfn.XLOOKUP(C24,SkillActive!$A:$A,SkillActive!E:E,,0)</f>
        <v/>
      </c>
      <c r="H24" s="47">
        <f>_xlfn.XLOOKUP(E24,SkillActive!B:B,SkillActive!K:K,,0)</f>
        <v/>
      </c>
    </row>
    <row r="25">
      <c r="A25" s="25">
        <f>C25*100+D25</f>
        <v/>
      </c>
      <c r="B25" s="42">
        <f>_xlfn.XLOOKUP(C25,SkillActive!$A:$A,SkillActive!C:C,,0)</f>
        <v/>
      </c>
      <c r="C25" s="25">
        <f>C9+1</f>
        <v/>
      </c>
      <c r="D25" s="25">
        <f>D9</f>
        <v/>
      </c>
      <c r="E25" s="25">
        <f t="array" ref="E25">_xlfn.XLOOKUP(C25,SkillActive!A:A,INDEX(SkillActive!A:AA,0,MATCH("name",SkillActive!$2:$2,0)),,0)</f>
        <v/>
      </c>
      <c r="F25" s="47">
        <f>D25</f>
        <v/>
      </c>
      <c r="G25" s="47">
        <f>_xlfn.XLOOKUP(C25,SkillActive!$A:$A,SkillActive!E:E,,0)</f>
        <v/>
      </c>
      <c r="H25" s="47">
        <f>_xlfn.XLOOKUP(E25,SkillActive!B:B,SkillActive!K:K,,0)</f>
        <v/>
      </c>
    </row>
    <row r="26">
      <c r="A26" s="25">
        <f>C26*100+D26</f>
        <v/>
      </c>
      <c r="B26" s="42">
        <f>_xlfn.XLOOKUP(C26,SkillActive!$A:$A,SkillActive!C:C,,0)</f>
        <v/>
      </c>
      <c r="C26" s="25">
        <f>C10+1</f>
        <v/>
      </c>
      <c r="D26" s="25">
        <f>D10</f>
        <v/>
      </c>
      <c r="E26" s="25">
        <f t="array" ref="E26">_xlfn.XLOOKUP(C26,SkillActive!A:A,INDEX(SkillActive!A:AA,0,MATCH("name",SkillActive!$2:$2,0)),,0)</f>
        <v/>
      </c>
      <c r="F26" s="47">
        <f>D26</f>
        <v/>
      </c>
      <c r="G26" s="47">
        <f>_xlfn.XLOOKUP(C26,SkillActive!$A:$A,SkillActive!E:E,,0)</f>
        <v/>
      </c>
      <c r="H26" s="47">
        <f>_xlfn.XLOOKUP(E26,SkillActive!B:B,SkillActive!K:K,,0)</f>
        <v/>
      </c>
    </row>
    <row r="27">
      <c r="A27" s="25">
        <f>C27*100+D27</f>
        <v/>
      </c>
      <c r="B27" s="42">
        <f>_xlfn.XLOOKUP(C27,SkillActive!$A:$A,SkillActive!C:C,,0)</f>
        <v/>
      </c>
      <c r="C27" s="25">
        <f>C11+1</f>
        <v/>
      </c>
      <c r="D27" s="25">
        <f>D11</f>
        <v/>
      </c>
      <c r="E27" s="25">
        <f t="array" ref="E27">_xlfn.XLOOKUP(C27,SkillActive!A:A,INDEX(SkillActive!A:AA,0,MATCH("name",SkillActive!$2:$2,0)),,0)</f>
        <v/>
      </c>
      <c r="F27" s="47">
        <f>D27</f>
        <v/>
      </c>
      <c r="G27" s="47">
        <f>_xlfn.XLOOKUP(C27,SkillActive!$A:$A,SkillActive!E:E,,0)</f>
        <v/>
      </c>
      <c r="H27" s="47">
        <f>_xlfn.XLOOKUP(E27,SkillActive!B:B,SkillActive!K:K,,0)</f>
        <v/>
      </c>
    </row>
    <row r="28">
      <c r="A28" s="25">
        <f>C28*100+D28</f>
        <v/>
      </c>
      <c r="B28" s="42">
        <f>_xlfn.XLOOKUP(C28,SkillActive!$A:$A,SkillActive!C:C,,0)</f>
        <v/>
      </c>
      <c r="C28" s="25">
        <f>C12+1</f>
        <v/>
      </c>
      <c r="D28" s="25">
        <f>D12</f>
        <v/>
      </c>
      <c r="E28" s="25">
        <f t="array" ref="E28">_xlfn.XLOOKUP(C28,SkillActive!A:A,INDEX(SkillActive!A:AA,0,MATCH("name",SkillActive!$2:$2,0)),,0)</f>
        <v/>
      </c>
      <c r="F28" s="47">
        <f>D28</f>
        <v/>
      </c>
      <c r="G28" s="47">
        <f>_xlfn.XLOOKUP(C28,SkillActive!$A:$A,SkillActive!E:E,,0)</f>
        <v/>
      </c>
      <c r="H28" s="47">
        <f>_xlfn.XLOOKUP(E28,SkillActive!B:B,SkillActive!K:K,,0)</f>
        <v/>
      </c>
    </row>
    <row r="29">
      <c r="A29" s="25">
        <f>C29*100+D29</f>
        <v/>
      </c>
      <c r="B29" s="42">
        <f>_xlfn.XLOOKUP(C29,SkillActive!$A:$A,SkillActive!C:C,,0)</f>
        <v/>
      </c>
      <c r="C29" s="25">
        <f>C13+1</f>
        <v/>
      </c>
      <c r="D29" s="25">
        <f>D13</f>
        <v/>
      </c>
      <c r="E29" s="25">
        <f t="array" ref="E29">_xlfn.XLOOKUP(C29,SkillActive!A:A,INDEX(SkillActive!A:AA,0,MATCH("name",SkillActive!$2:$2,0)),,0)</f>
        <v/>
      </c>
      <c r="F29" s="47">
        <f>D29</f>
        <v/>
      </c>
      <c r="G29" s="47">
        <f>_xlfn.XLOOKUP(C29,SkillActive!$A:$A,SkillActive!E:E,,0)</f>
        <v/>
      </c>
      <c r="H29" s="47">
        <f>_xlfn.XLOOKUP(E29,SkillActive!B:B,SkillActive!K:K,,0)</f>
        <v/>
      </c>
    </row>
    <row r="30">
      <c r="A30" s="25">
        <f>C30*100+D30</f>
        <v/>
      </c>
      <c r="B30" s="42">
        <f>_xlfn.XLOOKUP(C30,SkillActive!$A:$A,SkillActive!C:C,,0)</f>
        <v/>
      </c>
      <c r="C30" s="25">
        <f>C14+1</f>
        <v/>
      </c>
      <c r="D30" s="25">
        <f>D14</f>
        <v/>
      </c>
      <c r="E30" s="25">
        <f t="array" ref="E30">_xlfn.XLOOKUP(C30,SkillActive!A:A,INDEX(SkillActive!A:AA,0,MATCH("name",SkillActive!$2:$2,0)),,0)</f>
        <v/>
      </c>
      <c r="F30" s="47">
        <f>D30</f>
        <v/>
      </c>
      <c r="G30" s="47">
        <f>_xlfn.XLOOKUP(C30,SkillActive!$A:$A,SkillActive!E:E,,0)</f>
        <v/>
      </c>
      <c r="H30" s="47">
        <f>_xlfn.XLOOKUP(E30,SkillActive!B:B,SkillActive!K:K,,0)</f>
        <v/>
      </c>
    </row>
    <row r="31">
      <c r="A31" s="25">
        <f>C31*100+D31</f>
        <v/>
      </c>
      <c r="B31" s="42">
        <f>_xlfn.XLOOKUP(C31,SkillActive!$A:$A,SkillActive!C:C,,0)</f>
        <v/>
      </c>
      <c r="C31" s="25">
        <f>C15+1</f>
        <v/>
      </c>
      <c r="D31" s="25">
        <f>D15</f>
        <v/>
      </c>
      <c r="E31" s="25">
        <f t="array" ref="E31">_xlfn.XLOOKUP(C31,SkillActive!A:A,INDEX(SkillActive!A:AA,0,MATCH("name",SkillActive!$2:$2,0)),,0)</f>
        <v/>
      </c>
      <c r="F31" s="47">
        <f>D31</f>
        <v/>
      </c>
      <c r="G31" s="47">
        <f>_xlfn.XLOOKUP(C31,SkillActive!$A:$A,SkillActive!E:E,,0)</f>
        <v/>
      </c>
      <c r="H31" s="47">
        <f>_xlfn.XLOOKUP(E31,SkillActive!B:B,SkillActive!K:K,,0)</f>
        <v/>
      </c>
    </row>
    <row r="32">
      <c r="A32" s="25">
        <f>C32*100+D32</f>
        <v/>
      </c>
      <c r="B32" s="42">
        <f>_xlfn.XLOOKUP(C32,SkillActive!$A:$A,SkillActive!C:C,,0)</f>
        <v/>
      </c>
      <c r="C32" s="25">
        <f>C16+1</f>
        <v/>
      </c>
      <c r="D32" s="25">
        <f>D16</f>
        <v/>
      </c>
      <c r="E32" s="25">
        <f t="array" ref="E32">_xlfn.XLOOKUP(C32,SkillActive!A:A,INDEX(SkillActive!A:AA,0,MATCH("name",SkillActive!$2:$2,0)),,0)</f>
        <v/>
      </c>
      <c r="F32" s="47">
        <f>D32</f>
        <v/>
      </c>
      <c r="G32" s="47">
        <f>_xlfn.XLOOKUP(C32,SkillActive!$A:$A,SkillActive!E:E,,0)</f>
        <v/>
      </c>
      <c r="H32" s="47">
        <f>_xlfn.XLOOKUP(E32,SkillActive!B:B,SkillActive!K:K,,0)</f>
        <v/>
      </c>
    </row>
    <row r="33">
      <c r="A33" s="25">
        <f>C33*100+D33</f>
        <v/>
      </c>
      <c r="B33" s="42">
        <f>_xlfn.XLOOKUP(C33,SkillActive!$A:$A,SkillActive!C:C,,0)</f>
        <v/>
      </c>
      <c r="C33" s="25">
        <f>C17+1</f>
        <v/>
      </c>
      <c r="D33" s="25">
        <f>D17</f>
        <v/>
      </c>
      <c r="E33" s="25">
        <f t="array" ref="E33">_xlfn.XLOOKUP(C33,SkillActive!A:A,INDEX(SkillActive!A:AA,0,MATCH("name",SkillActive!$2:$2,0)),,0)</f>
        <v/>
      </c>
      <c r="F33" s="47">
        <f>D33</f>
        <v/>
      </c>
      <c r="G33" s="47">
        <f>_xlfn.XLOOKUP(C33,SkillActive!$A:$A,SkillActive!E:E,,0)</f>
        <v/>
      </c>
      <c r="H33" s="47">
        <f>_xlfn.XLOOKUP(E33,SkillActive!B:B,SkillActive!K:K,,0)</f>
        <v/>
      </c>
    </row>
    <row r="34">
      <c r="A34" s="25">
        <f>C34*100+D34</f>
        <v/>
      </c>
      <c r="B34" s="42">
        <f>_xlfn.XLOOKUP(C34,SkillActive!$A:$A,SkillActive!C:C,,0)</f>
        <v/>
      </c>
      <c r="C34" s="25">
        <f>C18+1</f>
        <v/>
      </c>
      <c r="D34" s="25">
        <f>D18</f>
        <v/>
      </c>
      <c r="E34" s="25">
        <f t="array" ref="E34">_xlfn.XLOOKUP(C34,SkillActive!A:A,INDEX(SkillActive!A:AA,0,MATCH("name",SkillActive!$2:$2,0)),,0)</f>
        <v/>
      </c>
      <c r="F34" s="47">
        <f>D34</f>
        <v/>
      </c>
      <c r="G34" s="47">
        <f>_xlfn.XLOOKUP(C34,SkillActive!$A:$A,SkillActive!E:E,,0)</f>
        <v/>
      </c>
      <c r="H34" s="47">
        <f>_xlfn.XLOOKUP(E34,SkillActive!B:B,SkillActive!K:K,,0)</f>
        <v/>
      </c>
    </row>
    <row r="35">
      <c r="A35" s="25">
        <f>C35*100+D35</f>
        <v/>
      </c>
      <c r="B35" s="42">
        <f>_xlfn.XLOOKUP(C35,SkillActive!$A:$A,SkillActive!C:C,,0)</f>
        <v/>
      </c>
      <c r="C35" s="25">
        <f>C19+1</f>
        <v/>
      </c>
      <c r="D35" s="25">
        <f>D19</f>
        <v/>
      </c>
      <c r="E35" s="25">
        <f t="array" ref="E35">_xlfn.XLOOKUP(C35,SkillActive!A:A,INDEX(SkillActive!A:AA,0,MATCH("name",SkillActive!$2:$2,0)),,0)</f>
        <v/>
      </c>
      <c r="F35" s="47">
        <f>D35</f>
        <v/>
      </c>
      <c r="G35" s="47">
        <f>_xlfn.XLOOKUP(C35,SkillActive!$A:$A,SkillActive!E:E,,0)</f>
        <v/>
      </c>
      <c r="H35" s="47">
        <f>_xlfn.XLOOKUP(E35,SkillActive!B:B,SkillActive!K:K,,0)</f>
        <v/>
      </c>
    </row>
    <row r="36">
      <c r="A36" s="25">
        <f>C36*100+D36</f>
        <v/>
      </c>
      <c r="B36" s="42">
        <f>_xlfn.XLOOKUP(C36,SkillActive!$A:$A,SkillActive!C:C,,0)</f>
        <v/>
      </c>
      <c r="C36" s="25">
        <f>C20+1</f>
        <v/>
      </c>
      <c r="D36" s="25">
        <f>D20</f>
        <v/>
      </c>
      <c r="E36" s="25">
        <f t="array" ref="E36">_xlfn.XLOOKUP(C36,SkillActive!A:A,INDEX(SkillActive!A:AA,0,MATCH("name",SkillActive!$2:$2,0)),,0)</f>
        <v/>
      </c>
      <c r="F36" s="47">
        <f>D36</f>
        <v/>
      </c>
      <c r="G36" s="47">
        <f>_xlfn.XLOOKUP(C36,SkillActive!$A:$A,SkillActive!E:E,,0)</f>
        <v/>
      </c>
      <c r="H36" s="47">
        <f>_xlfn.XLOOKUP(E36,SkillActive!B:B,SkillActive!K:K,,0)</f>
        <v/>
      </c>
    </row>
    <row r="37">
      <c r="A37" s="25">
        <f>C37*100+D37</f>
        <v/>
      </c>
      <c r="B37" s="42">
        <f>_xlfn.XLOOKUP(C37,SkillActive!$A:$A,SkillActive!C:C,,0)</f>
        <v/>
      </c>
      <c r="C37" s="25">
        <f>C21+1</f>
        <v/>
      </c>
      <c r="D37" s="25">
        <f>D21</f>
        <v/>
      </c>
      <c r="E37" s="25">
        <f t="array" ref="E37">_xlfn.XLOOKUP(C37,SkillActive!A:A,INDEX(SkillActive!A:AA,0,MATCH("name",SkillActive!$2:$2,0)),,0)</f>
        <v/>
      </c>
      <c r="F37" s="47">
        <f>D37</f>
        <v/>
      </c>
      <c r="G37" s="47">
        <f>_xlfn.XLOOKUP(C37,SkillActive!$A:$A,SkillActive!E:E,,0)</f>
        <v/>
      </c>
      <c r="H37" s="47">
        <f>_xlfn.XLOOKUP(E37,SkillActive!B:B,SkillActive!K:K,,0)</f>
        <v/>
      </c>
    </row>
    <row r="38">
      <c r="A38" s="25">
        <f>C38*100+D38</f>
        <v/>
      </c>
      <c r="B38" s="42">
        <f>_xlfn.XLOOKUP(C38,SkillActive!$A:$A,SkillActive!C:C,,0)</f>
        <v/>
      </c>
      <c r="C38" s="25">
        <f>C22+1</f>
        <v/>
      </c>
      <c r="D38" s="25">
        <f>D22</f>
        <v/>
      </c>
      <c r="E38" s="25">
        <f t="array" ref="E38">_xlfn.XLOOKUP(C38,SkillActive!A:A,INDEX(SkillActive!A:AA,0,MATCH("name",SkillActive!$2:$2,0)),,0)</f>
        <v/>
      </c>
      <c r="F38" s="47">
        <f>D38</f>
        <v/>
      </c>
      <c r="G38" s="47">
        <f>_xlfn.XLOOKUP(C38,SkillActive!$A:$A,SkillActive!E:E,,0)</f>
        <v/>
      </c>
      <c r="H38" s="47">
        <f>_xlfn.XLOOKUP(E38,SkillActive!B:B,SkillActive!K:K,,0)</f>
        <v/>
      </c>
    </row>
    <row r="39">
      <c r="A39" s="25">
        <f>C39*100+D39</f>
        <v/>
      </c>
      <c r="B39" s="42">
        <f>_xlfn.XLOOKUP(C39,SkillActive!$A:$A,SkillActive!C:C,,0)</f>
        <v/>
      </c>
      <c r="C39" s="25">
        <f>C23+1</f>
        <v/>
      </c>
      <c r="D39" s="25">
        <f>D23</f>
        <v/>
      </c>
      <c r="E39" s="25">
        <f t="array" ref="E39">_xlfn.XLOOKUP(C39,SkillActive!A:A,INDEX(SkillActive!A:AA,0,MATCH("name",SkillActive!$2:$2,0)),,0)</f>
        <v/>
      </c>
      <c r="F39" s="47">
        <f>D39</f>
        <v/>
      </c>
      <c r="G39" s="47">
        <f>_xlfn.XLOOKUP(C39,SkillActive!$A:$A,SkillActive!E:E,,0)</f>
        <v/>
      </c>
      <c r="H39" s="47">
        <f>_xlfn.XLOOKUP(E39,SkillActive!B:B,SkillActive!K:K,,0)</f>
        <v/>
      </c>
    </row>
    <row r="40">
      <c r="A40" s="25">
        <f>C40*100+D40</f>
        <v/>
      </c>
      <c r="B40" s="42">
        <f>_xlfn.XLOOKUP(C40,SkillActive!$A:$A,SkillActive!C:C,,0)</f>
        <v/>
      </c>
      <c r="C40" s="25">
        <f>C24+1</f>
        <v/>
      </c>
      <c r="D40" s="25">
        <f>D24</f>
        <v/>
      </c>
      <c r="E40" s="25">
        <f t="array" ref="E40">_xlfn.XLOOKUP(C40,SkillActive!A:A,INDEX(SkillActive!A:AA,0,MATCH("name",SkillActive!$2:$2,0)),,0)</f>
        <v/>
      </c>
      <c r="F40" s="47">
        <f>D40</f>
        <v/>
      </c>
      <c r="G40" s="47">
        <f>_xlfn.XLOOKUP(C40,SkillActive!$A:$A,SkillActive!E:E,,0)</f>
        <v/>
      </c>
      <c r="H40" s="47">
        <f>_xlfn.XLOOKUP(E40,SkillActive!B:B,SkillActive!K:K,,0)</f>
        <v/>
      </c>
    </row>
    <row r="41">
      <c r="A41" s="25">
        <f>C41*100+D41</f>
        <v/>
      </c>
      <c r="B41" s="42">
        <f>_xlfn.XLOOKUP(C41,SkillActive!$A:$A,SkillActive!C:C,,0)</f>
        <v/>
      </c>
      <c r="C41" s="25">
        <f>C25+1</f>
        <v/>
      </c>
      <c r="D41" s="25">
        <f>D25</f>
        <v/>
      </c>
      <c r="E41" s="25">
        <f t="array" ref="E41">_xlfn.XLOOKUP(C41,SkillActive!A:A,INDEX(SkillActive!A:AA,0,MATCH("name",SkillActive!$2:$2,0)),,0)</f>
        <v/>
      </c>
      <c r="F41" s="47">
        <f>D41</f>
        <v/>
      </c>
      <c r="G41" s="47">
        <f>_xlfn.XLOOKUP(C41,SkillActive!$A:$A,SkillActive!E:E,,0)</f>
        <v/>
      </c>
      <c r="H41" s="47">
        <f>_xlfn.XLOOKUP(E41,SkillActive!B:B,SkillActive!K:K,,0)</f>
        <v/>
      </c>
    </row>
    <row r="42">
      <c r="A42" s="25">
        <f>C42*100+D42</f>
        <v/>
      </c>
      <c r="B42" s="42">
        <f>_xlfn.XLOOKUP(C42,SkillActive!$A:$A,SkillActive!C:C,,0)</f>
        <v/>
      </c>
      <c r="C42" s="25">
        <f>C26+1</f>
        <v/>
      </c>
      <c r="D42" s="25">
        <f>D26</f>
        <v/>
      </c>
      <c r="E42" s="25">
        <f t="array" ref="E42">_xlfn.XLOOKUP(C42,SkillActive!A:A,INDEX(SkillActive!A:AA,0,MATCH("name",SkillActive!$2:$2,0)),,0)</f>
        <v/>
      </c>
      <c r="F42" s="47">
        <f>D42</f>
        <v/>
      </c>
      <c r="G42" s="47">
        <f>_xlfn.XLOOKUP(C42,SkillActive!$A:$A,SkillActive!E:E,,0)</f>
        <v/>
      </c>
      <c r="H42" s="47">
        <f>_xlfn.XLOOKUP(E42,SkillActive!B:B,SkillActive!K:K,,0)</f>
        <v/>
      </c>
    </row>
    <row r="43">
      <c r="A43" s="25">
        <f>C43*100+D43</f>
        <v/>
      </c>
      <c r="B43" s="42">
        <f>_xlfn.XLOOKUP(C43,SkillActive!$A:$A,SkillActive!C:C,,0)</f>
        <v/>
      </c>
      <c r="C43" s="25">
        <f>C27+1</f>
        <v/>
      </c>
      <c r="D43" s="25">
        <f>D27</f>
        <v/>
      </c>
      <c r="E43" s="25">
        <f t="array" ref="E43">_xlfn.XLOOKUP(C43,SkillActive!A:A,INDEX(SkillActive!A:AA,0,MATCH("name",SkillActive!$2:$2,0)),,0)</f>
        <v/>
      </c>
      <c r="F43" s="47">
        <f>D43</f>
        <v/>
      </c>
      <c r="G43" s="47">
        <f>_xlfn.XLOOKUP(C43,SkillActive!$A:$A,SkillActive!E:E,,0)</f>
        <v/>
      </c>
      <c r="H43" s="47">
        <f>_xlfn.XLOOKUP(E43,SkillActive!B:B,SkillActive!K:K,,0)</f>
        <v/>
      </c>
    </row>
    <row r="44">
      <c r="A44" s="25">
        <f>C44*100+D44</f>
        <v/>
      </c>
      <c r="B44" s="42">
        <f>_xlfn.XLOOKUP(C44,SkillActive!$A:$A,SkillActive!C:C,,0)</f>
        <v/>
      </c>
      <c r="C44" s="25">
        <f>C28+1</f>
        <v/>
      </c>
      <c r="D44" s="25">
        <f>D28</f>
        <v/>
      </c>
      <c r="E44" s="25">
        <f t="array" ref="E44">_xlfn.XLOOKUP(C44,SkillActive!A:A,INDEX(SkillActive!A:AA,0,MATCH("name",SkillActive!$2:$2,0)),,0)</f>
        <v/>
      </c>
      <c r="F44" s="47">
        <f>D44</f>
        <v/>
      </c>
      <c r="G44" s="47">
        <f>_xlfn.XLOOKUP(C44,SkillActive!$A:$A,SkillActive!E:E,,0)</f>
        <v/>
      </c>
      <c r="H44" s="47">
        <f>_xlfn.XLOOKUP(E44,SkillActive!B:B,SkillActive!K:K,,0)</f>
        <v/>
      </c>
    </row>
    <row r="45">
      <c r="A45" s="25">
        <f>C45*100+D45</f>
        <v/>
      </c>
      <c r="B45" s="42">
        <f>_xlfn.XLOOKUP(C45,SkillActive!$A:$A,SkillActive!C:C,,0)</f>
        <v/>
      </c>
      <c r="C45" s="25">
        <f>C29+1</f>
        <v/>
      </c>
      <c r="D45" s="25">
        <f>D29</f>
        <v/>
      </c>
      <c r="E45" s="25">
        <f t="array" ref="E45">_xlfn.XLOOKUP(C45,SkillActive!A:A,INDEX(SkillActive!A:AA,0,MATCH("name",SkillActive!$2:$2,0)),,0)</f>
        <v/>
      </c>
      <c r="F45" s="47">
        <f>D45</f>
        <v/>
      </c>
      <c r="G45" s="47">
        <f>_xlfn.XLOOKUP(C45,SkillActive!$A:$A,SkillActive!E:E,,0)</f>
        <v/>
      </c>
      <c r="H45" s="47">
        <f>_xlfn.XLOOKUP(E45,SkillActive!B:B,SkillActive!K:K,,0)</f>
        <v/>
      </c>
    </row>
    <row r="46">
      <c r="A46" s="25">
        <f>C46*100+D46</f>
        <v/>
      </c>
      <c r="B46" s="42">
        <f>_xlfn.XLOOKUP(C46,SkillActive!$A:$A,SkillActive!C:C,,0)</f>
        <v/>
      </c>
      <c r="C46" s="25">
        <f>C30+1</f>
        <v/>
      </c>
      <c r="D46" s="25">
        <f>D30</f>
        <v/>
      </c>
      <c r="E46" s="25">
        <f t="array" ref="E46">_xlfn.XLOOKUP(C46,SkillActive!A:A,INDEX(SkillActive!A:AA,0,MATCH("name",SkillActive!$2:$2,0)),,0)</f>
        <v/>
      </c>
      <c r="F46" s="47">
        <f>D46</f>
        <v/>
      </c>
      <c r="G46" s="47">
        <f>_xlfn.XLOOKUP(C46,SkillActive!$A:$A,SkillActive!E:E,,0)</f>
        <v/>
      </c>
      <c r="H46" s="47">
        <f>_xlfn.XLOOKUP(E46,SkillActive!B:B,SkillActive!K:K,,0)</f>
        <v/>
      </c>
    </row>
    <row r="47">
      <c r="A47" s="25">
        <f>C47*100+D47</f>
        <v/>
      </c>
      <c r="B47" s="42">
        <f>_xlfn.XLOOKUP(C47,SkillActive!$A:$A,SkillActive!C:C,,0)</f>
        <v/>
      </c>
      <c r="C47" s="25">
        <f>C31+1</f>
        <v/>
      </c>
      <c r="D47" s="25">
        <f>D31</f>
        <v/>
      </c>
      <c r="E47" s="25">
        <f t="array" ref="E47">_xlfn.XLOOKUP(C47,SkillActive!A:A,INDEX(SkillActive!A:AA,0,MATCH("name",SkillActive!$2:$2,0)),,0)</f>
        <v/>
      </c>
      <c r="F47" s="47">
        <f>D47</f>
        <v/>
      </c>
      <c r="G47" s="47">
        <f>_xlfn.XLOOKUP(C47,SkillActive!$A:$A,SkillActive!E:E,,0)</f>
        <v/>
      </c>
      <c r="H47" s="47">
        <f>_xlfn.XLOOKUP(E47,SkillActive!B:B,SkillActive!K:K,,0)</f>
        <v/>
      </c>
    </row>
    <row r="48">
      <c r="A48" s="25">
        <f>C48*100+D48</f>
        <v/>
      </c>
      <c r="B48" s="42">
        <f>_xlfn.XLOOKUP(C48,SkillActive!$A:$A,SkillActive!C:C,,0)</f>
        <v/>
      </c>
      <c r="C48" s="25">
        <f>C32+1</f>
        <v/>
      </c>
      <c r="D48" s="25">
        <f>D32</f>
        <v/>
      </c>
      <c r="E48" s="25">
        <f t="array" ref="E48">_xlfn.XLOOKUP(C48,SkillActive!A:A,INDEX(SkillActive!A:AA,0,MATCH("name",SkillActive!$2:$2,0)),,0)</f>
        <v/>
      </c>
      <c r="F48" s="47">
        <f>D48</f>
        <v/>
      </c>
      <c r="G48" s="47">
        <f>_xlfn.XLOOKUP(C48,SkillActive!$A:$A,SkillActive!E:E,,0)</f>
        <v/>
      </c>
      <c r="H48" s="47">
        <f>_xlfn.XLOOKUP(E48,SkillActive!B:B,SkillActive!K:K,,0)</f>
        <v/>
      </c>
    </row>
    <row r="49">
      <c r="A49" s="25">
        <f>C49*100+D49</f>
        <v/>
      </c>
      <c r="B49" s="42">
        <f>_xlfn.XLOOKUP(C49,SkillActive!$A:$A,SkillActive!C:C,,0)</f>
        <v/>
      </c>
      <c r="C49" s="25">
        <f>C33+1</f>
        <v/>
      </c>
      <c r="D49" s="25">
        <f>D33</f>
        <v/>
      </c>
      <c r="E49" s="25">
        <f t="array" ref="E49">_xlfn.XLOOKUP(C49,SkillActive!A:A,INDEX(SkillActive!A:AA,0,MATCH("name",SkillActive!$2:$2,0)),,0)</f>
        <v/>
      </c>
      <c r="F49" s="47">
        <f>D49</f>
        <v/>
      </c>
      <c r="G49" s="47">
        <f>_xlfn.XLOOKUP(C49,SkillActive!$A:$A,SkillActive!E:E,,0)</f>
        <v/>
      </c>
      <c r="H49" s="47">
        <f>_xlfn.XLOOKUP(E49,SkillActive!B:B,SkillActive!K:K,,0)</f>
        <v/>
      </c>
    </row>
    <row r="50">
      <c r="A50" s="25">
        <f>C50*100+D50</f>
        <v/>
      </c>
      <c r="B50" s="42">
        <f>_xlfn.XLOOKUP(C50,SkillActive!$A:$A,SkillActive!C:C,,0)</f>
        <v/>
      </c>
      <c r="C50" s="25">
        <f>C34+1</f>
        <v/>
      </c>
      <c r="D50" s="25">
        <f>D34</f>
        <v/>
      </c>
      <c r="E50" s="25">
        <f t="array" ref="E50">_xlfn.XLOOKUP(C50,SkillActive!A:A,INDEX(SkillActive!A:AA,0,MATCH("name",SkillActive!$2:$2,0)),,0)</f>
        <v/>
      </c>
      <c r="F50" s="47">
        <f>D50</f>
        <v/>
      </c>
      <c r="G50" s="47">
        <f>_xlfn.XLOOKUP(C50,SkillActive!$A:$A,SkillActive!E:E,,0)</f>
        <v/>
      </c>
      <c r="H50" s="47">
        <f>_xlfn.XLOOKUP(E50,SkillActive!B:B,SkillActive!K:K,,0)</f>
        <v/>
      </c>
    </row>
    <row r="51">
      <c r="A51" s="25">
        <f>C51*100+D51</f>
        <v/>
      </c>
      <c r="B51" s="42">
        <f>_xlfn.XLOOKUP(C51,SkillActive!$A:$A,SkillActive!C:C,,0)</f>
        <v/>
      </c>
      <c r="C51" s="25">
        <f>C35+1</f>
        <v/>
      </c>
      <c r="D51" s="25">
        <f>D35</f>
        <v/>
      </c>
      <c r="E51" s="25">
        <f t="array" ref="E51">_xlfn.XLOOKUP(C51,SkillActive!A:A,INDEX(SkillActive!A:AA,0,MATCH("name",SkillActive!$2:$2,0)),,0)</f>
        <v/>
      </c>
      <c r="F51" s="47">
        <f>D51</f>
        <v/>
      </c>
      <c r="G51" s="47">
        <f>_xlfn.XLOOKUP(C51,SkillActive!$A:$A,SkillActive!E:E,,0)</f>
        <v/>
      </c>
      <c r="H51" s="47">
        <f>_xlfn.XLOOKUP(E51,SkillActive!B:B,SkillActive!K:K,,0)</f>
        <v/>
      </c>
    </row>
    <row r="52">
      <c r="A52" s="25">
        <f>C52*100+D52</f>
        <v/>
      </c>
      <c r="B52" s="42">
        <f>_xlfn.XLOOKUP(C52,SkillActive!$A:$A,SkillActive!C:C,,0)</f>
        <v/>
      </c>
      <c r="C52" s="25">
        <f>C36+1</f>
        <v/>
      </c>
      <c r="D52" s="25">
        <f>D36</f>
        <v/>
      </c>
      <c r="E52" s="25">
        <f t="array" ref="E52">_xlfn.XLOOKUP(C52,SkillActive!A:A,INDEX(SkillActive!A:AA,0,MATCH("name",SkillActive!$2:$2,0)),,0)</f>
        <v/>
      </c>
      <c r="F52" s="47">
        <f>D52</f>
        <v/>
      </c>
      <c r="G52" s="47">
        <f>_xlfn.XLOOKUP(C52,SkillActive!$A:$A,SkillActive!E:E,,0)</f>
        <v/>
      </c>
      <c r="H52" s="47">
        <f>_xlfn.XLOOKUP(E52,SkillActive!B:B,SkillActive!K:K,,0)</f>
        <v/>
      </c>
    </row>
    <row r="53">
      <c r="A53" s="25">
        <f>C53*100+D53</f>
        <v/>
      </c>
      <c r="B53" s="42">
        <f>_xlfn.XLOOKUP(C53,SkillActive!$A:$A,SkillActive!C:C,,0)</f>
        <v/>
      </c>
      <c r="C53" s="25">
        <f>C37+1</f>
        <v/>
      </c>
      <c r="D53" s="25">
        <f>D37</f>
        <v/>
      </c>
      <c r="E53" s="25">
        <f t="array" ref="E53">_xlfn.XLOOKUP(C53,SkillActive!A:A,INDEX(SkillActive!A:AA,0,MATCH("name",SkillActive!$2:$2,0)),,0)</f>
        <v/>
      </c>
      <c r="F53" s="47">
        <f>D53</f>
        <v/>
      </c>
      <c r="G53" s="47">
        <f>_xlfn.XLOOKUP(C53,SkillActive!$A:$A,SkillActive!E:E,,0)</f>
        <v/>
      </c>
      <c r="H53" s="47">
        <f>_xlfn.XLOOKUP(E53,SkillActive!B:B,SkillActive!K:K,,0)</f>
        <v/>
      </c>
    </row>
    <row r="54">
      <c r="A54" s="25">
        <f>C54*100+D54</f>
        <v/>
      </c>
      <c r="B54" s="42">
        <f>_xlfn.XLOOKUP(C54,SkillActive!$A:$A,SkillActive!C:C,,0)</f>
        <v/>
      </c>
      <c r="C54" s="25">
        <f>C38+1</f>
        <v/>
      </c>
      <c r="D54" s="25">
        <f>D38</f>
        <v/>
      </c>
      <c r="E54" s="25">
        <f t="array" ref="E54">_xlfn.XLOOKUP(C54,SkillActive!A:A,INDEX(SkillActive!A:AA,0,MATCH("name",SkillActive!$2:$2,0)),,0)</f>
        <v/>
      </c>
      <c r="F54" s="47">
        <f>D54</f>
        <v/>
      </c>
      <c r="G54" s="47">
        <f>_xlfn.XLOOKUP(C54,SkillActive!$A:$A,SkillActive!E:E,,0)</f>
        <v/>
      </c>
      <c r="H54" s="47">
        <f>_xlfn.XLOOKUP(E54,SkillActive!B:B,SkillActive!K:K,,0)</f>
        <v/>
      </c>
    </row>
    <row r="55">
      <c r="A55" s="25">
        <f>C55*100+D55</f>
        <v/>
      </c>
      <c r="B55" s="42">
        <f>_xlfn.XLOOKUP(C55,SkillActive!$A:$A,SkillActive!C:C,,0)</f>
        <v/>
      </c>
      <c r="C55" s="25">
        <f>C39+1</f>
        <v/>
      </c>
      <c r="D55" s="25">
        <f>D39</f>
        <v/>
      </c>
      <c r="E55" s="25">
        <f t="array" ref="E55">_xlfn.XLOOKUP(C55,SkillActive!A:A,INDEX(SkillActive!A:AA,0,MATCH("name",SkillActive!$2:$2,0)),,0)</f>
        <v/>
      </c>
      <c r="F55" s="47">
        <f>D55</f>
        <v/>
      </c>
      <c r="G55" s="47">
        <f>_xlfn.XLOOKUP(C55,SkillActive!$A:$A,SkillActive!E:E,,0)</f>
        <v/>
      </c>
      <c r="H55" s="47">
        <f>_xlfn.XLOOKUP(E55,SkillActive!B:B,SkillActive!K:K,,0)</f>
        <v/>
      </c>
    </row>
    <row r="56">
      <c r="A56" s="25">
        <f>C56*100+D56</f>
        <v/>
      </c>
      <c r="B56" s="42">
        <f>_xlfn.XLOOKUP(C56,SkillActive!$A:$A,SkillActive!C:C,,0)</f>
        <v/>
      </c>
      <c r="C56" s="25">
        <f>C40+1</f>
        <v/>
      </c>
      <c r="D56" s="25">
        <f>D40</f>
        <v/>
      </c>
      <c r="E56" s="25">
        <f t="array" ref="E56">_xlfn.XLOOKUP(C56,SkillActive!A:A,INDEX(SkillActive!A:AA,0,MATCH("name",SkillActive!$2:$2,0)),,0)</f>
        <v/>
      </c>
      <c r="F56" s="47">
        <f>D56</f>
        <v/>
      </c>
      <c r="G56" s="47">
        <f>_xlfn.XLOOKUP(C56,SkillActive!$A:$A,SkillActive!E:E,,0)</f>
        <v/>
      </c>
      <c r="H56" s="47">
        <f>_xlfn.XLOOKUP(E56,SkillActive!B:B,SkillActive!K:K,,0)</f>
        <v/>
      </c>
    </row>
    <row r="57">
      <c r="A57" s="25">
        <f>C57*100+D57</f>
        <v/>
      </c>
      <c r="B57" s="42">
        <f>_xlfn.XLOOKUP(C57,SkillActive!$A:$A,SkillActive!C:C,,0)</f>
        <v/>
      </c>
      <c r="C57" s="25">
        <f>C41+1</f>
        <v/>
      </c>
      <c r="D57" s="25">
        <f>D41</f>
        <v/>
      </c>
      <c r="E57" s="25">
        <f t="array" ref="E57">_xlfn.XLOOKUP(C57,SkillActive!A:A,INDEX(SkillActive!A:AA,0,MATCH("name",SkillActive!$2:$2,0)),,0)</f>
        <v/>
      </c>
      <c r="F57" s="47">
        <f>D57</f>
        <v/>
      </c>
      <c r="G57" s="47">
        <f>_xlfn.XLOOKUP(C57,SkillActive!$A:$A,SkillActive!E:E,,0)</f>
        <v/>
      </c>
      <c r="H57" s="47">
        <f>_xlfn.XLOOKUP(E57,SkillActive!B:B,SkillActive!K:K,,0)</f>
        <v/>
      </c>
    </row>
    <row r="58">
      <c r="A58" s="25">
        <f>C58*100+D58</f>
        <v/>
      </c>
      <c r="B58" s="42">
        <f>_xlfn.XLOOKUP(C58,SkillActive!$A:$A,SkillActive!C:C,,0)</f>
        <v/>
      </c>
      <c r="C58" s="25">
        <f>C42+1</f>
        <v/>
      </c>
      <c r="D58" s="25">
        <f>D42</f>
        <v/>
      </c>
      <c r="E58" s="25">
        <f t="array" ref="E58">_xlfn.XLOOKUP(C58,SkillActive!A:A,INDEX(SkillActive!A:AA,0,MATCH("name",SkillActive!$2:$2,0)),,0)</f>
        <v/>
      </c>
      <c r="F58" s="47">
        <f>D58</f>
        <v/>
      </c>
      <c r="G58" s="47">
        <f>_xlfn.XLOOKUP(C58,SkillActive!$A:$A,SkillActive!E:E,,0)</f>
        <v/>
      </c>
      <c r="H58" s="47">
        <f>_xlfn.XLOOKUP(E58,SkillActive!B:B,SkillActive!K:K,,0)</f>
        <v/>
      </c>
    </row>
    <row r="59">
      <c r="A59" s="25">
        <f>C59*100+D59</f>
        <v/>
      </c>
      <c r="B59" s="42">
        <f>_xlfn.XLOOKUP(C59,SkillActive!$A:$A,SkillActive!C:C,,0)</f>
        <v/>
      </c>
      <c r="C59" s="25">
        <f>C43+1</f>
        <v/>
      </c>
      <c r="D59" s="25">
        <f>D43</f>
        <v/>
      </c>
      <c r="E59" s="25">
        <f t="array" ref="E59">_xlfn.XLOOKUP(C59,SkillActive!A:A,INDEX(SkillActive!A:AA,0,MATCH("name",SkillActive!$2:$2,0)),,0)</f>
        <v/>
      </c>
      <c r="F59" s="47">
        <f>D59</f>
        <v/>
      </c>
      <c r="G59" s="47">
        <f>_xlfn.XLOOKUP(C59,SkillActive!$A:$A,SkillActive!E:E,,0)</f>
        <v/>
      </c>
      <c r="H59" s="47">
        <f>_xlfn.XLOOKUP(E59,SkillActive!B:B,SkillActive!K:K,,0)</f>
        <v/>
      </c>
    </row>
    <row r="60">
      <c r="A60" s="25">
        <f>C60*100+D60</f>
        <v/>
      </c>
      <c r="B60" s="42">
        <f>_xlfn.XLOOKUP(C60,SkillActive!$A:$A,SkillActive!C:C,,0)</f>
        <v/>
      </c>
      <c r="C60" s="25">
        <f>C44+1</f>
        <v/>
      </c>
      <c r="D60" s="25">
        <f>D44</f>
        <v/>
      </c>
      <c r="E60" s="25">
        <f t="array" ref="E60">_xlfn.XLOOKUP(C60,SkillActive!A:A,INDEX(SkillActive!A:AA,0,MATCH("name",SkillActive!$2:$2,0)),,0)</f>
        <v/>
      </c>
      <c r="F60" s="47">
        <f>D60</f>
        <v/>
      </c>
      <c r="G60" s="47">
        <f>_xlfn.XLOOKUP(C60,SkillActive!$A:$A,SkillActive!E:E,,0)</f>
        <v/>
      </c>
      <c r="H60" s="47">
        <f>_xlfn.XLOOKUP(E60,SkillActive!B:B,SkillActive!K:K,,0)</f>
        <v/>
      </c>
    </row>
    <row r="61">
      <c r="A61" s="25">
        <f>C61*100+D61</f>
        <v/>
      </c>
      <c r="B61" s="42">
        <f>_xlfn.XLOOKUP(C61,SkillActive!$A:$A,SkillActive!C:C,,0)</f>
        <v/>
      </c>
      <c r="C61" s="25">
        <f>C45+1</f>
        <v/>
      </c>
      <c r="D61" s="25">
        <f>D45</f>
        <v/>
      </c>
      <c r="E61" s="25">
        <f t="array" ref="E61">_xlfn.XLOOKUP(C61,SkillActive!A:A,INDEX(SkillActive!A:AA,0,MATCH("name",SkillActive!$2:$2,0)),,0)</f>
        <v/>
      </c>
      <c r="F61" s="47">
        <f>D61</f>
        <v/>
      </c>
      <c r="G61" s="47">
        <f>_xlfn.XLOOKUP(C61,SkillActive!$A:$A,SkillActive!E:E,,0)</f>
        <v/>
      </c>
      <c r="H61" s="47">
        <f>_xlfn.XLOOKUP(E61,SkillActive!B:B,SkillActive!K:K,,0)</f>
        <v/>
      </c>
    </row>
    <row r="62">
      <c r="A62" s="25">
        <f>C62*100+D62</f>
        <v/>
      </c>
      <c r="B62" s="42">
        <f>_xlfn.XLOOKUP(C62,SkillActive!$A:$A,SkillActive!C:C,,0)</f>
        <v/>
      </c>
      <c r="C62" s="25">
        <f>C46+1</f>
        <v/>
      </c>
      <c r="D62" s="25">
        <f>D46</f>
        <v/>
      </c>
      <c r="E62" s="25">
        <f t="array" ref="E62">_xlfn.XLOOKUP(C62,SkillActive!A:A,INDEX(SkillActive!A:AA,0,MATCH("name",SkillActive!$2:$2,0)),,0)</f>
        <v/>
      </c>
      <c r="F62" s="47">
        <f>D62</f>
        <v/>
      </c>
      <c r="G62" s="47">
        <f>_xlfn.XLOOKUP(C62,SkillActive!$A:$A,SkillActive!E:E,,0)</f>
        <v/>
      </c>
      <c r="H62" s="47">
        <f>_xlfn.XLOOKUP(E62,SkillActive!B:B,SkillActive!K:K,,0)</f>
        <v/>
      </c>
    </row>
    <row r="63">
      <c r="A63" s="25">
        <f>C63*100+D63</f>
        <v/>
      </c>
      <c r="B63" s="42">
        <f>_xlfn.XLOOKUP(C63,SkillActive!$A:$A,SkillActive!C:C,,0)</f>
        <v/>
      </c>
      <c r="C63" s="25">
        <f>C47+1</f>
        <v/>
      </c>
      <c r="D63" s="25">
        <f>D47</f>
        <v/>
      </c>
      <c r="E63" s="25">
        <f t="array" ref="E63">_xlfn.XLOOKUP(C63,SkillActive!A:A,INDEX(SkillActive!A:AA,0,MATCH("name",SkillActive!$2:$2,0)),,0)</f>
        <v/>
      </c>
      <c r="F63" s="47">
        <f>D63</f>
        <v/>
      </c>
      <c r="G63" s="47">
        <f>_xlfn.XLOOKUP(C63,SkillActive!$A:$A,SkillActive!E:E,,0)</f>
        <v/>
      </c>
      <c r="H63" s="47">
        <f>_xlfn.XLOOKUP(E63,SkillActive!B:B,SkillActive!K:K,,0)</f>
        <v/>
      </c>
    </row>
    <row r="64">
      <c r="A64" s="25">
        <f>C64*100+D64</f>
        <v/>
      </c>
      <c r="B64" s="42">
        <f>_xlfn.XLOOKUP(C64,SkillActive!$A:$A,SkillActive!C:C,,0)</f>
        <v/>
      </c>
      <c r="C64" s="25">
        <f>C48+1</f>
        <v/>
      </c>
      <c r="D64" s="25">
        <f>D48</f>
        <v/>
      </c>
      <c r="E64" s="25">
        <f t="array" ref="E64">_xlfn.XLOOKUP(C64,SkillActive!A:A,INDEX(SkillActive!A:AA,0,MATCH("name",SkillActive!$2:$2,0)),,0)</f>
        <v/>
      </c>
      <c r="F64" s="47">
        <f>D64</f>
        <v/>
      </c>
      <c r="G64" s="47">
        <f>_xlfn.XLOOKUP(C64,SkillActive!$A:$A,SkillActive!E:E,,0)</f>
        <v/>
      </c>
      <c r="H64" s="47">
        <f>_xlfn.XLOOKUP(E64,SkillActive!B:B,SkillActive!K:K,,0)</f>
        <v/>
      </c>
    </row>
    <row r="65">
      <c r="A65" s="25">
        <f>C65*100+D65</f>
        <v/>
      </c>
      <c r="B65" s="42">
        <f>_xlfn.XLOOKUP(C65,SkillActive!$A:$A,SkillActive!C:C,,0)</f>
        <v/>
      </c>
      <c r="C65" s="25">
        <f>C49+1</f>
        <v/>
      </c>
      <c r="D65" s="25">
        <f>D49</f>
        <v/>
      </c>
      <c r="E65" s="25">
        <f t="array" ref="E65">_xlfn.XLOOKUP(C65,SkillActive!A:A,INDEX(SkillActive!A:AA,0,MATCH("name",SkillActive!$2:$2,0)),,0)</f>
        <v/>
      </c>
      <c r="F65" s="47">
        <f>D65</f>
        <v/>
      </c>
      <c r="G65" s="47">
        <f>_xlfn.XLOOKUP(C65,SkillActive!$A:$A,SkillActive!E:E,,0)</f>
        <v/>
      </c>
      <c r="H65" s="47">
        <f>_xlfn.XLOOKUP(E65,SkillActive!B:B,SkillActive!K:K,,0)</f>
        <v/>
      </c>
    </row>
    <row r="66">
      <c r="A66" s="25">
        <f>C66*100+D66</f>
        <v/>
      </c>
      <c r="B66" s="42">
        <f>_xlfn.XLOOKUP(C66,SkillActive!$A:$A,SkillActive!C:C,,0)</f>
        <v/>
      </c>
      <c r="C66" s="25">
        <f>C50+1</f>
        <v/>
      </c>
      <c r="D66" s="25">
        <f>D50</f>
        <v/>
      </c>
      <c r="E66" s="25">
        <f t="array" ref="E66">_xlfn.XLOOKUP(C66,SkillActive!A:A,INDEX(SkillActive!A:AA,0,MATCH("name",SkillActive!$2:$2,0)),,0)</f>
        <v/>
      </c>
      <c r="F66" s="47">
        <f>D66</f>
        <v/>
      </c>
      <c r="G66" s="47">
        <f>_xlfn.XLOOKUP(C66,SkillActive!$A:$A,SkillActive!E:E,,0)</f>
        <v/>
      </c>
      <c r="H66" s="47">
        <f>_xlfn.XLOOKUP(E66,SkillActive!B:B,SkillActive!K:K,,0)</f>
        <v/>
      </c>
    </row>
    <row r="67">
      <c r="A67" s="25">
        <f>C67*100+D67</f>
        <v/>
      </c>
      <c r="B67" s="42">
        <f>_xlfn.XLOOKUP(C67,SkillActive!$A:$A,SkillActive!C:C,,0)</f>
        <v/>
      </c>
      <c r="C67" s="25">
        <f>C51+1</f>
        <v/>
      </c>
      <c r="D67" s="25">
        <f>D51</f>
        <v/>
      </c>
      <c r="E67" s="25">
        <f t="array" ref="E67">_xlfn.XLOOKUP(C67,SkillActive!A:A,INDEX(SkillActive!A:AA,0,MATCH("name",SkillActive!$2:$2,0)),,0)</f>
        <v/>
      </c>
      <c r="F67" s="47">
        <f>D67</f>
        <v/>
      </c>
      <c r="G67" s="47">
        <f>_xlfn.XLOOKUP(C67,SkillActive!$A:$A,SkillActive!E:E,,0)</f>
        <v/>
      </c>
      <c r="H67" s="47">
        <f>_xlfn.XLOOKUP(E67,SkillActive!B:B,SkillActive!K:K,,0)</f>
        <v/>
      </c>
    </row>
    <row r="68">
      <c r="A68" s="25">
        <f>C68*100+D68</f>
        <v/>
      </c>
      <c r="B68" s="42">
        <f>_xlfn.XLOOKUP(C68,SkillActive!$A:$A,SkillActive!C:C,,0)</f>
        <v/>
      </c>
      <c r="C68" s="25">
        <f>C52+1</f>
        <v/>
      </c>
      <c r="D68" s="25">
        <f>D52</f>
        <v/>
      </c>
      <c r="E68" s="25">
        <f t="array" ref="E68">_xlfn.XLOOKUP(C68,SkillActive!A:A,INDEX(SkillActive!A:AA,0,MATCH("name",SkillActive!$2:$2,0)),,0)</f>
        <v/>
      </c>
      <c r="F68" s="47">
        <f>D68</f>
        <v/>
      </c>
      <c r="G68" s="47" t="n">
        <v>1</v>
      </c>
      <c r="H68" s="47">
        <f>_xlfn.XLOOKUP(E68,SkillActive!B:B,SkillActive!K:K,,0)</f>
        <v/>
      </c>
    </row>
    <row r="69">
      <c r="A69" s="25">
        <f>C69*100+D69</f>
        <v/>
      </c>
      <c r="B69" s="42">
        <f>_xlfn.XLOOKUP(C69,SkillActive!$A:$A,SkillActive!C:C,,0)</f>
        <v/>
      </c>
      <c r="C69" s="25">
        <f>C53+1</f>
        <v/>
      </c>
      <c r="D69" s="25">
        <f>D53</f>
        <v/>
      </c>
      <c r="E69" s="25">
        <f t="array" ref="E69">_xlfn.XLOOKUP(C69,SkillActive!A:A,INDEX(SkillActive!A:AA,0,MATCH("name",SkillActive!$2:$2,0)),,0)</f>
        <v/>
      </c>
      <c r="F69" s="47">
        <f>D69</f>
        <v/>
      </c>
      <c r="G69" s="47" t="n">
        <v>2</v>
      </c>
      <c r="H69" s="47">
        <f>_xlfn.XLOOKUP(E69,SkillActive!B:B,SkillActive!K:K,,0)</f>
        <v/>
      </c>
    </row>
    <row r="70">
      <c r="A70" s="25">
        <f>C70*100+D70</f>
        <v/>
      </c>
      <c r="B70" s="42">
        <f>_xlfn.XLOOKUP(C70,SkillActive!$A:$A,SkillActive!C:C,,0)</f>
        <v/>
      </c>
      <c r="C70" s="25">
        <f>C54+1</f>
        <v/>
      </c>
      <c r="D70" s="25">
        <f>D54</f>
        <v/>
      </c>
      <c r="E70" s="25">
        <f t="array" ref="E70">_xlfn.XLOOKUP(C70,SkillActive!A:A,INDEX(SkillActive!A:AA,0,MATCH("name",SkillActive!$2:$2,0)),,0)</f>
        <v/>
      </c>
      <c r="F70" s="47">
        <f>D70</f>
        <v/>
      </c>
      <c r="G70" s="47" t="n">
        <v>3</v>
      </c>
      <c r="H70" s="47">
        <f>_xlfn.XLOOKUP(E70,SkillActive!B:B,SkillActive!K:K,,0)</f>
        <v/>
      </c>
    </row>
    <row r="71">
      <c r="A71" s="25">
        <f>C71*100+D71</f>
        <v/>
      </c>
      <c r="B71" s="42">
        <f>_xlfn.XLOOKUP(C71,SkillActive!$A:$A,SkillActive!C:C,,0)</f>
        <v/>
      </c>
      <c r="C71" s="25">
        <f>C55+1</f>
        <v/>
      </c>
      <c r="D71" s="25">
        <f>D55</f>
        <v/>
      </c>
      <c r="E71" s="25">
        <f t="array" ref="E71">_xlfn.XLOOKUP(C71,SkillActive!A:A,INDEX(SkillActive!A:AA,0,MATCH("name",SkillActive!$2:$2,0)),,0)</f>
        <v/>
      </c>
      <c r="F71" s="47">
        <f>D71</f>
        <v/>
      </c>
      <c r="G71" s="47" t="n">
        <v>4</v>
      </c>
      <c r="H71" s="47">
        <f>_xlfn.XLOOKUP(E71,SkillActive!B:B,SkillActive!K:K,,0)</f>
        <v/>
      </c>
    </row>
    <row r="72">
      <c r="A72" s="25">
        <f>C72*100+D72</f>
        <v/>
      </c>
      <c r="B72" s="42">
        <f>_xlfn.XLOOKUP(C72,SkillActive!$A:$A,SkillActive!C:C,,0)</f>
        <v/>
      </c>
      <c r="C72" s="25">
        <f>C56+1</f>
        <v/>
      </c>
      <c r="D72" s="25">
        <f>D56</f>
        <v/>
      </c>
      <c r="E72" s="25">
        <f t="array" ref="E72">_xlfn.XLOOKUP(C72,SkillActive!A:A,INDEX(SkillActive!A:AA,0,MATCH("name",SkillActive!$2:$2,0)),,0)</f>
        <v/>
      </c>
      <c r="F72" s="47">
        <f>D72</f>
        <v/>
      </c>
      <c r="G72" s="47" t="n">
        <v>5</v>
      </c>
      <c r="H72" s="47">
        <f>_xlfn.XLOOKUP(E72,SkillActive!B:B,SkillActive!K:K,,0)</f>
        <v/>
      </c>
    </row>
    <row r="73">
      <c r="A73" s="25">
        <f>C73*100+D73</f>
        <v/>
      </c>
      <c r="B73" s="42">
        <f>_xlfn.XLOOKUP(C73,SkillActive!$A:$A,SkillActive!C:C,,0)</f>
        <v/>
      </c>
      <c r="C73" s="25">
        <f>C57+1</f>
        <v/>
      </c>
      <c r="D73" s="25">
        <f>D57</f>
        <v/>
      </c>
      <c r="E73" s="25">
        <f t="array" ref="E73">_xlfn.XLOOKUP(C73,SkillActive!A:A,INDEX(SkillActive!A:AA,0,MATCH("name",SkillActive!$2:$2,0)),,0)</f>
        <v/>
      </c>
      <c r="F73" s="47">
        <f>D73</f>
        <v/>
      </c>
      <c r="G73" s="47" t="n">
        <v>6</v>
      </c>
      <c r="H73" s="47">
        <f>_xlfn.XLOOKUP(E73,SkillActive!B:B,SkillActive!K:K,,0)</f>
        <v/>
      </c>
    </row>
    <row r="74">
      <c r="A74" s="25">
        <f>C74*100+D74</f>
        <v/>
      </c>
      <c r="B74" s="42">
        <f>_xlfn.XLOOKUP(C74,SkillActive!$A:$A,SkillActive!C:C,,0)</f>
        <v/>
      </c>
      <c r="C74" s="25">
        <f>C58+1</f>
        <v/>
      </c>
      <c r="D74" s="25">
        <f>D58</f>
        <v/>
      </c>
      <c r="E74" s="25">
        <f t="array" ref="E74">_xlfn.XLOOKUP(C74,SkillActive!A:A,INDEX(SkillActive!A:AA,0,MATCH("name",SkillActive!$2:$2,0)),,0)</f>
        <v/>
      </c>
      <c r="F74" s="47">
        <f>D74</f>
        <v/>
      </c>
      <c r="G74" s="47" t="n">
        <v>7</v>
      </c>
      <c r="H74" s="47">
        <f>_xlfn.XLOOKUP(E74,SkillActive!B:B,SkillActive!K:K,,0)</f>
        <v/>
      </c>
    </row>
    <row r="75">
      <c r="A75" s="25">
        <f>C75*100+D75</f>
        <v/>
      </c>
      <c r="B75" s="42">
        <f>_xlfn.XLOOKUP(C75,SkillActive!$A:$A,SkillActive!C:C,,0)</f>
        <v/>
      </c>
      <c r="C75" s="25">
        <f>C59+1</f>
        <v/>
      </c>
      <c r="D75" s="25">
        <f>D59</f>
        <v/>
      </c>
      <c r="E75" s="25">
        <f t="array" ref="E75">_xlfn.XLOOKUP(C75,SkillActive!A:A,INDEX(SkillActive!A:AA,0,MATCH("name",SkillActive!$2:$2,0)),,0)</f>
        <v/>
      </c>
      <c r="F75" s="47">
        <f>D75</f>
        <v/>
      </c>
      <c r="G75" s="47" t="n">
        <v>8</v>
      </c>
      <c r="H75" s="47">
        <f>_xlfn.XLOOKUP(E75,SkillActive!B:B,SkillActive!K:K,,0)</f>
        <v/>
      </c>
    </row>
    <row r="76">
      <c r="A76" s="25">
        <f>C76*100+D76</f>
        <v/>
      </c>
      <c r="B76" s="42">
        <f>_xlfn.XLOOKUP(C76,SkillActive!$A:$A,SkillActive!C:C,,0)</f>
        <v/>
      </c>
      <c r="C76" s="25">
        <f>C60+1</f>
        <v/>
      </c>
      <c r="D76" s="25">
        <f>D60</f>
        <v/>
      </c>
      <c r="E76" s="25">
        <f t="array" ref="E76">_xlfn.XLOOKUP(C76,SkillActive!A:A,INDEX(SkillActive!A:AA,0,MATCH("name",SkillActive!$2:$2,0)),,0)</f>
        <v/>
      </c>
      <c r="F76" s="47">
        <f>D76</f>
        <v/>
      </c>
      <c r="G76" s="47" t="n">
        <v>9</v>
      </c>
      <c r="H76" s="47">
        <f>_xlfn.XLOOKUP(E76,SkillActive!B:B,SkillActive!K:K,,0)</f>
        <v/>
      </c>
    </row>
    <row r="77">
      <c r="A77" s="25">
        <f>C77*100+D77</f>
        <v/>
      </c>
      <c r="B77" s="42">
        <f>_xlfn.XLOOKUP(C77,SkillActive!$A:$A,SkillActive!C:C,,0)</f>
        <v/>
      </c>
      <c r="C77" s="25">
        <f>C61+1</f>
        <v/>
      </c>
      <c r="D77" s="25">
        <f>D61</f>
        <v/>
      </c>
      <c r="E77" s="25">
        <f t="array" ref="E77">_xlfn.XLOOKUP(C77,SkillActive!A:A,INDEX(SkillActive!A:AA,0,MATCH("name",SkillActive!$2:$2,0)),,0)</f>
        <v/>
      </c>
      <c r="F77" s="47">
        <f>D77</f>
        <v/>
      </c>
      <c r="G77" s="47" t="n">
        <v>10</v>
      </c>
      <c r="H77" s="47">
        <f>_xlfn.XLOOKUP(E77,SkillActive!B:B,SkillActive!K:K,,0)</f>
        <v/>
      </c>
    </row>
    <row r="78">
      <c r="A78" s="25">
        <f>C78*100+D78</f>
        <v/>
      </c>
      <c r="B78" s="42">
        <f>_xlfn.XLOOKUP(C78,SkillActive!$A:$A,SkillActive!C:C,,0)</f>
        <v/>
      </c>
      <c r="C78" s="25">
        <f>C62+1</f>
        <v/>
      </c>
      <c r="D78" s="25">
        <f>D62</f>
        <v/>
      </c>
      <c r="E78" s="25">
        <f t="array" ref="E78">_xlfn.XLOOKUP(C78,SkillActive!A:A,INDEX(SkillActive!A:AA,0,MATCH("name",SkillActive!$2:$2,0)),,0)</f>
        <v/>
      </c>
      <c r="F78" s="47">
        <f>D78</f>
        <v/>
      </c>
      <c r="G78" s="47" t="n">
        <v>11</v>
      </c>
      <c r="H78" s="47">
        <f>_xlfn.XLOOKUP(E78,SkillActive!B:B,SkillActive!K:K,,0)</f>
        <v/>
      </c>
    </row>
    <row r="79">
      <c r="A79" s="25">
        <f>C79*100+D79</f>
        <v/>
      </c>
      <c r="B79" s="42">
        <f>_xlfn.XLOOKUP(C79,SkillActive!$A:$A,SkillActive!C:C,,0)</f>
        <v/>
      </c>
      <c r="C79" s="25">
        <f>C63+1</f>
        <v/>
      </c>
      <c r="D79" s="25">
        <f>D63</f>
        <v/>
      </c>
      <c r="E79" s="25">
        <f t="array" ref="E79">_xlfn.XLOOKUP(C79,SkillActive!A:A,INDEX(SkillActive!A:AA,0,MATCH("name",SkillActive!$2:$2,0)),,0)</f>
        <v/>
      </c>
      <c r="F79" s="47">
        <f>D79</f>
        <v/>
      </c>
      <c r="G79" s="47" t="n">
        <v>12</v>
      </c>
      <c r="H79" s="47">
        <f>_xlfn.XLOOKUP(E79,SkillActive!B:B,SkillActive!K:K,,0)</f>
        <v/>
      </c>
    </row>
    <row r="80">
      <c r="A80" s="25">
        <f>C80*100+D80</f>
        <v/>
      </c>
      <c r="B80" s="42">
        <f>_xlfn.XLOOKUP(C80,SkillActive!$A:$A,SkillActive!C:C,,0)</f>
        <v/>
      </c>
      <c r="C80" s="25">
        <f>C64+1</f>
        <v/>
      </c>
      <c r="D80" s="25">
        <f>D64</f>
        <v/>
      </c>
      <c r="E80" s="25">
        <f t="array" ref="E80">_xlfn.XLOOKUP(C80,SkillActive!A:A,INDEX(SkillActive!A:AA,0,MATCH("name",SkillActive!$2:$2,0)),,0)</f>
        <v/>
      </c>
      <c r="F80" s="47">
        <f>D80</f>
        <v/>
      </c>
      <c r="G80" s="47" t="n">
        <v>13</v>
      </c>
      <c r="H80" s="47">
        <f>_xlfn.XLOOKUP(E80,SkillActive!B:B,SkillActive!K:K,,0)</f>
        <v/>
      </c>
    </row>
    <row r="81">
      <c r="A81" s="25">
        <f>C81*100+D81</f>
        <v/>
      </c>
      <c r="B81" s="42">
        <f>_xlfn.XLOOKUP(C81,SkillActive!$A:$A,SkillActive!C:C,,0)</f>
        <v/>
      </c>
      <c r="C81" s="25">
        <f>C65+1</f>
        <v/>
      </c>
      <c r="D81" s="25">
        <f>D65</f>
        <v/>
      </c>
      <c r="E81" s="25">
        <f t="array" ref="E81">_xlfn.XLOOKUP(C81,SkillActive!A:A,INDEX(SkillActive!A:AA,0,MATCH("name",SkillActive!$2:$2,0)),,0)</f>
        <v/>
      </c>
      <c r="F81" s="47">
        <f>D81</f>
        <v/>
      </c>
      <c r="G81" s="47" t="n">
        <v>14</v>
      </c>
      <c r="H81" s="47">
        <f>_xlfn.XLOOKUP(E81,SkillActive!B:B,SkillActive!K:K,,0)</f>
        <v/>
      </c>
    </row>
    <row r="82">
      <c r="A82" s="25">
        <f>C82*100+D82</f>
        <v/>
      </c>
      <c r="B82" s="42">
        <f>_xlfn.XLOOKUP(C82,SkillActive!$A:$A,SkillActive!C:C,,0)</f>
        <v/>
      </c>
      <c r="C82" s="25">
        <f>C66+1</f>
        <v/>
      </c>
      <c r="D82" s="25">
        <f>D66</f>
        <v/>
      </c>
      <c r="E82" s="25">
        <f t="array" ref="E82">_xlfn.XLOOKUP(C82,SkillActive!A:A,INDEX(SkillActive!A:AA,0,MATCH("name",SkillActive!$2:$2,0)),,0)</f>
        <v/>
      </c>
      <c r="F82" s="47">
        <f>D82</f>
        <v/>
      </c>
      <c r="G82" s="47" t="n">
        <v>15</v>
      </c>
      <c r="H82" s="47">
        <f>_xlfn.XLOOKUP(E82,SkillActive!B:B,SkillActive!K:K,,0)</f>
        <v/>
      </c>
    </row>
    <row r="83">
      <c r="A83" s="25">
        <f>C83*100+D83</f>
        <v/>
      </c>
      <c r="B83" s="42">
        <f>_xlfn.XLOOKUP(C83,SkillActive!$A:$A,SkillActive!C:C,,0)</f>
        <v/>
      </c>
      <c r="C83" s="25">
        <f>C67+1</f>
        <v/>
      </c>
      <c r="D83" s="25">
        <f>D67</f>
        <v/>
      </c>
      <c r="E83" s="25">
        <f t="array" ref="E83">_xlfn.XLOOKUP(C83,SkillActive!A:A,INDEX(SkillActive!A:AA,0,MATCH("name",SkillActive!$2:$2,0)),,0)</f>
        <v/>
      </c>
      <c r="F83" s="47">
        <f>D83</f>
        <v/>
      </c>
      <c r="G83" s="47" t="n">
        <v>16</v>
      </c>
      <c r="H83" s="47">
        <f>_xlfn.XLOOKUP(E83,SkillActive!B:B,SkillActive!K:K,,0)</f>
        <v/>
      </c>
    </row>
    <row r="84">
      <c r="A84" s="25">
        <f>C84*100+D84</f>
        <v/>
      </c>
      <c r="B84" s="42">
        <f>_xlfn.XLOOKUP(C84,SkillActive!$A:$A,SkillActive!C:C,,0)</f>
        <v/>
      </c>
      <c r="C84" s="25">
        <f>C68+1</f>
        <v/>
      </c>
      <c r="D84" s="25">
        <f>D68</f>
        <v/>
      </c>
      <c r="E84" s="25">
        <f t="array" ref="E84">_xlfn.XLOOKUP(C84,SkillActive!A:A,INDEX(SkillActive!A:AA,0,MATCH("name",SkillActive!$2:$2,0)),,0)</f>
        <v/>
      </c>
      <c r="F84" s="47">
        <f>D84</f>
        <v/>
      </c>
      <c r="G84" s="47" t="n">
        <v>1</v>
      </c>
      <c r="H84" s="47">
        <f>_xlfn.XLOOKUP(E84,SkillActive!B:B,SkillActive!K:K,,0)</f>
        <v/>
      </c>
    </row>
    <row r="85">
      <c r="A85" s="25">
        <f>C85*100+D85</f>
        <v/>
      </c>
      <c r="B85" s="42">
        <f>_xlfn.XLOOKUP(C85,SkillActive!$A:$A,SkillActive!C:C,,0)</f>
        <v/>
      </c>
      <c r="C85" s="25">
        <f>C69+1</f>
        <v/>
      </c>
      <c r="D85" s="25">
        <f>D69</f>
        <v/>
      </c>
      <c r="E85" s="25">
        <f t="array" ref="E85">_xlfn.XLOOKUP(C85,SkillActive!A:A,INDEX(SkillActive!A:AA,0,MATCH("name",SkillActive!$2:$2,0)),,0)</f>
        <v/>
      </c>
      <c r="F85" s="47">
        <f>D85</f>
        <v/>
      </c>
      <c r="G85" s="47" t="n">
        <v>2</v>
      </c>
      <c r="H85" s="47">
        <f>_xlfn.XLOOKUP(E85,SkillActive!B:B,SkillActive!K:K,,0)</f>
        <v/>
      </c>
    </row>
    <row r="86">
      <c r="A86" s="25">
        <f>C86*100+D86</f>
        <v/>
      </c>
      <c r="B86" s="42">
        <f>_xlfn.XLOOKUP(C86,SkillActive!$A:$A,SkillActive!C:C,,0)</f>
        <v/>
      </c>
      <c r="C86" s="25">
        <f>C70+1</f>
        <v/>
      </c>
      <c r="D86" s="25">
        <f>D70</f>
        <v/>
      </c>
      <c r="E86" s="25">
        <f t="array" ref="E86">_xlfn.XLOOKUP(C86,SkillActive!A:A,INDEX(SkillActive!A:AA,0,MATCH("name",SkillActive!$2:$2,0)),,0)</f>
        <v/>
      </c>
      <c r="F86" s="47">
        <f>D86</f>
        <v/>
      </c>
      <c r="G86" s="47" t="n">
        <v>3</v>
      </c>
      <c r="H86" s="47">
        <f>_xlfn.XLOOKUP(E86,SkillActive!B:B,SkillActive!K:K,,0)</f>
        <v/>
      </c>
    </row>
    <row r="87">
      <c r="A87" s="25">
        <f>C87*100+D87</f>
        <v/>
      </c>
      <c r="B87" s="42">
        <f>_xlfn.XLOOKUP(C87,SkillActive!$A:$A,SkillActive!C:C,,0)</f>
        <v/>
      </c>
      <c r="C87" s="25">
        <f>C71+1</f>
        <v/>
      </c>
      <c r="D87" s="25">
        <f>D71</f>
        <v/>
      </c>
      <c r="E87" s="25">
        <f t="array" ref="E87">_xlfn.XLOOKUP(C87,SkillActive!A:A,INDEX(SkillActive!A:AA,0,MATCH("name",SkillActive!$2:$2,0)),,0)</f>
        <v/>
      </c>
      <c r="F87" s="47">
        <f>D87</f>
        <v/>
      </c>
      <c r="G87" s="47" t="n">
        <v>4</v>
      </c>
      <c r="H87" s="47">
        <f>_xlfn.XLOOKUP(E87,SkillActive!B:B,SkillActive!K:K,,0)</f>
        <v/>
      </c>
    </row>
    <row r="88">
      <c r="A88" s="25">
        <f>C88*100+D88</f>
        <v/>
      </c>
      <c r="B88" s="42">
        <f>_xlfn.XLOOKUP(C88,SkillActive!$A:$A,SkillActive!C:C,,0)</f>
        <v/>
      </c>
      <c r="C88" s="25">
        <f>C72+1</f>
        <v/>
      </c>
      <c r="D88" s="25">
        <f>D72</f>
        <v/>
      </c>
      <c r="E88" s="25">
        <f t="array" ref="E88">_xlfn.XLOOKUP(C88,SkillActive!A:A,INDEX(SkillActive!A:AA,0,MATCH("name",SkillActive!$2:$2,0)),,0)</f>
        <v/>
      </c>
      <c r="F88" s="47">
        <f>D88</f>
        <v/>
      </c>
      <c r="G88" s="47" t="n">
        <v>5</v>
      </c>
      <c r="H88" s="47">
        <f>_xlfn.XLOOKUP(E88,SkillActive!B:B,SkillActive!K:K,,0)</f>
        <v/>
      </c>
    </row>
    <row r="89">
      <c r="A89" s="25">
        <f>C89*100+D89</f>
        <v/>
      </c>
      <c r="B89" s="42">
        <f>_xlfn.XLOOKUP(C89,SkillActive!$A:$A,SkillActive!C:C,,0)</f>
        <v/>
      </c>
      <c r="C89" s="25">
        <f>C73+1</f>
        <v/>
      </c>
      <c r="D89" s="25">
        <f>D73</f>
        <v/>
      </c>
      <c r="E89" s="25">
        <f t="array" ref="E89">_xlfn.XLOOKUP(C89,SkillActive!A:A,INDEX(SkillActive!A:AA,0,MATCH("name",SkillActive!$2:$2,0)),,0)</f>
        <v/>
      </c>
      <c r="F89" s="47">
        <f>D89</f>
        <v/>
      </c>
      <c r="G89" s="47" t="n">
        <v>6</v>
      </c>
      <c r="H89" s="47">
        <f>_xlfn.XLOOKUP(E89,SkillActive!B:B,SkillActive!K:K,,0)</f>
        <v/>
      </c>
    </row>
    <row r="90">
      <c r="A90" s="25">
        <f>C90*100+D90</f>
        <v/>
      </c>
      <c r="B90" s="42">
        <f>_xlfn.XLOOKUP(C90,SkillActive!$A:$A,SkillActive!C:C,,0)</f>
        <v/>
      </c>
      <c r="C90" s="25">
        <f>C74+1</f>
        <v/>
      </c>
      <c r="D90" s="25">
        <f>D74</f>
        <v/>
      </c>
      <c r="E90" s="25">
        <f t="array" ref="E90">_xlfn.XLOOKUP(C90,SkillActive!A:A,INDEX(SkillActive!A:AA,0,MATCH("name",SkillActive!$2:$2,0)),,0)</f>
        <v/>
      </c>
      <c r="F90" s="47">
        <f>D90</f>
        <v/>
      </c>
      <c r="G90" s="47" t="n">
        <v>7</v>
      </c>
      <c r="H90" s="47">
        <f>_xlfn.XLOOKUP(E90,SkillActive!B:B,SkillActive!K:K,,0)</f>
        <v/>
      </c>
    </row>
    <row r="91">
      <c r="A91" s="25">
        <f>C91*100+D91</f>
        <v/>
      </c>
      <c r="B91" s="42">
        <f>_xlfn.XLOOKUP(C91,SkillActive!$A:$A,SkillActive!C:C,,0)</f>
        <v/>
      </c>
      <c r="C91" s="25">
        <f>C75+1</f>
        <v/>
      </c>
      <c r="D91" s="25">
        <f>D75</f>
        <v/>
      </c>
      <c r="E91" s="25">
        <f t="array" ref="E91">_xlfn.XLOOKUP(C91,SkillActive!A:A,INDEX(SkillActive!A:AA,0,MATCH("name",SkillActive!$2:$2,0)),,0)</f>
        <v/>
      </c>
      <c r="F91" s="47">
        <f>D91</f>
        <v/>
      </c>
      <c r="G91" s="47" t="n">
        <v>8</v>
      </c>
      <c r="H91" s="47">
        <f>_xlfn.XLOOKUP(E91,SkillActive!B:B,SkillActive!K:K,,0)</f>
        <v/>
      </c>
    </row>
    <row r="92">
      <c r="A92" s="25">
        <f>C92*100+D92</f>
        <v/>
      </c>
      <c r="B92" s="42">
        <f>_xlfn.XLOOKUP(C92,SkillActive!$A:$A,SkillActive!C:C,,0)</f>
        <v/>
      </c>
      <c r="C92" s="25">
        <f>C76+1</f>
        <v/>
      </c>
      <c r="D92" s="25">
        <f>D76</f>
        <v/>
      </c>
      <c r="E92" s="25">
        <f t="array" ref="E92">_xlfn.XLOOKUP(C92,SkillActive!A:A,INDEX(SkillActive!A:AA,0,MATCH("name",SkillActive!$2:$2,0)),,0)</f>
        <v/>
      </c>
      <c r="F92" s="47">
        <f>D92</f>
        <v/>
      </c>
      <c r="G92" s="47" t="n">
        <v>9</v>
      </c>
      <c r="H92" s="47">
        <f>_xlfn.XLOOKUP(E92,SkillActive!B:B,SkillActive!K:K,,0)</f>
        <v/>
      </c>
    </row>
    <row r="93">
      <c r="A93" s="25">
        <f>C93*100+D93</f>
        <v/>
      </c>
      <c r="B93" s="42">
        <f>_xlfn.XLOOKUP(C93,SkillActive!$A:$A,SkillActive!C:C,,0)</f>
        <v/>
      </c>
      <c r="C93" s="25">
        <f>C77+1</f>
        <v/>
      </c>
      <c r="D93" s="25">
        <f>D77</f>
        <v/>
      </c>
      <c r="E93" s="25">
        <f t="array" ref="E93">_xlfn.XLOOKUP(C93,SkillActive!A:A,INDEX(SkillActive!A:AA,0,MATCH("name",SkillActive!$2:$2,0)),,0)</f>
        <v/>
      </c>
      <c r="F93" s="47">
        <f>D93</f>
        <v/>
      </c>
      <c r="G93" s="47" t="n">
        <v>10</v>
      </c>
      <c r="H93" s="47">
        <f>_xlfn.XLOOKUP(E93,SkillActive!B:B,SkillActive!K:K,,0)</f>
        <v/>
      </c>
    </row>
    <row r="94">
      <c r="A94" s="25">
        <f>C94*100+D94</f>
        <v/>
      </c>
      <c r="B94" s="42">
        <f>_xlfn.XLOOKUP(C94,SkillActive!$A:$A,SkillActive!C:C,,0)</f>
        <v/>
      </c>
      <c r="C94" s="25">
        <f>C78+1</f>
        <v/>
      </c>
      <c r="D94" s="25">
        <f>D78</f>
        <v/>
      </c>
      <c r="E94" s="25">
        <f t="array" ref="E94">_xlfn.XLOOKUP(C94,SkillActive!A:A,INDEX(SkillActive!A:AA,0,MATCH("name",SkillActive!$2:$2,0)),,0)</f>
        <v/>
      </c>
      <c r="F94" s="47">
        <f>D94</f>
        <v/>
      </c>
      <c r="G94" s="47" t="n">
        <v>11</v>
      </c>
      <c r="H94" s="47">
        <f>_xlfn.XLOOKUP(E94,SkillActive!B:B,SkillActive!K:K,,0)</f>
        <v/>
      </c>
    </row>
    <row r="95">
      <c r="A95" s="25">
        <f>C95*100+D95</f>
        <v/>
      </c>
      <c r="B95" s="42">
        <f>_xlfn.XLOOKUP(C95,SkillActive!$A:$A,SkillActive!C:C,,0)</f>
        <v/>
      </c>
      <c r="C95" s="25">
        <f>C79+1</f>
        <v/>
      </c>
      <c r="D95" s="25">
        <f>D79</f>
        <v/>
      </c>
      <c r="E95" s="25">
        <f t="array" ref="E95">_xlfn.XLOOKUP(C95,SkillActive!A:A,INDEX(SkillActive!A:AA,0,MATCH("name",SkillActive!$2:$2,0)),,0)</f>
        <v/>
      </c>
      <c r="F95" s="47">
        <f>D95</f>
        <v/>
      </c>
      <c r="G95" s="47" t="n">
        <v>12</v>
      </c>
      <c r="H95" s="47">
        <f>_xlfn.XLOOKUP(E95,SkillActive!B:B,SkillActive!K:K,,0)</f>
        <v/>
      </c>
    </row>
    <row r="96">
      <c r="A96" s="25">
        <f>C96*100+D96</f>
        <v/>
      </c>
      <c r="B96" s="42">
        <f>_xlfn.XLOOKUP(C96,SkillActive!$A:$A,SkillActive!C:C,,0)</f>
        <v/>
      </c>
      <c r="C96" s="25">
        <f>C80+1</f>
        <v/>
      </c>
      <c r="D96" s="25">
        <f>D80</f>
        <v/>
      </c>
      <c r="E96" s="25">
        <f t="array" ref="E96">_xlfn.XLOOKUP(C96,SkillActive!A:A,INDEX(SkillActive!A:AA,0,MATCH("name",SkillActive!$2:$2,0)),,0)</f>
        <v/>
      </c>
      <c r="F96" s="47">
        <f>D96</f>
        <v/>
      </c>
      <c r="G96" s="47" t="n">
        <v>13</v>
      </c>
      <c r="H96" s="47">
        <f>_xlfn.XLOOKUP(E96,SkillActive!B:B,SkillActive!K:K,,0)</f>
        <v/>
      </c>
    </row>
    <row r="97">
      <c r="A97" s="25">
        <f>C97*100+D97</f>
        <v/>
      </c>
      <c r="B97" s="42">
        <f>_xlfn.XLOOKUP(C97,SkillActive!$A:$A,SkillActive!C:C,,0)</f>
        <v/>
      </c>
      <c r="C97" s="25">
        <f>C81+1</f>
        <v/>
      </c>
      <c r="D97" s="25">
        <f>D81</f>
        <v/>
      </c>
      <c r="E97" s="25">
        <f t="array" ref="E97">_xlfn.XLOOKUP(C97,SkillActive!A:A,INDEX(SkillActive!A:AA,0,MATCH("name",SkillActive!$2:$2,0)),,0)</f>
        <v/>
      </c>
      <c r="F97" s="47">
        <f>D97</f>
        <v/>
      </c>
      <c r="G97" s="47" t="n">
        <v>14</v>
      </c>
      <c r="H97" s="47">
        <f>_xlfn.XLOOKUP(E97,SkillActive!B:B,SkillActive!K:K,,0)</f>
        <v/>
      </c>
    </row>
    <row r="98">
      <c r="A98" s="25">
        <f>C98*100+D98</f>
        <v/>
      </c>
      <c r="B98" s="42">
        <f>_xlfn.XLOOKUP(C98,SkillActive!$A:$A,SkillActive!C:C,,0)</f>
        <v/>
      </c>
      <c r="C98" s="25">
        <f>C82+1</f>
        <v/>
      </c>
      <c r="D98" s="25">
        <f>D82</f>
        <v/>
      </c>
      <c r="E98" s="25">
        <f t="array" ref="E98">_xlfn.XLOOKUP(C98,SkillActive!A:A,INDEX(SkillActive!A:AA,0,MATCH("name",SkillActive!$2:$2,0)),,0)</f>
        <v/>
      </c>
      <c r="F98" s="47">
        <f>D98</f>
        <v/>
      </c>
      <c r="G98" s="47" t="n">
        <v>15</v>
      </c>
      <c r="H98" s="47">
        <f>_xlfn.XLOOKUP(E98,SkillActive!B:B,SkillActive!K:K,,0)</f>
        <v/>
      </c>
    </row>
    <row r="99">
      <c r="A99" s="25">
        <f>C99*100+D99</f>
        <v/>
      </c>
      <c r="B99" s="42">
        <f>_xlfn.XLOOKUP(C99,SkillActive!$A:$A,SkillActive!C:C,,0)</f>
        <v/>
      </c>
      <c r="C99" s="25">
        <f>C83+1</f>
        <v/>
      </c>
      <c r="D99" s="25">
        <f>D83</f>
        <v/>
      </c>
      <c r="E99" s="25">
        <f t="array" ref="E99">_xlfn.XLOOKUP(C99,SkillActive!A:A,INDEX(SkillActive!A:AA,0,MATCH("name",SkillActive!$2:$2,0)),,0)</f>
        <v/>
      </c>
      <c r="F99" s="47">
        <f>D99</f>
        <v/>
      </c>
      <c r="G99" s="47" t="n">
        <v>16</v>
      </c>
      <c r="H99" s="47">
        <f>_xlfn.XLOOKUP(E99,SkillActive!B:B,SkillActive!K:K,,0)</f>
        <v/>
      </c>
    </row>
    <row r="100">
      <c r="A100" s="25">
        <f>C100*100+D100</f>
        <v/>
      </c>
      <c r="B100" s="42">
        <f>_xlfn.XLOOKUP(C100,SkillActive!$A:$A,SkillActive!C:C,,0)</f>
        <v/>
      </c>
      <c r="C100" s="25">
        <f>C84+1</f>
        <v/>
      </c>
      <c r="D100" s="25">
        <f>D84</f>
        <v/>
      </c>
      <c r="E100" s="25">
        <f t="array" ref="E100">_xlfn.XLOOKUP(C100,SkillActive!A:A,INDEX(SkillActive!A:AA,0,MATCH("name",SkillActive!$2:$2,0)),,0)</f>
        <v/>
      </c>
      <c r="F100" s="47">
        <f>D100</f>
        <v/>
      </c>
      <c r="G100" s="47" t="n">
        <v>1</v>
      </c>
      <c r="H100" s="47">
        <f>_xlfn.XLOOKUP(E100,SkillActive!B:B,SkillActive!K:K,,0)</f>
        <v/>
      </c>
    </row>
    <row r="101">
      <c r="A101" s="25">
        <f>C101*100+D101</f>
        <v/>
      </c>
      <c r="B101" s="42">
        <f>_xlfn.XLOOKUP(C101,SkillActive!$A:$A,SkillActive!C:C,,0)</f>
        <v/>
      </c>
      <c r="C101" s="25">
        <f>C85+1</f>
        <v/>
      </c>
      <c r="D101" s="25" t="n">
        <v>2</v>
      </c>
      <c r="E101" s="25">
        <f t="array" ref="E101">_xlfn.XLOOKUP(C101,SkillActive!A:A,INDEX(SkillActive!A:AA,0,MATCH("name",SkillActive!$2:$2,0)),,0)</f>
        <v/>
      </c>
      <c r="F101" s="47" t="n">
        <v>2</v>
      </c>
      <c r="G101" s="47" t="n">
        <v>2</v>
      </c>
      <c r="H101" s="47">
        <f>_xlfn.XLOOKUP(E101,SkillActive!B:B,SkillActive!K:K,,0)</f>
        <v/>
      </c>
    </row>
    <row r="102">
      <c r="A102" s="25">
        <f>C102*100+D102</f>
        <v/>
      </c>
      <c r="B102" s="42">
        <f>_xlfn.XLOOKUP(C102,SkillActive!$A:$A,SkillActive!C:C,,0)</f>
        <v/>
      </c>
      <c r="C102" s="25">
        <f>C86+1</f>
        <v/>
      </c>
      <c r="D102" s="25">
        <f>D86</f>
        <v/>
      </c>
      <c r="E102" s="25">
        <f t="array" ref="E102">_xlfn.XLOOKUP(C102,SkillActive!A:A,INDEX(SkillActive!A:AA,0,MATCH("name",SkillActive!$2:$2,0)),,0)</f>
        <v/>
      </c>
      <c r="F102" s="47" t="n">
        <v>3</v>
      </c>
      <c r="G102" s="47" t="n">
        <v>3</v>
      </c>
      <c r="H102" s="47">
        <f>_xlfn.XLOOKUP(E102,SkillActive!B:B,SkillActive!K:K,,0)</f>
        <v/>
      </c>
    </row>
    <row r="103">
      <c r="A103" s="25">
        <f>C103*100+D103</f>
        <v/>
      </c>
      <c r="B103" s="42">
        <f>_xlfn.XLOOKUP(C103,SkillActive!$A:$A,SkillActive!C:C,,0)</f>
        <v/>
      </c>
      <c r="C103" s="25">
        <f>C87+1</f>
        <v/>
      </c>
      <c r="D103" s="25">
        <f>D87</f>
        <v/>
      </c>
      <c r="E103" s="25">
        <f t="array" ref="E103">_xlfn.XLOOKUP(C103,SkillActive!A:A,INDEX(SkillActive!A:AA,0,MATCH("name",SkillActive!$2:$2,0)),,0)</f>
        <v/>
      </c>
      <c r="F103" s="47" t="n">
        <v>4</v>
      </c>
      <c r="G103" s="47" t="n">
        <v>4</v>
      </c>
      <c r="H103" s="47">
        <f>_xlfn.XLOOKUP(E103,SkillActive!B:B,SkillActive!K:K,,0)</f>
        <v/>
      </c>
    </row>
    <row r="104">
      <c r="A104" s="25">
        <f>C104*100+D104</f>
        <v/>
      </c>
      <c r="B104" s="42">
        <f>_xlfn.XLOOKUP(C104,SkillActive!$A:$A,SkillActive!C:C,,0)</f>
        <v/>
      </c>
      <c r="C104" s="25">
        <f>C88+1</f>
        <v/>
      </c>
      <c r="D104" s="25">
        <f>D88</f>
        <v/>
      </c>
      <c r="E104" s="25">
        <f t="array" ref="E104">_xlfn.XLOOKUP(C104,SkillActive!A:A,INDEX(SkillActive!A:AA,0,MATCH("name",SkillActive!$2:$2,0)),,0)</f>
        <v/>
      </c>
      <c r="F104" s="47" t="n">
        <v>5</v>
      </c>
      <c r="G104" s="47" t="n">
        <v>5</v>
      </c>
      <c r="H104" s="47">
        <f>_xlfn.XLOOKUP(E104,SkillActive!B:B,SkillActive!K:K,,0)</f>
        <v/>
      </c>
    </row>
    <row r="105">
      <c r="A105" s="25">
        <f>C105*100+D105</f>
        <v/>
      </c>
      <c r="B105" s="42">
        <f>_xlfn.XLOOKUP(C105,SkillActive!$A:$A,SkillActive!C:C,,0)</f>
        <v/>
      </c>
      <c r="C105" s="25">
        <f>C89+1</f>
        <v/>
      </c>
      <c r="D105" s="25">
        <f>D89</f>
        <v/>
      </c>
      <c r="E105" s="25">
        <f t="array" ref="E105">_xlfn.XLOOKUP(C105,SkillActive!A:A,INDEX(SkillActive!A:AA,0,MATCH("name",SkillActive!$2:$2,0)),,0)</f>
        <v/>
      </c>
      <c r="F105" s="47" t="n">
        <v>6</v>
      </c>
      <c r="G105" s="47" t="n">
        <v>6</v>
      </c>
      <c r="H105" s="47">
        <f>_xlfn.XLOOKUP(E105,SkillActive!B:B,SkillActive!K:K,,0)</f>
        <v/>
      </c>
    </row>
    <row r="106">
      <c r="A106" s="25">
        <f>C106*100+D106</f>
        <v/>
      </c>
      <c r="B106" s="42">
        <f>_xlfn.XLOOKUP(C106,SkillActive!$A:$A,SkillActive!C:C,,0)</f>
        <v/>
      </c>
      <c r="C106" s="25">
        <f>C90+1</f>
        <v/>
      </c>
      <c r="D106" s="25">
        <f>D90</f>
        <v/>
      </c>
      <c r="E106" s="25">
        <f t="array" ref="E106">_xlfn.XLOOKUP(C106,SkillActive!A:A,INDEX(SkillActive!A:AA,0,MATCH("name",SkillActive!$2:$2,0)),,0)</f>
        <v/>
      </c>
      <c r="F106" s="47" t="n">
        <v>7</v>
      </c>
      <c r="G106" s="47" t="n">
        <v>7</v>
      </c>
      <c r="H106" s="47">
        <f>_xlfn.XLOOKUP(E106,SkillActive!B:B,SkillActive!K:K,,0)</f>
        <v/>
      </c>
    </row>
    <row r="107">
      <c r="A107" s="25">
        <f>C107*100+D107</f>
        <v/>
      </c>
      <c r="B107" s="42">
        <f>_xlfn.XLOOKUP(C107,SkillActive!$A:$A,SkillActive!C:C,,0)</f>
        <v/>
      </c>
      <c r="C107" s="25">
        <f>C91+1</f>
        <v/>
      </c>
      <c r="D107" s="25">
        <f>D91</f>
        <v/>
      </c>
      <c r="E107" s="25">
        <f t="array" ref="E107">_xlfn.XLOOKUP(C107,SkillActive!A:A,INDEX(SkillActive!A:AA,0,MATCH("name",SkillActive!$2:$2,0)),,0)</f>
        <v/>
      </c>
      <c r="F107" s="47" t="n">
        <v>8</v>
      </c>
      <c r="G107" s="47" t="n">
        <v>8</v>
      </c>
      <c r="H107" s="47">
        <f>_xlfn.XLOOKUP(E107,SkillActive!B:B,SkillActive!K:K,,0)</f>
        <v/>
      </c>
    </row>
    <row r="108">
      <c r="A108" s="25">
        <f>C108*100+D108</f>
        <v/>
      </c>
      <c r="B108" s="42">
        <f>_xlfn.XLOOKUP(C108,SkillActive!$A:$A,SkillActive!C:C,,0)</f>
        <v/>
      </c>
      <c r="C108" s="25">
        <f>C92+1</f>
        <v/>
      </c>
      <c r="D108" s="25">
        <f>D92</f>
        <v/>
      </c>
      <c r="E108" s="25">
        <f t="array" ref="E108">_xlfn.XLOOKUP(C108,SkillActive!A:A,INDEX(SkillActive!A:AA,0,MATCH("name",SkillActive!$2:$2,0)),,0)</f>
        <v/>
      </c>
      <c r="F108" s="47" t="n">
        <v>9</v>
      </c>
      <c r="G108" s="47" t="n">
        <v>9</v>
      </c>
      <c r="H108" s="47">
        <f>_xlfn.XLOOKUP(E108,SkillActive!B:B,SkillActive!K:K,,0)</f>
        <v/>
      </c>
    </row>
    <row r="109">
      <c r="A109" s="25">
        <f>C109*100+D109</f>
        <v/>
      </c>
      <c r="B109" s="42">
        <f>_xlfn.XLOOKUP(C109,SkillActive!$A:$A,SkillActive!C:C,,0)</f>
        <v/>
      </c>
      <c r="C109" s="25">
        <f>C93+1</f>
        <v/>
      </c>
      <c r="D109" s="25">
        <f>D93</f>
        <v/>
      </c>
      <c r="E109" s="25">
        <f t="array" ref="E109">_xlfn.XLOOKUP(C109,SkillActive!A:A,INDEX(SkillActive!A:AA,0,MATCH("name",SkillActive!$2:$2,0)),,0)</f>
        <v/>
      </c>
      <c r="F109" s="47" t="n">
        <v>10</v>
      </c>
      <c r="G109" s="47" t="n">
        <v>10</v>
      </c>
      <c r="H109" s="47">
        <f>_xlfn.XLOOKUP(E109,SkillActive!B:B,SkillActive!K:K,,0)</f>
        <v/>
      </c>
    </row>
    <row r="110">
      <c r="A110" s="25">
        <f>C110*100+D110</f>
        <v/>
      </c>
      <c r="B110" s="42">
        <f>_xlfn.XLOOKUP(C110,SkillActive!$A:$A,SkillActive!C:C,,0)</f>
        <v/>
      </c>
      <c r="C110" s="25">
        <f>C94+1</f>
        <v/>
      </c>
      <c r="D110" s="25">
        <f>D94</f>
        <v/>
      </c>
      <c r="E110" s="25">
        <f t="array" ref="E110">_xlfn.XLOOKUP(C110,SkillActive!A:A,INDEX(SkillActive!A:AA,0,MATCH("name",SkillActive!$2:$2,0)),,0)</f>
        <v/>
      </c>
      <c r="F110" s="47" t="n">
        <v>11</v>
      </c>
      <c r="G110" s="47" t="n">
        <v>11</v>
      </c>
      <c r="H110" s="47">
        <f>_xlfn.XLOOKUP(E110,SkillActive!B:B,SkillActive!K:K,,0)</f>
        <v/>
      </c>
    </row>
    <row r="111">
      <c r="A111" s="25">
        <f>C111*100+D111</f>
        <v/>
      </c>
      <c r="B111" s="42">
        <f>_xlfn.XLOOKUP(C111,SkillActive!$A:$A,SkillActive!C:C,,0)</f>
        <v/>
      </c>
      <c r="C111" s="25">
        <f>C95+1</f>
        <v/>
      </c>
      <c r="D111" s="25">
        <f>D95</f>
        <v/>
      </c>
      <c r="E111" s="25">
        <f t="array" ref="E111">_xlfn.XLOOKUP(C111,SkillActive!A:A,INDEX(SkillActive!A:AA,0,MATCH("name",SkillActive!$2:$2,0)),,0)</f>
        <v/>
      </c>
      <c r="F111" s="47" t="n">
        <v>12</v>
      </c>
      <c r="G111" s="47" t="n">
        <v>12</v>
      </c>
      <c r="H111" s="47">
        <f>_xlfn.XLOOKUP(E111,SkillActive!B:B,SkillActive!K:K,,0)</f>
        <v/>
      </c>
    </row>
    <row r="112">
      <c r="A112" s="25">
        <f>C112*100+D112</f>
        <v/>
      </c>
      <c r="B112" s="42">
        <f>_xlfn.XLOOKUP(C112,SkillActive!$A:$A,SkillActive!C:C,,0)</f>
        <v/>
      </c>
      <c r="C112" s="25">
        <f>C96+1</f>
        <v/>
      </c>
      <c r="D112" s="25">
        <f>D96</f>
        <v/>
      </c>
      <c r="E112" s="25">
        <f t="array" ref="E112">_xlfn.XLOOKUP(C112,SkillActive!A:A,INDEX(SkillActive!A:AA,0,MATCH("name",SkillActive!$2:$2,0)),,0)</f>
        <v/>
      </c>
      <c r="F112" s="47" t="n">
        <v>13</v>
      </c>
      <c r="G112" s="47" t="n">
        <v>13</v>
      </c>
      <c r="H112" s="47">
        <f>_xlfn.XLOOKUP(E112,SkillActive!B:B,SkillActive!K:K,,0)</f>
        <v/>
      </c>
    </row>
    <row r="113">
      <c r="A113" s="25">
        <f>C113*100+D113</f>
        <v/>
      </c>
      <c r="B113" s="42">
        <f>_xlfn.XLOOKUP(C113,SkillActive!$A:$A,SkillActive!C:C,,0)</f>
        <v/>
      </c>
      <c r="C113" s="25">
        <f>C97+1</f>
        <v/>
      </c>
      <c r="D113" s="25">
        <f>D97</f>
        <v/>
      </c>
      <c r="E113" s="25">
        <f t="array" ref="E113">_xlfn.XLOOKUP(C113,SkillActive!A:A,INDEX(SkillActive!A:AA,0,MATCH("name",SkillActive!$2:$2,0)),,0)</f>
        <v/>
      </c>
      <c r="F113" s="47" t="n">
        <v>14</v>
      </c>
      <c r="G113" s="47" t="n">
        <v>14</v>
      </c>
      <c r="H113" s="47">
        <f>_xlfn.XLOOKUP(E113,SkillActive!B:B,SkillActive!K:K,,0)</f>
        <v/>
      </c>
    </row>
    <row r="114">
      <c r="A114" s="25">
        <f>C114*100+D114</f>
        <v/>
      </c>
      <c r="B114" s="42">
        <f>_xlfn.XLOOKUP(C114,SkillActive!$A:$A,SkillActive!C:C,,0)</f>
        <v/>
      </c>
      <c r="C114" s="25">
        <f>C98+1</f>
        <v/>
      </c>
      <c r="D114" s="25">
        <f>D98</f>
        <v/>
      </c>
      <c r="E114" s="25">
        <f t="array" ref="E114">_xlfn.XLOOKUP(C114,SkillActive!A:A,INDEX(SkillActive!A:AA,0,MATCH("name",SkillActive!$2:$2,0)),,0)</f>
        <v/>
      </c>
      <c r="F114" s="47" t="n">
        <v>15</v>
      </c>
      <c r="G114" s="47" t="n">
        <v>15</v>
      </c>
      <c r="H114" s="47">
        <f>_xlfn.XLOOKUP(E114,SkillActive!B:B,SkillActive!K:K,,0)</f>
        <v/>
      </c>
    </row>
    <row r="115">
      <c r="A115" s="25">
        <f>C115*100+D115</f>
        <v/>
      </c>
      <c r="B115" s="42">
        <f>_xlfn.XLOOKUP(C115,SkillActive!$A:$A,SkillActive!C:C,,0)</f>
        <v/>
      </c>
      <c r="C115" s="25">
        <f>C99+1</f>
        <v/>
      </c>
      <c r="D115" s="25">
        <f>D99</f>
        <v/>
      </c>
      <c r="E115" s="25">
        <f t="array" ref="E115">_xlfn.XLOOKUP(C115,SkillActive!A:A,INDEX(SkillActive!A:AA,0,MATCH("name",SkillActive!$2:$2,0)),,0)</f>
        <v/>
      </c>
      <c r="F115" s="47" t="n">
        <v>16</v>
      </c>
      <c r="G115" s="47" t="n">
        <v>16</v>
      </c>
      <c r="H115" s="47">
        <f>_xlfn.XLOOKUP(E115,SkillActive!B:B,SkillActive!K:K,,0)</f>
        <v/>
      </c>
    </row>
    <row r="116">
      <c r="A116" s="25">
        <f>C116*100+D116</f>
        <v/>
      </c>
      <c r="B116" s="42">
        <f>_xlfn.XLOOKUP(C116,SkillActive!$A:$A,SkillActive!C:C,,0)</f>
        <v/>
      </c>
      <c r="C116" s="25">
        <f>C100+1</f>
        <v/>
      </c>
      <c r="D116" s="25">
        <f>D100</f>
        <v/>
      </c>
      <c r="E116" s="25">
        <f t="array" ref="E116">_xlfn.XLOOKUP(C116,SkillActive!A:A,INDEX(SkillActive!A:AA,0,MATCH("name",SkillActive!$2:$2,0)),,0)</f>
        <v/>
      </c>
      <c r="F116" s="47">
        <f>D116</f>
        <v/>
      </c>
      <c r="G116" s="47">
        <f>_xlfn.XLOOKUP(C116,SkillActive!$A:$A,SkillActive!E:E,,0)</f>
        <v/>
      </c>
      <c r="H116" s="47">
        <f>_xlfn.XLOOKUP(E116,SkillActive!B:B,SkillActive!K:K,,0)</f>
        <v/>
      </c>
    </row>
    <row r="117">
      <c r="A117" s="25">
        <f>C117*100+D117</f>
        <v/>
      </c>
      <c r="B117" s="42">
        <f>_xlfn.XLOOKUP(C117,SkillActive!$A:$A,SkillActive!C:C,,0)</f>
        <v/>
      </c>
      <c r="C117" s="25">
        <f>C101+1</f>
        <v/>
      </c>
      <c r="D117" s="25">
        <f>D101</f>
        <v/>
      </c>
      <c r="E117" s="25">
        <f t="array" ref="E117">_xlfn.XLOOKUP(C117,SkillActive!A:A,INDEX(SkillActive!A:AA,0,MATCH("name",SkillActive!$2:$2,0)),,0)</f>
        <v/>
      </c>
      <c r="F117" s="47">
        <f>D117</f>
        <v/>
      </c>
      <c r="G117" s="47">
        <f>_xlfn.XLOOKUP(C117,SkillActive!$A:$A,SkillActive!E:E,,0)</f>
        <v/>
      </c>
      <c r="H117" s="47">
        <f>_xlfn.XLOOKUP(E117,SkillActive!B:B,SkillActive!K:K,,0)</f>
        <v/>
      </c>
    </row>
    <row r="118">
      <c r="A118" s="25">
        <f>C118*100+D118</f>
        <v/>
      </c>
      <c r="B118" s="42">
        <f>_xlfn.XLOOKUP(C118,SkillActive!$A:$A,SkillActive!C:C,,0)</f>
        <v/>
      </c>
      <c r="C118" s="25">
        <f>C102+1</f>
        <v/>
      </c>
      <c r="D118" s="25">
        <f>D102</f>
        <v/>
      </c>
      <c r="E118" s="25">
        <f t="array" ref="E118">_xlfn.XLOOKUP(C118,SkillActive!A:A,INDEX(SkillActive!A:AA,0,MATCH("name",SkillActive!$2:$2,0)),,0)</f>
        <v/>
      </c>
      <c r="F118" s="47">
        <f>D118</f>
        <v/>
      </c>
      <c r="G118" s="47">
        <f>_xlfn.XLOOKUP(C118,SkillActive!$A:$A,SkillActive!E:E,,0)</f>
        <v/>
      </c>
      <c r="H118" s="47">
        <f>_xlfn.XLOOKUP(E118,SkillActive!B:B,SkillActive!K:K,,0)</f>
        <v/>
      </c>
    </row>
    <row r="119">
      <c r="A119" s="25">
        <f>C119*100+D119</f>
        <v/>
      </c>
      <c r="B119" s="42">
        <f>_xlfn.XLOOKUP(C119,SkillActive!$A:$A,SkillActive!C:C,,0)</f>
        <v/>
      </c>
      <c r="C119" s="25">
        <f>C103+1</f>
        <v/>
      </c>
      <c r="D119" s="25">
        <f>D103</f>
        <v/>
      </c>
      <c r="E119" s="25">
        <f t="array" ref="E119">_xlfn.XLOOKUP(C119,SkillActive!A:A,INDEX(SkillActive!A:AA,0,MATCH("name",SkillActive!$2:$2,0)),,0)</f>
        <v/>
      </c>
      <c r="F119" s="47">
        <f>D119</f>
        <v/>
      </c>
      <c r="G119" s="47">
        <f>_xlfn.XLOOKUP(C119,SkillActive!$A:$A,SkillActive!E:E,,0)</f>
        <v/>
      </c>
      <c r="H119" s="47">
        <f>_xlfn.XLOOKUP(E119,SkillActive!B:B,SkillActive!K:K,,0)</f>
        <v/>
      </c>
    </row>
    <row r="120">
      <c r="A120" s="25">
        <f>C120*100+D120</f>
        <v/>
      </c>
      <c r="B120" s="42">
        <f>_xlfn.XLOOKUP(C120,SkillActive!$A:$A,SkillActive!C:C,,0)</f>
        <v/>
      </c>
      <c r="C120" s="25">
        <f>C104+1</f>
        <v/>
      </c>
      <c r="D120" s="25">
        <f>D104</f>
        <v/>
      </c>
      <c r="E120" s="25">
        <f t="array" ref="E120">_xlfn.XLOOKUP(C120,SkillActive!A:A,INDEX(SkillActive!A:AA,0,MATCH("name",SkillActive!$2:$2,0)),,0)</f>
        <v/>
      </c>
      <c r="F120" s="47">
        <f>D120</f>
        <v/>
      </c>
      <c r="G120" s="47">
        <f>_xlfn.XLOOKUP(C120,SkillActive!$A:$A,SkillActive!E:E,,0)</f>
        <v/>
      </c>
      <c r="H120" s="47">
        <f>_xlfn.XLOOKUP(E120,SkillActive!B:B,SkillActive!K:K,,0)</f>
        <v/>
      </c>
    </row>
    <row r="121">
      <c r="A121" s="25">
        <f>C121*100+D121</f>
        <v/>
      </c>
      <c r="B121" s="42">
        <f>_xlfn.XLOOKUP(C121,SkillActive!$A:$A,SkillActive!C:C,,0)</f>
        <v/>
      </c>
      <c r="C121" s="25">
        <f>C105+1</f>
        <v/>
      </c>
      <c r="D121" s="25">
        <f>D105</f>
        <v/>
      </c>
      <c r="E121" s="25">
        <f t="array" ref="E121">_xlfn.XLOOKUP(C121,SkillActive!A:A,INDEX(SkillActive!A:AA,0,MATCH("name",SkillActive!$2:$2,0)),,0)</f>
        <v/>
      </c>
      <c r="F121" s="47">
        <f>D121</f>
        <v/>
      </c>
      <c r="G121" s="47">
        <f>_xlfn.XLOOKUP(C121,SkillActive!$A:$A,SkillActive!E:E,,0)</f>
        <v/>
      </c>
      <c r="H121" s="47">
        <f>_xlfn.XLOOKUP(E121,SkillActive!B:B,SkillActive!K:K,,0)</f>
        <v/>
      </c>
    </row>
    <row r="122">
      <c r="A122" s="25">
        <f>C122*100+D122</f>
        <v/>
      </c>
      <c r="B122" s="42">
        <f>_xlfn.XLOOKUP(C122,SkillActive!$A:$A,SkillActive!C:C,,0)</f>
        <v/>
      </c>
      <c r="C122" s="25">
        <f>C106+1</f>
        <v/>
      </c>
      <c r="D122" s="25">
        <f>D106</f>
        <v/>
      </c>
      <c r="E122" s="25">
        <f t="array" ref="E122">_xlfn.XLOOKUP(C122,SkillActive!A:A,INDEX(SkillActive!A:AA,0,MATCH("name",SkillActive!$2:$2,0)),,0)</f>
        <v/>
      </c>
      <c r="F122" s="47">
        <f>D122</f>
        <v/>
      </c>
      <c r="G122" s="47">
        <f>_xlfn.XLOOKUP(C122,SkillActive!$A:$A,SkillActive!E:E,,0)</f>
        <v/>
      </c>
      <c r="H122" s="47">
        <f>_xlfn.XLOOKUP(E122,SkillActive!B:B,SkillActive!K:K,,0)</f>
        <v/>
      </c>
    </row>
    <row r="123">
      <c r="A123" s="25">
        <f>C123*100+D123</f>
        <v/>
      </c>
      <c r="B123" s="42">
        <f>_xlfn.XLOOKUP(C123,SkillActive!$A:$A,SkillActive!C:C,,0)</f>
        <v/>
      </c>
      <c r="C123" s="25">
        <f>C107+1</f>
        <v/>
      </c>
      <c r="D123" s="25">
        <f>D107</f>
        <v/>
      </c>
      <c r="E123" s="25">
        <f t="array" ref="E123">_xlfn.XLOOKUP(C123,SkillActive!A:A,INDEX(SkillActive!A:AA,0,MATCH("name",SkillActive!$2:$2,0)),,0)</f>
        <v/>
      </c>
      <c r="F123" s="47">
        <f>D123</f>
        <v/>
      </c>
      <c r="G123" s="47">
        <f>_xlfn.XLOOKUP(C123,SkillActive!$A:$A,SkillActive!E:E,,0)</f>
        <v/>
      </c>
      <c r="H123" s="47">
        <f>_xlfn.XLOOKUP(E123,SkillActive!B:B,SkillActive!K:K,,0)</f>
        <v/>
      </c>
    </row>
    <row r="124">
      <c r="A124" s="25">
        <f>C124*100+D124</f>
        <v/>
      </c>
      <c r="B124" s="42">
        <f>_xlfn.XLOOKUP(C124,SkillActive!$A:$A,SkillActive!C:C,,0)</f>
        <v/>
      </c>
      <c r="C124" s="25">
        <f>C108+1</f>
        <v/>
      </c>
      <c r="D124" s="25">
        <f>D108</f>
        <v/>
      </c>
      <c r="E124" s="25">
        <f t="array" ref="E124">_xlfn.XLOOKUP(C124,SkillActive!A:A,INDEX(SkillActive!A:AA,0,MATCH("name",SkillActive!$2:$2,0)),,0)</f>
        <v/>
      </c>
      <c r="F124" s="47">
        <f>D124</f>
        <v/>
      </c>
      <c r="G124" s="47">
        <f>_xlfn.XLOOKUP(C124,SkillActive!$A:$A,SkillActive!E:E,,0)</f>
        <v/>
      </c>
      <c r="H124" s="47">
        <f>_xlfn.XLOOKUP(E124,SkillActive!B:B,SkillActive!K:K,,0)</f>
        <v/>
      </c>
    </row>
    <row r="125">
      <c r="A125" s="25">
        <f>C125*100+D125</f>
        <v/>
      </c>
      <c r="B125" s="42">
        <f>_xlfn.XLOOKUP(C125,SkillActive!$A:$A,SkillActive!C:C,,0)</f>
        <v/>
      </c>
      <c r="C125" s="25">
        <f>C109+1</f>
        <v/>
      </c>
      <c r="D125" s="25">
        <f>D109</f>
        <v/>
      </c>
      <c r="E125" s="25">
        <f t="array" ref="E125">_xlfn.XLOOKUP(C125,SkillActive!A:A,INDEX(SkillActive!A:AA,0,MATCH("name",SkillActive!$2:$2,0)),,0)</f>
        <v/>
      </c>
      <c r="F125" s="47">
        <f>D125</f>
        <v/>
      </c>
      <c r="G125" s="47">
        <f>_xlfn.XLOOKUP(C125,SkillActive!$A:$A,SkillActive!E:E,,0)</f>
        <v/>
      </c>
      <c r="H125" s="47">
        <f>_xlfn.XLOOKUP(E125,SkillActive!B:B,SkillActive!K:K,,0)</f>
        <v/>
      </c>
    </row>
    <row r="126">
      <c r="A126" s="25">
        <f>C126*100+D126</f>
        <v/>
      </c>
      <c r="B126" s="42">
        <f>_xlfn.XLOOKUP(C126,SkillActive!$A:$A,SkillActive!C:C,,0)</f>
        <v/>
      </c>
      <c r="C126" s="25">
        <f>C110+1</f>
        <v/>
      </c>
      <c r="D126" s="25">
        <f>D110</f>
        <v/>
      </c>
      <c r="E126" s="25">
        <f t="array" ref="E126">_xlfn.XLOOKUP(C126,SkillActive!A:A,INDEX(SkillActive!A:AA,0,MATCH("name",SkillActive!$2:$2,0)),,0)</f>
        <v/>
      </c>
      <c r="F126" s="47">
        <f>D126</f>
        <v/>
      </c>
      <c r="G126" s="47">
        <f>_xlfn.XLOOKUP(C126,SkillActive!$A:$A,SkillActive!E:E,,0)</f>
        <v/>
      </c>
      <c r="H126" s="47">
        <f>_xlfn.XLOOKUP(E126,SkillActive!B:B,SkillActive!K:K,,0)</f>
        <v/>
      </c>
    </row>
    <row r="127">
      <c r="A127" s="25">
        <f>C127*100+D127</f>
        <v/>
      </c>
      <c r="B127" s="42">
        <f>_xlfn.XLOOKUP(C127,SkillActive!$A:$A,SkillActive!C:C,,0)</f>
        <v/>
      </c>
      <c r="C127" s="25">
        <f>C111+1</f>
        <v/>
      </c>
      <c r="D127" s="25">
        <f>D111</f>
        <v/>
      </c>
      <c r="E127" s="25">
        <f t="array" ref="E127">_xlfn.XLOOKUP(C127,SkillActive!A:A,INDEX(SkillActive!A:AA,0,MATCH("name",SkillActive!$2:$2,0)),,0)</f>
        <v/>
      </c>
      <c r="F127" s="47">
        <f>D127</f>
        <v/>
      </c>
      <c r="G127" s="47">
        <f>_xlfn.XLOOKUP(C127,SkillActive!$A:$A,SkillActive!E:E,,0)</f>
        <v/>
      </c>
      <c r="H127" s="47">
        <f>_xlfn.XLOOKUP(E127,SkillActive!B:B,SkillActive!K:K,,0)</f>
        <v/>
      </c>
    </row>
    <row r="128">
      <c r="A128" s="25">
        <f>C128*100+D128</f>
        <v/>
      </c>
      <c r="B128" s="42">
        <f>_xlfn.XLOOKUP(C128,SkillActive!$A:$A,SkillActive!C:C,,0)</f>
        <v/>
      </c>
      <c r="C128" s="25">
        <f>C112+1</f>
        <v/>
      </c>
      <c r="D128" s="25">
        <f>D112</f>
        <v/>
      </c>
      <c r="E128" s="25">
        <f t="array" ref="E128">_xlfn.XLOOKUP(C128,SkillActive!A:A,INDEX(SkillActive!A:AA,0,MATCH("name",SkillActive!$2:$2,0)),,0)</f>
        <v/>
      </c>
      <c r="F128" s="47">
        <f>D128</f>
        <v/>
      </c>
      <c r="G128" s="47">
        <f>_xlfn.XLOOKUP(C128,SkillActive!$A:$A,SkillActive!E:E,,0)</f>
        <v/>
      </c>
      <c r="H128" s="47">
        <f>_xlfn.XLOOKUP(E128,SkillActive!B:B,SkillActive!K:K,,0)</f>
        <v/>
      </c>
    </row>
    <row r="129">
      <c r="A129" s="25">
        <f>C129*100+D129</f>
        <v/>
      </c>
      <c r="B129" s="42">
        <f>_xlfn.XLOOKUP(C129,SkillActive!$A:$A,SkillActive!C:C,,0)</f>
        <v/>
      </c>
      <c r="C129" s="25">
        <f>C113+1</f>
        <v/>
      </c>
      <c r="D129" s="25">
        <f>D113</f>
        <v/>
      </c>
      <c r="E129" s="25">
        <f t="array" ref="E129">_xlfn.XLOOKUP(C129,SkillActive!A:A,INDEX(SkillActive!A:AA,0,MATCH("name",SkillActive!$2:$2,0)),,0)</f>
        <v/>
      </c>
      <c r="F129" s="47">
        <f>D129</f>
        <v/>
      </c>
      <c r="G129" s="47">
        <f>_xlfn.XLOOKUP(C129,SkillActive!$A:$A,SkillActive!E:E,,0)</f>
        <v/>
      </c>
      <c r="H129" s="47">
        <f>_xlfn.XLOOKUP(E129,SkillActive!B:B,SkillActive!K:K,,0)</f>
        <v/>
      </c>
    </row>
    <row r="130">
      <c r="A130" s="25">
        <f>C130*100+D130</f>
        <v/>
      </c>
      <c r="B130" s="42">
        <f>_xlfn.XLOOKUP(C130,SkillActive!$A:$A,SkillActive!C:C,,0)</f>
        <v/>
      </c>
      <c r="C130" s="25">
        <f>C114+1</f>
        <v/>
      </c>
      <c r="D130" s="25">
        <f>D114</f>
        <v/>
      </c>
      <c r="E130" s="25">
        <f t="array" ref="E130">_xlfn.XLOOKUP(C130,SkillActive!A:A,INDEX(SkillActive!A:AA,0,MATCH("name",SkillActive!$2:$2,0)),,0)</f>
        <v/>
      </c>
      <c r="F130" s="47">
        <f>D130</f>
        <v/>
      </c>
      <c r="G130" s="47">
        <f>_xlfn.XLOOKUP(C130,SkillActive!$A:$A,SkillActive!E:E,,0)</f>
        <v/>
      </c>
      <c r="H130" s="47">
        <f>_xlfn.XLOOKUP(E130,SkillActive!B:B,SkillActive!K:K,,0)</f>
        <v/>
      </c>
    </row>
    <row r="131">
      <c r="A131" s="25">
        <f>C131*100+D131</f>
        <v/>
      </c>
      <c r="B131" s="42">
        <f>_xlfn.XLOOKUP(C131,SkillActive!$A:$A,SkillActive!C:C,,0)</f>
        <v/>
      </c>
      <c r="C131" s="25">
        <f>C115+1</f>
        <v/>
      </c>
      <c r="D131" s="25">
        <f>D115</f>
        <v/>
      </c>
      <c r="E131" s="25">
        <f t="array" ref="E131">_xlfn.XLOOKUP(C131,SkillActive!A:A,INDEX(SkillActive!A:AA,0,MATCH("name",SkillActive!$2:$2,0)),,0)</f>
        <v/>
      </c>
      <c r="F131" s="47">
        <f>D131</f>
        <v/>
      </c>
      <c r="G131" s="47">
        <f>_xlfn.XLOOKUP(C131,SkillActive!$A:$A,SkillActive!E:E,,0)</f>
        <v/>
      </c>
      <c r="H131" s="47">
        <f>_xlfn.XLOOKUP(E131,SkillActive!B:B,SkillActive!K:K,,0)</f>
        <v/>
      </c>
    </row>
    <row r="132">
      <c r="A132" s="25">
        <f>C132*100+D132</f>
        <v/>
      </c>
      <c r="B132" s="42">
        <f>_xlfn.XLOOKUP(C132,SkillActive!$A:$A,SkillActive!C:C,,0)</f>
        <v/>
      </c>
      <c r="C132" s="25">
        <f>C116+1</f>
        <v/>
      </c>
      <c r="D132" s="25">
        <f>D116</f>
        <v/>
      </c>
      <c r="E132" s="25">
        <f t="array" ref="E132">_xlfn.XLOOKUP(C132,SkillActive!A:A,INDEX(SkillActive!A:AA,0,MATCH("name",SkillActive!$2:$2,0)),,0)</f>
        <v/>
      </c>
      <c r="F132" s="47">
        <f>D132</f>
        <v/>
      </c>
      <c r="G132" s="47">
        <f>_xlfn.XLOOKUP(C132,SkillActive!$A:$A,SkillActive!E:E,,0)</f>
        <v/>
      </c>
      <c r="H132" s="47">
        <f>_xlfn.XLOOKUP(E132,SkillActive!B:B,SkillActive!K:K,,0)</f>
        <v/>
      </c>
    </row>
    <row r="133">
      <c r="A133" s="25">
        <f>C133*100+D133</f>
        <v/>
      </c>
      <c r="B133" s="42">
        <f>_xlfn.XLOOKUP(C133,SkillActive!$A:$A,SkillActive!C:C,,0)</f>
        <v/>
      </c>
      <c r="C133" s="25">
        <f>C117+1</f>
        <v/>
      </c>
      <c r="D133" s="25">
        <f>D117</f>
        <v/>
      </c>
      <c r="E133" s="25">
        <f t="array" ref="E133">_xlfn.XLOOKUP(C133,SkillActive!A:A,INDEX(SkillActive!A:AA,0,MATCH("name",SkillActive!$2:$2,0)),,0)</f>
        <v/>
      </c>
      <c r="F133" s="47">
        <f>D133</f>
        <v/>
      </c>
      <c r="G133" s="47">
        <f>_xlfn.XLOOKUP(C133,SkillActive!$A:$A,SkillActive!E:E,,0)</f>
        <v/>
      </c>
      <c r="H133" s="47">
        <f>_xlfn.XLOOKUP(E133,SkillActive!B:B,SkillActive!K:K,,0)</f>
        <v/>
      </c>
    </row>
    <row r="134">
      <c r="A134" s="25">
        <f>C134*100+D134</f>
        <v/>
      </c>
      <c r="B134" s="42">
        <f>_xlfn.XLOOKUP(C134,SkillActive!$A:$A,SkillActive!C:C,,0)</f>
        <v/>
      </c>
      <c r="C134" s="25">
        <f>C118+1</f>
        <v/>
      </c>
      <c r="D134" s="25">
        <f>D118</f>
        <v/>
      </c>
      <c r="E134" s="25">
        <f t="array" ref="E134">_xlfn.XLOOKUP(C134,SkillActive!A:A,INDEX(SkillActive!A:AA,0,MATCH("name",SkillActive!$2:$2,0)),,0)</f>
        <v/>
      </c>
      <c r="F134" s="47">
        <f>D134</f>
        <v/>
      </c>
      <c r="G134" s="47">
        <f>_xlfn.XLOOKUP(C134,SkillActive!$A:$A,SkillActive!E:E,,0)</f>
        <v/>
      </c>
      <c r="H134" s="47">
        <f>_xlfn.XLOOKUP(E134,SkillActive!B:B,SkillActive!K:K,,0)</f>
        <v/>
      </c>
    </row>
    <row r="135">
      <c r="A135" s="25">
        <f>C135*100+D135</f>
        <v/>
      </c>
      <c r="B135" s="42">
        <f>_xlfn.XLOOKUP(C135,SkillActive!$A:$A,SkillActive!C:C,,0)</f>
        <v/>
      </c>
      <c r="C135" s="25">
        <f>C119+1</f>
        <v/>
      </c>
      <c r="D135" s="25">
        <f>D119</f>
        <v/>
      </c>
      <c r="E135" s="25">
        <f t="array" ref="E135">_xlfn.XLOOKUP(C135,SkillActive!A:A,INDEX(SkillActive!A:AA,0,MATCH("name",SkillActive!$2:$2,0)),,0)</f>
        <v/>
      </c>
      <c r="F135" s="47">
        <f>D135</f>
        <v/>
      </c>
      <c r="G135" s="47">
        <f>_xlfn.XLOOKUP(C135,SkillActive!$A:$A,SkillActive!E:E,,0)</f>
        <v/>
      </c>
      <c r="H135" s="47">
        <f>_xlfn.XLOOKUP(E135,SkillActive!B:B,SkillActive!K:K,,0)</f>
        <v/>
      </c>
    </row>
    <row r="136">
      <c r="A136" s="25">
        <f>C136*100+D136</f>
        <v/>
      </c>
      <c r="B136" s="42">
        <f>_xlfn.XLOOKUP(C136,SkillActive!$A:$A,SkillActive!C:C,,0)</f>
        <v/>
      </c>
      <c r="C136" s="25">
        <f>C120+1</f>
        <v/>
      </c>
      <c r="D136" s="25">
        <f>D120</f>
        <v/>
      </c>
      <c r="E136" s="25">
        <f t="array" ref="E136">_xlfn.XLOOKUP(C136,SkillActive!A:A,INDEX(SkillActive!A:AA,0,MATCH("name",SkillActive!$2:$2,0)),,0)</f>
        <v/>
      </c>
      <c r="F136" s="47">
        <f>D136</f>
        <v/>
      </c>
      <c r="G136" s="47">
        <f>_xlfn.XLOOKUP(C136,SkillActive!$A:$A,SkillActive!E:E,,0)</f>
        <v/>
      </c>
      <c r="H136" s="47">
        <f>_xlfn.XLOOKUP(E136,SkillActive!B:B,SkillActive!K:K,,0)</f>
        <v/>
      </c>
    </row>
    <row r="137">
      <c r="A137" s="25">
        <f>C137*100+D137</f>
        <v/>
      </c>
      <c r="B137" s="42">
        <f>_xlfn.XLOOKUP(C137,SkillActive!$A:$A,SkillActive!C:C,,0)</f>
        <v/>
      </c>
      <c r="C137" s="25">
        <f>C121+1</f>
        <v/>
      </c>
      <c r="D137" s="25">
        <f>D121</f>
        <v/>
      </c>
      <c r="E137" s="25">
        <f t="array" ref="E137">_xlfn.XLOOKUP(C137,SkillActive!A:A,INDEX(SkillActive!A:AA,0,MATCH("name",SkillActive!$2:$2,0)),,0)</f>
        <v/>
      </c>
      <c r="F137" s="47">
        <f>D137</f>
        <v/>
      </c>
      <c r="G137" s="47">
        <f>_xlfn.XLOOKUP(C137,SkillActive!$A:$A,SkillActive!E:E,,0)</f>
        <v/>
      </c>
      <c r="H137" s="47">
        <f>_xlfn.XLOOKUP(E137,SkillActive!B:B,SkillActive!K:K,,0)</f>
        <v/>
      </c>
    </row>
    <row r="138">
      <c r="A138" s="25">
        <f>C138*100+D138</f>
        <v/>
      </c>
      <c r="B138" s="42">
        <f>_xlfn.XLOOKUP(C138,SkillActive!$A:$A,SkillActive!C:C,,0)</f>
        <v/>
      </c>
      <c r="C138" s="25">
        <f>C122+1</f>
        <v/>
      </c>
      <c r="D138" s="25">
        <f>D122</f>
        <v/>
      </c>
      <c r="E138" s="25">
        <f t="array" ref="E138">_xlfn.XLOOKUP(C138,SkillActive!A:A,INDEX(SkillActive!A:AA,0,MATCH("name",SkillActive!$2:$2,0)),,0)</f>
        <v/>
      </c>
      <c r="F138" s="47">
        <f>D138</f>
        <v/>
      </c>
      <c r="G138" s="47">
        <f>_xlfn.XLOOKUP(C138,SkillActive!$A:$A,SkillActive!E:E,,0)</f>
        <v/>
      </c>
      <c r="H138" s="47">
        <f>_xlfn.XLOOKUP(E138,SkillActive!B:B,SkillActive!K:K,,0)</f>
        <v/>
      </c>
    </row>
    <row r="139">
      <c r="A139" s="25">
        <f>C139*100+D139</f>
        <v/>
      </c>
      <c r="B139" s="42">
        <f>_xlfn.XLOOKUP(C139,SkillActive!$A:$A,SkillActive!C:C,,0)</f>
        <v/>
      </c>
      <c r="C139" s="25">
        <f>C123+1</f>
        <v/>
      </c>
      <c r="D139" s="25">
        <f>D123</f>
        <v/>
      </c>
      <c r="E139" s="25">
        <f t="array" ref="E139">_xlfn.XLOOKUP(C139,SkillActive!A:A,INDEX(SkillActive!A:AA,0,MATCH("name",SkillActive!$2:$2,0)),,0)</f>
        <v/>
      </c>
      <c r="F139" s="47">
        <f>D139</f>
        <v/>
      </c>
      <c r="G139" s="47">
        <f>_xlfn.XLOOKUP(C139,SkillActive!$A:$A,SkillActive!E:E,,0)</f>
        <v/>
      </c>
      <c r="H139" s="47">
        <f>_xlfn.XLOOKUP(E139,SkillActive!B:B,SkillActive!K:K,,0)</f>
        <v/>
      </c>
    </row>
    <row r="140">
      <c r="A140" s="25">
        <f>C140*100+D140</f>
        <v/>
      </c>
      <c r="B140" s="42">
        <f>_xlfn.XLOOKUP(C140,SkillActive!$A:$A,SkillActive!C:C,,0)</f>
        <v/>
      </c>
      <c r="C140" s="25">
        <f>C124+1</f>
        <v/>
      </c>
      <c r="D140" s="25">
        <f>D124</f>
        <v/>
      </c>
      <c r="E140" s="25">
        <f t="array" ref="E140">_xlfn.XLOOKUP(C140,SkillActive!A:A,INDEX(SkillActive!A:AA,0,MATCH("name",SkillActive!$2:$2,0)),,0)</f>
        <v/>
      </c>
      <c r="F140" s="47">
        <f>D140</f>
        <v/>
      </c>
      <c r="G140" s="47">
        <f>_xlfn.XLOOKUP(C140,SkillActive!$A:$A,SkillActive!E:E,,0)</f>
        <v/>
      </c>
      <c r="H140" s="47">
        <f>_xlfn.XLOOKUP(E140,SkillActive!B:B,SkillActive!K:K,,0)</f>
        <v/>
      </c>
    </row>
    <row r="141">
      <c r="A141" s="25">
        <f>C141*100+D141</f>
        <v/>
      </c>
      <c r="B141" s="42">
        <f>_xlfn.XLOOKUP(C141,SkillActive!$A:$A,SkillActive!C:C,,0)</f>
        <v/>
      </c>
      <c r="C141" s="25">
        <f>C125+1</f>
        <v/>
      </c>
      <c r="D141" s="25">
        <f>D125</f>
        <v/>
      </c>
      <c r="E141" s="25">
        <f t="array" ref="E141">_xlfn.XLOOKUP(C141,SkillActive!A:A,INDEX(SkillActive!A:AA,0,MATCH("name",SkillActive!$2:$2,0)),,0)</f>
        <v/>
      </c>
      <c r="F141" s="47">
        <f>D141</f>
        <v/>
      </c>
      <c r="G141" s="47">
        <f>_xlfn.XLOOKUP(C141,SkillActive!$A:$A,SkillActive!E:E,,0)</f>
        <v/>
      </c>
      <c r="H141" s="47">
        <f>_xlfn.XLOOKUP(E141,SkillActive!B:B,SkillActive!K:K,,0)</f>
        <v/>
      </c>
    </row>
    <row r="142">
      <c r="A142" s="25">
        <f>C142*100+D142</f>
        <v/>
      </c>
      <c r="B142" s="42">
        <f>_xlfn.XLOOKUP(C142,SkillActive!$A:$A,SkillActive!C:C,,0)</f>
        <v/>
      </c>
      <c r="C142" s="25">
        <f>C126+1</f>
        <v/>
      </c>
      <c r="D142" s="25">
        <f>D126</f>
        <v/>
      </c>
      <c r="E142" s="25">
        <f t="array" ref="E142">_xlfn.XLOOKUP(C142,SkillActive!A:A,INDEX(SkillActive!A:AA,0,MATCH("name",SkillActive!$2:$2,0)),,0)</f>
        <v/>
      </c>
      <c r="F142" s="47">
        <f>D142</f>
        <v/>
      </c>
      <c r="G142" s="47">
        <f>_xlfn.XLOOKUP(C142,SkillActive!$A:$A,SkillActive!E:E,,0)</f>
        <v/>
      </c>
      <c r="H142" s="47">
        <f>_xlfn.XLOOKUP(E142,SkillActive!B:B,SkillActive!K:K,,0)</f>
        <v/>
      </c>
    </row>
    <row r="143">
      <c r="A143" s="25">
        <f>C143*100+D143</f>
        <v/>
      </c>
      <c r="B143" s="42">
        <f>_xlfn.XLOOKUP(C143,SkillActive!$A:$A,SkillActive!C:C,,0)</f>
        <v/>
      </c>
      <c r="C143" s="25">
        <f>C127+1</f>
        <v/>
      </c>
      <c r="D143" s="25">
        <f>D127</f>
        <v/>
      </c>
      <c r="E143" s="25">
        <f t="array" ref="E143">_xlfn.XLOOKUP(C143,SkillActive!A:A,INDEX(SkillActive!A:AA,0,MATCH("name",SkillActive!$2:$2,0)),,0)</f>
        <v/>
      </c>
      <c r="F143" s="47">
        <f>D143</f>
        <v/>
      </c>
      <c r="G143" s="47">
        <f>_xlfn.XLOOKUP(C143,SkillActive!$A:$A,SkillActive!E:E,,0)</f>
        <v/>
      </c>
      <c r="H143" s="47">
        <f>_xlfn.XLOOKUP(E143,SkillActive!B:B,SkillActive!K:K,,0)</f>
        <v/>
      </c>
    </row>
    <row r="144">
      <c r="A144" s="25">
        <f>C144*100+D144</f>
        <v/>
      </c>
      <c r="B144" s="42">
        <f>_xlfn.XLOOKUP(C144,SkillActive!$A:$A,SkillActive!C:C,,0)</f>
        <v/>
      </c>
      <c r="C144" s="25">
        <f>C128+1</f>
        <v/>
      </c>
      <c r="D144" s="25">
        <f>D128</f>
        <v/>
      </c>
      <c r="E144" s="25">
        <f t="array" ref="E144">_xlfn.XLOOKUP(C144,SkillActive!A:A,INDEX(SkillActive!A:AA,0,MATCH("name",SkillActive!$2:$2,0)),,0)</f>
        <v/>
      </c>
      <c r="F144" s="47">
        <f>D144</f>
        <v/>
      </c>
      <c r="G144" s="47">
        <f>_xlfn.XLOOKUP(C144,SkillActive!$A:$A,SkillActive!E:E,,0)</f>
        <v/>
      </c>
      <c r="H144" s="47">
        <f>_xlfn.XLOOKUP(E144,SkillActive!B:B,SkillActive!K:K,,0)</f>
        <v/>
      </c>
    </row>
    <row r="145">
      <c r="A145" s="25">
        <f>C145*100+D145</f>
        <v/>
      </c>
      <c r="B145" s="42">
        <f>_xlfn.XLOOKUP(C145,SkillActive!$A:$A,SkillActive!C:C,,0)</f>
        <v/>
      </c>
      <c r="C145" s="25">
        <f>C129+1</f>
        <v/>
      </c>
      <c r="D145" s="25">
        <f>D129</f>
        <v/>
      </c>
      <c r="E145" s="25">
        <f t="array" ref="E145">_xlfn.XLOOKUP(C145,SkillActive!A:A,INDEX(SkillActive!A:AA,0,MATCH("name",SkillActive!$2:$2,0)),,0)</f>
        <v/>
      </c>
      <c r="F145" s="47">
        <f>D145</f>
        <v/>
      </c>
      <c r="G145" s="47">
        <f>_xlfn.XLOOKUP(C145,SkillActive!$A:$A,SkillActive!E:E,,0)</f>
        <v/>
      </c>
      <c r="H145" s="47">
        <f>_xlfn.XLOOKUP(E145,SkillActive!B:B,SkillActive!K:K,,0)</f>
        <v/>
      </c>
    </row>
    <row r="146">
      <c r="A146" s="25">
        <f>C146*100+D146</f>
        <v/>
      </c>
      <c r="B146" s="42">
        <f>_xlfn.XLOOKUP(C146,SkillActive!$A:$A,SkillActive!C:C,,0)</f>
        <v/>
      </c>
      <c r="C146" s="25">
        <f>C130+1</f>
        <v/>
      </c>
      <c r="D146" s="25">
        <f>D130</f>
        <v/>
      </c>
      <c r="E146" s="25">
        <f t="array" ref="E146">_xlfn.XLOOKUP(C146,SkillActive!A:A,INDEX(SkillActive!A:AA,0,MATCH("name",SkillActive!$2:$2,0)),,0)</f>
        <v/>
      </c>
      <c r="F146" s="47">
        <f>D146</f>
        <v/>
      </c>
      <c r="G146" s="47">
        <f>_xlfn.XLOOKUP(C146,SkillActive!$A:$A,SkillActive!E:E,,0)</f>
        <v/>
      </c>
      <c r="H146" s="47">
        <f>_xlfn.XLOOKUP(E146,SkillActive!B:B,SkillActive!K:K,,0)</f>
        <v/>
      </c>
    </row>
    <row r="147">
      <c r="A147" s="25">
        <f>C147*100+D147</f>
        <v/>
      </c>
      <c r="B147" s="42">
        <f>_xlfn.XLOOKUP(C147,SkillActive!$A:$A,SkillActive!C:C,,0)</f>
        <v/>
      </c>
      <c r="C147" s="25">
        <f>C131+1</f>
        <v/>
      </c>
      <c r="D147" s="25">
        <f>D131</f>
        <v/>
      </c>
      <c r="E147" s="25">
        <f t="array" ref="E147">_xlfn.XLOOKUP(C147,SkillActive!A:A,INDEX(SkillActive!A:AA,0,MATCH("name",SkillActive!$2:$2,0)),,0)</f>
        <v/>
      </c>
      <c r="F147" s="47">
        <f>D147</f>
        <v/>
      </c>
      <c r="G147" s="47">
        <f>_xlfn.XLOOKUP(C147,SkillActive!$A:$A,SkillActive!E:E,,0)</f>
        <v/>
      </c>
      <c r="H147" s="47">
        <f>_xlfn.XLOOKUP(E147,SkillActive!B:B,SkillActive!K:K,,0)</f>
        <v/>
      </c>
    </row>
    <row r="148">
      <c r="A148" s="25">
        <f>C148*100+D148</f>
        <v/>
      </c>
      <c r="B148" s="42">
        <f>_xlfn.XLOOKUP(C148,SkillActive!$A:$A,SkillActive!C:C,,0)</f>
        <v/>
      </c>
      <c r="C148" s="25">
        <f>C132+1</f>
        <v/>
      </c>
      <c r="D148" s="25">
        <f>D132</f>
        <v/>
      </c>
      <c r="E148" s="25">
        <f t="array" ref="E148">_xlfn.XLOOKUP(C148,SkillActive!A:A,INDEX(SkillActive!A:AA,0,MATCH("name",SkillActive!$2:$2,0)),,0)</f>
        <v/>
      </c>
      <c r="F148" s="47">
        <f>D148</f>
        <v/>
      </c>
      <c r="G148" s="47">
        <f>_xlfn.XLOOKUP(C148,SkillActive!$A:$A,SkillActive!E:E,,0)</f>
        <v/>
      </c>
      <c r="H148" s="47">
        <f>_xlfn.XLOOKUP(E148,SkillActive!B:B,SkillActive!K:K,,0)</f>
        <v/>
      </c>
    </row>
    <row r="149">
      <c r="A149" s="25">
        <f>C149*100+D149</f>
        <v/>
      </c>
      <c r="B149" s="42">
        <f>_xlfn.XLOOKUP(C149,SkillActive!$A:$A,SkillActive!C:C,,0)</f>
        <v/>
      </c>
      <c r="C149" s="25">
        <f>C133+1</f>
        <v/>
      </c>
      <c r="D149" s="25">
        <f>D133</f>
        <v/>
      </c>
      <c r="E149" s="25">
        <f t="array" ref="E149">_xlfn.XLOOKUP(C149,SkillActive!A:A,INDEX(SkillActive!A:AA,0,MATCH("name",SkillActive!$2:$2,0)),,0)</f>
        <v/>
      </c>
      <c r="F149" s="47">
        <f>D149</f>
        <v/>
      </c>
      <c r="G149" s="47">
        <f>_xlfn.XLOOKUP(C149,SkillActive!$A:$A,SkillActive!E:E,,0)</f>
        <v/>
      </c>
      <c r="H149" s="47">
        <f>_xlfn.XLOOKUP(E149,SkillActive!B:B,SkillActive!K:K,,0)</f>
        <v/>
      </c>
    </row>
    <row r="150">
      <c r="A150" s="25">
        <f>C150*100+D150</f>
        <v/>
      </c>
      <c r="B150" s="42">
        <f>_xlfn.XLOOKUP(C150,SkillActive!$A:$A,SkillActive!C:C,,0)</f>
        <v/>
      </c>
      <c r="C150" s="25">
        <f>C134+1</f>
        <v/>
      </c>
      <c r="D150" s="25">
        <f>D134</f>
        <v/>
      </c>
      <c r="E150" s="25">
        <f t="array" ref="E150">_xlfn.XLOOKUP(C150,SkillActive!A:A,INDEX(SkillActive!A:AA,0,MATCH("name",SkillActive!$2:$2,0)),,0)</f>
        <v/>
      </c>
      <c r="F150" s="47">
        <f>D150</f>
        <v/>
      </c>
      <c r="G150" s="47">
        <f>_xlfn.XLOOKUP(C150,SkillActive!$A:$A,SkillActive!E:E,,0)</f>
        <v/>
      </c>
      <c r="H150" s="47">
        <f>_xlfn.XLOOKUP(E150,SkillActive!B:B,SkillActive!K:K,,0)</f>
        <v/>
      </c>
    </row>
    <row r="151">
      <c r="A151" s="25">
        <f>C151*100+D151</f>
        <v/>
      </c>
      <c r="B151" s="42">
        <f>_xlfn.XLOOKUP(C151,SkillActive!$A:$A,SkillActive!C:C,,0)</f>
        <v/>
      </c>
      <c r="C151" s="25">
        <f>C135+1</f>
        <v/>
      </c>
      <c r="D151" s="25">
        <f>D135</f>
        <v/>
      </c>
      <c r="E151" s="25">
        <f t="array" ref="E151">_xlfn.XLOOKUP(C151,SkillActive!A:A,INDEX(SkillActive!A:AA,0,MATCH("name",SkillActive!$2:$2,0)),,0)</f>
        <v/>
      </c>
      <c r="F151" s="47">
        <f>D151</f>
        <v/>
      </c>
      <c r="G151" s="47">
        <f>_xlfn.XLOOKUP(C151,SkillActive!$A:$A,SkillActive!E:E,,0)</f>
        <v/>
      </c>
      <c r="H151" s="47">
        <f>_xlfn.XLOOKUP(E151,SkillActive!B:B,SkillActive!K:K,,0)</f>
        <v/>
      </c>
    </row>
    <row r="152">
      <c r="A152" s="25">
        <f>C152*100+D152</f>
        <v/>
      </c>
      <c r="B152" s="42">
        <f>_xlfn.XLOOKUP(C152,SkillActive!$A:$A,SkillActive!C:C,,0)</f>
        <v/>
      </c>
      <c r="C152" s="25">
        <f>C136+1</f>
        <v/>
      </c>
      <c r="D152" s="25">
        <f>D136</f>
        <v/>
      </c>
      <c r="E152" s="25">
        <f t="array" ref="E152">_xlfn.XLOOKUP(C152,SkillActive!A:A,INDEX(SkillActive!A:AA,0,MATCH("name",SkillActive!$2:$2,0)),,0)</f>
        <v/>
      </c>
      <c r="F152" s="47">
        <f>D152</f>
        <v/>
      </c>
      <c r="G152" s="47">
        <f>_xlfn.XLOOKUP(C152,SkillActive!$A:$A,SkillActive!E:E,,0)</f>
        <v/>
      </c>
      <c r="H152" s="47">
        <f>_xlfn.XLOOKUP(E152,SkillActive!B:B,SkillActive!K:K,,0)</f>
        <v/>
      </c>
    </row>
    <row r="153">
      <c r="A153" s="25">
        <f>C153*100+D153</f>
        <v/>
      </c>
      <c r="B153" s="42">
        <f>_xlfn.XLOOKUP(C153,SkillActive!$A:$A,SkillActive!C:C,,0)</f>
        <v/>
      </c>
      <c r="C153" s="25">
        <f>C137+1</f>
        <v/>
      </c>
      <c r="D153" s="25">
        <f>D137</f>
        <v/>
      </c>
      <c r="E153" s="25">
        <f t="array" ref="E153">_xlfn.XLOOKUP(C153,SkillActive!A:A,INDEX(SkillActive!A:AA,0,MATCH("name",SkillActive!$2:$2,0)),,0)</f>
        <v/>
      </c>
      <c r="F153" s="47">
        <f>D153</f>
        <v/>
      </c>
      <c r="G153" s="47">
        <f>_xlfn.XLOOKUP(C153,SkillActive!$A:$A,SkillActive!E:E,,0)</f>
        <v/>
      </c>
      <c r="H153" s="47">
        <f>_xlfn.XLOOKUP(E153,SkillActive!B:B,SkillActive!K:K,,0)</f>
        <v/>
      </c>
    </row>
    <row r="154">
      <c r="A154" s="25">
        <f>C154*100+D154</f>
        <v/>
      </c>
      <c r="B154" s="42">
        <f>_xlfn.XLOOKUP(C154,SkillActive!$A:$A,SkillActive!C:C,,0)</f>
        <v/>
      </c>
      <c r="C154" s="25">
        <f>C138+1</f>
        <v/>
      </c>
      <c r="D154" s="25">
        <f>D138</f>
        <v/>
      </c>
      <c r="E154" s="25">
        <f t="array" ref="E154">_xlfn.XLOOKUP(C154,SkillActive!A:A,INDEX(SkillActive!A:AA,0,MATCH("name",SkillActive!$2:$2,0)),,0)</f>
        <v/>
      </c>
      <c r="F154" s="47">
        <f>D154</f>
        <v/>
      </c>
      <c r="G154" s="47">
        <f>_xlfn.XLOOKUP(C154,SkillActive!$A:$A,SkillActive!E:E,,0)</f>
        <v/>
      </c>
      <c r="H154" s="47">
        <f>_xlfn.XLOOKUP(E154,SkillActive!B:B,SkillActive!K:K,,0)</f>
        <v/>
      </c>
    </row>
    <row r="155">
      <c r="A155" s="25">
        <f>C155*100+D155</f>
        <v/>
      </c>
      <c r="B155" s="42">
        <f>_xlfn.XLOOKUP(C155,SkillActive!$A:$A,SkillActive!C:C,,0)</f>
        <v/>
      </c>
      <c r="C155" s="25">
        <f>C139+1</f>
        <v/>
      </c>
      <c r="D155" s="25">
        <f>D139</f>
        <v/>
      </c>
      <c r="E155" s="25">
        <f t="array" ref="E155">_xlfn.XLOOKUP(C155,SkillActive!A:A,INDEX(SkillActive!A:AA,0,MATCH("name",SkillActive!$2:$2,0)),,0)</f>
        <v/>
      </c>
      <c r="F155" s="47">
        <f>D155</f>
        <v/>
      </c>
      <c r="G155" s="47">
        <f>_xlfn.XLOOKUP(C155,SkillActive!$A:$A,SkillActive!E:E,,0)</f>
        <v/>
      </c>
      <c r="H155" s="47">
        <f>_xlfn.XLOOKUP(E155,SkillActive!B:B,SkillActive!K:K,,0)</f>
        <v/>
      </c>
    </row>
    <row r="156">
      <c r="A156" s="25">
        <f>C156*100+D156</f>
        <v/>
      </c>
      <c r="B156" s="42">
        <f>_xlfn.XLOOKUP(C156,SkillActive!$A:$A,SkillActive!C:C,,0)</f>
        <v/>
      </c>
      <c r="C156" s="25">
        <f>C140+1</f>
        <v/>
      </c>
      <c r="D156" s="25">
        <f>D140</f>
        <v/>
      </c>
      <c r="E156" s="25">
        <f t="array" ref="E156">_xlfn.XLOOKUP(C156,SkillActive!A:A,INDEX(SkillActive!A:AA,0,MATCH("name",SkillActive!$2:$2,0)),,0)</f>
        <v/>
      </c>
      <c r="F156" s="47">
        <f>D156</f>
        <v/>
      </c>
      <c r="G156" s="47">
        <f>_xlfn.XLOOKUP(C156,SkillActive!$A:$A,SkillActive!E:E,,0)</f>
        <v/>
      </c>
      <c r="H156" s="47">
        <f>_xlfn.XLOOKUP(E156,SkillActive!B:B,SkillActive!K:K,,0)</f>
        <v/>
      </c>
    </row>
    <row r="157">
      <c r="A157" s="25">
        <f>C157*100+D157</f>
        <v/>
      </c>
      <c r="B157" s="42">
        <f>_xlfn.XLOOKUP(C157,SkillActive!$A:$A,SkillActive!C:C,,0)</f>
        <v/>
      </c>
      <c r="C157" s="25">
        <f>C141+1</f>
        <v/>
      </c>
      <c r="D157" s="25">
        <f>D141</f>
        <v/>
      </c>
      <c r="E157" s="25">
        <f t="array" ref="E157">_xlfn.XLOOKUP(C157,SkillActive!A:A,INDEX(SkillActive!A:AA,0,MATCH("name",SkillActive!$2:$2,0)),,0)</f>
        <v/>
      </c>
      <c r="F157" s="47">
        <f>D157</f>
        <v/>
      </c>
      <c r="G157" s="47">
        <f>_xlfn.XLOOKUP(C157,SkillActive!$A:$A,SkillActive!E:E,,0)</f>
        <v/>
      </c>
      <c r="H157" s="47">
        <f>_xlfn.XLOOKUP(E157,SkillActive!B:B,SkillActive!K:K,,0)</f>
        <v/>
      </c>
    </row>
    <row r="158">
      <c r="A158" s="25">
        <f>C158*100+D158</f>
        <v/>
      </c>
      <c r="B158" s="42">
        <f>_xlfn.XLOOKUP(C158,SkillActive!$A:$A,SkillActive!C:C,,0)</f>
        <v/>
      </c>
      <c r="C158" s="25">
        <f>C142+1</f>
        <v/>
      </c>
      <c r="D158" s="25">
        <f>D142</f>
        <v/>
      </c>
      <c r="E158" s="25">
        <f t="array" ref="E158">_xlfn.XLOOKUP(C158,SkillActive!A:A,INDEX(SkillActive!A:AA,0,MATCH("name",SkillActive!$2:$2,0)),,0)</f>
        <v/>
      </c>
      <c r="F158" s="47">
        <f>D158</f>
        <v/>
      </c>
      <c r="G158" s="47">
        <f>_xlfn.XLOOKUP(C158,SkillActive!$A:$A,SkillActive!E:E,,0)</f>
        <v/>
      </c>
      <c r="H158" s="47">
        <f>_xlfn.XLOOKUP(E158,SkillActive!B:B,SkillActive!K:K,,0)</f>
        <v/>
      </c>
    </row>
    <row r="159">
      <c r="A159" s="25">
        <f>C159*100+D159</f>
        <v/>
      </c>
      <c r="B159" s="42">
        <f>_xlfn.XLOOKUP(C159,SkillActive!$A:$A,SkillActive!C:C,,0)</f>
        <v/>
      </c>
      <c r="C159" s="25">
        <f>C143+1</f>
        <v/>
      </c>
      <c r="D159" s="25">
        <f>D143</f>
        <v/>
      </c>
      <c r="E159" s="25">
        <f t="array" ref="E159">_xlfn.XLOOKUP(C159,SkillActive!A:A,INDEX(SkillActive!A:AA,0,MATCH("name",SkillActive!$2:$2,0)),,0)</f>
        <v/>
      </c>
      <c r="F159" s="47">
        <f>D159</f>
        <v/>
      </c>
      <c r="G159" s="47">
        <f>_xlfn.XLOOKUP(C159,SkillActive!$A:$A,SkillActive!E:E,,0)</f>
        <v/>
      </c>
      <c r="H159" s="47">
        <f>_xlfn.XLOOKUP(E159,SkillActive!B:B,SkillActive!K:K,,0)</f>
        <v/>
      </c>
    </row>
    <row r="160">
      <c r="A160" s="25">
        <f>C160*100+D160</f>
        <v/>
      </c>
      <c r="B160" s="42">
        <f>_xlfn.XLOOKUP(C160,SkillActive!$A:$A,SkillActive!C:C,,0)</f>
        <v/>
      </c>
      <c r="C160" s="25">
        <f>C144+1</f>
        <v/>
      </c>
      <c r="D160" s="25">
        <f>D144</f>
        <v/>
      </c>
      <c r="E160" s="25">
        <f t="array" ref="E160">_xlfn.XLOOKUP(C160,SkillActive!A:A,INDEX(SkillActive!A:AA,0,MATCH("name",SkillActive!$2:$2,0)),,0)</f>
        <v/>
      </c>
      <c r="F160" s="47">
        <f>D160</f>
        <v/>
      </c>
      <c r="G160" s="47">
        <f>_xlfn.XLOOKUP(C160,SkillActive!$A:$A,SkillActive!E:E,,0)</f>
        <v/>
      </c>
      <c r="H160" s="47">
        <f>_xlfn.XLOOKUP(E160,SkillActive!B:B,SkillActive!K:K,,0)</f>
        <v/>
      </c>
    </row>
    <row r="161">
      <c r="A161" s="25">
        <f>C161*100+D161</f>
        <v/>
      </c>
      <c r="B161" s="42">
        <f>_xlfn.XLOOKUP(C161,SkillActive!$A:$A,SkillActive!C:C,,0)</f>
        <v/>
      </c>
      <c r="C161" s="25">
        <f>C145+1</f>
        <v/>
      </c>
      <c r="D161" s="25">
        <f>D145</f>
        <v/>
      </c>
      <c r="E161" s="25">
        <f t="array" ref="E161">_xlfn.XLOOKUP(C161,SkillActive!A:A,INDEX(SkillActive!A:AA,0,MATCH("name",SkillActive!$2:$2,0)),,0)</f>
        <v/>
      </c>
      <c r="F161" s="47">
        <f>D161</f>
        <v/>
      </c>
      <c r="G161" s="47">
        <f>_xlfn.XLOOKUP(C161,SkillActive!$A:$A,SkillActive!E:E,,0)</f>
        <v/>
      </c>
      <c r="H161" s="47">
        <f>_xlfn.XLOOKUP(E161,SkillActive!B:B,SkillActive!K:K,,0)</f>
        <v/>
      </c>
    </row>
    <row r="162">
      <c r="A162" s="25">
        <f>C162*100+D162</f>
        <v/>
      </c>
      <c r="B162" s="42">
        <f>_xlfn.XLOOKUP(C162,SkillActive!$A:$A,SkillActive!C:C,,0)</f>
        <v/>
      </c>
      <c r="C162" s="25">
        <f>C146+1</f>
        <v/>
      </c>
      <c r="D162" s="25">
        <f>D146</f>
        <v/>
      </c>
      <c r="E162" s="25">
        <f t="array" ref="E162">_xlfn.XLOOKUP(C162,SkillActive!A:A,INDEX(SkillActive!A:AA,0,MATCH("name",SkillActive!$2:$2,0)),,0)</f>
        <v/>
      </c>
      <c r="F162" s="47">
        <f>D162</f>
        <v/>
      </c>
      <c r="G162" s="47">
        <f>_xlfn.XLOOKUP(C162,SkillActive!$A:$A,SkillActive!E:E,,0)</f>
        <v/>
      </c>
      <c r="H162" s="47">
        <f>_xlfn.XLOOKUP(E162,SkillActive!B:B,SkillActive!K:K,,0)</f>
        <v/>
      </c>
    </row>
    <row r="163">
      <c r="A163" s="25">
        <f>C163*100+D163</f>
        <v/>
      </c>
      <c r="B163" s="42">
        <f>_xlfn.XLOOKUP(C163,SkillActive!$A:$A,SkillActive!C:C,,0)</f>
        <v/>
      </c>
      <c r="C163" s="25">
        <f>C147+1</f>
        <v/>
      </c>
      <c r="D163" s="25">
        <f>D147</f>
        <v/>
      </c>
      <c r="E163" s="25">
        <f t="array" ref="E163">_xlfn.XLOOKUP(C163,SkillActive!A:A,INDEX(SkillActive!A:AA,0,MATCH("name",SkillActive!$2:$2,0)),,0)</f>
        <v/>
      </c>
      <c r="F163" s="47">
        <f>D163</f>
        <v/>
      </c>
      <c r="G163" s="47">
        <f>_xlfn.XLOOKUP(C163,SkillActive!$A:$A,SkillActive!E:E,,0)</f>
        <v/>
      </c>
      <c r="H163" s="47">
        <f>_xlfn.XLOOKUP(E163,SkillActive!B:B,SkillActive!K:K,,0)</f>
        <v/>
      </c>
    </row>
    <row r="164" ht="12" customHeight="1" s="78">
      <c r="A164" s="25">
        <f>C164*100+D164</f>
        <v/>
      </c>
      <c r="B164" s="42">
        <f>_xlfn.XLOOKUP(C164,SkillActive!$A:$A,SkillActive!C:C,,0)</f>
        <v/>
      </c>
      <c r="C164" s="25">
        <f>C148+1</f>
        <v/>
      </c>
      <c r="D164" s="25" t="n">
        <v>1</v>
      </c>
      <c r="E164" s="25">
        <f t="array" ref="E164">_xlfn.XLOOKUP(C164,SkillActive!A:A,INDEX(SkillActive!A:AA,0,MATCH("name",SkillActive!$2:$2,0)),,0)</f>
        <v/>
      </c>
      <c r="F164" s="47">
        <f>D164</f>
        <v/>
      </c>
      <c r="G164" s="47">
        <f>_xlfn.XLOOKUP(C164,SkillActive!$A:$A,SkillActive!E:E,,0)</f>
        <v/>
      </c>
      <c r="H164" s="47">
        <f>_xlfn.XLOOKUP(E164,SkillActive!B:B,SkillActive!K:K,,0)</f>
        <v/>
      </c>
    </row>
    <row r="165">
      <c r="A165" s="25">
        <f>C165*100+D165</f>
        <v/>
      </c>
      <c r="B165" s="42">
        <f>_xlfn.XLOOKUP(C165,SkillActive!$A:$A,SkillActive!C:C,,0)</f>
        <v/>
      </c>
      <c r="C165" s="25">
        <f>C149+1</f>
        <v/>
      </c>
      <c r="D165" s="25" t="n">
        <v>2</v>
      </c>
      <c r="E165" s="25">
        <f t="array" ref="E165">_xlfn.XLOOKUP(C165,SkillActive!A:A,INDEX(SkillActive!A:AA,0,MATCH("name",SkillActive!$2:$2,0)),,0)</f>
        <v/>
      </c>
      <c r="F165" s="47">
        <f>D165</f>
        <v/>
      </c>
      <c r="G165" s="47">
        <f>_xlfn.XLOOKUP(C165,SkillActive!$A:$A,SkillActive!E:E,,0)</f>
        <v/>
      </c>
      <c r="H165" s="47">
        <f>_xlfn.XLOOKUP(E165,SkillActive!B:B,SkillActive!K:K,,0)</f>
        <v/>
      </c>
    </row>
    <row r="166">
      <c r="A166" s="25">
        <f>C166*100+D166</f>
        <v/>
      </c>
      <c r="B166" s="42">
        <f>_xlfn.XLOOKUP(C166,SkillActive!$A:$A,SkillActive!C:C,,0)</f>
        <v/>
      </c>
      <c r="C166" s="25">
        <f>C150+1</f>
        <v/>
      </c>
      <c r="D166" s="25" t="n">
        <v>3</v>
      </c>
      <c r="E166" s="25">
        <f t="array" ref="E166">_xlfn.XLOOKUP(C166,SkillActive!A:A,INDEX(SkillActive!A:AA,0,MATCH("name",SkillActive!$2:$2,0)),,0)</f>
        <v/>
      </c>
      <c r="F166" s="47">
        <f>D166</f>
        <v/>
      </c>
      <c r="G166" s="47">
        <f>_xlfn.XLOOKUP(C166,SkillActive!$A:$A,SkillActive!E:E,,0)</f>
        <v/>
      </c>
      <c r="H166" s="47">
        <f>_xlfn.XLOOKUP(E166,SkillActive!B:B,SkillActive!K:K,,0)</f>
        <v/>
      </c>
    </row>
    <row r="167">
      <c r="A167" s="25">
        <f>C167*100+D167</f>
        <v/>
      </c>
      <c r="B167" s="42">
        <f>_xlfn.XLOOKUP(C167,SkillActive!$A:$A,SkillActive!C:C,,0)</f>
        <v/>
      </c>
      <c r="C167" s="25">
        <f>C151+1</f>
        <v/>
      </c>
      <c r="D167" s="25">
        <f>D23</f>
        <v/>
      </c>
      <c r="E167" s="25">
        <f t="array" ref="E167">_xlfn.XLOOKUP(C167,SkillActive!A:A,INDEX(SkillActive!A:AA,0,MATCH("name",SkillActive!$2:$2,0)),,0)</f>
        <v/>
      </c>
      <c r="F167" s="47">
        <f>D167</f>
        <v/>
      </c>
      <c r="G167" s="47">
        <f>_xlfn.XLOOKUP(C167,SkillActive!$A:$A,SkillActive!E:E,,0)</f>
        <v/>
      </c>
      <c r="H167" s="47">
        <f>_xlfn.XLOOKUP(E167,SkillActive!B:B,SkillActive!K:K,,0)</f>
        <v/>
      </c>
    </row>
    <row r="168">
      <c r="A168" s="25">
        <f>C168*100+D168</f>
        <v/>
      </c>
      <c r="B168" s="42">
        <f>_xlfn.XLOOKUP(C168,SkillActive!$A:$A,SkillActive!C:C,,0)</f>
        <v/>
      </c>
      <c r="C168" s="25">
        <f>C152+1</f>
        <v/>
      </c>
      <c r="D168" s="25">
        <f>D24</f>
        <v/>
      </c>
      <c r="E168" s="25">
        <f t="array" ref="E168">_xlfn.XLOOKUP(C168,SkillActive!A:A,INDEX(SkillActive!A:AA,0,MATCH("name",SkillActive!$2:$2,0)),,0)</f>
        <v/>
      </c>
      <c r="F168" s="47">
        <f>D168</f>
        <v/>
      </c>
      <c r="G168" s="47">
        <f>_xlfn.XLOOKUP(C168,SkillActive!$A:$A,SkillActive!E:E,,0)</f>
        <v/>
      </c>
      <c r="H168" s="47">
        <f>_xlfn.XLOOKUP(E168,SkillActive!B:B,SkillActive!K:K,,0)</f>
        <v/>
      </c>
    </row>
    <row r="169">
      <c r="A169" s="25">
        <f>C169*100+D169</f>
        <v/>
      </c>
      <c r="B169" s="42">
        <f>_xlfn.XLOOKUP(C169,SkillActive!$A:$A,SkillActive!C:C,,0)</f>
        <v/>
      </c>
      <c r="C169" s="25">
        <f>C153+1</f>
        <v/>
      </c>
      <c r="D169" s="25">
        <f>D25</f>
        <v/>
      </c>
      <c r="E169" s="25">
        <f t="array" ref="E169">_xlfn.XLOOKUP(C169,SkillActive!A:A,INDEX(SkillActive!A:AA,0,MATCH("name",SkillActive!$2:$2,0)),,0)</f>
        <v/>
      </c>
      <c r="F169" s="47">
        <f>D169</f>
        <v/>
      </c>
      <c r="G169" s="47">
        <f>_xlfn.XLOOKUP(C169,SkillActive!$A:$A,SkillActive!E:E,,0)</f>
        <v/>
      </c>
      <c r="H169" s="47">
        <f>_xlfn.XLOOKUP(E169,SkillActive!B:B,SkillActive!K:K,,0)</f>
        <v/>
      </c>
    </row>
    <row r="170">
      <c r="A170" s="25">
        <f>C170*100+D170</f>
        <v/>
      </c>
      <c r="B170" s="42">
        <f>_xlfn.XLOOKUP(C170,SkillActive!$A:$A,SkillActive!C:C,,0)</f>
        <v/>
      </c>
      <c r="C170" s="25">
        <f>C154+1</f>
        <v/>
      </c>
      <c r="D170" s="25">
        <f>D26</f>
        <v/>
      </c>
      <c r="E170" s="25">
        <f t="array" ref="E170">_xlfn.XLOOKUP(C170,SkillActive!A:A,INDEX(SkillActive!A:AA,0,MATCH("name",SkillActive!$2:$2,0)),,0)</f>
        <v/>
      </c>
      <c r="F170" s="47">
        <f>D170</f>
        <v/>
      </c>
      <c r="G170" s="47">
        <f>_xlfn.XLOOKUP(C170,SkillActive!$A:$A,SkillActive!E:E,,0)</f>
        <v/>
      </c>
      <c r="H170" s="47">
        <f>_xlfn.XLOOKUP(E170,SkillActive!B:B,SkillActive!K:K,,0)</f>
        <v/>
      </c>
    </row>
    <row r="171">
      <c r="A171" s="25">
        <f>C171*100+D171</f>
        <v/>
      </c>
      <c r="B171" s="42">
        <f>_xlfn.XLOOKUP(C171,SkillActive!$A:$A,SkillActive!C:C,,0)</f>
        <v/>
      </c>
      <c r="C171" s="25">
        <f>C155+1</f>
        <v/>
      </c>
      <c r="D171" s="25">
        <f>D27</f>
        <v/>
      </c>
      <c r="E171" s="25">
        <f t="array" ref="E171">_xlfn.XLOOKUP(C171,SkillActive!A:A,INDEX(SkillActive!A:AA,0,MATCH("name",SkillActive!$2:$2,0)),,0)</f>
        <v/>
      </c>
      <c r="F171" s="47">
        <f>D171</f>
        <v/>
      </c>
      <c r="G171" s="47">
        <f>_xlfn.XLOOKUP(C171,SkillActive!$A:$A,SkillActive!E:E,,0)</f>
        <v/>
      </c>
      <c r="H171" s="47">
        <f>_xlfn.XLOOKUP(E171,SkillActive!B:B,SkillActive!K:K,,0)</f>
        <v/>
      </c>
    </row>
    <row r="172">
      <c r="A172" s="25">
        <f>C172*100+D172</f>
        <v/>
      </c>
      <c r="B172" s="42">
        <f>_xlfn.XLOOKUP(C172,SkillActive!$A:$A,SkillActive!C:C,,0)</f>
        <v/>
      </c>
      <c r="C172" s="25">
        <f>C156+1</f>
        <v/>
      </c>
      <c r="D172" s="25">
        <f>D28</f>
        <v/>
      </c>
      <c r="E172" s="25">
        <f t="array" ref="E172">_xlfn.XLOOKUP(C172,SkillActive!A:A,INDEX(SkillActive!A:AA,0,MATCH("name",SkillActive!$2:$2,0)),,0)</f>
        <v/>
      </c>
      <c r="F172" s="47">
        <f>D172</f>
        <v/>
      </c>
      <c r="G172" s="47">
        <f>_xlfn.XLOOKUP(C172,SkillActive!$A:$A,SkillActive!E:E,,0)</f>
        <v/>
      </c>
      <c r="H172" s="47">
        <f>_xlfn.XLOOKUP(E172,SkillActive!B:B,SkillActive!K:K,,0)</f>
        <v/>
      </c>
    </row>
    <row r="173">
      <c r="A173" s="25">
        <f>C173*100+D173</f>
        <v/>
      </c>
      <c r="B173" s="42">
        <f>_xlfn.XLOOKUP(C173,SkillActive!$A:$A,SkillActive!C:C,,0)</f>
        <v/>
      </c>
      <c r="C173" s="25">
        <f>C157+1</f>
        <v/>
      </c>
      <c r="D173" s="25">
        <f>D29</f>
        <v/>
      </c>
      <c r="E173" s="25">
        <f t="array" ref="E173">_xlfn.XLOOKUP(C173,SkillActive!A:A,INDEX(SkillActive!A:AA,0,MATCH("name",SkillActive!$2:$2,0)),,0)</f>
        <v/>
      </c>
      <c r="F173" s="47">
        <f>D173</f>
        <v/>
      </c>
      <c r="G173" s="47">
        <f>_xlfn.XLOOKUP(C173,SkillActive!$A:$A,SkillActive!E:E,,0)</f>
        <v/>
      </c>
      <c r="H173" s="47">
        <f>_xlfn.XLOOKUP(E173,SkillActive!B:B,SkillActive!K:K,,0)</f>
        <v/>
      </c>
    </row>
    <row r="174">
      <c r="A174" s="25">
        <f>C174*100+D174</f>
        <v/>
      </c>
      <c r="B174" s="42">
        <f>_xlfn.XLOOKUP(C174,SkillActive!$A:$A,SkillActive!C:C,,0)</f>
        <v/>
      </c>
      <c r="C174" s="25">
        <f>C158+1</f>
        <v/>
      </c>
      <c r="D174" s="25">
        <f>D30</f>
        <v/>
      </c>
      <c r="E174" s="25">
        <f t="array" ref="E174">_xlfn.XLOOKUP(C174,SkillActive!A:A,INDEX(SkillActive!A:AA,0,MATCH("name",SkillActive!$2:$2,0)),,0)</f>
        <v/>
      </c>
      <c r="F174" s="47">
        <f>D174</f>
        <v/>
      </c>
      <c r="G174" s="47">
        <f>_xlfn.XLOOKUP(C174,SkillActive!$A:$A,SkillActive!E:E,,0)</f>
        <v/>
      </c>
      <c r="H174" s="47">
        <f>_xlfn.XLOOKUP(E174,SkillActive!B:B,SkillActive!K:K,,0)</f>
        <v/>
      </c>
    </row>
    <row r="175">
      <c r="A175" s="25">
        <f>C175*100+D175</f>
        <v/>
      </c>
      <c r="B175" s="42">
        <f>_xlfn.XLOOKUP(C175,SkillActive!$A:$A,SkillActive!C:C,,0)</f>
        <v/>
      </c>
      <c r="C175" s="25">
        <f>C159+1</f>
        <v/>
      </c>
      <c r="D175" s="25">
        <f>D31</f>
        <v/>
      </c>
      <c r="E175" s="25">
        <f t="array" ref="E175">_xlfn.XLOOKUP(C175,SkillActive!A:A,INDEX(SkillActive!A:AA,0,MATCH("name",SkillActive!$2:$2,0)),,0)</f>
        <v/>
      </c>
      <c r="F175" s="47">
        <f>D175</f>
        <v/>
      </c>
      <c r="G175" s="47">
        <f>_xlfn.XLOOKUP(C175,SkillActive!$A:$A,SkillActive!E:E,,0)</f>
        <v/>
      </c>
      <c r="H175" s="47">
        <f>_xlfn.XLOOKUP(E175,SkillActive!B:B,SkillActive!K:K,,0)</f>
        <v/>
      </c>
    </row>
    <row r="176">
      <c r="A176" s="25">
        <f>C176*100+D176</f>
        <v/>
      </c>
      <c r="B176" s="42">
        <f>_xlfn.XLOOKUP(C176,SkillActive!$A:$A,SkillActive!C:C,,0)</f>
        <v/>
      </c>
      <c r="C176" s="25">
        <f>C160+1</f>
        <v/>
      </c>
      <c r="D176" s="25">
        <f>D32</f>
        <v/>
      </c>
      <c r="E176" s="25">
        <f t="array" ref="E176">_xlfn.XLOOKUP(C176,SkillActive!A:A,INDEX(SkillActive!A:AA,0,MATCH("name",SkillActive!$2:$2,0)),,0)</f>
        <v/>
      </c>
      <c r="F176" s="47">
        <f>D176</f>
        <v/>
      </c>
      <c r="G176" s="47">
        <f>_xlfn.XLOOKUP(C176,SkillActive!$A:$A,SkillActive!E:E,,0)</f>
        <v/>
      </c>
      <c r="H176" s="47">
        <f>_xlfn.XLOOKUP(E176,SkillActive!B:B,SkillActive!K:K,,0)</f>
        <v/>
      </c>
    </row>
    <row r="177">
      <c r="A177" s="25">
        <f>C177*100+D177</f>
        <v/>
      </c>
      <c r="B177" s="42">
        <f>_xlfn.XLOOKUP(C177,SkillActive!$A:$A,SkillActive!C:C,,0)</f>
        <v/>
      </c>
      <c r="C177" s="25">
        <f>C161+1</f>
        <v/>
      </c>
      <c r="D177" s="25">
        <f>D33</f>
        <v/>
      </c>
      <c r="E177" s="25">
        <f t="array" ref="E177">_xlfn.XLOOKUP(C177,SkillActive!A:A,INDEX(SkillActive!A:AA,0,MATCH("name",SkillActive!$2:$2,0)),,0)</f>
        <v/>
      </c>
      <c r="F177" s="47">
        <f>D177</f>
        <v/>
      </c>
      <c r="G177" s="47">
        <f>_xlfn.XLOOKUP(C177,SkillActive!$A:$A,SkillActive!E:E,,0)</f>
        <v/>
      </c>
      <c r="H177" s="47">
        <f>_xlfn.XLOOKUP(E177,SkillActive!B:B,SkillActive!K:K,,0)</f>
        <v/>
      </c>
    </row>
    <row r="178">
      <c r="A178" s="25">
        <f>C178*100+D178</f>
        <v/>
      </c>
      <c r="B178" s="42">
        <f>_xlfn.XLOOKUP(C178,SkillActive!$A:$A,SkillActive!C:C,,0)</f>
        <v/>
      </c>
      <c r="C178" s="25">
        <f>C162+1</f>
        <v/>
      </c>
      <c r="D178" s="25">
        <f>D34</f>
        <v/>
      </c>
      <c r="E178" s="25">
        <f t="array" ref="E178">_xlfn.XLOOKUP(C178,SkillActive!A:A,INDEX(SkillActive!A:AA,0,MATCH("name",SkillActive!$2:$2,0)),,0)</f>
        <v/>
      </c>
      <c r="F178" s="47">
        <f>D178</f>
        <v/>
      </c>
      <c r="G178" s="47">
        <f>_xlfn.XLOOKUP(C178,SkillActive!$A:$A,SkillActive!E:E,,0)</f>
        <v/>
      </c>
      <c r="H178" s="47">
        <f>_xlfn.XLOOKUP(E178,SkillActive!B:B,SkillActive!K:K,,0)</f>
        <v/>
      </c>
    </row>
    <row r="179">
      <c r="A179" s="25">
        <f>C179*100+D179</f>
        <v/>
      </c>
      <c r="B179" s="42">
        <f>_xlfn.XLOOKUP(C179,SkillActive!$A:$A,SkillActive!C:C,,0)</f>
        <v/>
      </c>
      <c r="C179" s="25">
        <f>C163+1</f>
        <v/>
      </c>
      <c r="D179" s="25">
        <f>D35</f>
        <v/>
      </c>
      <c r="E179" s="25">
        <f t="array" ref="E179">_xlfn.XLOOKUP(C179,SkillActive!A:A,INDEX(SkillActive!A:AA,0,MATCH("name",SkillActive!$2:$2,0)),,0)</f>
        <v/>
      </c>
      <c r="F179" s="47">
        <f>D179</f>
        <v/>
      </c>
      <c r="G179" s="47">
        <f>_xlfn.XLOOKUP(C179,SkillActive!$A:$A,SkillActive!E:E,,0)</f>
        <v/>
      </c>
      <c r="H179" s="47">
        <f>_xlfn.XLOOKUP(E179,SkillActive!B:B,SkillActive!K:K,,0)</f>
        <v/>
      </c>
    </row>
    <row r="180">
      <c r="A180" s="25">
        <f>C180*100+D180</f>
        <v/>
      </c>
      <c r="B180" s="42">
        <f>_xlfn.XLOOKUP(C180,SkillActive!$A:$A,SkillActive!C:C,,0)</f>
        <v/>
      </c>
      <c r="C180" s="25">
        <f>C164+1</f>
        <v/>
      </c>
      <c r="D180" s="25">
        <f>D164</f>
        <v/>
      </c>
      <c r="E180" s="25">
        <f t="array" ref="E180">_xlfn.XLOOKUP(C180,SkillActive!A:A,INDEX(SkillActive!A:AA,0,MATCH("name",SkillActive!$2:$2,0)),,0)</f>
        <v/>
      </c>
      <c r="F180" s="47">
        <f>D180</f>
        <v/>
      </c>
      <c r="G180" s="47">
        <f>_xlfn.XLOOKUP(C180,SkillActive!$A:$A,SkillActive!E:E,,0)</f>
        <v/>
      </c>
      <c r="H180" s="47">
        <f>_xlfn.XLOOKUP(E180,SkillActive!B:B,SkillActive!K:K,,0)</f>
        <v/>
      </c>
    </row>
    <row r="181">
      <c r="A181" s="25">
        <f>C181*100+D181</f>
        <v/>
      </c>
      <c r="B181" s="42">
        <f>_xlfn.XLOOKUP(C181,SkillActive!$A:$A,SkillActive!C:C,,0)</f>
        <v/>
      </c>
      <c r="C181" s="25">
        <f>C165+1</f>
        <v/>
      </c>
      <c r="D181" s="25" t="n">
        <v>2</v>
      </c>
      <c r="E181" s="25">
        <f t="array" ref="E181">_xlfn.XLOOKUP(C181,SkillActive!A:A,INDEX(SkillActive!A:AA,0,MATCH("name",SkillActive!$2:$2,0)),,0)</f>
        <v/>
      </c>
      <c r="F181" s="47">
        <f>D181</f>
        <v/>
      </c>
      <c r="G181" s="47">
        <f>_xlfn.XLOOKUP(C181,SkillActive!$A:$A,SkillActive!E:E,,0)</f>
        <v/>
      </c>
      <c r="H181" s="47">
        <f>_xlfn.XLOOKUP(E181,SkillActive!B:B,SkillActive!K:K,,0)</f>
        <v/>
      </c>
    </row>
    <row r="182">
      <c r="A182" s="25">
        <f>C182*100+D182</f>
        <v/>
      </c>
      <c r="B182" s="42">
        <f>_xlfn.XLOOKUP(C182,SkillActive!$A:$A,SkillActive!C:C,,0)</f>
        <v/>
      </c>
      <c r="C182" s="25">
        <f>C166+1</f>
        <v/>
      </c>
      <c r="D182" s="25">
        <f>D166</f>
        <v/>
      </c>
      <c r="E182" s="25">
        <f t="array" ref="E182">_xlfn.XLOOKUP(C182,SkillActive!A:A,INDEX(SkillActive!A:AA,0,MATCH("name",SkillActive!$2:$2,0)),,0)</f>
        <v/>
      </c>
      <c r="F182" s="47">
        <f>D182</f>
        <v/>
      </c>
      <c r="G182" s="47">
        <f>_xlfn.XLOOKUP(C182,SkillActive!$A:$A,SkillActive!E:E,,0)</f>
        <v/>
      </c>
      <c r="H182" s="47">
        <f>_xlfn.XLOOKUP(E182,SkillActive!B:B,SkillActive!K:K,,0)</f>
        <v/>
      </c>
    </row>
    <row r="183">
      <c r="A183" s="25">
        <f>C183*100+D183</f>
        <v/>
      </c>
      <c r="B183" s="42">
        <f>_xlfn.XLOOKUP(C183,SkillActive!$A:$A,SkillActive!C:C,,0)</f>
        <v/>
      </c>
      <c r="C183" s="25">
        <f>C167+1</f>
        <v/>
      </c>
      <c r="D183" s="25" t="n">
        <v>4</v>
      </c>
      <c r="E183" s="25">
        <f t="array" ref="E183">_xlfn.XLOOKUP(C183,SkillActive!A:A,INDEX(SkillActive!A:AA,0,MATCH("name",SkillActive!$2:$2,0)),,0)</f>
        <v/>
      </c>
      <c r="F183" s="47">
        <f>D183</f>
        <v/>
      </c>
      <c r="G183" s="47">
        <f>_xlfn.XLOOKUP(C183,SkillActive!$A:$A,SkillActive!E:E,,0)</f>
        <v/>
      </c>
      <c r="H183" s="47">
        <f>_xlfn.XLOOKUP(E183,SkillActive!B:B,SkillActive!K:K,,0)</f>
        <v/>
      </c>
    </row>
    <row r="184">
      <c r="A184" s="25">
        <f>C184*100+D184</f>
        <v/>
      </c>
      <c r="B184" s="42">
        <f>_xlfn.XLOOKUP(C184,SkillActive!$A:$A,SkillActive!C:C,,0)</f>
        <v/>
      </c>
      <c r="C184" s="25">
        <f>C168+1</f>
        <v/>
      </c>
      <c r="D184" s="25">
        <f>D168</f>
        <v/>
      </c>
      <c r="E184" s="25">
        <f t="array" ref="E184">_xlfn.XLOOKUP(C184,SkillActive!A:A,INDEX(SkillActive!A:AA,0,MATCH("name",SkillActive!$2:$2,0)),,0)</f>
        <v/>
      </c>
      <c r="F184" s="47">
        <f>D184</f>
        <v/>
      </c>
      <c r="G184" s="47">
        <f>_xlfn.XLOOKUP(C184,SkillActive!$A:$A,SkillActive!E:E,,0)</f>
        <v/>
      </c>
      <c r="H184" s="47">
        <f>_xlfn.XLOOKUP(E184,SkillActive!B:B,SkillActive!K:K,,0)</f>
        <v/>
      </c>
    </row>
    <row r="185">
      <c r="A185" s="25">
        <f>C185*100+D185</f>
        <v/>
      </c>
      <c r="B185" s="42">
        <f>_xlfn.XLOOKUP(C185,SkillActive!$A:$A,SkillActive!C:C,,0)</f>
        <v/>
      </c>
      <c r="C185" s="25">
        <f>C169+1</f>
        <v/>
      </c>
      <c r="D185" s="25">
        <f>D169</f>
        <v/>
      </c>
      <c r="E185" s="25">
        <f t="array" ref="E185">_xlfn.XLOOKUP(C185,SkillActive!A:A,INDEX(SkillActive!A:AA,0,MATCH("name",SkillActive!$2:$2,0)),,0)</f>
        <v/>
      </c>
      <c r="F185" s="47">
        <f>D185</f>
        <v/>
      </c>
      <c r="G185" s="47">
        <f>_xlfn.XLOOKUP(C185,SkillActive!$A:$A,SkillActive!E:E,,0)</f>
        <v/>
      </c>
      <c r="H185" s="47">
        <f>_xlfn.XLOOKUP(E185,SkillActive!B:B,SkillActive!K:K,,0)</f>
        <v/>
      </c>
    </row>
    <row r="186">
      <c r="A186" s="25">
        <f>C186*100+D186</f>
        <v/>
      </c>
      <c r="B186" s="42">
        <f>_xlfn.XLOOKUP(C186,SkillActive!$A:$A,SkillActive!C:C,,0)</f>
        <v/>
      </c>
      <c r="C186" s="25">
        <f>C170+1</f>
        <v/>
      </c>
      <c r="D186" s="25">
        <f>D170</f>
        <v/>
      </c>
      <c r="E186" s="25">
        <f t="array" ref="E186">_xlfn.XLOOKUP(C186,SkillActive!A:A,INDEX(SkillActive!A:AA,0,MATCH("name",SkillActive!$2:$2,0)),,0)</f>
        <v/>
      </c>
      <c r="F186" s="47">
        <f>D186</f>
        <v/>
      </c>
      <c r="G186" s="47">
        <f>_xlfn.XLOOKUP(C186,SkillActive!$A:$A,SkillActive!E:E,,0)</f>
        <v/>
      </c>
      <c r="H186" s="47">
        <f>_xlfn.XLOOKUP(E186,SkillActive!B:B,SkillActive!K:K,,0)</f>
        <v/>
      </c>
    </row>
    <row r="187">
      <c r="A187" s="25">
        <f>C187*100+D187</f>
        <v/>
      </c>
      <c r="B187" s="42">
        <f>_xlfn.XLOOKUP(C187,SkillActive!$A:$A,SkillActive!C:C,,0)</f>
        <v/>
      </c>
      <c r="C187" s="25">
        <f>C171+1</f>
        <v/>
      </c>
      <c r="D187" s="25">
        <f>D171</f>
        <v/>
      </c>
      <c r="E187" s="25">
        <f t="array" ref="E187">_xlfn.XLOOKUP(C187,SkillActive!A:A,INDEX(SkillActive!A:AA,0,MATCH("name",SkillActive!$2:$2,0)),,0)</f>
        <v/>
      </c>
      <c r="F187" s="47">
        <f>D187</f>
        <v/>
      </c>
      <c r="G187" s="47">
        <f>_xlfn.XLOOKUP(C187,SkillActive!$A:$A,SkillActive!E:E,,0)</f>
        <v/>
      </c>
      <c r="H187" s="47">
        <f>_xlfn.XLOOKUP(E187,SkillActive!B:B,SkillActive!K:K,,0)</f>
        <v/>
      </c>
    </row>
    <row r="188">
      <c r="A188" s="25">
        <f>C188*100+D188</f>
        <v/>
      </c>
      <c r="B188" s="42">
        <f>_xlfn.XLOOKUP(C188,SkillActive!$A:$A,SkillActive!C:C,,0)</f>
        <v/>
      </c>
      <c r="C188" s="25">
        <f>C172+1</f>
        <v/>
      </c>
      <c r="D188" s="25">
        <f>D172</f>
        <v/>
      </c>
      <c r="E188" s="25">
        <f t="array" ref="E188">_xlfn.XLOOKUP(C188,SkillActive!A:A,INDEX(SkillActive!A:AA,0,MATCH("name",SkillActive!$2:$2,0)),,0)</f>
        <v/>
      </c>
      <c r="F188" s="47">
        <f>D188</f>
        <v/>
      </c>
      <c r="G188" s="47">
        <f>_xlfn.XLOOKUP(C188,SkillActive!$A:$A,SkillActive!E:E,,0)</f>
        <v/>
      </c>
      <c r="H188" s="47">
        <f>_xlfn.XLOOKUP(E188,SkillActive!B:B,SkillActive!K:K,,0)</f>
        <v/>
      </c>
    </row>
    <row r="189">
      <c r="A189" s="25">
        <f>C189*100+D189</f>
        <v/>
      </c>
      <c r="B189" s="42">
        <f>_xlfn.XLOOKUP(C189,SkillActive!$A:$A,SkillActive!C:C,,0)</f>
        <v/>
      </c>
      <c r="C189" s="25">
        <f>C173+1</f>
        <v/>
      </c>
      <c r="D189" s="25">
        <f>D173</f>
        <v/>
      </c>
      <c r="E189" s="25">
        <f t="array" ref="E189">_xlfn.XLOOKUP(C189,SkillActive!A:A,INDEX(SkillActive!A:AA,0,MATCH("name",SkillActive!$2:$2,0)),,0)</f>
        <v/>
      </c>
      <c r="F189" s="47">
        <f>D189</f>
        <v/>
      </c>
      <c r="G189" s="47">
        <f>_xlfn.XLOOKUP(C189,SkillActive!$A:$A,SkillActive!E:E,,0)</f>
        <v/>
      </c>
      <c r="H189" s="47">
        <f>_xlfn.XLOOKUP(E189,SkillActive!B:B,SkillActive!K:K,,0)</f>
        <v/>
      </c>
    </row>
    <row r="190">
      <c r="A190" s="25">
        <f>C190*100+D190</f>
        <v/>
      </c>
      <c r="B190" s="42">
        <f>_xlfn.XLOOKUP(C190,SkillActive!$A:$A,SkillActive!C:C,,0)</f>
        <v/>
      </c>
      <c r="C190" s="25">
        <f>C174+1</f>
        <v/>
      </c>
      <c r="D190" s="25">
        <f>D174</f>
        <v/>
      </c>
      <c r="E190" s="25">
        <f t="array" ref="E190">_xlfn.XLOOKUP(C190,SkillActive!A:A,INDEX(SkillActive!A:AA,0,MATCH("name",SkillActive!$2:$2,0)),,0)</f>
        <v/>
      </c>
      <c r="F190" s="47">
        <f>D190</f>
        <v/>
      </c>
      <c r="G190" s="47">
        <f>_xlfn.XLOOKUP(C190,SkillActive!$A:$A,SkillActive!E:E,,0)</f>
        <v/>
      </c>
      <c r="H190" s="47">
        <f>_xlfn.XLOOKUP(E190,SkillActive!B:B,SkillActive!K:K,,0)</f>
        <v/>
      </c>
    </row>
    <row r="191">
      <c r="A191" s="25">
        <f>C191*100+D191</f>
        <v/>
      </c>
      <c r="B191" s="42">
        <f>_xlfn.XLOOKUP(C191,SkillActive!$A:$A,SkillActive!C:C,,0)</f>
        <v/>
      </c>
      <c r="C191" s="25">
        <f>C175+1</f>
        <v/>
      </c>
      <c r="D191" s="25">
        <f>D175</f>
        <v/>
      </c>
      <c r="E191" s="25">
        <f t="array" ref="E191">_xlfn.XLOOKUP(C191,SkillActive!A:A,INDEX(SkillActive!A:AA,0,MATCH("name",SkillActive!$2:$2,0)),,0)</f>
        <v/>
      </c>
      <c r="F191" s="47">
        <f>D191</f>
        <v/>
      </c>
      <c r="G191" s="47">
        <f>_xlfn.XLOOKUP(C191,SkillActive!$A:$A,SkillActive!E:E,,0)</f>
        <v/>
      </c>
      <c r="H191" s="47">
        <f>_xlfn.XLOOKUP(E191,SkillActive!B:B,SkillActive!K:K,,0)</f>
        <v/>
      </c>
    </row>
    <row r="192">
      <c r="A192" s="25">
        <f>C192*100+D192</f>
        <v/>
      </c>
      <c r="B192" s="42">
        <f>_xlfn.XLOOKUP(C192,SkillActive!$A:$A,SkillActive!C:C,,0)</f>
        <v/>
      </c>
      <c r="C192" s="25">
        <f>C176+1</f>
        <v/>
      </c>
      <c r="D192" s="25">
        <f>D176</f>
        <v/>
      </c>
      <c r="E192" s="25">
        <f t="array" ref="E192">_xlfn.XLOOKUP(C192,SkillActive!A:A,INDEX(SkillActive!A:AA,0,MATCH("name",SkillActive!$2:$2,0)),,0)</f>
        <v/>
      </c>
      <c r="F192" s="47">
        <f>D192</f>
        <v/>
      </c>
      <c r="G192" s="47">
        <f>_xlfn.XLOOKUP(C192,SkillActive!$A:$A,SkillActive!E:E,,0)</f>
        <v/>
      </c>
      <c r="H192" s="47">
        <f>_xlfn.XLOOKUP(E192,SkillActive!B:B,SkillActive!K:K,,0)</f>
        <v/>
      </c>
    </row>
    <row r="193">
      <c r="A193" s="25">
        <f>C193*100+D193</f>
        <v/>
      </c>
      <c r="B193" s="42">
        <f>_xlfn.XLOOKUP(C193,SkillActive!$A:$A,SkillActive!C:C,,0)</f>
        <v/>
      </c>
      <c r="C193" s="25">
        <f>C177+1</f>
        <v/>
      </c>
      <c r="D193" s="25">
        <f>D177</f>
        <v/>
      </c>
      <c r="E193" s="25">
        <f t="array" ref="E193">_xlfn.XLOOKUP(C193,SkillActive!A:A,INDEX(SkillActive!A:AA,0,MATCH("name",SkillActive!$2:$2,0)),,0)</f>
        <v/>
      </c>
      <c r="F193" s="47">
        <f>D193</f>
        <v/>
      </c>
      <c r="G193" s="47">
        <f>_xlfn.XLOOKUP(C193,SkillActive!$A:$A,SkillActive!E:E,,0)</f>
        <v/>
      </c>
      <c r="H193" s="47">
        <f>_xlfn.XLOOKUP(E193,SkillActive!B:B,SkillActive!K:K,,0)</f>
        <v/>
      </c>
    </row>
    <row r="194">
      <c r="A194" s="25">
        <f>C194*100+D194</f>
        <v/>
      </c>
      <c r="B194" s="42">
        <f>_xlfn.XLOOKUP(C194,SkillActive!$A:$A,SkillActive!C:C,,0)</f>
        <v/>
      </c>
      <c r="C194" s="25">
        <f>C178+1</f>
        <v/>
      </c>
      <c r="D194" s="25">
        <f>D178</f>
        <v/>
      </c>
      <c r="E194" s="25">
        <f t="array" ref="E194">_xlfn.XLOOKUP(C194,SkillActive!A:A,INDEX(SkillActive!A:AA,0,MATCH("name",SkillActive!$2:$2,0)),,0)</f>
        <v/>
      </c>
      <c r="F194" s="47">
        <f>D194</f>
        <v/>
      </c>
      <c r="G194" s="47">
        <f>_xlfn.XLOOKUP(C194,SkillActive!$A:$A,SkillActive!E:E,,0)</f>
        <v/>
      </c>
      <c r="H194" s="47">
        <f>_xlfn.XLOOKUP(E194,SkillActive!B:B,SkillActive!K:K,,0)</f>
        <v/>
      </c>
    </row>
    <row r="195">
      <c r="A195" s="25">
        <f>C195*100+D195</f>
        <v/>
      </c>
      <c r="B195" s="42">
        <f>_xlfn.XLOOKUP(C195,SkillActive!$A:$A,SkillActive!C:C,,0)</f>
        <v/>
      </c>
      <c r="C195" s="25">
        <f>C179+1</f>
        <v/>
      </c>
      <c r="D195" s="25">
        <f>D179</f>
        <v/>
      </c>
      <c r="E195" s="25">
        <f t="array" ref="E195">_xlfn.XLOOKUP(C195,SkillActive!A:A,INDEX(SkillActive!A:AA,0,MATCH("name",SkillActive!$2:$2,0)),,0)</f>
        <v/>
      </c>
      <c r="F195" s="47">
        <f>D195</f>
        <v/>
      </c>
      <c r="G195" s="47">
        <f>_xlfn.XLOOKUP(C195,SkillActive!$A:$A,SkillActive!E:E,,0)</f>
        <v/>
      </c>
      <c r="H195" s="47">
        <f>_xlfn.XLOOKUP(E195,SkillActive!B:B,SkillActive!K:K,,0)</f>
        <v/>
      </c>
    </row>
    <row r="196">
      <c r="A196" s="25">
        <f>C196*100+D196</f>
        <v/>
      </c>
      <c r="B196" s="42">
        <f>_xlfn.XLOOKUP(C196,SkillActive!$A:$A,SkillActive!C:C,,0)</f>
        <v/>
      </c>
      <c r="C196" s="25">
        <f>C180+1</f>
        <v/>
      </c>
      <c r="D196" s="25">
        <f>D180</f>
        <v/>
      </c>
      <c r="E196" s="25">
        <f t="array" ref="E196">_xlfn.XLOOKUP(C196,SkillActive!A:A,INDEX(SkillActive!A:AA,0,MATCH("name",SkillActive!$2:$2,0)),,0)</f>
        <v/>
      </c>
      <c r="F196" s="47">
        <f>D196</f>
        <v/>
      </c>
      <c r="G196" s="47">
        <f>_xlfn.XLOOKUP(C196,SkillActive!$A:$A,SkillActive!E:E,,0)</f>
        <v/>
      </c>
      <c r="H196" s="47">
        <f>_xlfn.XLOOKUP(E196,SkillActive!B:B,SkillActive!K:K,,0)</f>
        <v/>
      </c>
    </row>
    <row r="197">
      <c r="A197" s="25">
        <f>C197*100+D197</f>
        <v/>
      </c>
      <c r="B197" s="42">
        <f>_xlfn.XLOOKUP(C197,SkillActive!$A:$A,SkillActive!C:C,,0)</f>
        <v/>
      </c>
      <c r="C197" s="25">
        <f>C181+1</f>
        <v/>
      </c>
      <c r="D197" s="25">
        <f>D181</f>
        <v/>
      </c>
      <c r="E197" s="25">
        <f t="array" ref="E197">_xlfn.XLOOKUP(C197,SkillActive!A:A,INDEX(SkillActive!A:AA,0,MATCH("name",SkillActive!$2:$2,0)),,0)</f>
        <v/>
      </c>
      <c r="F197" s="47">
        <f>D197</f>
        <v/>
      </c>
      <c r="G197" s="47">
        <f>_xlfn.XLOOKUP(C197,SkillActive!$A:$A,SkillActive!E:E,,0)</f>
        <v/>
      </c>
      <c r="H197" s="47">
        <f>_xlfn.XLOOKUP(E197,SkillActive!B:B,SkillActive!K:K,,0)</f>
        <v/>
      </c>
    </row>
    <row r="198">
      <c r="A198" s="25">
        <f>C198*100+D198</f>
        <v/>
      </c>
      <c r="B198" s="42">
        <f>_xlfn.XLOOKUP(C198,SkillActive!$A:$A,SkillActive!C:C,,0)</f>
        <v/>
      </c>
      <c r="C198" s="25">
        <f>C182+1</f>
        <v/>
      </c>
      <c r="D198" s="25">
        <f>D182</f>
        <v/>
      </c>
      <c r="E198" s="25">
        <f t="array" ref="E198">_xlfn.XLOOKUP(C198,SkillActive!A:A,INDEX(SkillActive!A:AA,0,MATCH("name",SkillActive!$2:$2,0)),,0)</f>
        <v/>
      </c>
      <c r="F198" s="47">
        <f>D198</f>
        <v/>
      </c>
      <c r="G198" s="47">
        <f>_xlfn.XLOOKUP(C198,SkillActive!$A:$A,SkillActive!E:E,,0)</f>
        <v/>
      </c>
      <c r="H198" s="47">
        <f>_xlfn.XLOOKUP(E198,SkillActive!B:B,SkillActive!K:K,,0)</f>
        <v/>
      </c>
    </row>
    <row r="199">
      <c r="A199" s="25">
        <f>C199*100+D199</f>
        <v/>
      </c>
      <c r="B199" s="42">
        <f>_xlfn.XLOOKUP(C199,SkillActive!$A:$A,SkillActive!C:C,,0)</f>
        <v/>
      </c>
      <c r="C199" s="25">
        <f>C183+1</f>
        <v/>
      </c>
      <c r="D199" s="25">
        <f>D183</f>
        <v/>
      </c>
      <c r="E199" s="25">
        <f t="array" ref="E199">_xlfn.XLOOKUP(C199,SkillActive!A:A,INDEX(SkillActive!A:AA,0,MATCH("name",SkillActive!$2:$2,0)),,0)</f>
        <v/>
      </c>
      <c r="F199" s="47">
        <f>D199</f>
        <v/>
      </c>
      <c r="G199" s="47">
        <f>_xlfn.XLOOKUP(C199,SkillActive!$A:$A,SkillActive!E:E,,0)</f>
        <v/>
      </c>
      <c r="H199" s="47">
        <f>_xlfn.XLOOKUP(E199,SkillActive!B:B,SkillActive!K:K,,0)</f>
        <v/>
      </c>
    </row>
    <row r="200">
      <c r="A200" s="25">
        <f>C200*100+D200</f>
        <v/>
      </c>
      <c r="B200" s="42">
        <f>_xlfn.XLOOKUP(C200,SkillActive!$A:$A,SkillActive!C:C,,0)</f>
        <v/>
      </c>
      <c r="C200" s="25">
        <f>C184+1</f>
        <v/>
      </c>
      <c r="D200" s="25">
        <f>D184</f>
        <v/>
      </c>
      <c r="E200" s="25">
        <f t="array" ref="E200">_xlfn.XLOOKUP(C200,SkillActive!A:A,INDEX(SkillActive!A:AA,0,MATCH("name",SkillActive!$2:$2,0)),,0)</f>
        <v/>
      </c>
      <c r="F200" s="47">
        <f>D200</f>
        <v/>
      </c>
      <c r="G200" s="47">
        <f>_xlfn.XLOOKUP(C200,SkillActive!$A:$A,SkillActive!E:E,,0)</f>
        <v/>
      </c>
      <c r="H200" s="47">
        <f>_xlfn.XLOOKUP(E200,SkillActive!B:B,SkillActive!K:K,,0)</f>
        <v/>
      </c>
    </row>
    <row r="201">
      <c r="A201" s="25">
        <f>C201*100+D201</f>
        <v/>
      </c>
      <c r="B201" s="42">
        <f>_xlfn.XLOOKUP(C201,SkillActive!$A:$A,SkillActive!C:C,,0)</f>
        <v/>
      </c>
      <c r="C201" s="25">
        <f>C185+1</f>
        <v/>
      </c>
      <c r="D201" s="25">
        <f>D185</f>
        <v/>
      </c>
      <c r="E201" s="25">
        <f t="array" ref="E201">_xlfn.XLOOKUP(C201,SkillActive!A:A,INDEX(SkillActive!A:AA,0,MATCH("name",SkillActive!$2:$2,0)),,0)</f>
        <v/>
      </c>
      <c r="F201" s="47">
        <f>D201</f>
        <v/>
      </c>
      <c r="G201" s="47">
        <f>_xlfn.XLOOKUP(C201,SkillActive!$A:$A,SkillActive!E:E,,0)</f>
        <v/>
      </c>
      <c r="H201" s="47">
        <f>_xlfn.XLOOKUP(E201,SkillActive!B:B,SkillActive!K:K,,0)</f>
        <v/>
      </c>
    </row>
    <row r="202">
      <c r="A202" s="25">
        <f>C202*100+D202</f>
        <v/>
      </c>
      <c r="B202" s="42">
        <f>_xlfn.XLOOKUP(C202,SkillActive!$A:$A,SkillActive!C:C,,0)</f>
        <v/>
      </c>
      <c r="C202" s="25">
        <f>C186+1</f>
        <v/>
      </c>
      <c r="D202" s="25">
        <f>D186</f>
        <v/>
      </c>
      <c r="E202" s="25">
        <f t="array" ref="E202">_xlfn.XLOOKUP(C202,SkillActive!A:A,INDEX(SkillActive!A:AA,0,MATCH("name",SkillActive!$2:$2,0)),,0)</f>
        <v/>
      </c>
      <c r="F202" s="47">
        <f>D202</f>
        <v/>
      </c>
      <c r="G202" s="47">
        <f>_xlfn.XLOOKUP(C202,SkillActive!$A:$A,SkillActive!E:E,,0)</f>
        <v/>
      </c>
      <c r="H202" s="47">
        <f>_xlfn.XLOOKUP(E202,SkillActive!B:B,SkillActive!K:K,,0)</f>
        <v/>
      </c>
    </row>
    <row r="203">
      <c r="A203" s="25">
        <f>C203*100+D203</f>
        <v/>
      </c>
      <c r="B203" s="42">
        <f>_xlfn.XLOOKUP(C203,SkillActive!$A:$A,SkillActive!C:C,,0)</f>
        <v/>
      </c>
      <c r="C203" s="25">
        <f>C187+1</f>
        <v/>
      </c>
      <c r="D203" s="25">
        <f>D187</f>
        <v/>
      </c>
      <c r="E203" s="25">
        <f t="array" ref="E203">_xlfn.XLOOKUP(C203,SkillActive!A:A,INDEX(SkillActive!A:AA,0,MATCH("name",SkillActive!$2:$2,0)),,0)</f>
        <v/>
      </c>
      <c r="F203" s="47">
        <f>D203</f>
        <v/>
      </c>
      <c r="G203" s="47">
        <f>_xlfn.XLOOKUP(C203,SkillActive!$A:$A,SkillActive!E:E,,0)</f>
        <v/>
      </c>
      <c r="H203" s="47">
        <f>_xlfn.XLOOKUP(E203,SkillActive!B:B,SkillActive!K:K,,0)</f>
        <v/>
      </c>
    </row>
    <row r="204">
      <c r="A204" s="25">
        <f>C204*100+D204</f>
        <v/>
      </c>
      <c r="B204" s="42">
        <f>_xlfn.XLOOKUP(C204,SkillActive!$A:$A,SkillActive!C:C,,0)</f>
        <v/>
      </c>
      <c r="C204" s="25">
        <f>C188+1</f>
        <v/>
      </c>
      <c r="D204" s="25">
        <f>D188</f>
        <v/>
      </c>
      <c r="E204" s="25">
        <f t="array" ref="E204">_xlfn.XLOOKUP(C204,SkillActive!A:A,INDEX(SkillActive!A:AA,0,MATCH("name",SkillActive!$2:$2,0)),,0)</f>
        <v/>
      </c>
      <c r="F204" s="47">
        <f>D204</f>
        <v/>
      </c>
      <c r="G204" s="47">
        <f>_xlfn.XLOOKUP(C204,SkillActive!$A:$A,SkillActive!E:E,,0)</f>
        <v/>
      </c>
      <c r="H204" s="47">
        <f>_xlfn.XLOOKUP(E204,SkillActive!B:B,SkillActive!K:K,,0)</f>
        <v/>
      </c>
    </row>
    <row r="205">
      <c r="A205" s="25">
        <f>C205*100+D205</f>
        <v/>
      </c>
      <c r="B205" s="42">
        <f>_xlfn.XLOOKUP(C205,SkillActive!$A:$A,SkillActive!C:C,,0)</f>
        <v/>
      </c>
      <c r="C205" s="25">
        <f>C189+1</f>
        <v/>
      </c>
      <c r="D205" s="25">
        <f>D189</f>
        <v/>
      </c>
      <c r="E205" s="25">
        <f t="array" ref="E205">_xlfn.XLOOKUP(C205,SkillActive!A:A,INDEX(SkillActive!A:AA,0,MATCH("name",SkillActive!$2:$2,0)),,0)</f>
        <v/>
      </c>
      <c r="F205" s="47">
        <f>D205</f>
        <v/>
      </c>
      <c r="G205" s="47">
        <f>_xlfn.XLOOKUP(C205,SkillActive!$A:$A,SkillActive!E:E,,0)</f>
        <v/>
      </c>
      <c r="H205" s="47">
        <f>_xlfn.XLOOKUP(E205,SkillActive!B:B,SkillActive!K:K,,0)</f>
        <v/>
      </c>
    </row>
    <row r="206">
      <c r="A206" s="25">
        <f>C206*100+D206</f>
        <v/>
      </c>
      <c r="B206" s="42">
        <f>_xlfn.XLOOKUP(C206,SkillActive!$A:$A,SkillActive!C:C,,0)</f>
        <v/>
      </c>
      <c r="C206" s="25">
        <f>C190+1</f>
        <v/>
      </c>
      <c r="D206" s="25">
        <f>D190</f>
        <v/>
      </c>
      <c r="E206" s="25">
        <f t="array" ref="E206">_xlfn.XLOOKUP(C206,SkillActive!A:A,INDEX(SkillActive!A:AA,0,MATCH("name",SkillActive!$2:$2,0)),,0)</f>
        <v/>
      </c>
      <c r="F206" s="47">
        <f>D206</f>
        <v/>
      </c>
      <c r="G206" s="47">
        <f>_xlfn.XLOOKUP(C206,SkillActive!$A:$A,SkillActive!E:E,,0)</f>
        <v/>
      </c>
      <c r="H206" s="47">
        <f>_xlfn.XLOOKUP(E206,SkillActive!B:B,SkillActive!K:K,,0)</f>
        <v/>
      </c>
    </row>
    <row r="207">
      <c r="A207" s="25">
        <f>C207*100+D207</f>
        <v/>
      </c>
      <c r="B207" s="42">
        <f>_xlfn.XLOOKUP(C207,SkillActive!$A:$A,SkillActive!C:C,,0)</f>
        <v/>
      </c>
      <c r="C207" s="25">
        <f>C191+1</f>
        <v/>
      </c>
      <c r="D207" s="25">
        <f>D191</f>
        <v/>
      </c>
      <c r="E207" s="25">
        <f t="array" ref="E207">_xlfn.XLOOKUP(C207,SkillActive!A:A,INDEX(SkillActive!A:AA,0,MATCH("name",SkillActive!$2:$2,0)),,0)</f>
        <v/>
      </c>
      <c r="F207" s="47">
        <f>D207</f>
        <v/>
      </c>
      <c r="G207" s="47">
        <f>_xlfn.XLOOKUP(C207,SkillActive!$A:$A,SkillActive!E:E,,0)</f>
        <v/>
      </c>
      <c r="H207" s="47">
        <f>_xlfn.XLOOKUP(E207,SkillActive!B:B,SkillActive!K:K,,0)</f>
        <v/>
      </c>
    </row>
    <row r="208">
      <c r="A208" s="25">
        <f>C208*100+D208</f>
        <v/>
      </c>
      <c r="B208" s="42">
        <f>_xlfn.XLOOKUP(C208,SkillActive!$A:$A,SkillActive!C:C,,0)</f>
        <v/>
      </c>
      <c r="C208" s="25">
        <f>C192+1</f>
        <v/>
      </c>
      <c r="D208" s="25">
        <f>D192</f>
        <v/>
      </c>
      <c r="E208" s="25">
        <f t="array" ref="E208">_xlfn.XLOOKUP(C208,SkillActive!A:A,INDEX(SkillActive!A:AA,0,MATCH("name",SkillActive!$2:$2,0)),,0)</f>
        <v/>
      </c>
      <c r="F208" s="47">
        <f>D208</f>
        <v/>
      </c>
      <c r="G208" s="47">
        <f>_xlfn.XLOOKUP(C208,SkillActive!$A:$A,SkillActive!E:E,,0)</f>
        <v/>
      </c>
      <c r="H208" s="47">
        <f>_xlfn.XLOOKUP(E208,SkillActive!B:B,SkillActive!K:K,,0)</f>
        <v/>
      </c>
    </row>
    <row r="209">
      <c r="A209" s="25">
        <f>C209*100+D209</f>
        <v/>
      </c>
      <c r="B209" s="42">
        <f>_xlfn.XLOOKUP(C209,SkillActive!$A:$A,SkillActive!C:C,,0)</f>
        <v/>
      </c>
      <c r="C209" s="25">
        <f>C193+1</f>
        <v/>
      </c>
      <c r="D209" s="25">
        <f>D193</f>
        <v/>
      </c>
      <c r="E209" s="25">
        <f t="array" ref="E209">_xlfn.XLOOKUP(C209,SkillActive!A:A,INDEX(SkillActive!A:AA,0,MATCH("name",SkillActive!$2:$2,0)),,0)</f>
        <v/>
      </c>
      <c r="F209" s="47">
        <f>D209</f>
        <v/>
      </c>
      <c r="G209" s="47">
        <f>_xlfn.XLOOKUP(C209,SkillActive!$A:$A,SkillActive!E:E,,0)</f>
        <v/>
      </c>
      <c r="H209" s="47">
        <f>_xlfn.XLOOKUP(E209,SkillActive!B:B,SkillActive!K:K,,0)</f>
        <v/>
      </c>
    </row>
    <row r="210">
      <c r="A210" s="25">
        <f>C210*100+D210</f>
        <v/>
      </c>
      <c r="B210" s="42">
        <f>_xlfn.XLOOKUP(C210,SkillActive!$A:$A,SkillActive!C:C,,0)</f>
        <v/>
      </c>
      <c r="C210" s="25">
        <f>C194+1</f>
        <v/>
      </c>
      <c r="D210" s="25">
        <f>D194</f>
        <v/>
      </c>
      <c r="E210" s="25">
        <f t="array" ref="E210">_xlfn.XLOOKUP(C210,SkillActive!A:A,INDEX(SkillActive!A:AA,0,MATCH("name",SkillActive!$2:$2,0)),,0)</f>
        <v/>
      </c>
      <c r="F210" s="47">
        <f>D210</f>
        <v/>
      </c>
      <c r="G210" s="47">
        <f>_xlfn.XLOOKUP(C210,SkillActive!$A:$A,SkillActive!E:E,,0)</f>
        <v/>
      </c>
      <c r="H210" s="47">
        <f>_xlfn.XLOOKUP(E210,SkillActive!B:B,SkillActive!K:K,,0)</f>
        <v/>
      </c>
    </row>
    <row r="211">
      <c r="A211" s="25">
        <f>C211*100+D211</f>
        <v/>
      </c>
      <c r="B211" s="42">
        <f>_xlfn.XLOOKUP(C211,SkillActive!$A:$A,SkillActive!C:C,,0)</f>
        <v/>
      </c>
      <c r="C211" s="25">
        <f>C195+1</f>
        <v/>
      </c>
      <c r="D211" s="25">
        <f>D195</f>
        <v/>
      </c>
      <c r="E211" s="25">
        <f t="array" ref="E211">_xlfn.XLOOKUP(C211,SkillActive!A:A,INDEX(SkillActive!A:AA,0,MATCH("name",SkillActive!$2:$2,0)),,0)</f>
        <v/>
      </c>
      <c r="F211" s="47">
        <f>D211</f>
        <v/>
      </c>
      <c r="G211" s="47">
        <f>_xlfn.XLOOKUP(C211,SkillActive!$A:$A,SkillActive!E:E,,0)</f>
        <v/>
      </c>
      <c r="H211" s="47">
        <f>_xlfn.XLOOKUP(E211,SkillActive!B:B,SkillActive!K:K,,0)</f>
        <v/>
      </c>
    </row>
    <row r="212">
      <c r="A212" s="25">
        <f>C212*100+D212</f>
        <v/>
      </c>
      <c r="B212" s="42">
        <f>_xlfn.XLOOKUP(C212,SkillActive!$A:$A,SkillActive!C:C,,0)</f>
        <v/>
      </c>
      <c r="C212" s="25">
        <f>C196+1</f>
        <v/>
      </c>
      <c r="D212" s="25">
        <f>D196</f>
        <v/>
      </c>
      <c r="E212" s="25">
        <f t="array" ref="E212">_xlfn.XLOOKUP(C212,SkillActive!A:A,INDEX(SkillActive!A:AA,0,MATCH("name",SkillActive!$2:$2,0)),,0)</f>
        <v/>
      </c>
      <c r="F212" s="47">
        <f>D212</f>
        <v/>
      </c>
      <c r="G212" s="47">
        <f>_xlfn.XLOOKUP(C212,SkillActive!$A:$A,SkillActive!E:E,,0)</f>
        <v/>
      </c>
      <c r="H212" s="47">
        <f>_xlfn.XLOOKUP(E212,SkillActive!B:B,SkillActive!K:K,,0)</f>
        <v/>
      </c>
    </row>
    <row r="213">
      <c r="A213" s="25">
        <f>C213*100+D213</f>
        <v/>
      </c>
      <c r="B213" s="42">
        <f>_xlfn.XLOOKUP(C213,SkillActive!$A:$A,SkillActive!C:C,,0)</f>
        <v/>
      </c>
      <c r="C213" s="25">
        <f>C197+1</f>
        <v/>
      </c>
      <c r="D213" s="25">
        <f>D197</f>
        <v/>
      </c>
      <c r="E213" s="25">
        <f t="array" ref="E213">_xlfn.XLOOKUP(C213,SkillActive!A:A,INDEX(SkillActive!A:AA,0,MATCH("name",SkillActive!$2:$2,0)),,0)</f>
        <v/>
      </c>
      <c r="F213" s="47">
        <f>D213</f>
        <v/>
      </c>
      <c r="G213" s="47">
        <f>_xlfn.XLOOKUP(C213,SkillActive!$A:$A,SkillActive!E:E,,0)</f>
        <v/>
      </c>
      <c r="H213" s="47">
        <f>_xlfn.XLOOKUP(E213,SkillActive!B:B,SkillActive!K:K,,0)</f>
        <v/>
      </c>
    </row>
    <row r="214">
      <c r="A214" s="25">
        <f>C214*100+D214</f>
        <v/>
      </c>
      <c r="B214" s="42">
        <f>_xlfn.XLOOKUP(C214,SkillActive!$A:$A,SkillActive!C:C,,0)</f>
        <v/>
      </c>
      <c r="C214" s="25">
        <f>C198+1</f>
        <v/>
      </c>
      <c r="D214" s="25">
        <f>D198</f>
        <v/>
      </c>
      <c r="E214" s="25">
        <f t="array" ref="E214">_xlfn.XLOOKUP(C214,SkillActive!A:A,INDEX(SkillActive!A:AA,0,MATCH("name",SkillActive!$2:$2,0)),,0)</f>
        <v/>
      </c>
      <c r="F214" s="47">
        <f>D214</f>
        <v/>
      </c>
      <c r="G214" s="47">
        <f>_xlfn.XLOOKUP(C214,SkillActive!$A:$A,SkillActive!E:E,,0)</f>
        <v/>
      </c>
      <c r="H214" s="47">
        <f>_xlfn.XLOOKUP(E214,SkillActive!B:B,SkillActive!K:K,,0)</f>
        <v/>
      </c>
    </row>
    <row r="215">
      <c r="A215" s="25">
        <f>C215*100+D215</f>
        <v/>
      </c>
      <c r="B215" s="42">
        <f>_xlfn.XLOOKUP(C215,SkillActive!$A:$A,SkillActive!C:C,,0)</f>
        <v/>
      </c>
      <c r="C215" s="25">
        <f>C199+1</f>
        <v/>
      </c>
      <c r="D215" s="25">
        <f>D199</f>
        <v/>
      </c>
      <c r="E215" s="25">
        <f t="array" ref="E215">_xlfn.XLOOKUP(C215,SkillActive!A:A,INDEX(SkillActive!A:AA,0,MATCH("name",SkillActive!$2:$2,0)),,0)</f>
        <v/>
      </c>
      <c r="F215" s="47">
        <f>D215</f>
        <v/>
      </c>
      <c r="G215" s="47">
        <f>_xlfn.XLOOKUP(C215,SkillActive!$A:$A,SkillActive!E:E,,0)</f>
        <v/>
      </c>
      <c r="H215" s="47">
        <f>_xlfn.XLOOKUP(E215,SkillActive!B:B,SkillActive!K:K,,0)</f>
        <v/>
      </c>
    </row>
    <row r="216">
      <c r="A216" s="25">
        <f>C216*100+D216</f>
        <v/>
      </c>
      <c r="B216" s="42">
        <f>_xlfn.XLOOKUP(C216,SkillActive!$A:$A,SkillActive!C:C,,0)</f>
        <v/>
      </c>
      <c r="C216" s="25">
        <f>C200+1</f>
        <v/>
      </c>
      <c r="D216" s="25">
        <f>D200</f>
        <v/>
      </c>
      <c r="E216" s="25">
        <f t="array" ref="E216">_xlfn.XLOOKUP(C216,SkillActive!A:A,INDEX(SkillActive!A:AA,0,MATCH("name",SkillActive!$2:$2,0)),,0)</f>
        <v/>
      </c>
      <c r="F216" s="47">
        <f>D216</f>
        <v/>
      </c>
      <c r="G216" s="47">
        <f>_xlfn.XLOOKUP(C216,SkillActive!$A:$A,SkillActive!E:E,,0)</f>
        <v/>
      </c>
      <c r="H216" s="47">
        <f>_xlfn.XLOOKUP(E216,SkillActive!B:B,SkillActive!K:K,,0)</f>
        <v/>
      </c>
    </row>
    <row r="217">
      <c r="A217" s="25">
        <f>C217*100+D217</f>
        <v/>
      </c>
      <c r="B217" s="42">
        <f>_xlfn.XLOOKUP(C217,SkillActive!$A:$A,SkillActive!C:C,,0)</f>
        <v/>
      </c>
      <c r="C217" s="25">
        <f>C201+1</f>
        <v/>
      </c>
      <c r="D217" s="25">
        <f>D201</f>
        <v/>
      </c>
      <c r="E217" s="25">
        <f t="array" ref="E217">_xlfn.XLOOKUP(C217,SkillActive!A:A,INDEX(SkillActive!A:AA,0,MATCH("name",SkillActive!$2:$2,0)),,0)</f>
        <v/>
      </c>
      <c r="F217" s="47">
        <f>D217</f>
        <v/>
      </c>
      <c r="G217" s="47">
        <f>_xlfn.XLOOKUP(C217,SkillActive!$A:$A,SkillActive!E:E,,0)</f>
        <v/>
      </c>
      <c r="H217" s="47">
        <f>_xlfn.XLOOKUP(E217,SkillActive!B:B,SkillActive!K:K,,0)</f>
        <v/>
      </c>
    </row>
    <row r="218">
      <c r="A218" s="25">
        <f>C218*100+D218</f>
        <v/>
      </c>
      <c r="B218" s="42">
        <f>_xlfn.XLOOKUP(C218,SkillActive!$A:$A,SkillActive!C:C,,0)</f>
        <v/>
      </c>
      <c r="C218" s="25">
        <f>C202+1</f>
        <v/>
      </c>
      <c r="D218" s="25">
        <f>D202</f>
        <v/>
      </c>
      <c r="E218" s="25">
        <f t="array" ref="E218">_xlfn.XLOOKUP(C218,SkillActive!A:A,INDEX(SkillActive!A:AA,0,MATCH("name",SkillActive!$2:$2,0)),,0)</f>
        <v/>
      </c>
      <c r="F218" s="47">
        <f>D218</f>
        <v/>
      </c>
      <c r="G218" s="47">
        <f>_xlfn.XLOOKUP(C218,SkillActive!$A:$A,SkillActive!E:E,,0)</f>
        <v/>
      </c>
      <c r="H218" s="47">
        <f>_xlfn.XLOOKUP(E218,SkillActive!B:B,SkillActive!K:K,,0)</f>
        <v/>
      </c>
    </row>
    <row r="219">
      <c r="A219" s="25">
        <f>C219*100+D219</f>
        <v/>
      </c>
      <c r="B219" s="42">
        <f>_xlfn.XLOOKUP(C219,SkillActive!$A:$A,SkillActive!C:C,,0)</f>
        <v/>
      </c>
      <c r="C219" s="25">
        <f>C203+1</f>
        <v/>
      </c>
      <c r="D219" s="25">
        <f>D203</f>
        <v/>
      </c>
      <c r="E219" s="25">
        <f t="array" ref="E219">_xlfn.XLOOKUP(C219,SkillActive!A:A,INDEX(SkillActive!A:AA,0,MATCH("name",SkillActive!$2:$2,0)),,0)</f>
        <v/>
      </c>
      <c r="F219" s="47">
        <f>D219</f>
        <v/>
      </c>
      <c r="G219" s="47">
        <f>_xlfn.XLOOKUP(C219,SkillActive!$A:$A,SkillActive!E:E,,0)</f>
        <v/>
      </c>
      <c r="H219" s="47">
        <f>_xlfn.XLOOKUP(E219,SkillActive!B:B,SkillActive!K:K,,0)</f>
        <v/>
      </c>
    </row>
    <row r="220">
      <c r="A220" s="25">
        <f>C220*100+D220</f>
        <v/>
      </c>
      <c r="B220" s="42">
        <f>_xlfn.XLOOKUP(C220,SkillActive!$A:$A,SkillActive!C:C,,0)</f>
        <v/>
      </c>
      <c r="C220" s="25">
        <f>C204+1</f>
        <v/>
      </c>
      <c r="D220" s="25">
        <f>D204</f>
        <v/>
      </c>
      <c r="E220" s="25">
        <f t="array" ref="E220">_xlfn.XLOOKUP(C220,SkillActive!A:A,INDEX(SkillActive!A:AA,0,MATCH("name",SkillActive!$2:$2,0)),,0)</f>
        <v/>
      </c>
      <c r="F220" s="47">
        <f>D220</f>
        <v/>
      </c>
      <c r="G220" s="47">
        <f>_xlfn.XLOOKUP(C220,SkillActive!$A:$A,SkillActive!E:E,,0)</f>
        <v/>
      </c>
      <c r="H220" s="47">
        <f>_xlfn.XLOOKUP(E220,SkillActive!B:B,SkillActive!K:K,,0)</f>
        <v/>
      </c>
    </row>
    <row r="221">
      <c r="A221" s="25">
        <f>C221*100+D221</f>
        <v/>
      </c>
      <c r="B221" s="42">
        <f>_xlfn.XLOOKUP(C221,SkillActive!$A:$A,SkillActive!C:C,,0)</f>
        <v/>
      </c>
      <c r="C221" s="25">
        <f>C205+1</f>
        <v/>
      </c>
      <c r="D221" s="25">
        <f>D205</f>
        <v/>
      </c>
      <c r="E221" s="25">
        <f t="array" ref="E221">_xlfn.XLOOKUP(C221,SkillActive!A:A,INDEX(SkillActive!A:AA,0,MATCH("name",SkillActive!$2:$2,0)),,0)</f>
        <v/>
      </c>
      <c r="F221" s="47">
        <f>D221</f>
        <v/>
      </c>
      <c r="G221" s="47">
        <f>_xlfn.XLOOKUP(C221,SkillActive!$A:$A,SkillActive!E:E,,0)</f>
        <v/>
      </c>
      <c r="H221" s="47">
        <f>_xlfn.XLOOKUP(E221,SkillActive!B:B,SkillActive!K:K,,0)</f>
        <v/>
      </c>
    </row>
    <row r="222">
      <c r="A222" s="25">
        <f>C222*100+D222</f>
        <v/>
      </c>
      <c r="B222" s="42">
        <f>_xlfn.XLOOKUP(C222,SkillActive!$A:$A,SkillActive!C:C,,0)</f>
        <v/>
      </c>
      <c r="C222" s="25">
        <f>C206+1</f>
        <v/>
      </c>
      <c r="D222" s="25">
        <f>D206</f>
        <v/>
      </c>
      <c r="E222" s="25">
        <f t="array" ref="E222">_xlfn.XLOOKUP(C222,SkillActive!A:A,INDEX(SkillActive!A:AA,0,MATCH("name",SkillActive!$2:$2,0)),,0)</f>
        <v/>
      </c>
      <c r="F222" s="47">
        <f>D222</f>
        <v/>
      </c>
      <c r="G222" s="47">
        <f>_xlfn.XLOOKUP(C222,SkillActive!$A:$A,SkillActive!E:E,,0)</f>
        <v/>
      </c>
      <c r="H222" s="47">
        <f>_xlfn.XLOOKUP(E222,SkillActive!B:B,SkillActive!K:K,,0)</f>
        <v/>
      </c>
    </row>
    <row r="223">
      <c r="A223" s="25">
        <f>C223*100+D223</f>
        <v/>
      </c>
      <c r="B223" s="42">
        <f>_xlfn.XLOOKUP(C223,SkillActive!$A:$A,SkillActive!C:C,,0)</f>
        <v/>
      </c>
      <c r="C223" s="25">
        <f>C207+1</f>
        <v/>
      </c>
      <c r="D223" s="25">
        <f>D207</f>
        <v/>
      </c>
      <c r="E223" s="25">
        <f t="array" ref="E223">_xlfn.XLOOKUP(C223,SkillActive!A:A,INDEX(SkillActive!A:AA,0,MATCH("name",SkillActive!$2:$2,0)),,0)</f>
        <v/>
      </c>
      <c r="F223" s="47">
        <f>D223</f>
        <v/>
      </c>
      <c r="G223" s="47">
        <f>_xlfn.XLOOKUP(C223,SkillActive!$A:$A,SkillActive!E:E,,0)</f>
        <v/>
      </c>
      <c r="H223" s="47">
        <f>_xlfn.XLOOKUP(E223,SkillActive!B:B,SkillActive!K:K,,0)</f>
        <v/>
      </c>
    </row>
    <row r="224">
      <c r="A224" s="25">
        <f>C224*100+D224</f>
        <v/>
      </c>
      <c r="B224" s="42">
        <f>_xlfn.XLOOKUP(C224,SkillActive!$A:$A,SkillActive!C:C,,0)</f>
        <v/>
      </c>
      <c r="C224" s="25">
        <f>C208+1</f>
        <v/>
      </c>
      <c r="D224" s="25">
        <f>D208</f>
        <v/>
      </c>
      <c r="E224" s="25">
        <f t="array" ref="E224">_xlfn.XLOOKUP(C224,SkillActive!A:A,INDEX(SkillActive!A:AA,0,MATCH("name",SkillActive!$2:$2,0)),,0)</f>
        <v/>
      </c>
      <c r="F224" s="47">
        <f>D224</f>
        <v/>
      </c>
      <c r="G224" s="47">
        <f>_xlfn.XLOOKUP(C224,SkillActive!$A:$A,SkillActive!E:E,,0)</f>
        <v/>
      </c>
      <c r="H224" s="47">
        <f>_xlfn.XLOOKUP(E224,SkillActive!B:B,SkillActive!K:K,,0)</f>
        <v/>
      </c>
    </row>
    <row r="225">
      <c r="A225" s="25">
        <f>C225*100+D225</f>
        <v/>
      </c>
      <c r="B225" s="42">
        <f>_xlfn.XLOOKUP(C225,SkillActive!$A:$A,SkillActive!C:C,,0)</f>
        <v/>
      </c>
      <c r="C225" s="25">
        <f>C209+1</f>
        <v/>
      </c>
      <c r="D225" s="25">
        <f>D209</f>
        <v/>
      </c>
      <c r="E225" s="25">
        <f t="array" ref="E225">_xlfn.XLOOKUP(C225,SkillActive!A:A,INDEX(SkillActive!A:AA,0,MATCH("name",SkillActive!$2:$2,0)),,0)</f>
        <v/>
      </c>
      <c r="F225" s="47">
        <f>D225</f>
        <v/>
      </c>
      <c r="G225" s="47">
        <f>_xlfn.XLOOKUP(C225,SkillActive!$A:$A,SkillActive!E:E,,0)</f>
        <v/>
      </c>
      <c r="H225" s="47">
        <f>_xlfn.XLOOKUP(E225,SkillActive!B:B,SkillActive!K:K,,0)</f>
        <v/>
      </c>
    </row>
    <row r="226">
      <c r="A226" s="25">
        <f>C226*100+D226</f>
        <v/>
      </c>
      <c r="B226" s="42">
        <f>_xlfn.XLOOKUP(C226,SkillActive!$A:$A,SkillActive!C:C,,0)</f>
        <v/>
      </c>
      <c r="C226" s="25">
        <f>C210+1</f>
        <v/>
      </c>
      <c r="D226" s="25">
        <f>D210</f>
        <v/>
      </c>
      <c r="E226" s="25">
        <f t="array" ref="E226">_xlfn.XLOOKUP(C226,SkillActive!A:A,INDEX(SkillActive!A:AA,0,MATCH("name",SkillActive!$2:$2,0)),,0)</f>
        <v/>
      </c>
      <c r="F226" s="47">
        <f>D226</f>
        <v/>
      </c>
      <c r="G226" s="47">
        <f>_xlfn.XLOOKUP(C226,SkillActive!$A:$A,SkillActive!E:E,,0)</f>
        <v/>
      </c>
      <c r="H226" s="47">
        <f>_xlfn.XLOOKUP(E226,SkillActive!B:B,SkillActive!K:K,,0)</f>
        <v/>
      </c>
    </row>
    <row r="227">
      <c r="A227" s="25">
        <f>C227*100+D227</f>
        <v/>
      </c>
      <c r="B227" s="42">
        <f>_xlfn.XLOOKUP(C227,SkillActive!$A:$A,SkillActive!C:C,,0)</f>
        <v/>
      </c>
      <c r="C227" s="25">
        <f>C211+1</f>
        <v/>
      </c>
      <c r="D227" s="25">
        <f>D211</f>
        <v/>
      </c>
      <c r="E227" s="25">
        <f t="array" ref="E227">_xlfn.XLOOKUP(C227,SkillActive!A:A,INDEX(SkillActive!A:AA,0,MATCH("name",SkillActive!$2:$2,0)),,0)</f>
        <v/>
      </c>
      <c r="F227" s="47">
        <f>D227</f>
        <v/>
      </c>
      <c r="G227" s="47">
        <f>_xlfn.XLOOKUP(C227,SkillActive!$A:$A,SkillActive!E:E,,0)</f>
        <v/>
      </c>
      <c r="H227" s="47">
        <f>_xlfn.XLOOKUP(E227,SkillActive!B:B,SkillActive!K:K,,0)</f>
        <v/>
      </c>
    </row>
    <row r="228">
      <c r="A228" s="25">
        <f>C228*100+D228</f>
        <v/>
      </c>
      <c r="B228" s="42">
        <f>_xlfn.XLOOKUP(C228,SkillActive!$A:$A,SkillActive!C:C,,0)</f>
        <v/>
      </c>
      <c r="C228" s="25">
        <f>C212+1</f>
        <v/>
      </c>
      <c r="D228" s="25">
        <f>D212</f>
        <v/>
      </c>
      <c r="E228" s="25">
        <f t="array" ref="E228">_xlfn.XLOOKUP(C228,SkillActive!A:A,INDEX(SkillActive!A:AA,0,MATCH("name",SkillActive!$2:$2,0)),,0)</f>
        <v/>
      </c>
      <c r="F228" s="47">
        <f>D228</f>
        <v/>
      </c>
      <c r="G228" s="47">
        <f>_xlfn.XLOOKUP(C228,SkillActive!$A:$A,SkillActive!E:E,,0)</f>
        <v/>
      </c>
      <c r="H228" s="47">
        <f>_xlfn.XLOOKUP(E228,SkillActive!B:B,SkillActive!K:K,,0)</f>
        <v/>
      </c>
    </row>
    <row r="229">
      <c r="A229" s="25">
        <f>C229*100+D229</f>
        <v/>
      </c>
      <c r="B229" s="42">
        <f>_xlfn.XLOOKUP(C229,SkillActive!$A:$A,SkillActive!C:C,,0)</f>
        <v/>
      </c>
      <c r="C229" s="25">
        <f>C213+1</f>
        <v/>
      </c>
      <c r="D229" s="25">
        <f>D213</f>
        <v/>
      </c>
      <c r="E229" s="25">
        <f t="array" ref="E229">_xlfn.XLOOKUP(C229,SkillActive!A:A,INDEX(SkillActive!A:AA,0,MATCH("name",SkillActive!$2:$2,0)),,0)</f>
        <v/>
      </c>
      <c r="F229" s="47">
        <f>D229</f>
        <v/>
      </c>
      <c r="G229" s="47">
        <f>_xlfn.XLOOKUP(C229,SkillActive!$A:$A,SkillActive!E:E,,0)</f>
        <v/>
      </c>
      <c r="H229" s="47">
        <f>_xlfn.XLOOKUP(E229,SkillActive!B:B,SkillActive!K:K,,0)</f>
        <v/>
      </c>
    </row>
    <row r="230">
      <c r="A230" s="25">
        <f>C230*100+D230</f>
        <v/>
      </c>
      <c r="B230" s="42">
        <f>_xlfn.XLOOKUP(C230,SkillActive!$A:$A,SkillActive!C:C,,0)</f>
        <v/>
      </c>
      <c r="C230" s="25">
        <f>C214+1</f>
        <v/>
      </c>
      <c r="D230" s="25">
        <f>D214</f>
        <v/>
      </c>
      <c r="E230" s="25">
        <f t="array" ref="E230">_xlfn.XLOOKUP(C230,SkillActive!A:A,INDEX(SkillActive!A:AA,0,MATCH("name",SkillActive!$2:$2,0)),,0)</f>
        <v/>
      </c>
      <c r="F230" s="47">
        <f>D230</f>
        <v/>
      </c>
      <c r="G230" s="47">
        <f>_xlfn.XLOOKUP(C230,SkillActive!$A:$A,SkillActive!E:E,,0)</f>
        <v/>
      </c>
      <c r="H230" s="47">
        <f>_xlfn.XLOOKUP(E230,SkillActive!B:B,SkillActive!K:K,,0)</f>
        <v/>
      </c>
    </row>
    <row r="231">
      <c r="A231" s="25">
        <f>C231*100+D231</f>
        <v/>
      </c>
      <c r="B231" s="42">
        <f>_xlfn.XLOOKUP(C231,SkillActive!$A:$A,SkillActive!C:C,,0)</f>
        <v/>
      </c>
      <c r="C231" s="25">
        <f>C215+1</f>
        <v/>
      </c>
      <c r="D231" s="25">
        <f>D215</f>
        <v/>
      </c>
      <c r="E231" s="25">
        <f t="array" ref="E231">_xlfn.XLOOKUP(C231,SkillActive!A:A,INDEX(SkillActive!A:AA,0,MATCH("name",SkillActive!$2:$2,0)),,0)</f>
        <v/>
      </c>
      <c r="F231" s="47">
        <f>D231</f>
        <v/>
      </c>
      <c r="G231" s="47">
        <f>_xlfn.XLOOKUP(C231,SkillActive!$A:$A,SkillActive!E:E,,0)</f>
        <v/>
      </c>
      <c r="H231" s="47">
        <f>_xlfn.XLOOKUP(E231,SkillActive!B:B,SkillActive!K:K,,0)</f>
        <v/>
      </c>
    </row>
    <row r="232">
      <c r="A232" s="25">
        <f>C232*100+D232</f>
        <v/>
      </c>
      <c r="B232" s="42">
        <f>_xlfn.XLOOKUP(C232,SkillActive!$A:$A,SkillActive!C:C,,0)</f>
        <v/>
      </c>
      <c r="C232" s="25">
        <f>C216+1</f>
        <v/>
      </c>
      <c r="D232" s="25">
        <f>D216</f>
        <v/>
      </c>
      <c r="E232" s="25">
        <f t="array" ref="E232">_xlfn.XLOOKUP(C232,SkillActive!A:A,INDEX(SkillActive!A:AA,0,MATCH("name",SkillActive!$2:$2,0)),,0)</f>
        <v/>
      </c>
      <c r="F232" s="47">
        <f>D232</f>
        <v/>
      </c>
      <c r="G232" s="47">
        <f>_xlfn.XLOOKUP(C232,SkillActive!$A:$A,SkillActive!E:E,,0)</f>
        <v/>
      </c>
      <c r="H232" s="47">
        <f>_xlfn.XLOOKUP(E232,SkillActive!B:B,SkillActive!K:K,,0)</f>
        <v/>
      </c>
    </row>
    <row r="233">
      <c r="A233" s="25">
        <f>C233*100+D233</f>
        <v/>
      </c>
      <c r="B233" s="42">
        <f>_xlfn.XLOOKUP(C233,SkillActive!$A:$A,SkillActive!C:C,,0)</f>
        <v/>
      </c>
      <c r="C233" s="25">
        <f>C217+1</f>
        <v/>
      </c>
      <c r="D233" s="25">
        <f>D217</f>
        <v/>
      </c>
      <c r="E233" s="25">
        <f t="array" ref="E233">_xlfn.XLOOKUP(C233,SkillActive!A:A,INDEX(SkillActive!A:AA,0,MATCH("name",SkillActive!$2:$2,0)),,0)</f>
        <v/>
      </c>
      <c r="F233" s="47">
        <f>D233</f>
        <v/>
      </c>
      <c r="G233" s="47">
        <f>_xlfn.XLOOKUP(C233,SkillActive!$A:$A,SkillActive!E:E,,0)</f>
        <v/>
      </c>
      <c r="H233" s="47">
        <f>_xlfn.XLOOKUP(E233,SkillActive!B:B,SkillActive!K:K,,0)</f>
        <v/>
      </c>
    </row>
    <row r="234">
      <c r="A234" s="25">
        <f>C234*100+D234</f>
        <v/>
      </c>
      <c r="B234" s="42">
        <f>_xlfn.XLOOKUP(C234,SkillActive!$A:$A,SkillActive!C:C,,0)</f>
        <v/>
      </c>
      <c r="C234" s="25">
        <f>C218+1</f>
        <v/>
      </c>
      <c r="D234" s="25">
        <f>D218</f>
        <v/>
      </c>
      <c r="E234" s="25">
        <f t="array" ref="E234">_xlfn.XLOOKUP(C234,SkillActive!A:A,INDEX(SkillActive!A:AA,0,MATCH("name",SkillActive!$2:$2,0)),,0)</f>
        <v/>
      </c>
      <c r="F234" s="47">
        <f>D234</f>
        <v/>
      </c>
      <c r="G234" s="47">
        <f>_xlfn.XLOOKUP(C234,SkillActive!$A:$A,SkillActive!E:E,,0)</f>
        <v/>
      </c>
      <c r="H234" s="47">
        <f>_xlfn.XLOOKUP(E234,SkillActive!B:B,SkillActive!K:K,,0)</f>
        <v/>
      </c>
    </row>
    <row r="235">
      <c r="A235" s="25">
        <f>C235*100+D235</f>
        <v/>
      </c>
      <c r="B235" s="42">
        <f>_xlfn.XLOOKUP(C235,SkillActive!$A:$A,SkillActive!C:C,,0)</f>
        <v/>
      </c>
      <c r="C235" s="25">
        <f>C219+1</f>
        <v/>
      </c>
      <c r="D235" s="25">
        <f>D219</f>
        <v/>
      </c>
      <c r="E235" s="25">
        <f t="array" ref="E235">_xlfn.XLOOKUP(C235,SkillActive!A:A,INDEX(SkillActive!A:AA,0,MATCH("name",SkillActive!$2:$2,0)),,0)</f>
        <v/>
      </c>
      <c r="F235" s="47">
        <f>D235</f>
        <v/>
      </c>
      <c r="G235" s="47">
        <f>_xlfn.XLOOKUP(C235,SkillActive!$A:$A,SkillActive!E:E,,0)</f>
        <v/>
      </c>
      <c r="H235" s="47">
        <f>_xlfn.XLOOKUP(E235,SkillActive!B:B,SkillActive!K:K,,0)</f>
        <v/>
      </c>
    </row>
    <row r="236">
      <c r="A236" s="25">
        <f>C236*100+D236</f>
        <v/>
      </c>
      <c r="B236" s="42">
        <f>_xlfn.XLOOKUP(C236,SkillActive!$A:$A,SkillActive!C:C,,0)</f>
        <v/>
      </c>
      <c r="C236" s="25">
        <f>C220+1</f>
        <v/>
      </c>
      <c r="D236" s="25">
        <f>D220</f>
        <v/>
      </c>
      <c r="E236" s="25">
        <f t="array" ref="E236">_xlfn.XLOOKUP(C236,SkillActive!A:A,INDEX(SkillActive!A:AA,0,MATCH("name",SkillActive!$2:$2,0)),,0)</f>
        <v/>
      </c>
      <c r="F236" s="47">
        <f>D236</f>
        <v/>
      </c>
      <c r="G236" s="47">
        <f>_xlfn.XLOOKUP(C236,SkillActive!$A:$A,SkillActive!E:E,,0)</f>
        <v/>
      </c>
      <c r="H236" s="47">
        <f>_xlfn.XLOOKUP(E236,SkillActive!B:B,SkillActive!K:K,,0)</f>
        <v/>
      </c>
    </row>
    <row r="237">
      <c r="A237" s="25">
        <f>C237*100+D237</f>
        <v/>
      </c>
      <c r="B237" s="42">
        <f>_xlfn.XLOOKUP(C237,SkillActive!$A:$A,SkillActive!C:C,,0)</f>
        <v/>
      </c>
      <c r="C237" s="25">
        <f>C221+1</f>
        <v/>
      </c>
      <c r="D237" s="25">
        <f>D221</f>
        <v/>
      </c>
      <c r="E237" s="25">
        <f t="array" ref="E237">_xlfn.XLOOKUP(C237,SkillActive!A:A,INDEX(SkillActive!A:AA,0,MATCH("name",SkillActive!$2:$2,0)),,0)</f>
        <v/>
      </c>
      <c r="F237" s="47">
        <f>D237</f>
        <v/>
      </c>
      <c r="G237" s="47">
        <f>_xlfn.XLOOKUP(C237,SkillActive!$A:$A,SkillActive!E:E,,0)</f>
        <v/>
      </c>
      <c r="H237" s="47">
        <f>_xlfn.XLOOKUP(E237,SkillActive!B:B,SkillActive!K:K,,0)</f>
        <v/>
      </c>
    </row>
    <row r="238">
      <c r="A238" s="25">
        <f>C238*100+D238</f>
        <v/>
      </c>
      <c r="B238" s="42">
        <f>_xlfn.XLOOKUP(C238,SkillActive!$A:$A,SkillActive!C:C,,0)</f>
        <v/>
      </c>
      <c r="C238" s="25">
        <f>C222+1</f>
        <v/>
      </c>
      <c r="D238" s="25">
        <f>D222</f>
        <v/>
      </c>
      <c r="E238" s="25">
        <f t="array" ref="E238">_xlfn.XLOOKUP(C238,SkillActive!A:A,INDEX(SkillActive!A:AA,0,MATCH("name",SkillActive!$2:$2,0)),,0)</f>
        <v/>
      </c>
      <c r="F238" s="47">
        <f>D238</f>
        <v/>
      </c>
      <c r="G238" s="47">
        <f>_xlfn.XLOOKUP(C238,SkillActive!$A:$A,SkillActive!E:E,,0)</f>
        <v/>
      </c>
      <c r="H238" s="47">
        <f>_xlfn.XLOOKUP(E238,SkillActive!B:B,SkillActive!K:K,,0)</f>
        <v/>
      </c>
    </row>
    <row r="239">
      <c r="A239" s="25">
        <f>C239*100+D239</f>
        <v/>
      </c>
      <c r="B239" s="42">
        <f>_xlfn.XLOOKUP(C239,SkillActive!$A:$A,SkillActive!C:C,,0)</f>
        <v/>
      </c>
      <c r="C239" s="25">
        <f>C223+1</f>
        <v/>
      </c>
      <c r="D239" s="25">
        <f>D223</f>
        <v/>
      </c>
      <c r="E239" s="25">
        <f t="array" ref="E239">_xlfn.XLOOKUP(C239,SkillActive!A:A,INDEX(SkillActive!A:AA,0,MATCH("name",SkillActive!$2:$2,0)),,0)</f>
        <v/>
      </c>
      <c r="F239" s="47">
        <f>D239</f>
        <v/>
      </c>
      <c r="G239" s="47">
        <f>_xlfn.XLOOKUP(C239,SkillActive!$A:$A,SkillActive!E:E,,0)</f>
        <v/>
      </c>
      <c r="H239" s="47">
        <f>_xlfn.XLOOKUP(E239,SkillActive!B:B,SkillActive!K:K,,0)</f>
        <v/>
      </c>
    </row>
    <row r="240">
      <c r="A240" s="25">
        <f>C240*100+D240</f>
        <v/>
      </c>
      <c r="B240" s="42">
        <f>_xlfn.XLOOKUP(C240,SkillActive!$A:$A,SkillActive!C:C,,0)</f>
        <v/>
      </c>
      <c r="C240" s="25">
        <f>C224+1</f>
        <v/>
      </c>
      <c r="D240" s="25">
        <f>D224</f>
        <v/>
      </c>
      <c r="E240" s="25">
        <f t="array" ref="E240">_xlfn.XLOOKUP(C240,SkillActive!A:A,INDEX(SkillActive!A:AA,0,MATCH("name",SkillActive!$2:$2,0)),,0)</f>
        <v/>
      </c>
      <c r="F240" s="47">
        <f>D240</f>
        <v/>
      </c>
      <c r="G240" s="47">
        <f>_xlfn.XLOOKUP(C240,SkillActive!$A:$A,SkillActive!E:E,,0)</f>
        <v/>
      </c>
      <c r="H240" s="47">
        <f>_xlfn.XLOOKUP(E240,SkillActive!B:B,SkillActive!K:K,,0)</f>
        <v/>
      </c>
    </row>
    <row r="241">
      <c r="A241" s="25">
        <f>C241*100+D241</f>
        <v/>
      </c>
      <c r="B241" s="42">
        <f>_xlfn.XLOOKUP(C241,SkillActive!$A:$A,SkillActive!C:C,,0)</f>
        <v/>
      </c>
      <c r="C241" s="25">
        <f>C225+1</f>
        <v/>
      </c>
      <c r="D241" s="25">
        <f>D225</f>
        <v/>
      </c>
      <c r="E241" s="25">
        <f t="array" ref="E241">_xlfn.XLOOKUP(C241,SkillActive!A:A,INDEX(SkillActive!A:AA,0,MATCH("name",SkillActive!$2:$2,0)),,0)</f>
        <v/>
      </c>
      <c r="F241" s="47">
        <f>D241</f>
        <v/>
      </c>
      <c r="G241" s="47">
        <f>_xlfn.XLOOKUP(C241,SkillActive!$A:$A,SkillActive!E:E,,0)</f>
        <v/>
      </c>
      <c r="H241" s="47">
        <f>_xlfn.XLOOKUP(E241,SkillActive!B:B,SkillActive!K:K,,0)</f>
        <v/>
      </c>
    </row>
    <row r="242">
      <c r="A242" s="25">
        <f>C242*100+D242</f>
        <v/>
      </c>
      <c r="B242" s="42">
        <f>_xlfn.XLOOKUP(C242,SkillActive!$A:$A,SkillActive!C:C,,0)</f>
        <v/>
      </c>
      <c r="C242" s="25">
        <f>C226+1</f>
        <v/>
      </c>
      <c r="D242" s="25">
        <f>D226</f>
        <v/>
      </c>
      <c r="E242" s="25">
        <f t="array" ref="E242">_xlfn.XLOOKUP(C242,SkillActive!A:A,INDEX(SkillActive!A:AA,0,MATCH("name",SkillActive!$2:$2,0)),,0)</f>
        <v/>
      </c>
      <c r="F242" s="47">
        <f>D242</f>
        <v/>
      </c>
      <c r="G242" s="47">
        <f>_xlfn.XLOOKUP(C242,SkillActive!$A:$A,SkillActive!E:E,,0)</f>
        <v/>
      </c>
      <c r="H242" s="47">
        <f>_xlfn.XLOOKUP(E242,SkillActive!B:B,SkillActive!K:K,,0)</f>
        <v/>
      </c>
    </row>
    <row r="243">
      <c r="A243" s="25">
        <f>C243*100+D243</f>
        <v/>
      </c>
      <c r="B243" s="42">
        <f>_xlfn.XLOOKUP(C243,SkillActive!$A:$A,SkillActive!C:C,,0)</f>
        <v/>
      </c>
      <c r="C243" s="25">
        <f>C227+1</f>
        <v/>
      </c>
      <c r="D243" s="25">
        <f>D227</f>
        <v/>
      </c>
      <c r="E243" s="25">
        <f t="array" ref="E243">_xlfn.XLOOKUP(C243,SkillActive!A:A,INDEX(SkillActive!A:AA,0,MATCH("name",SkillActive!$2:$2,0)),,0)</f>
        <v/>
      </c>
      <c r="F243" s="47">
        <f>D243</f>
        <v/>
      </c>
      <c r="G243" s="47">
        <f>_xlfn.XLOOKUP(C243,SkillActive!$A:$A,SkillActive!E:E,,0)</f>
        <v/>
      </c>
      <c r="H243" s="47">
        <f>_xlfn.XLOOKUP(E243,SkillActive!B:B,SkillActive!K:K,,0)</f>
        <v/>
      </c>
    </row>
    <row r="244">
      <c r="A244" s="25">
        <f>C244*100+D244</f>
        <v/>
      </c>
      <c r="B244" s="42">
        <f>_xlfn.XLOOKUP(C244,SkillActive!$A:$A,SkillActive!C:C,,0)</f>
        <v/>
      </c>
      <c r="C244" s="25">
        <f>C228+1</f>
        <v/>
      </c>
      <c r="D244" s="25" t="n">
        <v>1</v>
      </c>
      <c r="E244" s="25">
        <f t="array" ref="E244">_xlfn.XLOOKUP(C244,SkillActive!A:A,INDEX(SkillActive!A:AA,0,MATCH("name",SkillActive!$2:$2,0)),,0)</f>
        <v/>
      </c>
      <c r="F244" s="47">
        <f>D244</f>
        <v/>
      </c>
      <c r="G244" s="47">
        <f>_xlfn.XLOOKUP(C244,SkillActive!$A:$A,SkillActive!E:E,,0)</f>
        <v/>
      </c>
      <c r="H244" s="47">
        <f>_xlfn.XLOOKUP(E244,SkillActive!B:B,SkillActive!K:K,,0)</f>
        <v/>
      </c>
    </row>
    <row r="245">
      <c r="A245" s="25">
        <f>C245*100+D245</f>
        <v/>
      </c>
      <c r="B245" s="42">
        <f>_xlfn.XLOOKUP(C245,SkillActive!$A:$A,SkillActive!C:C,,0)</f>
        <v/>
      </c>
      <c r="C245" s="25">
        <f>C229+1</f>
        <v/>
      </c>
      <c r="D245" s="25" t="n">
        <v>2</v>
      </c>
      <c r="E245" s="25">
        <f t="array" ref="E245">_xlfn.XLOOKUP(C245,SkillActive!A:A,INDEX(SkillActive!A:AA,0,MATCH("name",SkillActive!$2:$2,0)),,0)</f>
        <v/>
      </c>
      <c r="F245" s="47">
        <f>D245</f>
        <v/>
      </c>
      <c r="G245" s="47">
        <f>_xlfn.XLOOKUP(C245,SkillActive!$A:$A,SkillActive!E:E,,0)</f>
        <v/>
      </c>
      <c r="H245" s="47">
        <f>_xlfn.XLOOKUP(E245,SkillActive!B:B,SkillActive!K:K,,0)</f>
        <v/>
      </c>
    </row>
    <row r="246">
      <c r="A246" s="25">
        <f>C246*100+D246</f>
        <v/>
      </c>
      <c r="B246" s="42">
        <f>_xlfn.XLOOKUP(C246,SkillActive!$A:$A,SkillActive!C:C,,0)</f>
        <v/>
      </c>
      <c r="C246" s="25">
        <f>C230+1</f>
        <v/>
      </c>
      <c r="D246" s="25" t="n">
        <v>3</v>
      </c>
      <c r="E246" s="25">
        <f t="array" ref="E246">_xlfn.XLOOKUP(C246,SkillActive!A:A,INDEX(SkillActive!A:AA,0,MATCH("name",SkillActive!$2:$2,0)),,0)</f>
        <v/>
      </c>
      <c r="F246" s="47">
        <f>D246</f>
        <v/>
      </c>
      <c r="G246" s="47">
        <f>_xlfn.XLOOKUP(C246,SkillActive!$A:$A,SkillActive!E:E,,0)</f>
        <v/>
      </c>
      <c r="H246" s="47">
        <f>_xlfn.XLOOKUP(E246,SkillActive!B:B,SkillActive!K:K,,0)</f>
        <v/>
      </c>
    </row>
    <row r="247">
      <c r="A247" s="25">
        <f>C247*100+D247</f>
        <v/>
      </c>
      <c r="B247" s="42">
        <f>_xlfn.XLOOKUP(C247,SkillActive!$A:$A,SkillActive!C:C,,0)</f>
        <v/>
      </c>
      <c r="C247" s="25">
        <f>C231+1</f>
        <v/>
      </c>
      <c r="D247" s="25" t="n">
        <v>4</v>
      </c>
      <c r="E247" s="25">
        <f t="array" ref="E247">_xlfn.XLOOKUP(C247,SkillActive!A:A,INDEX(SkillActive!A:AA,0,MATCH("name",SkillActive!$2:$2,0)),,0)</f>
        <v/>
      </c>
      <c r="F247" s="47">
        <f>D247</f>
        <v/>
      </c>
      <c r="G247" s="47">
        <f>_xlfn.XLOOKUP(C247,SkillActive!$A:$A,SkillActive!E:E,,0)</f>
        <v/>
      </c>
      <c r="H247" s="47">
        <f>_xlfn.XLOOKUP(E247,SkillActive!B:B,SkillActive!K:K,,0)</f>
        <v/>
      </c>
    </row>
    <row r="248">
      <c r="A248" s="25">
        <f>C248*100+D248</f>
        <v/>
      </c>
      <c r="B248" s="42">
        <f>_xlfn.XLOOKUP(C248,SkillActive!$A:$A,SkillActive!C:C,,0)</f>
        <v/>
      </c>
      <c r="C248" s="25">
        <f>C232+1</f>
        <v/>
      </c>
      <c r="D248" s="25" t="n">
        <v>5</v>
      </c>
      <c r="E248" s="25">
        <f t="array" ref="E248">_xlfn.XLOOKUP(C248,SkillActive!A:A,INDEX(SkillActive!A:AA,0,MATCH("name",SkillActive!$2:$2,0)),,0)</f>
        <v/>
      </c>
      <c r="F248" s="47">
        <f>D248</f>
        <v/>
      </c>
      <c r="G248" s="47">
        <f>_xlfn.XLOOKUP(C248,SkillActive!$A:$A,SkillActive!E:E,,0)</f>
        <v/>
      </c>
      <c r="H248" s="47">
        <f>_xlfn.XLOOKUP(E248,SkillActive!B:B,SkillActive!K:K,,0)</f>
        <v/>
      </c>
    </row>
    <row r="249">
      <c r="A249" s="25">
        <f>C249*100+D249</f>
        <v/>
      </c>
      <c r="B249" s="42">
        <f>_xlfn.XLOOKUP(C249,SkillActive!$A:$A,SkillActive!C:C,,0)</f>
        <v/>
      </c>
      <c r="C249" s="25">
        <f>C233+1</f>
        <v/>
      </c>
      <c r="D249" s="25" t="n">
        <v>6</v>
      </c>
      <c r="E249" s="25">
        <f t="array" ref="E249">_xlfn.XLOOKUP(C249,SkillActive!A:A,INDEX(SkillActive!A:AA,0,MATCH("name",SkillActive!$2:$2,0)),,0)</f>
        <v/>
      </c>
      <c r="F249" s="47">
        <f>D249</f>
        <v/>
      </c>
      <c r="G249" s="47">
        <f>_xlfn.XLOOKUP(C249,SkillActive!$A:$A,SkillActive!E:E,,0)</f>
        <v/>
      </c>
      <c r="H249" s="47">
        <f>_xlfn.XLOOKUP(E249,SkillActive!B:B,SkillActive!K:K,,0)</f>
        <v/>
      </c>
    </row>
    <row r="250">
      <c r="A250" s="25">
        <f>C250*100+D250</f>
        <v/>
      </c>
      <c r="B250" s="42">
        <f>_xlfn.XLOOKUP(C250,SkillActive!$A:$A,SkillActive!C:C,,0)</f>
        <v/>
      </c>
      <c r="C250" s="25">
        <f>C234+1</f>
        <v/>
      </c>
      <c r="D250" s="25" t="n">
        <v>7</v>
      </c>
      <c r="E250" s="25">
        <f t="array" ref="E250">_xlfn.XLOOKUP(C250,SkillActive!A:A,INDEX(SkillActive!A:AA,0,MATCH("name",SkillActive!$2:$2,0)),,0)</f>
        <v/>
      </c>
      <c r="F250" s="47">
        <f>D250</f>
        <v/>
      </c>
      <c r="G250" s="47">
        <f>_xlfn.XLOOKUP(C250,SkillActive!$A:$A,SkillActive!E:E,,0)</f>
        <v/>
      </c>
      <c r="H250" s="47">
        <f>_xlfn.XLOOKUP(E250,SkillActive!B:B,SkillActive!K:K,,0)</f>
        <v/>
      </c>
    </row>
    <row r="251">
      <c r="A251" s="25">
        <f>C251*100+D251</f>
        <v/>
      </c>
      <c r="B251" s="42">
        <f>_xlfn.XLOOKUP(C251,SkillActive!$A:$A,SkillActive!C:C,,0)</f>
        <v/>
      </c>
      <c r="C251" s="25">
        <f>C235+1</f>
        <v/>
      </c>
      <c r="D251" s="25" t="n">
        <v>8</v>
      </c>
      <c r="E251" s="25">
        <f t="array" ref="E251">_xlfn.XLOOKUP(C251,SkillActive!A:A,INDEX(SkillActive!A:AA,0,MATCH("name",SkillActive!$2:$2,0)),,0)</f>
        <v/>
      </c>
      <c r="F251" s="47">
        <f>D251</f>
        <v/>
      </c>
      <c r="G251" s="47">
        <f>_xlfn.XLOOKUP(C251,SkillActive!$A:$A,SkillActive!E:E,,0)</f>
        <v/>
      </c>
      <c r="H251" s="47">
        <f>_xlfn.XLOOKUP(E251,SkillActive!B:B,SkillActive!K:K,,0)</f>
        <v/>
      </c>
    </row>
    <row r="252">
      <c r="A252" s="25">
        <f>C252*100+D252</f>
        <v/>
      </c>
      <c r="B252" s="42">
        <f>_xlfn.XLOOKUP(C252,SkillActive!$A:$A,SkillActive!C:C,,0)</f>
        <v/>
      </c>
      <c r="C252" s="25">
        <f>C236+1</f>
        <v/>
      </c>
      <c r="D252" s="25">
        <f>D172</f>
        <v/>
      </c>
      <c r="E252" s="25">
        <f t="array" ref="E252">_xlfn.XLOOKUP(C252,SkillActive!A:A,INDEX(SkillActive!A:AA,0,MATCH("name",SkillActive!$2:$2,0)),,0)</f>
        <v/>
      </c>
      <c r="F252" s="47">
        <f>D252</f>
        <v/>
      </c>
      <c r="G252" s="47">
        <f>_xlfn.XLOOKUP(C252,SkillActive!$A:$A,SkillActive!E:E,,0)</f>
        <v/>
      </c>
      <c r="H252" s="47">
        <f>_xlfn.XLOOKUP(E252,SkillActive!B:B,SkillActive!K:K,,0)</f>
        <v/>
      </c>
    </row>
    <row r="253">
      <c r="A253" s="25">
        <f>C253*100+D253</f>
        <v/>
      </c>
      <c r="B253" s="42">
        <f>_xlfn.XLOOKUP(C253,SkillActive!$A:$A,SkillActive!C:C,,0)</f>
        <v/>
      </c>
      <c r="C253" s="25">
        <f>C237+1</f>
        <v/>
      </c>
      <c r="D253" s="25">
        <f>D173</f>
        <v/>
      </c>
      <c r="E253" s="25">
        <f t="array" ref="E253">_xlfn.XLOOKUP(C253,SkillActive!A:A,INDEX(SkillActive!A:AA,0,MATCH("name",SkillActive!$2:$2,0)),,0)</f>
        <v/>
      </c>
      <c r="F253" s="47">
        <f>D253</f>
        <v/>
      </c>
      <c r="G253" s="47">
        <f>_xlfn.XLOOKUP(C253,SkillActive!$A:$A,SkillActive!E:E,,0)</f>
        <v/>
      </c>
      <c r="H253" s="47">
        <f>_xlfn.XLOOKUP(E253,SkillActive!B:B,SkillActive!K:K,,0)</f>
        <v/>
      </c>
    </row>
    <row r="254">
      <c r="A254" s="25">
        <f>C254*100+D254</f>
        <v/>
      </c>
      <c r="B254" s="42">
        <f>_xlfn.XLOOKUP(C254,SkillActive!$A:$A,SkillActive!C:C,,0)</f>
        <v/>
      </c>
      <c r="C254" s="25">
        <f>C238+1</f>
        <v/>
      </c>
      <c r="D254" s="25">
        <f>D174</f>
        <v/>
      </c>
      <c r="E254" s="25">
        <f t="array" ref="E254">_xlfn.XLOOKUP(C254,SkillActive!A:A,INDEX(SkillActive!A:AA,0,MATCH("name",SkillActive!$2:$2,0)),,0)</f>
        <v/>
      </c>
      <c r="F254" s="47">
        <f>D254</f>
        <v/>
      </c>
      <c r="G254" s="47">
        <f>_xlfn.XLOOKUP(C254,SkillActive!$A:$A,SkillActive!E:E,,0)</f>
        <v/>
      </c>
      <c r="H254" s="47">
        <f>_xlfn.XLOOKUP(E254,SkillActive!B:B,SkillActive!K:K,,0)</f>
        <v/>
      </c>
    </row>
    <row r="255">
      <c r="A255" s="25">
        <f>C255*100+D255</f>
        <v/>
      </c>
      <c r="B255" s="42">
        <f>_xlfn.XLOOKUP(C255,SkillActive!$A:$A,SkillActive!C:C,,0)</f>
        <v/>
      </c>
      <c r="C255" s="25">
        <f>C239+1</f>
        <v/>
      </c>
      <c r="D255" s="25">
        <f>D175</f>
        <v/>
      </c>
      <c r="E255" s="25">
        <f t="array" ref="E255">_xlfn.XLOOKUP(C255,SkillActive!A:A,INDEX(SkillActive!A:AA,0,MATCH("name",SkillActive!$2:$2,0)),,0)</f>
        <v/>
      </c>
      <c r="F255" s="47">
        <f>D255</f>
        <v/>
      </c>
      <c r="G255" s="47">
        <f>_xlfn.XLOOKUP(C255,SkillActive!$A:$A,SkillActive!E:E,,0)</f>
        <v/>
      </c>
      <c r="H255" s="47">
        <f>_xlfn.XLOOKUP(E255,SkillActive!B:B,SkillActive!K:K,,0)</f>
        <v/>
      </c>
    </row>
    <row r="256">
      <c r="A256" s="25">
        <f>C256*100+D256</f>
        <v/>
      </c>
      <c r="B256" s="42">
        <f>_xlfn.XLOOKUP(C256,SkillActive!$A:$A,SkillActive!C:C,,0)</f>
        <v/>
      </c>
      <c r="C256" s="25">
        <f>C240+1</f>
        <v/>
      </c>
      <c r="D256" s="25">
        <f>D176</f>
        <v/>
      </c>
      <c r="E256" s="25">
        <f t="array" ref="E256">_xlfn.XLOOKUP(C256,SkillActive!A:A,INDEX(SkillActive!A:AA,0,MATCH("name",SkillActive!$2:$2,0)),,0)</f>
        <v/>
      </c>
      <c r="F256" s="47">
        <f>D256</f>
        <v/>
      </c>
      <c r="G256" s="47">
        <f>_xlfn.XLOOKUP(C256,SkillActive!$A:$A,SkillActive!E:E,,0)</f>
        <v/>
      </c>
      <c r="H256" s="47">
        <f>_xlfn.XLOOKUP(E256,SkillActive!B:B,SkillActive!K:K,,0)</f>
        <v/>
      </c>
    </row>
    <row r="257">
      <c r="A257" s="25">
        <f>C257*100+D257</f>
        <v/>
      </c>
      <c r="B257" s="42">
        <f>_xlfn.XLOOKUP(C257,SkillActive!$A:$A,SkillActive!C:C,,0)</f>
        <v/>
      </c>
      <c r="C257" s="25">
        <f>C241+1</f>
        <v/>
      </c>
      <c r="D257" s="25">
        <f>D177</f>
        <v/>
      </c>
      <c r="E257" s="25">
        <f t="array" ref="E257">_xlfn.XLOOKUP(C257,SkillActive!A:A,INDEX(SkillActive!A:AA,0,MATCH("name",SkillActive!$2:$2,0)),,0)</f>
        <v/>
      </c>
      <c r="F257" s="47">
        <f>D257</f>
        <v/>
      </c>
      <c r="G257" s="47">
        <f>_xlfn.XLOOKUP(C257,SkillActive!$A:$A,SkillActive!E:E,,0)</f>
        <v/>
      </c>
      <c r="H257" s="47">
        <f>_xlfn.XLOOKUP(E257,SkillActive!B:B,SkillActive!K:K,,0)</f>
        <v/>
      </c>
    </row>
    <row r="258">
      <c r="A258" s="25">
        <f>C258*100+D258</f>
        <v/>
      </c>
      <c r="B258" s="42">
        <f>_xlfn.XLOOKUP(C258,SkillActive!$A:$A,SkillActive!C:C,,0)</f>
        <v/>
      </c>
      <c r="C258" s="25">
        <f>C242+1</f>
        <v/>
      </c>
      <c r="D258" s="25">
        <f>D178</f>
        <v/>
      </c>
      <c r="E258" s="25">
        <f t="array" ref="E258">_xlfn.XLOOKUP(C258,SkillActive!A:A,INDEX(SkillActive!A:AA,0,MATCH("name",SkillActive!$2:$2,0)),,0)</f>
        <v/>
      </c>
      <c r="F258" s="47">
        <f>D258</f>
        <v/>
      </c>
      <c r="G258" s="47">
        <f>_xlfn.XLOOKUP(C258,SkillActive!$A:$A,SkillActive!E:E,,0)</f>
        <v/>
      </c>
      <c r="H258" s="47">
        <f>_xlfn.XLOOKUP(E258,SkillActive!B:B,SkillActive!K:K,,0)</f>
        <v/>
      </c>
    </row>
    <row r="259">
      <c r="A259" s="25">
        <f>C259*100+D259</f>
        <v/>
      </c>
      <c r="B259" s="42">
        <f>_xlfn.XLOOKUP(C259,SkillActive!$A:$A,SkillActive!C:C,,0)</f>
        <v/>
      </c>
      <c r="C259" s="25">
        <f>C243+1</f>
        <v/>
      </c>
      <c r="D259" s="25">
        <f>D179</f>
        <v/>
      </c>
      <c r="E259" s="25">
        <f t="array" ref="E259">_xlfn.XLOOKUP(C259,SkillActive!A:A,INDEX(SkillActive!A:AA,0,MATCH("name",SkillActive!$2:$2,0)),,0)</f>
        <v/>
      </c>
      <c r="F259" s="47">
        <f>D259</f>
        <v/>
      </c>
      <c r="G259" s="47">
        <f>_xlfn.XLOOKUP(C259,SkillActive!$A:$A,SkillActive!E:E,,0)</f>
        <v/>
      </c>
      <c r="H259" s="47">
        <f>_xlfn.XLOOKUP(E259,SkillActive!B:B,SkillActive!K:K,,0)</f>
        <v/>
      </c>
    </row>
    <row r="260">
      <c r="A260" s="25">
        <f>C260*100+D260</f>
        <v/>
      </c>
      <c r="B260" s="42">
        <f>_xlfn.XLOOKUP(C260,SkillActive!$A:$A,SkillActive!C:C,,0)</f>
        <v/>
      </c>
      <c r="C260" s="25">
        <f>C244+1</f>
        <v/>
      </c>
      <c r="D260" s="25">
        <f>D244</f>
        <v/>
      </c>
      <c r="E260" s="25">
        <f t="array" ref="E260">_xlfn.XLOOKUP(C260,SkillActive!A:A,INDEX(SkillActive!A:AA,0,MATCH("name",SkillActive!$2:$2,0)),,0)</f>
        <v/>
      </c>
      <c r="F260" s="47">
        <f>D260</f>
        <v/>
      </c>
      <c r="G260" s="47">
        <f>_xlfn.XLOOKUP(C260,SkillActive!$A:$A,SkillActive!E:E,,0)</f>
        <v/>
      </c>
      <c r="H260" s="47">
        <f>_xlfn.XLOOKUP(E260,SkillActive!B:B,SkillActive!K:K,,0)</f>
        <v/>
      </c>
    </row>
    <row r="261">
      <c r="A261" s="25">
        <f>C261*100+D261</f>
        <v/>
      </c>
      <c r="B261" s="42">
        <f>_xlfn.XLOOKUP(C261,SkillActive!$A:$A,SkillActive!C:C,,0)</f>
        <v/>
      </c>
      <c r="C261" s="25">
        <f>C245+1</f>
        <v/>
      </c>
      <c r="D261" s="25">
        <f>D245</f>
        <v/>
      </c>
      <c r="E261" s="25">
        <f t="array" ref="E261">_xlfn.XLOOKUP(C261,SkillActive!A:A,INDEX(SkillActive!A:AA,0,MATCH("name",SkillActive!$2:$2,0)),,0)</f>
        <v/>
      </c>
      <c r="F261" s="47">
        <f>D261</f>
        <v/>
      </c>
      <c r="G261" s="47">
        <f>_xlfn.XLOOKUP(C261,SkillActive!$A:$A,SkillActive!E:E,,0)</f>
        <v/>
      </c>
      <c r="H261" s="47">
        <f>_xlfn.XLOOKUP(E261,SkillActive!B:B,SkillActive!K:K,,0)</f>
        <v/>
      </c>
    </row>
    <row r="262">
      <c r="A262" s="25">
        <f>C262*100+D262</f>
        <v/>
      </c>
      <c r="B262" s="42">
        <f>_xlfn.XLOOKUP(C262,SkillActive!$A:$A,SkillActive!C:C,,0)</f>
        <v/>
      </c>
      <c r="C262" s="25">
        <f>C246+1</f>
        <v/>
      </c>
      <c r="D262" s="25">
        <f>D246</f>
        <v/>
      </c>
      <c r="E262" s="25">
        <f t="array" ref="E262">_xlfn.XLOOKUP(C262,SkillActive!A:A,INDEX(SkillActive!A:AA,0,MATCH("name",SkillActive!$2:$2,0)),,0)</f>
        <v/>
      </c>
      <c r="F262" s="47">
        <f>D262</f>
        <v/>
      </c>
      <c r="G262" s="47">
        <f>_xlfn.XLOOKUP(C262,SkillActive!$A:$A,SkillActive!E:E,,0)</f>
        <v/>
      </c>
      <c r="H262" s="47">
        <f>_xlfn.XLOOKUP(E262,SkillActive!B:B,SkillActive!K:K,,0)</f>
        <v/>
      </c>
    </row>
    <row r="263">
      <c r="A263" s="25">
        <f>C263*100+D263</f>
        <v/>
      </c>
      <c r="B263" s="42">
        <f>_xlfn.XLOOKUP(C263,SkillActive!$A:$A,SkillActive!C:C,,0)</f>
        <v/>
      </c>
      <c r="C263" s="25">
        <f>C247+1</f>
        <v/>
      </c>
      <c r="D263" s="25">
        <f>D247</f>
        <v/>
      </c>
      <c r="E263" s="25">
        <f t="array" ref="E263">_xlfn.XLOOKUP(C263,SkillActive!A:A,INDEX(SkillActive!A:AA,0,MATCH("name",SkillActive!$2:$2,0)),,0)</f>
        <v/>
      </c>
      <c r="F263" s="47">
        <f>D263</f>
        <v/>
      </c>
      <c r="G263" s="47">
        <f>_xlfn.XLOOKUP(C263,SkillActive!$A:$A,SkillActive!E:E,,0)</f>
        <v/>
      </c>
      <c r="H263" s="47">
        <f>_xlfn.XLOOKUP(E263,SkillActive!B:B,SkillActive!K:K,,0)</f>
        <v/>
      </c>
    </row>
    <row r="264">
      <c r="A264" s="25">
        <f>C264*100+D264</f>
        <v/>
      </c>
      <c r="B264" s="42">
        <f>_xlfn.XLOOKUP(C264,SkillActive!$A:$A,SkillActive!C:C,,0)</f>
        <v/>
      </c>
      <c r="C264" s="25">
        <f>C248+1</f>
        <v/>
      </c>
      <c r="D264" s="25">
        <f>D248</f>
        <v/>
      </c>
      <c r="E264" s="25">
        <f t="array" ref="E264">_xlfn.XLOOKUP(C264,SkillActive!A:A,INDEX(SkillActive!A:AA,0,MATCH("name",SkillActive!$2:$2,0)),,0)</f>
        <v/>
      </c>
      <c r="F264" s="47">
        <f>D264</f>
        <v/>
      </c>
      <c r="G264" s="47">
        <f>_xlfn.XLOOKUP(C264,SkillActive!$A:$A,SkillActive!E:E,,0)</f>
        <v/>
      </c>
      <c r="H264" s="47">
        <f>_xlfn.XLOOKUP(E264,SkillActive!B:B,SkillActive!K:K,,0)</f>
        <v/>
      </c>
    </row>
    <row r="265">
      <c r="A265" s="25">
        <f>C265*100+D265</f>
        <v/>
      </c>
      <c r="B265" s="42">
        <f>_xlfn.XLOOKUP(C265,SkillActive!$A:$A,SkillActive!C:C,,0)</f>
        <v/>
      </c>
      <c r="C265" s="25">
        <f>C249+1</f>
        <v/>
      </c>
      <c r="D265" s="25">
        <f>D249</f>
        <v/>
      </c>
      <c r="E265" s="25">
        <f t="array" ref="E265">_xlfn.XLOOKUP(C265,SkillActive!A:A,INDEX(SkillActive!A:AA,0,MATCH("name",SkillActive!$2:$2,0)),,0)</f>
        <v/>
      </c>
      <c r="F265" s="47">
        <f>D265</f>
        <v/>
      </c>
      <c r="G265" s="47">
        <f>_xlfn.XLOOKUP(C265,SkillActive!$A:$A,SkillActive!E:E,,0)</f>
        <v/>
      </c>
      <c r="H265" s="47">
        <f>_xlfn.XLOOKUP(E265,SkillActive!B:B,SkillActive!K:K,,0)</f>
        <v/>
      </c>
    </row>
    <row r="266">
      <c r="A266" s="25">
        <f>C266*100+D266</f>
        <v/>
      </c>
      <c r="B266" s="42">
        <f>_xlfn.XLOOKUP(C266,SkillActive!$A:$A,SkillActive!C:C,,0)</f>
        <v/>
      </c>
      <c r="C266" s="25">
        <f>C250+1</f>
        <v/>
      </c>
      <c r="D266" s="25">
        <f>D250</f>
        <v/>
      </c>
      <c r="E266" s="25">
        <f t="array" ref="E266">_xlfn.XLOOKUP(C266,SkillActive!A:A,INDEX(SkillActive!A:AA,0,MATCH("name",SkillActive!$2:$2,0)),,0)</f>
        <v/>
      </c>
      <c r="F266" s="47">
        <f>D266</f>
        <v/>
      </c>
      <c r="G266" s="47">
        <f>_xlfn.XLOOKUP(C266,SkillActive!$A:$A,SkillActive!E:E,,0)</f>
        <v/>
      </c>
      <c r="H266" s="47">
        <f>_xlfn.XLOOKUP(E266,SkillActive!B:B,SkillActive!K:K,,0)</f>
        <v/>
      </c>
    </row>
    <row r="267">
      <c r="A267" s="25">
        <f>C267*100+D267</f>
        <v/>
      </c>
      <c r="B267" s="42">
        <f>_xlfn.XLOOKUP(C267,SkillActive!$A:$A,SkillActive!C:C,,0)</f>
        <v/>
      </c>
      <c r="C267" s="25">
        <f>C251+1</f>
        <v/>
      </c>
      <c r="D267" s="25">
        <f>D251</f>
        <v/>
      </c>
      <c r="E267" s="25">
        <f t="array" ref="E267">_xlfn.XLOOKUP(C267,SkillActive!A:A,INDEX(SkillActive!A:AA,0,MATCH("name",SkillActive!$2:$2,0)),,0)</f>
        <v/>
      </c>
      <c r="F267" s="47">
        <f>D267</f>
        <v/>
      </c>
      <c r="G267" s="47">
        <f>_xlfn.XLOOKUP(C267,SkillActive!$A:$A,SkillActive!E:E,,0)</f>
        <v/>
      </c>
      <c r="H267" s="47">
        <f>_xlfn.XLOOKUP(E267,SkillActive!B:B,SkillActive!K:K,,0)</f>
        <v/>
      </c>
    </row>
    <row r="268">
      <c r="A268" s="25">
        <f>C268*100+D268</f>
        <v/>
      </c>
      <c r="B268" s="42">
        <f>_xlfn.XLOOKUP(C268,SkillActive!$A:$A,SkillActive!C:C,,0)</f>
        <v/>
      </c>
      <c r="C268" s="25">
        <f>C252+1</f>
        <v/>
      </c>
      <c r="D268" s="25">
        <f>D252</f>
        <v/>
      </c>
      <c r="E268" s="25">
        <f t="array" ref="E268">_xlfn.XLOOKUP(C268,SkillActive!A:A,INDEX(SkillActive!A:AA,0,MATCH("name",SkillActive!$2:$2,0)),,0)</f>
        <v/>
      </c>
      <c r="F268" s="47">
        <f>D268</f>
        <v/>
      </c>
      <c r="G268" s="47">
        <f>_xlfn.XLOOKUP(C268,SkillActive!$A:$A,SkillActive!E:E,,0)</f>
        <v/>
      </c>
      <c r="H268" s="47">
        <f>_xlfn.XLOOKUP(E268,SkillActive!B:B,SkillActive!K:K,,0)</f>
        <v/>
      </c>
    </row>
    <row r="269">
      <c r="A269" s="25">
        <f>C269*100+D269</f>
        <v/>
      </c>
      <c r="B269" s="42">
        <f>_xlfn.XLOOKUP(C269,SkillActive!$A:$A,SkillActive!C:C,,0)</f>
        <v/>
      </c>
      <c r="C269" s="25">
        <f>C253+1</f>
        <v/>
      </c>
      <c r="D269" s="25">
        <f>D253</f>
        <v/>
      </c>
      <c r="E269" s="25">
        <f t="array" ref="E269">_xlfn.XLOOKUP(C269,SkillActive!A:A,INDEX(SkillActive!A:AA,0,MATCH("name",SkillActive!$2:$2,0)),,0)</f>
        <v/>
      </c>
      <c r="F269" s="47">
        <f>D269</f>
        <v/>
      </c>
      <c r="G269" s="47">
        <f>_xlfn.XLOOKUP(C269,SkillActive!$A:$A,SkillActive!E:E,,0)</f>
        <v/>
      </c>
      <c r="H269" s="47">
        <f>_xlfn.XLOOKUP(E269,SkillActive!B:B,SkillActive!K:K,,0)</f>
        <v/>
      </c>
    </row>
    <row r="270">
      <c r="A270" s="25">
        <f>C270*100+D270</f>
        <v/>
      </c>
      <c r="B270" s="42">
        <f>_xlfn.XLOOKUP(C270,SkillActive!$A:$A,SkillActive!C:C,,0)</f>
        <v/>
      </c>
      <c r="C270" s="25">
        <f>C254+1</f>
        <v/>
      </c>
      <c r="D270" s="25">
        <f>D254</f>
        <v/>
      </c>
      <c r="E270" s="25">
        <f t="array" ref="E270">_xlfn.XLOOKUP(C270,SkillActive!A:A,INDEX(SkillActive!A:AA,0,MATCH("name",SkillActive!$2:$2,0)),,0)</f>
        <v/>
      </c>
      <c r="F270" s="47">
        <f>D270</f>
        <v/>
      </c>
      <c r="G270" s="47">
        <f>_xlfn.XLOOKUP(C270,SkillActive!$A:$A,SkillActive!E:E,,0)</f>
        <v/>
      </c>
      <c r="H270" s="47">
        <f>_xlfn.XLOOKUP(E270,SkillActive!B:B,SkillActive!K:K,,0)</f>
        <v/>
      </c>
    </row>
    <row r="271">
      <c r="A271" s="25">
        <f>C271*100+D271</f>
        <v/>
      </c>
      <c r="B271" s="42">
        <f>_xlfn.XLOOKUP(C271,SkillActive!$A:$A,SkillActive!C:C,,0)</f>
        <v/>
      </c>
      <c r="C271" s="25">
        <f>C255+1</f>
        <v/>
      </c>
      <c r="D271" s="25">
        <f>D255</f>
        <v/>
      </c>
      <c r="E271" s="25">
        <f t="array" ref="E271">_xlfn.XLOOKUP(C271,SkillActive!A:A,INDEX(SkillActive!A:AA,0,MATCH("name",SkillActive!$2:$2,0)),,0)</f>
        <v/>
      </c>
      <c r="F271" s="47">
        <f>D271</f>
        <v/>
      </c>
      <c r="G271" s="47">
        <f>_xlfn.XLOOKUP(C271,SkillActive!$A:$A,SkillActive!E:E,,0)</f>
        <v/>
      </c>
      <c r="H271" s="47">
        <f>_xlfn.XLOOKUP(E271,SkillActive!B:B,SkillActive!K:K,,0)</f>
        <v/>
      </c>
    </row>
    <row r="272">
      <c r="A272" s="25">
        <f>C272*100+D272</f>
        <v/>
      </c>
      <c r="B272" s="42">
        <f>_xlfn.XLOOKUP(C272,SkillActive!$A:$A,SkillActive!C:C,,0)</f>
        <v/>
      </c>
      <c r="C272" s="25">
        <f>C256+1</f>
        <v/>
      </c>
      <c r="D272" s="25">
        <f>D256</f>
        <v/>
      </c>
      <c r="E272" s="25">
        <f t="array" ref="E272">_xlfn.XLOOKUP(C272,SkillActive!A:A,INDEX(SkillActive!A:AA,0,MATCH("name",SkillActive!$2:$2,0)),,0)</f>
        <v/>
      </c>
      <c r="F272" s="47">
        <f>D272</f>
        <v/>
      </c>
      <c r="G272" s="47">
        <f>_xlfn.XLOOKUP(C272,SkillActive!$A:$A,SkillActive!E:E,,0)</f>
        <v/>
      </c>
      <c r="H272" s="47">
        <f>_xlfn.XLOOKUP(E272,SkillActive!B:B,SkillActive!K:K,,0)</f>
        <v/>
      </c>
    </row>
    <row r="273">
      <c r="A273" s="25">
        <f>C273*100+D273</f>
        <v/>
      </c>
      <c r="B273" s="42">
        <f>_xlfn.XLOOKUP(C273,SkillActive!$A:$A,SkillActive!C:C,,0)</f>
        <v/>
      </c>
      <c r="C273" s="25">
        <f>C257+1</f>
        <v/>
      </c>
      <c r="D273" s="25">
        <f>D257</f>
        <v/>
      </c>
      <c r="E273" s="25">
        <f t="array" ref="E273">_xlfn.XLOOKUP(C273,SkillActive!A:A,INDEX(SkillActive!A:AA,0,MATCH("name",SkillActive!$2:$2,0)),,0)</f>
        <v/>
      </c>
      <c r="F273" s="47">
        <f>D273</f>
        <v/>
      </c>
      <c r="G273" s="47">
        <f>_xlfn.XLOOKUP(C273,SkillActive!$A:$A,SkillActive!E:E,,0)</f>
        <v/>
      </c>
      <c r="H273" s="47">
        <f>_xlfn.XLOOKUP(E273,SkillActive!B:B,SkillActive!K:K,,0)</f>
        <v/>
      </c>
    </row>
    <row r="274">
      <c r="A274" s="25">
        <f>C274*100+D274</f>
        <v/>
      </c>
      <c r="B274" s="42">
        <f>_xlfn.XLOOKUP(C274,SkillActive!$A:$A,SkillActive!C:C,,0)</f>
        <v/>
      </c>
      <c r="C274" s="25">
        <f>C258+1</f>
        <v/>
      </c>
      <c r="D274" s="25">
        <f>D258</f>
        <v/>
      </c>
      <c r="E274" s="25">
        <f t="array" ref="E274">_xlfn.XLOOKUP(C274,SkillActive!A:A,INDEX(SkillActive!A:AA,0,MATCH("name",SkillActive!$2:$2,0)),,0)</f>
        <v/>
      </c>
      <c r="F274" s="47">
        <f>D274</f>
        <v/>
      </c>
      <c r="G274" s="47">
        <f>_xlfn.XLOOKUP(C274,SkillActive!$A:$A,SkillActive!E:E,,0)</f>
        <v/>
      </c>
      <c r="H274" s="47">
        <f>_xlfn.XLOOKUP(E274,SkillActive!B:B,SkillActive!K:K,,0)</f>
        <v/>
      </c>
    </row>
    <row r="275">
      <c r="A275" s="25">
        <f>C275*100+D275</f>
        <v/>
      </c>
      <c r="B275" s="42">
        <f>_xlfn.XLOOKUP(C275,SkillActive!$A:$A,SkillActive!C:C,,0)</f>
        <v/>
      </c>
      <c r="C275" s="25">
        <f>C259+1</f>
        <v/>
      </c>
      <c r="D275" s="25">
        <f>D259</f>
        <v/>
      </c>
      <c r="E275" s="25">
        <f t="array" ref="E275">_xlfn.XLOOKUP(C275,SkillActive!A:A,INDEX(SkillActive!A:AA,0,MATCH("name",SkillActive!$2:$2,0)),,0)</f>
        <v/>
      </c>
      <c r="F275" s="47">
        <f>D275</f>
        <v/>
      </c>
      <c r="G275" s="47">
        <f>_xlfn.XLOOKUP(C275,SkillActive!$A:$A,SkillActive!E:E,,0)</f>
        <v/>
      </c>
      <c r="H275" s="47">
        <f>_xlfn.XLOOKUP(E275,SkillActive!B:B,SkillActive!K:K,,0)</f>
        <v/>
      </c>
    </row>
    <row r="276">
      <c r="A276" s="25">
        <f>C276*100+D276</f>
        <v/>
      </c>
      <c r="B276" s="42">
        <f>_xlfn.XLOOKUP(C276,SkillActive!$A:$A,SkillActive!C:C,,0)</f>
        <v/>
      </c>
      <c r="C276" s="25">
        <f>C260+1</f>
        <v/>
      </c>
      <c r="D276" s="25">
        <f>D260</f>
        <v/>
      </c>
      <c r="E276" s="25">
        <f t="array" ref="E276">_xlfn.XLOOKUP(C276,SkillActive!A:A,INDEX(SkillActive!A:AA,0,MATCH("name",SkillActive!$2:$2,0)),,0)</f>
        <v/>
      </c>
      <c r="F276" s="47">
        <f>D276</f>
        <v/>
      </c>
      <c r="G276" s="47">
        <f>_xlfn.XLOOKUP(C276,SkillActive!$A:$A,SkillActive!E:E,,0)</f>
        <v/>
      </c>
      <c r="H276" s="47">
        <f>_xlfn.XLOOKUP(E276,SkillActive!B:B,SkillActive!K:K,,0)</f>
        <v/>
      </c>
    </row>
    <row r="277">
      <c r="A277" s="25">
        <f>C277*100+D277</f>
        <v/>
      </c>
      <c r="B277" s="42">
        <f>_xlfn.XLOOKUP(C277,SkillActive!$A:$A,SkillActive!C:C,,0)</f>
        <v/>
      </c>
      <c r="C277" s="25">
        <f>C261+1</f>
        <v/>
      </c>
      <c r="D277" s="25">
        <f>D261</f>
        <v/>
      </c>
      <c r="E277" s="25">
        <f t="array" ref="E277">_xlfn.XLOOKUP(C277,SkillActive!A:A,INDEX(SkillActive!A:AA,0,MATCH("name",SkillActive!$2:$2,0)),,0)</f>
        <v/>
      </c>
      <c r="F277" s="47">
        <f>D277</f>
        <v/>
      </c>
      <c r="G277" s="47">
        <f>_xlfn.XLOOKUP(C277,SkillActive!$A:$A,SkillActive!E:E,,0)</f>
        <v/>
      </c>
      <c r="H277" s="47">
        <f>_xlfn.XLOOKUP(E277,SkillActive!B:B,SkillActive!K:K,,0)</f>
        <v/>
      </c>
    </row>
    <row r="278">
      <c r="A278" s="25">
        <f>C278*100+D278</f>
        <v/>
      </c>
      <c r="B278" s="42">
        <f>_xlfn.XLOOKUP(C278,SkillActive!$A:$A,SkillActive!C:C,,0)</f>
        <v/>
      </c>
      <c r="C278" s="25">
        <f>C262+1</f>
        <v/>
      </c>
      <c r="D278" s="25">
        <f>D262</f>
        <v/>
      </c>
      <c r="E278" s="25">
        <f t="array" ref="E278">_xlfn.XLOOKUP(C278,SkillActive!A:A,INDEX(SkillActive!A:AA,0,MATCH("name",SkillActive!$2:$2,0)),,0)</f>
        <v/>
      </c>
      <c r="F278" s="47">
        <f>D278</f>
        <v/>
      </c>
      <c r="G278" s="47">
        <f>_xlfn.XLOOKUP(C278,SkillActive!$A:$A,SkillActive!E:E,,0)</f>
        <v/>
      </c>
      <c r="H278" s="47">
        <f>_xlfn.XLOOKUP(E278,SkillActive!B:B,SkillActive!K:K,,0)</f>
        <v/>
      </c>
    </row>
    <row r="279">
      <c r="A279" s="25">
        <f>C279*100+D279</f>
        <v/>
      </c>
      <c r="B279" s="42">
        <f>_xlfn.XLOOKUP(C279,SkillActive!$A:$A,SkillActive!C:C,,0)</f>
        <v/>
      </c>
      <c r="C279" s="25">
        <f>C263+1</f>
        <v/>
      </c>
      <c r="D279" s="25">
        <f>D263</f>
        <v/>
      </c>
      <c r="E279" s="25">
        <f t="array" ref="E279">_xlfn.XLOOKUP(C279,SkillActive!A:A,INDEX(SkillActive!A:AA,0,MATCH("name",SkillActive!$2:$2,0)),,0)</f>
        <v/>
      </c>
      <c r="F279" s="47">
        <f>D279</f>
        <v/>
      </c>
      <c r="G279" s="47">
        <f>_xlfn.XLOOKUP(C279,SkillActive!$A:$A,SkillActive!E:E,,0)</f>
        <v/>
      </c>
      <c r="H279" s="47">
        <f>_xlfn.XLOOKUP(E279,SkillActive!B:B,SkillActive!K:K,,0)</f>
        <v/>
      </c>
    </row>
    <row r="280">
      <c r="A280" s="25">
        <f>C280*100+D280</f>
        <v/>
      </c>
      <c r="B280" s="42">
        <f>_xlfn.XLOOKUP(C280,SkillActive!$A:$A,SkillActive!C:C,,0)</f>
        <v/>
      </c>
      <c r="C280" s="25">
        <f>C264+1</f>
        <v/>
      </c>
      <c r="D280" s="25">
        <f>D264</f>
        <v/>
      </c>
      <c r="E280" s="25">
        <f t="array" ref="E280">_xlfn.XLOOKUP(C280,SkillActive!A:A,INDEX(SkillActive!A:AA,0,MATCH("name",SkillActive!$2:$2,0)),,0)</f>
        <v/>
      </c>
      <c r="F280" s="47">
        <f>D280</f>
        <v/>
      </c>
      <c r="G280" s="47">
        <f>_xlfn.XLOOKUP(C280,SkillActive!$A:$A,SkillActive!E:E,,0)</f>
        <v/>
      </c>
      <c r="H280" s="47">
        <f>_xlfn.XLOOKUP(E280,SkillActive!B:B,SkillActive!K:K,,0)</f>
        <v/>
      </c>
    </row>
    <row r="281">
      <c r="A281" s="25">
        <f>C281*100+D281</f>
        <v/>
      </c>
      <c r="B281" s="42">
        <f>_xlfn.XLOOKUP(C281,SkillActive!$A:$A,SkillActive!C:C,,0)</f>
        <v/>
      </c>
      <c r="C281" s="25">
        <f>C265+1</f>
        <v/>
      </c>
      <c r="D281" s="25">
        <f>D265</f>
        <v/>
      </c>
      <c r="E281" s="25">
        <f t="array" ref="E281">_xlfn.XLOOKUP(C281,SkillActive!A:A,INDEX(SkillActive!A:AA,0,MATCH("name",SkillActive!$2:$2,0)),,0)</f>
        <v/>
      </c>
      <c r="F281" s="47">
        <f>D281</f>
        <v/>
      </c>
      <c r="G281" s="47">
        <f>_xlfn.XLOOKUP(C281,SkillActive!$A:$A,SkillActive!E:E,,0)</f>
        <v/>
      </c>
      <c r="H281" s="47">
        <f>_xlfn.XLOOKUP(E281,SkillActive!B:B,SkillActive!K:K,,0)</f>
        <v/>
      </c>
    </row>
    <row r="282">
      <c r="A282" s="25">
        <f>C282*100+D282</f>
        <v/>
      </c>
      <c r="B282" s="42">
        <f>_xlfn.XLOOKUP(C282,SkillActive!$A:$A,SkillActive!C:C,,0)</f>
        <v/>
      </c>
      <c r="C282" s="25">
        <f>C266+1</f>
        <v/>
      </c>
      <c r="D282" s="25">
        <f>D266</f>
        <v/>
      </c>
      <c r="E282" s="25">
        <f t="array" ref="E282">_xlfn.XLOOKUP(C282,SkillActive!A:A,INDEX(SkillActive!A:AA,0,MATCH("name",SkillActive!$2:$2,0)),,0)</f>
        <v/>
      </c>
      <c r="F282" s="47">
        <f>D282</f>
        <v/>
      </c>
      <c r="G282" s="47">
        <f>_xlfn.XLOOKUP(C282,SkillActive!$A:$A,SkillActive!E:E,,0)</f>
        <v/>
      </c>
      <c r="H282" s="47">
        <f>_xlfn.XLOOKUP(E282,SkillActive!B:B,SkillActive!K:K,,0)</f>
        <v/>
      </c>
    </row>
    <row r="283">
      <c r="A283" s="25">
        <f>C283*100+D283</f>
        <v/>
      </c>
      <c r="B283" s="42">
        <f>_xlfn.XLOOKUP(C283,SkillActive!$A:$A,SkillActive!C:C,,0)</f>
        <v/>
      </c>
      <c r="C283" s="25">
        <f>C267+1</f>
        <v/>
      </c>
      <c r="D283" s="25">
        <f>D267</f>
        <v/>
      </c>
      <c r="E283" s="25">
        <f t="array" ref="E283">_xlfn.XLOOKUP(C283,SkillActive!A:A,INDEX(SkillActive!A:AA,0,MATCH("name",SkillActive!$2:$2,0)),,0)</f>
        <v/>
      </c>
      <c r="F283" s="47">
        <f>D283</f>
        <v/>
      </c>
      <c r="G283" s="47">
        <f>_xlfn.XLOOKUP(C283,SkillActive!$A:$A,SkillActive!E:E,,0)</f>
        <v/>
      </c>
      <c r="H283" s="47">
        <f>_xlfn.XLOOKUP(E283,SkillActive!B:B,SkillActive!K:K,,0)</f>
        <v/>
      </c>
    </row>
    <row r="284">
      <c r="A284" s="25">
        <f>C284*100+D284</f>
        <v/>
      </c>
      <c r="B284" s="42">
        <f>_xlfn.XLOOKUP(C284,SkillActive!$A:$A,SkillActive!C:C,,0)</f>
        <v/>
      </c>
      <c r="C284" s="25">
        <f>C268+1</f>
        <v/>
      </c>
      <c r="D284" s="25">
        <f>D268</f>
        <v/>
      </c>
      <c r="E284" s="25">
        <f t="array" ref="E284">_xlfn.XLOOKUP(C284,SkillActive!A:A,INDEX(SkillActive!A:AA,0,MATCH("name",SkillActive!$2:$2,0)),,0)</f>
        <v/>
      </c>
      <c r="F284" s="47">
        <f>D284</f>
        <v/>
      </c>
      <c r="G284" s="47">
        <f>_xlfn.XLOOKUP(C284,SkillActive!$A:$A,SkillActive!E:E,,0)</f>
        <v/>
      </c>
      <c r="H284" s="47">
        <f>_xlfn.XLOOKUP(E284,SkillActive!B:B,SkillActive!K:K,,0)</f>
        <v/>
      </c>
    </row>
    <row r="285">
      <c r="A285" s="25">
        <f>C285*100+D285</f>
        <v/>
      </c>
      <c r="B285" s="42">
        <f>_xlfn.XLOOKUP(C285,SkillActive!$A:$A,SkillActive!C:C,,0)</f>
        <v/>
      </c>
      <c r="C285" s="25">
        <f>C269+1</f>
        <v/>
      </c>
      <c r="D285" s="25">
        <f>D269</f>
        <v/>
      </c>
      <c r="E285" s="25">
        <f t="array" ref="E285">_xlfn.XLOOKUP(C285,SkillActive!A:A,INDEX(SkillActive!A:AA,0,MATCH("name",SkillActive!$2:$2,0)),,0)</f>
        <v/>
      </c>
      <c r="F285" s="47">
        <f>D285</f>
        <v/>
      </c>
      <c r="G285" s="47">
        <f>_xlfn.XLOOKUP(C285,SkillActive!$A:$A,SkillActive!E:E,,0)</f>
        <v/>
      </c>
      <c r="H285" s="47">
        <f>_xlfn.XLOOKUP(E285,SkillActive!B:B,SkillActive!K:K,,0)</f>
        <v/>
      </c>
    </row>
    <row r="286">
      <c r="A286" s="25">
        <f>C286*100+D286</f>
        <v/>
      </c>
      <c r="B286" s="42">
        <f>_xlfn.XLOOKUP(C286,SkillActive!$A:$A,SkillActive!C:C,,0)</f>
        <v/>
      </c>
      <c r="C286" s="25">
        <f>C270+1</f>
        <v/>
      </c>
      <c r="D286" s="25">
        <f>D270</f>
        <v/>
      </c>
      <c r="E286" s="25">
        <f t="array" ref="E286">_xlfn.XLOOKUP(C286,SkillActive!A:A,INDEX(SkillActive!A:AA,0,MATCH("name",SkillActive!$2:$2,0)),,0)</f>
        <v/>
      </c>
      <c r="F286" s="47">
        <f>D286</f>
        <v/>
      </c>
      <c r="G286" s="47">
        <f>_xlfn.XLOOKUP(C286,SkillActive!$A:$A,SkillActive!E:E,,0)</f>
        <v/>
      </c>
      <c r="H286" s="47">
        <f>_xlfn.XLOOKUP(E286,SkillActive!B:B,SkillActive!K:K,,0)</f>
        <v/>
      </c>
    </row>
    <row r="287">
      <c r="A287" s="25">
        <f>C287*100+D287</f>
        <v/>
      </c>
      <c r="B287" s="42">
        <f>_xlfn.XLOOKUP(C287,SkillActive!$A:$A,SkillActive!C:C,,0)</f>
        <v/>
      </c>
      <c r="C287" s="25">
        <f>C271+1</f>
        <v/>
      </c>
      <c r="D287" s="25">
        <f>D271</f>
        <v/>
      </c>
      <c r="E287" s="25">
        <f t="array" ref="E287">_xlfn.XLOOKUP(C287,SkillActive!A:A,INDEX(SkillActive!A:AA,0,MATCH("name",SkillActive!$2:$2,0)),,0)</f>
        <v/>
      </c>
      <c r="F287" s="47">
        <f>D287</f>
        <v/>
      </c>
      <c r="G287" s="47">
        <f>_xlfn.XLOOKUP(C287,SkillActive!$A:$A,SkillActive!E:E,,0)</f>
        <v/>
      </c>
      <c r="H287" s="47">
        <f>_xlfn.XLOOKUP(E287,SkillActive!B:B,SkillActive!K:K,,0)</f>
        <v/>
      </c>
    </row>
    <row r="288">
      <c r="A288" s="25">
        <f>C288*100+D288</f>
        <v/>
      </c>
      <c r="B288" s="42">
        <f>_xlfn.XLOOKUP(C288,SkillActive!$A:$A,SkillActive!C:C,,0)</f>
        <v/>
      </c>
      <c r="C288" s="25">
        <f>C272+1</f>
        <v/>
      </c>
      <c r="D288" s="25">
        <f>D272</f>
        <v/>
      </c>
      <c r="E288" s="25">
        <f t="array" ref="E288">_xlfn.XLOOKUP(C288,SkillActive!A:A,INDEX(SkillActive!A:AA,0,MATCH("name",SkillActive!$2:$2,0)),,0)</f>
        <v/>
      </c>
      <c r="F288" s="47">
        <f>D288</f>
        <v/>
      </c>
      <c r="G288" s="47">
        <f>_xlfn.XLOOKUP(C288,SkillActive!$A:$A,SkillActive!E:E,,0)</f>
        <v/>
      </c>
      <c r="H288" s="47">
        <f>_xlfn.XLOOKUP(E288,SkillActive!B:B,SkillActive!K:K,,0)</f>
        <v/>
      </c>
    </row>
    <row r="289">
      <c r="A289" s="25">
        <f>C289*100+D289</f>
        <v/>
      </c>
      <c r="B289" s="42">
        <f>_xlfn.XLOOKUP(C289,SkillActive!$A:$A,SkillActive!C:C,,0)</f>
        <v/>
      </c>
      <c r="C289" s="25">
        <f>C273+1</f>
        <v/>
      </c>
      <c r="D289" s="25">
        <f>D273</f>
        <v/>
      </c>
      <c r="E289" s="25">
        <f t="array" ref="E289">_xlfn.XLOOKUP(C289,SkillActive!A:A,INDEX(SkillActive!A:AA,0,MATCH("name",SkillActive!$2:$2,0)),,0)</f>
        <v/>
      </c>
      <c r="F289" s="47">
        <f>D289</f>
        <v/>
      </c>
      <c r="G289" s="47">
        <f>_xlfn.XLOOKUP(C289,SkillActive!$A:$A,SkillActive!E:E,,0)</f>
        <v/>
      </c>
      <c r="H289" s="47">
        <f>_xlfn.XLOOKUP(E289,SkillActive!B:B,SkillActive!K:K,,0)</f>
        <v/>
      </c>
    </row>
    <row r="290">
      <c r="A290" s="25">
        <f>C290*100+D290</f>
        <v/>
      </c>
      <c r="B290" s="42">
        <f>_xlfn.XLOOKUP(C290,SkillActive!$A:$A,SkillActive!C:C,,0)</f>
        <v/>
      </c>
      <c r="C290" s="25">
        <f>C274+1</f>
        <v/>
      </c>
      <c r="D290" s="25">
        <f>D274</f>
        <v/>
      </c>
      <c r="E290" s="25">
        <f t="array" ref="E290">_xlfn.XLOOKUP(C290,SkillActive!A:A,INDEX(SkillActive!A:AA,0,MATCH("name",SkillActive!$2:$2,0)),,0)</f>
        <v/>
      </c>
      <c r="F290" s="47">
        <f>D290</f>
        <v/>
      </c>
      <c r="G290" s="47">
        <f>_xlfn.XLOOKUP(C290,SkillActive!$A:$A,SkillActive!E:E,,0)</f>
        <v/>
      </c>
      <c r="H290" s="47">
        <f>_xlfn.XLOOKUP(E290,SkillActive!B:B,SkillActive!K:K,,0)</f>
        <v/>
      </c>
    </row>
    <row r="291">
      <c r="A291" s="25">
        <f>C291*100+D291</f>
        <v/>
      </c>
      <c r="B291" s="42">
        <f>_xlfn.XLOOKUP(C291,SkillActive!$A:$A,SkillActive!C:C,,0)</f>
        <v/>
      </c>
      <c r="C291" s="25">
        <f>C275+1</f>
        <v/>
      </c>
      <c r="D291" s="25">
        <f>D275</f>
        <v/>
      </c>
      <c r="E291" s="25">
        <f t="array" ref="E291">_xlfn.XLOOKUP(C291,SkillActive!A:A,INDEX(SkillActive!A:AA,0,MATCH("name",SkillActive!$2:$2,0)),,0)</f>
        <v/>
      </c>
      <c r="F291" s="47">
        <f>D291</f>
        <v/>
      </c>
      <c r="G291" s="47">
        <f>_xlfn.XLOOKUP(C291,SkillActive!$A:$A,SkillActive!E:E,,0)</f>
        <v/>
      </c>
      <c r="H291" s="47">
        <f>_xlfn.XLOOKUP(E291,SkillActive!B:B,SkillActive!K:K,,0)</f>
        <v/>
      </c>
    </row>
    <row r="292">
      <c r="A292" s="25">
        <f>C292*100+D292</f>
        <v/>
      </c>
      <c r="B292" s="42">
        <f>_xlfn.XLOOKUP(C292,SkillActive!$A:$A,SkillActive!C:C,,0)</f>
        <v/>
      </c>
      <c r="C292" s="25">
        <f>C276+1</f>
        <v/>
      </c>
      <c r="D292" s="25">
        <f>D260</f>
        <v/>
      </c>
      <c r="E292" s="25">
        <f t="array" ref="E292">_xlfn.XLOOKUP(C292,SkillActive!A:A,INDEX(SkillActive!A:AA,0,MATCH("name",SkillActive!$2:$2,0)),,0)</f>
        <v/>
      </c>
      <c r="F292" s="47">
        <f>D292</f>
        <v/>
      </c>
      <c r="G292" s="47">
        <f>_xlfn.XLOOKUP(C292,SkillActive!$A:$A,SkillActive!E:E,,0)</f>
        <v/>
      </c>
      <c r="H292" s="47">
        <f>_xlfn.XLOOKUP(E292,SkillActive!B:B,SkillActive!K:K,,0)</f>
        <v/>
      </c>
    </row>
    <row r="293">
      <c r="A293" s="25">
        <f>C293*100+D293</f>
        <v/>
      </c>
      <c r="B293" s="42">
        <f>_xlfn.XLOOKUP(C293,SkillActive!$A:$A,SkillActive!C:C,,0)</f>
        <v/>
      </c>
      <c r="C293" s="25">
        <f>C277+1</f>
        <v/>
      </c>
      <c r="D293" s="25">
        <f>D261</f>
        <v/>
      </c>
      <c r="E293" s="25">
        <f t="array" ref="E293">_xlfn.XLOOKUP(C293,SkillActive!A:A,INDEX(SkillActive!A:AA,0,MATCH("name",SkillActive!$2:$2,0)),,0)</f>
        <v/>
      </c>
      <c r="F293" s="47">
        <f>D293</f>
        <v/>
      </c>
      <c r="G293" s="47">
        <f>_xlfn.XLOOKUP(C293,SkillActive!$A:$A,SkillActive!E:E,,0)</f>
        <v/>
      </c>
      <c r="H293" s="47">
        <f>_xlfn.XLOOKUP(E293,SkillActive!B:B,SkillActive!K:K,,0)</f>
        <v/>
      </c>
    </row>
    <row r="294">
      <c r="A294" s="25">
        <f>C294*100+D294</f>
        <v/>
      </c>
      <c r="B294" s="42">
        <f>_xlfn.XLOOKUP(C294,SkillActive!$A:$A,SkillActive!C:C,,0)</f>
        <v/>
      </c>
      <c r="C294" s="25">
        <f>C278+1</f>
        <v/>
      </c>
      <c r="D294" s="25">
        <f>D262</f>
        <v/>
      </c>
      <c r="E294" s="25">
        <f t="array" ref="E294">_xlfn.XLOOKUP(C294,SkillActive!A:A,INDEX(SkillActive!A:AA,0,MATCH("name",SkillActive!$2:$2,0)),,0)</f>
        <v/>
      </c>
      <c r="F294" s="47">
        <f>D294</f>
        <v/>
      </c>
      <c r="G294" s="47">
        <f>_xlfn.XLOOKUP(C294,SkillActive!$A:$A,SkillActive!E:E,,0)</f>
        <v/>
      </c>
      <c r="H294" s="47">
        <f>_xlfn.XLOOKUP(E294,SkillActive!B:B,SkillActive!K:K,,0)</f>
        <v/>
      </c>
    </row>
    <row r="295">
      <c r="A295" s="25">
        <f>C295*100+D295</f>
        <v/>
      </c>
      <c r="B295" s="42">
        <f>_xlfn.XLOOKUP(C295,SkillActive!$A:$A,SkillActive!C:C,,0)</f>
        <v/>
      </c>
      <c r="C295" s="25">
        <f>C279+1</f>
        <v/>
      </c>
      <c r="D295" s="25">
        <f>D263</f>
        <v/>
      </c>
      <c r="E295" s="25">
        <f t="array" ref="E295">_xlfn.XLOOKUP(C295,SkillActive!A:A,INDEX(SkillActive!A:AA,0,MATCH("name",SkillActive!$2:$2,0)),,0)</f>
        <v/>
      </c>
      <c r="F295" s="47">
        <f>D295</f>
        <v/>
      </c>
      <c r="G295" s="47">
        <f>_xlfn.XLOOKUP(C295,SkillActive!$A:$A,SkillActive!E:E,,0)</f>
        <v/>
      </c>
      <c r="H295" s="47">
        <f>_xlfn.XLOOKUP(E295,SkillActive!B:B,SkillActive!K:K,,0)</f>
        <v/>
      </c>
    </row>
    <row r="296">
      <c r="A296" s="25">
        <f>C296*100+D296</f>
        <v/>
      </c>
      <c r="B296" s="42">
        <f>_xlfn.XLOOKUP(C296,SkillActive!$A:$A,SkillActive!C:C,,0)</f>
        <v/>
      </c>
      <c r="C296" s="25">
        <f>C280+1</f>
        <v/>
      </c>
      <c r="D296" s="25">
        <f>D264</f>
        <v/>
      </c>
      <c r="E296" s="25">
        <f t="array" ref="E296">_xlfn.XLOOKUP(C296,SkillActive!A:A,INDEX(SkillActive!A:AA,0,MATCH("name",SkillActive!$2:$2,0)),,0)</f>
        <v/>
      </c>
      <c r="F296" s="47">
        <f>D296</f>
        <v/>
      </c>
      <c r="G296" s="47">
        <f>_xlfn.XLOOKUP(C296,SkillActive!$A:$A,SkillActive!E:E,,0)</f>
        <v/>
      </c>
      <c r="H296" s="47">
        <f>_xlfn.XLOOKUP(E296,SkillActive!B:B,SkillActive!K:K,,0)</f>
        <v/>
      </c>
    </row>
    <row r="297">
      <c r="A297" s="25">
        <f>C297*100+D297</f>
        <v/>
      </c>
      <c r="B297" s="42">
        <f>_xlfn.XLOOKUP(C297,SkillActive!$A:$A,SkillActive!C:C,,0)</f>
        <v/>
      </c>
      <c r="C297" s="25">
        <f>C281+1</f>
        <v/>
      </c>
      <c r="D297" s="25">
        <f>D265</f>
        <v/>
      </c>
      <c r="E297" s="25">
        <f t="array" ref="E297">_xlfn.XLOOKUP(C297,SkillActive!A:A,INDEX(SkillActive!A:AA,0,MATCH("name",SkillActive!$2:$2,0)),,0)</f>
        <v/>
      </c>
      <c r="F297" s="47">
        <f>D297</f>
        <v/>
      </c>
      <c r="G297" s="47">
        <f>_xlfn.XLOOKUP(C297,SkillActive!$A:$A,SkillActive!E:E,,0)</f>
        <v/>
      </c>
      <c r="H297" s="47">
        <f>_xlfn.XLOOKUP(E297,SkillActive!B:B,SkillActive!K:K,,0)</f>
        <v/>
      </c>
    </row>
    <row r="298">
      <c r="A298" s="25">
        <f>C298*100+D298</f>
        <v/>
      </c>
      <c r="B298" s="42">
        <f>_xlfn.XLOOKUP(C298,SkillActive!$A:$A,SkillActive!C:C,,0)</f>
        <v/>
      </c>
      <c r="C298" s="25">
        <f>C282+1</f>
        <v/>
      </c>
      <c r="D298" s="25">
        <f>D266</f>
        <v/>
      </c>
      <c r="E298" s="25">
        <f t="array" ref="E298">_xlfn.XLOOKUP(C298,SkillActive!A:A,INDEX(SkillActive!A:AA,0,MATCH("name",SkillActive!$2:$2,0)),,0)</f>
        <v/>
      </c>
      <c r="F298" s="47">
        <f>D298</f>
        <v/>
      </c>
      <c r="G298" s="47">
        <f>_xlfn.XLOOKUP(C298,SkillActive!$A:$A,SkillActive!E:E,,0)</f>
        <v/>
      </c>
      <c r="H298" s="47">
        <f>_xlfn.XLOOKUP(E298,SkillActive!B:B,SkillActive!K:K,,0)</f>
        <v/>
      </c>
    </row>
    <row r="299">
      <c r="A299" s="25">
        <f>C299*100+D299</f>
        <v/>
      </c>
      <c r="B299" s="42">
        <f>_xlfn.XLOOKUP(C299,SkillActive!$A:$A,SkillActive!C:C,,0)</f>
        <v/>
      </c>
      <c r="C299" s="25">
        <f>C283+1</f>
        <v/>
      </c>
      <c r="D299" s="25">
        <f>D267</f>
        <v/>
      </c>
      <c r="E299" s="25">
        <f t="array" ref="E299">_xlfn.XLOOKUP(C299,SkillActive!A:A,INDEX(SkillActive!A:AA,0,MATCH("name",SkillActive!$2:$2,0)),,0)</f>
        <v/>
      </c>
      <c r="F299" s="47">
        <f>D299</f>
        <v/>
      </c>
      <c r="G299" s="47">
        <f>_xlfn.XLOOKUP(C299,SkillActive!$A:$A,SkillActive!E:E,,0)</f>
        <v/>
      </c>
      <c r="H299" s="47">
        <f>_xlfn.XLOOKUP(E299,SkillActive!B:B,SkillActive!K:K,,0)</f>
        <v/>
      </c>
    </row>
    <row r="300">
      <c r="A300" s="25">
        <f>C300*100+D300</f>
        <v/>
      </c>
      <c r="B300" s="42">
        <f>_xlfn.XLOOKUP(C300,SkillActive!$A:$A,SkillActive!C:C,,0)</f>
        <v/>
      </c>
      <c r="C300" s="25">
        <f>C284+1</f>
        <v/>
      </c>
      <c r="D300" s="25">
        <f>D268</f>
        <v/>
      </c>
      <c r="E300" s="25">
        <f t="array" ref="E300">_xlfn.XLOOKUP(C300,SkillActive!A:A,INDEX(SkillActive!A:AA,0,MATCH("name",SkillActive!$2:$2,0)),,0)</f>
        <v/>
      </c>
      <c r="F300" s="47">
        <f>D300</f>
        <v/>
      </c>
      <c r="G300" s="47">
        <f>_xlfn.XLOOKUP(C300,SkillActive!$A:$A,SkillActive!E:E,,0)</f>
        <v/>
      </c>
      <c r="H300" s="47">
        <f>_xlfn.XLOOKUP(E300,SkillActive!B:B,SkillActive!K:K,,0)</f>
        <v/>
      </c>
    </row>
    <row r="301">
      <c r="A301" s="25">
        <f>C301*100+D301</f>
        <v/>
      </c>
      <c r="B301" s="42">
        <f>_xlfn.XLOOKUP(C301,SkillActive!$A:$A,SkillActive!C:C,,0)</f>
        <v/>
      </c>
      <c r="C301" s="25">
        <f>C285+1</f>
        <v/>
      </c>
      <c r="D301" s="25">
        <f>D269</f>
        <v/>
      </c>
      <c r="E301" s="25">
        <f t="array" ref="E301">_xlfn.XLOOKUP(C301,SkillActive!A:A,INDEX(SkillActive!A:AA,0,MATCH("name",SkillActive!$2:$2,0)),,0)</f>
        <v/>
      </c>
      <c r="F301" s="47">
        <f>D301</f>
        <v/>
      </c>
      <c r="G301" s="47">
        <f>_xlfn.XLOOKUP(C301,SkillActive!$A:$A,SkillActive!E:E,,0)</f>
        <v/>
      </c>
      <c r="H301" s="47">
        <f>_xlfn.XLOOKUP(E301,SkillActive!B:B,SkillActive!K:K,,0)</f>
        <v/>
      </c>
    </row>
    <row r="302">
      <c r="A302" s="25">
        <f>C302*100+D302</f>
        <v/>
      </c>
      <c r="B302" s="42">
        <f>_xlfn.XLOOKUP(C302,SkillActive!$A:$A,SkillActive!C:C,,0)</f>
        <v/>
      </c>
      <c r="C302" s="25">
        <f>C286+1</f>
        <v/>
      </c>
      <c r="D302" s="25">
        <f>D270</f>
        <v/>
      </c>
      <c r="E302" s="25">
        <f t="array" ref="E302">_xlfn.XLOOKUP(C302,SkillActive!A:A,INDEX(SkillActive!A:AA,0,MATCH("name",SkillActive!$2:$2,0)),,0)</f>
        <v/>
      </c>
      <c r="F302" s="47">
        <f>D302</f>
        <v/>
      </c>
      <c r="G302" s="47">
        <f>_xlfn.XLOOKUP(C302,SkillActive!$A:$A,SkillActive!E:E,,0)</f>
        <v/>
      </c>
      <c r="H302" s="47">
        <f>_xlfn.XLOOKUP(E302,SkillActive!B:B,SkillActive!K:K,,0)</f>
        <v/>
      </c>
    </row>
    <row r="303">
      <c r="A303" s="25">
        <f>C303*100+D303</f>
        <v/>
      </c>
      <c r="B303" s="42">
        <f>_xlfn.XLOOKUP(C303,SkillActive!$A:$A,SkillActive!C:C,,0)</f>
        <v/>
      </c>
      <c r="C303" s="25">
        <f>C287+1</f>
        <v/>
      </c>
      <c r="D303" s="25">
        <f>D271</f>
        <v/>
      </c>
      <c r="E303" s="25">
        <f t="array" ref="E303">_xlfn.XLOOKUP(C303,SkillActive!A:A,INDEX(SkillActive!A:AA,0,MATCH("name",SkillActive!$2:$2,0)),,0)</f>
        <v/>
      </c>
      <c r="F303" s="47">
        <f>D303</f>
        <v/>
      </c>
      <c r="G303" s="47">
        <f>_xlfn.XLOOKUP(C303,SkillActive!$A:$A,SkillActive!E:E,,0)</f>
        <v/>
      </c>
      <c r="H303" s="47">
        <f>_xlfn.XLOOKUP(E303,SkillActive!B:B,SkillActive!K:K,,0)</f>
        <v/>
      </c>
    </row>
    <row r="304">
      <c r="A304" s="25">
        <f>C304*100+D304</f>
        <v/>
      </c>
      <c r="B304" s="42">
        <f>_xlfn.XLOOKUP(C304,SkillActive!$A:$A,SkillActive!C:C,,0)</f>
        <v/>
      </c>
      <c r="C304" s="25">
        <f>C288+1</f>
        <v/>
      </c>
      <c r="D304" s="25">
        <f>D272</f>
        <v/>
      </c>
      <c r="E304" s="25">
        <f t="array" ref="E304">_xlfn.XLOOKUP(C304,SkillActive!A:A,INDEX(SkillActive!A:AA,0,MATCH("name",SkillActive!$2:$2,0)),,0)</f>
        <v/>
      </c>
      <c r="F304" s="47">
        <f>D304</f>
        <v/>
      </c>
      <c r="G304" s="47">
        <f>_xlfn.XLOOKUP(C304,SkillActive!$A:$A,SkillActive!E:E,,0)</f>
        <v/>
      </c>
      <c r="H304" s="47">
        <f>_xlfn.XLOOKUP(E304,SkillActive!B:B,SkillActive!K:K,,0)</f>
        <v/>
      </c>
    </row>
    <row r="305">
      <c r="A305" s="25">
        <f>C305*100+D305</f>
        <v/>
      </c>
      <c r="B305" s="42">
        <f>_xlfn.XLOOKUP(C305,SkillActive!$A:$A,SkillActive!C:C,,0)</f>
        <v/>
      </c>
      <c r="C305" s="25">
        <f>C289+1</f>
        <v/>
      </c>
      <c r="D305" s="25">
        <f>D273</f>
        <v/>
      </c>
      <c r="E305" s="25">
        <f t="array" ref="E305">_xlfn.XLOOKUP(C305,SkillActive!A:A,INDEX(SkillActive!A:AA,0,MATCH("name",SkillActive!$2:$2,0)),,0)</f>
        <v/>
      </c>
      <c r="F305" s="47">
        <f>D305</f>
        <v/>
      </c>
      <c r="G305" s="47">
        <f>_xlfn.XLOOKUP(C305,SkillActive!$A:$A,SkillActive!E:E,,0)</f>
        <v/>
      </c>
      <c r="H305" s="47">
        <f>_xlfn.XLOOKUP(E305,SkillActive!B:B,SkillActive!K:K,,0)</f>
        <v/>
      </c>
    </row>
    <row r="306">
      <c r="A306" s="25">
        <f>C306*100+D306</f>
        <v/>
      </c>
      <c r="B306" s="42">
        <f>_xlfn.XLOOKUP(C306,SkillActive!$A:$A,SkillActive!C:C,,0)</f>
        <v/>
      </c>
      <c r="C306" s="25">
        <f>C290+1</f>
        <v/>
      </c>
      <c r="D306" s="25">
        <f>D274</f>
        <v/>
      </c>
      <c r="E306" s="25">
        <f t="array" ref="E306">_xlfn.XLOOKUP(C306,SkillActive!A:A,INDEX(SkillActive!A:AA,0,MATCH("name",SkillActive!$2:$2,0)),,0)</f>
        <v/>
      </c>
      <c r="F306" s="47">
        <f>D306</f>
        <v/>
      </c>
      <c r="G306" s="47">
        <f>_xlfn.XLOOKUP(C306,SkillActive!$A:$A,SkillActive!E:E,,0)</f>
        <v/>
      </c>
      <c r="H306" s="47">
        <f>_xlfn.XLOOKUP(E306,SkillActive!B:B,SkillActive!K:K,,0)</f>
        <v/>
      </c>
    </row>
    <row r="307">
      <c r="A307" s="25">
        <f>C307*100+D307</f>
        <v/>
      </c>
      <c r="B307" s="42">
        <f>_xlfn.XLOOKUP(C307,SkillActive!$A:$A,SkillActive!C:C,,0)</f>
        <v/>
      </c>
      <c r="C307" s="25">
        <f>C291+1</f>
        <v/>
      </c>
      <c r="D307" s="25">
        <f>D275</f>
        <v/>
      </c>
      <c r="E307" s="25">
        <f t="array" ref="E307">_xlfn.XLOOKUP(C307,SkillActive!A:A,INDEX(SkillActive!A:AA,0,MATCH("name",SkillActive!$2:$2,0)),,0)</f>
        <v/>
      </c>
      <c r="F307" s="47">
        <f>D307</f>
        <v/>
      </c>
      <c r="G307" s="47">
        <f>_xlfn.XLOOKUP(C307,SkillActive!$A:$A,SkillActive!E:E,,0)</f>
        <v/>
      </c>
      <c r="H307" s="47">
        <f>_xlfn.XLOOKUP(E307,SkillActive!B:B,SkillActive!K:K,,0)</f>
        <v/>
      </c>
    </row>
    <row r="308">
      <c r="A308" s="25">
        <f>C308*100+D308</f>
        <v/>
      </c>
      <c r="B308" s="42">
        <f>_xlfn.XLOOKUP(C308,SkillActive!$A:$A,SkillActive!C:C,,0)</f>
        <v/>
      </c>
      <c r="C308" s="25">
        <f>C292+1</f>
        <v/>
      </c>
      <c r="D308" s="25" t="n">
        <v>1</v>
      </c>
      <c r="E308" s="25">
        <f t="array" ref="E308">_xlfn.XLOOKUP(C308,SkillActive!A:A,INDEX(SkillActive!A:AA,0,MATCH("name",SkillActive!$2:$2,0)),,0)</f>
        <v/>
      </c>
      <c r="F308" s="47">
        <f>D308</f>
        <v/>
      </c>
      <c r="G308" s="47">
        <f>_xlfn.XLOOKUP(C308,SkillActive!$A:$A,SkillActive!E:E,,0)</f>
        <v/>
      </c>
      <c r="H308" s="47">
        <f>_xlfn.XLOOKUP(E308,SkillActive!B:B,SkillActive!K:K,,0)</f>
        <v/>
      </c>
    </row>
    <row r="309">
      <c r="A309" s="25">
        <f>C309*100+D309</f>
        <v/>
      </c>
      <c r="B309" s="42">
        <f>_xlfn.XLOOKUP(C309,SkillActive!$A:$A,SkillActive!C:C,,0)</f>
        <v/>
      </c>
      <c r="C309" s="25">
        <f>C293+1</f>
        <v/>
      </c>
      <c r="D309" s="25" t="n">
        <v>2</v>
      </c>
      <c r="E309" s="25">
        <f t="array" ref="E309">_xlfn.XLOOKUP(C309,SkillActive!A:A,INDEX(SkillActive!A:AA,0,MATCH("name",SkillActive!$2:$2,0)),,0)</f>
        <v/>
      </c>
      <c r="F309" s="47">
        <f>D309</f>
        <v/>
      </c>
      <c r="G309" s="47">
        <f>_xlfn.XLOOKUP(C309,SkillActive!$A:$A,SkillActive!E:E,,0)</f>
        <v/>
      </c>
      <c r="H309" s="47">
        <f>_xlfn.XLOOKUP(E309,SkillActive!B:B,SkillActive!K:K,,0)</f>
        <v/>
      </c>
    </row>
    <row r="310">
      <c r="A310" s="25">
        <f>C310*100+D310</f>
        <v/>
      </c>
      <c r="B310" s="42">
        <f>_xlfn.XLOOKUP(C310,SkillActive!$A:$A,SkillActive!C:C,,0)</f>
        <v/>
      </c>
      <c r="C310" s="25">
        <f>C294+1</f>
        <v/>
      </c>
      <c r="D310" s="25" t="n">
        <v>3</v>
      </c>
      <c r="E310" s="25">
        <f t="array" ref="E310">_xlfn.XLOOKUP(C310,SkillActive!A:A,INDEX(SkillActive!A:AA,0,MATCH("name",SkillActive!$2:$2,0)),,0)</f>
        <v/>
      </c>
      <c r="F310" s="47">
        <f>D310</f>
        <v/>
      </c>
      <c r="G310" s="47">
        <f>_xlfn.XLOOKUP(C310,SkillActive!$A:$A,SkillActive!E:E,,0)</f>
        <v/>
      </c>
      <c r="H310" s="47">
        <f>_xlfn.XLOOKUP(E310,SkillActive!B:B,SkillActive!K:K,,0)</f>
        <v/>
      </c>
    </row>
    <row r="311">
      <c r="A311" s="25">
        <f>C311*100+D311</f>
        <v/>
      </c>
      <c r="B311" s="42">
        <f>_xlfn.XLOOKUP(C311,SkillActive!$A:$A,SkillActive!C:C,,0)</f>
        <v/>
      </c>
      <c r="C311" s="25">
        <f>C295+1</f>
        <v/>
      </c>
      <c r="D311" s="25" t="n">
        <v>4</v>
      </c>
      <c r="E311" s="25">
        <f t="array" ref="E311">_xlfn.XLOOKUP(C311,SkillActive!A:A,INDEX(SkillActive!A:AA,0,MATCH("name",SkillActive!$2:$2,0)),,0)</f>
        <v/>
      </c>
      <c r="F311" s="47">
        <f>D311</f>
        <v/>
      </c>
      <c r="G311" s="47">
        <f>_xlfn.XLOOKUP(C311,SkillActive!$A:$A,SkillActive!E:E,,0)</f>
        <v/>
      </c>
      <c r="H311" s="47">
        <f>_xlfn.XLOOKUP(E311,SkillActive!B:B,SkillActive!K:K,,0)</f>
        <v/>
      </c>
    </row>
    <row r="312">
      <c r="A312" s="25">
        <f>C312*100+D312</f>
        <v/>
      </c>
      <c r="B312" s="42">
        <f>_xlfn.XLOOKUP(C312,SkillActive!$A:$A,SkillActive!C:C,,0)</f>
        <v/>
      </c>
      <c r="C312" s="25">
        <f>C296+1</f>
        <v/>
      </c>
      <c r="D312" s="25" t="n">
        <v>5</v>
      </c>
      <c r="E312" s="25">
        <f t="array" ref="E312">_xlfn.XLOOKUP(C312,SkillActive!A:A,INDEX(SkillActive!A:AA,0,MATCH("name",SkillActive!$2:$2,0)),,0)</f>
        <v/>
      </c>
      <c r="F312" s="47">
        <f>D312</f>
        <v/>
      </c>
      <c r="G312" s="47">
        <f>_xlfn.XLOOKUP(C312,SkillActive!$A:$A,SkillActive!E:E,,0)</f>
        <v/>
      </c>
      <c r="H312" s="47">
        <f>_xlfn.XLOOKUP(E312,SkillActive!B:B,SkillActive!K:K,,0)</f>
        <v/>
      </c>
    </row>
    <row r="313">
      <c r="A313" s="25">
        <f>C313*100+D313</f>
        <v/>
      </c>
      <c r="B313" s="42">
        <f>_xlfn.XLOOKUP(C313,SkillActive!$A:$A,SkillActive!C:C,,0)</f>
        <v/>
      </c>
      <c r="C313" s="25">
        <f>C297+1</f>
        <v/>
      </c>
      <c r="D313" s="25" t="n">
        <v>6</v>
      </c>
      <c r="E313" s="25">
        <f t="array" ref="E313">_xlfn.XLOOKUP(C313,SkillActive!A:A,INDEX(SkillActive!A:AA,0,MATCH("name",SkillActive!$2:$2,0)),,0)</f>
        <v/>
      </c>
      <c r="F313" s="47">
        <f>D313</f>
        <v/>
      </c>
      <c r="G313" s="47">
        <f>_xlfn.XLOOKUP(C313,SkillActive!$A:$A,SkillActive!E:E,,0)</f>
        <v/>
      </c>
      <c r="H313" s="47">
        <f>_xlfn.XLOOKUP(E313,SkillActive!B:B,SkillActive!K:K,,0)</f>
        <v/>
      </c>
    </row>
    <row r="314">
      <c r="A314" s="25">
        <f>C314*100+D314</f>
        <v/>
      </c>
      <c r="B314" s="42">
        <f>_xlfn.XLOOKUP(C314,SkillActive!$A:$A,SkillActive!C:C,,0)</f>
        <v/>
      </c>
      <c r="C314" s="25">
        <f>C298+1</f>
        <v/>
      </c>
      <c r="D314" s="25" t="n">
        <v>7</v>
      </c>
      <c r="E314" s="25">
        <f t="array" ref="E314">_xlfn.XLOOKUP(C314,SkillActive!A:A,INDEX(SkillActive!A:AA,0,MATCH("name",SkillActive!$2:$2,0)),,0)</f>
        <v/>
      </c>
      <c r="F314" s="47">
        <f>D314</f>
        <v/>
      </c>
      <c r="G314" s="47">
        <f>_xlfn.XLOOKUP(C314,SkillActive!$A:$A,SkillActive!E:E,,0)</f>
        <v/>
      </c>
      <c r="H314" s="47">
        <f>_xlfn.XLOOKUP(E314,SkillActive!B:B,SkillActive!K:K,,0)</f>
        <v/>
      </c>
    </row>
    <row r="315">
      <c r="A315" s="25">
        <f>C315*100+D315</f>
        <v/>
      </c>
      <c r="B315" s="42">
        <f>_xlfn.XLOOKUP(C315,SkillActive!$A:$A,SkillActive!C:C,,0)</f>
        <v/>
      </c>
      <c r="C315" s="25">
        <f>C299+1</f>
        <v/>
      </c>
      <c r="D315" s="25" t="n">
        <v>8</v>
      </c>
      <c r="E315" s="25">
        <f t="array" ref="E315">_xlfn.XLOOKUP(C315,SkillActive!A:A,INDEX(SkillActive!A:AA,0,MATCH("name",SkillActive!$2:$2,0)),,0)</f>
        <v/>
      </c>
      <c r="F315" s="47">
        <f>D315</f>
        <v/>
      </c>
      <c r="G315" s="47">
        <f>_xlfn.XLOOKUP(C315,SkillActive!$A:$A,SkillActive!E:E,,0)</f>
        <v/>
      </c>
      <c r="H315" s="47">
        <f>_xlfn.XLOOKUP(E315,SkillActive!B:B,SkillActive!K:K,,0)</f>
        <v/>
      </c>
    </row>
    <row r="316">
      <c r="A316" s="25">
        <f>C316*100+D316</f>
        <v/>
      </c>
      <c r="B316" s="42">
        <f>_xlfn.XLOOKUP(C316,SkillActive!$A:$A,SkillActive!C:C,,0)</f>
        <v/>
      </c>
      <c r="C316" s="25">
        <f>C300+1</f>
        <v/>
      </c>
      <c r="D316" s="25">
        <f>D252</f>
        <v/>
      </c>
      <c r="E316" s="25">
        <f t="array" ref="E316">_xlfn.XLOOKUP(C316,SkillActive!A:A,INDEX(SkillActive!A:AA,0,MATCH("name",SkillActive!$2:$2,0)),,0)</f>
        <v/>
      </c>
      <c r="F316" s="47">
        <f>D316</f>
        <v/>
      </c>
      <c r="G316" s="47">
        <f>_xlfn.XLOOKUP(C316,SkillActive!$A:$A,SkillActive!E:E,,0)</f>
        <v/>
      </c>
      <c r="H316" s="47">
        <f>_xlfn.XLOOKUP(E316,SkillActive!B:B,SkillActive!K:K,,0)</f>
        <v/>
      </c>
    </row>
    <row r="317">
      <c r="A317" s="25">
        <f>C317*100+D317</f>
        <v/>
      </c>
      <c r="B317" s="42">
        <f>_xlfn.XLOOKUP(C317,SkillActive!$A:$A,SkillActive!C:C,,0)</f>
        <v/>
      </c>
      <c r="C317" s="25">
        <f>C301+1</f>
        <v/>
      </c>
      <c r="D317" s="25">
        <f>D253</f>
        <v/>
      </c>
      <c r="E317" s="25">
        <f t="array" ref="E317">_xlfn.XLOOKUP(C317,SkillActive!A:A,INDEX(SkillActive!A:AA,0,MATCH("name",SkillActive!$2:$2,0)),,0)</f>
        <v/>
      </c>
      <c r="F317" s="47">
        <f>D317</f>
        <v/>
      </c>
      <c r="G317" s="47">
        <f>_xlfn.XLOOKUP(C317,SkillActive!$A:$A,SkillActive!E:E,,0)</f>
        <v/>
      </c>
      <c r="H317" s="47">
        <f>_xlfn.XLOOKUP(E317,SkillActive!B:B,SkillActive!K:K,,0)</f>
        <v/>
      </c>
    </row>
    <row r="318">
      <c r="A318" s="25">
        <f>C318*100+D318</f>
        <v/>
      </c>
      <c r="B318" s="42">
        <f>_xlfn.XLOOKUP(C318,SkillActive!$A:$A,SkillActive!C:C,,0)</f>
        <v/>
      </c>
      <c r="C318" s="25">
        <f>C302+1</f>
        <v/>
      </c>
      <c r="D318" s="25">
        <f>D254</f>
        <v/>
      </c>
      <c r="E318" s="25">
        <f t="array" ref="E318">_xlfn.XLOOKUP(C318,SkillActive!A:A,INDEX(SkillActive!A:AA,0,MATCH("name",SkillActive!$2:$2,0)),,0)</f>
        <v/>
      </c>
      <c r="F318" s="47">
        <f>D318</f>
        <v/>
      </c>
      <c r="G318" s="47">
        <f>_xlfn.XLOOKUP(C318,SkillActive!$A:$A,SkillActive!E:E,,0)</f>
        <v/>
      </c>
      <c r="H318" s="47">
        <f>_xlfn.XLOOKUP(E318,SkillActive!B:B,SkillActive!K:K,,0)</f>
        <v/>
      </c>
    </row>
    <row r="319">
      <c r="A319" s="25">
        <f>C319*100+D319</f>
        <v/>
      </c>
      <c r="B319" s="42">
        <f>_xlfn.XLOOKUP(C319,SkillActive!$A:$A,SkillActive!C:C,,0)</f>
        <v/>
      </c>
      <c r="C319" s="25">
        <f>C303+1</f>
        <v/>
      </c>
      <c r="D319" s="25">
        <f>D255</f>
        <v/>
      </c>
      <c r="E319" s="25">
        <f t="array" ref="E319">_xlfn.XLOOKUP(C319,SkillActive!A:A,INDEX(SkillActive!A:AA,0,MATCH("name",SkillActive!$2:$2,0)),,0)</f>
        <v/>
      </c>
      <c r="F319" s="47">
        <f>D319</f>
        <v/>
      </c>
      <c r="G319" s="47">
        <f>_xlfn.XLOOKUP(C319,SkillActive!$A:$A,SkillActive!E:E,,0)</f>
        <v/>
      </c>
      <c r="H319" s="47">
        <f>_xlfn.XLOOKUP(E319,SkillActive!B:B,SkillActive!K:K,,0)</f>
        <v/>
      </c>
    </row>
    <row r="320">
      <c r="A320" s="25">
        <f>C320*100+D320</f>
        <v/>
      </c>
      <c r="B320" s="42">
        <f>_xlfn.XLOOKUP(C320,SkillActive!$A:$A,SkillActive!C:C,,0)</f>
        <v/>
      </c>
      <c r="C320" s="25">
        <f>C304+1</f>
        <v/>
      </c>
      <c r="D320" s="25">
        <f>D256</f>
        <v/>
      </c>
      <c r="E320" s="25">
        <f t="array" ref="E320">_xlfn.XLOOKUP(C320,SkillActive!A:A,INDEX(SkillActive!A:AA,0,MATCH("name",SkillActive!$2:$2,0)),,0)</f>
        <v/>
      </c>
      <c r="F320" s="47">
        <f>D320</f>
        <v/>
      </c>
      <c r="G320" s="47">
        <f>_xlfn.XLOOKUP(C320,SkillActive!$A:$A,SkillActive!E:E,,0)</f>
        <v/>
      </c>
      <c r="H320" s="47">
        <f>_xlfn.XLOOKUP(E320,SkillActive!B:B,SkillActive!K:K,,0)</f>
        <v/>
      </c>
    </row>
    <row r="321">
      <c r="A321" s="25">
        <f>C321*100+D321</f>
        <v/>
      </c>
      <c r="B321" s="42">
        <f>_xlfn.XLOOKUP(C321,SkillActive!$A:$A,SkillActive!C:C,,0)</f>
        <v/>
      </c>
      <c r="C321" s="25">
        <f>C305+1</f>
        <v/>
      </c>
      <c r="D321" s="25">
        <f>D257</f>
        <v/>
      </c>
      <c r="E321" s="25">
        <f t="array" ref="E321">_xlfn.XLOOKUP(C321,SkillActive!A:A,INDEX(SkillActive!A:AA,0,MATCH("name",SkillActive!$2:$2,0)),,0)</f>
        <v/>
      </c>
      <c r="F321" s="47">
        <f>D321</f>
        <v/>
      </c>
      <c r="G321" s="47">
        <f>_xlfn.XLOOKUP(C321,SkillActive!$A:$A,SkillActive!E:E,,0)</f>
        <v/>
      </c>
      <c r="H321" s="47">
        <f>_xlfn.XLOOKUP(E321,SkillActive!B:B,SkillActive!K:K,,0)</f>
        <v/>
      </c>
    </row>
    <row r="322">
      <c r="A322" s="25">
        <f>C322*100+D322</f>
        <v/>
      </c>
      <c r="B322" s="42">
        <f>_xlfn.XLOOKUP(C322,SkillActive!$A:$A,SkillActive!C:C,,0)</f>
        <v/>
      </c>
      <c r="C322" s="25">
        <f>C306+1</f>
        <v/>
      </c>
      <c r="D322" s="25">
        <f>D258</f>
        <v/>
      </c>
      <c r="E322" s="25">
        <f t="array" ref="E322">_xlfn.XLOOKUP(C322,SkillActive!A:A,INDEX(SkillActive!A:AA,0,MATCH("name",SkillActive!$2:$2,0)),,0)</f>
        <v/>
      </c>
      <c r="F322" s="47">
        <f>D322</f>
        <v/>
      </c>
      <c r="G322" s="47">
        <f>_xlfn.XLOOKUP(C322,SkillActive!$A:$A,SkillActive!E:E,,0)</f>
        <v/>
      </c>
      <c r="H322" s="47">
        <f>_xlfn.XLOOKUP(E322,SkillActive!B:B,SkillActive!K:K,,0)</f>
        <v/>
      </c>
    </row>
    <row r="323">
      <c r="A323" s="25">
        <f>C323*100+D323</f>
        <v/>
      </c>
      <c r="B323" s="42">
        <f>_xlfn.XLOOKUP(C323,SkillActive!$A:$A,SkillActive!C:C,,0)</f>
        <v/>
      </c>
      <c r="C323" s="25">
        <f>C307+1</f>
        <v/>
      </c>
      <c r="D323" s="25">
        <f>D259</f>
        <v/>
      </c>
      <c r="E323" s="25">
        <f t="array" ref="E323">_xlfn.XLOOKUP(C323,SkillActive!A:A,INDEX(SkillActive!A:AA,0,MATCH("name",SkillActive!$2:$2,0)),,0)</f>
        <v/>
      </c>
      <c r="F323" s="47">
        <f>D323</f>
        <v/>
      </c>
      <c r="G323" s="47">
        <f>_xlfn.XLOOKUP(C323,SkillActive!$A:$A,SkillActive!E:E,,0)</f>
        <v/>
      </c>
      <c r="H323" s="47">
        <f>_xlfn.XLOOKUP(E323,SkillActive!B:B,SkillActive!K:K,,0)</f>
        <v/>
      </c>
    </row>
    <row r="324">
      <c r="A324" s="25">
        <f>C324*100+D324</f>
        <v/>
      </c>
      <c r="B324" s="42">
        <f>_xlfn.XLOOKUP(C324,SkillActive!$A:$A,SkillActive!C:C,,0)</f>
        <v/>
      </c>
      <c r="C324" s="25">
        <f>C308+1</f>
        <v/>
      </c>
      <c r="D324" s="25">
        <f>D308</f>
        <v/>
      </c>
      <c r="E324" s="25">
        <f t="array" ref="E324">_xlfn.XLOOKUP(C324,SkillActive!A:A,INDEX(SkillActive!A:AA,0,MATCH("name",SkillActive!$2:$2,0)),,0)</f>
        <v/>
      </c>
      <c r="F324" s="47">
        <f>D324</f>
        <v/>
      </c>
      <c r="G324" s="47">
        <f>_xlfn.XLOOKUP(C324,SkillActive!$A:$A,SkillActive!E:E,,0)</f>
        <v/>
      </c>
      <c r="H324" s="47">
        <f>_xlfn.XLOOKUP(E324,SkillActive!B:B,SkillActive!K:K,,0)</f>
        <v/>
      </c>
    </row>
    <row r="325">
      <c r="A325" s="25">
        <f>C325*100+D325</f>
        <v/>
      </c>
      <c r="B325" s="42">
        <f>_xlfn.XLOOKUP(C325,SkillActive!$A:$A,SkillActive!C:C,,0)</f>
        <v/>
      </c>
      <c r="C325" s="25">
        <f>C309+1</f>
        <v/>
      </c>
      <c r="D325" s="25">
        <f>D309</f>
        <v/>
      </c>
      <c r="E325" s="25">
        <f t="array" ref="E325">_xlfn.XLOOKUP(C325,SkillActive!A:A,INDEX(SkillActive!A:AA,0,MATCH("name",SkillActive!$2:$2,0)),,0)</f>
        <v/>
      </c>
      <c r="F325" s="47">
        <f>D325</f>
        <v/>
      </c>
      <c r="G325" s="47">
        <f>_xlfn.XLOOKUP(C325,SkillActive!$A:$A,SkillActive!E:E,,0)</f>
        <v/>
      </c>
      <c r="H325" s="47">
        <f>_xlfn.XLOOKUP(E325,SkillActive!B:B,SkillActive!K:K,,0)</f>
        <v/>
      </c>
    </row>
    <row r="326">
      <c r="A326" s="25">
        <f>C326*100+D326</f>
        <v/>
      </c>
      <c r="B326" s="42">
        <f>_xlfn.XLOOKUP(C326,SkillActive!$A:$A,SkillActive!C:C,,0)</f>
        <v/>
      </c>
      <c r="C326" s="25">
        <f>C310+1</f>
        <v/>
      </c>
      <c r="D326" s="25">
        <f>D310</f>
        <v/>
      </c>
      <c r="E326" s="25">
        <f t="array" ref="E326">_xlfn.XLOOKUP(C326,SkillActive!A:A,INDEX(SkillActive!A:AA,0,MATCH("name",SkillActive!$2:$2,0)),,0)</f>
        <v/>
      </c>
      <c r="F326" s="47">
        <f>D326</f>
        <v/>
      </c>
      <c r="G326" s="47">
        <f>_xlfn.XLOOKUP(C326,SkillActive!$A:$A,SkillActive!E:E,,0)</f>
        <v/>
      </c>
      <c r="H326" s="47">
        <f>_xlfn.XLOOKUP(E326,SkillActive!B:B,SkillActive!K:K,,0)</f>
        <v/>
      </c>
    </row>
    <row r="327">
      <c r="A327" s="25">
        <f>C327*100+D327</f>
        <v/>
      </c>
      <c r="B327" s="42">
        <f>_xlfn.XLOOKUP(C327,SkillActive!$A:$A,SkillActive!C:C,,0)</f>
        <v/>
      </c>
      <c r="C327" s="25">
        <f>C311+1</f>
        <v/>
      </c>
      <c r="D327" s="25">
        <f>D311</f>
        <v/>
      </c>
      <c r="E327" s="25">
        <f t="array" ref="E327">_xlfn.XLOOKUP(C327,SkillActive!A:A,INDEX(SkillActive!A:AA,0,MATCH("name",SkillActive!$2:$2,0)),,0)</f>
        <v/>
      </c>
      <c r="F327" s="47">
        <f>D327</f>
        <v/>
      </c>
      <c r="G327" s="47">
        <f>_xlfn.XLOOKUP(C327,SkillActive!$A:$A,SkillActive!E:E,,0)</f>
        <v/>
      </c>
      <c r="H327" s="47">
        <f>_xlfn.XLOOKUP(E327,SkillActive!B:B,SkillActive!K:K,,0)</f>
        <v/>
      </c>
    </row>
    <row r="328">
      <c r="A328" s="25">
        <f>C328*100+D328</f>
        <v/>
      </c>
      <c r="B328" s="42">
        <f>_xlfn.XLOOKUP(C328,SkillActive!$A:$A,SkillActive!C:C,,0)</f>
        <v/>
      </c>
      <c r="C328" s="25">
        <f>C312+1</f>
        <v/>
      </c>
      <c r="D328" s="25">
        <f>D312</f>
        <v/>
      </c>
      <c r="E328" s="25">
        <f t="array" ref="E328">_xlfn.XLOOKUP(C328,SkillActive!A:A,INDEX(SkillActive!A:AA,0,MATCH("name",SkillActive!$2:$2,0)),,0)</f>
        <v/>
      </c>
      <c r="F328" s="47">
        <f>D328</f>
        <v/>
      </c>
      <c r="G328" s="47">
        <f>_xlfn.XLOOKUP(C328,SkillActive!$A:$A,SkillActive!E:E,,0)</f>
        <v/>
      </c>
      <c r="H328" s="47">
        <f>_xlfn.XLOOKUP(E328,SkillActive!B:B,SkillActive!K:K,,0)</f>
        <v/>
      </c>
    </row>
    <row r="329">
      <c r="A329" s="25">
        <f>C329*100+D329</f>
        <v/>
      </c>
      <c r="B329" s="42">
        <f>_xlfn.XLOOKUP(C329,SkillActive!$A:$A,SkillActive!C:C,,0)</f>
        <v/>
      </c>
      <c r="C329" s="25">
        <f>C313+1</f>
        <v/>
      </c>
      <c r="D329" s="25">
        <f>D313</f>
        <v/>
      </c>
      <c r="E329" s="25">
        <f t="array" ref="E329">_xlfn.XLOOKUP(C329,SkillActive!A:A,INDEX(SkillActive!A:AA,0,MATCH("name",SkillActive!$2:$2,0)),,0)</f>
        <v/>
      </c>
      <c r="F329" s="47">
        <f>D329</f>
        <v/>
      </c>
      <c r="G329" s="47">
        <f>_xlfn.XLOOKUP(C329,SkillActive!$A:$A,SkillActive!E:E,,0)</f>
        <v/>
      </c>
      <c r="H329" s="47">
        <f>_xlfn.XLOOKUP(E329,SkillActive!B:B,SkillActive!K:K,,0)</f>
        <v/>
      </c>
    </row>
    <row r="330">
      <c r="A330" s="25">
        <f>C330*100+D330</f>
        <v/>
      </c>
      <c r="B330" s="42">
        <f>_xlfn.XLOOKUP(C330,SkillActive!$A:$A,SkillActive!C:C,,0)</f>
        <v/>
      </c>
      <c r="C330" s="25">
        <f>C314+1</f>
        <v/>
      </c>
      <c r="D330" s="25">
        <f>D314</f>
        <v/>
      </c>
      <c r="E330" s="25">
        <f t="array" ref="E330">_xlfn.XLOOKUP(C330,SkillActive!A:A,INDEX(SkillActive!A:AA,0,MATCH("name",SkillActive!$2:$2,0)),,0)</f>
        <v/>
      </c>
      <c r="F330" s="47">
        <f>D330</f>
        <v/>
      </c>
      <c r="G330" s="47">
        <f>_xlfn.XLOOKUP(C330,SkillActive!$A:$A,SkillActive!E:E,,0)</f>
        <v/>
      </c>
      <c r="H330" s="47">
        <f>_xlfn.XLOOKUP(E330,SkillActive!B:B,SkillActive!K:K,,0)</f>
        <v/>
      </c>
    </row>
    <row r="331">
      <c r="A331" s="25">
        <f>C331*100+D331</f>
        <v/>
      </c>
      <c r="B331" s="42">
        <f>_xlfn.XLOOKUP(C331,SkillActive!$A:$A,SkillActive!C:C,,0)</f>
        <v/>
      </c>
      <c r="C331" s="25">
        <f>C315+1</f>
        <v/>
      </c>
      <c r="D331" s="25">
        <f>D315</f>
        <v/>
      </c>
      <c r="E331" s="25">
        <f t="array" ref="E331">_xlfn.XLOOKUP(C331,SkillActive!A:A,INDEX(SkillActive!A:AA,0,MATCH("name",SkillActive!$2:$2,0)),,0)</f>
        <v/>
      </c>
      <c r="F331" s="47">
        <f>D331</f>
        <v/>
      </c>
      <c r="G331" s="47">
        <f>_xlfn.XLOOKUP(C331,SkillActive!$A:$A,SkillActive!E:E,,0)</f>
        <v/>
      </c>
      <c r="H331" s="47">
        <f>_xlfn.XLOOKUP(E331,SkillActive!B:B,SkillActive!K:K,,0)</f>
        <v/>
      </c>
    </row>
    <row r="332">
      <c r="A332" s="25">
        <f>C332*100+D332</f>
        <v/>
      </c>
      <c r="B332" s="42">
        <f>_xlfn.XLOOKUP(C332,SkillActive!$A:$A,SkillActive!C:C,,0)</f>
        <v/>
      </c>
      <c r="C332" s="25">
        <f>C316+1</f>
        <v/>
      </c>
      <c r="D332" s="25">
        <f>D316</f>
        <v/>
      </c>
      <c r="E332" s="25">
        <f t="array" ref="E332">_xlfn.XLOOKUP(C332,SkillActive!A:A,INDEX(SkillActive!A:AA,0,MATCH("name",SkillActive!$2:$2,0)),,0)</f>
        <v/>
      </c>
      <c r="F332" s="47">
        <f>D332</f>
        <v/>
      </c>
      <c r="G332" s="47">
        <f>_xlfn.XLOOKUP(C332,SkillActive!$A:$A,SkillActive!E:E,,0)</f>
        <v/>
      </c>
      <c r="H332" s="47">
        <f>_xlfn.XLOOKUP(E332,SkillActive!B:B,SkillActive!K:K,,0)</f>
        <v/>
      </c>
    </row>
    <row r="333">
      <c r="A333" s="25">
        <f>C333*100+D333</f>
        <v/>
      </c>
      <c r="B333" s="42">
        <f>_xlfn.XLOOKUP(C333,SkillActive!$A:$A,SkillActive!C:C,,0)</f>
        <v/>
      </c>
      <c r="C333" s="25">
        <f>C317+1</f>
        <v/>
      </c>
      <c r="D333" s="25">
        <f>D317</f>
        <v/>
      </c>
      <c r="E333" s="25">
        <f t="array" ref="E333">_xlfn.XLOOKUP(C333,SkillActive!A:A,INDEX(SkillActive!A:AA,0,MATCH("name",SkillActive!$2:$2,0)),,0)</f>
        <v/>
      </c>
      <c r="F333" s="47">
        <f>D333</f>
        <v/>
      </c>
      <c r="G333" s="47">
        <f>_xlfn.XLOOKUP(C333,SkillActive!$A:$A,SkillActive!E:E,,0)</f>
        <v/>
      </c>
      <c r="H333" s="47">
        <f>_xlfn.XLOOKUP(E333,SkillActive!B:B,SkillActive!K:K,,0)</f>
        <v/>
      </c>
    </row>
    <row r="334">
      <c r="A334" s="25">
        <f>C334*100+D334</f>
        <v/>
      </c>
      <c r="B334" s="42">
        <f>_xlfn.XLOOKUP(C334,SkillActive!$A:$A,SkillActive!C:C,,0)</f>
        <v/>
      </c>
      <c r="C334" s="25">
        <f>C318+1</f>
        <v/>
      </c>
      <c r="D334" s="25">
        <f>D318</f>
        <v/>
      </c>
      <c r="E334" s="25">
        <f t="array" ref="E334">_xlfn.XLOOKUP(C334,SkillActive!A:A,INDEX(SkillActive!A:AA,0,MATCH("name",SkillActive!$2:$2,0)),,0)</f>
        <v/>
      </c>
      <c r="F334" s="47">
        <f>D334</f>
        <v/>
      </c>
      <c r="G334" s="47">
        <f>_xlfn.XLOOKUP(C334,SkillActive!$A:$A,SkillActive!E:E,,0)</f>
        <v/>
      </c>
      <c r="H334" s="47">
        <f>_xlfn.XLOOKUP(E334,SkillActive!B:B,SkillActive!K:K,,0)</f>
        <v/>
      </c>
    </row>
    <row r="335">
      <c r="A335" s="25">
        <f>C335*100+D335</f>
        <v/>
      </c>
      <c r="B335" s="42">
        <f>_xlfn.XLOOKUP(C335,SkillActive!$A:$A,SkillActive!C:C,,0)</f>
        <v/>
      </c>
      <c r="C335" s="25">
        <f>C319+1</f>
        <v/>
      </c>
      <c r="D335" s="25">
        <f>D319</f>
        <v/>
      </c>
      <c r="E335" s="25">
        <f t="array" ref="E335">_xlfn.XLOOKUP(C335,SkillActive!A:A,INDEX(SkillActive!A:AA,0,MATCH("name",SkillActive!$2:$2,0)),,0)</f>
        <v/>
      </c>
      <c r="F335" s="47">
        <f>D335</f>
        <v/>
      </c>
      <c r="G335" s="47">
        <f>_xlfn.XLOOKUP(C335,SkillActive!$A:$A,SkillActive!E:E,,0)</f>
        <v/>
      </c>
      <c r="H335" s="47">
        <f>_xlfn.XLOOKUP(E335,SkillActive!B:B,SkillActive!K:K,,0)</f>
        <v/>
      </c>
    </row>
    <row r="336">
      <c r="A336" s="25">
        <f>C336*100+D336</f>
        <v/>
      </c>
      <c r="B336" s="42">
        <f>_xlfn.XLOOKUP(C336,SkillActive!$A:$A,SkillActive!C:C,,0)</f>
        <v/>
      </c>
      <c r="C336" s="25">
        <f>C320+1</f>
        <v/>
      </c>
      <c r="D336" s="25">
        <f>D320</f>
        <v/>
      </c>
      <c r="E336" s="25">
        <f t="array" ref="E336">_xlfn.XLOOKUP(C336,SkillActive!A:A,INDEX(SkillActive!A:AA,0,MATCH("name",SkillActive!$2:$2,0)),,0)</f>
        <v/>
      </c>
      <c r="F336" s="47">
        <f>D336</f>
        <v/>
      </c>
      <c r="G336" s="47">
        <f>_xlfn.XLOOKUP(C336,SkillActive!$A:$A,SkillActive!E:E,,0)</f>
        <v/>
      </c>
      <c r="H336" s="47">
        <f>_xlfn.XLOOKUP(E336,SkillActive!B:B,SkillActive!K:K,,0)</f>
        <v/>
      </c>
    </row>
    <row r="337">
      <c r="A337" s="25">
        <f>C337*100+D337</f>
        <v/>
      </c>
      <c r="B337" s="42">
        <f>_xlfn.XLOOKUP(C337,SkillActive!$A:$A,SkillActive!C:C,,0)</f>
        <v/>
      </c>
      <c r="C337" s="25">
        <f>C321+1</f>
        <v/>
      </c>
      <c r="D337" s="25">
        <f>D321</f>
        <v/>
      </c>
      <c r="E337" s="25">
        <f t="array" ref="E337">_xlfn.XLOOKUP(C337,SkillActive!A:A,INDEX(SkillActive!A:AA,0,MATCH("name",SkillActive!$2:$2,0)),,0)</f>
        <v/>
      </c>
      <c r="F337" s="47">
        <f>D337</f>
        <v/>
      </c>
      <c r="G337" s="47">
        <f>_xlfn.XLOOKUP(C337,SkillActive!$A:$A,SkillActive!E:E,,0)</f>
        <v/>
      </c>
      <c r="H337" s="47">
        <f>_xlfn.XLOOKUP(E337,SkillActive!B:B,SkillActive!K:K,,0)</f>
        <v/>
      </c>
    </row>
    <row r="338">
      <c r="A338" s="25">
        <f>C338*100+D338</f>
        <v/>
      </c>
      <c r="B338" s="42">
        <f>_xlfn.XLOOKUP(C338,SkillActive!$A:$A,SkillActive!C:C,,0)</f>
        <v/>
      </c>
      <c r="C338" s="25">
        <f>C322+1</f>
        <v/>
      </c>
      <c r="D338" s="25">
        <f>D322</f>
        <v/>
      </c>
      <c r="E338" s="25">
        <f t="array" ref="E338">_xlfn.XLOOKUP(C338,SkillActive!A:A,INDEX(SkillActive!A:AA,0,MATCH("name",SkillActive!$2:$2,0)),,0)</f>
        <v/>
      </c>
      <c r="F338" s="47">
        <f>D338</f>
        <v/>
      </c>
      <c r="G338" s="47">
        <f>_xlfn.XLOOKUP(C338,SkillActive!$A:$A,SkillActive!E:E,,0)</f>
        <v/>
      </c>
      <c r="H338" s="47">
        <f>_xlfn.XLOOKUP(E338,SkillActive!B:B,SkillActive!K:K,,0)</f>
        <v/>
      </c>
    </row>
    <row r="339">
      <c r="A339" s="25">
        <f>C339*100+D339</f>
        <v/>
      </c>
      <c r="B339" s="42">
        <f>_xlfn.XLOOKUP(C339,SkillActive!$A:$A,SkillActive!C:C,,0)</f>
        <v/>
      </c>
      <c r="C339" s="25">
        <f>C323+1</f>
        <v/>
      </c>
      <c r="D339" s="25">
        <f>D323</f>
        <v/>
      </c>
      <c r="E339" s="25">
        <f t="array" ref="E339">_xlfn.XLOOKUP(C339,SkillActive!A:A,INDEX(SkillActive!A:AA,0,MATCH("name",SkillActive!$2:$2,0)),,0)</f>
        <v/>
      </c>
      <c r="F339" s="47">
        <f>D339</f>
        <v/>
      </c>
      <c r="G339" s="47">
        <f>_xlfn.XLOOKUP(C339,SkillActive!$A:$A,SkillActive!E:E,,0)</f>
        <v/>
      </c>
      <c r="H339" s="47">
        <f>_xlfn.XLOOKUP(E339,SkillActive!B:B,SkillActive!K:K,,0)</f>
        <v/>
      </c>
    </row>
    <row r="340">
      <c r="A340" s="25">
        <f>C340*100+D340</f>
        <v/>
      </c>
      <c r="B340" s="42">
        <f>_xlfn.XLOOKUP(C340,SkillActive!$A:$A,SkillActive!C:C,,0)</f>
        <v/>
      </c>
      <c r="C340" s="25">
        <f>C324+1</f>
        <v/>
      </c>
      <c r="D340" s="25">
        <f>D324</f>
        <v/>
      </c>
      <c r="E340" s="25">
        <f t="array" ref="E340">_xlfn.XLOOKUP(C340,SkillActive!A:A,INDEX(SkillActive!A:AA,0,MATCH("name",SkillActive!$2:$2,0)),,0)</f>
        <v/>
      </c>
      <c r="F340" s="47">
        <f>D340</f>
        <v/>
      </c>
      <c r="G340" s="47">
        <f>_xlfn.XLOOKUP(C340,SkillActive!$A:$A,SkillActive!E:E,,0)</f>
        <v/>
      </c>
      <c r="H340" s="47">
        <f>_xlfn.XLOOKUP(E340,SkillActive!B:B,SkillActive!K:K,,0)</f>
        <v/>
      </c>
    </row>
    <row r="341">
      <c r="A341" s="25">
        <f>C341*100+D341</f>
        <v/>
      </c>
      <c r="B341" s="42">
        <f>_xlfn.XLOOKUP(C341,SkillActive!$A:$A,SkillActive!C:C,,0)</f>
        <v/>
      </c>
      <c r="C341" s="25">
        <f>C325+1</f>
        <v/>
      </c>
      <c r="D341" s="25">
        <f>D325</f>
        <v/>
      </c>
      <c r="E341" s="25">
        <f t="array" ref="E341">_xlfn.XLOOKUP(C341,SkillActive!A:A,INDEX(SkillActive!A:AA,0,MATCH("name",SkillActive!$2:$2,0)),,0)</f>
        <v/>
      </c>
      <c r="F341" s="47">
        <f>D341</f>
        <v/>
      </c>
      <c r="G341" s="47">
        <f>_xlfn.XLOOKUP(C341,SkillActive!$A:$A,SkillActive!E:E,,0)</f>
        <v/>
      </c>
      <c r="H341" s="47">
        <f>_xlfn.XLOOKUP(E341,SkillActive!B:B,SkillActive!K:K,,0)</f>
        <v/>
      </c>
    </row>
    <row r="342">
      <c r="A342" s="25">
        <f>C342*100+D342</f>
        <v/>
      </c>
      <c r="B342" s="42">
        <f>_xlfn.XLOOKUP(C342,SkillActive!$A:$A,SkillActive!C:C,,0)</f>
        <v/>
      </c>
      <c r="C342" s="25">
        <f>C326+1</f>
        <v/>
      </c>
      <c r="D342" s="25">
        <f>D326</f>
        <v/>
      </c>
      <c r="E342" s="25">
        <f t="array" ref="E342">_xlfn.XLOOKUP(C342,SkillActive!A:A,INDEX(SkillActive!A:AA,0,MATCH("name",SkillActive!$2:$2,0)),,0)</f>
        <v/>
      </c>
      <c r="F342" s="47">
        <f>D342</f>
        <v/>
      </c>
      <c r="G342" s="47">
        <f>_xlfn.XLOOKUP(C342,SkillActive!$A:$A,SkillActive!E:E,,0)</f>
        <v/>
      </c>
      <c r="H342" s="47">
        <f>_xlfn.XLOOKUP(E342,SkillActive!B:B,SkillActive!K:K,,0)</f>
        <v/>
      </c>
    </row>
    <row r="343">
      <c r="A343" s="25">
        <f>C343*100+D343</f>
        <v/>
      </c>
      <c r="B343" s="42">
        <f>_xlfn.XLOOKUP(C343,SkillActive!$A:$A,SkillActive!C:C,,0)</f>
        <v/>
      </c>
      <c r="C343" s="25">
        <f>C327+1</f>
        <v/>
      </c>
      <c r="D343" s="25">
        <f>D327</f>
        <v/>
      </c>
      <c r="E343" s="25">
        <f t="array" ref="E343">_xlfn.XLOOKUP(C343,SkillActive!A:A,INDEX(SkillActive!A:AA,0,MATCH("name",SkillActive!$2:$2,0)),,0)</f>
        <v/>
      </c>
      <c r="F343" s="47">
        <f>D343</f>
        <v/>
      </c>
      <c r="G343" s="47">
        <f>_xlfn.XLOOKUP(C343,SkillActive!$A:$A,SkillActive!E:E,,0)</f>
        <v/>
      </c>
      <c r="H343" s="47">
        <f>_xlfn.XLOOKUP(E343,SkillActive!B:B,SkillActive!K:K,,0)</f>
        <v/>
      </c>
    </row>
    <row r="344">
      <c r="A344" s="25">
        <f>C344*100+D344</f>
        <v/>
      </c>
      <c r="B344" s="42">
        <f>_xlfn.XLOOKUP(C344,SkillActive!$A:$A,SkillActive!C:C,,0)</f>
        <v/>
      </c>
      <c r="C344" s="25">
        <f>C328+1</f>
        <v/>
      </c>
      <c r="D344" s="25">
        <f>D328</f>
        <v/>
      </c>
      <c r="E344" s="25">
        <f t="array" ref="E344">_xlfn.XLOOKUP(C344,SkillActive!A:A,INDEX(SkillActive!A:AA,0,MATCH("name",SkillActive!$2:$2,0)),,0)</f>
        <v/>
      </c>
      <c r="F344" s="47">
        <f>D344</f>
        <v/>
      </c>
      <c r="G344" s="47">
        <f>_xlfn.XLOOKUP(C344,SkillActive!$A:$A,SkillActive!E:E,,0)</f>
        <v/>
      </c>
      <c r="H344" s="47">
        <f>_xlfn.XLOOKUP(E344,SkillActive!B:B,SkillActive!K:K,,0)</f>
        <v/>
      </c>
    </row>
    <row r="345">
      <c r="A345" s="25">
        <f>C345*100+D345</f>
        <v/>
      </c>
      <c r="B345" s="42">
        <f>_xlfn.XLOOKUP(C345,SkillActive!$A:$A,SkillActive!C:C,,0)</f>
        <v/>
      </c>
      <c r="C345" s="25">
        <f>C329+1</f>
        <v/>
      </c>
      <c r="D345" s="25">
        <f>D329</f>
        <v/>
      </c>
      <c r="E345" s="25">
        <f t="array" ref="E345">_xlfn.XLOOKUP(C345,SkillActive!A:A,INDEX(SkillActive!A:AA,0,MATCH("name",SkillActive!$2:$2,0)),,0)</f>
        <v/>
      </c>
      <c r="F345" s="47">
        <f>D345</f>
        <v/>
      </c>
      <c r="G345" s="47">
        <f>_xlfn.XLOOKUP(C345,SkillActive!$A:$A,SkillActive!E:E,,0)</f>
        <v/>
      </c>
      <c r="H345" s="47">
        <f>_xlfn.XLOOKUP(E345,SkillActive!B:B,SkillActive!K:K,,0)</f>
        <v/>
      </c>
    </row>
    <row r="346">
      <c r="A346" s="25">
        <f>C346*100+D346</f>
        <v/>
      </c>
      <c r="B346" s="42">
        <f>_xlfn.XLOOKUP(C346,SkillActive!$A:$A,SkillActive!C:C,,0)</f>
        <v/>
      </c>
      <c r="C346" s="25">
        <f>C330+1</f>
        <v/>
      </c>
      <c r="D346" s="25">
        <f>D330</f>
        <v/>
      </c>
      <c r="E346" s="25">
        <f t="array" ref="E346">_xlfn.XLOOKUP(C346,SkillActive!A:A,INDEX(SkillActive!A:AA,0,MATCH("name",SkillActive!$2:$2,0)),,0)</f>
        <v/>
      </c>
      <c r="F346" s="47">
        <f>D346</f>
        <v/>
      </c>
      <c r="G346" s="47">
        <f>_xlfn.XLOOKUP(C346,SkillActive!$A:$A,SkillActive!E:E,,0)</f>
        <v/>
      </c>
      <c r="H346" s="47">
        <f>_xlfn.XLOOKUP(E346,SkillActive!B:B,SkillActive!K:K,,0)</f>
        <v/>
      </c>
    </row>
    <row r="347">
      <c r="A347" s="25">
        <f>C347*100+D347</f>
        <v/>
      </c>
      <c r="B347" s="42">
        <f>_xlfn.XLOOKUP(C347,SkillActive!$A:$A,SkillActive!C:C,,0)</f>
        <v/>
      </c>
      <c r="C347" s="25">
        <f>C331+1</f>
        <v/>
      </c>
      <c r="D347" s="25">
        <f>D331</f>
        <v/>
      </c>
      <c r="E347" s="25">
        <f t="array" ref="E347">_xlfn.XLOOKUP(C347,SkillActive!A:A,INDEX(SkillActive!A:AA,0,MATCH("name",SkillActive!$2:$2,0)),,0)</f>
        <v/>
      </c>
      <c r="F347" s="47">
        <f>D347</f>
        <v/>
      </c>
      <c r="G347" s="47">
        <f>_xlfn.XLOOKUP(C347,SkillActive!$A:$A,SkillActive!E:E,,0)</f>
        <v/>
      </c>
      <c r="H347" s="47">
        <f>_xlfn.XLOOKUP(E347,SkillActive!B:B,SkillActive!K:K,,0)</f>
        <v/>
      </c>
    </row>
    <row r="348">
      <c r="A348" s="25">
        <f>C348*100+D348</f>
        <v/>
      </c>
      <c r="B348" s="42">
        <f>_xlfn.XLOOKUP(C348,SkillActive!$A:$A,SkillActive!C:C,,0)</f>
        <v/>
      </c>
      <c r="C348" s="25">
        <f>C332+1</f>
        <v/>
      </c>
      <c r="D348" s="25">
        <f>D332</f>
        <v/>
      </c>
      <c r="E348" s="25">
        <f t="array" ref="E348">_xlfn.XLOOKUP(C348,SkillActive!A:A,INDEX(SkillActive!A:AA,0,MATCH("name",SkillActive!$2:$2,0)),,0)</f>
        <v/>
      </c>
      <c r="F348" s="47">
        <f>D348</f>
        <v/>
      </c>
      <c r="G348" s="47">
        <f>_xlfn.XLOOKUP(C348,SkillActive!$A:$A,SkillActive!E:E,,0)</f>
        <v/>
      </c>
      <c r="H348" s="47">
        <f>_xlfn.XLOOKUP(E348,SkillActive!B:B,SkillActive!K:K,,0)</f>
        <v/>
      </c>
    </row>
    <row r="349">
      <c r="A349" s="25">
        <f>C349*100+D349</f>
        <v/>
      </c>
      <c r="B349" s="42">
        <f>_xlfn.XLOOKUP(C349,SkillActive!$A:$A,SkillActive!C:C,,0)</f>
        <v/>
      </c>
      <c r="C349" s="25">
        <f>C333+1</f>
        <v/>
      </c>
      <c r="D349" s="25">
        <f>D333</f>
        <v/>
      </c>
      <c r="E349" s="25">
        <f t="array" ref="E349">_xlfn.XLOOKUP(C349,SkillActive!A:A,INDEX(SkillActive!A:AA,0,MATCH("name",SkillActive!$2:$2,0)),,0)</f>
        <v/>
      </c>
      <c r="F349" s="47">
        <f>D349</f>
        <v/>
      </c>
      <c r="G349" s="47">
        <f>_xlfn.XLOOKUP(C349,SkillActive!$A:$A,SkillActive!E:E,,0)</f>
        <v/>
      </c>
      <c r="H349" s="47">
        <f>_xlfn.XLOOKUP(E349,SkillActive!B:B,SkillActive!K:K,,0)</f>
        <v/>
      </c>
    </row>
    <row r="350">
      <c r="A350" s="25">
        <f>C350*100+D350</f>
        <v/>
      </c>
      <c r="B350" s="42">
        <f>_xlfn.XLOOKUP(C350,SkillActive!$A:$A,SkillActive!C:C,,0)</f>
        <v/>
      </c>
      <c r="C350" s="25">
        <f>C334+1</f>
        <v/>
      </c>
      <c r="D350" s="25">
        <f>D334</f>
        <v/>
      </c>
      <c r="E350" s="25">
        <f t="array" ref="E350">_xlfn.XLOOKUP(C350,SkillActive!A:A,INDEX(SkillActive!A:AA,0,MATCH("name",SkillActive!$2:$2,0)),,0)</f>
        <v/>
      </c>
      <c r="F350" s="47">
        <f>D350</f>
        <v/>
      </c>
      <c r="G350" s="47">
        <f>_xlfn.XLOOKUP(C350,SkillActive!$A:$A,SkillActive!E:E,,0)</f>
        <v/>
      </c>
      <c r="H350" s="47">
        <f>_xlfn.XLOOKUP(E350,SkillActive!B:B,SkillActive!K:K,,0)</f>
        <v/>
      </c>
    </row>
    <row r="351">
      <c r="A351" s="25">
        <f>C351*100+D351</f>
        <v/>
      </c>
      <c r="B351" s="42">
        <f>_xlfn.XLOOKUP(C351,SkillActive!$A:$A,SkillActive!C:C,,0)</f>
        <v/>
      </c>
      <c r="C351" s="25">
        <f>C335+1</f>
        <v/>
      </c>
      <c r="D351" s="25">
        <f>D335</f>
        <v/>
      </c>
      <c r="E351" s="25">
        <f t="array" ref="E351">_xlfn.XLOOKUP(C351,SkillActive!A:A,INDEX(SkillActive!A:AA,0,MATCH("name",SkillActive!$2:$2,0)),,0)</f>
        <v/>
      </c>
      <c r="F351" s="47">
        <f>D351</f>
        <v/>
      </c>
      <c r="G351" s="47">
        <f>_xlfn.XLOOKUP(C351,SkillActive!$A:$A,SkillActive!E:E,,0)</f>
        <v/>
      </c>
      <c r="H351" s="47">
        <f>_xlfn.XLOOKUP(E351,SkillActive!B:B,SkillActive!K:K,,0)</f>
        <v/>
      </c>
    </row>
    <row r="352">
      <c r="A352" s="25">
        <f>C352*100+D352</f>
        <v/>
      </c>
      <c r="B352" s="42">
        <f>_xlfn.XLOOKUP(C352,SkillActive!$A:$A,SkillActive!C:C,,0)</f>
        <v/>
      </c>
      <c r="C352" s="25">
        <f>C336+1</f>
        <v/>
      </c>
      <c r="D352" s="25">
        <f>D336</f>
        <v/>
      </c>
      <c r="E352" s="25">
        <f t="array" ref="E352">_xlfn.XLOOKUP(C352,SkillActive!A:A,INDEX(SkillActive!A:AA,0,MATCH("name",SkillActive!$2:$2,0)),,0)</f>
        <v/>
      </c>
      <c r="F352" s="47">
        <f>D352</f>
        <v/>
      </c>
      <c r="G352" s="47">
        <f>_xlfn.XLOOKUP(C352,SkillActive!$A:$A,SkillActive!E:E,,0)</f>
        <v/>
      </c>
      <c r="H352" s="47">
        <f>_xlfn.XLOOKUP(E352,SkillActive!B:B,SkillActive!K:K,,0)</f>
        <v/>
      </c>
    </row>
    <row r="353">
      <c r="A353" s="25">
        <f>C353*100+D353</f>
        <v/>
      </c>
      <c r="B353" s="42">
        <f>_xlfn.XLOOKUP(C353,SkillActive!$A:$A,SkillActive!C:C,,0)</f>
        <v/>
      </c>
      <c r="C353" s="25">
        <f>C337+1</f>
        <v/>
      </c>
      <c r="D353" s="25">
        <f>D337</f>
        <v/>
      </c>
      <c r="E353" s="25">
        <f t="array" ref="E353">_xlfn.XLOOKUP(C353,SkillActive!A:A,INDEX(SkillActive!A:AA,0,MATCH("name",SkillActive!$2:$2,0)),,0)</f>
        <v/>
      </c>
      <c r="F353" s="47">
        <f>D353</f>
        <v/>
      </c>
      <c r="G353" s="47">
        <f>_xlfn.XLOOKUP(C353,SkillActive!$A:$A,SkillActive!E:E,,0)</f>
        <v/>
      </c>
      <c r="H353" s="47">
        <f>_xlfn.XLOOKUP(E353,SkillActive!B:B,SkillActive!K:K,,0)</f>
        <v/>
      </c>
    </row>
    <row r="354">
      <c r="A354" s="25">
        <f>C354*100+D354</f>
        <v/>
      </c>
      <c r="B354" s="42">
        <f>_xlfn.XLOOKUP(C354,SkillActive!$A:$A,SkillActive!C:C,,0)</f>
        <v/>
      </c>
      <c r="C354" s="25">
        <f>C338+1</f>
        <v/>
      </c>
      <c r="D354" s="25">
        <f>D338</f>
        <v/>
      </c>
      <c r="E354" s="25">
        <f t="array" ref="E354">_xlfn.XLOOKUP(C354,SkillActive!A:A,INDEX(SkillActive!A:AA,0,MATCH("name",SkillActive!$2:$2,0)),,0)</f>
        <v/>
      </c>
      <c r="F354" s="47">
        <f>D354</f>
        <v/>
      </c>
      <c r="G354" s="47">
        <f>_xlfn.XLOOKUP(C354,SkillActive!$A:$A,SkillActive!E:E,,0)</f>
        <v/>
      </c>
      <c r="H354" s="47">
        <f>_xlfn.XLOOKUP(E354,SkillActive!B:B,SkillActive!K:K,,0)</f>
        <v/>
      </c>
    </row>
    <row r="355">
      <c r="A355" s="25">
        <f>C355*100+D355</f>
        <v/>
      </c>
      <c r="B355" s="42">
        <f>_xlfn.XLOOKUP(C355,SkillActive!$A:$A,SkillActive!C:C,,0)</f>
        <v/>
      </c>
      <c r="C355" s="25">
        <f>C339+1</f>
        <v/>
      </c>
      <c r="D355" s="25">
        <f>D339</f>
        <v/>
      </c>
      <c r="E355" s="25">
        <f t="array" ref="E355">_xlfn.XLOOKUP(C355,SkillActive!A:A,INDEX(SkillActive!A:AA,0,MATCH("name",SkillActive!$2:$2,0)),,0)</f>
        <v/>
      </c>
      <c r="F355" s="47">
        <f>D355</f>
        <v/>
      </c>
      <c r="G355" s="47">
        <f>_xlfn.XLOOKUP(C355,SkillActive!$A:$A,SkillActive!E:E,,0)</f>
        <v/>
      </c>
      <c r="H355" s="47">
        <f>_xlfn.XLOOKUP(E355,SkillActive!B:B,SkillActive!K:K,,0)</f>
        <v/>
      </c>
    </row>
    <row r="356">
      <c r="A356" s="25">
        <f>C356*100+D356</f>
        <v/>
      </c>
      <c r="B356" s="42">
        <f>_xlfn.XLOOKUP(C356,SkillActive!$A:$A,SkillActive!C:C,,0)</f>
        <v/>
      </c>
      <c r="C356" s="25">
        <f>C340+1</f>
        <v/>
      </c>
      <c r="D356" s="25">
        <f>D340</f>
        <v/>
      </c>
      <c r="E356" s="25">
        <f t="array" ref="E356">_xlfn.XLOOKUP(C356,SkillActive!A:A,INDEX(SkillActive!A:AA,0,MATCH("name",SkillActive!$2:$2,0)),,0)</f>
        <v/>
      </c>
      <c r="F356" s="47">
        <f>D356</f>
        <v/>
      </c>
      <c r="G356" s="47">
        <f>_xlfn.XLOOKUP(C356,SkillActive!$A:$A,SkillActive!E:E,,0)</f>
        <v/>
      </c>
      <c r="H356" s="47">
        <f>_xlfn.XLOOKUP(E356,SkillActive!B:B,SkillActive!K:K,,0)</f>
        <v/>
      </c>
    </row>
    <row r="357">
      <c r="A357" s="25">
        <f>C357*100+D357</f>
        <v/>
      </c>
      <c r="B357" s="42">
        <f>_xlfn.XLOOKUP(C357,SkillActive!$A:$A,SkillActive!C:C,,0)</f>
        <v/>
      </c>
      <c r="C357" s="25">
        <f>C341+1</f>
        <v/>
      </c>
      <c r="D357" s="25">
        <f>D341</f>
        <v/>
      </c>
      <c r="E357" s="25">
        <f t="array" ref="E357">_xlfn.XLOOKUP(C357,SkillActive!A:A,INDEX(SkillActive!A:AA,0,MATCH("name",SkillActive!$2:$2,0)),,0)</f>
        <v/>
      </c>
      <c r="F357" s="47">
        <f>D357</f>
        <v/>
      </c>
      <c r="G357" s="47">
        <f>_xlfn.XLOOKUP(C357,SkillActive!$A:$A,SkillActive!E:E,,0)</f>
        <v/>
      </c>
      <c r="H357" s="47">
        <f>_xlfn.XLOOKUP(E357,SkillActive!B:B,SkillActive!K:K,,0)</f>
        <v/>
      </c>
    </row>
    <row r="358">
      <c r="A358" s="25">
        <f>C358*100+D358</f>
        <v/>
      </c>
      <c r="B358" s="42">
        <f>_xlfn.XLOOKUP(C358,SkillActive!$A:$A,SkillActive!C:C,,0)</f>
        <v/>
      </c>
      <c r="C358" s="25">
        <f>C342+1</f>
        <v/>
      </c>
      <c r="D358" s="25">
        <f>D342</f>
        <v/>
      </c>
      <c r="E358" s="25">
        <f t="array" ref="E358">_xlfn.XLOOKUP(C358,SkillActive!A:A,INDEX(SkillActive!A:AA,0,MATCH("name",SkillActive!$2:$2,0)),,0)</f>
        <v/>
      </c>
      <c r="F358" s="47">
        <f>D358</f>
        <v/>
      </c>
      <c r="G358" s="47">
        <f>_xlfn.XLOOKUP(C358,SkillActive!$A:$A,SkillActive!E:E,,0)</f>
        <v/>
      </c>
      <c r="H358" s="47">
        <f>_xlfn.XLOOKUP(E358,SkillActive!B:B,SkillActive!K:K,,0)</f>
        <v/>
      </c>
    </row>
    <row r="359">
      <c r="A359" s="25">
        <f>C359*100+D359</f>
        <v/>
      </c>
      <c r="B359" s="42">
        <f>_xlfn.XLOOKUP(C359,SkillActive!$A:$A,SkillActive!C:C,,0)</f>
        <v/>
      </c>
      <c r="C359" s="25">
        <f>C343+1</f>
        <v/>
      </c>
      <c r="D359" s="25">
        <f>D343</f>
        <v/>
      </c>
      <c r="E359" s="25">
        <f t="array" ref="E359">_xlfn.XLOOKUP(C359,SkillActive!A:A,INDEX(SkillActive!A:AA,0,MATCH("name",SkillActive!$2:$2,0)),,0)</f>
        <v/>
      </c>
      <c r="F359" s="47">
        <f>D359</f>
        <v/>
      </c>
      <c r="G359" s="47">
        <f>_xlfn.XLOOKUP(C359,SkillActive!$A:$A,SkillActive!E:E,,0)</f>
        <v/>
      </c>
      <c r="H359" s="47">
        <f>_xlfn.XLOOKUP(E359,SkillActive!B:B,SkillActive!K:K,,0)</f>
        <v/>
      </c>
    </row>
    <row r="360">
      <c r="A360" s="25">
        <f>C360*100+D360</f>
        <v/>
      </c>
      <c r="B360" s="42">
        <f>_xlfn.XLOOKUP(C360,SkillActive!$A:$A,SkillActive!C:C,,0)</f>
        <v/>
      </c>
      <c r="C360" s="25">
        <f>C344+1</f>
        <v/>
      </c>
      <c r="D360" s="25">
        <f>D344</f>
        <v/>
      </c>
      <c r="E360" s="25">
        <f t="array" ref="E360">_xlfn.XLOOKUP(C360,SkillActive!A:A,INDEX(SkillActive!A:AA,0,MATCH("name",SkillActive!$2:$2,0)),,0)</f>
        <v/>
      </c>
      <c r="F360" s="47">
        <f>D360</f>
        <v/>
      </c>
      <c r="G360" s="47">
        <f>_xlfn.XLOOKUP(C360,SkillActive!$A:$A,SkillActive!E:E,,0)</f>
        <v/>
      </c>
      <c r="H360" s="47">
        <f>_xlfn.XLOOKUP(E360,SkillActive!B:B,SkillActive!K:K,,0)</f>
        <v/>
      </c>
    </row>
    <row r="361">
      <c r="A361" s="25">
        <f>C361*100+D361</f>
        <v/>
      </c>
      <c r="B361" s="42">
        <f>_xlfn.XLOOKUP(C361,SkillActive!$A:$A,SkillActive!C:C,,0)</f>
        <v/>
      </c>
      <c r="C361" s="25">
        <f>C345+1</f>
        <v/>
      </c>
      <c r="D361" s="25">
        <f>D345</f>
        <v/>
      </c>
      <c r="E361" s="25">
        <f t="array" ref="E361">_xlfn.XLOOKUP(C361,SkillActive!A:A,INDEX(SkillActive!A:AA,0,MATCH("name",SkillActive!$2:$2,0)),,0)</f>
        <v/>
      </c>
      <c r="F361" s="47">
        <f>D361</f>
        <v/>
      </c>
      <c r="G361" s="47">
        <f>_xlfn.XLOOKUP(C361,SkillActive!$A:$A,SkillActive!E:E,,0)</f>
        <v/>
      </c>
      <c r="H361" s="47">
        <f>_xlfn.XLOOKUP(E361,SkillActive!B:B,SkillActive!K:K,,0)</f>
        <v/>
      </c>
    </row>
    <row r="362">
      <c r="A362" s="25">
        <f>C362*100+D362</f>
        <v/>
      </c>
      <c r="B362" s="42">
        <f>_xlfn.XLOOKUP(C362,SkillActive!$A:$A,SkillActive!C:C,,0)</f>
        <v/>
      </c>
      <c r="C362" s="25">
        <f>C346+1</f>
        <v/>
      </c>
      <c r="D362" s="25">
        <f>D346</f>
        <v/>
      </c>
      <c r="E362" s="25">
        <f t="array" ref="E362">_xlfn.XLOOKUP(C362,SkillActive!A:A,INDEX(SkillActive!A:AA,0,MATCH("name",SkillActive!$2:$2,0)),,0)</f>
        <v/>
      </c>
      <c r="F362" s="47">
        <f>D362</f>
        <v/>
      </c>
      <c r="G362" s="47">
        <f>_xlfn.XLOOKUP(C362,SkillActive!$A:$A,SkillActive!E:E,,0)</f>
        <v/>
      </c>
      <c r="H362" s="47">
        <f>_xlfn.XLOOKUP(E362,SkillActive!B:B,SkillActive!K:K,,0)</f>
        <v/>
      </c>
    </row>
    <row r="363">
      <c r="A363" s="25">
        <f>C363*100+D363</f>
        <v/>
      </c>
      <c r="B363" s="42">
        <f>_xlfn.XLOOKUP(C363,SkillActive!$A:$A,SkillActive!C:C,,0)</f>
        <v/>
      </c>
      <c r="C363" s="25">
        <f>C347+1</f>
        <v/>
      </c>
      <c r="D363" s="25">
        <f>D347</f>
        <v/>
      </c>
      <c r="E363" s="25">
        <f t="array" ref="E363">_xlfn.XLOOKUP(C363,SkillActive!A:A,INDEX(SkillActive!A:AA,0,MATCH("name",SkillActive!$2:$2,0)),,0)</f>
        <v/>
      </c>
      <c r="F363" s="47">
        <f>D363</f>
        <v/>
      </c>
      <c r="G363" s="47">
        <f>_xlfn.XLOOKUP(C363,SkillActive!$A:$A,SkillActive!E:E,,0)</f>
        <v/>
      </c>
      <c r="H363" s="47">
        <f>_xlfn.XLOOKUP(E363,SkillActive!B:B,SkillActive!K:K,,0)</f>
        <v/>
      </c>
    </row>
    <row r="364">
      <c r="A364" s="25">
        <f>C364*100+D364</f>
        <v/>
      </c>
      <c r="B364" s="42">
        <f>_xlfn.XLOOKUP(C364,SkillActive!$A:$A,SkillActive!C:C,,0)</f>
        <v/>
      </c>
      <c r="C364" s="25">
        <f>C348+1</f>
        <v/>
      </c>
      <c r="D364" s="25">
        <f>D348</f>
        <v/>
      </c>
      <c r="E364" s="25">
        <f t="array" ref="E364">_xlfn.XLOOKUP(C364,SkillActive!A:A,INDEX(SkillActive!A:AA,0,MATCH("name",SkillActive!$2:$2,0)),,0)</f>
        <v/>
      </c>
      <c r="F364" s="47">
        <f>D364</f>
        <v/>
      </c>
      <c r="G364" s="47">
        <f>_xlfn.XLOOKUP(C364,SkillActive!$A:$A,SkillActive!E:E,,0)</f>
        <v/>
      </c>
      <c r="H364" s="47">
        <f>_xlfn.XLOOKUP(E364,SkillActive!B:B,SkillActive!K:K,,0)</f>
        <v/>
      </c>
    </row>
    <row r="365">
      <c r="A365" s="25">
        <f>C365*100+D365</f>
        <v/>
      </c>
      <c r="B365" s="42">
        <f>_xlfn.XLOOKUP(C365,SkillActive!$A:$A,SkillActive!C:C,,0)</f>
        <v/>
      </c>
      <c r="C365" s="25">
        <f>C349+1</f>
        <v/>
      </c>
      <c r="D365" s="25">
        <f>D349</f>
        <v/>
      </c>
      <c r="E365" s="25">
        <f t="array" ref="E365">_xlfn.XLOOKUP(C365,SkillActive!A:A,INDEX(SkillActive!A:AA,0,MATCH("name",SkillActive!$2:$2,0)),,0)</f>
        <v/>
      </c>
      <c r="F365" s="47">
        <f>D365</f>
        <v/>
      </c>
      <c r="G365" s="47">
        <f>_xlfn.XLOOKUP(C365,SkillActive!$A:$A,SkillActive!E:E,,0)</f>
        <v/>
      </c>
      <c r="H365" s="47">
        <f>_xlfn.XLOOKUP(E365,SkillActive!B:B,SkillActive!K:K,,0)</f>
        <v/>
      </c>
    </row>
    <row r="366">
      <c r="A366" s="25">
        <f>C366*100+D366</f>
        <v/>
      </c>
      <c r="B366" s="42">
        <f>_xlfn.XLOOKUP(C366,SkillActive!$A:$A,SkillActive!C:C,,0)</f>
        <v/>
      </c>
      <c r="C366" s="25">
        <f>C350+1</f>
        <v/>
      </c>
      <c r="D366" s="25">
        <f>D350</f>
        <v/>
      </c>
      <c r="E366" s="25">
        <f t="array" ref="E366">_xlfn.XLOOKUP(C366,SkillActive!A:A,INDEX(SkillActive!A:AA,0,MATCH("name",SkillActive!$2:$2,0)),,0)</f>
        <v/>
      </c>
      <c r="F366" s="47">
        <f>D366</f>
        <v/>
      </c>
      <c r="G366" s="47">
        <f>_xlfn.XLOOKUP(C366,SkillActive!$A:$A,SkillActive!E:E,,0)</f>
        <v/>
      </c>
      <c r="H366" s="47">
        <f>_xlfn.XLOOKUP(E366,SkillActive!B:B,SkillActive!K:K,,0)</f>
        <v/>
      </c>
    </row>
    <row r="367">
      <c r="A367" s="25">
        <f>C367*100+D367</f>
        <v/>
      </c>
      <c r="B367" s="42">
        <f>_xlfn.XLOOKUP(C367,SkillActive!$A:$A,SkillActive!C:C,,0)</f>
        <v/>
      </c>
      <c r="C367" s="25">
        <f>C351+1</f>
        <v/>
      </c>
      <c r="D367" s="25">
        <f>D351</f>
        <v/>
      </c>
      <c r="E367" s="25">
        <f t="array" ref="E367">_xlfn.XLOOKUP(C367,SkillActive!A:A,INDEX(SkillActive!A:AA,0,MATCH("name",SkillActive!$2:$2,0)),,0)</f>
        <v/>
      </c>
      <c r="F367" s="47">
        <f>D367</f>
        <v/>
      </c>
      <c r="G367" s="47">
        <f>_xlfn.XLOOKUP(C367,SkillActive!$A:$A,SkillActive!E:E,,0)</f>
        <v/>
      </c>
      <c r="H367" s="47">
        <f>_xlfn.XLOOKUP(E367,SkillActive!B:B,SkillActive!K:K,,0)</f>
        <v/>
      </c>
    </row>
    <row r="368">
      <c r="A368" s="25">
        <f>C368*100+D368</f>
        <v/>
      </c>
      <c r="B368" s="42">
        <f>_xlfn.XLOOKUP(C368,SkillActive!$A:$A,SkillActive!C:C,,0)</f>
        <v/>
      </c>
      <c r="C368" s="25">
        <f>C352+1</f>
        <v/>
      </c>
      <c r="D368" s="25">
        <f>D352</f>
        <v/>
      </c>
      <c r="E368" s="25">
        <f t="array" ref="E368">_xlfn.XLOOKUP(C368,SkillActive!A:A,INDEX(SkillActive!A:AA,0,MATCH("name",SkillActive!$2:$2,0)),,0)</f>
        <v/>
      </c>
      <c r="F368" s="47">
        <f>D368</f>
        <v/>
      </c>
      <c r="G368" s="47">
        <f>_xlfn.XLOOKUP(C368,SkillActive!$A:$A,SkillActive!E:E,,0)</f>
        <v/>
      </c>
      <c r="H368" s="47">
        <f>_xlfn.XLOOKUP(E368,SkillActive!B:B,SkillActive!K:K,,0)</f>
        <v/>
      </c>
    </row>
    <row r="369">
      <c r="A369" s="25">
        <f>C369*100+D369</f>
        <v/>
      </c>
      <c r="B369" s="42">
        <f>_xlfn.XLOOKUP(C369,SkillActive!$A:$A,SkillActive!C:C,,0)</f>
        <v/>
      </c>
      <c r="C369" s="25">
        <f>C353+1</f>
        <v/>
      </c>
      <c r="D369" s="25">
        <f>D353</f>
        <v/>
      </c>
      <c r="E369" s="25">
        <f t="array" ref="E369">_xlfn.XLOOKUP(C369,SkillActive!A:A,INDEX(SkillActive!A:AA,0,MATCH("name",SkillActive!$2:$2,0)),,0)</f>
        <v/>
      </c>
      <c r="F369" s="47">
        <f>D369</f>
        <v/>
      </c>
      <c r="G369" s="47">
        <f>_xlfn.XLOOKUP(C369,SkillActive!$A:$A,SkillActive!E:E,,0)</f>
        <v/>
      </c>
      <c r="H369" s="47">
        <f>_xlfn.XLOOKUP(E369,SkillActive!B:B,SkillActive!K:K,,0)</f>
        <v/>
      </c>
    </row>
    <row r="370">
      <c r="A370" s="25">
        <f>C370*100+D370</f>
        <v/>
      </c>
      <c r="B370" s="42">
        <f>_xlfn.XLOOKUP(C370,SkillActive!$A:$A,SkillActive!C:C,,0)</f>
        <v/>
      </c>
      <c r="C370" s="25">
        <f>C354+1</f>
        <v/>
      </c>
      <c r="D370" s="25">
        <f>D354</f>
        <v/>
      </c>
      <c r="E370" s="25">
        <f t="array" ref="E370">_xlfn.XLOOKUP(C370,SkillActive!A:A,INDEX(SkillActive!A:AA,0,MATCH("name",SkillActive!$2:$2,0)),,0)</f>
        <v/>
      </c>
      <c r="F370" s="47">
        <f>D370</f>
        <v/>
      </c>
      <c r="G370" s="47">
        <f>_xlfn.XLOOKUP(C370,SkillActive!$A:$A,SkillActive!E:E,,0)</f>
        <v/>
      </c>
      <c r="H370" s="47">
        <f>_xlfn.XLOOKUP(E370,SkillActive!B:B,SkillActive!K:K,,0)</f>
        <v/>
      </c>
    </row>
    <row r="371">
      <c r="A371" s="25">
        <f>C371*100+D371</f>
        <v/>
      </c>
      <c r="B371" s="42">
        <f>_xlfn.XLOOKUP(C371,SkillActive!$A:$A,SkillActive!C:C,,0)</f>
        <v/>
      </c>
      <c r="C371" s="25">
        <f>C355+1</f>
        <v/>
      </c>
      <c r="D371" s="25">
        <f>D355</f>
        <v/>
      </c>
      <c r="E371" s="25">
        <f t="array" ref="E371">_xlfn.XLOOKUP(C371,SkillActive!A:A,INDEX(SkillActive!A:AA,0,MATCH("name",SkillActive!$2:$2,0)),,0)</f>
        <v/>
      </c>
      <c r="F371" s="47">
        <f>D371</f>
        <v/>
      </c>
      <c r="G371" s="47">
        <f>_xlfn.XLOOKUP(C371,SkillActive!$A:$A,SkillActive!E:E,,0)</f>
        <v/>
      </c>
      <c r="H371" s="47">
        <f>_xlfn.XLOOKUP(E371,SkillActive!B:B,SkillActive!K:K,,0)</f>
        <v/>
      </c>
    </row>
    <row r="372">
      <c r="A372" s="25">
        <f>C372*100+D372</f>
        <v/>
      </c>
      <c r="B372" s="42">
        <f>_xlfn.XLOOKUP(C372,SkillActive!$A:$A,SkillActive!C:C,,0)</f>
        <v/>
      </c>
      <c r="C372" s="25">
        <f>C356+1</f>
        <v/>
      </c>
      <c r="D372" s="25" t="n">
        <v>1</v>
      </c>
      <c r="E372" s="25">
        <f t="array" ref="E372">_xlfn.XLOOKUP(C372,SkillActive!A:A,INDEX(SkillActive!A:AA,0,MATCH("name",SkillActive!$2:$2,0)),,0)</f>
        <v/>
      </c>
      <c r="F372" s="47">
        <f>D372</f>
        <v/>
      </c>
      <c r="G372" s="47">
        <f>_xlfn.XLOOKUP(C372,SkillActive!$A:$A,SkillActive!E:E,,0)</f>
        <v/>
      </c>
      <c r="H372" s="47">
        <f>_xlfn.XLOOKUP(E372,SkillActive!B:B,SkillActive!K:K,,0)</f>
        <v/>
      </c>
    </row>
    <row r="373">
      <c r="A373" s="25">
        <f>C373*100+D373</f>
        <v/>
      </c>
      <c r="B373" s="42">
        <f>_xlfn.XLOOKUP(C373,SkillActive!$A:$A,SkillActive!C:C,,0)</f>
        <v/>
      </c>
      <c r="C373" s="25">
        <f>C357+1</f>
        <v/>
      </c>
      <c r="D373" s="25" t="n">
        <v>2</v>
      </c>
      <c r="E373" s="25">
        <f t="array" ref="E373">_xlfn.XLOOKUP(C373,SkillActive!A:A,INDEX(SkillActive!A:AA,0,MATCH("name",SkillActive!$2:$2,0)),,0)</f>
        <v/>
      </c>
      <c r="F373" s="47">
        <f>D373</f>
        <v/>
      </c>
      <c r="G373" s="47">
        <f>_xlfn.XLOOKUP(C373,SkillActive!$A:$A,SkillActive!E:E,,0)</f>
        <v/>
      </c>
      <c r="H373" s="47">
        <f>_xlfn.XLOOKUP(E373,SkillActive!B:B,SkillActive!K:K,,0)</f>
        <v/>
      </c>
    </row>
    <row r="374">
      <c r="A374" s="25">
        <f>C374*100+D374</f>
        <v/>
      </c>
      <c r="B374" s="42">
        <f>_xlfn.XLOOKUP(C374,SkillActive!$A:$A,SkillActive!C:C,,0)</f>
        <v/>
      </c>
      <c r="C374" s="25">
        <f>C358+1</f>
        <v/>
      </c>
      <c r="D374" s="25" t="n">
        <v>3</v>
      </c>
      <c r="E374" s="25">
        <f t="array" ref="E374">_xlfn.XLOOKUP(C374,SkillActive!A:A,INDEX(SkillActive!A:AA,0,MATCH("name",SkillActive!$2:$2,0)),,0)</f>
        <v/>
      </c>
      <c r="F374" s="47">
        <f>D374</f>
        <v/>
      </c>
      <c r="G374" s="47">
        <f>_xlfn.XLOOKUP(C374,SkillActive!$A:$A,SkillActive!E:E,,0)</f>
        <v/>
      </c>
      <c r="H374" s="47">
        <f>_xlfn.XLOOKUP(E374,SkillActive!B:B,SkillActive!K:K,,0)</f>
        <v/>
      </c>
    </row>
    <row r="375">
      <c r="A375" s="25">
        <f>C375*100+D375</f>
        <v/>
      </c>
      <c r="B375" s="42">
        <f>_xlfn.XLOOKUP(C375,SkillActive!$A:$A,SkillActive!C:C,,0)</f>
        <v/>
      </c>
      <c r="C375" s="25">
        <f>C359+1</f>
        <v/>
      </c>
      <c r="D375" s="25" t="n">
        <v>4</v>
      </c>
      <c r="E375" s="25">
        <f t="array" ref="E375">_xlfn.XLOOKUP(C375,SkillActive!A:A,INDEX(SkillActive!A:AA,0,MATCH("name",SkillActive!$2:$2,0)),,0)</f>
        <v/>
      </c>
      <c r="F375" s="47">
        <f>D375</f>
        <v/>
      </c>
      <c r="G375" s="47">
        <f>_xlfn.XLOOKUP(C375,SkillActive!$A:$A,SkillActive!E:E,,0)</f>
        <v/>
      </c>
      <c r="H375" s="47">
        <f>_xlfn.XLOOKUP(E375,SkillActive!B:B,SkillActive!K:K,,0)</f>
        <v/>
      </c>
    </row>
    <row r="376">
      <c r="A376" s="25">
        <f>C376*100+D376</f>
        <v/>
      </c>
      <c r="B376" s="42">
        <f>_xlfn.XLOOKUP(C376,SkillActive!$A:$A,SkillActive!C:C,,0)</f>
        <v/>
      </c>
      <c r="C376" s="25">
        <f>C360+1</f>
        <v/>
      </c>
      <c r="D376" s="25" t="n">
        <v>5</v>
      </c>
      <c r="E376" s="25">
        <f t="array" ref="E376">_xlfn.XLOOKUP(C376,SkillActive!A:A,INDEX(SkillActive!A:AA,0,MATCH("name",SkillActive!$2:$2,0)),,0)</f>
        <v/>
      </c>
      <c r="F376" s="47">
        <f>D376</f>
        <v/>
      </c>
      <c r="G376" s="47">
        <f>_xlfn.XLOOKUP(C376,SkillActive!$A:$A,SkillActive!E:E,,0)</f>
        <v/>
      </c>
      <c r="H376" s="47">
        <f>_xlfn.XLOOKUP(E376,SkillActive!B:B,SkillActive!K:K,,0)</f>
        <v/>
      </c>
    </row>
    <row r="377">
      <c r="A377" s="25">
        <f>C377*100+D377</f>
        <v/>
      </c>
      <c r="B377" s="42">
        <f>_xlfn.XLOOKUP(C377,SkillActive!$A:$A,SkillActive!C:C,,0)</f>
        <v/>
      </c>
      <c r="C377" s="25">
        <f>C361+1</f>
        <v/>
      </c>
      <c r="D377" s="25" t="n">
        <v>6</v>
      </c>
      <c r="E377" s="25">
        <f t="array" ref="E377">_xlfn.XLOOKUP(C377,SkillActive!A:A,INDEX(SkillActive!A:AA,0,MATCH("name",SkillActive!$2:$2,0)),,0)</f>
        <v/>
      </c>
      <c r="F377" s="47">
        <f>D377</f>
        <v/>
      </c>
      <c r="G377" s="47">
        <f>_xlfn.XLOOKUP(C377,SkillActive!$A:$A,SkillActive!E:E,,0)</f>
        <v/>
      </c>
      <c r="H377" s="47">
        <f>_xlfn.XLOOKUP(E377,SkillActive!B:B,SkillActive!K:K,,0)</f>
        <v/>
      </c>
    </row>
    <row r="378">
      <c r="A378" s="25">
        <f>C378*100+D378</f>
        <v/>
      </c>
      <c r="B378" s="42">
        <f>_xlfn.XLOOKUP(C378,SkillActive!$A:$A,SkillActive!C:C,,0)</f>
        <v/>
      </c>
      <c r="C378" s="25">
        <f>C362+1</f>
        <v/>
      </c>
      <c r="D378" s="25" t="n">
        <v>7</v>
      </c>
      <c r="E378" s="25">
        <f t="array" ref="E378">_xlfn.XLOOKUP(C378,SkillActive!A:A,INDEX(SkillActive!A:AA,0,MATCH("name",SkillActive!$2:$2,0)),,0)</f>
        <v/>
      </c>
      <c r="F378" s="47">
        <f>D378</f>
        <v/>
      </c>
      <c r="G378" s="47">
        <f>_xlfn.XLOOKUP(C378,SkillActive!$A:$A,SkillActive!E:E,,0)</f>
        <v/>
      </c>
      <c r="H378" s="47">
        <f>_xlfn.XLOOKUP(E378,SkillActive!B:B,SkillActive!K:K,,0)</f>
        <v/>
      </c>
    </row>
    <row r="379">
      <c r="A379" s="25">
        <f>C379*100+D379</f>
        <v/>
      </c>
      <c r="B379" s="42">
        <f>_xlfn.XLOOKUP(C379,SkillActive!$A:$A,SkillActive!C:C,,0)</f>
        <v/>
      </c>
      <c r="C379" s="25">
        <f>C363+1</f>
        <v/>
      </c>
      <c r="D379" s="25" t="n">
        <v>8</v>
      </c>
      <c r="E379" s="25">
        <f t="array" ref="E379">_xlfn.XLOOKUP(C379,SkillActive!A:A,INDEX(SkillActive!A:AA,0,MATCH("name",SkillActive!$2:$2,0)),,0)</f>
        <v/>
      </c>
      <c r="F379" s="47">
        <f>D379</f>
        <v/>
      </c>
      <c r="G379" s="47">
        <f>_xlfn.XLOOKUP(C379,SkillActive!$A:$A,SkillActive!E:E,,0)</f>
        <v/>
      </c>
      <c r="H379" s="47">
        <f>_xlfn.XLOOKUP(E379,SkillActive!B:B,SkillActive!K:K,,0)</f>
        <v/>
      </c>
    </row>
    <row r="380">
      <c r="A380" s="25">
        <f>C380*100+D380</f>
        <v/>
      </c>
      <c r="B380" s="42">
        <f>_xlfn.XLOOKUP(C380,SkillActive!$A:$A,SkillActive!C:C,,0)</f>
        <v/>
      </c>
      <c r="C380" s="25">
        <f>C364+1</f>
        <v/>
      </c>
      <c r="D380" s="25" t="n">
        <v>9</v>
      </c>
      <c r="E380" s="25">
        <f t="array" ref="E380">_xlfn.XLOOKUP(C380,SkillActive!A:A,INDEX(SkillActive!A:AA,0,MATCH("name",SkillActive!$2:$2,0)),,0)</f>
        <v/>
      </c>
      <c r="F380" s="47">
        <f>D380</f>
        <v/>
      </c>
      <c r="G380" s="47">
        <f>_xlfn.XLOOKUP(C380,SkillActive!$A:$A,SkillActive!E:E,,0)</f>
        <v/>
      </c>
      <c r="H380" s="47">
        <f>_xlfn.XLOOKUP(E380,SkillActive!B:B,SkillActive!K:K,,0)</f>
        <v/>
      </c>
    </row>
    <row r="381">
      <c r="A381" s="25">
        <f>C381*100+D381</f>
        <v/>
      </c>
      <c r="B381" s="42">
        <f>_xlfn.XLOOKUP(C381,SkillActive!$A:$A,SkillActive!C:C,,0)</f>
        <v/>
      </c>
      <c r="C381" s="25">
        <f>C365+1</f>
        <v/>
      </c>
      <c r="D381" s="25" t="n">
        <v>10</v>
      </c>
      <c r="E381" s="25">
        <f t="array" ref="E381">_xlfn.XLOOKUP(C381,SkillActive!A:A,INDEX(SkillActive!A:AA,0,MATCH("name",SkillActive!$2:$2,0)),,0)</f>
        <v/>
      </c>
      <c r="F381" s="47">
        <f>D381</f>
        <v/>
      </c>
      <c r="G381" s="47">
        <f>_xlfn.XLOOKUP(C381,SkillActive!$A:$A,SkillActive!E:E,,0)</f>
        <v/>
      </c>
      <c r="H381" s="47">
        <f>_xlfn.XLOOKUP(E381,SkillActive!B:B,SkillActive!K:K,,0)</f>
        <v/>
      </c>
    </row>
    <row r="382">
      <c r="A382" s="25">
        <f>C382*100+D382</f>
        <v/>
      </c>
      <c r="B382" s="42">
        <f>_xlfn.XLOOKUP(C382,SkillActive!$A:$A,SkillActive!C:C,,0)</f>
        <v/>
      </c>
      <c r="C382" s="25">
        <f>C366+1</f>
        <v/>
      </c>
      <c r="D382" s="25" t="n">
        <v>11</v>
      </c>
      <c r="E382" s="25">
        <f t="array" ref="E382">_xlfn.XLOOKUP(C382,SkillActive!A:A,INDEX(SkillActive!A:AA,0,MATCH("name",SkillActive!$2:$2,0)),,0)</f>
        <v/>
      </c>
      <c r="F382" s="47">
        <f>D382</f>
        <v/>
      </c>
      <c r="G382" s="47">
        <f>_xlfn.XLOOKUP(C382,SkillActive!$A:$A,SkillActive!E:E,,0)</f>
        <v/>
      </c>
      <c r="H382" s="47">
        <f>_xlfn.XLOOKUP(E382,SkillActive!B:B,SkillActive!K:K,,0)</f>
        <v/>
      </c>
    </row>
    <row r="383">
      <c r="A383" s="25">
        <f>C383*100+D383</f>
        <v/>
      </c>
      <c r="B383" s="42">
        <f>_xlfn.XLOOKUP(C383,SkillActive!$A:$A,SkillActive!C:C,,0)</f>
        <v/>
      </c>
      <c r="C383" s="25">
        <f>C367+1</f>
        <v/>
      </c>
      <c r="D383" s="25" t="n">
        <v>12</v>
      </c>
      <c r="E383" s="25">
        <f t="array" ref="E383">_xlfn.XLOOKUP(C383,SkillActive!A:A,INDEX(SkillActive!A:AA,0,MATCH("name",SkillActive!$2:$2,0)),,0)</f>
        <v/>
      </c>
      <c r="F383" s="47">
        <f>D383</f>
        <v/>
      </c>
      <c r="G383" s="47">
        <f>_xlfn.XLOOKUP(C383,SkillActive!$A:$A,SkillActive!E:E,,0)</f>
        <v/>
      </c>
      <c r="H383" s="47">
        <f>_xlfn.XLOOKUP(E383,SkillActive!B:B,SkillActive!K:K,,0)</f>
        <v/>
      </c>
    </row>
    <row r="384">
      <c r="A384" s="25">
        <f>C384*100+D384</f>
        <v/>
      </c>
      <c r="B384" s="42">
        <f>_xlfn.XLOOKUP(C384,SkillActive!$A:$A,SkillActive!C:C,,0)</f>
        <v/>
      </c>
      <c r="C384" s="25">
        <f>C368+1</f>
        <v/>
      </c>
      <c r="D384" s="25" t="n">
        <v>13</v>
      </c>
      <c r="E384" s="25">
        <f t="array" ref="E384">_xlfn.XLOOKUP(C384,SkillActive!A:A,INDEX(SkillActive!A:AA,0,MATCH("name",SkillActive!$2:$2,0)),,0)</f>
        <v/>
      </c>
      <c r="F384" s="47">
        <f>D384</f>
        <v/>
      </c>
      <c r="G384" s="47">
        <f>_xlfn.XLOOKUP(C384,SkillActive!$A:$A,SkillActive!E:E,,0)</f>
        <v/>
      </c>
      <c r="H384" s="47">
        <f>_xlfn.XLOOKUP(E384,SkillActive!B:B,SkillActive!K:K,,0)</f>
        <v/>
      </c>
    </row>
    <row r="385">
      <c r="A385" s="25">
        <f>C385*100+D385</f>
        <v/>
      </c>
      <c r="B385" s="42">
        <f>_xlfn.XLOOKUP(C385,SkillActive!$A:$A,SkillActive!C:C,,0)</f>
        <v/>
      </c>
      <c r="C385" s="25">
        <f>C369+1</f>
        <v/>
      </c>
      <c r="D385" s="25" t="n">
        <v>14</v>
      </c>
      <c r="E385" s="25">
        <f t="array" ref="E385">_xlfn.XLOOKUP(C385,SkillActive!A:A,INDEX(SkillActive!A:AA,0,MATCH("name",SkillActive!$2:$2,0)),,0)</f>
        <v/>
      </c>
      <c r="F385" s="47">
        <f>D385</f>
        <v/>
      </c>
      <c r="G385" s="47">
        <f>_xlfn.XLOOKUP(C385,SkillActive!$A:$A,SkillActive!E:E,,0)</f>
        <v/>
      </c>
      <c r="H385" s="47">
        <f>_xlfn.XLOOKUP(E385,SkillActive!B:B,SkillActive!K:K,,0)</f>
        <v/>
      </c>
    </row>
    <row r="386">
      <c r="A386" s="25">
        <f>C386*100+D386</f>
        <v/>
      </c>
      <c r="B386" s="42">
        <f>_xlfn.XLOOKUP(C386,SkillActive!$A:$A,SkillActive!C:C,,0)</f>
        <v/>
      </c>
      <c r="C386" s="25">
        <f>C370+1</f>
        <v/>
      </c>
      <c r="D386" s="25" t="n">
        <v>15</v>
      </c>
      <c r="E386" s="25">
        <f t="array" ref="E386">_xlfn.XLOOKUP(C386,SkillActive!A:A,INDEX(SkillActive!A:AA,0,MATCH("name",SkillActive!$2:$2,0)),,0)</f>
        <v/>
      </c>
      <c r="F386" s="47">
        <f>D386</f>
        <v/>
      </c>
      <c r="G386" s="47">
        <f>_xlfn.XLOOKUP(C386,SkillActive!$A:$A,SkillActive!E:E,,0)</f>
        <v/>
      </c>
      <c r="H386" s="47">
        <f>_xlfn.XLOOKUP(E386,SkillActive!B:B,SkillActive!K:K,,0)</f>
        <v/>
      </c>
    </row>
    <row r="387">
      <c r="A387" s="25">
        <f>C387*100+D387</f>
        <v/>
      </c>
      <c r="B387" s="42">
        <f>_xlfn.XLOOKUP(C387,SkillActive!$A:$A,SkillActive!C:C,,0)</f>
        <v/>
      </c>
      <c r="C387" s="25">
        <f>C371+1</f>
        <v/>
      </c>
      <c r="D387" s="25" t="n">
        <v>16</v>
      </c>
      <c r="E387" s="25">
        <f t="array" ref="E387">_xlfn.XLOOKUP(C387,SkillActive!A:A,INDEX(SkillActive!A:AA,0,MATCH("name",SkillActive!$2:$2,0)),,0)</f>
        <v/>
      </c>
      <c r="F387" s="47">
        <f>D387</f>
        <v/>
      </c>
      <c r="G387" s="47">
        <f>_xlfn.XLOOKUP(C387,SkillActive!$A:$A,SkillActive!E:E,,0)</f>
        <v/>
      </c>
      <c r="H387" s="47">
        <f>_xlfn.XLOOKUP(E387,SkillActive!B:B,SkillActive!K:K,,0)</f>
        <v/>
      </c>
    </row>
    <row r="388">
      <c r="A388" s="25">
        <f>C388*100+D388</f>
        <v/>
      </c>
      <c r="B388" s="42">
        <f>_xlfn.XLOOKUP(C388,SkillActive!$A:$A,SkillActive!C:C,,0)</f>
        <v/>
      </c>
      <c r="C388" s="25">
        <f>C372+1</f>
        <v/>
      </c>
      <c r="D388" s="25">
        <f>D372</f>
        <v/>
      </c>
      <c r="E388" s="25">
        <f t="array" ref="E388">_xlfn.XLOOKUP(C388,SkillActive!A:A,INDEX(SkillActive!A:AA,0,MATCH("name",SkillActive!$2:$2,0)),,0)</f>
        <v/>
      </c>
      <c r="F388" s="47">
        <f>D388</f>
        <v/>
      </c>
      <c r="G388" s="47">
        <f>_xlfn.XLOOKUP(C388,SkillActive!$A:$A,SkillActive!E:E,,0)</f>
        <v/>
      </c>
      <c r="H388" s="47">
        <f>_xlfn.XLOOKUP(E388,SkillActive!B:B,SkillActive!K:K,,0)</f>
        <v/>
      </c>
    </row>
    <row r="389">
      <c r="A389" s="25">
        <f>C389*100+D389</f>
        <v/>
      </c>
      <c r="B389" s="42">
        <f>_xlfn.XLOOKUP(C389,SkillActive!$A:$A,SkillActive!C:C,,0)</f>
        <v/>
      </c>
      <c r="C389" s="25">
        <f>C373+1</f>
        <v/>
      </c>
      <c r="D389" s="25">
        <f>D373</f>
        <v/>
      </c>
      <c r="E389" s="25">
        <f t="array" ref="E389">_xlfn.XLOOKUP(C389,SkillActive!A:A,INDEX(SkillActive!A:AA,0,MATCH("name",SkillActive!$2:$2,0)),,0)</f>
        <v/>
      </c>
      <c r="F389" s="47">
        <f>D389</f>
        <v/>
      </c>
      <c r="G389" s="47">
        <f>_xlfn.XLOOKUP(C389,SkillActive!$A:$A,SkillActive!E:E,,0)</f>
        <v/>
      </c>
      <c r="H389" s="47">
        <f>_xlfn.XLOOKUP(E389,SkillActive!B:B,SkillActive!K:K,,0)</f>
        <v/>
      </c>
    </row>
    <row r="390">
      <c r="A390" s="25">
        <f>C390*100+D390</f>
        <v/>
      </c>
      <c r="B390" s="42">
        <f>_xlfn.XLOOKUP(C390,SkillActive!$A:$A,SkillActive!C:C,,0)</f>
        <v/>
      </c>
      <c r="C390" s="25">
        <f>C374+1</f>
        <v/>
      </c>
      <c r="D390" s="25">
        <f>D374</f>
        <v/>
      </c>
      <c r="E390" s="25">
        <f t="array" ref="E390">_xlfn.XLOOKUP(C390,SkillActive!A:A,INDEX(SkillActive!A:AA,0,MATCH("name",SkillActive!$2:$2,0)),,0)</f>
        <v/>
      </c>
      <c r="F390" s="47">
        <f>D390</f>
        <v/>
      </c>
      <c r="G390" s="47">
        <f>_xlfn.XLOOKUP(C390,SkillActive!$A:$A,SkillActive!E:E,,0)</f>
        <v/>
      </c>
      <c r="H390" s="47">
        <f>_xlfn.XLOOKUP(E390,SkillActive!B:B,SkillActive!K:K,,0)</f>
        <v/>
      </c>
    </row>
    <row r="391">
      <c r="A391" s="25">
        <f>C391*100+D391</f>
        <v/>
      </c>
      <c r="B391" s="42">
        <f>_xlfn.XLOOKUP(C391,SkillActive!$A:$A,SkillActive!C:C,,0)</f>
        <v/>
      </c>
      <c r="C391" s="25">
        <f>C375+1</f>
        <v/>
      </c>
      <c r="D391" s="25">
        <f>D375</f>
        <v/>
      </c>
      <c r="E391" s="25">
        <f t="array" ref="E391">_xlfn.XLOOKUP(C391,SkillActive!A:A,INDEX(SkillActive!A:AA,0,MATCH("name",SkillActive!$2:$2,0)),,0)</f>
        <v/>
      </c>
      <c r="F391" s="47">
        <f>D391</f>
        <v/>
      </c>
      <c r="G391" s="47">
        <f>_xlfn.XLOOKUP(C391,SkillActive!$A:$A,SkillActive!E:E,,0)</f>
        <v/>
      </c>
      <c r="H391" s="47">
        <f>_xlfn.XLOOKUP(E391,SkillActive!B:B,SkillActive!K:K,,0)</f>
        <v/>
      </c>
    </row>
    <row r="392">
      <c r="A392" s="25">
        <f>C392*100+D392</f>
        <v/>
      </c>
      <c r="B392" s="42">
        <f>_xlfn.XLOOKUP(C392,SkillActive!$A:$A,SkillActive!C:C,,0)</f>
        <v/>
      </c>
      <c r="C392" s="25">
        <f>C376+1</f>
        <v/>
      </c>
      <c r="D392" s="25">
        <f>D376</f>
        <v/>
      </c>
      <c r="E392" s="25">
        <f t="array" ref="E392">_xlfn.XLOOKUP(C392,SkillActive!A:A,INDEX(SkillActive!A:AA,0,MATCH("name",SkillActive!$2:$2,0)),,0)</f>
        <v/>
      </c>
      <c r="F392" s="47">
        <f>D392</f>
        <v/>
      </c>
      <c r="G392" s="47">
        <f>_xlfn.XLOOKUP(C392,SkillActive!$A:$A,SkillActive!E:E,,0)</f>
        <v/>
      </c>
      <c r="H392" s="47">
        <f>_xlfn.XLOOKUP(E392,SkillActive!B:B,SkillActive!K:K,,0)</f>
        <v/>
      </c>
    </row>
    <row r="393">
      <c r="A393" s="25">
        <f>C393*100+D393</f>
        <v/>
      </c>
      <c r="B393" s="42">
        <f>_xlfn.XLOOKUP(C393,SkillActive!$A:$A,SkillActive!C:C,,0)</f>
        <v/>
      </c>
      <c r="C393" s="25">
        <f>C377+1</f>
        <v/>
      </c>
      <c r="D393" s="25">
        <f>D377</f>
        <v/>
      </c>
      <c r="E393" s="25">
        <f t="array" ref="E393">_xlfn.XLOOKUP(C393,SkillActive!A:A,INDEX(SkillActive!A:AA,0,MATCH("name",SkillActive!$2:$2,0)),,0)</f>
        <v/>
      </c>
      <c r="F393" s="47">
        <f>D393</f>
        <v/>
      </c>
      <c r="G393" s="47">
        <f>_xlfn.XLOOKUP(C393,SkillActive!$A:$A,SkillActive!E:E,,0)</f>
        <v/>
      </c>
      <c r="H393" s="47">
        <f>_xlfn.XLOOKUP(E393,SkillActive!B:B,SkillActive!K:K,,0)</f>
        <v/>
      </c>
    </row>
    <row r="394">
      <c r="A394" s="25">
        <f>C394*100+D394</f>
        <v/>
      </c>
      <c r="B394" s="42">
        <f>_xlfn.XLOOKUP(C394,SkillActive!$A:$A,SkillActive!C:C,,0)</f>
        <v/>
      </c>
      <c r="C394" s="25">
        <f>C378+1</f>
        <v/>
      </c>
      <c r="D394" s="25">
        <f>D378</f>
        <v/>
      </c>
      <c r="E394" s="25">
        <f t="array" ref="E394">_xlfn.XLOOKUP(C394,SkillActive!A:A,INDEX(SkillActive!A:AA,0,MATCH("name",SkillActive!$2:$2,0)),,0)</f>
        <v/>
      </c>
      <c r="F394" s="47">
        <f>D394</f>
        <v/>
      </c>
      <c r="G394" s="47">
        <f>_xlfn.XLOOKUP(C394,SkillActive!$A:$A,SkillActive!E:E,,0)</f>
        <v/>
      </c>
      <c r="H394" s="47">
        <f>_xlfn.XLOOKUP(E394,SkillActive!B:B,SkillActive!K:K,,0)</f>
        <v/>
      </c>
    </row>
    <row r="395">
      <c r="A395" s="25">
        <f>C395*100+D395</f>
        <v/>
      </c>
      <c r="B395" s="42">
        <f>_xlfn.XLOOKUP(C395,SkillActive!$A:$A,SkillActive!C:C,,0)</f>
        <v/>
      </c>
      <c r="C395" s="25">
        <f>C379+1</f>
        <v/>
      </c>
      <c r="D395" s="25">
        <f>D379</f>
        <v/>
      </c>
      <c r="E395" s="25">
        <f t="array" ref="E395">_xlfn.XLOOKUP(C395,SkillActive!A:A,INDEX(SkillActive!A:AA,0,MATCH("name",SkillActive!$2:$2,0)),,0)</f>
        <v/>
      </c>
      <c r="F395" s="47">
        <f>D395</f>
        <v/>
      </c>
      <c r="G395" s="47">
        <f>_xlfn.XLOOKUP(C395,SkillActive!$A:$A,SkillActive!E:E,,0)</f>
        <v/>
      </c>
      <c r="H395" s="47">
        <f>_xlfn.XLOOKUP(E395,SkillActive!B:B,SkillActive!K:K,,0)</f>
        <v/>
      </c>
    </row>
    <row r="396">
      <c r="A396" s="25">
        <f>C396*100+D396</f>
        <v/>
      </c>
      <c r="B396" s="42">
        <f>_xlfn.XLOOKUP(C396,SkillActive!$A:$A,SkillActive!C:C,,0)</f>
        <v/>
      </c>
      <c r="C396" s="25">
        <f>C380+1</f>
        <v/>
      </c>
      <c r="D396" s="25">
        <f>D380</f>
        <v/>
      </c>
      <c r="E396" s="25">
        <f t="array" ref="E396">_xlfn.XLOOKUP(C396,SkillActive!A:A,INDEX(SkillActive!A:AA,0,MATCH("name",SkillActive!$2:$2,0)),,0)</f>
        <v/>
      </c>
      <c r="F396" s="47">
        <f>D396</f>
        <v/>
      </c>
      <c r="G396" s="47">
        <f>_xlfn.XLOOKUP(C396,SkillActive!$A:$A,SkillActive!E:E,,0)</f>
        <v/>
      </c>
      <c r="H396" s="47">
        <f>_xlfn.XLOOKUP(E396,SkillActive!B:B,SkillActive!K:K,,0)</f>
        <v/>
      </c>
    </row>
    <row r="397">
      <c r="A397" s="25">
        <f>C397*100+D397</f>
        <v/>
      </c>
      <c r="B397" s="42">
        <f>_xlfn.XLOOKUP(C397,SkillActive!$A:$A,SkillActive!C:C,,0)</f>
        <v/>
      </c>
      <c r="C397" s="25">
        <f>C381+1</f>
        <v/>
      </c>
      <c r="D397" s="25">
        <f>D381</f>
        <v/>
      </c>
      <c r="E397" s="25">
        <f t="array" ref="E397">_xlfn.XLOOKUP(C397,SkillActive!A:A,INDEX(SkillActive!A:AA,0,MATCH("name",SkillActive!$2:$2,0)),,0)</f>
        <v/>
      </c>
      <c r="F397" s="47">
        <f>D397</f>
        <v/>
      </c>
      <c r="G397" s="47">
        <f>_xlfn.XLOOKUP(C397,SkillActive!$A:$A,SkillActive!E:E,,0)</f>
        <v/>
      </c>
      <c r="H397" s="47">
        <f>_xlfn.XLOOKUP(E397,SkillActive!B:B,SkillActive!K:K,,0)</f>
        <v/>
      </c>
    </row>
    <row r="398">
      <c r="A398" s="25">
        <f>C398*100+D398</f>
        <v/>
      </c>
      <c r="B398" s="42">
        <f>_xlfn.XLOOKUP(C398,SkillActive!$A:$A,SkillActive!C:C,,0)</f>
        <v/>
      </c>
      <c r="C398" s="25">
        <f>C382+1</f>
        <v/>
      </c>
      <c r="D398" s="25">
        <f>D382</f>
        <v/>
      </c>
      <c r="E398" s="25">
        <f t="array" ref="E398">_xlfn.XLOOKUP(C398,SkillActive!A:A,INDEX(SkillActive!A:AA,0,MATCH("name",SkillActive!$2:$2,0)),,0)</f>
        <v/>
      </c>
      <c r="F398" s="47">
        <f>D398</f>
        <v/>
      </c>
      <c r="G398" s="47">
        <f>_xlfn.XLOOKUP(C398,SkillActive!$A:$A,SkillActive!E:E,,0)</f>
        <v/>
      </c>
      <c r="H398" s="47">
        <f>_xlfn.XLOOKUP(E398,SkillActive!B:B,SkillActive!K:K,,0)</f>
        <v/>
      </c>
    </row>
    <row r="399">
      <c r="A399" s="25">
        <f>C399*100+D399</f>
        <v/>
      </c>
      <c r="B399" s="42">
        <f>_xlfn.XLOOKUP(C399,SkillActive!$A:$A,SkillActive!C:C,,0)</f>
        <v/>
      </c>
      <c r="C399" s="25">
        <f>C383+1</f>
        <v/>
      </c>
      <c r="D399" s="25">
        <f>D383</f>
        <v/>
      </c>
      <c r="E399" s="25">
        <f t="array" ref="E399">_xlfn.XLOOKUP(C399,SkillActive!A:A,INDEX(SkillActive!A:AA,0,MATCH("name",SkillActive!$2:$2,0)),,0)</f>
        <v/>
      </c>
      <c r="F399" s="47">
        <f>D399</f>
        <v/>
      </c>
      <c r="G399" s="47">
        <f>_xlfn.XLOOKUP(C399,SkillActive!$A:$A,SkillActive!E:E,,0)</f>
        <v/>
      </c>
      <c r="H399" s="47">
        <f>_xlfn.XLOOKUP(E399,SkillActive!B:B,SkillActive!K:K,,0)</f>
        <v/>
      </c>
    </row>
    <row r="400">
      <c r="A400" s="25">
        <f>C400*100+D400</f>
        <v/>
      </c>
      <c r="B400" s="42">
        <f>_xlfn.XLOOKUP(C400,SkillActive!$A:$A,SkillActive!C:C,,0)</f>
        <v/>
      </c>
      <c r="C400" s="25">
        <f>C384+1</f>
        <v/>
      </c>
      <c r="D400" s="25">
        <f>D384</f>
        <v/>
      </c>
      <c r="E400" s="25">
        <f t="array" ref="E400">_xlfn.XLOOKUP(C400,SkillActive!A:A,INDEX(SkillActive!A:AA,0,MATCH("name",SkillActive!$2:$2,0)),,0)</f>
        <v/>
      </c>
      <c r="F400" s="47">
        <f>D400</f>
        <v/>
      </c>
      <c r="G400" s="47">
        <f>_xlfn.XLOOKUP(C400,SkillActive!$A:$A,SkillActive!E:E,,0)</f>
        <v/>
      </c>
      <c r="H400" s="47">
        <f>_xlfn.XLOOKUP(E400,SkillActive!B:B,SkillActive!K:K,,0)</f>
        <v/>
      </c>
    </row>
    <row r="401">
      <c r="A401" s="25">
        <f>C401*100+D401</f>
        <v/>
      </c>
      <c r="B401" s="42">
        <f>_xlfn.XLOOKUP(C401,SkillActive!$A:$A,SkillActive!C:C,,0)</f>
        <v/>
      </c>
      <c r="C401" s="25">
        <f>C385+1</f>
        <v/>
      </c>
      <c r="D401" s="25">
        <f>D385</f>
        <v/>
      </c>
      <c r="E401" s="25">
        <f t="array" ref="E401">_xlfn.XLOOKUP(C401,SkillActive!A:A,INDEX(SkillActive!A:AA,0,MATCH("name",SkillActive!$2:$2,0)),,0)</f>
        <v/>
      </c>
      <c r="F401" s="47">
        <f>D401</f>
        <v/>
      </c>
      <c r="G401" s="47">
        <f>_xlfn.XLOOKUP(C401,SkillActive!$A:$A,SkillActive!E:E,,0)</f>
        <v/>
      </c>
      <c r="H401" s="47">
        <f>_xlfn.XLOOKUP(E401,SkillActive!B:B,SkillActive!K:K,,0)</f>
        <v/>
      </c>
    </row>
    <row r="402">
      <c r="A402" s="25">
        <f>C402*100+D402</f>
        <v/>
      </c>
      <c r="B402" s="42">
        <f>_xlfn.XLOOKUP(C402,SkillActive!$A:$A,SkillActive!C:C,,0)</f>
        <v/>
      </c>
      <c r="C402" s="25">
        <f>C386+1</f>
        <v/>
      </c>
      <c r="D402" s="25">
        <f>D386</f>
        <v/>
      </c>
      <c r="E402" s="25">
        <f t="array" ref="E402">_xlfn.XLOOKUP(C402,SkillActive!A:A,INDEX(SkillActive!A:AA,0,MATCH("name",SkillActive!$2:$2,0)),,0)</f>
        <v/>
      </c>
      <c r="F402" s="47">
        <f>D402</f>
        <v/>
      </c>
      <c r="G402" s="47">
        <f>_xlfn.XLOOKUP(C402,SkillActive!$A:$A,SkillActive!E:E,,0)</f>
        <v/>
      </c>
      <c r="H402" s="47">
        <f>_xlfn.XLOOKUP(E402,SkillActive!B:B,SkillActive!K:K,,0)</f>
        <v/>
      </c>
    </row>
    <row r="403">
      <c r="A403" s="25">
        <f>C403*100+D403</f>
        <v/>
      </c>
      <c r="B403" s="42">
        <f>_xlfn.XLOOKUP(C403,SkillActive!$A:$A,SkillActive!C:C,,0)</f>
        <v/>
      </c>
      <c r="C403" s="25">
        <f>C387+1</f>
        <v/>
      </c>
      <c r="D403" s="25">
        <f>D387</f>
        <v/>
      </c>
      <c r="E403" s="25">
        <f t="array" ref="E403">_xlfn.XLOOKUP(C403,SkillActive!A:A,INDEX(SkillActive!A:AA,0,MATCH("name",SkillActive!$2:$2,0)),,0)</f>
        <v/>
      </c>
      <c r="F403" s="47">
        <f>D403</f>
        <v/>
      </c>
      <c r="G403" s="47">
        <f>_xlfn.XLOOKUP(C403,SkillActive!$A:$A,SkillActive!E:E,,0)</f>
        <v/>
      </c>
      <c r="H403" s="47">
        <f>_xlfn.XLOOKUP(E403,SkillActive!B:B,SkillActive!K:K,,0)</f>
        <v/>
      </c>
    </row>
    <row r="404">
      <c r="A404" s="25">
        <f>C404*100+D404</f>
        <v/>
      </c>
      <c r="B404" s="42">
        <f>_xlfn.XLOOKUP(C404,SkillActive!$A:$A,SkillActive!C:C,,0)</f>
        <v/>
      </c>
      <c r="C404" s="25">
        <f>C388+1</f>
        <v/>
      </c>
      <c r="D404" s="25">
        <f>D388</f>
        <v/>
      </c>
      <c r="E404" s="25">
        <f t="array" ref="E404">_xlfn.XLOOKUP(C404,SkillActive!A:A,INDEX(SkillActive!A:AA,0,MATCH("name",SkillActive!$2:$2,0)),,0)</f>
        <v/>
      </c>
      <c r="F404" s="47">
        <f>D404</f>
        <v/>
      </c>
      <c r="G404" s="47">
        <f>_xlfn.XLOOKUP(C404,SkillActive!$A:$A,SkillActive!E:E,,0)</f>
        <v/>
      </c>
      <c r="H404" s="47">
        <f>_xlfn.XLOOKUP(E404,SkillActive!B:B,SkillActive!K:K,,0)</f>
        <v/>
      </c>
    </row>
    <row r="405">
      <c r="A405" s="25">
        <f>C405*100+D405</f>
        <v/>
      </c>
      <c r="B405" s="42">
        <f>_xlfn.XLOOKUP(C405,SkillActive!$A:$A,SkillActive!C:C,,0)</f>
        <v/>
      </c>
      <c r="C405" s="25">
        <f>C389+1</f>
        <v/>
      </c>
      <c r="D405" s="25">
        <f>D389</f>
        <v/>
      </c>
      <c r="E405" s="25">
        <f t="array" ref="E405">_xlfn.XLOOKUP(C405,SkillActive!A:A,INDEX(SkillActive!A:AA,0,MATCH("name",SkillActive!$2:$2,0)),,0)</f>
        <v/>
      </c>
      <c r="F405" s="47">
        <f>D405</f>
        <v/>
      </c>
      <c r="G405" s="47">
        <f>_xlfn.XLOOKUP(C405,SkillActive!$A:$A,SkillActive!E:E,,0)</f>
        <v/>
      </c>
      <c r="H405" s="47">
        <f>_xlfn.XLOOKUP(E405,SkillActive!B:B,SkillActive!K:K,,0)</f>
        <v/>
      </c>
    </row>
    <row r="406">
      <c r="A406" s="25">
        <f>C406*100+D406</f>
        <v/>
      </c>
      <c r="B406" s="42">
        <f>_xlfn.XLOOKUP(C406,SkillActive!$A:$A,SkillActive!C:C,,0)</f>
        <v/>
      </c>
      <c r="C406" s="25">
        <f>C390+1</f>
        <v/>
      </c>
      <c r="D406" s="25">
        <f>D390</f>
        <v/>
      </c>
      <c r="E406" s="25">
        <f t="array" ref="E406">_xlfn.XLOOKUP(C406,SkillActive!A:A,INDEX(SkillActive!A:AA,0,MATCH("name",SkillActive!$2:$2,0)),,0)</f>
        <v/>
      </c>
      <c r="F406" s="47">
        <f>D406</f>
        <v/>
      </c>
      <c r="G406" s="47">
        <f>_xlfn.XLOOKUP(C406,SkillActive!$A:$A,SkillActive!E:E,,0)</f>
        <v/>
      </c>
      <c r="H406" s="47">
        <f>_xlfn.XLOOKUP(E406,SkillActive!B:B,SkillActive!K:K,,0)</f>
        <v/>
      </c>
    </row>
    <row r="407">
      <c r="A407" s="25">
        <f>C407*100+D407</f>
        <v/>
      </c>
      <c r="B407" s="42">
        <f>_xlfn.XLOOKUP(C407,SkillActive!$A:$A,SkillActive!C:C,,0)</f>
        <v/>
      </c>
      <c r="C407" s="25">
        <f>C391+1</f>
        <v/>
      </c>
      <c r="D407" s="25">
        <f>D391</f>
        <v/>
      </c>
      <c r="E407" s="25">
        <f t="array" ref="E407">_xlfn.XLOOKUP(C407,SkillActive!A:A,INDEX(SkillActive!A:AA,0,MATCH("name",SkillActive!$2:$2,0)),,0)</f>
        <v/>
      </c>
      <c r="F407" s="47">
        <f>D407</f>
        <v/>
      </c>
      <c r="G407" s="47">
        <f>_xlfn.XLOOKUP(C407,SkillActive!$A:$A,SkillActive!E:E,,0)</f>
        <v/>
      </c>
      <c r="H407" s="47">
        <f>_xlfn.XLOOKUP(E407,SkillActive!B:B,SkillActive!K:K,,0)</f>
        <v/>
      </c>
    </row>
    <row r="408">
      <c r="A408" s="25">
        <f>C408*100+D408</f>
        <v/>
      </c>
      <c r="B408" s="42">
        <f>_xlfn.XLOOKUP(C408,SkillActive!$A:$A,SkillActive!C:C,,0)</f>
        <v/>
      </c>
      <c r="C408" s="25">
        <f>C392+1</f>
        <v/>
      </c>
      <c r="D408" s="25">
        <f>D392</f>
        <v/>
      </c>
      <c r="E408" s="25">
        <f t="array" ref="E408">_xlfn.XLOOKUP(C408,SkillActive!A:A,INDEX(SkillActive!A:AA,0,MATCH("name",SkillActive!$2:$2,0)),,0)</f>
        <v/>
      </c>
      <c r="F408" s="47">
        <f>D408</f>
        <v/>
      </c>
      <c r="G408" s="47">
        <f>_xlfn.XLOOKUP(C408,SkillActive!$A:$A,SkillActive!E:E,,0)</f>
        <v/>
      </c>
      <c r="H408" s="47">
        <f>_xlfn.XLOOKUP(E408,SkillActive!B:B,SkillActive!K:K,,0)</f>
        <v/>
      </c>
    </row>
    <row r="409">
      <c r="A409" s="25">
        <f>C409*100+D409</f>
        <v/>
      </c>
      <c r="B409" s="42">
        <f>_xlfn.XLOOKUP(C409,SkillActive!$A:$A,SkillActive!C:C,,0)</f>
        <v/>
      </c>
      <c r="C409" s="25">
        <f>C393+1</f>
        <v/>
      </c>
      <c r="D409" s="25">
        <f>D393</f>
        <v/>
      </c>
      <c r="E409" s="25">
        <f t="array" ref="E409">_xlfn.XLOOKUP(C409,SkillActive!A:A,INDEX(SkillActive!A:AA,0,MATCH("name",SkillActive!$2:$2,0)),,0)</f>
        <v/>
      </c>
      <c r="F409" s="47">
        <f>D409</f>
        <v/>
      </c>
      <c r="G409" s="47">
        <f>_xlfn.XLOOKUP(C409,SkillActive!$A:$A,SkillActive!E:E,,0)</f>
        <v/>
      </c>
      <c r="H409" s="47">
        <f>_xlfn.XLOOKUP(E409,SkillActive!B:B,SkillActive!K:K,,0)</f>
        <v/>
      </c>
    </row>
    <row r="410">
      <c r="A410" s="25">
        <f>C410*100+D410</f>
        <v/>
      </c>
      <c r="B410" s="42">
        <f>_xlfn.XLOOKUP(C410,SkillActive!$A:$A,SkillActive!C:C,,0)</f>
        <v/>
      </c>
      <c r="C410" s="25">
        <f>C394+1</f>
        <v/>
      </c>
      <c r="D410" s="25">
        <f>D394</f>
        <v/>
      </c>
      <c r="E410" s="25">
        <f t="array" ref="E410">_xlfn.XLOOKUP(C410,SkillActive!A:A,INDEX(SkillActive!A:AA,0,MATCH("name",SkillActive!$2:$2,0)),,0)</f>
        <v/>
      </c>
      <c r="F410" s="47">
        <f>D410</f>
        <v/>
      </c>
      <c r="G410" s="47">
        <f>_xlfn.XLOOKUP(C410,SkillActive!$A:$A,SkillActive!E:E,,0)</f>
        <v/>
      </c>
      <c r="H410" s="47">
        <f>_xlfn.XLOOKUP(E410,SkillActive!B:B,SkillActive!K:K,,0)</f>
        <v/>
      </c>
    </row>
    <row r="411">
      <c r="A411" s="25">
        <f>C411*100+D411</f>
        <v/>
      </c>
      <c r="B411" s="42">
        <f>_xlfn.XLOOKUP(C411,SkillActive!$A:$A,SkillActive!C:C,,0)</f>
        <v/>
      </c>
      <c r="C411" s="25">
        <f>C395+1</f>
        <v/>
      </c>
      <c r="D411" s="25">
        <f>D395</f>
        <v/>
      </c>
      <c r="E411" s="25">
        <f t="array" ref="E411">_xlfn.XLOOKUP(C411,SkillActive!A:A,INDEX(SkillActive!A:AA,0,MATCH("name",SkillActive!$2:$2,0)),,0)</f>
        <v/>
      </c>
      <c r="F411" s="47">
        <f>D411</f>
        <v/>
      </c>
      <c r="G411" s="47">
        <f>_xlfn.XLOOKUP(C411,SkillActive!$A:$A,SkillActive!E:E,,0)</f>
        <v/>
      </c>
      <c r="H411" s="47">
        <f>_xlfn.XLOOKUP(E411,SkillActive!B:B,SkillActive!K:K,,0)</f>
        <v/>
      </c>
    </row>
    <row r="412">
      <c r="A412" s="25">
        <f>C412*100+D412</f>
        <v/>
      </c>
      <c r="B412" s="42">
        <f>_xlfn.XLOOKUP(C412,SkillActive!$A:$A,SkillActive!C:C,,0)</f>
        <v/>
      </c>
      <c r="C412" s="25">
        <f>C396+1</f>
        <v/>
      </c>
      <c r="D412" s="25">
        <f>D396</f>
        <v/>
      </c>
      <c r="E412" s="25">
        <f t="array" ref="E412">_xlfn.XLOOKUP(C412,SkillActive!A:A,INDEX(SkillActive!A:AA,0,MATCH("name",SkillActive!$2:$2,0)),,0)</f>
        <v/>
      </c>
      <c r="F412" s="47">
        <f>D412</f>
        <v/>
      </c>
      <c r="G412" s="47">
        <f>_xlfn.XLOOKUP(C412,SkillActive!$A:$A,SkillActive!E:E,,0)</f>
        <v/>
      </c>
      <c r="H412" s="47">
        <f>_xlfn.XLOOKUP(E412,SkillActive!B:B,SkillActive!K:K,,0)</f>
        <v/>
      </c>
    </row>
    <row r="413">
      <c r="A413" s="25">
        <f>C413*100+D413</f>
        <v/>
      </c>
      <c r="B413" s="42">
        <f>_xlfn.XLOOKUP(C413,SkillActive!$A:$A,SkillActive!C:C,,0)</f>
        <v/>
      </c>
      <c r="C413" s="25">
        <f>C397+1</f>
        <v/>
      </c>
      <c r="D413" s="25">
        <f>D397</f>
        <v/>
      </c>
      <c r="E413" s="25">
        <f t="array" ref="E413">_xlfn.XLOOKUP(C413,SkillActive!A:A,INDEX(SkillActive!A:AA,0,MATCH("name",SkillActive!$2:$2,0)),,0)</f>
        <v/>
      </c>
      <c r="F413" s="47">
        <f>D413</f>
        <v/>
      </c>
      <c r="G413" s="47">
        <f>_xlfn.XLOOKUP(C413,SkillActive!$A:$A,SkillActive!E:E,,0)</f>
        <v/>
      </c>
      <c r="H413" s="47">
        <f>_xlfn.XLOOKUP(E413,SkillActive!B:B,SkillActive!K:K,,0)</f>
        <v/>
      </c>
    </row>
    <row r="414">
      <c r="A414" s="25">
        <f>C414*100+D414</f>
        <v/>
      </c>
      <c r="B414" s="42">
        <f>_xlfn.XLOOKUP(C414,SkillActive!$A:$A,SkillActive!C:C,,0)</f>
        <v/>
      </c>
      <c r="C414" s="25">
        <f>C398+1</f>
        <v/>
      </c>
      <c r="D414" s="25">
        <f>D398</f>
        <v/>
      </c>
      <c r="E414" s="25">
        <f t="array" ref="E414">_xlfn.XLOOKUP(C414,SkillActive!A:A,INDEX(SkillActive!A:AA,0,MATCH("name",SkillActive!$2:$2,0)),,0)</f>
        <v/>
      </c>
      <c r="F414" s="47">
        <f>D414</f>
        <v/>
      </c>
      <c r="G414" s="47">
        <f>_xlfn.XLOOKUP(C414,SkillActive!$A:$A,SkillActive!E:E,,0)</f>
        <v/>
      </c>
      <c r="H414" s="47">
        <f>_xlfn.XLOOKUP(E414,SkillActive!B:B,SkillActive!K:K,,0)</f>
        <v/>
      </c>
    </row>
    <row r="415">
      <c r="A415" s="25">
        <f>C415*100+D415</f>
        <v/>
      </c>
      <c r="B415" s="42">
        <f>_xlfn.XLOOKUP(C415,SkillActive!$A:$A,SkillActive!C:C,,0)</f>
        <v/>
      </c>
      <c r="C415" s="25">
        <f>C399+1</f>
        <v/>
      </c>
      <c r="D415" s="25">
        <f>D399</f>
        <v/>
      </c>
      <c r="E415" s="25">
        <f t="array" ref="E415">_xlfn.XLOOKUP(C415,SkillActive!A:A,INDEX(SkillActive!A:AA,0,MATCH("name",SkillActive!$2:$2,0)),,0)</f>
        <v/>
      </c>
      <c r="F415" s="47">
        <f>D415</f>
        <v/>
      </c>
      <c r="G415" s="47">
        <f>_xlfn.XLOOKUP(C415,SkillActive!$A:$A,SkillActive!E:E,,0)</f>
        <v/>
      </c>
      <c r="H415" s="47">
        <f>_xlfn.XLOOKUP(E415,SkillActive!B:B,SkillActive!K:K,,0)</f>
        <v/>
      </c>
    </row>
    <row r="416">
      <c r="A416" s="25">
        <f>C416*100+D416</f>
        <v/>
      </c>
      <c r="B416" s="42">
        <f>_xlfn.XLOOKUP(C416,SkillActive!$A:$A,SkillActive!C:C,,0)</f>
        <v/>
      </c>
      <c r="C416" s="25">
        <f>C400+1</f>
        <v/>
      </c>
      <c r="D416" s="25">
        <f>D400</f>
        <v/>
      </c>
      <c r="E416" s="25">
        <f t="array" ref="E416">_xlfn.XLOOKUP(C416,SkillActive!A:A,INDEX(SkillActive!A:AA,0,MATCH("name",SkillActive!$2:$2,0)),,0)</f>
        <v/>
      </c>
      <c r="F416" s="47">
        <f>D416</f>
        <v/>
      </c>
      <c r="G416" s="47">
        <f>_xlfn.XLOOKUP(C416,SkillActive!$A:$A,SkillActive!E:E,,0)</f>
        <v/>
      </c>
      <c r="H416" s="47">
        <f>_xlfn.XLOOKUP(E416,SkillActive!B:B,SkillActive!K:K,,0)</f>
        <v/>
      </c>
    </row>
    <row r="417">
      <c r="A417" s="25">
        <f>C417*100+D417</f>
        <v/>
      </c>
      <c r="B417" s="42">
        <f>_xlfn.XLOOKUP(C417,SkillActive!$A:$A,SkillActive!C:C,,0)</f>
        <v/>
      </c>
      <c r="C417" s="25">
        <f>C401+1</f>
        <v/>
      </c>
      <c r="D417" s="25">
        <f>D401</f>
        <v/>
      </c>
      <c r="E417" s="25">
        <f t="array" ref="E417">_xlfn.XLOOKUP(C417,SkillActive!A:A,INDEX(SkillActive!A:AA,0,MATCH("name",SkillActive!$2:$2,0)),,0)</f>
        <v/>
      </c>
      <c r="F417" s="47">
        <f>D417</f>
        <v/>
      </c>
      <c r="G417" s="47">
        <f>_xlfn.XLOOKUP(C417,SkillActive!$A:$A,SkillActive!E:E,,0)</f>
        <v/>
      </c>
      <c r="H417" s="47">
        <f>_xlfn.XLOOKUP(E417,SkillActive!B:B,SkillActive!K:K,,0)</f>
        <v/>
      </c>
    </row>
    <row r="418">
      <c r="A418" s="25">
        <f>C418*100+D418</f>
        <v/>
      </c>
      <c r="B418" s="42">
        <f>_xlfn.XLOOKUP(C418,SkillActive!$A:$A,SkillActive!C:C,,0)</f>
        <v/>
      </c>
      <c r="C418" s="25">
        <f>C402+1</f>
        <v/>
      </c>
      <c r="D418" s="25">
        <f>D402</f>
        <v/>
      </c>
      <c r="E418" s="25">
        <f t="array" ref="E418">_xlfn.XLOOKUP(C418,SkillActive!A:A,INDEX(SkillActive!A:AA,0,MATCH("name",SkillActive!$2:$2,0)),,0)</f>
        <v/>
      </c>
      <c r="F418" s="47">
        <f>D418</f>
        <v/>
      </c>
      <c r="G418" s="47">
        <f>_xlfn.XLOOKUP(C418,SkillActive!$A:$A,SkillActive!E:E,,0)</f>
        <v/>
      </c>
      <c r="H418" s="47">
        <f>_xlfn.XLOOKUP(E418,SkillActive!B:B,SkillActive!K:K,,0)</f>
        <v/>
      </c>
    </row>
    <row r="419">
      <c r="A419" s="25">
        <f>C419*100+D419</f>
        <v/>
      </c>
      <c r="B419" s="42">
        <f>_xlfn.XLOOKUP(C419,SkillActive!$A:$A,SkillActive!C:C,,0)</f>
        <v/>
      </c>
      <c r="C419" s="25">
        <f>C403+1</f>
        <v/>
      </c>
      <c r="D419" s="25">
        <f>D403</f>
        <v/>
      </c>
      <c r="E419" s="25">
        <f t="array" ref="E419">_xlfn.XLOOKUP(C419,SkillActive!A:A,INDEX(SkillActive!A:AA,0,MATCH("name",SkillActive!$2:$2,0)),,0)</f>
        <v/>
      </c>
      <c r="F419" s="47">
        <f>D419</f>
        <v/>
      </c>
      <c r="G419" s="47">
        <f>_xlfn.XLOOKUP(C419,SkillActive!$A:$A,SkillActive!E:E,,0)</f>
        <v/>
      </c>
      <c r="H419" s="47">
        <f>_xlfn.XLOOKUP(E419,SkillActive!B:B,SkillActive!K:K,,0)</f>
        <v/>
      </c>
    </row>
    <row r="420">
      <c r="A420" s="25">
        <f>C420*100+D420</f>
        <v/>
      </c>
      <c r="B420" s="42">
        <f>_xlfn.XLOOKUP(C420,SkillActive!$A:$A,SkillActive!C:C,,0)</f>
        <v/>
      </c>
      <c r="C420" s="25">
        <f>C404+1</f>
        <v/>
      </c>
      <c r="D420" s="25">
        <f>D404</f>
        <v/>
      </c>
      <c r="E420" s="25">
        <f t="array" ref="E420">_xlfn.XLOOKUP(C420,SkillActive!A:A,INDEX(SkillActive!A:AA,0,MATCH("name",SkillActive!$2:$2,0)),,0)</f>
        <v/>
      </c>
      <c r="F420" s="47">
        <f>D420</f>
        <v/>
      </c>
      <c r="G420" s="47">
        <f>_xlfn.XLOOKUP(C420,SkillActive!$A:$A,SkillActive!E:E,,0)</f>
        <v/>
      </c>
      <c r="H420" s="47">
        <f>_xlfn.XLOOKUP(E420,SkillActive!B:B,SkillActive!K:K,,0)</f>
        <v/>
      </c>
    </row>
    <row r="421">
      <c r="A421" s="25">
        <f>C421*100+D421</f>
        <v/>
      </c>
      <c r="B421" s="42">
        <f>_xlfn.XLOOKUP(C421,SkillActive!$A:$A,SkillActive!C:C,,0)</f>
        <v/>
      </c>
      <c r="C421" s="25">
        <f>C405+1</f>
        <v/>
      </c>
      <c r="D421" s="25">
        <f>D405</f>
        <v/>
      </c>
      <c r="E421" s="25">
        <f t="array" ref="E421">_xlfn.XLOOKUP(C421,SkillActive!A:A,INDEX(SkillActive!A:AA,0,MATCH("name",SkillActive!$2:$2,0)),,0)</f>
        <v/>
      </c>
      <c r="F421" s="47">
        <f>D421</f>
        <v/>
      </c>
      <c r="G421" s="47">
        <f>_xlfn.XLOOKUP(C421,SkillActive!$A:$A,SkillActive!E:E,,0)</f>
        <v/>
      </c>
      <c r="H421" s="47">
        <f>_xlfn.XLOOKUP(E421,SkillActive!B:B,SkillActive!K:K,,0)</f>
        <v/>
      </c>
    </row>
    <row r="422">
      <c r="A422" s="25">
        <f>C422*100+D422</f>
        <v/>
      </c>
      <c r="B422" s="42">
        <f>_xlfn.XLOOKUP(C422,SkillActive!$A:$A,SkillActive!C:C,,0)</f>
        <v/>
      </c>
      <c r="C422" s="25">
        <f>C406+1</f>
        <v/>
      </c>
      <c r="D422" s="25">
        <f>D406</f>
        <v/>
      </c>
      <c r="E422" s="25">
        <f t="array" ref="E422">_xlfn.XLOOKUP(C422,SkillActive!A:A,INDEX(SkillActive!A:AA,0,MATCH("name",SkillActive!$2:$2,0)),,0)</f>
        <v/>
      </c>
      <c r="F422" s="47">
        <f>D422</f>
        <v/>
      </c>
      <c r="G422" s="47">
        <f>_xlfn.XLOOKUP(C422,SkillActive!$A:$A,SkillActive!E:E,,0)</f>
        <v/>
      </c>
      <c r="H422" s="47">
        <f>_xlfn.XLOOKUP(E422,SkillActive!B:B,SkillActive!K:K,,0)</f>
        <v/>
      </c>
    </row>
    <row r="423">
      <c r="A423" s="25">
        <f>C423*100+D423</f>
        <v/>
      </c>
      <c r="B423" s="42">
        <f>_xlfn.XLOOKUP(C423,SkillActive!$A:$A,SkillActive!C:C,,0)</f>
        <v/>
      </c>
      <c r="C423" s="25">
        <f>C407+1</f>
        <v/>
      </c>
      <c r="D423" s="25">
        <f>D407</f>
        <v/>
      </c>
      <c r="E423" s="25">
        <f t="array" ref="E423">_xlfn.XLOOKUP(C423,SkillActive!A:A,INDEX(SkillActive!A:AA,0,MATCH("name",SkillActive!$2:$2,0)),,0)</f>
        <v/>
      </c>
      <c r="F423" s="47">
        <f>D423</f>
        <v/>
      </c>
      <c r="G423" s="47">
        <f>_xlfn.XLOOKUP(C423,SkillActive!$A:$A,SkillActive!E:E,,0)</f>
        <v/>
      </c>
      <c r="H423" s="47">
        <f>_xlfn.XLOOKUP(E423,SkillActive!B:B,SkillActive!K:K,,0)</f>
        <v/>
      </c>
    </row>
    <row r="424">
      <c r="A424" s="25">
        <f>C424*100+D424</f>
        <v/>
      </c>
      <c r="B424" s="42">
        <f>_xlfn.XLOOKUP(C424,SkillActive!$A:$A,SkillActive!C:C,,0)</f>
        <v/>
      </c>
      <c r="C424" s="25">
        <f>C408+1</f>
        <v/>
      </c>
      <c r="D424" s="25">
        <f>D408</f>
        <v/>
      </c>
      <c r="E424" s="25">
        <f t="array" ref="E424">_xlfn.XLOOKUP(C424,SkillActive!A:A,INDEX(SkillActive!A:AA,0,MATCH("name",SkillActive!$2:$2,0)),,0)</f>
        <v/>
      </c>
      <c r="F424" s="47">
        <f>D424</f>
        <v/>
      </c>
      <c r="G424" s="47">
        <f>_xlfn.XLOOKUP(C424,SkillActive!$A:$A,SkillActive!E:E,,0)</f>
        <v/>
      </c>
      <c r="H424" s="47">
        <f>_xlfn.XLOOKUP(E424,SkillActive!B:B,SkillActive!K:K,,0)</f>
        <v/>
      </c>
    </row>
    <row r="425">
      <c r="A425" s="25">
        <f>C425*100+D425</f>
        <v/>
      </c>
      <c r="B425" s="42">
        <f>_xlfn.XLOOKUP(C425,SkillActive!$A:$A,SkillActive!C:C,,0)</f>
        <v/>
      </c>
      <c r="C425" s="25">
        <f>C409+1</f>
        <v/>
      </c>
      <c r="D425" s="25">
        <f>D409</f>
        <v/>
      </c>
      <c r="E425" s="25">
        <f t="array" ref="E425">_xlfn.XLOOKUP(C425,SkillActive!A:A,INDEX(SkillActive!A:AA,0,MATCH("name",SkillActive!$2:$2,0)),,0)</f>
        <v/>
      </c>
      <c r="F425" s="47">
        <f>D425</f>
        <v/>
      </c>
      <c r="G425" s="47">
        <f>_xlfn.XLOOKUP(C425,SkillActive!$A:$A,SkillActive!E:E,,0)</f>
        <v/>
      </c>
      <c r="H425" s="47">
        <f>_xlfn.XLOOKUP(E425,SkillActive!B:B,SkillActive!K:K,,0)</f>
        <v/>
      </c>
    </row>
    <row r="426">
      <c r="A426" s="25">
        <f>C426*100+D426</f>
        <v/>
      </c>
      <c r="B426" s="42">
        <f>_xlfn.XLOOKUP(C426,SkillActive!$A:$A,SkillActive!C:C,,0)</f>
        <v/>
      </c>
      <c r="C426" s="25">
        <f>C410+1</f>
        <v/>
      </c>
      <c r="D426" s="25">
        <f>D410</f>
        <v/>
      </c>
      <c r="E426" s="25">
        <f t="array" ref="E426">_xlfn.XLOOKUP(C426,SkillActive!A:A,INDEX(SkillActive!A:AA,0,MATCH("name",SkillActive!$2:$2,0)),,0)</f>
        <v/>
      </c>
      <c r="F426" s="47">
        <f>D426</f>
        <v/>
      </c>
      <c r="G426" s="47">
        <f>_xlfn.XLOOKUP(C426,SkillActive!$A:$A,SkillActive!E:E,,0)</f>
        <v/>
      </c>
      <c r="H426" s="47">
        <f>_xlfn.XLOOKUP(E426,SkillActive!B:B,SkillActive!K:K,,0)</f>
        <v/>
      </c>
    </row>
    <row r="427">
      <c r="A427" s="25">
        <f>C427*100+D427</f>
        <v/>
      </c>
      <c r="B427" s="42">
        <f>_xlfn.XLOOKUP(C427,SkillActive!$A:$A,SkillActive!C:C,,0)</f>
        <v/>
      </c>
      <c r="C427" s="25">
        <f>C411+1</f>
        <v/>
      </c>
      <c r="D427" s="25">
        <f>D411</f>
        <v/>
      </c>
      <c r="E427" s="25">
        <f t="array" ref="E427">_xlfn.XLOOKUP(C427,SkillActive!A:A,INDEX(SkillActive!A:AA,0,MATCH("name",SkillActive!$2:$2,0)),,0)</f>
        <v/>
      </c>
      <c r="F427" s="47">
        <f>D427</f>
        <v/>
      </c>
      <c r="G427" s="47">
        <f>_xlfn.XLOOKUP(C427,SkillActive!$A:$A,SkillActive!E:E,,0)</f>
        <v/>
      </c>
      <c r="H427" s="47">
        <f>_xlfn.XLOOKUP(E427,SkillActive!B:B,SkillActive!K:K,,0)</f>
        <v/>
      </c>
    </row>
    <row r="428">
      <c r="A428" s="25">
        <f>C428*100+D428</f>
        <v/>
      </c>
      <c r="B428" s="42">
        <f>_xlfn.XLOOKUP(C428,SkillActive!$A:$A,SkillActive!C:C,,0)</f>
        <v/>
      </c>
      <c r="C428" s="25">
        <f>C412+1</f>
        <v/>
      </c>
      <c r="D428" s="25">
        <f>D412</f>
        <v/>
      </c>
      <c r="E428" s="25">
        <f t="array" ref="E428">_xlfn.XLOOKUP(C428,SkillActive!A:A,INDEX(SkillActive!A:AA,0,MATCH("name",SkillActive!$2:$2,0)),,0)</f>
        <v/>
      </c>
      <c r="F428" s="47">
        <f>D428</f>
        <v/>
      </c>
      <c r="G428" s="47">
        <f>_xlfn.XLOOKUP(C428,SkillActive!$A:$A,SkillActive!E:E,,0)</f>
        <v/>
      </c>
      <c r="H428" s="47">
        <f>_xlfn.XLOOKUP(E428,SkillActive!B:B,SkillActive!K:K,,0)</f>
        <v/>
      </c>
    </row>
    <row r="429">
      <c r="A429" s="25">
        <f>C429*100+D429</f>
        <v/>
      </c>
      <c r="B429" s="42">
        <f>_xlfn.XLOOKUP(C429,SkillActive!$A:$A,SkillActive!C:C,,0)</f>
        <v/>
      </c>
      <c r="C429" s="25">
        <f>C413+1</f>
        <v/>
      </c>
      <c r="D429" s="25">
        <f>D413</f>
        <v/>
      </c>
      <c r="E429" s="25">
        <f t="array" ref="E429">_xlfn.XLOOKUP(C429,SkillActive!A:A,INDEX(SkillActive!A:AA,0,MATCH("name",SkillActive!$2:$2,0)),,0)</f>
        <v/>
      </c>
      <c r="F429" s="47">
        <f>D429</f>
        <v/>
      </c>
      <c r="G429" s="47">
        <f>_xlfn.XLOOKUP(C429,SkillActive!$A:$A,SkillActive!E:E,,0)</f>
        <v/>
      </c>
      <c r="H429" s="47">
        <f>_xlfn.XLOOKUP(E429,SkillActive!B:B,SkillActive!K:K,,0)</f>
        <v/>
      </c>
    </row>
    <row r="430">
      <c r="A430" s="25">
        <f>C430*100+D430</f>
        <v/>
      </c>
      <c r="B430" s="42">
        <f>_xlfn.XLOOKUP(C430,SkillActive!$A:$A,SkillActive!C:C,,0)</f>
        <v/>
      </c>
      <c r="C430" s="25">
        <f>C414+1</f>
        <v/>
      </c>
      <c r="D430" s="25">
        <f>D414</f>
        <v/>
      </c>
      <c r="E430" s="25">
        <f t="array" ref="E430">_xlfn.XLOOKUP(C430,SkillActive!A:A,INDEX(SkillActive!A:AA,0,MATCH("name",SkillActive!$2:$2,0)),,0)</f>
        <v/>
      </c>
      <c r="F430" s="47">
        <f>D430</f>
        <v/>
      </c>
      <c r="G430" s="47">
        <f>_xlfn.XLOOKUP(C430,SkillActive!$A:$A,SkillActive!E:E,,0)</f>
        <v/>
      </c>
      <c r="H430" s="47">
        <f>_xlfn.XLOOKUP(E430,SkillActive!B:B,SkillActive!K:K,,0)</f>
        <v/>
      </c>
    </row>
    <row r="431">
      <c r="A431" s="25">
        <f>C431*100+D431</f>
        <v/>
      </c>
      <c r="B431" s="42">
        <f>_xlfn.XLOOKUP(C431,SkillActive!$A:$A,SkillActive!C:C,,0)</f>
        <v/>
      </c>
      <c r="C431" s="25">
        <f>C415+1</f>
        <v/>
      </c>
      <c r="D431" s="25">
        <f>D415</f>
        <v/>
      </c>
      <c r="E431" s="25">
        <f t="array" ref="E431">_xlfn.XLOOKUP(C431,SkillActive!A:A,INDEX(SkillActive!A:AA,0,MATCH("name",SkillActive!$2:$2,0)),,0)</f>
        <v/>
      </c>
      <c r="F431" s="47">
        <f>D431</f>
        <v/>
      </c>
      <c r="G431" s="47">
        <f>_xlfn.XLOOKUP(C431,SkillActive!$A:$A,SkillActive!E:E,,0)</f>
        <v/>
      </c>
      <c r="H431" s="47">
        <f>_xlfn.XLOOKUP(E431,SkillActive!B:B,SkillActive!K:K,,0)</f>
        <v/>
      </c>
    </row>
    <row r="432">
      <c r="A432" s="25">
        <f>C432*100+D432</f>
        <v/>
      </c>
      <c r="B432" s="42">
        <f>_xlfn.XLOOKUP(C432,SkillActive!$A:$A,SkillActive!C:C,,0)</f>
        <v/>
      </c>
      <c r="C432" s="25">
        <f>C416+1</f>
        <v/>
      </c>
      <c r="D432" s="25">
        <f>D416</f>
        <v/>
      </c>
      <c r="E432" s="25">
        <f t="array" ref="E432">_xlfn.XLOOKUP(C432,SkillActive!A:A,INDEX(SkillActive!A:AA,0,MATCH("name",SkillActive!$2:$2,0)),,0)</f>
        <v/>
      </c>
      <c r="F432" s="47">
        <f>D432</f>
        <v/>
      </c>
      <c r="G432" s="47">
        <f>_xlfn.XLOOKUP(C432,SkillActive!$A:$A,SkillActive!E:E,,0)</f>
        <v/>
      </c>
      <c r="H432" s="47">
        <f>_xlfn.XLOOKUP(E432,SkillActive!B:B,SkillActive!K:K,,0)</f>
        <v/>
      </c>
    </row>
    <row r="433">
      <c r="A433" s="25">
        <f>C433*100+D433</f>
        <v/>
      </c>
      <c r="B433" s="42">
        <f>_xlfn.XLOOKUP(C433,SkillActive!$A:$A,SkillActive!C:C,,0)</f>
        <v/>
      </c>
      <c r="C433" s="25">
        <f>C417+1</f>
        <v/>
      </c>
      <c r="D433" s="25">
        <f>D417</f>
        <v/>
      </c>
      <c r="E433" s="25">
        <f t="array" ref="E433">_xlfn.XLOOKUP(C433,SkillActive!A:A,INDEX(SkillActive!A:AA,0,MATCH("name",SkillActive!$2:$2,0)),,0)</f>
        <v/>
      </c>
      <c r="F433" s="47">
        <f>D433</f>
        <v/>
      </c>
      <c r="G433" s="47">
        <f>_xlfn.XLOOKUP(C433,SkillActive!$A:$A,SkillActive!E:E,,0)</f>
        <v/>
      </c>
      <c r="H433" s="47">
        <f>_xlfn.XLOOKUP(E433,SkillActive!B:B,SkillActive!K:K,,0)</f>
        <v/>
      </c>
    </row>
    <row r="434">
      <c r="A434" s="25">
        <f>C434*100+D434</f>
        <v/>
      </c>
      <c r="B434" s="42">
        <f>_xlfn.XLOOKUP(C434,SkillActive!$A:$A,SkillActive!C:C,,0)</f>
        <v/>
      </c>
      <c r="C434" s="25">
        <f>C418+1</f>
        <v/>
      </c>
      <c r="D434" s="25">
        <f>D418</f>
        <v/>
      </c>
      <c r="E434" s="25">
        <f t="array" ref="E434">_xlfn.XLOOKUP(C434,SkillActive!A:A,INDEX(SkillActive!A:AA,0,MATCH("name",SkillActive!$2:$2,0)),,0)</f>
        <v/>
      </c>
      <c r="F434" s="47">
        <f>D434</f>
        <v/>
      </c>
      <c r="G434" s="47">
        <f>_xlfn.XLOOKUP(C434,SkillActive!$A:$A,SkillActive!E:E,,0)</f>
        <v/>
      </c>
      <c r="H434" s="47">
        <f>_xlfn.XLOOKUP(E434,SkillActive!B:B,SkillActive!K:K,,0)</f>
        <v/>
      </c>
    </row>
    <row r="435">
      <c r="A435" s="25">
        <f>C435*100+D435</f>
        <v/>
      </c>
      <c r="B435" s="42">
        <f>_xlfn.XLOOKUP(C435,SkillActive!$A:$A,SkillActive!C:C,,0)</f>
        <v/>
      </c>
      <c r="C435" s="25">
        <f>C419+1</f>
        <v/>
      </c>
      <c r="D435" s="25">
        <f>D419</f>
        <v/>
      </c>
      <c r="E435" s="25">
        <f t="array" ref="E435">_xlfn.XLOOKUP(C435,SkillActive!A:A,INDEX(SkillActive!A:AA,0,MATCH("name",SkillActive!$2:$2,0)),,0)</f>
        <v/>
      </c>
      <c r="F435" s="47">
        <f>D435</f>
        <v/>
      </c>
      <c r="G435" s="47">
        <f>_xlfn.XLOOKUP(C435,SkillActive!$A:$A,SkillActive!E:E,,0)</f>
        <v/>
      </c>
      <c r="H435" s="47">
        <f>_xlfn.XLOOKUP(E435,SkillActive!B:B,SkillActive!K:K,,0)</f>
        <v/>
      </c>
    </row>
    <row r="436">
      <c r="A436" s="25">
        <f>C436*100+D436</f>
        <v/>
      </c>
      <c r="B436" s="42">
        <f>_xlfn.XLOOKUP(C436,SkillActive!$A:$A,SkillActive!C:C,,0)</f>
        <v/>
      </c>
      <c r="C436" s="25">
        <f>C420+1</f>
        <v/>
      </c>
      <c r="D436" s="25">
        <f>D420</f>
        <v/>
      </c>
      <c r="E436" s="25">
        <f t="array" ref="E436">_xlfn.XLOOKUP(C436,SkillActive!A:A,INDEX(SkillActive!A:AA,0,MATCH("name",SkillActive!$2:$2,0)),,0)</f>
        <v/>
      </c>
      <c r="F436" s="47">
        <f>D436</f>
        <v/>
      </c>
      <c r="G436" s="47">
        <f>_xlfn.XLOOKUP(C436,SkillActive!$A:$A,SkillActive!E:E,,0)</f>
        <v/>
      </c>
      <c r="H436" s="47">
        <f>_xlfn.XLOOKUP(E436,SkillActive!B:B,SkillActive!K:K,,0)</f>
        <v/>
      </c>
    </row>
    <row r="437">
      <c r="A437" s="25">
        <f>C437*100+D437</f>
        <v/>
      </c>
      <c r="B437" s="42">
        <f>_xlfn.XLOOKUP(C437,SkillActive!$A:$A,SkillActive!C:C,,0)</f>
        <v/>
      </c>
      <c r="C437" s="25">
        <f>C421+1</f>
        <v/>
      </c>
      <c r="D437" s="25">
        <f>D421</f>
        <v/>
      </c>
      <c r="E437" s="25">
        <f t="array" ref="E437">_xlfn.XLOOKUP(C437,SkillActive!A:A,INDEX(SkillActive!A:AA,0,MATCH("name",SkillActive!$2:$2,0)),,0)</f>
        <v/>
      </c>
      <c r="F437" s="47">
        <f>D437</f>
        <v/>
      </c>
      <c r="G437" s="47">
        <f>_xlfn.XLOOKUP(C437,SkillActive!$A:$A,SkillActive!E:E,,0)</f>
        <v/>
      </c>
      <c r="H437" s="47">
        <f>_xlfn.XLOOKUP(E437,SkillActive!B:B,SkillActive!K:K,,0)</f>
        <v/>
      </c>
    </row>
    <row r="438">
      <c r="A438" s="25">
        <f>C438*100+D438</f>
        <v/>
      </c>
      <c r="B438" s="42">
        <f>_xlfn.XLOOKUP(C438,SkillActive!$A:$A,SkillActive!C:C,,0)</f>
        <v/>
      </c>
      <c r="C438" s="25">
        <f>C422+1</f>
        <v/>
      </c>
      <c r="D438" s="25">
        <f>D422</f>
        <v/>
      </c>
      <c r="E438" s="25">
        <f t="array" ref="E438">_xlfn.XLOOKUP(C438,SkillActive!A:A,INDEX(SkillActive!A:AA,0,MATCH("name",SkillActive!$2:$2,0)),,0)</f>
        <v/>
      </c>
      <c r="F438" s="47">
        <f>D438</f>
        <v/>
      </c>
      <c r="G438" s="47">
        <f>_xlfn.XLOOKUP(C438,SkillActive!$A:$A,SkillActive!E:E,,0)</f>
        <v/>
      </c>
      <c r="H438" s="47">
        <f>_xlfn.XLOOKUP(E438,SkillActive!B:B,SkillActive!K:K,,0)</f>
        <v/>
      </c>
    </row>
    <row r="439">
      <c r="A439" s="25">
        <f>C439*100+D439</f>
        <v/>
      </c>
      <c r="B439" s="42">
        <f>_xlfn.XLOOKUP(C439,SkillActive!$A:$A,SkillActive!C:C,,0)</f>
        <v/>
      </c>
      <c r="C439" s="25">
        <f>C423+1</f>
        <v/>
      </c>
      <c r="D439" s="25">
        <f>D423</f>
        <v/>
      </c>
      <c r="E439" s="25">
        <f t="array" ref="E439">_xlfn.XLOOKUP(C439,SkillActive!A:A,INDEX(SkillActive!A:AA,0,MATCH("name",SkillActive!$2:$2,0)),,0)</f>
        <v/>
      </c>
      <c r="F439" s="47">
        <f>D439</f>
        <v/>
      </c>
      <c r="G439" s="47">
        <f>_xlfn.XLOOKUP(C439,SkillActive!$A:$A,SkillActive!E:E,,0)</f>
        <v/>
      </c>
      <c r="H439" s="47">
        <f>_xlfn.XLOOKUP(E439,SkillActive!B:B,SkillActive!K:K,,0)</f>
        <v/>
      </c>
    </row>
    <row r="440">
      <c r="A440" s="25">
        <f>C440*100+D440</f>
        <v/>
      </c>
      <c r="B440" s="42">
        <f>_xlfn.XLOOKUP(C440,SkillActive!$A:$A,SkillActive!C:C,,0)</f>
        <v/>
      </c>
      <c r="C440" s="25">
        <f>C424+1</f>
        <v/>
      </c>
      <c r="D440" s="25">
        <f>D424</f>
        <v/>
      </c>
      <c r="E440" s="25">
        <f t="array" ref="E440">_xlfn.XLOOKUP(C440,SkillActive!A:A,INDEX(SkillActive!A:AA,0,MATCH("name",SkillActive!$2:$2,0)),,0)</f>
        <v/>
      </c>
      <c r="F440" s="47">
        <f>D440</f>
        <v/>
      </c>
      <c r="G440" s="47">
        <f>_xlfn.XLOOKUP(C440,SkillActive!$A:$A,SkillActive!E:E,,0)</f>
        <v/>
      </c>
      <c r="H440" s="47">
        <f>_xlfn.XLOOKUP(E440,SkillActive!B:B,SkillActive!K:K,,0)</f>
        <v/>
      </c>
    </row>
    <row r="441">
      <c r="A441" s="25">
        <f>C441*100+D441</f>
        <v/>
      </c>
      <c r="B441" s="42">
        <f>_xlfn.XLOOKUP(C441,SkillActive!$A:$A,SkillActive!C:C,,0)</f>
        <v/>
      </c>
      <c r="C441" s="25">
        <f>C425+1</f>
        <v/>
      </c>
      <c r="D441" s="25">
        <f>D425</f>
        <v/>
      </c>
      <c r="E441" s="25">
        <f t="array" ref="E441">_xlfn.XLOOKUP(C441,SkillActive!A:A,INDEX(SkillActive!A:AA,0,MATCH("name",SkillActive!$2:$2,0)),,0)</f>
        <v/>
      </c>
      <c r="F441" s="47">
        <f>D441</f>
        <v/>
      </c>
      <c r="G441" s="47">
        <f>_xlfn.XLOOKUP(C441,SkillActive!$A:$A,SkillActive!E:E,,0)</f>
        <v/>
      </c>
      <c r="H441" s="47">
        <f>_xlfn.XLOOKUP(E441,SkillActive!B:B,SkillActive!K:K,,0)</f>
        <v/>
      </c>
    </row>
    <row r="442">
      <c r="A442" s="25">
        <f>C442*100+D442</f>
        <v/>
      </c>
      <c r="B442" s="42">
        <f>_xlfn.XLOOKUP(C442,SkillActive!$A:$A,SkillActive!C:C,,0)</f>
        <v/>
      </c>
      <c r="C442" s="25">
        <f>C426+1</f>
        <v/>
      </c>
      <c r="D442" s="25">
        <f>D426</f>
        <v/>
      </c>
      <c r="E442" s="25">
        <f t="array" ref="E442">_xlfn.XLOOKUP(C442,SkillActive!A:A,INDEX(SkillActive!A:AA,0,MATCH("name",SkillActive!$2:$2,0)),,0)</f>
        <v/>
      </c>
      <c r="F442" s="47">
        <f>D442</f>
        <v/>
      </c>
      <c r="G442" s="47">
        <f>_xlfn.XLOOKUP(C442,SkillActive!$A:$A,SkillActive!E:E,,0)</f>
        <v/>
      </c>
      <c r="H442" s="47">
        <f>_xlfn.XLOOKUP(E442,SkillActive!B:B,SkillActive!K:K,,0)</f>
        <v/>
      </c>
    </row>
    <row r="443">
      <c r="A443" s="25">
        <f>C443*100+D443</f>
        <v/>
      </c>
      <c r="B443" s="42">
        <f>_xlfn.XLOOKUP(C443,SkillActive!$A:$A,SkillActive!C:C,,0)</f>
        <v/>
      </c>
      <c r="C443" s="25">
        <f>C427+1</f>
        <v/>
      </c>
      <c r="D443" s="25">
        <f>D427</f>
        <v/>
      </c>
      <c r="E443" s="25">
        <f t="array" ref="E443">_xlfn.XLOOKUP(C443,SkillActive!A:A,INDEX(SkillActive!A:AA,0,MATCH("name",SkillActive!$2:$2,0)),,0)</f>
        <v/>
      </c>
      <c r="F443" s="47">
        <f>D443</f>
        <v/>
      </c>
      <c r="G443" s="47">
        <f>_xlfn.XLOOKUP(C443,SkillActive!$A:$A,SkillActive!E:E,,0)</f>
        <v/>
      </c>
      <c r="H443" s="47">
        <f>_xlfn.XLOOKUP(E443,SkillActive!B:B,SkillActive!K:K,,0)</f>
        <v/>
      </c>
    </row>
    <row r="444">
      <c r="A444" s="25">
        <f>C444*100+D444</f>
        <v/>
      </c>
      <c r="B444" s="42">
        <f>_xlfn.XLOOKUP(C444,SkillActive!$A:$A,SkillActive!C:C,,0)</f>
        <v/>
      </c>
      <c r="C444" s="25">
        <f>C428+1</f>
        <v/>
      </c>
      <c r="D444" s="25">
        <f>D428</f>
        <v/>
      </c>
      <c r="E444" s="25">
        <f t="array" ref="E444">_xlfn.XLOOKUP(C444,SkillActive!A:A,INDEX(SkillActive!A:AA,0,MATCH("name",SkillActive!$2:$2,0)),,0)</f>
        <v/>
      </c>
      <c r="F444" s="47">
        <f>D444</f>
        <v/>
      </c>
      <c r="G444" s="47">
        <f>_xlfn.XLOOKUP(C444,SkillActive!$A:$A,SkillActive!E:E,,0)</f>
        <v/>
      </c>
      <c r="H444" s="47">
        <f>_xlfn.XLOOKUP(E444,SkillActive!B:B,SkillActive!K:K,,0)</f>
        <v/>
      </c>
    </row>
    <row r="445">
      <c r="A445" s="25">
        <f>C445*100+D445</f>
        <v/>
      </c>
      <c r="B445" s="42">
        <f>_xlfn.XLOOKUP(C445,SkillActive!$A:$A,SkillActive!C:C,,0)</f>
        <v/>
      </c>
      <c r="C445" s="25">
        <f>C429+1</f>
        <v/>
      </c>
      <c r="D445" s="25">
        <f>D429</f>
        <v/>
      </c>
      <c r="E445" s="25">
        <f t="array" ref="E445">_xlfn.XLOOKUP(C445,SkillActive!A:A,INDEX(SkillActive!A:AA,0,MATCH("name",SkillActive!$2:$2,0)),,0)</f>
        <v/>
      </c>
      <c r="F445" s="47">
        <f>D445</f>
        <v/>
      </c>
      <c r="G445" s="47">
        <f>_xlfn.XLOOKUP(C445,SkillActive!$A:$A,SkillActive!E:E,,0)</f>
        <v/>
      </c>
      <c r="H445" s="47">
        <f>_xlfn.XLOOKUP(E445,SkillActive!B:B,SkillActive!K:K,,0)</f>
        <v/>
      </c>
    </row>
    <row r="446">
      <c r="A446" s="25">
        <f>C446*100+D446</f>
        <v/>
      </c>
      <c r="B446" s="42">
        <f>_xlfn.XLOOKUP(C446,SkillActive!$A:$A,SkillActive!C:C,,0)</f>
        <v/>
      </c>
      <c r="C446" s="25">
        <f>C430+1</f>
        <v/>
      </c>
      <c r="D446" s="25">
        <f>D430</f>
        <v/>
      </c>
      <c r="E446" s="25">
        <f t="array" ref="E446">_xlfn.XLOOKUP(C446,SkillActive!A:A,INDEX(SkillActive!A:AA,0,MATCH("name",SkillActive!$2:$2,0)),,0)</f>
        <v/>
      </c>
      <c r="F446" s="47">
        <f>D446</f>
        <v/>
      </c>
      <c r="G446" s="47">
        <f>_xlfn.XLOOKUP(C446,SkillActive!$A:$A,SkillActive!E:E,,0)</f>
        <v/>
      </c>
      <c r="H446" s="47">
        <f>_xlfn.XLOOKUP(E446,SkillActive!B:B,SkillActive!K:K,,0)</f>
        <v/>
      </c>
    </row>
    <row r="447">
      <c r="A447" s="25">
        <f>C447*100+D447</f>
        <v/>
      </c>
      <c r="B447" s="42">
        <f>_xlfn.XLOOKUP(C447,SkillActive!$A:$A,SkillActive!C:C,,0)</f>
        <v/>
      </c>
      <c r="C447" s="25">
        <f>C431+1</f>
        <v/>
      </c>
      <c r="D447" s="25">
        <f>D431</f>
        <v/>
      </c>
      <c r="E447" s="25">
        <f t="array" ref="E447">_xlfn.XLOOKUP(C447,SkillActive!A:A,INDEX(SkillActive!A:AA,0,MATCH("name",SkillActive!$2:$2,0)),,0)</f>
        <v/>
      </c>
      <c r="F447" s="47">
        <f>D447</f>
        <v/>
      </c>
      <c r="G447" s="47">
        <f>_xlfn.XLOOKUP(C447,SkillActive!$A:$A,SkillActive!E:E,,0)</f>
        <v/>
      </c>
      <c r="H447" s="47">
        <f>_xlfn.XLOOKUP(E447,SkillActive!B:B,SkillActive!K:K,,0)</f>
        <v/>
      </c>
    </row>
    <row r="448">
      <c r="A448" s="25">
        <f>C448*100+D448</f>
        <v/>
      </c>
      <c r="B448" s="42">
        <f>_xlfn.XLOOKUP(C448,SkillActive!$A:$A,SkillActive!C:C,,0)</f>
        <v/>
      </c>
      <c r="C448" s="25">
        <f>C432+1</f>
        <v/>
      </c>
      <c r="D448" s="25">
        <f>D432</f>
        <v/>
      </c>
      <c r="E448" s="25">
        <f t="array" ref="E448">_xlfn.XLOOKUP(C448,SkillActive!A:A,INDEX(SkillActive!A:AA,0,MATCH("name",SkillActive!$2:$2,0)),,0)</f>
        <v/>
      </c>
      <c r="F448" s="47">
        <f>D448</f>
        <v/>
      </c>
      <c r="G448" s="47">
        <f>_xlfn.XLOOKUP(C448,SkillActive!$A:$A,SkillActive!E:E,,0)</f>
        <v/>
      </c>
      <c r="H448" s="47">
        <f>_xlfn.XLOOKUP(E448,SkillActive!B:B,SkillActive!K:K,,0)</f>
        <v/>
      </c>
    </row>
    <row r="449">
      <c r="A449" s="25">
        <f>C449*100+D449</f>
        <v/>
      </c>
      <c r="B449" s="42">
        <f>_xlfn.XLOOKUP(C449,SkillActive!$A:$A,SkillActive!C:C,,0)</f>
        <v/>
      </c>
      <c r="C449" s="25">
        <f>C433+1</f>
        <v/>
      </c>
      <c r="D449" s="25">
        <f>D433</f>
        <v/>
      </c>
      <c r="E449" s="25">
        <f t="array" ref="E449">_xlfn.XLOOKUP(C449,SkillActive!A:A,INDEX(SkillActive!A:AA,0,MATCH("name",SkillActive!$2:$2,0)),,0)</f>
        <v/>
      </c>
      <c r="F449" s="47">
        <f>D449</f>
        <v/>
      </c>
      <c r="G449" s="47">
        <f>_xlfn.XLOOKUP(C449,SkillActive!$A:$A,SkillActive!E:E,,0)</f>
        <v/>
      </c>
      <c r="H449" s="47">
        <f>_xlfn.XLOOKUP(E449,SkillActive!B:B,SkillActive!K:K,,0)</f>
        <v/>
      </c>
    </row>
    <row r="450">
      <c r="A450" s="25">
        <f>C450*100+D450</f>
        <v/>
      </c>
      <c r="B450" s="42">
        <f>_xlfn.XLOOKUP(C450,SkillActive!$A:$A,SkillActive!C:C,,0)</f>
        <v/>
      </c>
      <c r="C450" s="25">
        <f>C434+1</f>
        <v/>
      </c>
      <c r="D450" s="25">
        <f>D434</f>
        <v/>
      </c>
      <c r="E450" s="25">
        <f t="array" ref="E450">_xlfn.XLOOKUP(C450,SkillActive!A:A,INDEX(SkillActive!A:AA,0,MATCH("name",SkillActive!$2:$2,0)),,0)</f>
        <v/>
      </c>
      <c r="F450" s="47">
        <f>D450</f>
        <v/>
      </c>
      <c r="G450" s="47">
        <f>_xlfn.XLOOKUP(C450,SkillActive!$A:$A,SkillActive!E:E,,0)</f>
        <v/>
      </c>
      <c r="H450" s="47">
        <f>_xlfn.XLOOKUP(E450,SkillActive!B:B,SkillActive!K:K,,0)</f>
        <v/>
      </c>
    </row>
    <row r="451">
      <c r="A451" s="25">
        <f>C451*100+D451</f>
        <v/>
      </c>
      <c r="B451" s="42">
        <f>_xlfn.XLOOKUP(C451,SkillActive!$A:$A,SkillActive!C:C,,0)</f>
        <v/>
      </c>
      <c r="C451" s="25">
        <f>C435+1</f>
        <v/>
      </c>
      <c r="D451" s="25">
        <f>D435</f>
        <v/>
      </c>
      <c r="E451" s="25">
        <f t="array" ref="E451">_xlfn.XLOOKUP(C451,SkillActive!A:A,INDEX(SkillActive!A:AA,0,MATCH("name",SkillActive!$2:$2,0)),,0)</f>
        <v/>
      </c>
      <c r="F451" s="47">
        <f>D451</f>
        <v/>
      </c>
      <c r="G451" s="47">
        <f>_xlfn.XLOOKUP(C451,SkillActive!$A:$A,SkillActive!E:E,,0)</f>
        <v/>
      </c>
      <c r="H451" s="47">
        <f>_xlfn.XLOOKUP(E451,SkillActive!B:B,SkillActive!K:K,,0)</f>
        <v/>
      </c>
    </row>
    <row r="452">
      <c r="A452" s="25">
        <f>C452*100+D452</f>
        <v/>
      </c>
      <c r="B452" s="42">
        <f>_xlfn.XLOOKUP(C452,SkillActive!$A:$A,SkillActive!C:C,,0)</f>
        <v/>
      </c>
      <c r="C452" s="25">
        <f>C436+1</f>
        <v/>
      </c>
      <c r="D452" s="25">
        <f>D436</f>
        <v/>
      </c>
      <c r="E452" s="25">
        <f t="array" ref="E452">_xlfn.XLOOKUP(C452,SkillActive!A:A,INDEX(SkillActive!A:AA,0,MATCH("name",SkillActive!$2:$2,0)),,0)</f>
        <v/>
      </c>
      <c r="F452" s="47">
        <f>D452</f>
        <v/>
      </c>
      <c r="G452" s="47">
        <f>_xlfn.XLOOKUP(C452,SkillActive!$A:$A,SkillActive!E:E,,0)</f>
        <v/>
      </c>
      <c r="H452" s="47">
        <f>_xlfn.XLOOKUP(E452,SkillActive!B:B,SkillActive!K:K,,0)</f>
        <v/>
      </c>
    </row>
    <row r="453">
      <c r="A453" s="25">
        <f>C453*100+D453</f>
        <v/>
      </c>
      <c r="B453" s="42">
        <f>_xlfn.XLOOKUP(C453,SkillActive!$A:$A,SkillActive!C:C,,0)</f>
        <v/>
      </c>
      <c r="C453" s="25">
        <f>C437+1</f>
        <v/>
      </c>
      <c r="D453" s="25">
        <f>D437</f>
        <v/>
      </c>
      <c r="E453" s="25">
        <f t="array" ref="E453">_xlfn.XLOOKUP(C453,SkillActive!A:A,INDEX(SkillActive!A:AA,0,MATCH("name",SkillActive!$2:$2,0)),,0)</f>
        <v/>
      </c>
      <c r="F453" s="47">
        <f>D453</f>
        <v/>
      </c>
      <c r="G453" s="47">
        <f>_xlfn.XLOOKUP(C453,SkillActive!$A:$A,SkillActive!E:E,,0)</f>
        <v/>
      </c>
      <c r="H453" s="47">
        <f>_xlfn.XLOOKUP(E453,SkillActive!B:B,SkillActive!K:K,,0)</f>
        <v/>
      </c>
    </row>
    <row r="454">
      <c r="A454" s="25">
        <f>C454*100+D454</f>
        <v/>
      </c>
      <c r="B454" s="42">
        <f>_xlfn.XLOOKUP(C454,SkillActive!$A:$A,SkillActive!C:C,,0)</f>
        <v/>
      </c>
      <c r="C454" s="25">
        <f>C438+1</f>
        <v/>
      </c>
      <c r="D454" s="25">
        <f>D438</f>
        <v/>
      </c>
      <c r="E454" s="25">
        <f t="array" ref="E454">_xlfn.XLOOKUP(C454,SkillActive!A:A,INDEX(SkillActive!A:AA,0,MATCH("name",SkillActive!$2:$2,0)),,0)</f>
        <v/>
      </c>
      <c r="F454" s="47">
        <f>D454</f>
        <v/>
      </c>
      <c r="G454" s="47">
        <f>_xlfn.XLOOKUP(C454,SkillActive!$A:$A,SkillActive!E:E,,0)</f>
        <v/>
      </c>
      <c r="H454" s="47">
        <f>_xlfn.XLOOKUP(E454,SkillActive!B:B,SkillActive!K:K,,0)</f>
        <v/>
      </c>
    </row>
    <row r="455">
      <c r="A455" s="25">
        <f>C455*100+D455</f>
        <v/>
      </c>
      <c r="B455" s="42">
        <f>_xlfn.XLOOKUP(C455,SkillActive!$A:$A,SkillActive!C:C,,0)</f>
        <v/>
      </c>
      <c r="C455" s="25">
        <f>C439+1</f>
        <v/>
      </c>
      <c r="D455" s="25">
        <f>D439</f>
        <v/>
      </c>
      <c r="E455" s="25">
        <f t="array" ref="E455">_xlfn.XLOOKUP(C455,SkillActive!A:A,INDEX(SkillActive!A:AA,0,MATCH("name",SkillActive!$2:$2,0)),,0)</f>
        <v/>
      </c>
      <c r="F455" s="47">
        <f>D455</f>
        <v/>
      </c>
      <c r="G455" s="47">
        <f>_xlfn.XLOOKUP(C455,SkillActive!$A:$A,SkillActive!E:E,,0)</f>
        <v/>
      </c>
      <c r="H455" s="47">
        <f>_xlfn.XLOOKUP(E455,SkillActive!B:B,SkillActive!K:K,,0)</f>
        <v/>
      </c>
    </row>
    <row r="456">
      <c r="A456" s="25">
        <f>C456*100+D456</f>
        <v/>
      </c>
      <c r="B456" s="42">
        <f>_xlfn.XLOOKUP(C456,SkillActive!$A:$A,SkillActive!C:C,,0)</f>
        <v/>
      </c>
      <c r="C456" s="25">
        <f>C440+1</f>
        <v/>
      </c>
      <c r="D456" s="25">
        <f>D440</f>
        <v/>
      </c>
      <c r="E456" s="25">
        <f t="array" ref="E456">_xlfn.XLOOKUP(C456,SkillActive!A:A,INDEX(SkillActive!A:AA,0,MATCH("name",SkillActive!$2:$2,0)),,0)</f>
        <v/>
      </c>
      <c r="F456" s="47">
        <f>D456</f>
        <v/>
      </c>
      <c r="G456" s="47">
        <f>_xlfn.XLOOKUP(C456,SkillActive!$A:$A,SkillActive!E:E,,0)</f>
        <v/>
      </c>
      <c r="H456" s="47">
        <f>_xlfn.XLOOKUP(E456,SkillActive!B:B,SkillActive!K:K,,0)</f>
        <v/>
      </c>
    </row>
    <row r="457">
      <c r="A457" s="25">
        <f>C457*100+D457</f>
        <v/>
      </c>
      <c r="B457" s="42">
        <f>_xlfn.XLOOKUP(C457,SkillActive!$A:$A,SkillActive!C:C,,0)</f>
        <v/>
      </c>
      <c r="C457" s="25">
        <f>C441+1</f>
        <v/>
      </c>
      <c r="D457" s="25">
        <f>D441</f>
        <v/>
      </c>
      <c r="E457" s="25">
        <f t="array" ref="E457">_xlfn.XLOOKUP(C457,SkillActive!A:A,INDEX(SkillActive!A:AA,0,MATCH("name",SkillActive!$2:$2,0)),,0)</f>
        <v/>
      </c>
      <c r="F457" s="47">
        <f>D457</f>
        <v/>
      </c>
      <c r="G457" s="47">
        <f>_xlfn.XLOOKUP(C457,SkillActive!$A:$A,SkillActive!E:E,,0)</f>
        <v/>
      </c>
      <c r="H457" s="47">
        <f>_xlfn.XLOOKUP(E457,SkillActive!B:B,SkillActive!K:K,,0)</f>
        <v/>
      </c>
    </row>
    <row r="458">
      <c r="A458" s="25">
        <f>C458*100+D458</f>
        <v/>
      </c>
      <c r="B458" s="42">
        <f>_xlfn.XLOOKUP(C458,SkillActive!$A:$A,SkillActive!C:C,,0)</f>
        <v/>
      </c>
      <c r="C458" s="25">
        <f>C442+1</f>
        <v/>
      </c>
      <c r="D458" s="25">
        <f>D442</f>
        <v/>
      </c>
      <c r="E458" s="25">
        <f t="array" ref="E458">_xlfn.XLOOKUP(C458,SkillActive!A:A,INDEX(SkillActive!A:AA,0,MATCH("name",SkillActive!$2:$2,0)),,0)</f>
        <v/>
      </c>
      <c r="F458" s="47">
        <f>D458</f>
        <v/>
      </c>
      <c r="G458" s="47">
        <f>_xlfn.XLOOKUP(C458,SkillActive!$A:$A,SkillActive!E:E,,0)</f>
        <v/>
      </c>
      <c r="H458" s="47">
        <f>_xlfn.XLOOKUP(E458,SkillActive!B:B,SkillActive!K:K,,0)</f>
        <v/>
      </c>
    </row>
    <row r="459">
      <c r="A459" s="25">
        <f>C459*100+D459</f>
        <v/>
      </c>
      <c r="B459" s="42">
        <f>_xlfn.XLOOKUP(C459,SkillActive!$A:$A,SkillActive!C:C,,0)</f>
        <v/>
      </c>
      <c r="C459" s="25">
        <f>C443+1</f>
        <v/>
      </c>
      <c r="D459" s="25">
        <f>D443</f>
        <v/>
      </c>
      <c r="E459" s="25">
        <f t="array" ref="E459">_xlfn.XLOOKUP(C459,SkillActive!A:A,INDEX(SkillActive!A:AA,0,MATCH("name",SkillActive!$2:$2,0)),,0)</f>
        <v/>
      </c>
      <c r="F459" s="47">
        <f>D459</f>
        <v/>
      </c>
      <c r="G459" s="47">
        <f>_xlfn.XLOOKUP(C459,SkillActive!$A:$A,SkillActive!E:E,,0)</f>
        <v/>
      </c>
      <c r="H459" s="47">
        <f>_xlfn.XLOOKUP(E459,SkillActive!B:B,SkillActive!K:K,,0)</f>
        <v/>
      </c>
    </row>
    <row r="460">
      <c r="A460" s="25">
        <f>C460*100+D460</f>
        <v/>
      </c>
      <c r="B460" s="42">
        <f>_xlfn.XLOOKUP(C460,SkillActive!$A:$A,SkillActive!C:C,,0)</f>
        <v/>
      </c>
      <c r="C460" s="25">
        <f>C444+1</f>
        <v/>
      </c>
      <c r="D460" s="25">
        <f>D444</f>
        <v/>
      </c>
      <c r="E460" s="25">
        <f t="array" ref="E460">_xlfn.XLOOKUP(C460,SkillActive!A:A,INDEX(SkillActive!A:AA,0,MATCH("name",SkillActive!$2:$2,0)),,0)</f>
        <v/>
      </c>
      <c r="F460" s="47">
        <f>D460</f>
        <v/>
      </c>
      <c r="G460" s="47">
        <f>_xlfn.XLOOKUP(C460,SkillActive!$A:$A,SkillActive!E:E,,0)</f>
        <v/>
      </c>
      <c r="H460" s="47">
        <f>_xlfn.XLOOKUP(E460,SkillActive!B:B,SkillActive!K:K,,0)</f>
        <v/>
      </c>
    </row>
    <row r="461">
      <c r="A461" s="25">
        <f>C461*100+D461</f>
        <v/>
      </c>
      <c r="B461" s="42">
        <f>_xlfn.XLOOKUP(C461,SkillActive!$A:$A,SkillActive!C:C,,0)</f>
        <v/>
      </c>
      <c r="C461" s="25">
        <f>C445+1</f>
        <v/>
      </c>
      <c r="D461" s="25">
        <f>D445</f>
        <v/>
      </c>
      <c r="E461" s="25">
        <f t="array" ref="E461">_xlfn.XLOOKUP(C461,SkillActive!A:A,INDEX(SkillActive!A:AA,0,MATCH("name",SkillActive!$2:$2,0)),,0)</f>
        <v/>
      </c>
      <c r="F461" s="47">
        <f>D461</f>
        <v/>
      </c>
      <c r="G461" s="47">
        <f>_xlfn.XLOOKUP(C461,SkillActive!$A:$A,SkillActive!E:E,,0)</f>
        <v/>
      </c>
      <c r="H461" s="47">
        <f>_xlfn.XLOOKUP(E461,SkillActive!B:B,SkillActive!K:K,,0)</f>
        <v/>
      </c>
    </row>
    <row r="462">
      <c r="A462" s="25">
        <f>C462*100+D462</f>
        <v/>
      </c>
      <c r="B462" s="42">
        <f>_xlfn.XLOOKUP(C462,SkillActive!$A:$A,SkillActive!C:C,,0)</f>
        <v/>
      </c>
      <c r="C462" s="25">
        <f>C446+1</f>
        <v/>
      </c>
      <c r="D462" s="25">
        <f>D446</f>
        <v/>
      </c>
      <c r="E462" s="25">
        <f t="array" ref="E462">_xlfn.XLOOKUP(C462,SkillActive!A:A,INDEX(SkillActive!A:AA,0,MATCH("name",SkillActive!$2:$2,0)),,0)</f>
        <v/>
      </c>
      <c r="F462" s="47">
        <f>D462</f>
        <v/>
      </c>
      <c r="G462" s="47">
        <f>_xlfn.XLOOKUP(C462,SkillActive!$A:$A,SkillActive!E:E,,0)</f>
        <v/>
      </c>
      <c r="H462" s="47">
        <f>_xlfn.XLOOKUP(E462,SkillActive!B:B,SkillActive!K:K,,0)</f>
        <v/>
      </c>
    </row>
    <row r="463">
      <c r="A463" s="25">
        <f>C463*100+D463</f>
        <v/>
      </c>
      <c r="B463" s="42">
        <f>_xlfn.XLOOKUP(C463,SkillActive!$A:$A,SkillActive!C:C,,0)</f>
        <v/>
      </c>
      <c r="C463" s="25">
        <f>C447+1</f>
        <v/>
      </c>
      <c r="D463" s="25">
        <f>D447</f>
        <v/>
      </c>
      <c r="E463" s="25">
        <f t="array" ref="E463">_xlfn.XLOOKUP(C463,SkillActive!A:A,INDEX(SkillActive!A:AA,0,MATCH("name",SkillActive!$2:$2,0)),,0)</f>
        <v/>
      </c>
      <c r="F463" s="47">
        <f>D463</f>
        <v/>
      </c>
      <c r="G463" s="47">
        <f>_xlfn.XLOOKUP(C463,SkillActive!$A:$A,SkillActive!E:E,,0)</f>
        <v/>
      </c>
      <c r="H463" s="47">
        <f>_xlfn.XLOOKUP(E463,SkillActive!B:B,SkillActive!K:K,,0)</f>
        <v/>
      </c>
    </row>
    <row r="464">
      <c r="A464" s="25">
        <f>C464*100+D464</f>
        <v/>
      </c>
      <c r="B464" s="42">
        <f>_xlfn.XLOOKUP(C464,SkillActive!$A:$A,SkillActive!C:C,,0)</f>
        <v/>
      </c>
      <c r="C464" s="25">
        <f>C448+1</f>
        <v/>
      </c>
      <c r="D464" s="25">
        <f>D448</f>
        <v/>
      </c>
      <c r="E464" s="25">
        <f t="array" ref="E464">_xlfn.XLOOKUP(C464,SkillActive!A:A,INDEX(SkillActive!A:AA,0,MATCH("name",SkillActive!$2:$2,0)),,0)</f>
        <v/>
      </c>
      <c r="F464" s="47">
        <f>D464</f>
        <v/>
      </c>
      <c r="G464" s="47">
        <f>_xlfn.XLOOKUP(C464,SkillActive!$A:$A,SkillActive!E:E,,0)</f>
        <v/>
      </c>
      <c r="H464" s="47">
        <f>_xlfn.XLOOKUP(E464,SkillActive!B:B,SkillActive!K:K,,0)</f>
        <v/>
      </c>
    </row>
    <row r="465">
      <c r="A465" s="25">
        <f>C465*100+D465</f>
        <v/>
      </c>
      <c r="B465" s="42">
        <f>_xlfn.XLOOKUP(C465,SkillActive!$A:$A,SkillActive!C:C,,0)</f>
        <v/>
      </c>
      <c r="C465" s="25">
        <f>C449+1</f>
        <v/>
      </c>
      <c r="D465" s="25">
        <f>D449</f>
        <v/>
      </c>
      <c r="E465" s="25">
        <f t="array" ref="E465">_xlfn.XLOOKUP(C465,SkillActive!A:A,INDEX(SkillActive!A:AA,0,MATCH("name",SkillActive!$2:$2,0)),,0)</f>
        <v/>
      </c>
      <c r="F465" s="47">
        <f>D465</f>
        <v/>
      </c>
      <c r="G465" s="47">
        <f>_xlfn.XLOOKUP(C465,SkillActive!$A:$A,SkillActive!E:E,,0)</f>
        <v/>
      </c>
      <c r="H465" s="47">
        <f>_xlfn.XLOOKUP(E465,SkillActive!B:B,SkillActive!K:K,,0)</f>
        <v/>
      </c>
    </row>
    <row r="466">
      <c r="A466" s="25">
        <f>C466*100+D466</f>
        <v/>
      </c>
      <c r="B466" s="42">
        <f>_xlfn.XLOOKUP(C466,SkillActive!$A:$A,SkillActive!C:C,,0)</f>
        <v/>
      </c>
      <c r="C466" s="25">
        <f>C450+1</f>
        <v/>
      </c>
      <c r="D466" s="25">
        <f>D450</f>
        <v/>
      </c>
      <c r="E466" s="25">
        <f t="array" ref="E466">_xlfn.XLOOKUP(C466,SkillActive!A:A,INDEX(SkillActive!A:AA,0,MATCH("name",SkillActive!$2:$2,0)),,0)</f>
        <v/>
      </c>
      <c r="F466" s="47">
        <f>D466</f>
        <v/>
      </c>
      <c r="G466" s="47">
        <f>_xlfn.XLOOKUP(C466,SkillActive!$A:$A,SkillActive!E:E,,0)</f>
        <v/>
      </c>
      <c r="H466" s="47">
        <f>_xlfn.XLOOKUP(E466,SkillActive!B:B,SkillActive!K:K,,0)</f>
        <v/>
      </c>
    </row>
    <row r="467">
      <c r="A467" s="25">
        <f>C467*100+D467</f>
        <v/>
      </c>
      <c r="B467" s="42">
        <f>_xlfn.XLOOKUP(C467,SkillActive!$A:$A,SkillActive!C:C,,0)</f>
        <v/>
      </c>
      <c r="C467" s="25">
        <f>C451+1</f>
        <v/>
      </c>
      <c r="D467" s="25">
        <f>D451</f>
        <v/>
      </c>
      <c r="E467" s="25">
        <f t="array" ref="E467">_xlfn.XLOOKUP(C467,SkillActive!A:A,INDEX(SkillActive!A:AA,0,MATCH("name",SkillActive!$2:$2,0)),,0)</f>
        <v/>
      </c>
      <c r="F467" s="47">
        <f>D467</f>
        <v/>
      </c>
      <c r="G467" s="47">
        <f>_xlfn.XLOOKUP(C467,SkillActive!$A:$A,SkillActive!E:E,,0)</f>
        <v/>
      </c>
      <c r="H467" s="47">
        <f>_xlfn.XLOOKUP(E467,SkillActive!B:B,SkillActive!K:K,,0)</f>
        <v/>
      </c>
    </row>
    <row r="468">
      <c r="A468" s="25">
        <f>C468*100+D468</f>
        <v/>
      </c>
      <c r="B468" s="42">
        <f>_xlfn.XLOOKUP(C468,SkillActive!$A:$A,SkillActive!C:C,,0)</f>
        <v/>
      </c>
      <c r="C468" s="25">
        <f>C452+1</f>
        <v/>
      </c>
      <c r="D468" s="25">
        <f>D452</f>
        <v/>
      </c>
      <c r="E468" s="25">
        <f t="array" ref="E468">_xlfn.XLOOKUP(C468,SkillActive!A:A,INDEX(SkillActive!A:AA,0,MATCH("name",SkillActive!$2:$2,0)),,0)</f>
        <v/>
      </c>
      <c r="F468" s="47">
        <f>D468</f>
        <v/>
      </c>
      <c r="G468" s="47">
        <f>_xlfn.XLOOKUP(C468,SkillActive!$A:$A,SkillActive!E:E,,0)</f>
        <v/>
      </c>
      <c r="H468" s="47">
        <f>_xlfn.XLOOKUP(E468,SkillActive!B:B,SkillActive!K:K,,0)</f>
        <v/>
      </c>
    </row>
    <row r="469">
      <c r="A469" s="25">
        <f>C469*100+D469</f>
        <v/>
      </c>
      <c r="B469" s="42">
        <f>_xlfn.XLOOKUP(C469,SkillActive!$A:$A,SkillActive!C:C,,0)</f>
        <v/>
      </c>
      <c r="C469" s="25">
        <f>C453+1</f>
        <v/>
      </c>
      <c r="D469" s="25">
        <f>D453</f>
        <v/>
      </c>
      <c r="E469" s="25">
        <f t="array" ref="E469">_xlfn.XLOOKUP(C469,SkillActive!A:A,INDEX(SkillActive!A:AA,0,MATCH("name",SkillActive!$2:$2,0)),,0)</f>
        <v/>
      </c>
      <c r="F469" s="47">
        <f>D469</f>
        <v/>
      </c>
      <c r="G469" s="47">
        <f>_xlfn.XLOOKUP(C469,SkillActive!$A:$A,SkillActive!E:E,,0)</f>
        <v/>
      </c>
      <c r="H469" s="47">
        <f>_xlfn.XLOOKUP(E469,SkillActive!B:B,SkillActive!K:K,,0)</f>
        <v/>
      </c>
    </row>
    <row r="470">
      <c r="A470" s="25">
        <f>C470*100+D470</f>
        <v/>
      </c>
      <c r="B470" s="42">
        <f>_xlfn.XLOOKUP(C470,SkillActive!$A:$A,SkillActive!C:C,,0)</f>
        <v/>
      </c>
      <c r="C470" s="25">
        <f>C454+1</f>
        <v/>
      </c>
      <c r="D470" s="25">
        <f>D454</f>
        <v/>
      </c>
      <c r="E470" s="25">
        <f t="array" ref="E470">_xlfn.XLOOKUP(C470,SkillActive!A:A,INDEX(SkillActive!A:AA,0,MATCH("name",SkillActive!$2:$2,0)),,0)</f>
        <v/>
      </c>
      <c r="F470" s="47">
        <f>D470</f>
        <v/>
      </c>
      <c r="G470" s="47">
        <f>_xlfn.XLOOKUP(C470,SkillActive!$A:$A,SkillActive!E:E,,0)</f>
        <v/>
      </c>
      <c r="H470" s="47">
        <f>_xlfn.XLOOKUP(E470,SkillActive!B:B,SkillActive!K:K,,0)</f>
        <v/>
      </c>
    </row>
    <row r="471">
      <c r="A471" s="25">
        <f>C471*100+D471</f>
        <v/>
      </c>
      <c r="B471" s="42">
        <f>_xlfn.XLOOKUP(C471,SkillActive!$A:$A,SkillActive!C:C,,0)</f>
        <v/>
      </c>
      <c r="C471" s="25">
        <f>C455+1</f>
        <v/>
      </c>
      <c r="D471" s="25">
        <f>D455</f>
        <v/>
      </c>
      <c r="E471" s="25">
        <f t="array" ref="E471">_xlfn.XLOOKUP(C471,SkillActive!A:A,INDEX(SkillActive!A:AA,0,MATCH("name",SkillActive!$2:$2,0)),,0)</f>
        <v/>
      </c>
      <c r="F471" s="47">
        <f>D471</f>
        <v/>
      </c>
      <c r="G471" s="47">
        <f>_xlfn.XLOOKUP(C471,SkillActive!$A:$A,SkillActive!E:E,,0)</f>
        <v/>
      </c>
      <c r="H471" s="47">
        <f>_xlfn.XLOOKUP(E471,SkillActive!B:B,SkillActive!K:K,,0)</f>
        <v/>
      </c>
    </row>
    <row r="472">
      <c r="A472" s="25">
        <f>C472*100+D472</f>
        <v/>
      </c>
      <c r="B472" s="42">
        <f>_xlfn.XLOOKUP(C472,SkillActive!$A:$A,SkillActive!C:C,,0)</f>
        <v/>
      </c>
      <c r="C472" s="25">
        <f>C456+1</f>
        <v/>
      </c>
      <c r="D472" s="25">
        <f>D456</f>
        <v/>
      </c>
      <c r="E472" s="25">
        <f t="array" ref="E472">_xlfn.XLOOKUP(C472,SkillActive!A:A,INDEX(SkillActive!A:AA,0,MATCH("name",SkillActive!$2:$2,0)),,0)</f>
        <v/>
      </c>
      <c r="F472" s="47">
        <f>D472</f>
        <v/>
      </c>
      <c r="G472" s="47">
        <f>_xlfn.XLOOKUP(C472,SkillActive!$A:$A,SkillActive!E:E,,0)</f>
        <v/>
      </c>
      <c r="H472" s="47">
        <f>_xlfn.XLOOKUP(E472,SkillActive!B:B,SkillActive!K:K,,0)</f>
        <v/>
      </c>
    </row>
    <row r="473">
      <c r="A473" s="25">
        <f>C473*100+D473</f>
        <v/>
      </c>
      <c r="B473" s="42">
        <f>_xlfn.XLOOKUP(C473,SkillActive!$A:$A,SkillActive!C:C,,0)</f>
        <v/>
      </c>
      <c r="C473" s="25">
        <f>C457+1</f>
        <v/>
      </c>
      <c r="D473" s="25">
        <f>D457</f>
        <v/>
      </c>
      <c r="E473" s="25">
        <f t="array" ref="E473">_xlfn.XLOOKUP(C473,SkillActive!A:A,INDEX(SkillActive!A:AA,0,MATCH("name",SkillActive!$2:$2,0)),,0)</f>
        <v/>
      </c>
      <c r="F473" s="47">
        <f>D473</f>
        <v/>
      </c>
      <c r="G473" s="47">
        <f>_xlfn.XLOOKUP(C473,SkillActive!$A:$A,SkillActive!E:E,,0)</f>
        <v/>
      </c>
      <c r="H473" s="47">
        <f>_xlfn.XLOOKUP(E473,SkillActive!B:B,SkillActive!K:K,,0)</f>
        <v/>
      </c>
    </row>
    <row r="474">
      <c r="A474" s="25">
        <f>C474*100+D474</f>
        <v/>
      </c>
      <c r="B474" s="42">
        <f>_xlfn.XLOOKUP(C474,SkillActive!$A:$A,SkillActive!C:C,,0)</f>
        <v/>
      </c>
      <c r="C474" s="25">
        <f>C458+1</f>
        <v/>
      </c>
      <c r="D474" s="25">
        <f>D458</f>
        <v/>
      </c>
      <c r="E474" s="25">
        <f t="array" ref="E474">_xlfn.XLOOKUP(C474,SkillActive!A:A,INDEX(SkillActive!A:AA,0,MATCH("name",SkillActive!$2:$2,0)),,0)</f>
        <v/>
      </c>
      <c r="F474" s="47">
        <f>D474</f>
        <v/>
      </c>
      <c r="G474" s="47">
        <f>_xlfn.XLOOKUP(C474,SkillActive!$A:$A,SkillActive!E:E,,0)</f>
        <v/>
      </c>
      <c r="H474" s="47">
        <f>_xlfn.XLOOKUP(E474,SkillActive!B:B,SkillActive!K:K,,0)</f>
        <v/>
      </c>
    </row>
    <row r="475">
      <c r="A475" s="25">
        <f>C475*100+D475</f>
        <v/>
      </c>
      <c r="B475" s="42">
        <f>_xlfn.XLOOKUP(C475,SkillActive!$A:$A,SkillActive!C:C,,0)</f>
        <v/>
      </c>
      <c r="C475" s="25">
        <f>C459+1</f>
        <v/>
      </c>
      <c r="D475" s="25">
        <f>D459</f>
        <v/>
      </c>
      <c r="E475" s="25">
        <f t="array" ref="E475">_xlfn.XLOOKUP(C475,SkillActive!A:A,INDEX(SkillActive!A:AA,0,MATCH("name",SkillActive!$2:$2,0)),,0)</f>
        <v/>
      </c>
      <c r="F475" s="47">
        <f>D475</f>
        <v/>
      </c>
      <c r="G475" s="47">
        <f>_xlfn.XLOOKUP(C475,SkillActive!$A:$A,SkillActive!E:E,,0)</f>
        <v/>
      </c>
      <c r="H475" s="47">
        <f>_xlfn.XLOOKUP(E475,SkillActive!B:B,SkillActive!K:K,,0)</f>
        <v/>
      </c>
    </row>
    <row r="476">
      <c r="A476" s="25">
        <f>C476*100+D476</f>
        <v/>
      </c>
      <c r="B476" s="42">
        <f>_xlfn.XLOOKUP(C476,SkillActive!$A:$A,SkillActive!C:C,,0)</f>
        <v/>
      </c>
      <c r="C476" s="25">
        <f>C460+1</f>
        <v/>
      </c>
      <c r="D476" s="25">
        <f>D460</f>
        <v/>
      </c>
      <c r="E476" s="25">
        <f t="array" ref="E476">_xlfn.XLOOKUP(C476,SkillActive!A:A,INDEX(SkillActive!A:AA,0,MATCH("name",SkillActive!$2:$2,0)),,0)</f>
        <v/>
      </c>
      <c r="F476" s="47">
        <f>D476</f>
        <v/>
      </c>
      <c r="G476" s="47">
        <f>_xlfn.XLOOKUP(C476,SkillActive!$A:$A,SkillActive!E:E,,0)</f>
        <v/>
      </c>
      <c r="H476" s="47">
        <f>_xlfn.XLOOKUP(E476,SkillActive!B:B,SkillActive!K:K,,0)</f>
        <v/>
      </c>
    </row>
    <row r="477">
      <c r="A477" s="25">
        <f>C477*100+D477</f>
        <v/>
      </c>
      <c r="B477" s="42">
        <f>_xlfn.XLOOKUP(C477,SkillActive!$A:$A,SkillActive!C:C,,0)</f>
        <v/>
      </c>
      <c r="C477" s="25">
        <f>C461+1</f>
        <v/>
      </c>
      <c r="D477" s="25">
        <f>D461</f>
        <v/>
      </c>
      <c r="E477" s="25">
        <f t="array" ref="E477">_xlfn.XLOOKUP(C477,SkillActive!A:A,INDEX(SkillActive!A:AA,0,MATCH("name",SkillActive!$2:$2,0)),,0)</f>
        <v/>
      </c>
      <c r="F477" s="47">
        <f>D477</f>
        <v/>
      </c>
      <c r="G477" s="47">
        <f>_xlfn.XLOOKUP(C477,SkillActive!$A:$A,SkillActive!E:E,,0)</f>
        <v/>
      </c>
      <c r="H477" s="47">
        <f>_xlfn.XLOOKUP(E477,SkillActive!B:B,SkillActive!K:K,,0)</f>
        <v/>
      </c>
    </row>
    <row r="478">
      <c r="A478" s="25">
        <f>C478*100+D478</f>
        <v/>
      </c>
      <c r="B478" s="42">
        <f>_xlfn.XLOOKUP(C478,SkillActive!$A:$A,SkillActive!C:C,,0)</f>
        <v/>
      </c>
      <c r="C478" s="25">
        <f>C462+1</f>
        <v/>
      </c>
      <c r="D478" s="25">
        <f>D462</f>
        <v/>
      </c>
      <c r="E478" s="25">
        <f t="array" ref="E478">_xlfn.XLOOKUP(C478,SkillActive!A:A,INDEX(SkillActive!A:AA,0,MATCH("name",SkillActive!$2:$2,0)),,0)</f>
        <v/>
      </c>
      <c r="F478" s="47">
        <f>D478</f>
        <v/>
      </c>
      <c r="G478" s="47">
        <f>_xlfn.XLOOKUP(C478,SkillActive!$A:$A,SkillActive!E:E,,0)</f>
        <v/>
      </c>
      <c r="H478" s="47">
        <f>_xlfn.XLOOKUP(E478,SkillActive!B:B,SkillActive!K:K,,0)</f>
        <v/>
      </c>
    </row>
    <row r="479">
      <c r="A479" s="25">
        <f>C479*100+D479</f>
        <v/>
      </c>
      <c r="B479" s="42">
        <f>_xlfn.XLOOKUP(C479,SkillActive!$A:$A,SkillActive!C:C,,0)</f>
        <v/>
      </c>
      <c r="C479" s="25">
        <f>C463+1</f>
        <v/>
      </c>
      <c r="D479" s="25">
        <f>D463</f>
        <v/>
      </c>
      <c r="E479" s="25">
        <f t="array" ref="E479">_xlfn.XLOOKUP(C479,SkillActive!A:A,INDEX(SkillActive!A:AA,0,MATCH("name",SkillActive!$2:$2,0)),,0)</f>
        <v/>
      </c>
      <c r="F479" s="47">
        <f>D479</f>
        <v/>
      </c>
      <c r="G479" s="47">
        <f>_xlfn.XLOOKUP(C479,SkillActive!$A:$A,SkillActive!E:E,,0)</f>
        <v/>
      </c>
      <c r="H479" s="47">
        <f>_xlfn.XLOOKUP(E479,SkillActive!B:B,SkillActive!K:K,,0)</f>
        <v/>
      </c>
    </row>
    <row r="480">
      <c r="A480" s="25">
        <f>C480*100+D480</f>
        <v/>
      </c>
      <c r="B480" s="42">
        <f>_xlfn.XLOOKUP(C480,SkillActive!$A:$A,SkillActive!C:C,,0)</f>
        <v/>
      </c>
      <c r="C480" s="25">
        <f>C464+1</f>
        <v/>
      </c>
      <c r="D480" s="25">
        <f>D464</f>
        <v/>
      </c>
      <c r="E480" s="25">
        <f t="array" ref="E480">_xlfn.XLOOKUP(C480,SkillActive!A:A,INDEX(SkillActive!A:AA,0,MATCH("name",SkillActive!$2:$2,0)),,0)</f>
        <v/>
      </c>
      <c r="F480" s="47">
        <f>D480</f>
        <v/>
      </c>
      <c r="G480" s="47">
        <f>_xlfn.XLOOKUP(C480,SkillActive!$A:$A,SkillActive!E:E,,0)</f>
        <v/>
      </c>
      <c r="H480" s="47">
        <f>_xlfn.XLOOKUP(E480,SkillActive!B:B,SkillActive!K:K,,0)</f>
        <v/>
      </c>
    </row>
    <row r="481">
      <c r="A481" s="25">
        <f>C481*100+D481</f>
        <v/>
      </c>
      <c r="B481" s="42">
        <f>_xlfn.XLOOKUP(C481,SkillActive!$A:$A,SkillActive!C:C,,0)</f>
        <v/>
      </c>
      <c r="C481" s="25">
        <f>C465+1</f>
        <v/>
      </c>
      <c r="D481" s="25">
        <f>D465</f>
        <v/>
      </c>
      <c r="E481" s="25">
        <f t="array" ref="E481">_xlfn.XLOOKUP(C481,SkillActive!A:A,INDEX(SkillActive!A:AA,0,MATCH("name",SkillActive!$2:$2,0)),,0)</f>
        <v/>
      </c>
      <c r="F481" s="47">
        <f>D481</f>
        <v/>
      </c>
      <c r="G481" s="47">
        <f>_xlfn.XLOOKUP(C481,SkillActive!$A:$A,SkillActive!E:E,,0)</f>
        <v/>
      </c>
      <c r="H481" s="47">
        <f>_xlfn.XLOOKUP(E481,SkillActive!B:B,SkillActive!K:K,,0)</f>
        <v/>
      </c>
    </row>
    <row r="482">
      <c r="A482" s="25">
        <f>C482*100+D482</f>
        <v/>
      </c>
      <c r="B482" s="42">
        <f>_xlfn.XLOOKUP(C482,SkillActive!$A:$A,SkillActive!C:C,,0)</f>
        <v/>
      </c>
      <c r="C482" s="25">
        <f>C466+1</f>
        <v/>
      </c>
      <c r="D482" s="25">
        <f>D466</f>
        <v/>
      </c>
      <c r="E482" s="25">
        <f t="array" ref="E482">_xlfn.XLOOKUP(C482,SkillActive!A:A,INDEX(SkillActive!A:AA,0,MATCH("name",SkillActive!$2:$2,0)),,0)</f>
        <v/>
      </c>
      <c r="F482" s="47">
        <f>D482</f>
        <v/>
      </c>
      <c r="G482" s="47">
        <f>_xlfn.XLOOKUP(C482,SkillActive!$A:$A,SkillActive!E:E,,0)</f>
        <v/>
      </c>
      <c r="H482" s="47">
        <f>_xlfn.XLOOKUP(E482,SkillActive!B:B,SkillActive!K:K,,0)</f>
        <v/>
      </c>
    </row>
    <row r="483">
      <c r="A483" s="25">
        <f>C483*100+D483</f>
        <v/>
      </c>
      <c r="B483" s="42">
        <f>_xlfn.XLOOKUP(C483,SkillActive!$A:$A,SkillActive!C:C,,0)</f>
        <v/>
      </c>
      <c r="C483" s="25">
        <f>C467+1</f>
        <v/>
      </c>
      <c r="D483" s="25">
        <f>D467</f>
        <v/>
      </c>
      <c r="E483" s="25">
        <f t="array" ref="E483">_xlfn.XLOOKUP(C483,SkillActive!A:A,INDEX(SkillActive!A:AA,0,MATCH("name",SkillActive!$2:$2,0)),,0)</f>
        <v/>
      </c>
      <c r="F483" s="47">
        <f>D483</f>
        <v/>
      </c>
      <c r="G483" s="47">
        <f>_xlfn.XLOOKUP(C483,SkillActive!$A:$A,SkillActive!E:E,,0)</f>
        <v/>
      </c>
      <c r="H483" s="47">
        <f>_xlfn.XLOOKUP(E483,SkillActive!B:B,SkillActive!K:K,,0)</f>
        <v/>
      </c>
    </row>
    <row r="484">
      <c r="A484" s="25">
        <f>C484*100+D484</f>
        <v/>
      </c>
      <c r="B484" s="42">
        <f>_xlfn.XLOOKUP(C484,SkillActive!$A:$A,SkillActive!C:C,,0)</f>
        <v/>
      </c>
      <c r="C484" s="25">
        <f>C468+1</f>
        <v/>
      </c>
      <c r="D484" s="25" t="n">
        <v>1</v>
      </c>
      <c r="E484" s="25">
        <f t="array" ref="E484">_xlfn.XLOOKUP(C484,SkillActive!A:A,INDEX(SkillActive!A:AA,0,MATCH("name",SkillActive!$2:$2,0)),,0)</f>
        <v/>
      </c>
      <c r="F484" s="47" t="n">
        <v>1</v>
      </c>
      <c r="G484" s="47" t="n">
        <v>2</v>
      </c>
      <c r="H484" s="47" t="n">
        <v>7</v>
      </c>
    </row>
    <row r="485">
      <c r="A485" s="25">
        <f>C485*100+D485</f>
        <v/>
      </c>
      <c r="B485" s="42">
        <f>_xlfn.XLOOKUP(C485,SkillActive!$A:$A,SkillActive!C:C,,0)</f>
        <v/>
      </c>
      <c r="C485" s="25">
        <f>C469+1</f>
        <v/>
      </c>
      <c r="D485" s="25" t="n">
        <v>2</v>
      </c>
      <c r="E485" s="25">
        <f t="array" ref="E485">_xlfn.XLOOKUP(C485,SkillActive!A:A,INDEX(SkillActive!A:AA,0,MATCH("name",SkillActive!$2:$2,0)),,0)</f>
        <v/>
      </c>
      <c r="F485" s="47" t="n">
        <v>2</v>
      </c>
      <c r="G485" s="47" t="n">
        <v>2</v>
      </c>
      <c r="H485" s="47" t="n">
        <v>7</v>
      </c>
    </row>
    <row r="486">
      <c r="A486" s="25">
        <f>C486*100+D486</f>
        <v/>
      </c>
      <c r="B486" s="42">
        <f>_xlfn.XLOOKUP(C486,SkillActive!$A:$A,SkillActive!C:C,,0)</f>
        <v/>
      </c>
      <c r="C486" s="25">
        <f>C470+1</f>
        <v/>
      </c>
      <c r="D486" s="25" t="n">
        <v>3</v>
      </c>
      <c r="E486" s="25">
        <f t="array" ref="E486">_xlfn.XLOOKUP(C486,SkillActive!A:A,INDEX(SkillActive!A:AA,0,MATCH("name",SkillActive!$2:$2,0)),,0)</f>
        <v/>
      </c>
      <c r="F486" s="47" t="n">
        <v>3</v>
      </c>
      <c r="G486" s="47" t="n">
        <v>2</v>
      </c>
      <c r="H486" s="47" t="n">
        <v>7</v>
      </c>
    </row>
    <row r="487">
      <c r="A487" s="25">
        <f>C487*100+D487</f>
        <v/>
      </c>
      <c r="B487" s="42">
        <f>_xlfn.XLOOKUP(C487,SkillActive!$A:$A,SkillActive!C:C,,0)</f>
        <v/>
      </c>
      <c r="C487" s="25">
        <f>C471+1</f>
        <v/>
      </c>
      <c r="D487" s="25" t="n">
        <v>4</v>
      </c>
      <c r="E487" s="25">
        <f t="array" ref="E487">_xlfn.XLOOKUP(C487,SkillActive!A:A,INDEX(SkillActive!A:AA,0,MATCH("name",SkillActive!$2:$2,0)),,0)</f>
        <v/>
      </c>
      <c r="F487" s="47" t="n">
        <v>4</v>
      </c>
      <c r="G487" s="47" t="n">
        <v>2</v>
      </c>
      <c r="H487" s="47" t="n">
        <v>7</v>
      </c>
    </row>
    <row r="488">
      <c r="A488" s="25">
        <f>C488*100+D488</f>
        <v/>
      </c>
      <c r="B488" s="42">
        <f>_xlfn.XLOOKUP(C488,SkillActive!$A:$A,SkillActive!C:C,,0)</f>
        <v/>
      </c>
      <c r="C488" s="25">
        <f>C472+1</f>
        <v/>
      </c>
      <c r="D488" s="25" t="n">
        <v>5</v>
      </c>
      <c r="E488" s="25">
        <f t="array" ref="E488">_xlfn.XLOOKUP(C488,SkillActive!A:A,INDEX(SkillActive!A:AA,0,MATCH("name",SkillActive!$2:$2,0)),,0)</f>
        <v/>
      </c>
      <c r="F488" s="47" t="n">
        <v>5</v>
      </c>
      <c r="G488" s="47" t="n">
        <v>2</v>
      </c>
      <c r="H488" s="47" t="n">
        <v>7</v>
      </c>
    </row>
    <row r="489">
      <c r="A489" s="25">
        <f>C489*100+D489</f>
        <v/>
      </c>
      <c r="B489" s="42">
        <f>_xlfn.XLOOKUP(C489,SkillActive!$A:$A,SkillActive!C:C,,0)</f>
        <v/>
      </c>
      <c r="C489" s="25">
        <f>C473+1</f>
        <v/>
      </c>
      <c r="D489" s="25" t="n">
        <v>6</v>
      </c>
      <c r="E489" s="25">
        <f t="array" ref="E489">_xlfn.XLOOKUP(C489,SkillActive!A:A,INDEX(SkillActive!A:AA,0,MATCH("name",SkillActive!$2:$2,0)),,0)</f>
        <v/>
      </c>
      <c r="F489" s="47" t="n">
        <v>6</v>
      </c>
      <c r="G489" s="47" t="n">
        <v>2</v>
      </c>
      <c r="H489" s="47" t="n">
        <v>7</v>
      </c>
    </row>
    <row r="490">
      <c r="A490" s="25">
        <f>C490*100+D490</f>
        <v/>
      </c>
      <c r="B490" s="42">
        <f>_xlfn.XLOOKUP(C490,SkillActive!$A:$A,SkillActive!C:C,,0)</f>
        <v/>
      </c>
      <c r="C490" s="25">
        <f>C474+1</f>
        <v/>
      </c>
      <c r="D490" s="25" t="n">
        <v>7</v>
      </c>
      <c r="E490" s="25">
        <f t="array" ref="E490">_xlfn.XLOOKUP(C490,SkillActive!A:A,INDEX(SkillActive!A:AA,0,MATCH("name",SkillActive!$2:$2,0)),,0)</f>
        <v/>
      </c>
      <c r="F490" s="47" t="n">
        <v>7</v>
      </c>
      <c r="G490" s="47" t="n">
        <v>2</v>
      </c>
      <c r="H490" s="47" t="n">
        <v>7</v>
      </c>
    </row>
    <row r="491">
      <c r="A491" s="25">
        <f>C491*100+D491</f>
        <v/>
      </c>
      <c r="B491" s="42">
        <f>_xlfn.XLOOKUP(C491,SkillActive!$A:$A,SkillActive!C:C,,0)</f>
        <v/>
      </c>
      <c r="C491" s="25">
        <f>C475+1</f>
        <v/>
      </c>
      <c r="D491" s="25" t="n">
        <v>8</v>
      </c>
      <c r="E491" s="25">
        <f t="array" ref="E491">_xlfn.XLOOKUP(C491,SkillActive!A:A,INDEX(SkillActive!A:AA,0,MATCH("name",SkillActive!$2:$2,0)),,0)</f>
        <v/>
      </c>
      <c r="F491" s="47" t="n">
        <v>8</v>
      </c>
      <c r="G491" s="47" t="n">
        <v>2</v>
      </c>
      <c r="H491" s="47" t="n">
        <v>7</v>
      </c>
    </row>
    <row r="492">
      <c r="A492" s="25">
        <f>C492*100+D492</f>
        <v/>
      </c>
      <c r="B492" s="42">
        <f>_xlfn.XLOOKUP(C492,SkillActive!$A:$A,SkillActive!C:C,,0)</f>
        <v/>
      </c>
      <c r="C492" s="25">
        <f>C476+1</f>
        <v/>
      </c>
      <c r="D492" s="25" t="n">
        <v>9</v>
      </c>
      <c r="E492" s="25">
        <f t="array" ref="E492">_xlfn.XLOOKUP(C492,SkillActive!A:A,INDEX(SkillActive!A:AA,0,MATCH("name",SkillActive!$2:$2,0)),,0)</f>
        <v/>
      </c>
      <c r="F492" s="47" t="n">
        <v>9</v>
      </c>
      <c r="G492" s="47" t="n">
        <v>2</v>
      </c>
      <c r="H492" s="47" t="n">
        <v>7</v>
      </c>
    </row>
    <row r="493">
      <c r="A493" s="25">
        <f>C493*100+D493</f>
        <v/>
      </c>
      <c r="B493" s="42">
        <f>_xlfn.XLOOKUP(C493,SkillActive!$A:$A,SkillActive!C:C,,0)</f>
        <v/>
      </c>
      <c r="C493" s="25">
        <f>C477+1</f>
        <v/>
      </c>
      <c r="D493" s="25" t="n">
        <v>10</v>
      </c>
      <c r="E493" s="25">
        <f t="array" ref="E493">_xlfn.XLOOKUP(C493,SkillActive!A:A,INDEX(SkillActive!A:AA,0,MATCH("name",SkillActive!$2:$2,0)),,0)</f>
        <v/>
      </c>
      <c r="F493" s="47" t="n">
        <v>10</v>
      </c>
      <c r="G493" s="47" t="n">
        <v>2</v>
      </c>
      <c r="H493" s="47" t="n">
        <v>7</v>
      </c>
    </row>
    <row r="494">
      <c r="A494" s="25">
        <f>C494*100+D494</f>
        <v/>
      </c>
      <c r="B494" s="42">
        <f>_xlfn.XLOOKUP(C494,SkillActive!$A:$A,SkillActive!C:C,,0)</f>
        <v/>
      </c>
      <c r="C494" s="25">
        <f>C478+1</f>
        <v/>
      </c>
      <c r="D494" s="25" t="n">
        <v>11</v>
      </c>
      <c r="E494" s="25">
        <f t="array" ref="E494">_xlfn.XLOOKUP(C494,SkillActive!A:A,INDEX(SkillActive!A:AA,0,MATCH("name",SkillActive!$2:$2,0)),,0)</f>
        <v/>
      </c>
      <c r="F494" s="47" t="n">
        <v>11</v>
      </c>
      <c r="G494" s="47" t="n">
        <v>2</v>
      </c>
      <c r="H494" s="47" t="n">
        <v>7</v>
      </c>
    </row>
    <row r="495">
      <c r="A495" s="25">
        <f>C495*100+D495</f>
        <v/>
      </c>
      <c r="B495" s="42">
        <f>_xlfn.XLOOKUP(C495,SkillActive!$A:$A,SkillActive!C:C,,0)</f>
        <v/>
      </c>
      <c r="C495" s="25">
        <f>C479+1</f>
        <v/>
      </c>
      <c r="D495" s="25" t="n">
        <v>12</v>
      </c>
      <c r="E495" s="25">
        <f t="array" ref="E495">_xlfn.XLOOKUP(C495,SkillActive!A:A,INDEX(SkillActive!A:AA,0,MATCH("name",SkillActive!$2:$2,0)),,0)</f>
        <v/>
      </c>
      <c r="F495" s="47" t="n">
        <v>12</v>
      </c>
      <c r="G495" s="47" t="n">
        <v>2</v>
      </c>
      <c r="H495" s="47" t="n">
        <v>7</v>
      </c>
    </row>
    <row r="496">
      <c r="A496" s="25">
        <f>C496*100+D496</f>
        <v/>
      </c>
      <c r="B496" s="42">
        <f>_xlfn.XLOOKUP(C496,SkillActive!$A:$A,SkillActive!C:C,,0)</f>
        <v/>
      </c>
      <c r="C496" s="25">
        <f>C480+1</f>
        <v/>
      </c>
      <c r="D496" s="25" t="n">
        <v>13</v>
      </c>
      <c r="E496" s="25">
        <f t="array" ref="E496">_xlfn.XLOOKUP(C496,SkillActive!A:A,INDEX(SkillActive!A:AA,0,MATCH("name",SkillActive!$2:$2,0)),,0)</f>
        <v/>
      </c>
      <c r="F496" s="47" t="n">
        <v>13</v>
      </c>
      <c r="G496" s="47" t="n">
        <v>2</v>
      </c>
      <c r="H496" s="47" t="n">
        <v>7</v>
      </c>
    </row>
    <row r="497">
      <c r="A497" s="25">
        <f>C497*100+D497</f>
        <v/>
      </c>
      <c r="B497" s="42">
        <f>_xlfn.XLOOKUP(C497,SkillActive!$A:$A,SkillActive!C:C,,0)</f>
        <v/>
      </c>
      <c r="C497" s="25">
        <f>C481+1</f>
        <v/>
      </c>
      <c r="D497" s="25" t="n">
        <v>14</v>
      </c>
      <c r="E497" s="25">
        <f t="array" ref="E497">_xlfn.XLOOKUP(C497,SkillActive!A:A,INDEX(SkillActive!A:AA,0,MATCH("name",SkillActive!$2:$2,0)),,0)</f>
        <v/>
      </c>
      <c r="F497" s="47" t="n">
        <v>14</v>
      </c>
      <c r="G497" s="47" t="n">
        <v>2</v>
      </c>
      <c r="H497" s="47" t="n">
        <v>7</v>
      </c>
    </row>
    <row r="498">
      <c r="A498" s="25">
        <f>C498*100+D498</f>
        <v/>
      </c>
      <c r="B498" s="42">
        <f>_xlfn.XLOOKUP(C498,SkillActive!$A:$A,SkillActive!C:C,,0)</f>
        <v/>
      </c>
      <c r="C498" s="25">
        <f>C482+1</f>
        <v/>
      </c>
      <c r="D498" s="25" t="n">
        <v>15</v>
      </c>
      <c r="E498" s="25">
        <f t="array" ref="E498">_xlfn.XLOOKUP(C498,SkillActive!A:A,INDEX(SkillActive!A:AA,0,MATCH("name",SkillActive!$2:$2,0)),,0)</f>
        <v/>
      </c>
      <c r="F498" s="47" t="n">
        <v>15</v>
      </c>
      <c r="G498" s="47" t="n">
        <v>2</v>
      </c>
      <c r="H498" s="47" t="n">
        <v>7</v>
      </c>
    </row>
    <row r="499">
      <c r="A499" s="25">
        <f>C499*100+D499</f>
        <v/>
      </c>
      <c r="B499" s="42">
        <f>_xlfn.XLOOKUP(C499,SkillActive!$A:$A,SkillActive!C:C,,0)</f>
        <v/>
      </c>
      <c r="C499" s="25">
        <f>C483+1</f>
        <v/>
      </c>
      <c r="D499" s="25" t="n">
        <v>16</v>
      </c>
      <c r="E499" s="25">
        <f t="array" ref="E499">_xlfn.XLOOKUP(C499,SkillActive!A:A,INDEX(SkillActive!A:AA,0,MATCH("name",SkillActive!$2:$2,0)),,0)</f>
        <v/>
      </c>
      <c r="F499" s="47" t="n">
        <v>16</v>
      </c>
      <c r="G499" s="47" t="n">
        <v>2</v>
      </c>
      <c r="H499" s="47" t="n">
        <v>7</v>
      </c>
    </row>
    <row r="500">
      <c r="A500" s="25">
        <f>C500*100+D500</f>
        <v/>
      </c>
      <c r="B500" s="42">
        <f>_xlfn.XLOOKUP(C500,SkillActive!$A:$A,SkillActive!C:C,,0)</f>
        <v/>
      </c>
      <c r="C500" s="25">
        <f>C484+1</f>
        <v/>
      </c>
      <c r="D500" s="25" t="n">
        <v>1</v>
      </c>
      <c r="E500" s="25">
        <f t="array" ref="E500">_xlfn.XLOOKUP(C500,SkillActive!A:A,INDEX(SkillActive!A:AA,0,MATCH("name",SkillActive!$2:$2,0)),,0)</f>
        <v/>
      </c>
      <c r="F500" s="47">
        <f>D500</f>
        <v/>
      </c>
      <c r="G500" s="47">
        <f>_xlfn.XLOOKUP(C500,SkillActive!$A:$A,SkillActive!E:E,,0)</f>
        <v/>
      </c>
      <c r="H500" s="47">
        <f>_xlfn.XLOOKUP(E500,SkillActive!B:B,SkillActive!K:K,,0)</f>
        <v/>
      </c>
    </row>
    <row r="501">
      <c r="A501" s="25">
        <f>C501*100+D501</f>
        <v/>
      </c>
      <c r="B501" s="42">
        <f>_xlfn.XLOOKUP(C501,SkillActive!$A:$A,SkillActive!C:C,,0)</f>
        <v/>
      </c>
      <c r="C501" s="25">
        <f>C485+1</f>
        <v/>
      </c>
      <c r="D501" s="25" t="n">
        <v>2</v>
      </c>
      <c r="E501" s="25">
        <f t="array" ref="E501">_xlfn.XLOOKUP(C501,SkillActive!A:A,INDEX(SkillActive!A:AA,0,MATCH("name",SkillActive!$2:$2,0)),,0)</f>
        <v/>
      </c>
      <c r="F501" s="47">
        <f>D501</f>
        <v/>
      </c>
      <c r="G501" s="47">
        <f>_xlfn.XLOOKUP(C501,SkillActive!$A:$A,SkillActive!E:E,,0)</f>
        <v/>
      </c>
      <c r="H501" s="47">
        <f>_xlfn.XLOOKUP(E501,SkillActive!B:B,SkillActive!K:K,,0)</f>
        <v/>
      </c>
    </row>
    <row r="502">
      <c r="A502" s="25">
        <f>C502*100+D502</f>
        <v/>
      </c>
      <c r="B502" s="42">
        <f>_xlfn.XLOOKUP(C502,SkillActive!$A:$A,SkillActive!C:C,,0)</f>
        <v/>
      </c>
      <c r="C502" s="25">
        <f>C486+1</f>
        <v/>
      </c>
      <c r="D502" s="25" t="n">
        <v>3</v>
      </c>
      <c r="E502" s="25">
        <f t="array" ref="E502">_xlfn.XLOOKUP(C502,SkillActive!A:A,INDEX(SkillActive!A:AA,0,MATCH("name",SkillActive!$2:$2,0)),,0)</f>
        <v/>
      </c>
      <c r="F502" s="47">
        <f>D502</f>
        <v/>
      </c>
      <c r="G502" s="47">
        <f>_xlfn.XLOOKUP(C502,SkillActive!$A:$A,SkillActive!E:E,,0)</f>
        <v/>
      </c>
      <c r="H502" s="47">
        <f>_xlfn.XLOOKUP(E502,SkillActive!B:B,SkillActive!K:K,,0)</f>
        <v/>
      </c>
    </row>
    <row r="503">
      <c r="A503" s="25">
        <f>C503*100+D503</f>
        <v/>
      </c>
      <c r="B503" s="42">
        <f>_xlfn.XLOOKUP(C503,SkillActive!$A:$A,SkillActive!C:C,,0)</f>
        <v/>
      </c>
      <c r="C503" s="25">
        <f>C487+1</f>
        <v/>
      </c>
      <c r="D503" s="25" t="n">
        <v>4</v>
      </c>
      <c r="E503" s="25">
        <f t="array" ref="E503">_xlfn.XLOOKUP(C503,SkillActive!A:A,INDEX(SkillActive!A:AA,0,MATCH("name",SkillActive!$2:$2,0)),,0)</f>
        <v/>
      </c>
      <c r="F503" s="47">
        <f>D503</f>
        <v/>
      </c>
      <c r="G503" s="47">
        <f>_xlfn.XLOOKUP(C503,SkillActive!$A:$A,SkillActive!E:E,,0)</f>
        <v/>
      </c>
      <c r="H503" s="47">
        <f>_xlfn.XLOOKUP(E503,SkillActive!B:B,SkillActive!K:K,,0)</f>
        <v/>
      </c>
    </row>
    <row r="504">
      <c r="A504" s="25">
        <f>C504*100+D504</f>
        <v/>
      </c>
      <c r="B504" s="42">
        <f>_xlfn.XLOOKUP(C504,SkillActive!$A:$A,SkillActive!C:C,,0)</f>
        <v/>
      </c>
      <c r="C504" s="25">
        <f>C488+1</f>
        <v/>
      </c>
      <c r="D504" s="25" t="n">
        <v>5</v>
      </c>
      <c r="E504" s="25">
        <f t="array" ref="E504">_xlfn.XLOOKUP(C504,SkillActive!A:A,INDEX(SkillActive!A:AA,0,MATCH("name",SkillActive!$2:$2,0)),,0)</f>
        <v/>
      </c>
      <c r="F504" s="47">
        <f>D504</f>
        <v/>
      </c>
      <c r="G504" s="47">
        <f>_xlfn.XLOOKUP(C504,SkillActive!$A:$A,SkillActive!E:E,,0)</f>
        <v/>
      </c>
      <c r="H504" s="47">
        <f>_xlfn.XLOOKUP(E504,SkillActive!B:B,SkillActive!K:K,,0)</f>
        <v/>
      </c>
    </row>
    <row r="505">
      <c r="A505" s="25">
        <f>C505*100+D505</f>
        <v/>
      </c>
      <c r="B505" s="42">
        <f>_xlfn.XLOOKUP(C505,SkillActive!$A:$A,SkillActive!C:C,,0)</f>
        <v/>
      </c>
      <c r="C505" s="25">
        <f>C489+1</f>
        <v/>
      </c>
      <c r="D505" s="25" t="n">
        <v>6</v>
      </c>
      <c r="E505" s="25">
        <f t="array" ref="E505">_xlfn.XLOOKUP(C505,SkillActive!A:A,INDEX(SkillActive!A:AA,0,MATCH("name",SkillActive!$2:$2,0)),,0)</f>
        <v/>
      </c>
      <c r="F505" s="47">
        <f>D505</f>
        <v/>
      </c>
      <c r="G505" s="47">
        <f>_xlfn.XLOOKUP(C505,SkillActive!$A:$A,SkillActive!E:E,,0)</f>
        <v/>
      </c>
      <c r="H505" s="47">
        <f>_xlfn.XLOOKUP(E505,SkillActive!B:B,SkillActive!K:K,,0)</f>
        <v/>
      </c>
    </row>
    <row r="506">
      <c r="A506" s="25">
        <f>C506*100+D506</f>
        <v/>
      </c>
      <c r="B506" s="42">
        <f>_xlfn.XLOOKUP(C506,SkillActive!$A:$A,SkillActive!C:C,,0)</f>
        <v/>
      </c>
      <c r="C506" s="25">
        <f>C490+1</f>
        <v/>
      </c>
      <c r="D506" s="25" t="n">
        <v>7</v>
      </c>
      <c r="E506" s="25">
        <f t="array" ref="E506">_xlfn.XLOOKUP(C506,SkillActive!A:A,INDEX(SkillActive!A:AA,0,MATCH("name",SkillActive!$2:$2,0)),,0)</f>
        <v/>
      </c>
      <c r="F506" s="47">
        <f>D506</f>
        <v/>
      </c>
      <c r="G506" s="47">
        <f>_xlfn.XLOOKUP(C506,SkillActive!$A:$A,SkillActive!E:E,,0)</f>
        <v/>
      </c>
      <c r="H506" s="47">
        <f>_xlfn.XLOOKUP(E506,SkillActive!B:B,SkillActive!K:K,,0)</f>
        <v/>
      </c>
    </row>
    <row r="507">
      <c r="A507" s="25">
        <f>C507*100+D507</f>
        <v/>
      </c>
      <c r="B507" s="42">
        <f>_xlfn.XLOOKUP(C507,SkillActive!$A:$A,SkillActive!C:C,,0)</f>
        <v/>
      </c>
      <c r="C507" s="25">
        <f>C491+1</f>
        <v/>
      </c>
      <c r="D507" s="25" t="n">
        <v>8</v>
      </c>
      <c r="E507" s="25">
        <f t="array" ref="E507">_xlfn.XLOOKUP(C507,SkillActive!A:A,INDEX(SkillActive!A:AA,0,MATCH("name",SkillActive!$2:$2,0)),,0)</f>
        <v/>
      </c>
      <c r="F507" s="47">
        <f>D507</f>
        <v/>
      </c>
      <c r="G507" s="47">
        <f>_xlfn.XLOOKUP(C507,SkillActive!$A:$A,SkillActive!E:E,,0)</f>
        <v/>
      </c>
      <c r="H507" s="47">
        <f>_xlfn.XLOOKUP(E507,SkillActive!B:B,SkillActive!K:K,,0)</f>
        <v/>
      </c>
    </row>
    <row r="508">
      <c r="A508" s="25">
        <f>C508*100+D508</f>
        <v/>
      </c>
      <c r="B508" s="42">
        <f>_xlfn.XLOOKUP(C508,SkillActive!$A:$A,SkillActive!C:C,,0)</f>
        <v/>
      </c>
      <c r="C508" s="25">
        <f>C492+1</f>
        <v/>
      </c>
      <c r="D508" s="25" t="n">
        <v>9</v>
      </c>
      <c r="E508" s="25">
        <f t="array" ref="E508">_xlfn.XLOOKUP(C508,SkillActive!A:A,INDEX(SkillActive!A:AA,0,MATCH("name",SkillActive!$2:$2,0)),,0)</f>
        <v/>
      </c>
      <c r="F508" s="47">
        <f>D508</f>
        <v/>
      </c>
      <c r="G508" s="47">
        <f>_xlfn.XLOOKUP(C508,SkillActive!$A:$A,SkillActive!E:E,,0)</f>
        <v/>
      </c>
      <c r="H508" s="47">
        <f>_xlfn.XLOOKUP(E508,SkillActive!B:B,SkillActive!K:K,,0)</f>
        <v/>
      </c>
    </row>
    <row r="509">
      <c r="A509" s="25">
        <f>C509*100+D509</f>
        <v/>
      </c>
      <c r="B509" s="42">
        <f>_xlfn.XLOOKUP(C509,SkillActive!$A:$A,SkillActive!C:C,,0)</f>
        <v/>
      </c>
      <c r="C509" s="25">
        <f>C493+1</f>
        <v/>
      </c>
      <c r="D509" s="25" t="n">
        <v>10</v>
      </c>
      <c r="E509" s="25">
        <f t="array" ref="E509">_xlfn.XLOOKUP(C509,SkillActive!A:A,INDEX(SkillActive!A:AA,0,MATCH("name",SkillActive!$2:$2,0)),,0)</f>
        <v/>
      </c>
      <c r="F509" s="47">
        <f>D509</f>
        <v/>
      </c>
      <c r="G509" s="47">
        <f>_xlfn.XLOOKUP(C509,SkillActive!$A:$A,SkillActive!E:E,,0)</f>
        <v/>
      </c>
      <c r="H509" s="47">
        <f>_xlfn.XLOOKUP(E509,SkillActive!B:B,SkillActive!K:K,,0)</f>
        <v/>
      </c>
    </row>
    <row r="510">
      <c r="A510" s="25">
        <f>C510*100+D510</f>
        <v/>
      </c>
      <c r="B510" s="42">
        <f>_xlfn.XLOOKUP(C510,SkillActive!$A:$A,SkillActive!C:C,,0)</f>
        <v/>
      </c>
      <c r="C510" s="25">
        <f>C494+1</f>
        <v/>
      </c>
      <c r="D510" s="25" t="n">
        <v>11</v>
      </c>
      <c r="E510" s="25">
        <f t="array" ref="E510">_xlfn.XLOOKUP(C510,SkillActive!A:A,INDEX(SkillActive!A:AA,0,MATCH("name",SkillActive!$2:$2,0)),,0)</f>
        <v/>
      </c>
      <c r="F510" s="47">
        <f>D510</f>
        <v/>
      </c>
      <c r="G510" s="47">
        <f>_xlfn.XLOOKUP(C510,SkillActive!$A:$A,SkillActive!E:E,,0)</f>
        <v/>
      </c>
      <c r="H510" s="47">
        <f>_xlfn.XLOOKUP(E510,SkillActive!B:B,SkillActive!K:K,,0)</f>
        <v/>
      </c>
    </row>
    <row r="511">
      <c r="A511" s="25">
        <f>C511*100+D511</f>
        <v/>
      </c>
      <c r="B511" s="42">
        <f>_xlfn.XLOOKUP(C511,SkillActive!$A:$A,SkillActive!C:C,,0)</f>
        <v/>
      </c>
      <c r="C511" s="25">
        <f>C495+1</f>
        <v/>
      </c>
      <c r="D511" s="25" t="n">
        <v>12</v>
      </c>
      <c r="E511" s="25">
        <f t="array" ref="E511">_xlfn.XLOOKUP(C511,SkillActive!A:A,INDEX(SkillActive!A:AA,0,MATCH("name",SkillActive!$2:$2,0)),,0)</f>
        <v/>
      </c>
      <c r="F511" s="47">
        <f>D511</f>
        <v/>
      </c>
      <c r="G511" s="47">
        <f>_xlfn.XLOOKUP(C511,SkillActive!$A:$A,SkillActive!E:E,,0)</f>
        <v/>
      </c>
      <c r="H511" s="47">
        <f>_xlfn.XLOOKUP(E511,SkillActive!B:B,SkillActive!K:K,,0)</f>
        <v/>
      </c>
    </row>
    <row r="512">
      <c r="A512" s="25">
        <f>C512*100+D512</f>
        <v/>
      </c>
      <c r="B512" s="42">
        <f>_xlfn.XLOOKUP(C512,SkillActive!$A:$A,SkillActive!C:C,,0)</f>
        <v/>
      </c>
      <c r="C512" s="25">
        <f>C496+1</f>
        <v/>
      </c>
      <c r="D512" s="25" t="n">
        <v>13</v>
      </c>
      <c r="E512" s="25">
        <f t="array" ref="E512">_xlfn.XLOOKUP(C512,SkillActive!A:A,INDEX(SkillActive!A:AA,0,MATCH("name",SkillActive!$2:$2,0)),,0)</f>
        <v/>
      </c>
      <c r="F512" s="47">
        <f>D512</f>
        <v/>
      </c>
      <c r="G512" s="47">
        <f>_xlfn.XLOOKUP(C512,SkillActive!$A:$A,SkillActive!E:E,,0)</f>
        <v/>
      </c>
      <c r="H512" s="47">
        <f>_xlfn.XLOOKUP(E512,SkillActive!B:B,SkillActive!K:K,,0)</f>
        <v/>
      </c>
    </row>
    <row r="513">
      <c r="A513" s="25">
        <f>C513*100+D513</f>
        <v/>
      </c>
      <c r="B513" s="42">
        <f>_xlfn.XLOOKUP(C513,SkillActive!$A:$A,SkillActive!C:C,,0)</f>
        <v/>
      </c>
      <c r="C513" s="25">
        <f>C497+1</f>
        <v/>
      </c>
      <c r="D513" s="25" t="n">
        <v>14</v>
      </c>
      <c r="E513" s="25">
        <f t="array" ref="E513">_xlfn.XLOOKUP(C513,SkillActive!A:A,INDEX(SkillActive!A:AA,0,MATCH("name",SkillActive!$2:$2,0)),,0)</f>
        <v/>
      </c>
      <c r="F513" s="47">
        <f>D513</f>
        <v/>
      </c>
      <c r="G513" s="47">
        <f>_xlfn.XLOOKUP(C513,SkillActive!$A:$A,SkillActive!E:E,,0)</f>
        <v/>
      </c>
      <c r="H513" s="47">
        <f>_xlfn.XLOOKUP(E513,SkillActive!B:B,SkillActive!K:K,,0)</f>
        <v/>
      </c>
    </row>
    <row r="514">
      <c r="A514" s="25">
        <f>C514*100+D514</f>
        <v/>
      </c>
      <c r="B514" s="42">
        <f>_xlfn.XLOOKUP(C514,SkillActive!$A:$A,SkillActive!C:C,,0)</f>
        <v/>
      </c>
      <c r="C514" s="25">
        <f>C498+1</f>
        <v/>
      </c>
      <c r="D514" s="25" t="n">
        <v>15</v>
      </c>
      <c r="E514" s="25">
        <f t="array" ref="E514">_xlfn.XLOOKUP(C514,SkillActive!A:A,INDEX(SkillActive!A:AA,0,MATCH("name",SkillActive!$2:$2,0)),,0)</f>
        <v/>
      </c>
      <c r="F514" s="47">
        <f>D514</f>
        <v/>
      </c>
      <c r="G514" s="47">
        <f>_xlfn.XLOOKUP(C514,SkillActive!$A:$A,SkillActive!E:E,,0)</f>
        <v/>
      </c>
      <c r="H514" s="47">
        <f>_xlfn.XLOOKUP(E514,SkillActive!B:B,SkillActive!K:K,,0)</f>
        <v/>
      </c>
    </row>
    <row r="515">
      <c r="A515" s="25">
        <f>C515*100+D515</f>
        <v/>
      </c>
      <c r="B515" s="42">
        <f>_xlfn.XLOOKUP(C515,SkillActive!$A:$A,SkillActive!C:C,,0)</f>
        <v/>
      </c>
      <c r="C515" s="25">
        <f>C499+1</f>
        <v/>
      </c>
      <c r="D515" s="25" t="n">
        <v>16</v>
      </c>
      <c r="E515" s="25">
        <f t="array" ref="E515">_xlfn.XLOOKUP(C515,SkillActive!A:A,INDEX(SkillActive!A:AA,0,MATCH("name",SkillActive!$2:$2,0)),,0)</f>
        <v/>
      </c>
      <c r="F515" s="47">
        <f>D515</f>
        <v/>
      </c>
      <c r="G515" s="47">
        <f>_xlfn.XLOOKUP(C515,SkillActive!$A:$A,SkillActive!E:E,,0)</f>
        <v/>
      </c>
      <c r="H515" s="47">
        <f>_xlfn.XLOOKUP(E515,SkillActive!B:B,SkillActive!K:K,,0)</f>
        <v/>
      </c>
    </row>
    <row r="516">
      <c r="A516" s="25">
        <f>C516*100+D516</f>
        <v/>
      </c>
      <c r="B516" s="42">
        <f>_xlfn.XLOOKUP(C516,SkillActive!$A:$A,SkillActive!C:C,,0)</f>
        <v/>
      </c>
      <c r="C516" s="25">
        <f>C500+1</f>
        <v/>
      </c>
      <c r="D516" s="25" t="n">
        <v>1</v>
      </c>
      <c r="E516" s="25">
        <f t="array" ref="E516">_xlfn.XLOOKUP(C516,SkillActive!A:A,INDEX(SkillActive!A:AA,0,MATCH("name",SkillActive!$2:$2,0)),,0)</f>
        <v/>
      </c>
      <c r="F516" s="47">
        <f>D516</f>
        <v/>
      </c>
      <c r="G516" s="47">
        <f>_xlfn.XLOOKUP(C516,SkillActive!$A:$A,SkillActive!E:E,,0)</f>
        <v/>
      </c>
      <c r="H516" s="47">
        <f>_xlfn.XLOOKUP(E516,SkillActive!B:B,SkillActive!K:K,,0)</f>
        <v/>
      </c>
    </row>
    <row r="517">
      <c r="A517" s="25">
        <f>C517*100+D517</f>
        <v/>
      </c>
      <c r="B517" s="42">
        <f>_xlfn.XLOOKUP(C517,SkillActive!$A:$A,SkillActive!C:C,,0)</f>
        <v/>
      </c>
      <c r="C517" s="25">
        <f>C501+1</f>
        <v/>
      </c>
      <c r="D517" s="25" t="n">
        <v>2</v>
      </c>
      <c r="E517" s="25">
        <f t="array" ref="E517">_xlfn.XLOOKUP(C517,SkillActive!A:A,INDEX(SkillActive!A:AA,0,MATCH("name",SkillActive!$2:$2,0)),,0)</f>
        <v/>
      </c>
      <c r="F517" s="47">
        <f>D517</f>
        <v/>
      </c>
      <c r="G517" s="47">
        <f>_xlfn.XLOOKUP(C517,SkillActive!$A:$A,SkillActive!E:E,,0)</f>
        <v/>
      </c>
      <c r="H517" s="47">
        <f>_xlfn.XLOOKUP(E517,SkillActive!B:B,SkillActive!K:K,,0)</f>
        <v/>
      </c>
    </row>
    <row r="518">
      <c r="A518" s="25">
        <f>C518*100+D518</f>
        <v/>
      </c>
      <c r="B518" s="42">
        <f>_xlfn.XLOOKUP(C518,SkillActive!$A:$A,SkillActive!C:C,,0)</f>
        <v/>
      </c>
      <c r="C518" s="25">
        <f>C502+1</f>
        <v/>
      </c>
      <c r="D518" s="25" t="n">
        <v>3</v>
      </c>
      <c r="E518" s="25">
        <f t="array" ref="E518">_xlfn.XLOOKUP(C518,SkillActive!A:A,INDEX(SkillActive!A:AA,0,MATCH("name",SkillActive!$2:$2,0)),,0)</f>
        <v/>
      </c>
      <c r="F518" s="47">
        <f>D518</f>
        <v/>
      </c>
      <c r="G518" s="47">
        <f>_xlfn.XLOOKUP(C518,SkillActive!$A:$A,SkillActive!E:E,,0)</f>
        <v/>
      </c>
      <c r="H518" s="47">
        <f>_xlfn.XLOOKUP(E518,SkillActive!B:B,SkillActive!K:K,,0)</f>
        <v/>
      </c>
    </row>
    <row r="519">
      <c r="A519" s="25">
        <f>C519*100+D519</f>
        <v/>
      </c>
      <c r="B519" s="42">
        <f>_xlfn.XLOOKUP(C519,SkillActive!$A:$A,SkillActive!C:C,,0)</f>
        <v/>
      </c>
      <c r="C519" s="25">
        <f>C503+1</f>
        <v/>
      </c>
      <c r="D519" s="25" t="n">
        <v>4</v>
      </c>
      <c r="E519" s="25">
        <f t="array" ref="E519">_xlfn.XLOOKUP(C519,SkillActive!A:A,INDEX(SkillActive!A:AA,0,MATCH("name",SkillActive!$2:$2,0)),,0)</f>
        <v/>
      </c>
      <c r="F519" s="47">
        <f>D519</f>
        <v/>
      </c>
      <c r="G519" s="47">
        <f>_xlfn.XLOOKUP(C519,SkillActive!$A:$A,SkillActive!E:E,,0)</f>
        <v/>
      </c>
      <c r="H519" s="47">
        <f>_xlfn.XLOOKUP(E519,SkillActive!B:B,SkillActive!K:K,,0)</f>
        <v/>
      </c>
    </row>
    <row r="520">
      <c r="A520" s="25">
        <f>C520*100+D520</f>
        <v/>
      </c>
      <c r="B520" s="42">
        <f>_xlfn.XLOOKUP(C520,SkillActive!$A:$A,SkillActive!C:C,,0)</f>
        <v/>
      </c>
      <c r="C520" s="25">
        <f>C504+1</f>
        <v/>
      </c>
      <c r="D520" s="25" t="n">
        <v>5</v>
      </c>
      <c r="E520" s="25">
        <f t="array" ref="E520">_xlfn.XLOOKUP(C520,SkillActive!A:A,INDEX(SkillActive!A:AA,0,MATCH("name",SkillActive!$2:$2,0)),,0)</f>
        <v/>
      </c>
      <c r="F520" s="47">
        <f>D520</f>
        <v/>
      </c>
      <c r="G520" s="47">
        <f>_xlfn.XLOOKUP(C520,SkillActive!$A:$A,SkillActive!E:E,,0)</f>
        <v/>
      </c>
      <c r="H520" s="47">
        <f>_xlfn.XLOOKUP(E520,SkillActive!B:B,SkillActive!K:K,,0)</f>
        <v/>
      </c>
    </row>
    <row r="521">
      <c r="A521" s="25">
        <f>C521*100+D521</f>
        <v/>
      </c>
      <c r="B521" s="42">
        <f>_xlfn.XLOOKUP(C521,SkillActive!$A:$A,SkillActive!C:C,,0)</f>
        <v/>
      </c>
      <c r="C521" s="25">
        <f>C505+1</f>
        <v/>
      </c>
      <c r="D521" s="25" t="n">
        <v>6</v>
      </c>
      <c r="E521" s="25">
        <f t="array" ref="E521">_xlfn.XLOOKUP(C521,SkillActive!A:A,INDEX(SkillActive!A:AA,0,MATCH("name",SkillActive!$2:$2,0)),,0)</f>
        <v/>
      </c>
      <c r="F521" s="47">
        <f>D521</f>
        <v/>
      </c>
      <c r="G521" s="47">
        <f>_xlfn.XLOOKUP(C521,SkillActive!$A:$A,SkillActive!E:E,,0)</f>
        <v/>
      </c>
      <c r="H521" s="47">
        <f>_xlfn.XLOOKUP(E521,SkillActive!B:B,SkillActive!K:K,,0)</f>
        <v/>
      </c>
    </row>
    <row r="522">
      <c r="A522" s="25">
        <f>C522*100+D522</f>
        <v/>
      </c>
      <c r="B522" s="42">
        <f>_xlfn.XLOOKUP(C522,SkillActive!$A:$A,SkillActive!C:C,,0)</f>
        <v/>
      </c>
      <c r="C522" s="25">
        <f>C506+1</f>
        <v/>
      </c>
      <c r="D522" s="25" t="n">
        <v>7</v>
      </c>
      <c r="E522" s="25">
        <f t="array" ref="E522">_xlfn.XLOOKUP(C522,SkillActive!A:A,INDEX(SkillActive!A:AA,0,MATCH("name",SkillActive!$2:$2,0)),,0)</f>
        <v/>
      </c>
      <c r="F522" s="47">
        <f>D522</f>
        <v/>
      </c>
      <c r="G522" s="47">
        <f>_xlfn.XLOOKUP(C522,SkillActive!$A:$A,SkillActive!E:E,,0)</f>
        <v/>
      </c>
      <c r="H522" s="47">
        <f>_xlfn.XLOOKUP(E522,SkillActive!B:B,SkillActive!K:K,,0)</f>
        <v/>
      </c>
    </row>
    <row r="523">
      <c r="A523" s="25">
        <f>C523*100+D523</f>
        <v/>
      </c>
      <c r="B523" s="42">
        <f>_xlfn.XLOOKUP(C523,SkillActive!$A:$A,SkillActive!C:C,,0)</f>
        <v/>
      </c>
      <c r="C523" s="25">
        <f>C507+1</f>
        <v/>
      </c>
      <c r="D523" s="25" t="n">
        <v>8</v>
      </c>
      <c r="E523" s="25">
        <f t="array" ref="E523">_xlfn.XLOOKUP(C523,SkillActive!A:A,INDEX(SkillActive!A:AA,0,MATCH("name",SkillActive!$2:$2,0)),,0)</f>
        <v/>
      </c>
      <c r="F523" s="47">
        <f>D523</f>
        <v/>
      </c>
      <c r="G523" s="47">
        <f>_xlfn.XLOOKUP(C523,SkillActive!$A:$A,SkillActive!E:E,,0)</f>
        <v/>
      </c>
      <c r="H523" s="47">
        <f>_xlfn.XLOOKUP(E523,SkillActive!B:B,SkillActive!K:K,,0)</f>
        <v/>
      </c>
    </row>
    <row r="524">
      <c r="A524" s="25">
        <f>C524*100+D524</f>
        <v/>
      </c>
      <c r="B524" s="42">
        <f>_xlfn.XLOOKUP(C524,SkillActive!$A:$A,SkillActive!C:C,,0)</f>
        <v/>
      </c>
      <c r="C524" s="25">
        <f>C508+1</f>
        <v/>
      </c>
      <c r="D524" s="25" t="n">
        <v>9</v>
      </c>
      <c r="E524" s="25">
        <f t="array" ref="E524">_xlfn.XLOOKUP(C524,SkillActive!A:A,INDEX(SkillActive!A:AA,0,MATCH("name",SkillActive!$2:$2,0)),,0)</f>
        <v/>
      </c>
      <c r="F524" s="47">
        <f>D524</f>
        <v/>
      </c>
      <c r="G524" s="47">
        <f>_xlfn.XLOOKUP(C524,SkillActive!$A:$A,SkillActive!E:E,,0)</f>
        <v/>
      </c>
      <c r="H524" s="47">
        <f>_xlfn.XLOOKUP(E524,SkillActive!B:B,SkillActive!K:K,,0)</f>
        <v/>
      </c>
    </row>
    <row r="525">
      <c r="A525" s="25">
        <f>C525*100+D525</f>
        <v/>
      </c>
      <c r="B525" s="42">
        <f>_xlfn.XLOOKUP(C525,SkillActive!$A:$A,SkillActive!C:C,,0)</f>
        <v/>
      </c>
      <c r="C525" s="25">
        <f>C509+1</f>
        <v/>
      </c>
      <c r="D525" s="25" t="n">
        <v>10</v>
      </c>
      <c r="E525" s="25">
        <f t="array" ref="E525">_xlfn.XLOOKUP(C525,SkillActive!A:A,INDEX(SkillActive!A:AA,0,MATCH("name",SkillActive!$2:$2,0)),,0)</f>
        <v/>
      </c>
      <c r="F525" s="47">
        <f>D525</f>
        <v/>
      </c>
      <c r="G525" s="47">
        <f>_xlfn.XLOOKUP(C525,SkillActive!$A:$A,SkillActive!E:E,,0)</f>
        <v/>
      </c>
      <c r="H525" s="47">
        <f>_xlfn.XLOOKUP(E525,SkillActive!B:B,SkillActive!K:K,,0)</f>
        <v/>
      </c>
    </row>
    <row r="526">
      <c r="A526" s="25">
        <f>C526*100+D526</f>
        <v/>
      </c>
      <c r="B526" s="42">
        <f>_xlfn.XLOOKUP(C526,SkillActive!$A:$A,SkillActive!C:C,,0)</f>
        <v/>
      </c>
      <c r="C526" s="25">
        <f>C510+1</f>
        <v/>
      </c>
      <c r="D526" s="25" t="n">
        <v>11</v>
      </c>
      <c r="E526" s="25">
        <f t="array" ref="E526">_xlfn.XLOOKUP(C526,SkillActive!A:A,INDEX(SkillActive!A:AA,0,MATCH("name",SkillActive!$2:$2,0)),,0)</f>
        <v/>
      </c>
      <c r="F526" s="47">
        <f>D526</f>
        <v/>
      </c>
      <c r="G526" s="47">
        <f>_xlfn.XLOOKUP(C526,SkillActive!$A:$A,SkillActive!E:E,,0)</f>
        <v/>
      </c>
      <c r="H526" s="47">
        <f>_xlfn.XLOOKUP(E526,SkillActive!B:B,SkillActive!K:K,,0)</f>
        <v/>
      </c>
    </row>
    <row r="527">
      <c r="A527" s="25">
        <f>C527*100+D527</f>
        <v/>
      </c>
      <c r="B527" s="42">
        <f>_xlfn.XLOOKUP(C527,SkillActive!$A:$A,SkillActive!C:C,,0)</f>
        <v/>
      </c>
      <c r="C527" s="25">
        <f>C511+1</f>
        <v/>
      </c>
      <c r="D527" s="25" t="n">
        <v>12</v>
      </c>
      <c r="E527" s="25">
        <f t="array" ref="E527">_xlfn.XLOOKUP(C527,SkillActive!A:A,INDEX(SkillActive!A:AA,0,MATCH("name",SkillActive!$2:$2,0)),,0)</f>
        <v/>
      </c>
      <c r="F527" s="47">
        <f>D527</f>
        <v/>
      </c>
      <c r="G527" s="47">
        <f>_xlfn.XLOOKUP(C527,SkillActive!$A:$A,SkillActive!E:E,,0)</f>
        <v/>
      </c>
      <c r="H527" s="47">
        <f>_xlfn.XLOOKUP(E527,SkillActive!B:B,SkillActive!K:K,,0)</f>
        <v/>
      </c>
    </row>
    <row r="528">
      <c r="A528" s="25">
        <f>C528*100+D528</f>
        <v/>
      </c>
      <c r="B528" s="42">
        <f>_xlfn.XLOOKUP(C528,SkillActive!$A:$A,SkillActive!C:C,,0)</f>
        <v/>
      </c>
      <c r="C528" s="25">
        <f>C512+1</f>
        <v/>
      </c>
      <c r="D528" s="25" t="n">
        <v>13</v>
      </c>
      <c r="E528" s="25">
        <f t="array" ref="E528">_xlfn.XLOOKUP(C528,SkillActive!A:A,INDEX(SkillActive!A:AA,0,MATCH("name",SkillActive!$2:$2,0)),,0)</f>
        <v/>
      </c>
      <c r="F528" s="47">
        <f>D528</f>
        <v/>
      </c>
      <c r="G528" s="47">
        <f>_xlfn.XLOOKUP(C528,SkillActive!$A:$A,SkillActive!E:E,,0)</f>
        <v/>
      </c>
      <c r="H528" s="47">
        <f>_xlfn.XLOOKUP(E528,SkillActive!B:B,SkillActive!K:K,,0)</f>
        <v/>
      </c>
    </row>
    <row r="529">
      <c r="A529" s="25">
        <f>C529*100+D529</f>
        <v/>
      </c>
      <c r="B529" s="42">
        <f>_xlfn.XLOOKUP(C529,SkillActive!$A:$A,SkillActive!C:C,,0)</f>
        <v/>
      </c>
      <c r="C529" s="25">
        <f>C513+1</f>
        <v/>
      </c>
      <c r="D529" s="25" t="n">
        <v>14</v>
      </c>
      <c r="E529" s="25">
        <f t="array" ref="E529">_xlfn.XLOOKUP(C529,SkillActive!A:A,INDEX(SkillActive!A:AA,0,MATCH("name",SkillActive!$2:$2,0)),,0)</f>
        <v/>
      </c>
      <c r="F529" s="47">
        <f>D529</f>
        <v/>
      </c>
      <c r="G529" s="47">
        <f>_xlfn.XLOOKUP(C529,SkillActive!$A:$A,SkillActive!E:E,,0)</f>
        <v/>
      </c>
      <c r="H529" s="47">
        <f>_xlfn.XLOOKUP(E529,SkillActive!B:B,SkillActive!K:K,,0)</f>
        <v/>
      </c>
    </row>
    <row r="530">
      <c r="A530" s="25">
        <f>C530*100+D530</f>
        <v/>
      </c>
      <c r="B530" s="42">
        <f>_xlfn.XLOOKUP(C530,SkillActive!$A:$A,SkillActive!C:C,,0)</f>
        <v/>
      </c>
      <c r="C530" s="25">
        <f>C514+1</f>
        <v/>
      </c>
      <c r="D530" s="25" t="n">
        <v>15</v>
      </c>
      <c r="E530" s="25">
        <f t="array" ref="E530">_xlfn.XLOOKUP(C530,SkillActive!A:A,INDEX(SkillActive!A:AA,0,MATCH("name",SkillActive!$2:$2,0)),,0)</f>
        <v/>
      </c>
      <c r="F530" s="47">
        <f>D530</f>
        <v/>
      </c>
      <c r="G530" s="47">
        <f>_xlfn.XLOOKUP(C530,SkillActive!$A:$A,SkillActive!E:E,,0)</f>
        <v/>
      </c>
      <c r="H530" s="47">
        <f>_xlfn.XLOOKUP(E530,SkillActive!B:B,SkillActive!K:K,,0)</f>
        <v/>
      </c>
    </row>
    <row r="531">
      <c r="A531" s="25">
        <f>C531*100+D531</f>
        <v/>
      </c>
      <c r="B531" s="42">
        <f>_xlfn.XLOOKUP(C531,SkillActive!$A:$A,SkillActive!C:C,,0)</f>
        <v/>
      </c>
      <c r="C531" s="25">
        <f>C515+1</f>
        <v/>
      </c>
      <c r="D531" s="25" t="n">
        <v>16</v>
      </c>
      <c r="E531" s="25">
        <f t="array" ref="E531">_xlfn.XLOOKUP(C531,SkillActive!A:A,INDEX(SkillActive!A:AA,0,MATCH("name",SkillActive!$2:$2,0)),,0)</f>
        <v/>
      </c>
      <c r="F531" s="47">
        <f>D531</f>
        <v/>
      </c>
      <c r="G531" s="47">
        <f>_xlfn.XLOOKUP(C531,SkillActive!$A:$A,SkillActive!E:E,,0)</f>
        <v/>
      </c>
      <c r="H531" s="47">
        <f>_xlfn.XLOOKUP(E531,SkillActive!B:B,SkillActive!K:K,,0)</f>
        <v/>
      </c>
    </row>
    <row r="532">
      <c r="A532" s="25">
        <f>C532*100+D532</f>
        <v/>
      </c>
      <c r="B532" s="42">
        <f>_xlfn.XLOOKUP(C532,SkillActive!$A:$A,SkillActive!C:C,,0)</f>
        <v/>
      </c>
      <c r="C532" s="25">
        <f>C516+1</f>
        <v/>
      </c>
      <c r="D532" s="25" t="n">
        <v>1</v>
      </c>
      <c r="E532" s="25">
        <f t="array" ref="E532">_xlfn.XLOOKUP(C532,SkillActive!A:A,INDEX(SkillActive!A:AA,0,MATCH("name",SkillActive!$2:$2,0)),,0)</f>
        <v/>
      </c>
      <c r="F532" s="47">
        <f>D532</f>
        <v/>
      </c>
      <c r="G532" s="47">
        <f>_xlfn.XLOOKUP(C532,SkillActive!$A:$A,SkillActive!E:E,,0)</f>
        <v/>
      </c>
      <c r="H532" s="47">
        <f>_xlfn.XLOOKUP(E532,SkillActive!B:B,SkillActive!K:K,,0)</f>
        <v/>
      </c>
    </row>
    <row r="533">
      <c r="A533" s="25">
        <f>C533*100+D533</f>
        <v/>
      </c>
      <c r="B533" s="42">
        <f>_xlfn.XLOOKUP(C533,SkillActive!$A:$A,SkillActive!C:C,,0)</f>
        <v/>
      </c>
      <c r="C533" s="25">
        <f>C517+1</f>
        <v/>
      </c>
      <c r="D533" s="25" t="n">
        <v>2</v>
      </c>
      <c r="E533" s="25">
        <f t="array" ref="E533">_xlfn.XLOOKUP(C533,SkillActive!A:A,INDEX(SkillActive!A:AA,0,MATCH("name",SkillActive!$2:$2,0)),,0)</f>
        <v/>
      </c>
      <c r="F533" s="47">
        <f>D533</f>
        <v/>
      </c>
      <c r="G533" s="47">
        <f>_xlfn.XLOOKUP(C533,SkillActive!$A:$A,SkillActive!E:E,,0)</f>
        <v/>
      </c>
      <c r="H533" s="47">
        <f>_xlfn.XLOOKUP(E533,SkillActive!B:B,SkillActive!K:K,,0)</f>
        <v/>
      </c>
    </row>
    <row r="534">
      <c r="A534" s="25">
        <f>C534*100+D534</f>
        <v/>
      </c>
      <c r="B534" s="42">
        <f>_xlfn.XLOOKUP(C534,SkillActive!$A:$A,SkillActive!C:C,,0)</f>
        <v/>
      </c>
      <c r="C534" s="25">
        <f>C518+1</f>
        <v/>
      </c>
      <c r="D534" s="25" t="n">
        <v>3</v>
      </c>
      <c r="E534" s="25">
        <f t="array" ref="E534">_xlfn.XLOOKUP(C534,SkillActive!A:A,INDEX(SkillActive!A:AA,0,MATCH("name",SkillActive!$2:$2,0)),,0)</f>
        <v/>
      </c>
      <c r="F534" s="47">
        <f>D534</f>
        <v/>
      </c>
      <c r="G534" s="47">
        <f>_xlfn.XLOOKUP(C534,SkillActive!$A:$A,SkillActive!E:E,,0)</f>
        <v/>
      </c>
      <c r="H534" s="47">
        <f>_xlfn.XLOOKUP(E534,SkillActive!B:B,SkillActive!K:K,,0)</f>
        <v/>
      </c>
    </row>
    <row r="535">
      <c r="A535" s="25">
        <f>C535*100+D535</f>
        <v/>
      </c>
      <c r="B535" s="42">
        <f>_xlfn.XLOOKUP(C535,SkillActive!$A:$A,SkillActive!C:C,,0)</f>
        <v/>
      </c>
      <c r="C535" s="25">
        <f>C519+1</f>
        <v/>
      </c>
      <c r="D535" s="25" t="n">
        <v>4</v>
      </c>
      <c r="E535" s="25">
        <f t="array" ref="E535">_xlfn.XLOOKUP(C535,SkillActive!A:A,INDEX(SkillActive!A:AA,0,MATCH("name",SkillActive!$2:$2,0)),,0)</f>
        <v/>
      </c>
      <c r="F535" s="47">
        <f>D535</f>
        <v/>
      </c>
      <c r="G535" s="47">
        <f>_xlfn.XLOOKUP(C535,SkillActive!$A:$A,SkillActive!E:E,,0)</f>
        <v/>
      </c>
      <c r="H535" s="47">
        <f>_xlfn.XLOOKUP(E535,SkillActive!B:B,SkillActive!K:K,,0)</f>
        <v/>
      </c>
    </row>
    <row r="536">
      <c r="A536" s="25">
        <f>C536*100+D536</f>
        <v/>
      </c>
      <c r="B536" s="42">
        <f>_xlfn.XLOOKUP(C536,SkillActive!$A:$A,SkillActive!C:C,,0)</f>
        <v/>
      </c>
      <c r="C536" s="25">
        <f>C520+1</f>
        <v/>
      </c>
      <c r="D536" s="25" t="n">
        <v>5</v>
      </c>
      <c r="E536" s="25">
        <f t="array" ref="E536">_xlfn.XLOOKUP(C536,SkillActive!A:A,INDEX(SkillActive!A:AA,0,MATCH("name",SkillActive!$2:$2,0)),,0)</f>
        <v/>
      </c>
      <c r="F536" s="47">
        <f>D536</f>
        <v/>
      </c>
      <c r="G536" s="47">
        <f>_xlfn.XLOOKUP(C536,SkillActive!$A:$A,SkillActive!E:E,,0)</f>
        <v/>
      </c>
      <c r="H536" s="47">
        <f>_xlfn.XLOOKUP(E536,SkillActive!B:B,SkillActive!K:K,,0)</f>
        <v/>
      </c>
    </row>
    <row r="537">
      <c r="A537" s="25">
        <f>C537*100+D537</f>
        <v/>
      </c>
      <c r="B537" s="42">
        <f>_xlfn.XLOOKUP(C537,SkillActive!$A:$A,SkillActive!C:C,,0)</f>
        <v/>
      </c>
      <c r="C537" s="25">
        <f>C521+1</f>
        <v/>
      </c>
      <c r="D537" s="25" t="n">
        <v>6</v>
      </c>
      <c r="E537" s="25">
        <f t="array" ref="E537">_xlfn.XLOOKUP(C537,SkillActive!A:A,INDEX(SkillActive!A:AA,0,MATCH("name",SkillActive!$2:$2,0)),,0)</f>
        <v/>
      </c>
      <c r="F537" s="47">
        <f>D537</f>
        <v/>
      </c>
      <c r="G537" s="47">
        <f>_xlfn.XLOOKUP(C537,SkillActive!$A:$A,SkillActive!E:E,,0)</f>
        <v/>
      </c>
      <c r="H537" s="47">
        <f>_xlfn.XLOOKUP(E537,SkillActive!B:B,SkillActive!K:K,,0)</f>
        <v/>
      </c>
    </row>
    <row r="538">
      <c r="A538" s="25">
        <f>C538*100+D538</f>
        <v/>
      </c>
      <c r="B538" s="42">
        <f>_xlfn.XLOOKUP(C538,SkillActive!$A:$A,SkillActive!C:C,,0)</f>
        <v/>
      </c>
      <c r="C538" s="25">
        <f>C522+1</f>
        <v/>
      </c>
      <c r="D538" s="25" t="n">
        <v>7</v>
      </c>
      <c r="E538" s="25">
        <f t="array" ref="E538">_xlfn.XLOOKUP(C538,SkillActive!A:A,INDEX(SkillActive!A:AA,0,MATCH("name",SkillActive!$2:$2,0)),,0)</f>
        <v/>
      </c>
      <c r="F538" s="47">
        <f>D538</f>
        <v/>
      </c>
      <c r="G538" s="47">
        <f>_xlfn.XLOOKUP(C538,SkillActive!$A:$A,SkillActive!E:E,,0)</f>
        <v/>
      </c>
      <c r="H538" s="47">
        <f>_xlfn.XLOOKUP(E538,SkillActive!B:B,SkillActive!K:K,,0)</f>
        <v/>
      </c>
    </row>
    <row r="539">
      <c r="A539" s="25">
        <f>C539*100+D539</f>
        <v/>
      </c>
      <c r="B539" s="42">
        <f>_xlfn.XLOOKUP(C539,SkillActive!$A:$A,SkillActive!C:C,,0)</f>
        <v/>
      </c>
      <c r="C539" s="25">
        <f>C523+1</f>
        <v/>
      </c>
      <c r="D539" s="25" t="n">
        <v>8</v>
      </c>
      <c r="E539" s="25">
        <f t="array" ref="E539">_xlfn.XLOOKUP(C539,SkillActive!A:A,INDEX(SkillActive!A:AA,0,MATCH("name",SkillActive!$2:$2,0)),,0)</f>
        <v/>
      </c>
      <c r="F539" s="47">
        <f>D539</f>
        <v/>
      </c>
      <c r="G539" s="47">
        <f>_xlfn.XLOOKUP(C539,SkillActive!$A:$A,SkillActive!E:E,,0)</f>
        <v/>
      </c>
      <c r="H539" s="47">
        <f>_xlfn.XLOOKUP(E539,SkillActive!B:B,SkillActive!K:K,,0)</f>
        <v/>
      </c>
    </row>
    <row r="540">
      <c r="A540" s="25">
        <f>C540*100+D540</f>
        <v/>
      </c>
      <c r="B540" s="42">
        <f>_xlfn.XLOOKUP(C540,SkillActive!$A:$A,SkillActive!C:C,,0)</f>
        <v/>
      </c>
      <c r="C540" s="25">
        <f>C524+1</f>
        <v/>
      </c>
      <c r="D540" s="25" t="n">
        <v>9</v>
      </c>
      <c r="E540" s="25">
        <f t="array" ref="E540">_xlfn.XLOOKUP(C540,SkillActive!A:A,INDEX(SkillActive!A:AA,0,MATCH("name",SkillActive!$2:$2,0)),,0)</f>
        <v/>
      </c>
      <c r="F540" s="47">
        <f>D540</f>
        <v/>
      </c>
      <c r="G540" s="47">
        <f>_xlfn.XLOOKUP(C540,SkillActive!$A:$A,SkillActive!E:E,,0)</f>
        <v/>
      </c>
      <c r="H540" s="47">
        <f>_xlfn.XLOOKUP(E540,SkillActive!B:B,SkillActive!K:K,,0)</f>
        <v/>
      </c>
    </row>
    <row r="541">
      <c r="A541" s="25">
        <f>C541*100+D541</f>
        <v/>
      </c>
      <c r="B541" s="42">
        <f>_xlfn.XLOOKUP(C541,SkillActive!$A:$A,SkillActive!C:C,,0)</f>
        <v/>
      </c>
      <c r="C541" s="25">
        <f>C525+1</f>
        <v/>
      </c>
      <c r="D541" s="25" t="n">
        <v>10</v>
      </c>
      <c r="E541" s="25">
        <f t="array" ref="E541">_xlfn.XLOOKUP(C541,SkillActive!A:A,INDEX(SkillActive!A:AA,0,MATCH("name",SkillActive!$2:$2,0)),,0)</f>
        <v/>
      </c>
      <c r="F541" s="47">
        <f>D541</f>
        <v/>
      </c>
      <c r="G541" s="47">
        <f>_xlfn.XLOOKUP(C541,SkillActive!$A:$A,SkillActive!E:E,,0)</f>
        <v/>
      </c>
      <c r="H541" s="47">
        <f>_xlfn.XLOOKUP(E541,SkillActive!B:B,SkillActive!K:K,,0)</f>
        <v/>
      </c>
    </row>
    <row r="542">
      <c r="A542" s="25">
        <f>C542*100+D542</f>
        <v/>
      </c>
      <c r="B542" s="42">
        <f>_xlfn.XLOOKUP(C542,SkillActive!$A:$A,SkillActive!C:C,,0)</f>
        <v/>
      </c>
      <c r="C542" s="25">
        <f>C526+1</f>
        <v/>
      </c>
      <c r="D542" s="25" t="n">
        <v>11</v>
      </c>
      <c r="E542" s="25">
        <f t="array" ref="E542">_xlfn.XLOOKUP(C542,SkillActive!A:A,INDEX(SkillActive!A:AA,0,MATCH("name",SkillActive!$2:$2,0)),,0)</f>
        <v/>
      </c>
      <c r="F542" s="47">
        <f>D542</f>
        <v/>
      </c>
      <c r="G542" s="47">
        <f>_xlfn.XLOOKUP(C542,SkillActive!$A:$A,SkillActive!E:E,,0)</f>
        <v/>
      </c>
      <c r="H542" s="47">
        <f>_xlfn.XLOOKUP(E542,SkillActive!B:B,SkillActive!K:K,,0)</f>
        <v/>
      </c>
    </row>
    <row r="543">
      <c r="A543" s="25">
        <f>C543*100+D543</f>
        <v/>
      </c>
      <c r="B543" s="42">
        <f>_xlfn.XLOOKUP(C543,SkillActive!$A:$A,SkillActive!C:C,,0)</f>
        <v/>
      </c>
      <c r="C543" s="25">
        <f>C527+1</f>
        <v/>
      </c>
      <c r="D543" s="25" t="n">
        <v>12</v>
      </c>
      <c r="E543" s="25">
        <f t="array" ref="E543">_xlfn.XLOOKUP(C543,SkillActive!A:A,INDEX(SkillActive!A:AA,0,MATCH("name",SkillActive!$2:$2,0)),,0)</f>
        <v/>
      </c>
      <c r="F543" s="47">
        <f>D543</f>
        <v/>
      </c>
      <c r="G543" s="47">
        <f>_xlfn.XLOOKUP(C543,SkillActive!$A:$A,SkillActive!E:E,,0)</f>
        <v/>
      </c>
      <c r="H543" s="47">
        <f>_xlfn.XLOOKUP(E543,SkillActive!B:B,SkillActive!K:K,,0)</f>
        <v/>
      </c>
    </row>
    <row r="544">
      <c r="A544" s="25">
        <f>C544*100+D544</f>
        <v/>
      </c>
      <c r="B544" s="42">
        <f>_xlfn.XLOOKUP(C544,SkillActive!$A:$A,SkillActive!C:C,,0)</f>
        <v/>
      </c>
      <c r="C544" s="25">
        <f>C528+1</f>
        <v/>
      </c>
      <c r="D544" s="25" t="n">
        <v>13</v>
      </c>
      <c r="E544" s="25">
        <f t="array" ref="E544">_xlfn.XLOOKUP(C544,SkillActive!A:A,INDEX(SkillActive!A:AA,0,MATCH("name",SkillActive!$2:$2,0)),,0)</f>
        <v/>
      </c>
      <c r="F544" s="47">
        <f>D544</f>
        <v/>
      </c>
      <c r="G544" s="47">
        <f>_xlfn.XLOOKUP(C544,SkillActive!$A:$A,SkillActive!E:E,,0)</f>
        <v/>
      </c>
      <c r="H544" s="47">
        <f>_xlfn.XLOOKUP(E544,SkillActive!B:B,SkillActive!K:K,,0)</f>
        <v/>
      </c>
    </row>
    <row r="545">
      <c r="A545" s="25">
        <f>C545*100+D545</f>
        <v/>
      </c>
      <c r="B545" s="42">
        <f>_xlfn.XLOOKUP(C545,SkillActive!$A:$A,SkillActive!C:C,,0)</f>
        <v/>
      </c>
      <c r="C545" s="25">
        <f>C529+1</f>
        <v/>
      </c>
      <c r="D545" s="25" t="n">
        <v>14</v>
      </c>
      <c r="E545" s="25">
        <f t="array" ref="E545">_xlfn.XLOOKUP(C545,SkillActive!A:A,INDEX(SkillActive!A:AA,0,MATCH("name",SkillActive!$2:$2,0)),,0)</f>
        <v/>
      </c>
      <c r="F545" s="47">
        <f>D545</f>
        <v/>
      </c>
      <c r="G545" s="47">
        <f>_xlfn.XLOOKUP(C545,SkillActive!$A:$A,SkillActive!E:E,,0)</f>
        <v/>
      </c>
      <c r="H545" s="47">
        <f>_xlfn.XLOOKUP(E545,SkillActive!B:B,SkillActive!K:K,,0)</f>
        <v/>
      </c>
    </row>
    <row r="546">
      <c r="A546" s="25">
        <f>C546*100+D546</f>
        <v/>
      </c>
      <c r="B546" s="42">
        <f>_xlfn.XLOOKUP(C546,SkillActive!$A:$A,SkillActive!C:C,,0)</f>
        <v/>
      </c>
      <c r="C546" s="25">
        <f>C530+1</f>
        <v/>
      </c>
      <c r="D546" s="25" t="n">
        <v>15</v>
      </c>
      <c r="E546" s="25">
        <f t="array" ref="E546">_xlfn.XLOOKUP(C546,SkillActive!A:A,INDEX(SkillActive!A:AA,0,MATCH("name",SkillActive!$2:$2,0)),,0)</f>
        <v/>
      </c>
      <c r="F546" s="47">
        <f>D546</f>
        <v/>
      </c>
      <c r="G546" s="47">
        <f>_xlfn.XLOOKUP(C546,SkillActive!$A:$A,SkillActive!E:E,,0)</f>
        <v/>
      </c>
      <c r="H546" s="47">
        <f>_xlfn.XLOOKUP(E546,SkillActive!B:B,SkillActive!K:K,,0)</f>
        <v/>
      </c>
    </row>
    <row r="547">
      <c r="A547" s="25">
        <f>C547*100+D547</f>
        <v/>
      </c>
      <c r="B547" s="42">
        <f>_xlfn.XLOOKUP(C547,SkillActive!$A:$A,SkillActive!C:C,,0)</f>
        <v/>
      </c>
      <c r="C547" s="25">
        <f>C531+1</f>
        <v/>
      </c>
      <c r="D547" s="25" t="n">
        <v>16</v>
      </c>
      <c r="E547" s="25">
        <f t="array" ref="E547">_xlfn.XLOOKUP(C547,SkillActive!A:A,INDEX(SkillActive!A:AA,0,MATCH("name",SkillActive!$2:$2,0)),,0)</f>
        <v/>
      </c>
      <c r="F547" s="47">
        <f>D547</f>
        <v/>
      </c>
      <c r="G547" s="47">
        <f>_xlfn.XLOOKUP(C547,SkillActive!$A:$A,SkillActive!E:E,,0)</f>
        <v/>
      </c>
      <c r="H547" s="47">
        <f>_xlfn.XLOOKUP(E547,SkillActive!B:B,SkillActive!K:K,,0)</f>
        <v/>
      </c>
    </row>
    <row r="548">
      <c r="A548" s="25">
        <f>C548*100+D548</f>
        <v/>
      </c>
      <c r="B548" s="42">
        <f>_xlfn.XLOOKUP(C548,SkillActive!$A:$A,SkillActive!C:C,,0)</f>
        <v/>
      </c>
      <c r="C548" s="25">
        <f>C532+1</f>
        <v/>
      </c>
      <c r="D548" s="25" t="n">
        <v>1</v>
      </c>
      <c r="E548" s="25">
        <f t="array" ref="E548">_xlfn.XLOOKUP(C548,SkillActive!A:A,INDEX(SkillActive!A:AA,0,MATCH("name",SkillActive!$2:$2,0)),,0)</f>
        <v/>
      </c>
      <c r="F548" s="47">
        <f>D548</f>
        <v/>
      </c>
      <c r="G548" s="47">
        <f>_xlfn.XLOOKUP(C548,SkillActive!$A:$A,SkillActive!E:E,,0)</f>
        <v/>
      </c>
      <c r="H548" s="47">
        <f>_xlfn.XLOOKUP(E548,SkillActive!B:B,SkillActive!K:K,,0)</f>
        <v/>
      </c>
    </row>
    <row r="549">
      <c r="A549" s="25">
        <f>C549*100+D549</f>
        <v/>
      </c>
      <c r="B549" s="42">
        <f>_xlfn.XLOOKUP(C549,SkillActive!$A:$A,SkillActive!C:C,,0)</f>
        <v/>
      </c>
      <c r="C549" s="25">
        <f>C533+1</f>
        <v/>
      </c>
      <c r="D549" s="25" t="n">
        <v>2</v>
      </c>
      <c r="E549" s="25">
        <f t="array" ref="E549">_xlfn.XLOOKUP(C549,SkillActive!A:A,INDEX(SkillActive!A:AA,0,MATCH("name",SkillActive!$2:$2,0)),,0)</f>
        <v/>
      </c>
      <c r="F549" s="47">
        <f>D549</f>
        <v/>
      </c>
      <c r="G549" s="47">
        <f>_xlfn.XLOOKUP(C549,SkillActive!$A:$A,SkillActive!E:E,,0)</f>
        <v/>
      </c>
      <c r="H549" s="47">
        <f>_xlfn.XLOOKUP(E549,SkillActive!B:B,SkillActive!K:K,,0)</f>
        <v/>
      </c>
    </row>
    <row r="550">
      <c r="A550" s="25">
        <f>C550*100+D550</f>
        <v/>
      </c>
      <c r="B550" s="42">
        <f>_xlfn.XLOOKUP(C550,SkillActive!$A:$A,SkillActive!C:C,,0)</f>
        <v/>
      </c>
      <c r="C550" s="25">
        <f>C534+1</f>
        <v/>
      </c>
      <c r="D550" s="25" t="n">
        <v>3</v>
      </c>
      <c r="E550" s="25">
        <f t="array" ref="E550">_xlfn.XLOOKUP(C550,SkillActive!A:A,INDEX(SkillActive!A:AA,0,MATCH("name",SkillActive!$2:$2,0)),,0)</f>
        <v/>
      </c>
      <c r="F550" s="47">
        <f>D550</f>
        <v/>
      </c>
      <c r="G550" s="47">
        <f>_xlfn.XLOOKUP(C550,SkillActive!$A:$A,SkillActive!E:E,,0)</f>
        <v/>
      </c>
      <c r="H550" s="47">
        <f>_xlfn.XLOOKUP(E550,SkillActive!B:B,SkillActive!K:K,,0)</f>
        <v/>
      </c>
    </row>
    <row r="551">
      <c r="A551" s="25">
        <f>C551*100+D551</f>
        <v/>
      </c>
      <c r="B551" s="42">
        <f>_xlfn.XLOOKUP(C551,SkillActive!$A:$A,SkillActive!C:C,,0)</f>
        <v/>
      </c>
      <c r="C551" s="25">
        <f>C535+1</f>
        <v/>
      </c>
      <c r="D551" s="25" t="n">
        <v>4</v>
      </c>
      <c r="E551" s="25">
        <f t="array" ref="E551">_xlfn.XLOOKUP(C551,SkillActive!A:A,INDEX(SkillActive!A:AA,0,MATCH("name",SkillActive!$2:$2,0)),,0)</f>
        <v/>
      </c>
      <c r="F551" s="47">
        <f>D551</f>
        <v/>
      </c>
      <c r="G551" s="47">
        <f>_xlfn.XLOOKUP(C551,SkillActive!$A:$A,SkillActive!E:E,,0)</f>
        <v/>
      </c>
      <c r="H551" s="47">
        <f>_xlfn.XLOOKUP(E551,SkillActive!B:B,SkillActive!K:K,,0)</f>
        <v/>
      </c>
    </row>
    <row r="552">
      <c r="A552" s="25">
        <f>C552*100+D552</f>
        <v/>
      </c>
      <c r="B552" s="42">
        <f>_xlfn.XLOOKUP(C552,SkillActive!$A:$A,SkillActive!C:C,,0)</f>
        <v/>
      </c>
      <c r="C552" s="25">
        <f>C536+1</f>
        <v/>
      </c>
      <c r="D552" s="25" t="n">
        <v>5</v>
      </c>
      <c r="E552" s="25">
        <f t="array" ref="E552">_xlfn.XLOOKUP(C552,SkillActive!A:A,INDEX(SkillActive!A:AA,0,MATCH("name",SkillActive!$2:$2,0)),,0)</f>
        <v/>
      </c>
      <c r="F552" s="47">
        <f>D552</f>
        <v/>
      </c>
      <c r="G552" s="47">
        <f>_xlfn.XLOOKUP(C552,SkillActive!$A:$A,SkillActive!E:E,,0)</f>
        <v/>
      </c>
      <c r="H552" s="47">
        <f>_xlfn.XLOOKUP(E552,SkillActive!B:B,SkillActive!K:K,,0)</f>
        <v/>
      </c>
    </row>
    <row r="553">
      <c r="A553" s="25">
        <f>C553*100+D553</f>
        <v/>
      </c>
      <c r="B553" s="42">
        <f>_xlfn.XLOOKUP(C553,SkillActive!$A:$A,SkillActive!C:C,,0)</f>
        <v/>
      </c>
      <c r="C553" s="25">
        <f>C537+1</f>
        <v/>
      </c>
      <c r="D553" s="25" t="n">
        <v>6</v>
      </c>
      <c r="E553" s="25">
        <f t="array" ref="E553">_xlfn.XLOOKUP(C553,SkillActive!A:A,INDEX(SkillActive!A:AA,0,MATCH("name",SkillActive!$2:$2,0)),,0)</f>
        <v/>
      </c>
      <c r="F553" s="47">
        <f>D553</f>
        <v/>
      </c>
      <c r="G553" s="47">
        <f>_xlfn.XLOOKUP(C553,SkillActive!$A:$A,SkillActive!E:E,,0)</f>
        <v/>
      </c>
      <c r="H553" s="47">
        <f>_xlfn.XLOOKUP(E553,SkillActive!B:B,SkillActive!K:K,,0)</f>
        <v/>
      </c>
    </row>
    <row r="554">
      <c r="A554" s="25">
        <f>C554*100+D554</f>
        <v/>
      </c>
      <c r="B554" s="42">
        <f>_xlfn.XLOOKUP(C554,SkillActive!$A:$A,SkillActive!C:C,,0)</f>
        <v/>
      </c>
      <c r="C554" s="25">
        <f>C538+1</f>
        <v/>
      </c>
      <c r="D554" s="25" t="n">
        <v>7</v>
      </c>
      <c r="E554" s="25">
        <f t="array" ref="E554">_xlfn.XLOOKUP(C554,SkillActive!A:A,INDEX(SkillActive!A:AA,0,MATCH("name",SkillActive!$2:$2,0)),,0)</f>
        <v/>
      </c>
      <c r="F554" s="47">
        <f>D554</f>
        <v/>
      </c>
      <c r="G554" s="47">
        <f>_xlfn.XLOOKUP(C554,SkillActive!$A:$A,SkillActive!E:E,,0)</f>
        <v/>
      </c>
      <c r="H554" s="47">
        <f>_xlfn.XLOOKUP(E554,SkillActive!B:B,SkillActive!K:K,,0)</f>
        <v/>
      </c>
    </row>
    <row r="555">
      <c r="A555" s="25">
        <f>C555*100+D555</f>
        <v/>
      </c>
      <c r="B555" s="42">
        <f>_xlfn.XLOOKUP(C555,SkillActive!$A:$A,SkillActive!C:C,,0)</f>
        <v/>
      </c>
      <c r="C555" s="25">
        <f>C539+1</f>
        <v/>
      </c>
      <c r="D555" s="25" t="n">
        <v>8</v>
      </c>
      <c r="E555" s="25">
        <f t="array" ref="E555">_xlfn.XLOOKUP(C555,SkillActive!A:A,INDEX(SkillActive!A:AA,0,MATCH("name",SkillActive!$2:$2,0)),,0)</f>
        <v/>
      </c>
      <c r="F555" s="47">
        <f>D555</f>
        <v/>
      </c>
      <c r="G555" s="47">
        <f>_xlfn.XLOOKUP(C555,SkillActive!$A:$A,SkillActive!E:E,,0)</f>
        <v/>
      </c>
      <c r="H555" s="47">
        <f>_xlfn.XLOOKUP(E555,SkillActive!B:B,SkillActive!K:K,,0)</f>
        <v/>
      </c>
    </row>
    <row r="556">
      <c r="A556" s="25">
        <f>C556*100+D556</f>
        <v/>
      </c>
      <c r="B556" s="42">
        <f>_xlfn.XLOOKUP(C556,SkillActive!$A:$A,SkillActive!C:C,,0)</f>
        <v/>
      </c>
      <c r="C556" s="25">
        <f>C540+1</f>
        <v/>
      </c>
      <c r="D556" s="25" t="n">
        <v>9</v>
      </c>
      <c r="E556" s="25">
        <f t="array" ref="E556">_xlfn.XLOOKUP(C556,SkillActive!A:A,INDEX(SkillActive!A:AA,0,MATCH("name",SkillActive!$2:$2,0)),,0)</f>
        <v/>
      </c>
      <c r="F556" s="47">
        <f>D556</f>
        <v/>
      </c>
      <c r="G556" s="47">
        <f>_xlfn.XLOOKUP(C556,SkillActive!$A:$A,SkillActive!E:E,,0)</f>
        <v/>
      </c>
      <c r="H556" s="47">
        <f>_xlfn.XLOOKUP(E556,SkillActive!B:B,SkillActive!K:K,,0)</f>
        <v/>
      </c>
    </row>
    <row r="557">
      <c r="A557" s="25">
        <f>C557*100+D557</f>
        <v/>
      </c>
      <c r="B557" s="42">
        <f>_xlfn.XLOOKUP(C557,SkillActive!$A:$A,SkillActive!C:C,,0)</f>
        <v/>
      </c>
      <c r="C557" s="25">
        <f>C541+1</f>
        <v/>
      </c>
      <c r="D557" s="25" t="n">
        <v>10</v>
      </c>
      <c r="E557" s="25">
        <f t="array" ref="E557">_xlfn.XLOOKUP(C557,SkillActive!A:A,INDEX(SkillActive!A:AA,0,MATCH("name",SkillActive!$2:$2,0)),,0)</f>
        <v/>
      </c>
      <c r="F557" s="47">
        <f>D557</f>
        <v/>
      </c>
      <c r="G557" s="47">
        <f>_xlfn.XLOOKUP(C557,SkillActive!$A:$A,SkillActive!E:E,,0)</f>
        <v/>
      </c>
      <c r="H557" s="47">
        <f>_xlfn.XLOOKUP(E557,SkillActive!B:B,SkillActive!K:K,,0)</f>
        <v/>
      </c>
    </row>
    <row r="558">
      <c r="A558" s="25">
        <f>C558*100+D558</f>
        <v/>
      </c>
      <c r="B558" s="42">
        <f>_xlfn.XLOOKUP(C558,SkillActive!$A:$A,SkillActive!C:C,,0)</f>
        <v/>
      </c>
      <c r="C558" s="25">
        <f>C542+1</f>
        <v/>
      </c>
      <c r="D558" s="25" t="n">
        <v>11</v>
      </c>
      <c r="E558" s="25">
        <f t="array" ref="E558">_xlfn.XLOOKUP(C558,SkillActive!A:A,INDEX(SkillActive!A:AA,0,MATCH("name",SkillActive!$2:$2,0)),,0)</f>
        <v/>
      </c>
      <c r="F558" s="47">
        <f>D558</f>
        <v/>
      </c>
      <c r="G558" s="47">
        <f>_xlfn.XLOOKUP(C558,SkillActive!$A:$A,SkillActive!E:E,,0)</f>
        <v/>
      </c>
      <c r="H558" s="47">
        <f>_xlfn.XLOOKUP(E558,SkillActive!B:B,SkillActive!K:K,,0)</f>
        <v/>
      </c>
    </row>
    <row r="559">
      <c r="A559" s="25">
        <f>C559*100+D559</f>
        <v/>
      </c>
      <c r="B559" s="42">
        <f>_xlfn.XLOOKUP(C559,SkillActive!$A:$A,SkillActive!C:C,,0)</f>
        <v/>
      </c>
      <c r="C559" s="25">
        <f>C543+1</f>
        <v/>
      </c>
      <c r="D559" s="25" t="n">
        <v>12</v>
      </c>
      <c r="E559" s="25">
        <f t="array" ref="E559">_xlfn.XLOOKUP(C559,SkillActive!A:A,INDEX(SkillActive!A:AA,0,MATCH("name",SkillActive!$2:$2,0)),,0)</f>
        <v/>
      </c>
      <c r="F559" s="47">
        <f>D559</f>
        <v/>
      </c>
      <c r="G559" s="47">
        <f>_xlfn.XLOOKUP(C559,SkillActive!$A:$A,SkillActive!E:E,,0)</f>
        <v/>
      </c>
      <c r="H559" s="47">
        <f>_xlfn.XLOOKUP(E559,SkillActive!B:B,SkillActive!K:K,,0)</f>
        <v/>
      </c>
    </row>
    <row r="560">
      <c r="A560" s="25">
        <f>C560*100+D560</f>
        <v/>
      </c>
      <c r="B560" s="42">
        <f>_xlfn.XLOOKUP(C560,SkillActive!$A:$A,SkillActive!C:C,,0)</f>
        <v/>
      </c>
      <c r="C560" s="25">
        <f>C544+1</f>
        <v/>
      </c>
      <c r="D560" s="25" t="n">
        <v>13</v>
      </c>
      <c r="E560" s="25">
        <f t="array" ref="E560">_xlfn.XLOOKUP(C560,SkillActive!A:A,INDEX(SkillActive!A:AA,0,MATCH("name",SkillActive!$2:$2,0)),,0)</f>
        <v/>
      </c>
      <c r="F560" s="47">
        <f>D560</f>
        <v/>
      </c>
      <c r="G560" s="47">
        <f>_xlfn.XLOOKUP(C560,SkillActive!$A:$A,SkillActive!E:E,,0)</f>
        <v/>
      </c>
      <c r="H560" s="47">
        <f>_xlfn.XLOOKUP(E560,SkillActive!B:B,SkillActive!K:K,,0)</f>
        <v/>
      </c>
    </row>
    <row r="561">
      <c r="A561" s="25">
        <f>C561*100+D561</f>
        <v/>
      </c>
      <c r="B561" s="42">
        <f>_xlfn.XLOOKUP(C561,SkillActive!$A:$A,SkillActive!C:C,,0)</f>
        <v/>
      </c>
      <c r="C561" s="25">
        <f>C545+1</f>
        <v/>
      </c>
      <c r="D561" s="25" t="n">
        <v>14</v>
      </c>
      <c r="E561" s="25">
        <f t="array" ref="E561">_xlfn.XLOOKUP(C561,SkillActive!A:A,INDEX(SkillActive!A:AA,0,MATCH("name",SkillActive!$2:$2,0)),,0)</f>
        <v/>
      </c>
      <c r="F561" s="47">
        <f>D561</f>
        <v/>
      </c>
      <c r="G561" s="47">
        <f>_xlfn.XLOOKUP(C561,SkillActive!$A:$A,SkillActive!E:E,,0)</f>
        <v/>
      </c>
      <c r="H561" s="47">
        <f>_xlfn.XLOOKUP(E561,SkillActive!B:B,SkillActive!K:K,,0)</f>
        <v/>
      </c>
    </row>
    <row r="562">
      <c r="A562" s="25">
        <f>C562*100+D562</f>
        <v/>
      </c>
      <c r="B562" s="42">
        <f>_xlfn.XLOOKUP(C562,SkillActive!$A:$A,SkillActive!C:C,,0)</f>
        <v/>
      </c>
      <c r="C562" s="25">
        <f>C546+1</f>
        <v/>
      </c>
      <c r="D562" s="25" t="n">
        <v>15</v>
      </c>
      <c r="E562" s="25">
        <f t="array" ref="E562">_xlfn.XLOOKUP(C562,SkillActive!A:A,INDEX(SkillActive!A:AA,0,MATCH("name",SkillActive!$2:$2,0)),,0)</f>
        <v/>
      </c>
      <c r="F562" s="47">
        <f>D562</f>
        <v/>
      </c>
      <c r="G562" s="47">
        <f>_xlfn.XLOOKUP(C562,SkillActive!$A:$A,SkillActive!E:E,,0)</f>
        <v/>
      </c>
      <c r="H562" s="47">
        <f>_xlfn.XLOOKUP(E562,SkillActive!B:B,SkillActive!K:K,,0)</f>
        <v/>
      </c>
    </row>
    <row r="563">
      <c r="A563" s="25">
        <f>C563*100+D563</f>
        <v/>
      </c>
      <c r="B563" s="42">
        <f>_xlfn.XLOOKUP(C563,SkillActive!$A:$A,SkillActive!C:C,,0)</f>
        <v/>
      </c>
      <c r="C563" s="25">
        <f>C547+1</f>
        <v/>
      </c>
      <c r="D563" s="25" t="n">
        <v>16</v>
      </c>
      <c r="E563" s="25">
        <f t="array" ref="E563">_xlfn.XLOOKUP(C563,SkillActive!A:A,INDEX(SkillActive!A:AA,0,MATCH("name",SkillActive!$2:$2,0)),,0)</f>
        <v/>
      </c>
      <c r="F563" s="47">
        <f>D563</f>
        <v/>
      </c>
      <c r="G563" s="47">
        <f>_xlfn.XLOOKUP(C563,SkillActive!$A:$A,SkillActive!E:E,,0)</f>
        <v/>
      </c>
      <c r="H563" s="47">
        <f>_xlfn.XLOOKUP(E563,SkillActive!B:B,SkillActive!K:K,,0)</f>
        <v/>
      </c>
    </row>
    <row r="564">
      <c r="A564" s="25">
        <f>C564*100+D564</f>
        <v/>
      </c>
      <c r="B564" s="42">
        <f>_xlfn.XLOOKUP(C564,SkillActive!$A:$A,SkillActive!C:C,,0)</f>
        <v/>
      </c>
      <c r="C564" s="25">
        <f>C548+1</f>
        <v/>
      </c>
      <c r="D564" s="25" t="n">
        <v>1</v>
      </c>
      <c r="E564" s="25">
        <f t="array" ref="E564">_xlfn.XLOOKUP(C564,SkillActive!A:A,INDEX(SkillActive!A:AA,0,MATCH("name",SkillActive!$2:$2,0)),,0)</f>
        <v/>
      </c>
      <c r="F564" s="47">
        <f>D564</f>
        <v/>
      </c>
      <c r="G564" s="47">
        <f>_xlfn.XLOOKUP(C564,SkillActive!$A:$A,SkillActive!E:E,,0)</f>
        <v/>
      </c>
      <c r="H564" s="47">
        <f>_xlfn.XLOOKUP(E564,SkillActive!B:B,SkillActive!K:K,,0)</f>
        <v/>
      </c>
    </row>
    <row r="565">
      <c r="A565" s="25">
        <f>C565*100+D565</f>
        <v/>
      </c>
      <c r="B565" s="42">
        <f>_xlfn.XLOOKUP(C565,SkillActive!$A:$A,SkillActive!C:C,,0)</f>
        <v/>
      </c>
      <c r="C565" s="25">
        <f>C549+1</f>
        <v/>
      </c>
      <c r="D565" s="25" t="n">
        <v>2</v>
      </c>
      <c r="E565" s="25">
        <f t="array" ref="E565">_xlfn.XLOOKUP(C565,SkillActive!A:A,INDEX(SkillActive!A:AA,0,MATCH("name",SkillActive!$2:$2,0)),,0)</f>
        <v/>
      </c>
      <c r="F565" s="47">
        <f>D565</f>
        <v/>
      </c>
      <c r="G565" s="47">
        <f>_xlfn.XLOOKUP(C565,SkillActive!$A:$A,SkillActive!E:E,,0)</f>
        <v/>
      </c>
      <c r="H565" s="47">
        <f>_xlfn.XLOOKUP(E565,SkillActive!B:B,SkillActive!K:K,,0)</f>
        <v/>
      </c>
    </row>
    <row r="566">
      <c r="A566" s="25">
        <f>C566*100+D566</f>
        <v/>
      </c>
      <c r="B566" s="42">
        <f>_xlfn.XLOOKUP(C566,SkillActive!$A:$A,SkillActive!C:C,,0)</f>
        <v/>
      </c>
      <c r="C566" s="25">
        <f>C550+1</f>
        <v/>
      </c>
      <c r="D566" s="25" t="n">
        <v>3</v>
      </c>
      <c r="E566" s="25">
        <f t="array" ref="E566">_xlfn.XLOOKUP(C566,SkillActive!A:A,INDEX(SkillActive!A:AA,0,MATCH("name",SkillActive!$2:$2,0)),,0)</f>
        <v/>
      </c>
      <c r="F566" s="47">
        <f>D566</f>
        <v/>
      </c>
      <c r="G566" s="47">
        <f>_xlfn.XLOOKUP(C566,SkillActive!$A:$A,SkillActive!E:E,,0)</f>
        <v/>
      </c>
      <c r="H566" s="47">
        <f>_xlfn.XLOOKUP(E566,SkillActive!B:B,SkillActive!K:K,,0)</f>
        <v/>
      </c>
    </row>
    <row r="567">
      <c r="A567" s="25">
        <f>C567*100+D567</f>
        <v/>
      </c>
      <c r="B567" s="42">
        <f>_xlfn.XLOOKUP(C567,SkillActive!$A:$A,SkillActive!C:C,,0)</f>
        <v/>
      </c>
      <c r="C567" s="25">
        <f>C551+1</f>
        <v/>
      </c>
      <c r="D567" s="25" t="n">
        <v>4</v>
      </c>
      <c r="E567" s="25">
        <f t="array" ref="E567">_xlfn.XLOOKUP(C567,SkillActive!A:A,INDEX(SkillActive!A:AA,0,MATCH("name",SkillActive!$2:$2,0)),,0)</f>
        <v/>
      </c>
      <c r="F567" s="47">
        <f>D567</f>
        <v/>
      </c>
      <c r="G567" s="47">
        <f>_xlfn.XLOOKUP(C567,SkillActive!$A:$A,SkillActive!E:E,,0)</f>
        <v/>
      </c>
      <c r="H567" s="47">
        <f>_xlfn.XLOOKUP(E567,SkillActive!B:B,SkillActive!K:K,,0)</f>
        <v/>
      </c>
    </row>
    <row r="568">
      <c r="A568" s="25">
        <f>C568*100+D568</f>
        <v/>
      </c>
      <c r="B568" s="42">
        <f>_xlfn.XLOOKUP(C568,SkillActive!$A:$A,SkillActive!C:C,,0)</f>
        <v/>
      </c>
      <c r="C568" s="25">
        <f>C552+1</f>
        <v/>
      </c>
      <c r="D568" s="25" t="n">
        <v>5</v>
      </c>
      <c r="E568" s="25">
        <f t="array" ref="E568">_xlfn.XLOOKUP(C568,SkillActive!A:A,INDEX(SkillActive!A:AA,0,MATCH("name",SkillActive!$2:$2,0)),,0)</f>
        <v/>
      </c>
      <c r="F568" s="47">
        <f>D568</f>
        <v/>
      </c>
      <c r="G568" s="47">
        <f>_xlfn.XLOOKUP(C568,SkillActive!$A:$A,SkillActive!E:E,,0)</f>
        <v/>
      </c>
      <c r="H568" s="47">
        <f>_xlfn.XLOOKUP(E568,SkillActive!B:B,SkillActive!K:K,,0)</f>
        <v/>
      </c>
    </row>
    <row r="569">
      <c r="A569" s="25">
        <f>C569*100+D569</f>
        <v/>
      </c>
      <c r="B569" s="42">
        <f>_xlfn.XLOOKUP(C569,SkillActive!$A:$A,SkillActive!C:C,,0)</f>
        <v/>
      </c>
      <c r="C569" s="25">
        <f>C553+1</f>
        <v/>
      </c>
      <c r="D569" s="25" t="n">
        <v>6</v>
      </c>
      <c r="E569" s="25">
        <f t="array" ref="E569">_xlfn.XLOOKUP(C569,SkillActive!A:A,INDEX(SkillActive!A:AA,0,MATCH("name",SkillActive!$2:$2,0)),,0)</f>
        <v/>
      </c>
      <c r="F569" s="47">
        <f>D569</f>
        <v/>
      </c>
      <c r="G569" s="47">
        <f>_xlfn.XLOOKUP(C569,SkillActive!$A:$A,SkillActive!E:E,,0)</f>
        <v/>
      </c>
      <c r="H569" s="47">
        <f>_xlfn.XLOOKUP(E569,SkillActive!B:B,SkillActive!K:K,,0)</f>
        <v/>
      </c>
    </row>
    <row r="570">
      <c r="A570" s="25">
        <f>C570*100+D570</f>
        <v/>
      </c>
      <c r="B570" s="42">
        <f>_xlfn.XLOOKUP(C570,SkillActive!$A:$A,SkillActive!C:C,,0)</f>
        <v/>
      </c>
      <c r="C570" s="25">
        <f>C554+1</f>
        <v/>
      </c>
      <c r="D570" s="25" t="n">
        <v>7</v>
      </c>
      <c r="E570" s="25">
        <f t="array" ref="E570">_xlfn.XLOOKUP(C570,SkillActive!A:A,INDEX(SkillActive!A:AA,0,MATCH("name",SkillActive!$2:$2,0)),,0)</f>
        <v/>
      </c>
      <c r="F570" s="47">
        <f>D570</f>
        <v/>
      </c>
      <c r="G570" s="47">
        <f>_xlfn.XLOOKUP(C570,SkillActive!$A:$A,SkillActive!E:E,,0)</f>
        <v/>
      </c>
      <c r="H570" s="47">
        <f>_xlfn.XLOOKUP(E570,SkillActive!B:B,SkillActive!K:K,,0)</f>
        <v/>
      </c>
    </row>
    <row r="571">
      <c r="A571" s="25">
        <f>C571*100+D571</f>
        <v/>
      </c>
      <c r="B571" s="42">
        <f>_xlfn.XLOOKUP(C571,SkillActive!$A:$A,SkillActive!C:C,,0)</f>
        <v/>
      </c>
      <c r="C571" s="25">
        <f>C555+1</f>
        <v/>
      </c>
      <c r="D571" s="25" t="n">
        <v>8</v>
      </c>
      <c r="E571" s="25">
        <f t="array" ref="E571">_xlfn.XLOOKUP(C571,SkillActive!A:A,INDEX(SkillActive!A:AA,0,MATCH("name",SkillActive!$2:$2,0)),,0)</f>
        <v/>
      </c>
      <c r="F571" s="47">
        <f>D571</f>
        <v/>
      </c>
      <c r="G571" s="47">
        <f>_xlfn.XLOOKUP(C571,SkillActive!$A:$A,SkillActive!E:E,,0)</f>
        <v/>
      </c>
      <c r="H571" s="47">
        <f>_xlfn.XLOOKUP(E571,SkillActive!B:B,SkillActive!K:K,,0)</f>
        <v/>
      </c>
    </row>
    <row r="572">
      <c r="A572" s="25">
        <f>C572*100+D572</f>
        <v/>
      </c>
      <c r="B572" s="42">
        <f>_xlfn.XLOOKUP(C572,SkillActive!$A:$A,SkillActive!C:C,,0)</f>
        <v/>
      </c>
      <c r="C572" s="25">
        <f>C556+1</f>
        <v/>
      </c>
      <c r="D572" s="25" t="n">
        <v>9</v>
      </c>
      <c r="E572" s="25">
        <f t="array" ref="E572">_xlfn.XLOOKUP(C572,SkillActive!A:A,INDEX(SkillActive!A:AA,0,MATCH("name",SkillActive!$2:$2,0)),,0)</f>
        <v/>
      </c>
      <c r="F572" s="47">
        <f>D572</f>
        <v/>
      </c>
      <c r="G572" s="47">
        <f>_xlfn.XLOOKUP(C572,SkillActive!$A:$A,SkillActive!E:E,,0)</f>
        <v/>
      </c>
      <c r="H572" s="47">
        <f>_xlfn.XLOOKUP(E572,SkillActive!B:B,SkillActive!K:K,,0)</f>
        <v/>
      </c>
    </row>
    <row r="573">
      <c r="A573" s="25">
        <f>C573*100+D573</f>
        <v/>
      </c>
      <c r="B573" s="42">
        <f>_xlfn.XLOOKUP(C573,SkillActive!$A:$A,SkillActive!C:C,,0)</f>
        <v/>
      </c>
      <c r="C573" s="25">
        <f>C557+1</f>
        <v/>
      </c>
      <c r="D573" s="25" t="n">
        <v>10</v>
      </c>
      <c r="E573" s="25">
        <f t="array" ref="E573">_xlfn.XLOOKUP(C573,SkillActive!A:A,INDEX(SkillActive!A:AA,0,MATCH("name",SkillActive!$2:$2,0)),,0)</f>
        <v/>
      </c>
      <c r="F573" s="47">
        <f>D573</f>
        <v/>
      </c>
      <c r="G573" s="47">
        <f>_xlfn.XLOOKUP(C573,SkillActive!$A:$A,SkillActive!E:E,,0)</f>
        <v/>
      </c>
      <c r="H573" s="47">
        <f>_xlfn.XLOOKUP(E573,SkillActive!B:B,SkillActive!K:K,,0)</f>
        <v/>
      </c>
    </row>
    <row r="574">
      <c r="A574" s="25">
        <f>C574*100+D574</f>
        <v/>
      </c>
      <c r="B574" s="42">
        <f>_xlfn.XLOOKUP(C574,SkillActive!$A:$A,SkillActive!C:C,,0)</f>
        <v/>
      </c>
      <c r="C574" s="25">
        <f>C558+1</f>
        <v/>
      </c>
      <c r="D574" s="25" t="n">
        <v>11</v>
      </c>
      <c r="E574" s="25">
        <f t="array" ref="E574">_xlfn.XLOOKUP(C574,SkillActive!A:A,INDEX(SkillActive!A:AA,0,MATCH("name",SkillActive!$2:$2,0)),,0)</f>
        <v/>
      </c>
      <c r="F574" s="47">
        <f>D574</f>
        <v/>
      </c>
      <c r="G574" s="47">
        <f>_xlfn.XLOOKUP(C574,SkillActive!$A:$A,SkillActive!E:E,,0)</f>
        <v/>
      </c>
      <c r="H574" s="47">
        <f>_xlfn.XLOOKUP(E574,SkillActive!B:B,SkillActive!K:K,,0)</f>
        <v/>
      </c>
    </row>
    <row r="575">
      <c r="A575" s="25">
        <f>C575*100+D575</f>
        <v/>
      </c>
      <c r="B575" s="42">
        <f>_xlfn.XLOOKUP(C575,SkillActive!$A:$A,SkillActive!C:C,,0)</f>
        <v/>
      </c>
      <c r="C575" s="25">
        <f>C559+1</f>
        <v/>
      </c>
      <c r="D575" s="25" t="n">
        <v>12</v>
      </c>
      <c r="E575" s="25">
        <f t="array" ref="E575">_xlfn.XLOOKUP(C575,SkillActive!A:A,INDEX(SkillActive!A:AA,0,MATCH("name",SkillActive!$2:$2,0)),,0)</f>
        <v/>
      </c>
      <c r="F575" s="47">
        <f>D575</f>
        <v/>
      </c>
      <c r="G575" s="47">
        <f>_xlfn.XLOOKUP(C575,SkillActive!$A:$A,SkillActive!E:E,,0)</f>
        <v/>
      </c>
      <c r="H575" s="47">
        <f>_xlfn.XLOOKUP(E575,SkillActive!B:B,SkillActive!K:K,,0)</f>
        <v/>
      </c>
    </row>
    <row r="576">
      <c r="A576" s="25">
        <f>C576*100+D576</f>
        <v/>
      </c>
      <c r="B576" s="42">
        <f>_xlfn.XLOOKUP(C576,SkillActive!$A:$A,SkillActive!C:C,,0)</f>
        <v/>
      </c>
      <c r="C576" s="25">
        <f>C560+1</f>
        <v/>
      </c>
      <c r="D576" s="25" t="n">
        <v>13</v>
      </c>
      <c r="E576" s="25">
        <f t="array" ref="E576">_xlfn.XLOOKUP(C576,SkillActive!A:A,INDEX(SkillActive!A:AA,0,MATCH("name",SkillActive!$2:$2,0)),,0)</f>
        <v/>
      </c>
      <c r="F576" s="47">
        <f>D576</f>
        <v/>
      </c>
      <c r="G576" s="47">
        <f>_xlfn.XLOOKUP(C576,SkillActive!$A:$A,SkillActive!E:E,,0)</f>
        <v/>
      </c>
      <c r="H576" s="47">
        <f>_xlfn.XLOOKUP(E576,SkillActive!B:B,SkillActive!K:K,,0)</f>
        <v/>
      </c>
    </row>
    <row r="577">
      <c r="A577" s="25">
        <f>C577*100+D577</f>
        <v/>
      </c>
      <c r="B577" s="42">
        <f>_xlfn.XLOOKUP(C577,SkillActive!$A:$A,SkillActive!C:C,,0)</f>
        <v/>
      </c>
      <c r="C577" s="25">
        <f>C561+1</f>
        <v/>
      </c>
      <c r="D577" s="25" t="n">
        <v>14</v>
      </c>
      <c r="E577" s="25">
        <f t="array" ref="E577">_xlfn.XLOOKUP(C577,SkillActive!A:A,INDEX(SkillActive!A:AA,0,MATCH("name",SkillActive!$2:$2,0)),,0)</f>
        <v/>
      </c>
      <c r="F577" s="47">
        <f>D577</f>
        <v/>
      </c>
      <c r="G577" s="47">
        <f>_xlfn.XLOOKUP(C577,SkillActive!$A:$A,SkillActive!E:E,,0)</f>
        <v/>
      </c>
      <c r="H577" s="47">
        <f>_xlfn.XLOOKUP(E577,SkillActive!B:B,SkillActive!K:K,,0)</f>
        <v/>
      </c>
    </row>
    <row r="578">
      <c r="A578" s="25">
        <f>C578*100+D578</f>
        <v/>
      </c>
      <c r="B578" s="42">
        <f>_xlfn.XLOOKUP(C578,SkillActive!$A:$A,SkillActive!C:C,,0)</f>
        <v/>
      </c>
      <c r="C578" s="25">
        <f>C562+1</f>
        <v/>
      </c>
      <c r="D578" s="25" t="n">
        <v>15</v>
      </c>
      <c r="E578" s="25">
        <f t="array" ref="E578">_xlfn.XLOOKUP(C578,SkillActive!A:A,INDEX(SkillActive!A:AA,0,MATCH("name",SkillActive!$2:$2,0)),,0)</f>
        <v/>
      </c>
      <c r="F578" s="47">
        <f>D578</f>
        <v/>
      </c>
      <c r="G578" s="47">
        <f>_xlfn.XLOOKUP(C578,SkillActive!$A:$A,SkillActive!E:E,,0)</f>
        <v/>
      </c>
      <c r="H578" s="47">
        <f>_xlfn.XLOOKUP(E578,SkillActive!B:B,SkillActive!K:K,,0)</f>
        <v/>
      </c>
    </row>
    <row r="579">
      <c r="A579" s="25">
        <f>C579*100+D579</f>
        <v/>
      </c>
      <c r="B579" s="42">
        <f>_xlfn.XLOOKUP(C579,SkillActive!$A:$A,SkillActive!C:C,,0)</f>
        <v/>
      </c>
      <c r="C579" s="25">
        <f>C563+1</f>
        <v/>
      </c>
      <c r="D579" s="25" t="n">
        <v>16</v>
      </c>
      <c r="E579" s="25">
        <f t="array" ref="E579">_xlfn.XLOOKUP(C579,SkillActive!A:A,INDEX(SkillActive!A:AA,0,MATCH("name",SkillActive!$2:$2,0)),,0)</f>
        <v/>
      </c>
      <c r="F579" s="47">
        <f>D579</f>
        <v/>
      </c>
      <c r="G579" s="47">
        <f>_xlfn.XLOOKUP(C579,SkillActive!$A:$A,SkillActive!E:E,,0)</f>
        <v/>
      </c>
      <c r="H579" s="47">
        <f>_xlfn.XLOOKUP(E579,SkillActive!B:B,SkillActive!K:K,,0)</f>
        <v/>
      </c>
    </row>
    <row r="580">
      <c r="A580" s="25">
        <f>C580*100+D580</f>
        <v/>
      </c>
      <c r="B580" s="42">
        <f>_xlfn.XLOOKUP(C580,SkillActive!$A:$A,SkillActive!C:C,,0)</f>
        <v/>
      </c>
      <c r="C580" s="25">
        <f>C564+1</f>
        <v/>
      </c>
      <c r="D580" s="25" t="n">
        <v>1</v>
      </c>
      <c r="E580" s="25">
        <f t="array" ref="E580">_xlfn.XLOOKUP(C580,SkillActive!A:A,INDEX(SkillActive!A:AA,0,MATCH("name",SkillActive!$2:$2,0)),,0)</f>
        <v/>
      </c>
      <c r="F580" s="47">
        <f>D580</f>
        <v/>
      </c>
      <c r="G580" s="47">
        <f>_xlfn.XLOOKUP(C580,SkillActive!$A:$A,SkillActive!E:E,,0)</f>
        <v/>
      </c>
      <c r="H580" s="47">
        <f>_xlfn.XLOOKUP(E580,SkillActive!B:B,SkillActive!K:K,,0)</f>
        <v/>
      </c>
    </row>
    <row r="581">
      <c r="A581" s="25">
        <f>C581*100+D581</f>
        <v/>
      </c>
      <c r="B581" s="42">
        <f>_xlfn.XLOOKUP(C581,SkillActive!$A:$A,SkillActive!C:C,,0)</f>
        <v/>
      </c>
      <c r="C581" s="25">
        <f>C565+1</f>
        <v/>
      </c>
      <c r="D581" s="25" t="n">
        <v>2</v>
      </c>
      <c r="E581" s="25">
        <f t="array" ref="E581">_xlfn.XLOOKUP(C581,SkillActive!A:A,INDEX(SkillActive!A:AA,0,MATCH("name",SkillActive!$2:$2,0)),,0)</f>
        <v/>
      </c>
      <c r="F581" s="47">
        <f>D581</f>
        <v/>
      </c>
      <c r="G581" s="47">
        <f>_xlfn.XLOOKUP(C581,SkillActive!$A:$A,SkillActive!E:E,,0)</f>
        <v/>
      </c>
      <c r="H581" s="47">
        <f>_xlfn.XLOOKUP(E581,SkillActive!B:B,SkillActive!K:K,,0)</f>
        <v/>
      </c>
    </row>
    <row r="582">
      <c r="A582" s="25">
        <f>C582*100+D582</f>
        <v/>
      </c>
      <c r="B582" s="42">
        <f>_xlfn.XLOOKUP(C582,SkillActive!$A:$A,SkillActive!C:C,,0)</f>
        <v/>
      </c>
      <c r="C582" s="25">
        <f>C566+1</f>
        <v/>
      </c>
      <c r="D582" s="25" t="n">
        <v>3</v>
      </c>
      <c r="E582" s="25">
        <f t="array" ref="E582">_xlfn.XLOOKUP(C582,SkillActive!A:A,INDEX(SkillActive!A:AA,0,MATCH("name",SkillActive!$2:$2,0)),,0)</f>
        <v/>
      </c>
      <c r="F582" s="47">
        <f>D582</f>
        <v/>
      </c>
      <c r="G582" s="47">
        <f>_xlfn.XLOOKUP(C582,SkillActive!$A:$A,SkillActive!E:E,,0)</f>
        <v/>
      </c>
      <c r="H582" s="47">
        <f>_xlfn.XLOOKUP(E582,SkillActive!B:B,SkillActive!K:K,,0)</f>
        <v/>
      </c>
    </row>
    <row r="583">
      <c r="A583" s="25">
        <f>C583*100+D583</f>
        <v/>
      </c>
      <c r="B583" s="42">
        <f>_xlfn.XLOOKUP(C583,SkillActive!$A:$A,SkillActive!C:C,,0)</f>
        <v/>
      </c>
      <c r="C583" s="25">
        <f>C567+1</f>
        <v/>
      </c>
      <c r="D583" s="25" t="n">
        <v>4</v>
      </c>
      <c r="E583" s="25">
        <f t="array" ref="E583">_xlfn.XLOOKUP(C583,SkillActive!A:A,INDEX(SkillActive!A:AA,0,MATCH("name",SkillActive!$2:$2,0)),,0)</f>
        <v/>
      </c>
      <c r="F583" s="47">
        <f>D583</f>
        <v/>
      </c>
      <c r="G583" s="47">
        <f>_xlfn.XLOOKUP(C583,SkillActive!$A:$A,SkillActive!E:E,,0)</f>
        <v/>
      </c>
      <c r="H583" s="47">
        <f>_xlfn.XLOOKUP(E583,SkillActive!B:B,SkillActive!K:K,,0)</f>
        <v/>
      </c>
    </row>
    <row r="584">
      <c r="A584" s="25">
        <f>C584*100+D584</f>
        <v/>
      </c>
      <c r="B584" s="42">
        <f>_xlfn.XLOOKUP(C584,SkillActive!$A:$A,SkillActive!C:C,,0)</f>
        <v/>
      </c>
      <c r="C584" s="25">
        <f>C568+1</f>
        <v/>
      </c>
      <c r="D584" s="25" t="n">
        <v>5</v>
      </c>
      <c r="E584" s="25">
        <f t="array" ref="E584">_xlfn.XLOOKUP(C584,SkillActive!A:A,INDEX(SkillActive!A:AA,0,MATCH("name",SkillActive!$2:$2,0)),,0)</f>
        <v/>
      </c>
      <c r="F584" s="47">
        <f>D584</f>
        <v/>
      </c>
      <c r="G584" s="47">
        <f>_xlfn.XLOOKUP(C584,SkillActive!$A:$A,SkillActive!E:E,,0)</f>
        <v/>
      </c>
      <c r="H584" s="47">
        <f>_xlfn.XLOOKUP(E584,SkillActive!B:B,SkillActive!K:K,,0)</f>
        <v/>
      </c>
    </row>
    <row r="585">
      <c r="A585" s="25">
        <f>C585*100+D585</f>
        <v/>
      </c>
      <c r="B585" s="42">
        <f>_xlfn.XLOOKUP(C585,SkillActive!$A:$A,SkillActive!C:C,,0)</f>
        <v/>
      </c>
      <c r="C585" s="25">
        <f>C569+1</f>
        <v/>
      </c>
      <c r="D585" s="25" t="n">
        <v>6</v>
      </c>
      <c r="E585" s="25">
        <f t="array" ref="E585">_xlfn.XLOOKUP(C585,SkillActive!A:A,INDEX(SkillActive!A:AA,0,MATCH("name",SkillActive!$2:$2,0)),,0)</f>
        <v/>
      </c>
      <c r="F585" s="47">
        <f>D585</f>
        <v/>
      </c>
      <c r="G585" s="47">
        <f>_xlfn.XLOOKUP(C585,SkillActive!$A:$A,SkillActive!E:E,,0)</f>
        <v/>
      </c>
      <c r="H585" s="47">
        <f>_xlfn.XLOOKUP(E585,SkillActive!B:B,SkillActive!K:K,,0)</f>
        <v/>
      </c>
    </row>
    <row r="586">
      <c r="A586" s="25">
        <f>C586*100+D586</f>
        <v/>
      </c>
      <c r="B586" s="42">
        <f>_xlfn.XLOOKUP(C586,SkillActive!$A:$A,SkillActive!C:C,,0)</f>
        <v/>
      </c>
      <c r="C586" s="25">
        <f>C570+1</f>
        <v/>
      </c>
      <c r="D586" s="25" t="n">
        <v>7</v>
      </c>
      <c r="E586" s="25">
        <f t="array" ref="E586">_xlfn.XLOOKUP(C586,SkillActive!A:A,INDEX(SkillActive!A:AA,0,MATCH("name",SkillActive!$2:$2,0)),,0)</f>
        <v/>
      </c>
      <c r="F586" s="47">
        <f>D586</f>
        <v/>
      </c>
      <c r="G586" s="47">
        <f>_xlfn.XLOOKUP(C586,SkillActive!$A:$A,SkillActive!E:E,,0)</f>
        <v/>
      </c>
      <c r="H586" s="47">
        <f>_xlfn.XLOOKUP(E586,SkillActive!B:B,SkillActive!K:K,,0)</f>
        <v/>
      </c>
    </row>
    <row r="587">
      <c r="A587" s="25">
        <f>C587*100+D587</f>
        <v/>
      </c>
      <c r="B587" s="42">
        <f>_xlfn.XLOOKUP(C587,SkillActive!$A:$A,SkillActive!C:C,,0)</f>
        <v/>
      </c>
      <c r="C587" s="25">
        <f>C571+1</f>
        <v/>
      </c>
      <c r="D587" s="25" t="n">
        <v>8</v>
      </c>
      <c r="E587" s="25">
        <f t="array" ref="E587">_xlfn.XLOOKUP(C587,SkillActive!A:A,INDEX(SkillActive!A:AA,0,MATCH("name",SkillActive!$2:$2,0)),,0)</f>
        <v/>
      </c>
      <c r="F587" s="47">
        <f>D587</f>
        <v/>
      </c>
      <c r="G587" s="47">
        <f>_xlfn.XLOOKUP(C587,SkillActive!$A:$A,SkillActive!E:E,,0)</f>
        <v/>
      </c>
      <c r="H587" s="47">
        <f>_xlfn.XLOOKUP(E587,SkillActive!B:B,SkillActive!K:K,,0)</f>
        <v/>
      </c>
    </row>
    <row r="588">
      <c r="A588" s="25">
        <f>C588*100+D588</f>
        <v/>
      </c>
      <c r="B588" s="42">
        <f>_xlfn.XLOOKUP(C588,SkillActive!$A:$A,SkillActive!C:C,,0)</f>
        <v/>
      </c>
      <c r="C588" s="25">
        <f>C572+1</f>
        <v/>
      </c>
      <c r="D588" s="25" t="n">
        <v>9</v>
      </c>
      <c r="E588" s="25">
        <f t="array" ref="E588">_xlfn.XLOOKUP(C588,SkillActive!A:A,INDEX(SkillActive!A:AA,0,MATCH("name",SkillActive!$2:$2,0)),,0)</f>
        <v/>
      </c>
      <c r="F588" s="47">
        <f>D588</f>
        <v/>
      </c>
      <c r="G588" s="47">
        <f>_xlfn.XLOOKUP(C588,SkillActive!$A:$A,SkillActive!E:E,,0)</f>
        <v/>
      </c>
      <c r="H588" s="47">
        <f>_xlfn.XLOOKUP(E588,SkillActive!B:B,SkillActive!K:K,,0)</f>
        <v/>
      </c>
    </row>
    <row r="589">
      <c r="A589" s="25">
        <f>C589*100+D589</f>
        <v/>
      </c>
      <c r="B589" s="42">
        <f>_xlfn.XLOOKUP(C589,SkillActive!$A:$A,SkillActive!C:C,,0)</f>
        <v/>
      </c>
      <c r="C589" s="25">
        <f>C573+1</f>
        <v/>
      </c>
      <c r="D589" s="25" t="n">
        <v>10</v>
      </c>
      <c r="E589" s="25">
        <f t="array" ref="E589">_xlfn.XLOOKUP(C589,SkillActive!A:A,INDEX(SkillActive!A:AA,0,MATCH("name",SkillActive!$2:$2,0)),,0)</f>
        <v/>
      </c>
      <c r="F589" s="47">
        <f>D589</f>
        <v/>
      </c>
      <c r="G589" s="47">
        <f>_xlfn.XLOOKUP(C589,SkillActive!$A:$A,SkillActive!E:E,,0)</f>
        <v/>
      </c>
      <c r="H589" s="47">
        <f>_xlfn.XLOOKUP(E589,SkillActive!B:B,SkillActive!K:K,,0)</f>
        <v/>
      </c>
    </row>
    <row r="590">
      <c r="A590" s="25">
        <f>C590*100+D590</f>
        <v/>
      </c>
      <c r="B590" s="42">
        <f>_xlfn.XLOOKUP(C590,SkillActive!$A:$A,SkillActive!C:C,,0)</f>
        <v/>
      </c>
      <c r="C590" s="25">
        <f>C574+1</f>
        <v/>
      </c>
      <c r="D590" s="25" t="n">
        <v>11</v>
      </c>
      <c r="E590" s="25">
        <f t="array" ref="E590">_xlfn.XLOOKUP(C590,SkillActive!A:A,INDEX(SkillActive!A:AA,0,MATCH("name",SkillActive!$2:$2,0)),,0)</f>
        <v/>
      </c>
      <c r="F590" s="47">
        <f>D590</f>
        <v/>
      </c>
      <c r="G590" s="47">
        <f>_xlfn.XLOOKUP(C590,SkillActive!$A:$A,SkillActive!E:E,,0)</f>
        <v/>
      </c>
      <c r="H590" s="47">
        <f>_xlfn.XLOOKUP(E590,SkillActive!B:B,SkillActive!K:K,,0)</f>
        <v/>
      </c>
    </row>
    <row r="591">
      <c r="A591" s="25">
        <f>C591*100+D591</f>
        <v/>
      </c>
      <c r="B591" s="42">
        <f>_xlfn.XLOOKUP(C591,SkillActive!$A:$A,SkillActive!C:C,,0)</f>
        <v/>
      </c>
      <c r="C591" s="25">
        <f>C575+1</f>
        <v/>
      </c>
      <c r="D591" s="25" t="n">
        <v>12</v>
      </c>
      <c r="E591" s="25">
        <f t="array" ref="E591">_xlfn.XLOOKUP(C591,SkillActive!A:A,INDEX(SkillActive!A:AA,0,MATCH("name",SkillActive!$2:$2,0)),,0)</f>
        <v/>
      </c>
      <c r="F591" s="47">
        <f>D591</f>
        <v/>
      </c>
      <c r="G591" s="47">
        <f>_xlfn.XLOOKUP(C591,SkillActive!$A:$A,SkillActive!E:E,,0)</f>
        <v/>
      </c>
      <c r="H591" s="47">
        <f>_xlfn.XLOOKUP(E591,SkillActive!B:B,SkillActive!K:K,,0)</f>
        <v/>
      </c>
    </row>
    <row r="592">
      <c r="A592" s="25">
        <f>C592*100+D592</f>
        <v/>
      </c>
      <c r="B592" s="42">
        <f>_xlfn.XLOOKUP(C592,SkillActive!$A:$A,SkillActive!C:C,,0)</f>
        <v/>
      </c>
      <c r="C592" s="25">
        <f>C576+1</f>
        <v/>
      </c>
      <c r="D592" s="25" t="n">
        <v>13</v>
      </c>
      <c r="E592" s="25">
        <f t="array" ref="E592">_xlfn.XLOOKUP(C592,SkillActive!A:A,INDEX(SkillActive!A:AA,0,MATCH("name",SkillActive!$2:$2,0)),,0)</f>
        <v/>
      </c>
      <c r="F592" s="47">
        <f>D592</f>
        <v/>
      </c>
      <c r="G592" s="47">
        <f>_xlfn.XLOOKUP(C592,SkillActive!$A:$A,SkillActive!E:E,,0)</f>
        <v/>
      </c>
      <c r="H592" s="47">
        <f>_xlfn.XLOOKUP(E592,SkillActive!B:B,SkillActive!K:K,,0)</f>
        <v/>
      </c>
    </row>
    <row r="593">
      <c r="A593" s="25">
        <f>C593*100+D593</f>
        <v/>
      </c>
      <c r="B593" s="42">
        <f>_xlfn.XLOOKUP(C593,SkillActive!$A:$A,SkillActive!C:C,,0)</f>
        <v/>
      </c>
      <c r="C593" s="25">
        <f>C577+1</f>
        <v/>
      </c>
      <c r="D593" s="25" t="n">
        <v>14</v>
      </c>
      <c r="E593" s="25">
        <f t="array" ref="E593">_xlfn.XLOOKUP(C593,SkillActive!A:A,INDEX(SkillActive!A:AA,0,MATCH("name",SkillActive!$2:$2,0)),,0)</f>
        <v/>
      </c>
      <c r="F593" s="47">
        <f>D593</f>
        <v/>
      </c>
      <c r="G593" s="47">
        <f>_xlfn.XLOOKUP(C593,SkillActive!$A:$A,SkillActive!E:E,,0)</f>
        <v/>
      </c>
      <c r="H593" s="47">
        <f>_xlfn.XLOOKUP(E593,SkillActive!B:B,SkillActive!K:K,,0)</f>
        <v/>
      </c>
    </row>
    <row r="594">
      <c r="A594" s="25">
        <f>C594*100+D594</f>
        <v/>
      </c>
      <c r="B594" s="42">
        <f>_xlfn.XLOOKUP(C594,SkillActive!$A:$A,SkillActive!C:C,,0)</f>
        <v/>
      </c>
      <c r="C594" s="25">
        <f>C578+1</f>
        <v/>
      </c>
      <c r="D594" s="25" t="n">
        <v>15</v>
      </c>
      <c r="E594" s="25">
        <f t="array" ref="E594">_xlfn.XLOOKUP(C594,SkillActive!A:A,INDEX(SkillActive!A:AA,0,MATCH("name",SkillActive!$2:$2,0)),,0)</f>
        <v/>
      </c>
      <c r="F594" s="47">
        <f>D594</f>
        <v/>
      </c>
      <c r="G594" s="47">
        <f>_xlfn.XLOOKUP(C594,SkillActive!$A:$A,SkillActive!E:E,,0)</f>
        <v/>
      </c>
      <c r="H594" s="47">
        <f>_xlfn.XLOOKUP(E594,SkillActive!B:B,SkillActive!K:K,,0)</f>
        <v/>
      </c>
    </row>
    <row r="595">
      <c r="A595" s="25">
        <f>C595*100+D595</f>
        <v/>
      </c>
      <c r="B595" s="42">
        <f>_xlfn.XLOOKUP(C595,SkillActive!$A:$A,SkillActive!C:C,,0)</f>
        <v/>
      </c>
      <c r="C595" s="25">
        <f>C579+1</f>
        <v/>
      </c>
      <c r="D595" s="25" t="n">
        <v>16</v>
      </c>
      <c r="E595" s="25">
        <f t="array" ref="E595">_xlfn.XLOOKUP(C595,SkillActive!A:A,INDEX(SkillActive!A:AA,0,MATCH("name",SkillActive!$2:$2,0)),,0)</f>
        <v/>
      </c>
      <c r="F595" s="47">
        <f>D595</f>
        <v/>
      </c>
      <c r="G595" s="47">
        <f>_xlfn.XLOOKUP(C595,SkillActive!$A:$A,SkillActive!E:E,,0)</f>
        <v/>
      </c>
      <c r="H595" s="47">
        <f>_xlfn.XLOOKUP(E595,SkillActive!B:B,SkillActive!K:K,,0)</f>
        <v/>
      </c>
    </row>
    <row r="596">
      <c r="A596" s="25">
        <f>C596*100+D596</f>
        <v/>
      </c>
      <c r="B596" s="42">
        <f>_xlfn.XLOOKUP(C596,SkillActive!$A:$A,SkillActive!C:C,,0)</f>
        <v/>
      </c>
      <c r="C596" s="25" t="n">
        <v>100038</v>
      </c>
      <c r="D596" s="25" t="n">
        <v>1</v>
      </c>
      <c r="E596" s="25">
        <f t="array" ref="E596">_xlfn.XLOOKUP(C596,SkillActive!A:A,INDEX(SkillActive!A:AA,0,MATCH("name",SkillActive!$2:$2,0)),,0)</f>
        <v/>
      </c>
      <c r="F596" s="47">
        <f>D596</f>
        <v/>
      </c>
      <c r="G596" s="47">
        <f>_xlfn.XLOOKUP(C596,SkillActive!$A:$A,SkillActive!E:E,,0)</f>
        <v/>
      </c>
      <c r="H596" s="47">
        <f>_xlfn.XLOOKUP(E596,SkillActive!B:B,SkillActive!K:K,,0)</f>
        <v/>
      </c>
    </row>
    <row r="597">
      <c r="A597" s="25">
        <f>C597*100+D597</f>
        <v/>
      </c>
      <c r="B597" s="42">
        <f>_xlfn.XLOOKUP(C597,SkillActive!$A:$A,SkillActive!C:C,,0)</f>
        <v/>
      </c>
      <c r="C597" s="25">
        <f>C581+1</f>
        <v/>
      </c>
      <c r="D597" s="25" t="n">
        <v>2</v>
      </c>
      <c r="E597" s="25">
        <f t="array" ref="E597">_xlfn.XLOOKUP(C597,SkillActive!A:A,INDEX(SkillActive!A:AA,0,MATCH("name",SkillActive!$2:$2,0)),,0)</f>
        <v/>
      </c>
      <c r="F597" s="47">
        <f>D597</f>
        <v/>
      </c>
      <c r="G597" s="47">
        <f>_xlfn.XLOOKUP(C597,SkillActive!$A:$A,SkillActive!E:E,,0)</f>
        <v/>
      </c>
      <c r="H597" s="47">
        <f>_xlfn.XLOOKUP(E597,SkillActive!B:B,SkillActive!K:K,,0)</f>
        <v/>
      </c>
    </row>
    <row r="598">
      <c r="A598" s="25">
        <f>C598*100+D598</f>
        <v/>
      </c>
      <c r="B598" s="42">
        <f>_xlfn.XLOOKUP(C598,SkillActive!$A:$A,SkillActive!C:C,,0)</f>
        <v/>
      </c>
      <c r="C598" s="25">
        <f>C582+1</f>
        <v/>
      </c>
      <c r="D598" s="25" t="n">
        <v>3</v>
      </c>
      <c r="E598" s="25">
        <f t="array" ref="E598">_xlfn.XLOOKUP(C598,SkillActive!A:A,INDEX(SkillActive!A:AA,0,MATCH("name",SkillActive!$2:$2,0)),,0)</f>
        <v/>
      </c>
      <c r="F598" s="47">
        <f>D598</f>
        <v/>
      </c>
      <c r="G598" s="47">
        <f>_xlfn.XLOOKUP(C598,SkillActive!$A:$A,SkillActive!E:E,,0)</f>
        <v/>
      </c>
      <c r="H598" s="47">
        <f>_xlfn.XLOOKUP(E598,SkillActive!B:B,SkillActive!K:K,,0)</f>
        <v/>
      </c>
    </row>
    <row r="599">
      <c r="A599" s="25">
        <f>C599*100+D599</f>
        <v/>
      </c>
      <c r="B599" s="42">
        <f>_xlfn.XLOOKUP(C599,SkillActive!$A:$A,SkillActive!C:C,,0)</f>
        <v/>
      </c>
      <c r="C599" s="25">
        <f>C583+1</f>
        <v/>
      </c>
      <c r="D599" s="25" t="n">
        <v>4</v>
      </c>
      <c r="E599" s="25">
        <f t="array" ref="E599">_xlfn.XLOOKUP(C599,SkillActive!A:A,INDEX(SkillActive!A:AA,0,MATCH("name",SkillActive!$2:$2,0)),,0)</f>
        <v/>
      </c>
      <c r="F599" s="47">
        <f>D599</f>
        <v/>
      </c>
      <c r="G599" s="47">
        <f>_xlfn.XLOOKUP(C599,SkillActive!$A:$A,SkillActive!E:E,,0)</f>
        <v/>
      </c>
      <c r="H599" s="47">
        <f>_xlfn.XLOOKUP(E599,SkillActive!B:B,SkillActive!K:K,,0)</f>
        <v/>
      </c>
    </row>
    <row r="600">
      <c r="A600" s="25">
        <f>C600*100+D600</f>
        <v/>
      </c>
      <c r="B600" s="42">
        <f>_xlfn.XLOOKUP(C600,SkillActive!$A:$A,SkillActive!C:C,,0)</f>
        <v/>
      </c>
      <c r="C600" s="25">
        <f>C584+1</f>
        <v/>
      </c>
      <c r="D600" s="25" t="n">
        <v>5</v>
      </c>
      <c r="E600" s="25">
        <f t="array" ref="E600">_xlfn.XLOOKUP(C600,SkillActive!A:A,INDEX(SkillActive!A:AA,0,MATCH("name",SkillActive!$2:$2,0)),,0)</f>
        <v/>
      </c>
      <c r="F600" s="47">
        <f>D600</f>
        <v/>
      </c>
      <c r="G600" s="47">
        <f>_xlfn.XLOOKUP(C600,SkillActive!$A:$A,SkillActive!E:E,,0)</f>
        <v/>
      </c>
      <c r="H600" s="47">
        <f>_xlfn.XLOOKUP(E600,SkillActive!B:B,SkillActive!K:K,,0)</f>
        <v/>
      </c>
    </row>
    <row r="601">
      <c r="A601" s="25">
        <f>C601*100+D601</f>
        <v/>
      </c>
      <c r="B601" s="42">
        <f>_xlfn.XLOOKUP(C601,SkillActive!$A:$A,SkillActive!C:C,,0)</f>
        <v/>
      </c>
      <c r="C601" s="25">
        <f>C585+1</f>
        <v/>
      </c>
      <c r="D601" s="25" t="n">
        <v>6</v>
      </c>
      <c r="E601" s="25">
        <f t="array" ref="E601">_xlfn.XLOOKUP(C601,SkillActive!A:A,INDEX(SkillActive!A:AA,0,MATCH("name",SkillActive!$2:$2,0)),,0)</f>
        <v/>
      </c>
      <c r="F601" s="47">
        <f>D601</f>
        <v/>
      </c>
      <c r="G601" s="47">
        <f>_xlfn.XLOOKUP(C601,SkillActive!$A:$A,SkillActive!E:E,,0)</f>
        <v/>
      </c>
      <c r="H601" s="47">
        <f>_xlfn.XLOOKUP(E601,SkillActive!B:B,SkillActive!K:K,,0)</f>
        <v/>
      </c>
    </row>
    <row r="602">
      <c r="A602" s="25">
        <f>C602*100+D602</f>
        <v/>
      </c>
      <c r="B602" s="42">
        <f>_xlfn.XLOOKUP(C602,SkillActive!$A:$A,SkillActive!C:C,,0)</f>
        <v/>
      </c>
      <c r="C602" s="25">
        <f>C586+1</f>
        <v/>
      </c>
      <c r="D602" s="25" t="n">
        <v>7</v>
      </c>
      <c r="E602" s="25">
        <f t="array" ref="E602">_xlfn.XLOOKUP(C602,SkillActive!A:A,INDEX(SkillActive!A:AA,0,MATCH("name",SkillActive!$2:$2,0)),,0)</f>
        <v/>
      </c>
      <c r="F602" s="47">
        <f>D602</f>
        <v/>
      </c>
      <c r="G602" s="47">
        <f>_xlfn.XLOOKUP(C602,SkillActive!$A:$A,SkillActive!E:E,,0)</f>
        <v/>
      </c>
      <c r="H602" s="47">
        <f>_xlfn.XLOOKUP(E602,SkillActive!B:B,SkillActive!K:K,,0)</f>
        <v/>
      </c>
    </row>
    <row r="603">
      <c r="A603" s="25">
        <f>C603*100+D603</f>
        <v/>
      </c>
      <c r="B603" s="42">
        <f>_xlfn.XLOOKUP(C603,SkillActive!$A:$A,SkillActive!C:C,,0)</f>
        <v/>
      </c>
      <c r="C603" s="25">
        <f>C587+1</f>
        <v/>
      </c>
      <c r="D603" s="25" t="n">
        <v>8</v>
      </c>
      <c r="E603" s="25">
        <f t="array" ref="E603">_xlfn.XLOOKUP(C603,SkillActive!A:A,INDEX(SkillActive!A:AA,0,MATCH("name",SkillActive!$2:$2,0)),,0)</f>
        <v/>
      </c>
      <c r="F603" s="47">
        <f>D603</f>
        <v/>
      </c>
      <c r="G603" s="47">
        <f>_xlfn.XLOOKUP(C603,SkillActive!$A:$A,SkillActive!E:E,,0)</f>
        <v/>
      </c>
      <c r="H603" s="47">
        <f>_xlfn.XLOOKUP(E603,SkillActive!B:B,SkillActive!K:K,,0)</f>
        <v/>
      </c>
    </row>
    <row r="604">
      <c r="A604" s="25">
        <f>C604*100+D604</f>
        <v/>
      </c>
      <c r="B604" s="42">
        <f>_xlfn.XLOOKUP(C604,SkillActive!$A:$A,SkillActive!C:C,,0)</f>
        <v/>
      </c>
      <c r="C604" s="25">
        <f>C588+1</f>
        <v/>
      </c>
      <c r="D604" s="25" t="n">
        <v>9</v>
      </c>
      <c r="E604" s="25">
        <f t="array" ref="E604">_xlfn.XLOOKUP(C604,SkillActive!A:A,INDEX(SkillActive!A:AA,0,MATCH("name",SkillActive!$2:$2,0)),,0)</f>
        <v/>
      </c>
      <c r="F604" s="47">
        <f>D604</f>
        <v/>
      </c>
      <c r="G604" s="47">
        <f>_xlfn.XLOOKUP(C604,SkillActive!$A:$A,SkillActive!E:E,,0)</f>
        <v/>
      </c>
      <c r="H604" s="47">
        <f>_xlfn.XLOOKUP(E604,SkillActive!B:B,SkillActive!K:K,,0)</f>
        <v/>
      </c>
    </row>
    <row r="605">
      <c r="A605" s="25">
        <f>C605*100+D605</f>
        <v/>
      </c>
      <c r="B605" s="42">
        <f>_xlfn.XLOOKUP(C605,SkillActive!$A:$A,SkillActive!C:C,,0)</f>
        <v/>
      </c>
      <c r="C605" s="25">
        <f>C589+1</f>
        <v/>
      </c>
      <c r="D605" s="25" t="n">
        <v>10</v>
      </c>
      <c r="E605" s="25">
        <f t="array" ref="E605">_xlfn.XLOOKUP(C605,SkillActive!A:A,INDEX(SkillActive!A:AA,0,MATCH("name",SkillActive!$2:$2,0)),,0)</f>
        <v/>
      </c>
      <c r="F605" s="47">
        <f>D605</f>
        <v/>
      </c>
      <c r="G605" s="47">
        <f>_xlfn.XLOOKUP(C605,SkillActive!$A:$A,SkillActive!E:E,,0)</f>
        <v/>
      </c>
      <c r="H605" s="47">
        <f>_xlfn.XLOOKUP(E605,SkillActive!B:B,SkillActive!K:K,,0)</f>
        <v/>
      </c>
    </row>
    <row r="606">
      <c r="A606" s="25">
        <f>C606*100+D606</f>
        <v/>
      </c>
      <c r="B606" s="42">
        <f>_xlfn.XLOOKUP(C606,SkillActive!$A:$A,SkillActive!C:C,,0)</f>
        <v/>
      </c>
      <c r="C606" s="25">
        <f>C590+1</f>
        <v/>
      </c>
      <c r="D606" s="25" t="n">
        <v>11</v>
      </c>
      <c r="E606" s="25">
        <f t="array" ref="E606">_xlfn.XLOOKUP(C606,SkillActive!A:A,INDEX(SkillActive!A:AA,0,MATCH("name",SkillActive!$2:$2,0)),,0)</f>
        <v/>
      </c>
      <c r="F606" s="47">
        <f>D606</f>
        <v/>
      </c>
      <c r="G606" s="47">
        <f>_xlfn.XLOOKUP(C606,SkillActive!$A:$A,SkillActive!E:E,,0)</f>
        <v/>
      </c>
      <c r="H606" s="47">
        <f>_xlfn.XLOOKUP(E606,SkillActive!B:B,SkillActive!K:K,,0)</f>
        <v/>
      </c>
    </row>
    <row r="607">
      <c r="A607" s="25">
        <f>C607*100+D607</f>
        <v/>
      </c>
      <c r="B607" s="42">
        <f>_xlfn.XLOOKUP(C607,SkillActive!$A:$A,SkillActive!C:C,,0)</f>
        <v/>
      </c>
      <c r="C607" s="25">
        <f>C591+1</f>
        <v/>
      </c>
      <c r="D607" s="25" t="n">
        <v>12</v>
      </c>
      <c r="E607" s="25">
        <f t="array" ref="E607">_xlfn.XLOOKUP(C607,SkillActive!A:A,INDEX(SkillActive!A:AA,0,MATCH("name",SkillActive!$2:$2,0)),,0)</f>
        <v/>
      </c>
      <c r="F607" s="47">
        <f>D607</f>
        <v/>
      </c>
      <c r="G607" s="47">
        <f>_xlfn.XLOOKUP(C607,SkillActive!$A:$A,SkillActive!E:E,,0)</f>
        <v/>
      </c>
      <c r="H607" s="47">
        <f>_xlfn.XLOOKUP(E607,SkillActive!B:B,SkillActive!K:K,,0)</f>
        <v/>
      </c>
    </row>
    <row r="608">
      <c r="A608" s="25">
        <f>C608*100+D608</f>
        <v/>
      </c>
      <c r="B608" s="42">
        <f>_xlfn.XLOOKUP(C608,SkillActive!$A:$A,SkillActive!C:C,,0)</f>
        <v/>
      </c>
      <c r="C608" s="25">
        <f>C592+1</f>
        <v/>
      </c>
      <c r="D608" s="25" t="n">
        <v>13</v>
      </c>
      <c r="E608" s="25">
        <f t="array" ref="E608">_xlfn.XLOOKUP(C608,SkillActive!A:A,INDEX(SkillActive!A:AA,0,MATCH("name",SkillActive!$2:$2,0)),,0)</f>
        <v/>
      </c>
      <c r="F608" s="47">
        <f>D608</f>
        <v/>
      </c>
      <c r="G608" s="47">
        <f>_xlfn.XLOOKUP(C608,SkillActive!$A:$A,SkillActive!E:E,,0)</f>
        <v/>
      </c>
      <c r="H608" s="47">
        <f>_xlfn.XLOOKUP(E608,SkillActive!B:B,SkillActive!K:K,,0)</f>
        <v/>
      </c>
    </row>
    <row r="609">
      <c r="A609" s="25">
        <f>C609*100+D609</f>
        <v/>
      </c>
      <c r="B609" s="42">
        <f>_xlfn.XLOOKUP(C609,SkillActive!$A:$A,SkillActive!C:C,,0)</f>
        <v/>
      </c>
      <c r="C609" s="25">
        <f>C593+1</f>
        <v/>
      </c>
      <c r="D609" s="25" t="n">
        <v>14</v>
      </c>
      <c r="E609" s="25">
        <f t="array" ref="E609">_xlfn.XLOOKUP(C609,SkillActive!A:A,INDEX(SkillActive!A:AA,0,MATCH("name",SkillActive!$2:$2,0)),,0)</f>
        <v/>
      </c>
      <c r="F609" s="47">
        <f>D609</f>
        <v/>
      </c>
      <c r="G609" s="47">
        <f>_xlfn.XLOOKUP(C609,SkillActive!$A:$A,SkillActive!E:E,,0)</f>
        <v/>
      </c>
      <c r="H609" s="47">
        <f>_xlfn.XLOOKUP(E609,SkillActive!B:B,SkillActive!K:K,,0)</f>
        <v/>
      </c>
    </row>
    <row r="610">
      <c r="A610" s="25">
        <f>C610*100+D610</f>
        <v/>
      </c>
      <c r="B610" s="42">
        <f>_xlfn.XLOOKUP(C610,SkillActive!$A:$A,SkillActive!C:C,,0)</f>
        <v/>
      </c>
      <c r="C610" s="25">
        <f>C594+1</f>
        <v/>
      </c>
      <c r="D610" s="25" t="n">
        <v>15</v>
      </c>
      <c r="E610" s="25">
        <f t="array" ref="E610">_xlfn.XLOOKUP(C610,SkillActive!A:A,INDEX(SkillActive!A:AA,0,MATCH("name",SkillActive!$2:$2,0)),,0)</f>
        <v/>
      </c>
      <c r="F610" s="47">
        <f>D610</f>
        <v/>
      </c>
      <c r="G610" s="47">
        <f>_xlfn.XLOOKUP(C610,SkillActive!$A:$A,SkillActive!E:E,,0)</f>
        <v/>
      </c>
      <c r="H610" s="47">
        <f>_xlfn.XLOOKUP(E610,SkillActive!B:B,SkillActive!K:K,,0)</f>
        <v/>
      </c>
    </row>
    <row r="611">
      <c r="A611" s="25">
        <f>C611*100+D611</f>
        <v/>
      </c>
      <c r="B611" s="42">
        <f>_xlfn.XLOOKUP(C611,SkillActive!$A:$A,SkillActive!C:C,,0)</f>
        <v/>
      </c>
      <c r="C611" s="25">
        <f>C595+1</f>
        <v/>
      </c>
      <c r="D611" s="25" t="n">
        <v>16</v>
      </c>
      <c r="E611" s="25">
        <f t="array" ref="E611">_xlfn.XLOOKUP(C611,SkillActive!A:A,INDEX(SkillActive!A:AA,0,MATCH("name",SkillActive!$2:$2,0)),,0)</f>
        <v/>
      </c>
      <c r="F611" s="47">
        <f>D611</f>
        <v/>
      </c>
      <c r="G611" s="47">
        <f>_xlfn.XLOOKUP(C611,SkillActive!$A:$A,SkillActive!E:E,,0)</f>
        <v/>
      </c>
      <c r="H611" s="47">
        <f>_xlfn.XLOOKUP(E611,SkillActive!B:B,SkillActive!K:K,,0)</f>
        <v/>
      </c>
    </row>
    <row r="612">
      <c r="A612" s="25">
        <f>C612*100+D612</f>
        <v/>
      </c>
      <c r="B612" s="42">
        <f>_xlfn.XLOOKUP(C612,SkillActive!$A:$A,SkillActive!C:C,,0)</f>
        <v/>
      </c>
      <c r="C612" s="25" t="n">
        <v>100039</v>
      </c>
      <c r="D612" s="25" t="n">
        <v>1</v>
      </c>
      <c r="E612" s="25">
        <f t="array" ref="E612">_xlfn.XLOOKUP(C612,SkillActive!A:A,INDEX(SkillActive!A:AA,0,MATCH("name",SkillActive!$2:$2,0)),,0)</f>
        <v/>
      </c>
      <c r="F612" s="47">
        <f>D612</f>
        <v/>
      </c>
      <c r="G612" s="47">
        <f>_xlfn.XLOOKUP(C612,SkillActive!$A:$A,SkillActive!E:E,,0)</f>
        <v/>
      </c>
      <c r="H612" s="47">
        <f>_xlfn.XLOOKUP(E612,SkillActive!B:B,SkillActive!K:K,,0)</f>
        <v/>
      </c>
    </row>
    <row r="613">
      <c r="A613" s="25">
        <f>C613*100+D613</f>
        <v/>
      </c>
      <c r="B613" s="42">
        <f>_xlfn.XLOOKUP(C613,SkillActive!$A:$A,SkillActive!C:C,,0)</f>
        <v/>
      </c>
      <c r="C613" s="25">
        <f>C597+1</f>
        <v/>
      </c>
      <c r="D613" s="25" t="n">
        <v>2</v>
      </c>
      <c r="E613" s="25">
        <f t="array" ref="E613">_xlfn.XLOOKUP(C613,SkillActive!A:A,INDEX(SkillActive!A:AA,0,MATCH("name",SkillActive!$2:$2,0)),,0)</f>
        <v/>
      </c>
      <c r="F613" s="47">
        <f>D613</f>
        <v/>
      </c>
      <c r="G613" s="47">
        <f>_xlfn.XLOOKUP(C613,SkillActive!$A:$A,SkillActive!E:E,,0)</f>
        <v/>
      </c>
      <c r="H613" s="47">
        <f>_xlfn.XLOOKUP(E613,SkillActive!B:B,SkillActive!K:K,,0)</f>
        <v/>
      </c>
    </row>
    <row r="614">
      <c r="A614" s="25">
        <f>C614*100+D614</f>
        <v/>
      </c>
      <c r="B614" s="42">
        <f>_xlfn.XLOOKUP(C614,SkillActive!$A:$A,SkillActive!C:C,,0)</f>
        <v/>
      </c>
      <c r="C614" s="25">
        <f>C598+1</f>
        <v/>
      </c>
      <c r="D614" s="25" t="n">
        <v>3</v>
      </c>
      <c r="E614" s="25">
        <f t="array" ref="E614">_xlfn.XLOOKUP(C614,SkillActive!A:A,INDEX(SkillActive!A:AA,0,MATCH("name",SkillActive!$2:$2,0)),,0)</f>
        <v/>
      </c>
      <c r="F614" s="47">
        <f>D614</f>
        <v/>
      </c>
      <c r="G614" s="47">
        <f>_xlfn.XLOOKUP(C614,SkillActive!$A:$A,SkillActive!E:E,,0)</f>
        <v/>
      </c>
      <c r="H614" s="47">
        <f>_xlfn.XLOOKUP(E614,SkillActive!B:B,SkillActive!K:K,,0)</f>
        <v/>
      </c>
    </row>
    <row r="615">
      <c r="A615" s="25">
        <f>C615*100+D615</f>
        <v/>
      </c>
      <c r="B615" s="42">
        <f>_xlfn.XLOOKUP(C615,SkillActive!$A:$A,SkillActive!C:C,,0)</f>
        <v/>
      </c>
      <c r="C615" s="25">
        <f>C599+1</f>
        <v/>
      </c>
      <c r="D615" s="25" t="n">
        <v>4</v>
      </c>
      <c r="E615" s="25">
        <f t="array" ref="E615">_xlfn.XLOOKUP(C615,SkillActive!A:A,INDEX(SkillActive!A:AA,0,MATCH("name",SkillActive!$2:$2,0)),,0)</f>
        <v/>
      </c>
      <c r="F615" s="47">
        <f>D615</f>
        <v/>
      </c>
      <c r="G615" s="47">
        <f>_xlfn.XLOOKUP(C615,SkillActive!$A:$A,SkillActive!E:E,,0)</f>
        <v/>
      </c>
      <c r="H615" s="47">
        <f>_xlfn.XLOOKUP(E615,SkillActive!B:B,SkillActive!K:K,,0)</f>
        <v/>
      </c>
    </row>
    <row r="616">
      <c r="A616" s="25">
        <f>C616*100+D616</f>
        <v/>
      </c>
      <c r="B616" s="42">
        <f>_xlfn.XLOOKUP(C616,SkillActive!$A:$A,SkillActive!C:C,,0)</f>
        <v/>
      </c>
      <c r="C616" s="25">
        <f>C600+1</f>
        <v/>
      </c>
      <c r="D616" s="25" t="n">
        <v>5</v>
      </c>
      <c r="E616" s="25">
        <f t="array" ref="E616">_xlfn.XLOOKUP(C616,SkillActive!A:A,INDEX(SkillActive!A:AA,0,MATCH("name",SkillActive!$2:$2,0)),,0)</f>
        <v/>
      </c>
      <c r="F616" s="47">
        <f>D616</f>
        <v/>
      </c>
      <c r="G616" s="47">
        <f>_xlfn.XLOOKUP(C616,SkillActive!$A:$A,SkillActive!E:E,,0)</f>
        <v/>
      </c>
      <c r="H616" s="47">
        <f>_xlfn.XLOOKUP(E616,SkillActive!B:B,SkillActive!K:K,,0)</f>
        <v/>
      </c>
    </row>
    <row r="617">
      <c r="A617" s="25">
        <f>C617*100+D617</f>
        <v/>
      </c>
      <c r="B617" s="42">
        <f>_xlfn.XLOOKUP(C617,SkillActive!$A:$A,SkillActive!C:C,,0)</f>
        <v/>
      </c>
      <c r="C617" s="25">
        <f>C601+1</f>
        <v/>
      </c>
      <c r="D617" s="25" t="n">
        <v>6</v>
      </c>
      <c r="E617" s="25">
        <f t="array" ref="E617">_xlfn.XLOOKUP(C617,SkillActive!A:A,INDEX(SkillActive!A:AA,0,MATCH("name",SkillActive!$2:$2,0)),,0)</f>
        <v/>
      </c>
      <c r="F617" s="47">
        <f>D617</f>
        <v/>
      </c>
      <c r="G617" s="47">
        <f>_xlfn.XLOOKUP(C617,SkillActive!$A:$A,SkillActive!E:E,,0)</f>
        <v/>
      </c>
      <c r="H617" s="47">
        <f>_xlfn.XLOOKUP(E617,SkillActive!B:B,SkillActive!K:K,,0)</f>
        <v/>
      </c>
    </row>
    <row r="618">
      <c r="A618" s="25">
        <f>C618*100+D618</f>
        <v/>
      </c>
      <c r="B618" s="42">
        <f>_xlfn.XLOOKUP(C618,SkillActive!$A:$A,SkillActive!C:C,,0)</f>
        <v/>
      </c>
      <c r="C618" s="25">
        <f>C602+1</f>
        <v/>
      </c>
      <c r="D618" s="25" t="n">
        <v>7</v>
      </c>
      <c r="E618" s="25">
        <f t="array" ref="E618">_xlfn.XLOOKUP(C618,SkillActive!A:A,INDEX(SkillActive!A:AA,0,MATCH("name",SkillActive!$2:$2,0)),,0)</f>
        <v/>
      </c>
      <c r="F618" s="47">
        <f>D618</f>
        <v/>
      </c>
      <c r="G618" s="47">
        <f>_xlfn.XLOOKUP(C618,SkillActive!$A:$A,SkillActive!E:E,,0)</f>
        <v/>
      </c>
      <c r="H618" s="47">
        <f>_xlfn.XLOOKUP(E618,SkillActive!B:B,SkillActive!K:K,,0)</f>
        <v/>
      </c>
    </row>
    <row r="619">
      <c r="A619" s="25">
        <f>C619*100+D619</f>
        <v/>
      </c>
      <c r="B619" s="42">
        <f>_xlfn.XLOOKUP(C619,SkillActive!$A:$A,SkillActive!C:C,,0)</f>
        <v/>
      </c>
      <c r="C619" s="25">
        <f>C603+1</f>
        <v/>
      </c>
      <c r="D619" s="25" t="n">
        <v>8</v>
      </c>
      <c r="E619" s="25">
        <f t="array" ref="E619">_xlfn.XLOOKUP(C619,SkillActive!A:A,INDEX(SkillActive!A:AA,0,MATCH("name",SkillActive!$2:$2,0)),,0)</f>
        <v/>
      </c>
      <c r="F619" s="47">
        <f>D619</f>
        <v/>
      </c>
      <c r="G619" s="47">
        <f>_xlfn.XLOOKUP(C619,SkillActive!$A:$A,SkillActive!E:E,,0)</f>
        <v/>
      </c>
      <c r="H619" s="47">
        <f>_xlfn.XLOOKUP(E619,SkillActive!B:B,SkillActive!K:K,,0)</f>
        <v/>
      </c>
    </row>
    <row r="620">
      <c r="A620" s="25">
        <f>C620*100+D620</f>
        <v/>
      </c>
      <c r="B620" s="42">
        <f>_xlfn.XLOOKUP(C620,SkillActive!$A:$A,SkillActive!C:C,,0)</f>
        <v/>
      </c>
      <c r="C620" s="25">
        <f>C604+1</f>
        <v/>
      </c>
      <c r="D620" s="25" t="n">
        <v>9</v>
      </c>
      <c r="E620" s="25">
        <f t="array" ref="E620">_xlfn.XLOOKUP(C620,SkillActive!A:A,INDEX(SkillActive!A:AA,0,MATCH("name",SkillActive!$2:$2,0)),,0)</f>
        <v/>
      </c>
      <c r="F620" s="47">
        <f>D620</f>
        <v/>
      </c>
      <c r="G620" s="47">
        <f>_xlfn.XLOOKUP(C620,SkillActive!$A:$A,SkillActive!E:E,,0)</f>
        <v/>
      </c>
      <c r="H620" s="47">
        <f>_xlfn.XLOOKUP(E620,SkillActive!B:B,SkillActive!K:K,,0)</f>
        <v/>
      </c>
    </row>
    <row r="621">
      <c r="A621" s="25">
        <f>C621*100+D621</f>
        <v/>
      </c>
      <c r="B621" s="42">
        <f>_xlfn.XLOOKUP(C621,SkillActive!$A:$A,SkillActive!C:C,,0)</f>
        <v/>
      </c>
      <c r="C621" s="25">
        <f>C605+1</f>
        <v/>
      </c>
      <c r="D621" s="25" t="n">
        <v>10</v>
      </c>
      <c r="E621" s="25">
        <f t="array" ref="E621">_xlfn.XLOOKUP(C621,SkillActive!A:A,INDEX(SkillActive!A:AA,0,MATCH("name",SkillActive!$2:$2,0)),,0)</f>
        <v/>
      </c>
      <c r="F621" s="47">
        <f>D621</f>
        <v/>
      </c>
      <c r="G621" s="47">
        <f>_xlfn.XLOOKUP(C621,SkillActive!$A:$A,SkillActive!E:E,,0)</f>
        <v/>
      </c>
      <c r="H621" s="47">
        <f>_xlfn.XLOOKUP(E621,SkillActive!B:B,SkillActive!K:K,,0)</f>
        <v/>
      </c>
    </row>
    <row r="622">
      <c r="A622" s="25">
        <f>C622*100+D622</f>
        <v/>
      </c>
      <c r="B622" s="42">
        <f>_xlfn.XLOOKUP(C622,SkillActive!$A:$A,SkillActive!C:C,,0)</f>
        <v/>
      </c>
      <c r="C622" s="25">
        <f>C606+1</f>
        <v/>
      </c>
      <c r="D622" s="25" t="n">
        <v>11</v>
      </c>
      <c r="E622" s="25">
        <f t="array" ref="E622">_xlfn.XLOOKUP(C622,SkillActive!A:A,INDEX(SkillActive!A:AA,0,MATCH("name",SkillActive!$2:$2,0)),,0)</f>
        <v/>
      </c>
      <c r="F622" s="47">
        <f>D622</f>
        <v/>
      </c>
      <c r="G622" s="47">
        <f>_xlfn.XLOOKUP(C622,SkillActive!$A:$A,SkillActive!E:E,,0)</f>
        <v/>
      </c>
      <c r="H622" s="47">
        <f>_xlfn.XLOOKUP(E622,SkillActive!B:B,SkillActive!K:K,,0)</f>
        <v/>
      </c>
    </row>
    <row r="623">
      <c r="A623" s="25">
        <f>C623*100+D623</f>
        <v/>
      </c>
      <c r="B623" s="42">
        <f>_xlfn.XLOOKUP(C623,SkillActive!$A:$A,SkillActive!C:C,,0)</f>
        <v/>
      </c>
      <c r="C623" s="25">
        <f>C607+1</f>
        <v/>
      </c>
      <c r="D623" s="25" t="n">
        <v>12</v>
      </c>
      <c r="E623" s="25">
        <f t="array" ref="E623">_xlfn.XLOOKUP(C623,SkillActive!A:A,INDEX(SkillActive!A:AA,0,MATCH("name",SkillActive!$2:$2,0)),,0)</f>
        <v/>
      </c>
      <c r="F623" s="47">
        <f>D623</f>
        <v/>
      </c>
      <c r="G623" s="47">
        <f>_xlfn.XLOOKUP(C623,SkillActive!$A:$A,SkillActive!E:E,,0)</f>
        <v/>
      </c>
      <c r="H623" s="47">
        <f>_xlfn.XLOOKUP(E623,SkillActive!B:B,SkillActive!K:K,,0)</f>
        <v/>
      </c>
    </row>
    <row r="624">
      <c r="A624" s="25">
        <f>C624*100+D624</f>
        <v/>
      </c>
      <c r="B624" s="42">
        <f>_xlfn.XLOOKUP(C624,SkillActive!$A:$A,SkillActive!C:C,,0)</f>
        <v/>
      </c>
      <c r="C624" s="25">
        <f>C608+1</f>
        <v/>
      </c>
      <c r="D624" s="25" t="n">
        <v>13</v>
      </c>
      <c r="E624" s="25">
        <f t="array" ref="E624">_xlfn.XLOOKUP(C624,SkillActive!A:A,INDEX(SkillActive!A:AA,0,MATCH("name",SkillActive!$2:$2,0)),,0)</f>
        <v/>
      </c>
      <c r="F624" s="47">
        <f>D624</f>
        <v/>
      </c>
      <c r="G624" s="47">
        <f>_xlfn.XLOOKUP(C624,SkillActive!$A:$A,SkillActive!E:E,,0)</f>
        <v/>
      </c>
      <c r="H624" s="47">
        <f>_xlfn.XLOOKUP(E624,SkillActive!B:B,SkillActive!K:K,,0)</f>
        <v/>
      </c>
    </row>
    <row r="625">
      <c r="A625" s="25">
        <f>C625*100+D625</f>
        <v/>
      </c>
      <c r="B625" s="42">
        <f>_xlfn.XLOOKUP(C625,SkillActive!$A:$A,SkillActive!C:C,,0)</f>
        <v/>
      </c>
      <c r="C625" s="25">
        <f>C609+1</f>
        <v/>
      </c>
      <c r="D625" s="25" t="n">
        <v>14</v>
      </c>
      <c r="E625" s="25">
        <f t="array" ref="E625">_xlfn.XLOOKUP(C625,SkillActive!A:A,INDEX(SkillActive!A:AA,0,MATCH("name",SkillActive!$2:$2,0)),,0)</f>
        <v/>
      </c>
      <c r="F625" s="47">
        <f>D625</f>
        <v/>
      </c>
      <c r="G625" s="47">
        <f>_xlfn.XLOOKUP(C625,SkillActive!$A:$A,SkillActive!E:E,,0)</f>
        <v/>
      </c>
      <c r="H625" s="47">
        <f>_xlfn.XLOOKUP(E625,SkillActive!B:B,SkillActive!K:K,,0)</f>
        <v/>
      </c>
    </row>
    <row r="626">
      <c r="A626" s="25">
        <f>C626*100+D626</f>
        <v/>
      </c>
      <c r="B626" s="42">
        <f>_xlfn.XLOOKUP(C626,SkillActive!$A:$A,SkillActive!C:C,,0)</f>
        <v/>
      </c>
      <c r="C626" s="25">
        <f>C610+1</f>
        <v/>
      </c>
      <c r="D626" s="25" t="n">
        <v>15</v>
      </c>
      <c r="E626" s="25">
        <f t="array" ref="E626">_xlfn.XLOOKUP(C626,SkillActive!A:A,INDEX(SkillActive!A:AA,0,MATCH("name",SkillActive!$2:$2,0)),,0)</f>
        <v/>
      </c>
      <c r="F626" s="47">
        <f>D626</f>
        <v/>
      </c>
      <c r="G626" s="47">
        <f>_xlfn.XLOOKUP(C626,SkillActive!$A:$A,SkillActive!E:E,,0)</f>
        <v/>
      </c>
      <c r="H626" s="47">
        <f>_xlfn.XLOOKUP(E626,SkillActive!B:B,SkillActive!K:K,,0)</f>
        <v/>
      </c>
    </row>
    <row r="627">
      <c r="A627" s="25">
        <f>C627*100+D627</f>
        <v/>
      </c>
      <c r="B627" s="42">
        <f>_xlfn.XLOOKUP(C627,SkillActive!$A:$A,SkillActive!C:C,,0)</f>
        <v/>
      </c>
      <c r="C627" s="25">
        <f>C611+1</f>
        <v/>
      </c>
      <c r="D627" s="25" t="n">
        <v>16</v>
      </c>
      <c r="E627" s="25">
        <f t="array" ref="E627">_xlfn.XLOOKUP(C627,SkillActive!A:A,INDEX(SkillActive!A:AA,0,MATCH("name",SkillActive!$2:$2,0)),,0)</f>
        <v/>
      </c>
      <c r="F627" s="47">
        <f>D627</f>
        <v/>
      </c>
      <c r="G627" s="47">
        <f>_xlfn.XLOOKUP(C627,SkillActive!$A:$A,SkillActive!E:E,,0)</f>
        <v/>
      </c>
      <c r="H627" s="47">
        <f>_xlfn.XLOOKUP(E627,SkillActive!B:B,SkillActive!K:K,,0)</f>
        <v/>
      </c>
    </row>
    <row r="628">
      <c r="A628" s="25">
        <f>C628*100+D628</f>
        <v/>
      </c>
      <c r="B628" s="42">
        <f>_xlfn.XLOOKUP(C628,SkillActive!$A:$A,SkillActive!C:C,,0)</f>
        <v/>
      </c>
      <c r="C628" s="25">
        <f>C612+1</f>
        <v/>
      </c>
      <c r="D628" s="25" t="n">
        <v>1</v>
      </c>
      <c r="E628" s="25">
        <f t="array" ref="E628">_xlfn.XLOOKUP(C628,SkillActive!A:A,INDEX(SkillActive!A:AA,0,MATCH("name",SkillActive!$2:$2,0)),,0)</f>
        <v/>
      </c>
      <c r="F628" s="47">
        <f>D628</f>
        <v/>
      </c>
      <c r="G628" s="47">
        <f>_xlfn.XLOOKUP(C628,SkillActive!$A:$A,SkillActive!E:E,,0)</f>
        <v/>
      </c>
      <c r="H628" s="47">
        <f>_xlfn.XLOOKUP(E628,SkillActive!B:B,SkillActive!K:K,,0)</f>
        <v/>
      </c>
    </row>
    <row r="629">
      <c r="A629" s="25">
        <f>C629*100+D629</f>
        <v/>
      </c>
      <c r="B629" s="42">
        <f>_xlfn.XLOOKUP(C629,SkillActive!$A:$A,SkillActive!C:C,,0)</f>
        <v/>
      </c>
      <c r="C629" s="25">
        <f>C613+1</f>
        <v/>
      </c>
      <c r="D629" s="25" t="n">
        <v>2</v>
      </c>
      <c r="E629" s="25">
        <f t="array" ref="E629">_xlfn.XLOOKUP(C629,SkillActive!A:A,INDEX(SkillActive!A:AA,0,MATCH("name",SkillActive!$2:$2,0)),,0)</f>
        <v/>
      </c>
      <c r="F629" s="47">
        <f>D629</f>
        <v/>
      </c>
      <c r="G629" s="47">
        <f>_xlfn.XLOOKUP(C629,SkillActive!$A:$A,SkillActive!E:E,,0)</f>
        <v/>
      </c>
      <c r="H629" s="47">
        <f>_xlfn.XLOOKUP(E629,SkillActive!B:B,SkillActive!K:K,,0)</f>
        <v/>
      </c>
    </row>
    <row r="630">
      <c r="A630" s="25">
        <f>C630*100+D630</f>
        <v/>
      </c>
      <c r="B630" s="42">
        <f>_xlfn.XLOOKUP(C630,SkillActive!$A:$A,SkillActive!C:C,,0)</f>
        <v/>
      </c>
      <c r="C630" s="25">
        <f>C614+1</f>
        <v/>
      </c>
      <c r="D630" s="25" t="n">
        <v>3</v>
      </c>
      <c r="E630" s="25">
        <f t="array" ref="E630">_xlfn.XLOOKUP(C630,SkillActive!A:A,INDEX(SkillActive!A:AA,0,MATCH("name",SkillActive!$2:$2,0)),,0)</f>
        <v/>
      </c>
      <c r="F630" s="47">
        <f>D630</f>
        <v/>
      </c>
      <c r="G630" s="47">
        <f>_xlfn.XLOOKUP(C630,SkillActive!$A:$A,SkillActive!E:E,,0)</f>
        <v/>
      </c>
      <c r="H630" s="47">
        <f>_xlfn.XLOOKUP(E630,SkillActive!B:B,SkillActive!K:K,,0)</f>
        <v/>
      </c>
    </row>
    <row r="631">
      <c r="A631" s="25">
        <f>C631*100+D631</f>
        <v/>
      </c>
      <c r="B631" s="42">
        <f>_xlfn.XLOOKUP(C631,SkillActive!$A:$A,SkillActive!C:C,,0)</f>
        <v/>
      </c>
      <c r="C631" s="25">
        <f>C615+1</f>
        <v/>
      </c>
      <c r="D631" s="25" t="n">
        <v>4</v>
      </c>
      <c r="E631" s="25">
        <f t="array" ref="E631">_xlfn.XLOOKUP(C631,SkillActive!A:A,INDEX(SkillActive!A:AA,0,MATCH("name",SkillActive!$2:$2,0)),,0)</f>
        <v/>
      </c>
      <c r="F631" s="47">
        <f>D631</f>
        <v/>
      </c>
      <c r="G631" s="47">
        <f>_xlfn.XLOOKUP(C631,SkillActive!$A:$A,SkillActive!E:E,,0)</f>
        <v/>
      </c>
      <c r="H631" s="47">
        <f>_xlfn.XLOOKUP(E631,SkillActive!B:B,SkillActive!K:K,,0)</f>
        <v/>
      </c>
    </row>
    <row r="632">
      <c r="A632" s="25">
        <f>C632*100+D632</f>
        <v/>
      </c>
      <c r="B632" s="42">
        <f>_xlfn.XLOOKUP(C632,SkillActive!$A:$A,SkillActive!C:C,,0)</f>
        <v/>
      </c>
      <c r="C632" s="25">
        <f>C616+1</f>
        <v/>
      </c>
      <c r="D632" s="25" t="n">
        <v>5</v>
      </c>
      <c r="E632" s="25">
        <f t="array" ref="E632">_xlfn.XLOOKUP(C632,SkillActive!A:A,INDEX(SkillActive!A:AA,0,MATCH("name",SkillActive!$2:$2,0)),,0)</f>
        <v/>
      </c>
      <c r="F632" s="47">
        <f>D632</f>
        <v/>
      </c>
      <c r="G632" s="47">
        <f>_xlfn.XLOOKUP(C632,SkillActive!$A:$A,SkillActive!E:E,,0)</f>
        <v/>
      </c>
      <c r="H632" s="47">
        <f>_xlfn.XLOOKUP(E632,SkillActive!B:B,SkillActive!K:K,,0)</f>
        <v/>
      </c>
    </row>
    <row r="633">
      <c r="A633" s="25">
        <f>C633*100+D633</f>
        <v/>
      </c>
      <c r="B633" s="42">
        <f>_xlfn.XLOOKUP(C633,SkillActive!$A:$A,SkillActive!C:C,,0)</f>
        <v/>
      </c>
      <c r="C633" s="25">
        <f>C617+1</f>
        <v/>
      </c>
      <c r="D633" s="25" t="n">
        <v>6</v>
      </c>
      <c r="E633" s="25">
        <f t="array" ref="E633">_xlfn.XLOOKUP(C633,SkillActive!A:A,INDEX(SkillActive!A:AA,0,MATCH("name",SkillActive!$2:$2,0)),,0)</f>
        <v/>
      </c>
      <c r="F633" s="47">
        <f>D633</f>
        <v/>
      </c>
      <c r="G633" s="47">
        <f>_xlfn.XLOOKUP(C633,SkillActive!$A:$A,SkillActive!E:E,,0)</f>
        <v/>
      </c>
      <c r="H633" s="47">
        <f>_xlfn.XLOOKUP(E633,SkillActive!B:B,SkillActive!K:K,,0)</f>
        <v/>
      </c>
    </row>
    <row r="634">
      <c r="A634" s="25">
        <f>C634*100+D634</f>
        <v/>
      </c>
      <c r="B634" s="42">
        <f>_xlfn.XLOOKUP(C634,SkillActive!$A:$A,SkillActive!C:C,,0)</f>
        <v/>
      </c>
      <c r="C634" s="25">
        <f>C618+1</f>
        <v/>
      </c>
      <c r="D634" s="25" t="n">
        <v>7</v>
      </c>
      <c r="E634" s="25">
        <f t="array" ref="E634">_xlfn.XLOOKUP(C634,SkillActive!A:A,INDEX(SkillActive!A:AA,0,MATCH("name",SkillActive!$2:$2,0)),,0)</f>
        <v/>
      </c>
      <c r="F634" s="47">
        <f>D634</f>
        <v/>
      </c>
      <c r="G634" s="47">
        <f>_xlfn.XLOOKUP(C634,SkillActive!$A:$A,SkillActive!E:E,,0)</f>
        <v/>
      </c>
      <c r="H634" s="47">
        <f>_xlfn.XLOOKUP(E634,SkillActive!B:B,SkillActive!K:K,,0)</f>
        <v/>
      </c>
    </row>
    <row r="635">
      <c r="A635" s="25">
        <f>C635*100+D635</f>
        <v/>
      </c>
      <c r="B635" s="42">
        <f>_xlfn.XLOOKUP(C635,SkillActive!$A:$A,SkillActive!C:C,,0)</f>
        <v/>
      </c>
      <c r="C635" s="25">
        <f>C619+1</f>
        <v/>
      </c>
      <c r="D635" s="25" t="n">
        <v>8</v>
      </c>
      <c r="E635" s="25">
        <f t="array" ref="E635">_xlfn.XLOOKUP(C635,SkillActive!A:A,INDEX(SkillActive!A:AA,0,MATCH("name",SkillActive!$2:$2,0)),,0)</f>
        <v/>
      </c>
      <c r="F635" s="47">
        <f>D635</f>
        <v/>
      </c>
      <c r="G635" s="47">
        <f>_xlfn.XLOOKUP(C635,SkillActive!$A:$A,SkillActive!E:E,,0)</f>
        <v/>
      </c>
      <c r="H635" s="47">
        <f>_xlfn.XLOOKUP(E635,SkillActive!B:B,SkillActive!K:K,,0)</f>
        <v/>
      </c>
    </row>
    <row r="636">
      <c r="A636" s="25">
        <f>C636*100+D636</f>
        <v/>
      </c>
      <c r="B636" s="42">
        <f>_xlfn.XLOOKUP(C636,SkillActive!$A:$A,SkillActive!C:C,,0)</f>
        <v/>
      </c>
      <c r="C636" s="25">
        <f>C620+1</f>
        <v/>
      </c>
      <c r="D636" s="25" t="n">
        <v>9</v>
      </c>
      <c r="E636" s="25">
        <f t="array" ref="E636">_xlfn.XLOOKUP(C636,SkillActive!A:A,INDEX(SkillActive!A:AA,0,MATCH("name",SkillActive!$2:$2,0)),,0)</f>
        <v/>
      </c>
      <c r="F636" s="47">
        <f>D636</f>
        <v/>
      </c>
      <c r="G636" s="47">
        <f>_xlfn.XLOOKUP(C636,SkillActive!$A:$A,SkillActive!E:E,,0)</f>
        <v/>
      </c>
      <c r="H636" s="47">
        <f>_xlfn.XLOOKUP(E636,SkillActive!B:B,SkillActive!K:K,,0)</f>
        <v/>
      </c>
    </row>
    <row r="637">
      <c r="A637" s="25">
        <f>C637*100+D637</f>
        <v/>
      </c>
      <c r="B637" s="42">
        <f>_xlfn.XLOOKUP(C637,SkillActive!$A:$A,SkillActive!C:C,,0)</f>
        <v/>
      </c>
      <c r="C637" s="25">
        <f>C621+1</f>
        <v/>
      </c>
      <c r="D637" s="25" t="n">
        <v>10</v>
      </c>
      <c r="E637" s="25">
        <f t="array" ref="E637">_xlfn.XLOOKUP(C637,SkillActive!A:A,INDEX(SkillActive!A:AA,0,MATCH("name",SkillActive!$2:$2,0)),,0)</f>
        <v/>
      </c>
      <c r="F637" s="47">
        <f>D637</f>
        <v/>
      </c>
      <c r="G637" s="47">
        <f>_xlfn.XLOOKUP(C637,SkillActive!$A:$A,SkillActive!E:E,,0)</f>
        <v/>
      </c>
      <c r="H637" s="47">
        <f>_xlfn.XLOOKUP(E637,SkillActive!B:B,SkillActive!K:K,,0)</f>
        <v/>
      </c>
    </row>
    <row r="638">
      <c r="A638" s="25">
        <f>C638*100+D638</f>
        <v/>
      </c>
      <c r="B638" s="42">
        <f>_xlfn.XLOOKUP(C638,SkillActive!$A:$A,SkillActive!C:C,,0)</f>
        <v/>
      </c>
      <c r="C638" s="25">
        <f>C622+1</f>
        <v/>
      </c>
      <c r="D638" s="25" t="n">
        <v>11</v>
      </c>
      <c r="E638" s="25">
        <f t="array" ref="E638">_xlfn.XLOOKUP(C638,SkillActive!A:A,INDEX(SkillActive!A:AA,0,MATCH("name",SkillActive!$2:$2,0)),,0)</f>
        <v/>
      </c>
      <c r="F638" s="47">
        <f>D638</f>
        <v/>
      </c>
      <c r="G638" s="47">
        <f>_xlfn.XLOOKUP(C638,SkillActive!$A:$A,SkillActive!E:E,,0)</f>
        <v/>
      </c>
      <c r="H638" s="47">
        <f>_xlfn.XLOOKUP(E638,SkillActive!B:B,SkillActive!K:K,,0)</f>
        <v/>
      </c>
    </row>
    <row r="639">
      <c r="A639" s="25">
        <f>C639*100+D639</f>
        <v/>
      </c>
      <c r="B639" s="42">
        <f>_xlfn.XLOOKUP(C639,SkillActive!$A:$A,SkillActive!C:C,,0)</f>
        <v/>
      </c>
      <c r="C639" s="25">
        <f>C623+1</f>
        <v/>
      </c>
      <c r="D639" s="25" t="n">
        <v>12</v>
      </c>
      <c r="E639" s="25">
        <f t="array" ref="E639">_xlfn.XLOOKUP(C639,SkillActive!A:A,INDEX(SkillActive!A:AA,0,MATCH("name",SkillActive!$2:$2,0)),,0)</f>
        <v/>
      </c>
      <c r="F639" s="47">
        <f>D639</f>
        <v/>
      </c>
      <c r="G639" s="47">
        <f>_xlfn.XLOOKUP(C639,SkillActive!$A:$A,SkillActive!E:E,,0)</f>
        <v/>
      </c>
      <c r="H639" s="47">
        <f>_xlfn.XLOOKUP(E639,SkillActive!B:B,SkillActive!K:K,,0)</f>
        <v/>
      </c>
    </row>
    <row r="640">
      <c r="A640" s="25">
        <f>C640*100+D640</f>
        <v/>
      </c>
      <c r="B640" s="42">
        <f>_xlfn.XLOOKUP(C640,SkillActive!$A:$A,SkillActive!C:C,,0)</f>
        <v/>
      </c>
      <c r="C640" s="25">
        <f>C624+1</f>
        <v/>
      </c>
      <c r="D640" s="25" t="n">
        <v>13</v>
      </c>
      <c r="E640" s="25">
        <f t="array" ref="E640">_xlfn.XLOOKUP(C640,SkillActive!A:A,INDEX(SkillActive!A:AA,0,MATCH("name",SkillActive!$2:$2,0)),,0)</f>
        <v/>
      </c>
      <c r="F640" s="47">
        <f>D640</f>
        <v/>
      </c>
      <c r="G640" s="47">
        <f>_xlfn.XLOOKUP(C640,SkillActive!$A:$A,SkillActive!E:E,,0)</f>
        <v/>
      </c>
      <c r="H640" s="47">
        <f>_xlfn.XLOOKUP(E640,SkillActive!B:B,SkillActive!K:K,,0)</f>
        <v/>
      </c>
    </row>
    <row r="641">
      <c r="A641" s="25">
        <f>C641*100+D641</f>
        <v/>
      </c>
      <c r="B641" s="42">
        <f>_xlfn.XLOOKUP(C641,SkillActive!$A:$A,SkillActive!C:C,,0)</f>
        <v/>
      </c>
      <c r="C641" s="25">
        <f>C625+1</f>
        <v/>
      </c>
      <c r="D641" s="25" t="n">
        <v>14</v>
      </c>
      <c r="E641" s="25">
        <f t="array" ref="E641">_xlfn.XLOOKUP(C641,SkillActive!A:A,INDEX(SkillActive!A:AA,0,MATCH("name",SkillActive!$2:$2,0)),,0)</f>
        <v/>
      </c>
      <c r="F641" s="47">
        <f>D641</f>
        <v/>
      </c>
      <c r="G641" s="47">
        <f>_xlfn.XLOOKUP(C641,SkillActive!$A:$A,SkillActive!E:E,,0)</f>
        <v/>
      </c>
      <c r="H641" s="47">
        <f>_xlfn.XLOOKUP(E641,SkillActive!B:B,SkillActive!K:K,,0)</f>
        <v/>
      </c>
    </row>
    <row r="642">
      <c r="A642" s="25">
        <f>C642*100+D642</f>
        <v/>
      </c>
      <c r="B642" s="42">
        <f>_xlfn.XLOOKUP(C642,SkillActive!$A:$A,SkillActive!C:C,,0)</f>
        <v/>
      </c>
      <c r="C642" s="25">
        <f>C626+1</f>
        <v/>
      </c>
      <c r="D642" s="25" t="n">
        <v>15</v>
      </c>
      <c r="E642" s="25">
        <f t="array" ref="E642">_xlfn.XLOOKUP(C642,SkillActive!A:A,INDEX(SkillActive!A:AA,0,MATCH("name",SkillActive!$2:$2,0)),,0)</f>
        <v/>
      </c>
      <c r="F642" s="47">
        <f>D642</f>
        <v/>
      </c>
      <c r="G642" s="47">
        <f>_xlfn.XLOOKUP(C642,SkillActive!$A:$A,SkillActive!E:E,,0)</f>
        <v/>
      </c>
      <c r="H642" s="47">
        <f>_xlfn.XLOOKUP(E642,SkillActive!B:B,SkillActive!K:K,,0)</f>
        <v/>
      </c>
    </row>
    <row r="643">
      <c r="A643" s="25">
        <f>C643*100+D643</f>
        <v/>
      </c>
      <c r="B643" s="42">
        <f>_xlfn.XLOOKUP(C643,SkillActive!$A:$A,SkillActive!C:C,,0)</f>
        <v/>
      </c>
      <c r="C643" s="25">
        <f>C627+1</f>
        <v/>
      </c>
      <c r="D643" s="25" t="n">
        <v>16</v>
      </c>
      <c r="E643" s="25">
        <f t="array" ref="E643">_xlfn.XLOOKUP(C643,SkillActive!A:A,INDEX(SkillActive!A:AA,0,MATCH("name",SkillActive!$2:$2,0)),,0)</f>
        <v/>
      </c>
      <c r="F643" s="47">
        <f>D643</f>
        <v/>
      </c>
      <c r="G643" s="47">
        <f>_xlfn.XLOOKUP(C643,SkillActive!$A:$A,SkillActive!E:E,,0)</f>
        <v/>
      </c>
      <c r="H643" s="47">
        <f>_xlfn.XLOOKUP(E643,SkillActive!B:B,SkillActive!K:K,,0)</f>
        <v/>
      </c>
    </row>
    <row r="644">
      <c r="A644" s="25">
        <f>C644*100+D644</f>
        <v/>
      </c>
      <c r="B644" s="42">
        <f>_xlfn.XLOOKUP(C644,SkillActive!$A:$A,SkillActive!C:C,,0)</f>
        <v/>
      </c>
      <c r="C644" s="25">
        <f>C628+1</f>
        <v/>
      </c>
      <c r="D644" s="25" t="n">
        <v>1</v>
      </c>
      <c r="E644" s="25">
        <f t="array" ref="E644">_xlfn.XLOOKUP(C644,SkillActive!A:A,INDEX(SkillActive!A:AA,0,MATCH("name",SkillActive!$2:$2,0)),,0)</f>
        <v/>
      </c>
      <c r="F644" s="47">
        <f>D644</f>
        <v/>
      </c>
      <c r="G644" s="47">
        <f>_xlfn.XLOOKUP(C644,SkillActive!$A:$A,SkillActive!E:E,,0)</f>
        <v/>
      </c>
      <c r="H644" s="47">
        <f>_xlfn.XLOOKUP(E644,SkillActive!B:B,SkillActive!K:K,,0)</f>
        <v/>
      </c>
    </row>
    <row r="645">
      <c r="A645" s="25">
        <f>C645*100+D645</f>
        <v/>
      </c>
      <c r="B645" s="42">
        <f>_xlfn.XLOOKUP(C645,SkillActive!$A:$A,SkillActive!C:C,,0)</f>
        <v/>
      </c>
      <c r="C645" s="25">
        <f>C629+1</f>
        <v/>
      </c>
      <c r="D645" s="25" t="n">
        <v>2</v>
      </c>
      <c r="E645" s="25">
        <f t="array" ref="E645">_xlfn.XLOOKUP(C645,SkillActive!A:A,INDEX(SkillActive!A:AA,0,MATCH("name",SkillActive!$2:$2,0)),,0)</f>
        <v/>
      </c>
      <c r="F645" s="47">
        <f>D645</f>
        <v/>
      </c>
      <c r="G645" s="47">
        <f>_xlfn.XLOOKUP(C645,SkillActive!$A:$A,SkillActive!E:E,,0)</f>
        <v/>
      </c>
      <c r="H645" s="47">
        <f>_xlfn.XLOOKUP(E645,SkillActive!B:B,SkillActive!K:K,,0)</f>
        <v/>
      </c>
    </row>
    <row r="646">
      <c r="A646" s="25">
        <f>C646*100+D646</f>
        <v/>
      </c>
      <c r="B646" s="42">
        <f>_xlfn.XLOOKUP(C646,SkillActive!$A:$A,SkillActive!C:C,,0)</f>
        <v/>
      </c>
      <c r="C646" s="25">
        <f>C630+1</f>
        <v/>
      </c>
      <c r="D646" s="25" t="n">
        <v>3</v>
      </c>
      <c r="E646" s="25">
        <f t="array" ref="E646">_xlfn.XLOOKUP(C646,SkillActive!A:A,INDEX(SkillActive!A:AA,0,MATCH("name",SkillActive!$2:$2,0)),,0)</f>
        <v/>
      </c>
      <c r="F646" s="47">
        <f>D646</f>
        <v/>
      </c>
      <c r="G646" s="47">
        <f>_xlfn.XLOOKUP(C646,SkillActive!$A:$A,SkillActive!E:E,,0)</f>
        <v/>
      </c>
      <c r="H646" s="47">
        <f>_xlfn.XLOOKUP(E646,SkillActive!B:B,SkillActive!K:K,,0)</f>
        <v/>
      </c>
    </row>
    <row r="647">
      <c r="A647" s="25">
        <f>C647*100+D647</f>
        <v/>
      </c>
      <c r="B647" s="42">
        <f>_xlfn.XLOOKUP(C647,SkillActive!$A:$A,SkillActive!C:C,,0)</f>
        <v/>
      </c>
      <c r="C647" s="25">
        <f>C631+1</f>
        <v/>
      </c>
      <c r="D647" s="25" t="n">
        <v>4</v>
      </c>
      <c r="E647" s="25">
        <f t="array" ref="E647">_xlfn.XLOOKUP(C647,SkillActive!A:A,INDEX(SkillActive!A:AA,0,MATCH("name",SkillActive!$2:$2,0)),,0)</f>
        <v/>
      </c>
      <c r="F647" s="47">
        <f>D647</f>
        <v/>
      </c>
      <c r="G647" s="47">
        <f>_xlfn.XLOOKUP(C647,SkillActive!$A:$A,SkillActive!E:E,,0)</f>
        <v/>
      </c>
      <c r="H647" s="47">
        <f>_xlfn.XLOOKUP(E647,SkillActive!B:B,SkillActive!K:K,,0)</f>
        <v/>
      </c>
    </row>
    <row r="648">
      <c r="A648" s="25">
        <f>C648*100+D648</f>
        <v/>
      </c>
      <c r="B648" s="42">
        <f>_xlfn.XLOOKUP(C648,SkillActive!$A:$A,SkillActive!C:C,,0)</f>
        <v/>
      </c>
      <c r="C648" s="25">
        <f>C632+1</f>
        <v/>
      </c>
      <c r="D648" s="25" t="n">
        <v>5</v>
      </c>
      <c r="E648" s="25">
        <f t="array" ref="E648">_xlfn.XLOOKUP(C648,SkillActive!A:A,INDEX(SkillActive!A:AA,0,MATCH("name",SkillActive!$2:$2,0)),,0)</f>
        <v/>
      </c>
      <c r="F648" s="47">
        <f>D648</f>
        <v/>
      </c>
      <c r="G648" s="47">
        <f>_xlfn.XLOOKUP(C648,SkillActive!$A:$A,SkillActive!E:E,,0)</f>
        <v/>
      </c>
      <c r="H648" s="47">
        <f>_xlfn.XLOOKUP(E648,SkillActive!B:B,SkillActive!K:K,,0)</f>
        <v/>
      </c>
    </row>
    <row r="649">
      <c r="A649" s="25">
        <f>C649*100+D649</f>
        <v/>
      </c>
      <c r="B649" s="42">
        <f>_xlfn.XLOOKUP(C649,SkillActive!$A:$A,SkillActive!C:C,,0)</f>
        <v/>
      </c>
      <c r="C649" s="25">
        <f>C633+1</f>
        <v/>
      </c>
      <c r="D649" s="25" t="n">
        <v>6</v>
      </c>
      <c r="E649" s="25">
        <f t="array" ref="E649">_xlfn.XLOOKUP(C649,SkillActive!A:A,INDEX(SkillActive!A:AA,0,MATCH("name",SkillActive!$2:$2,0)),,0)</f>
        <v/>
      </c>
      <c r="F649" s="47">
        <f>D649</f>
        <v/>
      </c>
      <c r="G649" s="47">
        <f>_xlfn.XLOOKUP(C649,SkillActive!$A:$A,SkillActive!E:E,,0)</f>
        <v/>
      </c>
      <c r="H649" s="47">
        <f>_xlfn.XLOOKUP(E649,SkillActive!B:B,SkillActive!K:K,,0)</f>
        <v/>
      </c>
    </row>
    <row r="650">
      <c r="A650" s="25">
        <f>C650*100+D650</f>
        <v/>
      </c>
      <c r="B650" s="42">
        <f>_xlfn.XLOOKUP(C650,SkillActive!$A:$A,SkillActive!C:C,,0)</f>
        <v/>
      </c>
      <c r="C650" s="25">
        <f>C634+1</f>
        <v/>
      </c>
      <c r="D650" s="25" t="n">
        <v>7</v>
      </c>
      <c r="E650" s="25">
        <f t="array" ref="E650">_xlfn.XLOOKUP(C650,SkillActive!A:A,INDEX(SkillActive!A:AA,0,MATCH("name",SkillActive!$2:$2,0)),,0)</f>
        <v/>
      </c>
      <c r="F650" s="47">
        <f>D650</f>
        <v/>
      </c>
      <c r="G650" s="47">
        <f>_xlfn.XLOOKUP(C650,SkillActive!$A:$A,SkillActive!E:E,,0)</f>
        <v/>
      </c>
      <c r="H650" s="47">
        <f>_xlfn.XLOOKUP(E650,SkillActive!B:B,SkillActive!K:K,,0)</f>
        <v/>
      </c>
    </row>
    <row r="651">
      <c r="A651" s="25">
        <f>C651*100+D651</f>
        <v/>
      </c>
      <c r="B651" s="42">
        <f>_xlfn.XLOOKUP(C651,SkillActive!$A:$A,SkillActive!C:C,,0)</f>
        <v/>
      </c>
      <c r="C651" s="25">
        <f>C635+1</f>
        <v/>
      </c>
      <c r="D651" s="25" t="n">
        <v>8</v>
      </c>
      <c r="E651" s="25">
        <f t="array" ref="E651">_xlfn.XLOOKUP(C651,SkillActive!A:A,INDEX(SkillActive!A:AA,0,MATCH("name",SkillActive!$2:$2,0)),,0)</f>
        <v/>
      </c>
      <c r="F651" s="47">
        <f>D651</f>
        <v/>
      </c>
      <c r="G651" s="47">
        <f>_xlfn.XLOOKUP(C651,SkillActive!$A:$A,SkillActive!E:E,,0)</f>
        <v/>
      </c>
      <c r="H651" s="47">
        <f>_xlfn.XLOOKUP(E651,SkillActive!B:B,SkillActive!K:K,,0)</f>
        <v/>
      </c>
    </row>
    <row r="652">
      <c r="A652" s="25">
        <f>C652*100+D652</f>
        <v/>
      </c>
      <c r="B652" s="42">
        <f>_xlfn.XLOOKUP(C652,SkillActive!$A:$A,SkillActive!C:C,,0)</f>
        <v/>
      </c>
      <c r="C652" s="25">
        <f>C636+1</f>
        <v/>
      </c>
      <c r="D652" s="25" t="n">
        <v>9</v>
      </c>
      <c r="E652" s="25">
        <f t="array" ref="E652">_xlfn.XLOOKUP(C652,SkillActive!A:A,INDEX(SkillActive!A:AA,0,MATCH("name",SkillActive!$2:$2,0)),,0)</f>
        <v/>
      </c>
      <c r="F652" s="47">
        <f>D652</f>
        <v/>
      </c>
      <c r="G652" s="47">
        <f>_xlfn.XLOOKUP(C652,SkillActive!$A:$A,SkillActive!E:E,,0)</f>
        <v/>
      </c>
      <c r="H652" s="47">
        <f>_xlfn.XLOOKUP(E652,SkillActive!B:B,SkillActive!K:K,,0)</f>
        <v/>
      </c>
    </row>
    <row r="653">
      <c r="A653" s="25">
        <f>C653*100+D653</f>
        <v/>
      </c>
      <c r="B653" s="42">
        <f>_xlfn.XLOOKUP(C653,SkillActive!$A:$A,SkillActive!C:C,,0)</f>
        <v/>
      </c>
      <c r="C653" s="25">
        <f>C637+1</f>
        <v/>
      </c>
      <c r="D653" s="25" t="n">
        <v>10</v>
      </c>
      <c r="E653" s="25">
        <f t="array" ref="E653">_xlfn.XLOOKUP(C653,SkillActive!A:A,INDEX(SkillActive!A:AA,0,MATCH("name",SkillActive!$2:$2,0)),,0)</f>
        <v/>
      </c>
      <c r="F653" s="47">
        <f>D653</f>
        <v/>
      </c>
      <c r="G653" s="47">
        <f>_xlfn.XLOOKUP(C653,SkillActive!$A:$A,SkillActive!E:E,,0)</f>
        <v/>
      </c>
      <c r="H653" s="47">
        <f>_xlfn.XLOOKUP(E653,SkillActive!B:B,SkillActive!K:K,,0)</f>
        <v/>
      </c>
    </row>
    <row r="654">
      <c r="A654" s="25">
        <f>C654*100+D654</f>
        <v/>
      </c>
      <c r="B654" s="42">
        <f>_xlfn.XLOOKUP(C654,SkillActive!$A:$A,SkillActive!C:C,,0)</f>
        <v/>
      </c>
      <c r="C654" s="25">
        <f>C638+1</f>
        <v/>
      </c>
      <c r="D654" s="25" t="n">
        <v>11</v>
      </c>
      <c r="E654" s="25">
        <f t="array" ref="E654">_xlfn.XLOOKUP(C654,SkillActive!A:A,INDEX(SkillActive!A:AA,0,MATCH("name",SkillActive!$2:$2,0)),,0)</f>
        <v/>
      </c>
      <c r="F654" s="47">
        <f>D654</f>
        <v/>
      </c>
      <c r="G654" s="47">
        <f>_xlfn.XLOOKUP(C654,SkillActive!$A:$A,SkillActive!E:E,,0)</f>
        <v/>
      </c>
      <c r="H654" s="47">
        <f>_xlfn.XLOOKUP(E654,SkillActive!B:B,SkillActive!K:K,,0)</f>
        <v/>
      </c>
    </row>
    <row r="655">
      <c r="A655" s="25">
        <f>C655*100+D655</f>
        <v/>
      </c>
      <c r="B655" s="42">
        <f>_xlfn.XLOOKUP(C655,SkillActive!$A:$A,SkillActive!C:C,,0)</f>
        <v/>
      </c>
      <c r="C655" s="25">
        <f>C639+1</f>
        <v/>
      </c>
      <c r="D655" s="25" t="n">
        <v>12</v>
      </c>
      <c r="E655" s="25">
        <f t="array" ref="E655">_xlfn.XLOOKUP(C655,SkillActive!A:A,INDEX(SkillActive!A:AA,0,MATCH("name",SkillActive!$2:$2,0)),,0)</f>
        <v/>
      </c>
      <c r="F655" s="47">
        <f>D655</f>
        <v/>
      </c>
      <c r="G655" s="47">
        <f>_xlfn.XLOOKUP(C655,SkillActive!$A:$A,SkillActive!E:E,,0)</f>
        <v/>
      </c>
      <c r="H655" s="47">
        <f>_xlfn.XLOOKUP(E655,SkillActive!B:B,SkillActive!K:K,,0)</f>
        <v/>
      </c>
    </row>
    <row r="656">
      <c r="A656" s="25">
        <f>C656*100+D656</f>
        <v/>
      </c>
      <c r="B656" s="42">
        <f>_xlfn.XLOOKUP(C656,SkillActive!$A:$A,SkillActive!C:C,,0)</f>
        <v/>
      </c>
      <c r="C656" s="25">
        <f>C640+1</f>
        <v/>
      </c>
      <c r="D656" s="25" t="n">
        <v>13</v>
      </c>
      <c r="E656" s="25">
        <f t="array" ref="E656">_xlfn.XLOOKUP(C656,SkillActive!A:A,INDEX(SkillActive!A:AA,0,MATCH("name",SkillActive!$2:$2,0)),,0)</f>
        <v/>
      </c>
      <c r="F656" s="47">
        <f>D656</f>
        <v/>
      </c>
      <c r="G656" s="47">
        <f>_xlfn.XLOOKUP(C656,SkillActive!$A:$A,SkillActive!E:E,,0)</f>
        <v/>
      </c>
      <c r="H656" s="47">
        <f>_xlfn.XLOOKUP(E656,SkillActive!B:B,SkillActive!K:K,,0)</f>
        <v/>
      </c>
    </row>
    <row r="657">
      <c r="A657" s="25">
        <f>C657*100+D657</f>
        <v/>
      </c>
      <c r="B657" s="42">
        <f>_xlfn.XLOOKUP(C657,SkillActive!$A:$A,SkillActive!C:C,,0)</f>
        <v/>
      </c>
      <c r="C657" s="25">
        <f>C641+1</f>
        <v/>
      </c>
      <c r="D657" s="25" t="n">
        <v>14</v>
      </c>
      <c r="E657" s="25">
        <f t="array" ref="E657">_xlfn.XLOOKUP(C657,SkillActive!A:A,INDEX(SkillActive!A:AA,0,MATCH("name",SkillActive!$2:$2,0)),,0)</f>
        <v/>
      </c>
      <c r="F657" s="47">
        <f>D657</f>
        <v/>
      </c>
      <c r="G657" s="47">
        <f>_xlfn.XLOOKUP(C657,SkillActive!$A:$A,SkillActive!E:E,,0)</f>
        <v/>
      </c>
      <c r="H657" s="47">
        <f>_xlfn.XLOOKUP(E657,SkillActive!B:B,SkillActive!K:K,,0)</f>
        <v/>
      </c>
    </row>
    <row r="658">
      <c r="A658" s="25">
        <f>C658*100+D658</f>
        <v/>
      </c>
      <c r="B658" s="42">
        <f>_xlfn.XLOOKUP(C658,SkillActive!$A:$A,SkillActive!C:C,,0)</f>
        <v/>
      </c>
      <c r="C658" s="25">
        <f>C642+1</f>
        <v/>
      </c>
      <c r="D658" s="25" t="n">
        <v>15</v>
      </c>
      <c r="E658" s="25">
        <f t="array" ref="E658">_xlfn.XLOOKUP(C658,SkillActive!A:A,INDEX(SkillActive!A:AA,0,MATCH("name",SkillActive!$2:$2,0)),,0)</f>
        <v/>
      </c>
      <c r="F658" s="47">
        <f>D658</f>
        <v/>
      </c>
      <c r="G658" s="47">
        <f>_xlfn.XLOOKUP(C658,SkillActive!$A:$A,SkillActive!E:E,,0)</f>
        <v/>
      </c>
      <c r="H658" s="47">
        <f>_xlfn.XLOOKUP(E658,SkillActive!B:B,SkillActive!K:K,,0)</f>
        <v/>
      </c>
    </row>
    <row r="659">
      <c r="A659" s="25">
        <f>C659*100+D659</f>
        <v/>
      </c>
      <c r="B659" s="42">
        <f>_xlfn.XLOOKUP(C659,SkillActive!$A:$A,SkillActive!C:C,,0)</f>
        <v/>
      </c>
      <c r="C659" s="25">
        <f>C643+1</f>
        <v/>
      </c>
      <c r="D659" s="25" t="n">
        <v>16</v>
      </c>
      <c r="E659" s="25">
        <f t="array" ref="E659">_xlfn.XLOOKUP(C659,SkillActive!A:A,INDEX(SkillActive!A:AA,0,MATCH("name",SkillActive!$2:$2,0)),,0)</f>
        <v/>
      </c>
      <c r="F659" s="47">
        <f>D659</f>
        <v/>
      </c>
      <c r="G659" s="47">
        <f>_xlfn.XLOOKUP(C659,SkillActive!$A:$A,SkillActive!E:E,,0)</f>
        <v/>
      </c>
      <c r="H659" s="47">
        <f>_xlfn.XLOOKUP(E659,SkillActive!B:B,SkillActive!K:K,,0)</f>
        <v/>
      </c>
    </row>
  </sheetData>
  <conditionalFormatting sqref="A1:A2">
    <cfRule type="duplicateValues" priority="10" dxfId="0"/>
  </conditionalFormatting>
  <conditionalFormatting sqref="A100:A115">
    <cfRule type="duplicateValues" priority="2" dxfId="0"/>
  </conditionalFormatting>
  <conditionalFormatting sqref="B1:B2">
    <cfRule type="duplicateValues" priority="7" dxfId="0"/>
  </conditionalFormatting>
  <conditionalFormatting sqref="C1:C2">
    <cfRule type="duplicateValues" priority="9" dxfId="0"/>
  </conditionalFormatting>
  <conditionalFormatting sqref="D1:D2">
    <cfRule type="duplicateValues" priority="8" dxfId="0"/>
  </conditionalFormatting>
  <conditionalFormatting sqref="E1:E2">
    <cfRule type="duplicateValues" priority="6" dxfId="0"/>
  </conditionalFormatting>
  <conditionalFormatting sqref="F1:F2">
    <cfRule type="duplicateValues" priority="5" dxfId="0"/>
  </conditionalFormatting>
  <conditionalFormatting sqref="G1:G2">
    <cfRule type="duplicateValues" priority="4" dxfId="0"/>
  </conditionalFormatting>
  <conditionalFormatting sqref="H1:H2">
    <cfRule type="duplicateValues" priority="1" dxfId="0"/>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J16"/>
  <sheetViews>
    <sheetView topLeftCell="C1" workbookViewId="0">
      <selection activeCell="G42" sqref="G42"/>
    </sheetView>
  </sheetViews>
  <sheetFormatPr baseColWidth="8" defaultColWidth="9" defaultRowHeight="13.5"/>
  <cols>
    <col width="14" customWidth="1" style="25" min="1" max="1"/>
    <col width="14.25" customWidth="1" style="25" min="2" max="2"/>
    <col width="11.5" customWidth="1" style="25" min="3" max="3"/>
    <col width="19.25" customWidth="1" style="25" min="4" max="4"/>
    <col width="25.375" customWidth="1" style="25" min="5" max="5"/>
    <col width="11.5" customWidth="1" style="25" min="6" max="6"/>
    <col width="97" customWidth="1" style="25" min="7" max="7"/>
    <col width="14.375" customWidth="1" style="25" min="8" max="8"/>
    <col width="12.875" customWidth="1" style="25" min="9" max="9"/>
    <col width="20.25" customWidth="1" style="25" min="10" max="10"/>
  </cols>
  <sheetData>
    <row r="1" ht="27" customHeight="1" s="78">
      <c r="A1" s="15" t="inlineStr">
        <is>
          <t>技能</t>
        </is>
      </c>
      <c r="B1" s="15" t="inlineStr">
        <is>
          <t>(nouse)策划说明</t>
        </is>
      </c>
      <c r="C1" s="15" t="inlineStr">
        <is>
          <t>职业</t>
        </is>
      </c>
      <c r="D1" s="15" t="inlineStr">
        <is>
          <t>阶段-天赋大节点解锁</t>
        </is>
      </c>
      <c r="E1" s="15" t="inlineStr">
        <is>
          <t>图标</t>
        </is>
      </c>
      <c r="F1" s="15" t="inlineStr">
        <is>
          <t>名称</t>
        </is>
      </c>
      <c r="G1" s="15" t="inlineStr">
        <is>
          <t>描述</t>
        </is>
      </c>
      <c r="H1" s="15" t="inlineStr">
        <is>
          <t>词缀id</t>
        </is>
      </c>
      <c r="I1" s="15" t="inlineStr">
        <is>
          <t>被动表id</t>
        </is>
      </c>
      <c r="J1" s="25" t="inlineStr">
        <is>
          <t>提供属性-启用加属性</t>
        </is>
      </c>
    </row>
    <row r="2">
      <c r="A2" s="16" t="inlineStr">
        <is>
          <t>id.p</t>
        </is>
      </c>
      <c r="B2" s="16" t="inlineStr">
        <is>
          <t>desc999</t>
        </is>
      </c>
      <c r="C2" s="16" t="inlineStr">
        <is>
          <t>occupation</t>
        </is>
      </c>
      <c r="D2" s="16" t="inlineStr">
        <is>
          <t>stage</t>
        </is>
      </c>
      <c r="E2" s="16" t="inlineStr">
        <is>
          <t>icon</t>
        </is>
      </c>
      <c r="F2" s="16" t="inlineStr">
        <is>
          <t>name</t>
        </is>
      </c>
      <c r="G2" s="16" t="inlineStr">
        <is>
          <t>desc</t>
        </is>
      </c>
      <c r="H2" s="16" t="inlineStr">
        <is>
          <t>skillAffix</t>
        </is>
      </c>
      <c r="I2" s="16" t="inlineStr">
        <is>
          <t>stunt</t>
        </is>
      </c>
      <c r="J2" s="16" t="inlineStr">
        <is>
          <t>attr</t>
        </is>
      </c>
    </row>
    <row r="3">
      <c r="A3" s="17" t="inlineStr">
        <is>
          <t>number</t>
        </is>
      </c>
      <c r="B3" s="17" t="inlineStr">
        <is>
          <t>string</t>
        </is>
      </c>
      <c r="C3" s="17" t="inlineStr">
        <is>
          <t>number</t>
        </is>
      </c>
      <c r="D3" s="17" t="inlineStr">
        <is>
          <t>number</t>
        </is>
      </c>
      <c r="E3" s="17" t="inlineStr">
        <is>
          <t>string</t>
        </is>
      </c>
      <c r="F3" s="17" t="inlineStr">
        <is>
          <t>string</t>
        </is>
      </c>
      <c r="G3" s="17" t="inlineStr">
        <is>
          <t>string</t>
        </is>
      </c>
      <c r="H3" s="17" t="inlineStr">
        <is>
          <t>numberArr</t>
        </is>
      </c>
      <c r="I3" s="17" t="inlineStr">
        <is>
          <t>numberArr</t>
        </is>
      </c>
      <c r="J3" s="17" t="inlineStr">
        <is>
          <t>object</t>
        </is>
      </c>
    </row>
    <row r="4">
      <c r="A4" s="7" t="n">
        <v>2000001</v>
      </c>
      <c r="B4" s="7" t="inlineStr">
        <is>
          <t>通用1-天赋1</t>
        </is>
      </c>
      <c r="C4" s="7" t="n">
        <v>0</v>
      </c>
      <c r="D4" s="7" t="n">
        <v>1</v>
      </c>
      <c r="E4" s="7" t="inlineStr">
        <is>
          <t>talent/skill/dikang</t>
        </is>
      </c>
      <c r="F4" s="7" t="inlineStr">
        <is>
          <t>抵抗</t>
        </is>
      </c>
      <c r="G4" s="38" t="inlineStr">
        <is>
          <t>每有1%混沌抗性，+1%元素异常状态抵抗</t>
        </is>
      </c>
      <c r="H4" s="7" t="n">
        <v>10094</v>
      </c>
      <c r="I4" s="7" t="n"/>
      <c r="J4" s="7" t="n"/>
    </row>
    <row r="5">
      <c r="A5" s="7" t="n">
        <v>2000002</v>
      </c>
      <c r="B5" s="7" t="inlineStr">
        <is>
          <t>通用1-天赋2</t>
        </is>
      </c>
      <c r="C5" s="7" t="n">
        <v>0</v>
      </c>
      <c r="D5" s="7" t="n">
        <v>1</v>
      </c>
      <c r="E5" s="7" t="inlineStr">
        <is>
          <t>talent/skill/huoli</t>
        </is>
      </c>
      <c r="F5" s="7" t="inlineStr">
        <is>
          <t>活力</t>
        </is>
      </c>
      <c r="G5" s="7" t="inlineStr">
        <is>
          <t>每秒回复25点生命值</t>
        </is>
      </c>
      <c r="H5" s="7" t="n">
        <v>10093</v>
      </c>
      <c r="I5" s="7" t="n"/>
      <c r="J5" s="7" t="n"/>
    </row>
    <row r="6">
      <c r="A6" s="7" t="n">
        <v>2000003</v>
      </c>
      <c r="B6" s="7" t="inlineStr">
        <is>
          <t>通用2-天赋1</t>
        </is>
      </c>
      <c r="C6" s="7" t="n">
        <v>0</v>
      </c>
      <c r="D6" s="7" t="n">
        <v>2</v>
      </c>
      <c r="E6" s="7" t="inlineStr">
        <is>
          <t>talent/skill/leishen</t>
        </is>
      </c>
      <c r="F6" s="7" t="inlineStr">
        <is>
          <t>雷神</t>
        </is>
      </c>
      <c r="G6" s="7" t="inlineStr">
        <is>
          <t>击中的闪电伤害额外提高25%，闪电伤害有30%几率附带触电累积</t>
        </is>
      </c>
      <c r="H6" s="7" t="n">
        <v>10090</v>
      </c>
      <c r="I6" s="7" t="n"/>
      <c r="J6" s="7" t="n"/>
    </row>
    <row r="7">
      <c r="A7" s="7" t="n">
        <v>2000004</v>
      </c>
      <c r="B7" s="7" t="inlineStr">
        <is>
          <t>通用2-天赋2</t>
        </is>
      </c>
      <c r="C7" s="7" t="n">
        <v>0</v>
      </c>
      <c r="D7" s="7" t="n">
        <v>2</v>
      </c>
      <c r="E7" s="7" t="inlineStr">
        <is>
          <t>talent/skill/huoshen</t>
        </is>
      </c>
      <c r="F7" s="7" t="inlineStr">
        <is>
          <t>火神</t>
        </is>
      </c>
      <c r="G7" s="39" t="inlineStr">
        <is>
          <t>击中的火焰伤害额外提高25%，火焰伤害使敌人的火焰抗性-20%</t>
        </is>
      </c>
      <c r="H7" s="7" t="n">
        <v>10091</v>
      </c>
      <c r="I7" s="7" t="n">
        <v>2140000100</v>
      </c>
      <c r="J7" s="7" t="n"/>
    </row>
    <row r="8">
      <c r="A8" s="7" t="n">
        <v>2000005</v>
      </c>
      <c r="B8" s="7" t="inlineStr">
        <is>
          <t>通用2-天赋3</t>
        </is>
      </c>
      <c r="C8" s="7" t="n">
        <v>0</v>
      </c>
      <c r="D8" s="7" t="n">
        <v>2</v>
      </c>
      <c r="E8" s="7" t="inlineStr">
        <is>
          <t>talent/skill/bingshen</t>
        </is>
      </c>
      <c r="F8" s="7" t="inlineStr">
        <is>
          <t>冰神</t>
        </is>
      </c>
      <c r="G8" s="7" t="inlineStr">
        <is>
          <t>击中的冰冷伤害额外提高25%，冰冻累积效果额外提高50%</t>
        </is>
      </c>
      <c r="H8" s="7" t="n">
        <v>10092</v>
      </c>
      <c r="I8" s="7" t="n"/>
      <c r="J8" s="7" t="n"/>
    </row>
    <row r="9">
      <c r="A9" s="40" t="n">
        <v>2002001</v>
      </c>
      <c r="B9" s="40" t="inlineStr">
        <is>
          <t>剑客1-天赋1</t>
        </is>
      </c>
      <c r="C9" s="40" t="n">
        <v>2</v>
      </c>
      <c r="D9" s="40" t="n">
        <v>1</v>
      </c>
      <c r="E9" s="40" t="inlineStr">
        <is>
          <t>talent/skill/cigu</t>
        </is>
      </c>
      <c r="F9" s="40" t="inlineStr">
        <is>
          <t>刺骨寒意</t>
        </is>
      </c>
      <c r="G9" s="40" t="inlineStr">
        <is>
          <t>第一个技能的冻结积蓄值总增100%</t>
        </is>
      </c>
      <c r="H9" s="40" t="n"/>
      <c r="I9" s="40" t="n"/>
      <c r="J9" s="40" t="n"/>
    </row>
    <row r="10">
      <c r="A10" s="40" t="n">
        <v>2002002</v>
      </c>
      <c r="B10" s="40" t="inlineStr">
        <is>
          <t>剑客1-天赋2</t>
        </is>
      </c>
      <c r="C10" s="40" t="n">
        <v>2</v>
      </c>
      <c r="D10" s="40" t="n">
        <v>1</v>
      </c>
      <c r="E10" s="40" t="inlineStr">
        <is>
          <t>talent/skill/kuaigong</t>
        </is>
      </c>
      <c r="F10" s="40" t="inlineStr">
        <is>
          <t>快攻</t>
        </is>
      </c>
      <c r="G10" s="40" t="inlineStr">
        <is>
          <t>第一个技能获得10级攻速增加效果</t>
        </is>
      </c>
      <c r="H10" s="40" t="n"/>
      <c r="I10" s="40" t="n"/>
      <c r="J10" s="40" t="n"/>
    </row>
    <row r="11">
      <c r="A11" s="40" t="n">
        <v>2002003</v>
      </c>
      <c r="B11" s="40" t="inlineStr">
        <is>
          <t>剑客1-天赋3</t>
        </is>
      </c>
      <c r="C11" s="40" t="n">
        <v>2</v>
      </c>
      <c r="D11" s="40" t="n">
        <v>1</v>
      </c>
      <c r="E11" s="40" t="inlineStr">
        <is>
          <t>talent/skill/liufeng</t>
        </is>
      </c>
      <c r="F11" s="40" t="inlineStr">
        <is>
          <t>流风增击</t>
        </is>
      </c>
      <c r="G11" s="40" t="inlineStr">
        <is>
          <t>对于移动速度的增加或减少的20% 同时作用于额外攻击伤害，最多额外+30% 攻击伤害</t>
        </is>
      </c>
      <c r="H11" s="40" t="n"/>
      <c r="I11" s="40" t="n"/>
      <c r="J11" s="40" t="n"/>
    </row>
    <row r="12">
      <c r="A12" s="40" t="n">
        <v>2002004</v>
      </c>
      <c r="B12" s="40" t="inlineStr">
        <is>
          <t>剑客1-天赋3</t>
        </is>
      </c>
      <c r="C12" s="40" t="n">
        <v>2</v>
      </c>
      <c r="D12" s="40" t="n">
        <v>1</v>
      </c>
      <c r="E12" s="40" t="inlineStr">
        <is>
          <t>talent/skill/xinyan</t>
        </is>
      </c>
      <c r="F12" s="40" t="inlineStr">
        <is>
          <t>心眼</t>
        </is>
      </c>
      <c r="G12" s="40" t="inlineStr">
        <is>
          <t>10秒内连续释放4次攻击技能时获得[心眼]状态\n[心眼]：攻击速度额外增加8%；技能范围额外增加8%，上限为3层，持续2秒</t>
        </is>
      </c>
      <c r="H12" s="40" t="n"/>
      <c r="I12" s="40" t="n">
        <v>2150000010</v>
      </c>
      <c r="J12" s="40" t="n"/>
    </row>
    <row r="13">
      <c r="A13" s="40" t="n">
        <v>2002005</v>
      </c>
      <c r="B13" s="40" t="inlineStr">
        <is>
          <t>剑客1-天赋3</t>
        </is>
      </c>
      <c r="C13" s="40" t="n">
        <v>2</v>
      </c>
      <c r="D13" s="40" t="n">
        <v>1</v>
      </c>
      <c r="E13" s="40" t="inlineStr">
        <is>
          <t>talent/skill/baoxue</t>
        </is>
      </c>
      <c r="F13" s="40" t="inlineStr">
        <is>
          <t>暴血</t>
        </is>
      </c>
      <c r="G13" s="40" t="inlineStr">
        <is>
          <t>每拥有1%的暴击率，就会增加2%的攻击伤害，最多增加200%的攻击伤害</t>
        </is>
      </c>
      <c r="H13" s="40" t="n"/>
      <c r="I13" s="40" t="n"/>
      <c r="J13" s="40" t="n"/>
    </row>
    <row r="14">
      <c r="A14" s="40" t="n">
        <v>2002006</v>
      </c>
      <c r="B14" s="40" t="inlineStr">
        <is>
          <t>剑客1-天赋4</t>
        </is>
      </c>
      <c r="C14" s="40" t="n">
        <v>2</v>
      </c>
      <c r="D14" s="40" t="n">
        <v>2</v>
      </c>
      <c r="E14" s="40" t="inlineStr">
        <is>
          <t>talent/skill/wuxin</t>
        </is>
      </c>
      <c r="F14" s="40" t="inlineStr">
        <is>
          <t>无心则利刃</t>
        </is>
      </c>
      <c r="G14" s="41" t="inlineStr">
        <is>
          <t>心眼达到层数上限时，获得[巅峰]\n[巅峰]:向前斩击造成1000%的攻击物理伤害，冷却时间5秒</t>
        </is>
      </c>
      <c r="H14" s="40" t="n"/>
      <c r="I14" s="40" t="n">
        <v>2150000020</v>
      </c>
      <c r="J14" s="40" t="n"/>
    </row>
    <row r="15">
      <c r="A15" s="40" t="n">
        <v>2002007</v>
      </c>
      <c r="B15" s="40" t="inlineStr">
        <is>
          <t>剑客1-天赋4</t>
        </is>
      </c>
      <c r="C15" s="40" t="n">
        <v>2</v>
      </c>
      <c r="D15" s="40" t="n">
        <v>2</v>
      </c>
      <c r="E15" s="40" t="inlineStr">
        <is>
          <t>talent/skill/jihan</t>
        </is>
      </c>
      <c r="F15" s="40" t="inlineStr">
        <is>
          <t>极寒侵体</t>
        </is>
      </c>
      <c r="G15" s="40" t="inlineStr">
        <is>
          <t>被冻结敌人的元素抗性会降低40%，持续6秒</t>
        </is>
      </c>
      <c r="H15" s="40" t="n"/>
      <c r="I15" s="40" t="n">
        <v>2150000030</v>
      </c>
      <c r="J15" s="40" t="n"/>
    </row>
    <row r="16">
      <c r="A16" s="40" t="n">
        <v>2002008</v>
      </c>
      <c r="B16" s="40" t="inlineStr">
        <is>
          <t>剑客1-天赋4</t>
        </is>
      </c>
      <c r="C16" s="40" t="n">
        <v>2</v>
      </c>
      <c r="D16" s="40" t="n">
        <v>2</v>
      </c>
      <c r="E16" s="40" t="inlineStr">
        <is>
          <t>talent/skill/kanpo</t>
        </is>
      </c>
      <c r="F16" s="40" t="inlineStr">
        <is>
          <t>看破</t>
        </is>
      </c>
      <c r="G16" s="40" t="inlineStr">
        <is>
          <t>基础暴击率+8%</t>
        </is>
      </c>
      <c r="H16" s="40" t="n"/>
      <c r="I16" s="40" t="n"/>
      <c r="J16" s="40" t="inlineStr">
        <is>
          <t>[[10100,0.08]]</t>
        </is>
      </c>
    </row>
  </sheetData>
  <conditionalFormatting sqref="A1:A2">
    <cfRule type="duplicateValues" priority="9" dxfId="0"/>
  </conditionalFormatting>
  <conditionalFormatting sqref="A7:A22">
    <cfRule type="duplicateValues" priority="10" dxfId="0"/>
  </conditionalFormatting>
  <conditionalFormatting sqref="B1:B2">
    <cfRule type="duplicateValues" priority="8" dxfId="0"/>
  </conditionalFormatting>
  <conditionalFormatting sqref="H1:H2">
    <cfRule type="duplicateValues" priority="6" dxfId="0"/>
  </conditionalFormatting>
  <conditionalFormatting sqref="I1:I2">
    <cfRule type="duplicateValues" priority="5" dxfId="0"/>
  </conditionalFormatting>
  <conditionalFormatting sqref="J1:J2">
    <cfRule type="duplicateValues" priority="4" dxfId="0"/>
  </conditionalFormatting>
  <conditionalFormatting sqref="C1:G2">
    <cfRule type="duplicateValues" priority="7" dxfId="0"/>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codeName="Sheet5">
    <outlinePr summaryBelow="1" summaryRight="1"/>
    <pageSetUpPr/>
  </sheetPr>
  <dimension ref="A1:A4"/>
  <sheetViews>
    <sheetView workbookViewId="0">
      <selection activeCell="C11" sqref="C11"/>
    </sheetView>
  </sheetViews>
  <sheetFormatPr baseColWidth="8" defaultColWidth="9" defaultRowHeight="13.5" outlineLevelRow="3"/>
  <cols>
    <col width="29.625" customWidth="1" style="78" min="1" max="1"/>
  </cols>
  <sheetData>
    <row r="1">
      <c r="A1" s="32" t="inlineStr">
        <is>
          <t>技能宝石槽位解锁对应技能等级</t>
        </is>
      </c>
    </row>
    <row r="2">
      <c r="A2" s="33" t="inlineStr">
        <is>
          <t>slotUnlockLevel</t>
        </is>
      </c>
    </row>
    <row r="3">
      <c r="A3" s="34" t="inlineStr">
        <is>
          <t>numberArr</t>
        </is>
      </c>
    </row>
    <row r="4">
      <c r="A4" s="47" t="inlineStr">
        <is>
          <t>1|4|6|9|12</t>
        </is>
      </c>
    </row>
  </sheetData>
  <conditionalFormatting sqref="A1:A2">
    <cfRule type="duplicateValues" priority="1" dxfId="0"/>
  </conditionalFormatting>
  <pageMargins left="0.75" right="0.75" top="1" bottom="1" header="0.5" footer="0.5"/>
</worksheet>
</file>

<file path=xl/worksheets/sheet7.xml><?xml version="1.0" encoding="utf-8"?>
<worksheet xmlns="http://schemas.openxmlformats.org/spreadsheetml/2006/main">
  <sheetPr codeName="Sheet26">
    <outlinePr summaryBelow="1" summaryRight="1"/>
    <pageSetUpPr/>
  </sheetPr>
  <dimension ref="A1:V183"/>
  <sheetViews>
    <sheetView topLeftCell="A3" zoomScale="85" zoomScaleNormal="85" workbookViewId="0">
      <selection activeCell="A27" sqref="A27"/>
    </sheetView>
  </sheetViews>
  <sheetFormatPr baseColWidth="8" defaultColWidth="9" defaultRowHeight="13.5"/>
  <cols>
    <col width="13.875" customWidth="1" style="78" min="1" max="1"/>
    <col width="10.375" customWidth="1" style="78" min="3" max="3"/>
    <col width="8.375" customWidth="1" style="78" min="4" max="4"/>
    <col width="11" customWidth="1" style="78" min="5" max="5"/>
    <col width="17.125" customWidth="1" style="25" min="6" max="6"/>
    <col width="12.625" customWidth="1" style="25" min="7" max="7"/>
    <col width="14.875" customWidth="1" style="78" min="8" max="8"/>
    <col width="19.375" customWidth="1" style="78" min="9" max="9"/>
    <col width="45.75" customWidth="1" style="78" min="11" max="11"/>
    <col width="13.125" customWidth="1" style="78" min="12" max="12"/>
    <col width="20.125" customWidth="1" style="25" min="13" max="13"/>
    <col width="26.125" customWidth="1" style="78" min="14" max="14"/>
    <col width="15" customWidth="1" style="78" min="15" max="15"/>
    <col width="41.5" customWidth="1" style="78" min="16" max="17"/>
    <col width="11.5" customWidth="1" style="78" min="18" max="18"/>
    <col width="14.25" customWidth="1" style="78" min="19" max="19"/>
    <col width="10.375" customWidth="1" style="78" min="20" max="20"/>
    <col width="29.25" customWidth="1" style="78" min="21" max="21"/>
    <col width="11.375" customWidth="1" style="78" min="22" max="22"/>
  </cols>
  <sheetData>
    <row r="1" ht="27" customHeight="1" s="78">
      <c r="A1" s="32" t="inlineStr">
        <is>
          <t>秘籍id</t>
        </is>
      </c>
      <c r="B1" s="32" t="inlineStr">
        <is>
          <t>序号</t>
        </is>
      </c>
      <c r="C1" s="32" t="inlineStr">
        <is>
          <t>品质id</t>
        </is>
      </c>
      <c r="D1" s="32" t="inlineStr">
        <is>
          <t>(nouse)策划说明</t>
        </is>
      </c>
      <c r="E1" s="32" t="inlineStr">
        <is>
          <t>解锁道具id</t>
        </is>
      </c>
      <c r="F1" s="15" t="inlineStr">
        <is>
          <t>修炼道具id</t>
        </is>
      </c>
      <c r="G1" s="15" t="inlineStr">
        <is>
          <t>升阶道具id</t>
        </is>
      </c>
      <c r="H1" s="32" t="inlineStr">
        <is>
          <t>已拥有转化成材料</t>
        </is>
      </c>
      <c r="I1" s="32" t="inlineStr">
        <is>
          <t>图标</t>
        </is>
      </c>
      <c r="J1" s="32" t="inlineStr">
        <is>
          <t>名称</t>
        </is>
      </c>
      <c r="K1" s="32" t="inlineStr">
        <is>
          <t>描述</t>
        </is>
      </c>
      <c r="L1" s="32" t="inlineStr">
        <is>
          <t>词缀id</t>
        </is>
      </c>
      <c r="M1" s="15" t="inlineStr">
        <is>
          <t>被动表id</t>
        </is>
      </c>
      <c r="N1" s="32" t="inlineStr">
        <is>
          <t>提供属性-启用加属性</t>
        </is>
      </c>
      <c r="O1" s="32" t="inlineStr">
        <is>
          <t>每一阶提供属性</t>
        </is>
      </c>
      <c r="P1" s="32" t="inlineStr">
        <is>
          <t>提供属性-点击激活加属性</t>
        </is>
      </c>
      <c r="Q1" s="32" t="inlineStr">
        <is>
          <t>提供属性-图鉴激活加属性</t>
        </is>
      </c>
      <c r="R1" s="32" t="inlineStr">
        <is>
          <t>激活奖励</t>
        </is>
      </c>
      <c r="S1" s="32" t="inlineStr">
        <is>
          <t>启用秘籍战力值</t>
        </is>
      </c>
      <c r="T1" s="32" t="inlineStr">
        <is>
          <t>外显标签</t>
        </is>
      </c>
      <c r="U1" s="32" t="inlineStr">
        <is>
          <t>外显底图资源</t>
        </is>
      </c>
      <c r="V1" s="32" t="inlineStr">
        <is>
          <t>未获得时是否显示</t>
        </is>
      </c>
    </row>
    <row r="2">
      <c r="A2" s="33" t="inlineStr">
        <is>
          <t>id.p</t>
        </is>
      </c>
      <c r="B2" s="33" t="inlineStr">
        <is>
          <t>num.p</t>
        </is>
      </c>
      <c r="C2" s="33" t="inlineStr">
        <is>
          <t>quality</t>
        </is>
      </c>
      <c r="D2" s="33" t="inlineStr">
        <is>
          <t>desc999</t>
        </is>
      </c>
      <c r="E2" s="33" t="inlineStr">
        <is>
          <t>unlockItem</t>
        </is>
      </c>
      <c r="F2" s="16" t="inlineStr">
        <is>
          <t>proficiencyItem</t>
        </is>
      </c>
      <c r="G2" s="16" t="inlineStr">
        <is>
          <t>breakItem</t>
        </is>
      </c>
      <c r="H2" s="33" t="inlineStr">
        <is>
          <t>trans</t>
        </is>
      </c>
      <c r="I2" s="33" t="inlineStr">
        <is>
          <t>icon</t>
        </is>
      </c>
      <c r="J2" s="33" t="inlineStr">
        <is>
          <t>name</t>
        </is>
      </c>
      <c r="K2" s="33" t="inlineStr">
        <is>
          <t>desc</t>
        </is>
      </c>
      <c r="L2" s="33" t="inlineStr">
        <is>
          <t>skillAffix</t>
        </is>
      </c>
      <c r="M2" s="16" t="inlineStr">
        <is>
          <t>stunt</t>
        </is>
      </c>
      <c r="N2" s="33" t="inlineStr">
        <is>
          <t>attr</t>
        </is>
      </c>
      <c r="O2" s="33" t="inlineStr">
        <is>
          <t>breakAttr</t>
        </is>
      </c>
      <c r="P2" s="33" t="inlineStr">
        <is>
          <t>attr1</t>
        </is>
      </c>
      <c r="Q2" s="33" t="inlineStr">
        <is>
          <t>attr2</t>
        </is>
      </c>
      <c r="R2" s="33" t="inlineStr">
        <is>
          <t>reward</t>
        </is>
      </c>
      <c r="S2" s="33" t="inlineStr">
        <is>
          <t>power</t>
        </is>
      </c>
      <c r="T2" s="33" t="inlineStr">
        <is>
          <t>type</t>
        </is>
      </c>
      <c r="U2" s="33" t="inlineStr">
        <is>
          <t>frameRes</t>
        </is>
      </c>
      <c r="V2" s="33" t="inlineStr">
        <is>
          <t>isShow</t>
        </is>
      </c>
    </row>
    <row r="3">
      <c r="A3" s="34" t="inlineStr">
        <is>
          <t>number</t>
        </is>
      </c>
      <c r="B3" s="34" t="inlineStr">
        <is>
          <t>number</t>
        </is>
      </c>
      <c r="C3" s="34" t="inlineStr">
        <is>
          <t>number</t>
        </is>
      </c>
      <c r="D3" s="34" t="inlineStr">
        <is>
          <t>string</t>
        </is>
      </c>
      <c r="E3" s="34" t="inlineStr">
        <is>
          <t>number</t>
        </is>
      </c>
      <c r="F3" s="17" t="inlineStr">
        <is>
          <t>number</t>
        </is>
      </c>
      <c r="G3" s="17" t="inlineStr">
        <is>
          <t>number2</t>
        </is>
      </c>
      <c r="H3" s="34" t="inlineStr">
        <is>
          <t>object</t>
        </is>
      </c>
      <c r="I3" s="34" t="inlineStr">
        <is>
          <t>string</t>
        </is>
      </c>
      <c r="J3" s="34" t="inlineStr">
        <is>
          <t>string</t>
        </is>
      </c>
      <c r="K3" s="34" t="inlineStr">
        <is>
          <t>string</t>
        </is>
      </c>
      <c r="L3" s="34" t="inlineStr">
        <is>
          <t>number2</t>
        </is>
      </c>
      <c r="M3" s="17" t="inlineStr">
        <is>
          <t>numberArr</t>
        </is>
      </c>
      <c r="N3" s="34" t="inlineStr">
        <is>
          <t>object</t>
        </is>
      </c>
      <c r="O3" s="34" t="inlineStr">
        <is>
          <t>object</t>
        </is>
      </c>
      <c r="P3" s="34" t="inlineStr">
        <is>
          <t>object</t>
        </is>
      </c>
      <c r="Q3" s="34" t="inlineStr">
        <is>
          <t>object</t>
        </is>
      </c>
      <c r="R3" s="34" t="inlineStr">
        <is>
          <t>object</t>
        </is>
      </c>
      <c r="S3" s="34" t="inlineStr">
        <is>
          <t>number</t>
        </is>
      </c>
      <c r="T3" s="34" t="inlineStr">
        <is>
          <t>stringArr</t>
        </is>
      </c>
      <c r="U3" s="34" t="inlineStr">
        <is>
          <t>stringArr</t>
        </is>
      </c>
      <c r="V3" s="34" t="inlineStr">
        <is>
          <t>number</t>
        </is>
      </c>
    </row>
    <row r="4">
      <c r="A4" s="47" t="n">
        <v>1011</v>
      </c>
      <c r="B4" s="47" t="n">
        <v>1</v>
      </c>
      <c r="C4" s="47" t="n">
        <v>3</v>
      </c>
      <c r="D4" s="47" t="inlineStr">
        <is>
          <t>普通攻击</t>
        </is>
      </c>
      <c r="E4" s="47" t="n">
        <v>101101</v>
      </c>
      <c r="F4" s="25" t="inlineStr">
        <is>
          <t>101110</t>
        </is>
      </c>
      <c r="H4" s="47" t="inlineStr">
        <is>
          <t>[[101110,300]]</t>
        </is>
      </c>
      <c r="I4" s="47" t="inlineStr">
        <is>
          <t>skill/sect/101101</t>
        </is>
      </c>
      <c r="J4" s="47" t="inlineStr">
        <is>
          <t>崩裂击</t>
        </is>
      </c>
      <c r="K4" s="36" t="inlineStr">
        <is>
          <t>角色暴击率提高&lt;color=be7013&gt;5%&lt;/color&gt;</t>
        </is>
      </c>
      <c r="N4" s="47" t="inlineStr">
        <is>
          <t>[[3014,0.05]]</t>
        </is>
      </c>
      <c r="O4" s="47" t="inlineStr">
        <is>
          <t>[[3059,0.02]]</t>
        </is>
      </c>
      <c r="P4" s="47" t="inlineStr">
        <is>
          <t>[[3009,0.01],[3010,0.01],[3011,0.01]]</t>
        </is>
      </c>
      <c r="Q4" s="47" t="inlineStr">
        <is>
          <t>[[3001,1],[3002,1],[3003,100]]</t>
        </is>
      </c>
      <c r="R4" s="47" t="inlineStr">
        <is>
          <t>[[103,10]]</t>
        </is>
      </c>
      <c r="S4" s="47" t="n">
        <v>1000</v>
      </c>
      <c r="T4" s="47" t="inlineStr">
        <is>
          <t>增益</t>
        </is>
      </c>
      <c r="U4" s="47" t="inlineStr">
        <is>
          <t>skill_affix/hong</t>
        </is>
      </c>
      <c r="V4" s="47" t="n">
        <v>1</v>
      </c>
    </row>
    <row r="5">
      <c r="A5" s="47" t="n">
        <v>1011</v>
      </c>
      <c r="B5" s="47" t="n">
        <v>2</v>
      </c>
      <c r="C5" s="47" t="n">
        <v>4</v>
      </c>
      <c r="D5" s="47" t="inlineStr">
        <is>
          <t>普通攻击</t>
        </is>
      </c>
      <c r="E5" s="47" t="n">
        <v>101102</v>
      </c>
      <c r="F5" s="25" t="inlineStr">
        <is>
          <t>101110</t>
        </is>
      </c>
      <c r="H5" s="47" t="inlineStr">
        <is>
          <t>[[101110,600]]</t>
        </is>
      </c>
      <c r="I5" s="47" t="inlineStr">
        <is>
          <t>skill/sect/101102</t>
        </is>
      </c>
      <c r="J5" s="47" t="inlineStr">
        <is>
          <t>崩裂击</t>
        </is>
      </c>
      <c r="K5" s="36" t="inlineStr">
        <is>
          <t>击碎强化为血蚀击碎，平均每秒对敌人造成&lt;color=be7013&gt;7&lt;/color&gt;%物理伤害与&lt;color=be7013&gt;40&lt;/color&gt;%创伤伤害</t>
        </is>
      </c>
      <c r="L5" s="47" t="n">
        <v>120112000</v>
      </c>
      <c r="N5" s="47" t="inlineStr">
        <is>
          <t>[[3014,0.05]]</t>
        </is>
      </c>
      <c r="O5" s="47" t="inlineStr">
        <is>
          <t>[[3059,0.02]]</t>
        </is>
      </c>
      <c r="P5" s="47" t="inlineStr">
        <is>
          <t>[[3009,0.02],[3010,0.02],[3011,0.02]]</t>
        </is>
      </c>
      <c r="Q5" s="47" t="inlineStr">
        <is>
          <t>[[3001,5],[3002,1],[3003,500]]</t>
        </is>
      </c>
      <c r="R5" s="47" t="inlineStr">
        <is>
          <t>[[103,10]]</t>
        </is>
      </c>
      <c r="S5" s="47" t="n">
        <v>3000</v>
      </c>
      <c r="T5" s="47" t="inlineStr">
        <is>
          <t>创伤|增益</t>
        </is>
      </c>
      <c r="U5" s="47" t="inlineStr">
        <is>
          <t>skill_affix/huang|skill_affix/hong</t>
        </is>
      </c>
      <c r="V5" s="47" t="n">
        <v>1</v>
      </c>
    </row>
    <row r="6">
      <c r="A6" s="47" t="n">
        <v>1011</v>
      </c>
      <c r="B6" s="47" t="n">
        <v>3</v>
      </c>
      <c r="C6" s="47" t="n">
        <v>6</v>
      </c>
      <c r="D6" s="47" t="inlineStr">
        <is>
          <t>普通攻击</t>
        </is>
      </c>
      <c r="E6" s="47" t="n">
        <v>101103</v>
      </c>
      <c r="F6" s="25" t="inlineStr">
        <is>
          <t>101110</t>
        </is>
      </c>
      <c r="H6" s="47" t="inlineStr">
        <is>
          <t>[[101110,900]]</t>
        </is>
      </c>
      <c r="I6" s="47" t="inlineStr">
        <is>
          <t>skill/sect/101103</t>
        </is>
      </c>
      <c r="J6" s="47" t="inlineStr">
        <is>
          <t>崩裂击</t>
        </is>
      </c>
      <c r="K6" s="36" t="inlineStr">
        <is>
          <t>角色最终减伤提高&lt;color=be7013&gt;5%&lt;/color&gt;</t>
        </is>
      </c>
      <c r="L6" s="47" t="n">
        <v>120112000</v>
      </c>
      <c r="N6" s="47" t="inlineStr">
        <is>
          <t>[[3014,0.05],[3060,0.05]]</t>
        </is>
      </c>
      <c r="O6" s="47" t="inlineStr">
        <is>
          <t>[[3059,0.02]]</t>
        </is>
      </c>
      <c r="P6" s="47" t="inlineStr">
        <is>
          <t>[[3009,0.03],[3010,0.03],[3011,0.03]]</t>
        </is>
      </c>
      <c r="Q6" s="47" t="inlineStr">
        <is>
          <t>[[3001,10],[3002,2],[3003,1000]]</t>
        </is>
      </c>
      <c r="R6" s="47" t="inlineStr">
        <is>
          <t>[[103,10]]</t>
        </is>
      </c>
      <c r="S6" s="47" t="n">
        <v>6000</v>
      </c>
      <c r="T6" s="47" t="inlineStr">
        <is>
          <t>创伤|增益</t>
        </is>
      </c>
      <c r="U6" s="47" t="inlineStr">
        <is>
          <t>skill_affix/huang|skill_affix/hong</t>
        </is>
      </c>
      <c r="V6" s="47" t="n">
        <v>1</v>
      </c>
    </row>
    <row r="7">
      <c r="A7" s="47" t="n">
        <v>1011</v>
      </c>
      <c r="B7" s="47" t="n">
        <v>4</v>
      </c>
      <c r="C7" s="47" t="n">
        <v>8</v>
      </c>
      <c r="D7" s="47" t="inlineStr">
        <is>
          <t>普通攻击</t>
        </is>
      </c>
      <c r="E7" s="47" t="n">
        <v>101104</v>
      </c>
      <c r="F7" s="25" t="inlineStr">
        <is>
          <t>101110</t>
        </is>
      </c>
      <c r="G7" s="25" t="inlineStr">
        <is>
          <t>101120</t>
        </is>
      </c>
      <c r="H7" s="47" t="inlineStr">
        <is>
          <t>[[101120,1]]</t>
        </is>
      </c>
      <c r="I7" s="47" t="inlineStr">
        <is>
          <t>skill/sect/101104</t>
        </is>
      </c>
      <c r="J7" s="47" t="inlineStr">
        <is>
          <t>崩裂击</t>
        </is>
      </c>
      <c r="K7" s="36" t="inlineStr">
        <is>
          <t>击碎命中敌人有&lt;color=be7013&gt;20%&lt;/color&gt;概率施加&lt;u color=4169E1 size=2&gt;&lt;a href=30018&gt;重伤&lt;/a&gt;&lt;/u&gt;，持续&lt;color=be7013&gt;3&lt;/color&gt;秒</t>
        </is>
      </c>
      <c r="L7" s="47" t="n">
        <v>120114000</v>
      </c>
      <c r="M7" s="25" t="n">
        <v>120114000</v>
      </c>
      <c r="N7" s="47" t="inlineStr">
        <is>
          <t>[[3014,0.05],[3060,0.05]]</t>
        </is>
      </c>
      <c r="O7" s="47" t="inlineStr">
        <is>
          <t>[[3059,0.02]]</t>
        </is>
      </c>
      <c r="P7" s="47" t="inlineStr">
        <is>
          <t>[[3009,0.04],[3010,0.04],[3011,0.04]]</t>
        </is>
      </c>
      <c r="Q7" s="47" t="inlineStr">
        <is>
          <t>[[3001,50],[3002,10],[3003,5000]]</t>
        </is>
      </c>
      <c r="R7" s="47" t="inlineStr">
        <is>
          <t>[[103,10]]</t>
        </is>
      </c>
      <c r="S7" s="47" t="n">
        <v>10000</v>
      </c>
      <c r="T7" s="47" t="inlineStr">
        <is>
          <t>创伤|增益</t>
        </is>
      </c>
      <c r="U7" s="47" t="inlineStr">
        <is>
          <t>skill_affix/huang|skill_affix/hong</t>
        </is>
      </c>
      <c r="V7" s="47" t="n">
        <v>1</v>
      </c>
    </row>
    <row r="8">
      <c r="A8" s="47" t="n">
        <v>5011</v>
      </c>
      <c r="B8" s="47" t="n">
        <v>1</v>
      </c>
      <c r="C8" s="47" t="n">
        <v>3</v>
      </c>
      <c r="D8" s="47" t="inlineStr">
        <is>
          <t>普通攻击</t>
        </is>
      </c>
      <c r="E8" s="47" t="n">
        <v>101201</v>
      </c>
      <c r="F8" s="25" t="inlineStr">
        <is>
          <t>101210</t>
        </is>
      </c>
      <c r="H8" s="47" t="inlineStr">
        <is>
          <t>[[101210,300]]</t>
        </is>
      </c>
      <c r="I8" s="47" t="inlineStr">
        <is>
          <t>skill/sect/101201</t>
        </is>
      </c>
      <c r="J8" s="47" t="inlineStr">
        <is>
          <t>癫狂击</t>
        </is>
      </c>
      <c r="K8" s="36" t="inlineStr">
        <is>
          <t>释放击碎额外恢复&lt;color=be7013&gt;1&lt;/color&gt;点战意</t>
        </is>
      </c>
      <c r="M8" s="25" t="n">
        <v>120121000</v>
      </c>
      <c r="O8" s="47" t="inlineStr">
        <is>
          <t>[[3059,0.02]]</t>
        </is>
      </c>
      <c r="P8" s="47" t="inlineStr">
        <is>
          <t>[[3009,0.01],[3010,0.01],[3011,0.01]]</t>
        </is>
      </c>
      <c r="Q8" s="47" t="inlineStr">
        <is>
          <t>[[3001,1],[3002,1],[3003,100]]</t>
        </is>
      </c>
      <c r="R8" s="47" t="inlineStr">
        <is>
          <t>[[103,10]]</t>
        </is>
      </c>
      <c r="S8" s="47" t="n">
        <v>1000</v>
      </c>
      <c r="T8" s="47" t="inlineStr">
        <is>
          <t>充能</t>
        </is>
      </c>
      <c r="U8" s="47" t="inlineStr">
        <is>
          <t>skill_affix/hong</t>
        </is>
      </c>
      <c r="V8" s="47" t="n">
        <v>1</v>
      </c>
    </row>
    <row r="9">
      <c r="A9" s="47" t="n">
        <v>5011</v>
      </c>
      <c r="B9" s="47" t="n">
        <v>2</v>
      </c>
      <c r="C9" s="47" t="n">
        <v>4</v>
      </c>
      <c r="D9" s="47" t="inlineStr">
        <is>
          <t>普通攻击</t>
        </is>
      </c>
      <c r="E9" s="47" t="n">
        <v>101202</v>
      </c>
      <c r="F9" s="25" t="inlineStr">
        <is>
          <t>101210</t>
        </is>
      </c>
      <c r="H9" s="47" t="inlineStr">
        <is>
          <t>[[101210,600]]</t>
        </is>
      </c>
      <c r="I9" s="47" t="inlineStr">
        <is>
          <t>skill/sect/101202</t>
        </is>
      </c>
      <c r="J9" s="47" t="inlineStr">
        <is>
          <t>癫狂击</t>
        </is>
      </c>
      <c r="K9" s="36" t="inlineStr">
        <is>
          <t>释放击碎有20%概率获得&lt;u color=4169E1 size=2&gt;&lt;a href=30019&gt;狂热&lt;/a&gt;&lt;/u&gt;，持续&lt;color=be7013&gt;3&lt;/color&gt;秒</t>
        </is>
      </c>
      <c r="M9" s="25" t="inlineStr">
        <is>
          <t>120121000|120122000</t>
        </is>
      </c>
      <c r="O9" s="47" t="inlineStr">
        <is>
          <t>[[3059,0.02]]</t>
        </is>
      </c>
      <c r="P9" s="47" t="inlineStr">
        <is>
          <t>[[3009,0.02],[3010,0.02],[3011,0.02]]</t>
        </is>
      </c>
      <c r="Q9" s="47" t="inlineStr">
        <is>
          <t>[[3001,5],[3002,1],[3003,500]]</t>
        </is>
      </c>
      <c r="R9" s="47" t="inlineStr">
        <is>
          <t>[[103,10]]</t>
        </is>
      </c>
      <c r="S9" s="47" t="n">
        <v>3000</v>
      </c>
      <c r="T9" s="47" t="inlineStr">
        <is>
          <t>追击|充能</t>
        </is>
      </c>
      <c r="U9" s="47" t="inlineStr">
        <is>
          <t>skill_affix/huang|skill_affix/hong</t>
        </is>
      </c>
      <c r="V9" s="47" t="n">
        <v>1</v>
      </c>
    </row>
    <row r="10">
      <c r="A10" s="47" t="n">
        <v>5011</v>
      </c>
      <c r="B10" s="47" t="n">
        <v>3</v>
      </c>
      <c r="C10" s="47" t="n">
        <v>6</v>
      </c>
      <c r="D10" s="47" t="inlineStr">
        <is>
          <t>普通攻击</t>
        </is>
      </c>
      <c r="E10" s="47" t="n">
        <v>101203</v>
      </c>
      <c r="F10" s="25" t="inlineStr">
        <is>
          <t>101210</t>
        </is>
      </c>
      <c r="H10" s="47" t="inlineStr">
        <is>
          <t>[[101210,900]]</t>
        </is>
      </c>
      <c r="I10" s="47" t="inlineStr">
        <is>
          <t>skill/sect/101203</t>
        </is>
      </c>
      <c r="J10" s="47" t="inlineStr">
        <is>
          <t>癫狂击</t>
        </is>
      </c>
      <c r="K10" s="36" t="inlineStr">
        <is>
          <t>角色战意充能提高&lt;color=be7013&gt;17.5%&lt;/color&gt;</t>
        </is>
      </c>
      <c r="M10" s="25" t="inlineStr">
        <is>
          <t>120121000|120122000</t>
        </is>
      </c>
      <c r="N10" s="47" t="inlineStr">
        <is>
          <t>[[3005,0.175]]</t>
        </is>
      </c>
      <c r="O10" s="47" t="inlineStr">
        <is>
          <t>[[3059,0.02]]</t>
        </is>
      </c>
      <c r="P10" s="47" t="inlineStr">
        <is>
          <t>[[3009,0.03],[3010,0.03],[3011,0.03]]</t>
        </is>
      </c>
      <c r="Q10" s="47" t="inlineStr">
        <is>
          <t>[[3001,10],[3002,2],[3003,1000]]</t>
        </is>
      </c>
      <c r="R10" s="47" t="inlineStr">
        <is>
          <t>[[103,10]]</t>
        </is>
      </c>
      <c r="S10" s="47" t="n">
        <v>6000</v>
      </c>
      <c r="T10" s="47" t="inlineStr">
        <is>
          <t>追击|充能</t>
        </is>
      </c>
      <c r="U10" s="47" t="inlineStr">
        <is>
          <t>skill_affix/huang|skill_affix/hong</t>
        </is>
      </c>
      <c r="V10" s="47" t="n">
        <v>1</v>
      </c>
    </row>
    <row r="11">
      <c r="A11" s="47" t="n">
        <v>1012</v>
      </c>
      <c r="B11" s="47" t="n">
        <v>4</v>
      </c>
      <c r="C11" s="47" t="n">
        <v>8</v>
      </c>
      <c r="D11" s="47" t="inlineStr">
        <is>
          <t>普通攻击</t>
        </is>
      </c>
      <c r="E11" s="47" t="n">
        <v>101204</v>
      </c>
      <c r="F11" s="25" t="inlineStr">
        <is>
          <t>101210</t>
        </is>
      </c>
      <c r="G11" s="25" t="inlineStr">
        <is>
          <t>101220</t>
        </is>
      </c>
      <c r="H11" s="47" t="inlineStr">
        <is>
          <t>[[101220,1]]</t>
        </is>
      </c>
      <c r="I11" s="47" t="inlineStr">
        <is>
          <t>skill/sect/101204</t>
        </is>
      </c>
      <c r="J11" s="47" t="inlineStr">
        <is>
          <t>癫狂击</t>
        </is>
      </c>
      <c r="K11" s="36" t="inlineStr">
        <is>
          <t>&lt;u color=4169E1 size=2&gt;&lt;a href=30019&gt;狂热&lt;/a&gt;&lt;/u&gt;强化为&lt;u color=4169E1 size=2&gt;&lt;a href=30020&gt;极端狂热&lt;/a&gt;&lt;/u&gt;，物理伤害加成提高至&lt;color=be7013&gt;10%&lt;/color&gt;</t>
        </is>
      </c>
      <c r="M11" s="25" t="inlineStr">
        <is>
          <t>120121000|120124000</t>
        </is>
      </c>
      <c r="N11" s="47" t="inlineStr">
        <is>
          <t>[[3005,0.175]]</t>
        </is>
      </c>
      <c r="O11" s="47" t="inlineStr">
        <is>
          <t>[[3059,0.02]]</t>
        </is>
      </c>
      <c r="P11" s="47" t="inlineStr">
        <is>
          <t>[[3009,0.04],[3010,0.04],[3011,0.04]]</t>
        </is>
      </c>
      <c r="Q11" s="47" t="inlineStr">
        <is>
          <t>[[3001,50],[3002,10],[3003,5000]]</t>
        </is>
      </c>
      <c r="R11" s="47" t="inlineStr">
        <is>
          <t>[[103,10]]</t>
        </is>
      </c>
      <c r="S11" s="47" t="n">
        <v>10000</v>
      </c>
      <c r="T11" s="47" t="inlineStr">
        <is>
          <t>追击|充能</t>
        </is>
      </c>
      <c r="U11" s="47" t="inlineStr">
        <is>
          <t>skill_affix/huang|skill_affix/hong</t>
        </is>
      </c>
      <c r="V11" s="47" t="n">
        <v>1</v>
      </c>
    </row>
    <row r="12">
      <c r="A12" s="47" t="n">
        <v>1012</v>
      </c>
      <c r="B12" s="47">
        <f>B8</f>
        <v/>
      </c>
      <c r="C12" s="47">
        <f>C8</f>
        <v/>
      </c>
      <c r="D12" s="47">
        <f>D8</f>
        <v/>
      </c>
      <c r="E12" s="47">
        <f>E8+100</f>
        <v/>
      </c>
      <c r="F12" s="25">
        <f>F8+100</f>
        <v/>
      </c>
      <c r="H12" s="47">
        <f>"[["&amp;F12&amp;",300]]"</f>
        <v/>
      </c>
      <c r="I12" s="47">
        <f>"skill/sect/"&amp;E12</f>
        <v/>
      </c>
      <c r="J12" s="47" t="inlineStr">
        <is>
          <t>雷霆击</t>
        </is>
      </c>
      <c r="K12" s="36" t="inlineStr">
        <is>
          <t>角色魔法增伤提高&lt;color=be7013&gt;5%&lt;/color&gt;</t>
        </is>
      </c>
      <c r="N12" s="47" t="inlineStr">
        <is>
          <t>[[3023,0.05]]</t>
        </is>
      </c>
      <c r="O12" s="47" t="inlineStr">
        <is>
          <t>[[3059,0.02]]</t>
        </is>
      </c>
      <c r="P12" s="47" t="inlineStr">
        <is>
          <t>[[3009,0.01],[3010,0.01],[3011,0.01]]</t>
        </is>
      </c>
      <c r="Q12" s="47" t="inlineStr">
        <is>
          <t>[[3001,1],[3002,1],[3003,100]]</t>
        </is>
      </c>
      <c r="R12" s="47">
        <f>R8</f>
        <v/>
      </c>
      <c r="S12" s="47">
        <f>S4</f>
        <v/>
      </c>
      <c r="T12" s="47" t="inlineStr">
        <is>
          <t>增益</t>
        </is>
      </c>
      <c r="U12" s="47" t="inlineStr">
        <is>
          <t>skill_affix/hong</t>
        </is>
      </c>
      <c r="V12" s="47" t="n">
        <v>0</v>
      </c>
    </row>
    <row r="13">
      <c r="A13" s="47" t="n">
        <v>1012</v>
      </c>
      <c r="B13" s="47">
        <f>B9</f>
        <v/>
      </c>
      <c r="C13" s="47">
        <f>C9</f>
        <v/>
      </c>
      <c r="D13" s="47">
        <f>D9</f>
        <v/>
      </c>
      <c r="E13" s="47">
        <f>E9+100</f>
        <v/>
      </c>
      <c r="F13" s="25">
        <f>F9+100</f>
        <v/>
      </c>
      <c r="H13" s="47">
        <f>"[["&amp;F13&amp;",600]]"</f>
        <v/>
      </c>
      <c r="I13" s="47">
        <f>"skill/sect/"&amp;E13</f>
        <v/>
      </c>
      <c r="J13" s="47" t="inlineStr">
        <is>
          <t>雷霆击</t>
        </is>
      </c>
      <c r="K13" s="36" t="inlineStr">
        <is>
          <t>普攻命中&lt;color=be7013&gt;20%&lt;/color&gt;概率给敌人施加雷电之种，延迟2秒后爆炸造成&lt;color=be7013&gt;31%&lt;/color&gt;魔法伤害</t>
        </is>
      </c>
      <c r="L13" s="47" t="n">
        <v>120132000</v>
      </c>
      <c r="M13" s="25" t="n">
        <v>120132000</v>
      </c>
      <c r="N13" s="47" t="inlineStr">
        <is>
          <t>[[3023,0.05]]</t>
        </is>
      </c>
      <c r="O13" s="47" t="inlineStr">
        <is>
          <t>[[3059,0.02]]</t>
        </is>
      </c>
      <c r="P13" s="47" t="inlineStr">
        <is>
          <t>[[3009,0.02],[3010,0.02],[3011,0.02]]</t>
        </is>
      </c>
      <c r="Q13" s="47" t="inlineStr">
        <is>
          <t>[[3001,5],[3002,1],[3003,500]]</t>
        </is>
      </c>
      <c r="R13" s="47">
        <f>R9</f>
        <v/>
      </c>
      <c r="S13" s="47">
        <f>S5</f>
        <v/>
      </c>
      <c r="T13" s="47" t="inlineStr">
        <is>
          <t>引爆|增益</t>
        </is>
      </c>
      <c r="U13" s="47" t="inlineStr">
        <is>
          <t>skill_affix/huang|skill_affix/hong</t>
        </is>
      </c>
      <c r="V13" s="47" t="n">
        <v>0</v>
      </c>
    </row>
    <row r="14">
      <c r="A14" s="47" t="n">
        <v>1012</v>
      </c>
      <c r="B14" s="47">
        <f>B10</f>
        <v/>
      </c>
      <c r="C14" s="47">
        <f>C10</f>
        <v/>
      </c>
      <c r="D14" s="47">
        <f>D10</f>
        <v/>
      </c>
      <c r="E14" s="47">
        <f>E10+100</f>
        <v/>
      </c>
      <c r="F14" s="25">
        <f>F10+100</f>
        <v/>
      </c>
      <c r="H14" s="47">
        <f>"[["&amp;F14&amp;",900]]"</f>
        <v/>
      </c>
      <c r="I14" s="47">
        <f>"skill/sect/"&amp;E14</f>
        <v/>
      </c>
      <c r="J14" s="47" t="inlineStr">
        <is>
          <t>雷霆击</t>
        </is>
      </c>
      <c r="K14" s="36" t="inlineStr">
        <is>
          <t>角色最终减伤提高&lt;color=be7013&gt;5%&lt;/color&gt;</t>
        </is>
      </c>
      <c r="L14" s="47" t="n">
        <v>120132000</v>
      </c>
      <c r="M14" s="25" t="n">
        <v>120132000</v>
      </c>
      <c r="N14" s="47" t="inlineStr">
        <is>
          <t>[[3023,0.05],[3060,0.05]]</t>
        </is>
      </c>
      <c r="O14" s="47" t="inlineStr">
        <is>
          <t>[[3059,0.02]]</t>
        </is>
      </c>
      <c r="P14" s="47" t="inlineStr">
        <is>
          <t>[[3009,0.03],[3010,0.03],[3011,0.03]]</t>
        </is>
      </c>
      <c r="Q14" s="47" t="inlineStr">
        <is>
          <t>[[3001,10],[3002,2],[3003,1000]]</t>
        </is>
      </c>
      <c r="R14" s="47">
        <f>R10</f>
        <v/>
      </c>
      <c r="S14" s="47">
        <f>S6</f>
        <v/>
      </c>
      <c r="T14" s="47" t="inlineStr">
        <is>
          <t>引爆|增益</t>
        </is>
      </c>
      <c r="U14" s="47" t="inlineStr">
        <is>
          <t>skill_affix/huang|skill_affix/hong</t>
        </is>
      </c>
      <c r="V14" s="47" t="n">
        <v>0</v>
      </c>
    </row>
    <row r="15">
      <c r="A15" s="47">
        <f>A11+1</f>
        <v/>
      </c>
      <c r="B15" s="47">
        <f>B11</f>
        <v/>
      </c>
      <c r="C15" s="47">
        <f>C11</f>
        <v/>
      </c>
      <c r="D15" s="47">
        <f>D11</f>
        <v/>
      </c>
      <c r="E15" s="47">
        <f>E11+100</f>
        <v/>
      </c>
      <c r="F15" s="25">
        <f>F11+100</f>
        <v/>
      </c>
      <c r="G15" s="25">
        <f>G11+100</f>
        <v/>
      </c>
      <c r="H15" s="47">
        <f>"[["&amp;G15&amp;",1]]"</f>
        <v/>
      </c>
      <c r="I15" s="47">
        <f>"skill/sect/"&amp;E15</f>
        <v/>
      </c>
      <c r="J15" s="47" t="inlineStr">
        <is>
          <t>雷霆击</t>
        </is>
      </c>
      <c r="K15" s="36" t="inlineStr">
        <is>
          <t>提高雷电之种施加概率至&lt;color=be7013&gt;30%&lt;/color&gt;，爆炸伤害提高至&lt;color=be7013&gt;42%&lt;/color&gt;</t>
        </is>
      </c>
      <c r="L15" s="47" t="n">
        <v>120132000</v>
      </c>
      <c r="M15" s="25" t="n">
        <v>120134000</v>
      </c>
      <c r="N15" s="47" t="inlineStr">
        <is>
          <t>[[3023,0.05],[3060,0.05]]</t>
        </is>
      </c>
      <c r="O15" s="47" t="inlineStr">
        <is>
          <t>[[3059,0.02]]</t>
        </is>
      </c>
      <c r="P15" s="47" t="inlineStr">
        <is>
          <t>[[3009,0.04],[3010,0.04],[3011,0.04]]</t>
        </is>
      </c>
      <c r="Q15" s="47" t="inlineStr">
        <is>
          <t>[[3001,50],[3002,10],[3003,5000]]</t>
        </is>
      </c>
      <c r="R15" s="47">
        <f>R11</f>
        <v/>
      </c>
      <c r="S15" s="47">
        <f>S7</f>
        <v/>
      </c>
      <c r="T15" s="47" t="inlineStr">
        <is>
          <t>引爆|增益</t>
        </is>
      </c>
      <c r="U15" s="47" t="inlineStr">
        <is>
          <t>skill_affix/huang|skill_affix/hong</t>
        </is>
      </c>
      <c r="V15" s="47" t="n">
        <v>0</v>
      </c>
    </row>
    <row r="16">
      <c r="A16" s="47" t="n">
        <v>1021</v>
      </c>
      <c r="B16" s="47" t="n">
        <v>1</v>
      </c>
      <c r="C16" s="47" t="n">
        <v>3</v>
      </c>
      <c r="D16" s="47" t="inlineStr">
        <is>
          <t>核心技能</t>
        </is>
      </c>
      <c r="E16" s="47" t="n">
        <v>102101</v>
      </c>
      <c r="F16" s="25" t="inlineStr">
        <is>
          <t>102110</t>
        </is>
      </c>
      <c r="H16" s="47" t="inlineStr">
        <is>
          <t>[[102110,300]]</t>
        </is>
      </c>
      <c r="I16" s="47" t="inlineStr">
        <is>
          <t>skill/sect/102101</t>
        </is>
      </c>
      <c r="J16" s="47" t="inlineStr">
        <is>
          <t>熔血重斩</t>
        </is>
      </c>
      <c r="K16" s="36" t="inlineStr">
        <is>
          <t>角色创伤伤害提高&lt;color=be7013&gt;7.5%&lt;/color&gt;</t>
        </is>
      </c>
      <c r="M16" s="37" t="n"/>
      <c r="N16" s="47" t="inlineStr">
        <is>
          <t>[[3033,0.075]]</t>
        </is>
      </c>
      <c r="O16" s="47" t="inlineStr">
        <is>
          <t>[[3059,0.02]]</t>
        </is>
      </c>
      <c r="P16" s="47" t="inlineStr">
        <is>
          <t>[[3009,0.01],[3010,0.01],[3011,0.01]]</t>
        </is>
      </c>
      <c r="Q16" s="47" t="inlineStr">
        <is>
          <t>[[3001,1],[3002,1],[3003,100]]</t>
        </is>
      </c>
      <c r="R16" s="47" t="inlineStr">
        <is>
          <t>[[103,10]]</t>
        </is>
      </c>
      <c r="S16" s="47" t="n">
        <v>2000</v>
      </c>
      <c r="T16" s="47" t="inlineStr">
        <is>
          <t>创伤</t>
        </is>
      </c>
      <c r="U16" s="47" t="inlineStr">
        <is>
          <t>skill_affix/huang</t>
        </is>
      </c>
      <c r="V16" s="47" t="n">
        <v>1</v>
      </c>
    </row>
    <row r="17">
      <c r="A17" s="47" t="n">
        <v>1021</v>
      </c>
      <c r="B17" s="47" t="n">
        <v>2</v>
      </c>
      <c r="C17" s="47" t="n">
        <v>4</v>
      </c>
      <c r="D17" s="47" t="inlineStr">
        <is>
          <t>核心技能</t>
        </is>
      </c>
      <c r="E17" s="47" t="n">
        <v>102102</v>
      </c>
      <c r="F17" s="25" t="inlineStr">
        <is>
          <t>102110</t>
        </is>
      </c>
      <c r="H17" s="47" t="inlineStr">
        <is>
          <t>[[102110,600]]</t>
        </is>
      </c>
      <c r="I17" s="47" t="inlineStr">
        <is>
          <t>skill/sect/102102</t>
        </is>
      </c>
      <c r="J17" s="47" t="inlineStr">
        <is>
          <t>熔血重斩</t>
        </is>
      </c>
      <c r="K17" s="36" t="inlineStr">
        <is>
          <t>裂地斩击强化为血焰斩击，命中时对目标造成&lt;color=be7013&gt;73%&lt;/color&gt;物理伤害与&lt;color=be7013&gt;442%&lt;/color&gt;创伤伤害</t>
        </is>
      </c>
      <c r="L17" s="47" t="n">
        <v>120212000</v>
      </c>
      <c r="M17" s="37" t="n"/>
      <c r="N17" s="47" t="inlineStr">
        <is>
          <t>[[3033,0.075]]</t>
        </is>
      </c>
      <c r="O17" s="47" t="inlineStr">
        <is>
          <t>[[3059,0.02]]</t>
        </is>
      </c>
      <c r="P17" s="47" t="inlineStr">
        <is>
          <t>[[3009,0.02],[3010,0.02],[3011,0.02]]</t>
        </is>
      </c>
      <c r="Q17" s="47" t="inlineStr">
        <is>
          <t>[[3001,5],[3002,1],[3003,500]]</t>
        </is>
      </c>
      <c r="R17" s="47" t="inlineStr">
        <is>
          <t>[[103,10]]</t>
        </is>
      </c>
      <c r="S17" s="47" t="n">
        <v>5000</v>
      </c>
      <c r="T17" s="47" t="inlineStr">
        <is>
          <t>创伤|减益</t>
        </is>
      </c>
      <c r="U17" s="47" t="inlineStr">
        <is>
          <t>skill_affix/huang|skill_affix/qing</t>
        </is>
      </c>
      <c r="V17" s="47" t="n">
        <v>1</v>
      </c>
    </row>
    <row r="18">
      <c r="A18" s="47" t="n">
        <v>1021</v>
      </c>
      <c r="B18" s="47" t="n">
        <v>3</v>
      </c>
      <c r="C18" s="47" t="n">
        <v>6</v>
      </c>
      <c r="D18" s="47" t="inlineStr">
        <is>
          <t>核心技能</t>
        </is>
      </c>
      <c r="E18" s="47" t="n">
        <v>102103</v>
      </c>
      <c r="F18" s="25" t="inlineStr">
        <is>
          <t>102110</t>
        </is>
      </c>
      <c r="H18" s="47" t="inlineStr">
        <is>
          <t>[[102110,900]]</t>
        </is>
      </c>
      <c r="I18" s="47" t="inlineStr">
        <is>
          <t>skill/sect/102103</t>
        </is>
      </c>
      <c r="J18" s="47" t="inlineStr">
        <is>
          <t>熔血重斩</t>
        </is>
      </c>
      <c r="K18" s="36" t="inlineStr">
        <is>
          <t>释放核心技能时为自身施加&lt;color=be7013&gt;1&lt;/color&gt;层&lt;u color=4169E1 size=2&gt;&lt;a href=30021&gt;血印&lt;/a&gt;&lt;/u&gt;，最多&lt;color=be7013&gt;4&lt;/color&gt;层</t>
        </is>
      </c>
      <c r="L18" s="47" t="n">
        <v>120212000</v>
      </c>
      <c r="M18" s="37" t="n">
        <v>120213000</v>
      </c>
      <c r="N18" s="47" t="inlineStr">
        <is>
          <t>[[3033,0.075]]</t>
        </is>
      </c>
      <c r="O18" s="47" t="inlineStr">
        <is>
          <t>[[3059,0.02]]</t>
        </is>
      </c>
      <c r="P18" s="47" t="inlineStr">
        <is>
          <t>[[3009,0.03],[3010,0.03],[3011,0.03]]</t>
        </is>
      </c>
      <c r="Q18" s="47" t="inlineStr">
        <is>
          <t>[[3001,10],[3002,2],[3003,1000]]</t>
        </is>
      </c>
      <c r="R18" s="47" t="inlineStr">
        <is>
          <t>[[103,10]]</t>
        </is>
      </c>
      <c r="S18" s="47" t="n">
        <v>10000</v>
      </c>
      <c r="T18" s="47" t="inlineStr">
        <is>
          <t>创伤|减益</t>
        </is>
      </c>
      <c r="U18" s="47" t="inlineStr">
        <is>
          <t>skill_affix/huang|skill_affix/qing</t>
        </is>
      </c>
      <c r="V18" s="47" t="n">
        <v>1</v>
      </c>
    </row>
    <row r="19">
      <c r="A19" s="47" t="n">
        <v>1021</v>
      </c>
      <c r="B19" s="47" t="n">
        <v>4</v>
      </c>
      <c r="C19" s="47" t="n">
        <v>8</v>
      </c>
      <c r="D19" s="47" t="inlineStr">
        <is>
          <t>核心技能</t>
        </is>
      </c>
      <c r="E19" s="47" t="n">
        <v>102104</v>
      </c>
      <c r="F19" s="25" t="inlineStr">
        <is>
          <t>102110</t>
        </is>
      </c>
      <c r="G19" s="25" t="inlineStr">
        <is>
          <t>102120</t>
        </is>
      </c>
      <c r="H19" s="47" t="inlineStr">
        <is>
          <t>[[102120,1]]</t>
        </is>
      </c>
      <c r="I19" s="47" t="inlineStr">
        <is>
          <t>skill/sect/102104</t>
        </is>
      </c>
      <c r="J19" s="47" t="inlineStr">
        <is>
          <t>熔血重斩</t>
        </is>
      </c>
      <c r="K19" s="36" t="inlineStr">
        <is>
          <t>血焰爆裂留下持续&lt;color=be7013&gt;5&lt;/color&gt;秒的血池，对周围每秒造成&lt;color=be7013&gt;13%&lt;/color&gt;物理伤害与&lt;color=be7013&gt;79%&lt;/color&gt;创伤伤害</t>
        </is>
      </c>
      <c r="L19" s="47" t="n">
        <v>120214000</v>
      </c>
      <c r="M19" s="37" t="n">
        <v>120213000</v>
      </c>
      <c r="N19" s="47" t="inlineStr">
        <is>
          <t>[[3033,0.075]]</t>
        </is>
      </c>
      <c r="O19" s="47" t="inlineStr">
        <is>
          <t>[[3059,0.02]]</t>
        </is>
      </c>
      <c r="P19" s="47" t="inlineStr">
        <is>
          <t>[[3009,0.04],[3010,0.04],[3011,0.04]]</t>
        </is>
      </c>
      <c r="Q19" s="47" t="inlineStr">
        <is>
          <t>[[3001,50],[3002,10],[3003,5000]]</t>
        </is>
      </c>
      <c r="R19" s="47" t="inlineStr">
        <is>
          <t>[[103,10]]</t>
        </is>
      </c>
      <c r="S19" s="47" t="n">
        <v>20000</v>
      </c>
      <c r="T19" s="47" t="inlineStr">
        <is>
          <t>创伤|减益</t>
        </is>
      </c>
      <c r="U19" s="47" t="inlineStr">
        <is>
          <t>skill_affix/huang|skill_affix/qing</t>
        </is>
      </c>
      <c r="V19" s="47" t="n">
        <v>1</v>
      </c>
    </row>
    <row r="20">
      <c r="A20" s="47" t="n">
        <v>1022</v>
      </c>
      <c r="B20" s="47" t="n">
        <v>1</v>
      </c>
      <c r="C20" s="47" t="n">
        <v>3</v>
      </c>
      <c r="D20" s="47" t="inlineStr">
        <is>
          <t>核心技能</t>
        </is>
      </c>
      <c r="E20" s="47" t="n">
        <v>102201</v>
      </c>
      <c r="F20" s="25" t="inlineStr">
        <is>
          <t>102210</t>
        </is>
      </c>
      <c r="H20" s="47" t="inlineStr">
        <is>
          <t>[[102210,300]]</t>
        </is>
      </c>
      <c r="I20" s="47" t="inlineStr">
        <is>
          <t>skill/sect/102201</t>
        </is>
      </c>
      <c r="J20" s="47" t="inlineStr">
        <is>
          <t>燃火重斩</t>
        </is>
      </c>
      <c r="K20" s="36" t="inlineStr">
        <is>
          <t>裂地斩击耗能降低&lt;color=be7013&gt;6&lt;/color&gt;点</t>
        </is>
      </c>
      <c r="L20" s="47" t="n">
        <v>120221000</v>
      </c>
      <c r="O20" s="47" t="inlineStr">
        <is>
          <t>[[3059,0.02]]</t>
        </is>
      </c>
      <c r="P20" s="47" t="inlineStr">
        <is>
          <t>[[3009,0.01],[3010,0.01],[3011,0.01]]</t>
        </is>
      </c>
      <c r="Q20" s="47" t="inlineStr">
        <is>
          <t>[[3001,1],[3002,1],[3003,100]]</t>
        </is>
      </c>
      <c r="R20" s="47" t="inlineStr">
        <is>
          <t>[[103,10]]</t>
        </is>
      </c>
      <c r="S20" s="47" t="n">
        <v>2000</v>
      </c>
      <c r="T20" s="47" t="inlineStr">
        <is>
          <t>降耗</t>
        </is>
      </c>
      <c r="U20" s="47" t="inlineStr">
        <is>
          <t>skill_affix/hong</t>
        </is>
      </c>
      <c r="V20" s="47" t="n">
        <v>1</v>
      </c>
    </row>
    <row r="21">
      <c r="A21" s="47" t="n">
        <v>1022</v>
      </c>
      <c r="B21" s="47" t="n">
        <v>2</v>
      </c>
      <c r="C21" s="47" t="n">
        <v>4</v>
      </c>
      <c r="D21" s="47" t="inlineStr">
        <is>
          <t>核心技能</t>
        </is>
      </c>
      <c r="E21" s="47" t="n">
        <v>102202</v>
      </c>
      <c r="F21" s="25" t="inlineStr">
        <is>
          <t>102210</t>
        </is>
      </c>
      <c r="H21" s="47" t="inlineStr">
        <is>
          <t>[[102210,600]]</t>
        </is>
      </c>
      <c r="I21" s="47" t="inlineStr">
        <is>
          <t>skill/sect/102202</t>
        </is>
      </c>
      <c r="J21" s="47" t="inlineStr">
        <is>
          <t>燃火重斩</t>
        </is>
      </c>
      <c r="K21" s="36" t="inlineStr">
        <is>
          <t>裂地斩击伤害提升至&lt;color=be7013&gt;252%&lt;/color&gt;物理伤害，同时每次释放裂地斩击时在周围随机敌人处生成火焰喷流造成&lt;color=be7013&gt;111%&lt;/color&gt;魔法伤害</t>
        </is>
      </c>
      <c r="L21" s="47" t="n">
        <v>120222000</v>
      </c>
      <c r="M21" s="37" t="n"/>
      <c r="O21" s="47" t="inlineStr">
        <is>
          <t>[[3059,0.02]]</t>
        </is>
      </c>
      <c r="P21" s="47" t="inlineStr">
        <is>
          <t>[[3009,0.02],[3010,0.02],[3011,0.02]]</t>
        </is>
      </c>
      <c r="Q21" s="47" t="inlineStr">
        <is>
          <t>[[3001,5],[3002,1],[3003,500]]</t>
        </is>
      </c>
      <c r="R21" s="47" t="inlineStr">
        <is>
          <t>[[103,10]]</t>
        </is>
      </c>
      <c r="S21" s="47" t="n">
        <v>5000</v>
      </c>
      <c r="T21" s="47" t="inlineStr">
        <is>
          <t>追击|降耗</t>
        </is>
      </c>
      <c r="U21" s="47" t="inlineStr">
        <is>
          <t>skill_affix/huang|skill_affix/hong</t>
        </is>
      </c>
      <c r="V21" s="47" t="n">
        <v>1</v>
      </c>
    </row>
    <row r="22">
      <c r="A22" s="47" t="n">
        <v>1022</v>
      </c>
      <c r="B22" s="47" t="n">
        <v>3</v>
      </c>
      <c r="C22" s="47" t="n">
        <v>6</v>
      </c>
      <c r="D22" s="47" t="inlineStr">
        <is>
          <t>核心技能</t>
        </is>
      </c>
      <c r="E22" s="47" t="n">
        <v>102203</v>
      </c>
      <c r="F22" s="25" t="inlineStr">
        <is>
          <t>102210</t>
        </is>
      </c>
      <c r="H22" s="47" t="inlineStr">
        <is>
          <t>[[102210,900]]</t>
        </is>
      </c>
      <c r="I22" s="47" t="inlineStr">
        <is>
          <t>skill/sect/102203</t>
        </is>
      </c>
      <c r="J22" s="47" t="inlineStr">
        <is>
          <t>燃火重斩</t>
        </is>
      </c>
      <c r="K22" s="36" t="inlineStr">
        <is>
          <t>裂地斩击伤害提高&lt;color=be7013&gt;40%&lt;/color&gt;</t>
        </is>
      </c>
      <c r="L22" s="47" t="n">
        <v>120222000</v>
      </c>
      <c r="M22" s="37" t="n"/>
      <c r="N22" s="47" t="inlineStr">
        <is>
          <t>[[3097,0.4]]</t>
        </is>
      </c>
      <c r="O22" s="47" t="inlineStr">
        <is>
          <t>[[3059,0.02]]</t>
        </is>
      </c>
      <c r="P22" s="47" t="inlineStr">
        <is>
          <t>[[3009,0.03],[3010,0.03],[3011,0.03]]</t>
        </is>
      </c>
      <c r="Q22" s="47" t="inlineStr">
        <is>
          <t>[[3001,10],[3002,2],[3003,1000]]</t>
        </is>
      </c>
      <c r="R22" s="47" t="inlineStr">
        <is>
          <t>[[103,10]]</t>
        </is>
      </c>
      <c r="S22" s="47" t="n">
        <v>10000</v>
      </c>
      <c r="T22" s="47" t="inlineStr">
        <is>
          <t>追击|降耗</t>
        </is>
      </c>
      <c r="U22" s="47" t="inlineStr">
        <is>
          <t>skill_affix/huang|skill_affix/hong</t>
        </is>
      </c>
      <c r="V22" s="47" t="n">
        <v>1</v>
      </c>
    </row>
    <row r="23">
      <c r="A23" s="47" t="n">
        <v>1022</v>
      </c>
      <c r="B23" s="47" t="n">
        <v>4</v>
      </c>
      <c r="C23" s="47" t="n">
        <v>8</v>
      </c>
      <c r="D23" s="47" t="inlineStr">
        <is>
          <t>核心技能</t>
        </is>
      </c>
      <c r="E23" s="47" t="n">
        <v>102204</v>
      </c>
      <c r="F23" s="25" t="inlineStr">
        <is>
          <t>102210</t>
        </is>
      </c>
      <c r="G23" s="25" t="inlineStr">
        <is>
          <t>102220</t>
        </is>
      </c>
      <c r="H23" s="47" t="inlineStr">
        <is>
          <t>[[102220,1]]</t>
        </is>
      </c>
      <c r="I23" s="47" t="inlineStr">
        <is>
          <t>skill/sect/102204</t>
        </is>
      </c>
      <c r="J23" s="47" t="inlineStr">
        <is>
          <t>燃火重斩</t>
        </is>
      </c>
      <c r="K23" s="36" t="inlineStr">
        <is>
          <t>裂地斩击伤害提升至&lt;color=be7013&gt;485%&lt;/color&gt;物理伤害，火焰喷流强化为熔岩喷发对更大范围敌人造成&lt;color=be7013&gt;205%&lt;/color&gt;魔法伤害</t>
        </is>
      </c>
      <c r="L23" s="47" t="n">
        <v>120224000</v>
      </c>
      <c r="M23" s="37" t="n"/>
      <c r="N23" s="47" t="inlineStr">
        <is>
          <t>[[3097,0.4]]</t>
        </is>
      </c>
      <c r="O23" s="47" t="inlineStr">
        <is>
          <t>[[3059,0.02]]</t>
        </is>
      </c>
      <c r="P23" s="47" t="inlineStr">
        <is>
          <t>[[3009,0.04],[3010,0.04],[3011,0.04]]</t>
        </is>
      </c>
      <c r="Q23" s="47" t="inlineStr">
        <is>
          <t>[[3001,50],[3002,10],[3003,5000]]</t>
        </is>
      </c>
      <c r="R23" s="47" t="inlineStr">
        <is>
          <t>[[103,10]]</t>
        </is>
      </c>
      <c r="S23" s="47" t="n">
        <v>20000</v>
      </c>
      <c r="T23" s="47" t="inlineStr">
        <is>
          <t>追击|降耗</t>
        </is>
      </c>
      <c r="U23" s="47" t="inlineStr">
        <is>
          <t>skill_affix/huang|skill_affix/hong</t>
        </is>
      </c>
      <c r="V23" s="47" t="n">
        <v>1</v>
      </c>
    </row>
    <row r="24">
      <c r="A24" s="47">
        <f>A20+1</f>
        <v/>
      </c>
      <c r="B24" s="47">
        <f>B20</f>
        <v/>
      </c>
      <c r="C24" s="47">
        <f>C20</f>
        <v/>
      </c>
      <c r="D24" s="47">
        <f>D20</f>
        <v/>
      </c>
      <c r="E24" s="47">
        <f>E20+100</f>
        <v/>
      </c>
      <c r="F24" s="25">
        <f>F20+100</f>
        <v/>
      </c>
      <c r="H24" s="47">
        <f>"[["&amp;F24&amp;",300]]"</f>
        <v/>
      </c>
      <c r="I24" s="47">
        <f>"skill/sect/"&amp;E24</f>
        <v/>
      </c>
      <c r="J24" s="47" t="inlineStr">
        <is>
          <t>怒雷横扫</t>
        </is>
      </c>
      <c r="K24" s="36" t="inlineStr">
        <is>
          <t>角色暴击率提高&lt;color=be7013&gt;5%&lt;/color&gt;</t>
        </is>
      </c>
      <c r="N24" s="47" t="inlineStr">
        <is>
          <t>[[3014,0.05]]</t>
        </is>
      </c>
      <c r="O24" s="47" t="inlineStr">
        <is>
          <t>[[3059,0.02]]</t>
        </is>
      </c>
      <c r="P24" s="47" t="inlineStr">
        <is>
          <t>[[3009,0.01],[3010,0.01],[3011,0.01]]</t>
        </is>
      </c>
      <c r="Q24" s="47" t="inlineStr">
        <is>
          <t>[[3001,1],[3002,1],[3003,100]]</t>
        </is>
      </c>
      <c r="R24" s="47">
        <f>R20</f>
        <v/>
      </c>
      <c r="S24" s="47">
        <f>S16</f>
        <v/>
      </c>
      <c r="T24" s="47" t="inlineStr">
        <is>
          <t>暴击</t>
        </is>
      </c>
      <c r="U24" s="47" t="inlineStr">
        <is>
          <t>skill_affix/hong</t>
        </is>
      </c>
      <c r="V24" s="47" t="n">
        <v>0</v>
      </c>
    </row>
    <row r="25">
      <c r="A25" s="47">
        <f>A21+1</f>
        <v/>
      </c>
      <c r="B25" s="47">
        <f>B21</f>
        <v/>
      </c>
      <c r="C25" s="47">
        <f>C21</f>
        <v/>
      </c>
      <c r="D25" s="47">
        <f>D21</f>
        <v/>
      </c>
      <c r="E25" s="47">
        <f>E21+100</f>
        <v/>
      </c>
      <c r="F25" s="25">
        <f>F21+100</f>
        <v/>
      </c>
      <c r="H25" s="47">
        <f>"[["&amp;F25&amp;",600]]"</f>
        <v/>
      </c>
      <c r="I25" s="47">
        <f>"skill/sect/"&amp;E25</f>
        <v/>
      </c>
      <c r="J25" s="47" t="inlineStr">
        <is>
          <t>怒雷横扫</t>
        </is>
      </c>
      <c r="K25" s="36" t="inlineStr">
        <is>
          <t>释放核心技能给自身施加雷电领域，雷电领域持续5秒，对范围内敌人每秒造成&lt;color=be7013&gt;34%&lt;/color&gt;魔法伤害并施加&lt;u color=4169E1 size=2&gt;&lt;a href=30037&gt;感电&lt;/a&gt;&lt;/u&gt;</t>
        </is>
      </c>
      <c r="L25" s="47" t="n">
        <v>120232000</v>
      </c>
      <c r="M25" s="25" t="n">
        <v>120232000</v>
      </c>
      <c r="N25" s="47" t="inlineStr">
        <is>
          <t>[[3014,0.05]]</t>
        </is>
      </c>
      <c r="O25" s="47" t="inlineStr">
        <is>
          <t>[[3059,0.02]]</t>
        </is>
      </c>
      <c r="P25" s="47" t="inlineStr">
        <is>
          <t>[[3009,0.02],[3010,0.02],[3011,0.02]]</t>
        </is>
      </c>
      <c r="Q25" s="47" t="inlineStr">
        <is>
          <t>[[3001,5],[3002,1],[3003,500]]</t>
        </is>
      </c>
      <c r="R25" s="47">
        <f>R21</f>
        <v/>
      </c>
      <c r="S25" s="47">
        <f>S17</f>
        <v/>
      </c>
      <c r="T25" s="47" t="inlineStr">
        <is>
          <t>引爆|暴击</t>
        </is>
      </c>
      <c r="U25" s="47" t="inlineStr">
        <is>
          <t>skill_affix/huang|skill_affix/hong</t>
        </is>
      </c>
      <c r="V25" s="47" t="n">
        <v>0</v>
      </c>
    </row>
    <row r="26">
      <c r="A26" s="47">
        <f>A22+1</f>
        <v/>
      </c>
      <c r="B26" s="47">
        <f>B22</f>
        <v/>
      </c>
      <c r="C26" s="47">
        <f>C22</f>
        <v/>
      </c>
      <c r="D26" s="47">
        <f>D22</f>
        <v/>
      </c>
      <c r="E26" s="47">
        <f>E22+100</f>
        <v/>
      </c>
      <c r="F26" s="25">
        <f>F22+100</f>
        <v/>
      </c>
      <c r="H26" s="47">
        <f>"[["&amp;F26&amp;",900]]"</f>
        <v/>
      </c>
      <c r="I26" s="47">
        <f>"skill/sect/"&amp;E26</f>
        <v/>
      </c>
      <c r="J26" s="47" t="inlineStr">
        <is>
          <t>怒雷横扫</t>
        </is>
      </c>
      <c r="K26" s="36" t="inlineStr">
        <is>
          <t>角色暴击伤害提高&lt;color=be7013&gt;30%&lt;/color&gt;</t>
        </is>
      </c>
      <c r="L26" s="47" t="n">
        <v>120232000</v>
      </c>
      <c r="M26" s="25" t="n">
        <v>120232000</v>
      </c>
      <c r="N26" s="47" t="inlineStr">
        <is>
          <t>[[3014,0.05],[3015,0.3]]</t>
        </is>
      </c>
      <c r="O26" s="47" t="inlineStr">
        <is>
          <t>[[3059,0.02]]</t>
        </is>
      </c>
      <c r="P26" s="47" t="inlineStr">
        <is>
          <t>[[3009,0.03],[3010,0.03],[3011,0.03]]</t>
        </is>
      </c>
      <c r="Q26" s="47" t="inlineStr">
        <is>
          <t>[[3001,10],[3002,2],[3003,1000]]</t>
        </is>
      </c>
      <c r="R26" s="47">
        <f>R22</f>
        <v/>
      </c>
      <c r="S26" s="47">
        <f>S18</f>
        <v/>
      </c>
      <c r="T26" s="47" t="inlineStr">
        <is>
          <t>引爆|暴击</t>
        </is>
      </c>
      <c r="U26" s="47" t="inlineStr">
        <is>
          <t>skill_affix/huang|skill_affix/hong</t>
        </is>
      </c>
      <c r="V26" s="47" t="n">
        <v>0</v>
      </c>
    </row>
    <row r="27">
      <c r="A27" s="47">
        <f>A23+1</f>
        <v/>
      </c>
      <c r="B27" s="47">
        <f>B23</f>
        <v/>
      </c>
      <c r="C27" s="47">
        <f>C23</f>
        <v/>
      </c>
      <c r="D27" s="47">
        <f>D23</f>
        <v/>
      </c>
      <c r="E27" s="47">
        <f>E23+100</f>
        <v/>
      </c>
      <c r="F27" s="25">
        <f>F23+100</f>
        <v/>
      </c>
      <c r="G27" s="25">
        <f>G23+100</f>
        <v/>
      </c>
      <c r="H27" s="47">
        <f>"[["&amp;G27&amp;",1]]"</f>
        <v/>
      </c>
      <c r="I27" s="47">
        <f>"skill/sect/"&amp;E27</f>
        <v/>
      </c>
      <c r="J27" s="47" t="inlineStr">
        <is>
          <t>怒雷横扫</t>
        </is>
      </c>
      <c r="K27" s="36" t="inlineStr">
        <is>
          <t>雷电领域获得强化，每秒造成&lt;color=be7013&gt;60%&lt;/color&gt;魔法伤害，持续时间延长至8秒</t>
        </is>
      </c>
      <c r="L27" s="47" t="n">
        <v>120232000</v>
      </c>
      <c r="M27" s="25" t="n">
        <v>120234000</v>
      </c>
      <c r="N27" s="47" t="inlineStr">
        <is>
          <t>[[3014,0.05],[3015,0.3]]</t>
        </is>
      </c>
      <c r="O27" s="47" t="inlineStr">
        <is>
          <t>[[3059,0.02]]</t>
        </is>
      </c>
      <c r="P27" s="47" t="inlineStr">
        <is>
          <t>[[3009,0.04],[3010,0.04],[3011,0.04]]</t>
        </is>
      </c>
      <c r="Q27" s="47" t="inlineStr">
        <is>
          <t>[[3001,50],[3002,10],[3003,5000]]</t>
        </is>
      </c>
      <c r="R27" s="47">
        <f>R23</f>
        <v/>
      </c>
      <c r="S27" s="47">
        <f>S19</f>
        <v/>
      </c>
      <c r="T27" s="47" t="inlineStr">
        <is>
          <t>引爆|暴击</t>
        </is>
      </c>
      <c r="U27" s="47" t="inlineStr">
        <is>
          <t>skill_affix/huang|skill_affix/hong</t>
        </is>
      </c>
      <c r="V27" s="47" t="n">
        <v>0</v>
      </c>
    </row>
    <row r="28">
      <c r="A28" s="47" t="n">
        <v>1031</v>
      </c>
      <c r="B28" s="47" t="n">
        <v>1</v>
      </c>
      <c r="C28" s="47" t="n">
        <v>3</v>
      </c>
      <c r="D28" s="47" t="inlineStr">
        <is>
          <t>位移技能</t>
        </is>
      </c>
      <c r="E28" s="47" t="n">
        <v>103101</v>
      </c>
      <c r="F28" s="25" t="inlineStr">
        <is>
          <t>103110</t>
        </is>
      </c>
      <c r="H28" s="47" t="inlineStr">
        <is>
          <t>[[103110,300]]</t>
        </is>
      </c>
      <c r="I28" s="47" t="inlineStr">
        <is>
          <t>skill/sect/103101</t>
        </is>
      </c>
      <c r="J28" s="47" t="inlineStr">
        <is>
          <t>压制冲刺</t>
        </is>
      </c>
      <c r="K28" s="36" t="inlineStr">
        <is>
          <t>狂野冲锋冷却时间缩减&lt;color=be7013&gt;15%&lt;/color&gt;</t>
        </is>
      </c>
      <c r="N28" s="47" t="inlineStr">
        <is>
          <t>[[3249,0.15]]</t>
        </is>
      </c>
      <c r="O28" s="47" t="inlineStr">
        <is>
          <t>[[3059,0.02]]</t>
        </is>
      </c>
      <c r="P28" s="47" t="inlineStr">
        <is>
          <t>[[3009,0.01],[3010,0.01],[3011,0.01]]</t>
        </is>
      </c>
      <c r="Q28" s="47" t="inlineStr">
        <is>
          <t>[[3001,1],[3002,1],[3003,100]]</t>
        </is>
      </c>
      <c r="R28" s="47" t="inlineStr">
        <is>
          <t>[[103,10]]</t>
        </is>
      </c>
      <c r="S28" s="47" t="n">
        <v>1000</v>
      </c>
      <c r="T28" s="47" t="inlineStr">
        <is>
          <t>位移</t>
        </is>
      </c>
      <c r="U28" s="47" t="inlineStr">
        <is>
          <t>skill_affix/lv</t>
        </is>
      </c>
      <c r="V28" s="47" t="n">
        <v>1</v>
      </c>
    </row>
    <row r="29">
      <c r="A29" s="47" t="n">
        <v>1031</v>
      </c>
      <c r="B29" s="47" t="n">
        <v>2</v>
      </c>
      <c r="C29" s="47" t="n">
        <v>4</v>
      </c>
      <c r="D29" s="47" t="inlineStr">
        <is>
          <t>位移技能</t>
        </is>
      </c>
      <c r="E29" s="47" t="n">
        <v>103102</v>
      </c>
      <c r="F29" s="25" t="inlineStr">
        <is>
          <t>103110</t>
        </is>
      </c>
      <c r="H29" s="47" t="inlineStr">
        <is>
          <t>[[103110,600]]</t>
        </is>
      </c>
      <c r="I29" s="47" t="inlineStr">
        <is>
          <t>skill/sect/103102</t>
        </is>
      </c>
      <c r="J29" s="47" t="inlineStr">
        <is>
          <t>压制冲刺</t>
        </is>
      </c>
      <c r="K29" s="36" t="inlineStr">
        <is>
          <t>狂野冲锋结束后额外进行一段上挑攻击，造成&lt;color=be7013&gt;233%&lt;/color&gt;物理伤害并附带&lt;color=be7013&gt;0.5&lt;/color&gt;秒&lt;u color=4169E1 size=2&gt;&lt;a href=30022&gt;眩晕&lt;/a&gt;&lt;/u&gt;</t>
        </is>
      </c>
      <c r="L29" s="47" t="n">
        <v>120312000</v>
      </c>
      <c r="N29" s="47" t="inlineStr">
        <is>
          <t>[[3249,0.15]]</t>
        </is>
      </c>
      <c r="O29" s="47" t="inlineStr">
        <is>
          <t>[[3059,0.02]]</t>
        </is>
      </c>
      <c r="P29" s="47" t="inlineStr">
        <is>
          <t>[[3009,0.02],[3010,0.02],[3011,0.02]]</t>
        </is>
      </c>
      <c r="Q29" s="47" t="inlineStr">
        <is>
          <t>[[3001,5],[3002,1],[3003,500]]</t>
        </is>
      </c>
      <c r="R29" s="47" t="inlineStr">
        <is>
          <t>[[103,10]]</t>
        </is>
      </c>
      <c r="S29" s="47" t="n">
        <v>3000</v>
      </c>
      <c r="T29" s="47" t="inlineStr">
        <is>
          <t>位移|控制</t>
        </is>
      </c>
      <c r="U29" s="47" t="inlineStr">
        <is>
          <t>skill_affix/lv|skill_affix/zi</t>
        </is>
      </c>
      <c r="V29" s="47" t="n">
        <v>1</v>
      </c>
    </row>
    <row r="30">
      <c r="A30" s="47" t="n">
        <v>1031</v>
      </c>
      <c r="B30" s="47" t="n">
        <v>3</v>
      </c>
      <c r="C30" s="47" t="n">
        <v>6</v>
      </c>
      <c r="D30" s="47" t="inlineStr">
        <is>
          <t>位移技能</t>
        </is>
      </c>
      <c r="E30" s="47" t="n">
        <v>103103</v>
      </c>
      <c r="F30" s="25" t="inlineStr">
        <is>
          <t>103110</t>
        </is>
      </c>
      <c r="H30" s="47" t="inlineStr">
        <is>
          <t>[[103110,900]]</t>
        </is>
      </c>
      <c r="I30" s="47" t="inlineStr">
        <is>
          <t>skill/sect/103103</t>
        </is>
      </c>
      <c r="J30" s="47" t="inlineStr">
        <is>
          <t>压制冲刺</t>
        </is>
      </c>
      <c r="K30" s="36" t="inlineStr">
        <is>
          <t>角色最终增伤提高&lt;color=be7013&gt;5%&lt;/color&gt;</t>
        </is>
      </c>
      <c r="L30" s="47" t="n">
        <v>120312000</v>
      </c>
      <c r="N30" s="47" t="inlineStr">
        <is>
          <t>[[3249,0.15],[3059,0.05]]</t>
        </is>
      </c>
      <c r="O30" s="47" t="inlineStr">
        <is>
          <t>[[3059,0.02]]</t>
        </is>
      </c>
      <c r="P30" s="47" t="inlineStr">
        <is>
          <t>[[3009,0.03],[3010,0.03],[3011,0.03]]</t>
        </is>
      </c>
      <c r="Q30" s="47" t="inlineStr">
        <is>
          <t>[[3001,10],[3002,2],[3003,1000]]</t>
        </is>
      </c>
      <c r="R30" s="47" t="inlineStr">
        <is>
          <t>[[103,10]]</t>
        </is>
      </c>
      <c r="S30" s="47" t="n">
        <v>6000</v>
      </c>
      <c r="T30" s="47" t="inlineStr">
        <is>
          <t>位移|控制</t>
        </is>
      </c>
      <c r="U30" s="47" t="inlineStr">
        <is>
          <t>skill_affix/lv|skill_affix/zi</t>
        </is>
      </c>
      <c r="V30" s="47" t="n">
        <v>1</v>
      </c>
    </row>
    <row r="31">
      <c r="A31" s="47" t="n">
        <v>1031</v>
      </c>
      <c r="B31" s="47" t="n">
        <v>4</v>
      </c>
      <c r="C31" s="47" t="n">
        <v>8</v>
      </c>
      <c r="D31" s="47" t="inlineStr">
        <is>
          <t>位移技能</t>
        </is>
      </c>
      <c r="E31" s="47" t="n">
        <v>103104</v>
      </c>
      <c r="F31" s="25" t="inlineStr">
        <is>
          <t>103110</t>
        </is>
      </c>
      <c r="G31" s="25" t="inlineStr">
        <is>
          <t>103120</t>
        </is>
      </c>
      <c r="H31" s="47" t="inlineStr">
        <is>
          <t>[[103120,1]]</t>
        </is>
      </c>
      <c r="I31" s="47" t="inlineStr">
        <is>
          <t>skill/sect/103104</t>
        </is>
      </c>
      <c r="J31" s="47" t="inlineStr">
        <is>
          <t>压制冲刺</t>
        </is>
      </c>
      <c r="K31" s="36" t="inlineStr">
        <is>
          <t>狂野冲锋上挑伤害提高至&lt;color=be7013&gt;300&lt;/color&gt;%物理伤害，且&lt;u color=4169E1 size=2&gt;&lt;a href=30022&gt;眩晕&lt;/a&gt;&lt;/u&gt;延长至&lt;color=be7013&gt;1.5&lt;/color&gt;秒</t>
        </is>
      </c>
      <c r="L31" s="47" t="n">
        <v>120314000</v>
      </c>
      <c r="N31" s="47" t="inlineStr">
        <is>
          <t>[[3249,0.15],[3059,0.05]]</t>
        </is>
      </c>
      <c r="O31" s="47" t="inlineStr">
        <is>
          <t>[[3059,0.02]]</t>
        </is>
      </c>
      <c r="P31" s="47" t="inlineStr">
        <is>
          <t>[[3009,0.04],[3010,0.04],[3011,0.04]]</t>
        </is>
      </c>
      <c r="Q31" s="47" t="inlineStr">
        <is>
          <t>[[3001,50],[3002,10],[3003,5000]]</t>
        </is>
      </c>
      <c r="R31" s="47" t="inlineStr">
        <is>
          <t>[[103,10]]</t>
        </is>
      </c>
      <c r="S31" s="47" t="n">
        <v>10000</v>
      </c>
      <c r="T31" s="47" t="inlineStr">
        <is>
          <t>位移|控制</t>
        </is>
      </c>
      <c r="U31" s="47" t="inlineStr">
        <is>
          <t>skill_affix/lv|skill_affix/zi</t>
        </is>
      </c>
      <c r="V31" s="47" t="n">
        <v>1</v>
      </c>
    </row>
    <row r="32">
      <c r="A32" s="47" t="n">
        <v>1032</v>
      </c>
      <c r="B32" s="47" t="n">
        <v>1</v>
      </c>
      <c r="C32" s="47" t="n">
        <v>3</v>
      </c>
      <c r="D32" s="47" t="inlineStr">
        <is>
          <t>位移技能</t>
        </is>
      </c>
      <c r="E32" s="47" t="n">
        <v>103201</v>
      </c>
      <c r="F32" s="25" t="inlineStr">
        <is>
          <t>103210</t>
        </is>
      </c>
      <c r="H32" s="47" t="inlineStr">
        <is>
          <t>[[103210,300]]</t>
        </is>
      </c>
      <c r="I32" s="47" t="inlineStr">
        <is>
          <t>skill/sect/103201</t>
        </is>
      </c>
      <c r="J32" s="47" t="inlineStr">
        <is>
          <t>复仇冲锋</t>
        </is>
      </c>
      <c r="K32" s="36" t="inlineStr">
        <is>
          <t>角色反击率提高&lt;color=be7013&gt;5%&lt;/color&gt;</t>
        </is>
      </c>
      <c r="N32" s="47" t="inlineStr">
        <is>
          <t>[[3025,0.05]]</t>
        </is>
      </c>
      <c r="O32" s="47" t="inlineStr">
        <is>
          <t>[[3059,0.02]]</t>
        </is>
      </c>
      <c r="P32" s="47" t="inlineStr">
        <is>
          <t>[[3009,0.01],[3010,0.01],[3011,0.01]]</t>
        </is>
      </c>
      <c r="Q32" s="47" t="inlineStr">
        <is>
          <t>[[3001,1],[3002,1],[3003,100]]</t>
        </is>
      </c>
      <c r="R32" s="47" t="inlineStr">
        <is>
          <t>[[103,10]]</t>
        </is>
      </c>
      <c r="S32" s="47" t="n">
        <v>1000</v>
      </c>
      <c r="T32" s="47" t="inlineStr">
        <is>
          <t>反击</t>
        </is>
      </c>
      <c r="U32" s="47" t="inlineStr">
        <is>
          <t>skill_affix/hong</t>
        </is>
      </c>
      <c r="V32" s="47" t="n">
        <v>1</v>
      </c>
    </row>
    <row r="33">
      <c r="A33" s="47" t="n">
        <v>1032</v>
      </c>
      <c r="B33" s="47" t="n">
        <v>2</v>
      </c>
      <c r="C33" s="47" t="n">
        <v>4</v>
      </c>
      <c r="D33" s="47" t="inlineStr">
        <is>
          <t>位移技能</t>
        </is>
      </c>
      <c r="E33" s="47" t="n">
        <v>103202</v>
      </c>
      <c r="F33" s="25" t="inlineStr">
        <is>
          <t>103210</t>
        </is>
      </c>
      <c r="H33" s="47" t="inlineStr">
        <is>
          <t>[[103210,600]]</t>
        </is>
      </c>
      <c r="I33" s="47" t="inlineStr">
        <is>
          <t>skill/sect/103202</t>
        </is>
      </c>
      <c r="J33" s="47" t="inlineStr">
        <is>
          <t>复仇冲锋</t>
        </is>
      </c>
      <c r="K33" s="36" t="inlineStr">
        <is>
          <t>狂野冲锋结束时，若面前还有敌人则追加快速冲锋造成&lt;color=be7013&gt;209%&lt;/color&gt;物理伤害并给自身施加&lt;color=be7013&gt;15%&lt;/color&gt;最大生命护盾</t>
        </is>
      </c>
      <c r="L33" s="47" t="n">
        <v>120322000</v>
      </c>
      <c r="N33" s="47" t="inlineStr">
        <is>
          <t>[[3025,0.05]]</t>
        </is>
      </c>
      <c r="O33" s="47" t="inlineStr">
        <is>
          <t>[[3059,0.02]]</t>
        </is>
      </c>
      <c r="P33" s="47" t="inlineStr">
        <is>
          <t>[[3009,0.02],[3010,0.02],[3011,0.02]]</t>
        </is>
      </c>
      <c r="Q33" s="47" t="inlineStr">
        <is>
          <t>[[3001,5],[3002,1],[3003,500]]</t>
        </is>
      </c>
      <c r="R33" s="47" t="inlineStr">
        <is>
          <t>[[103,10]]</t>
        </is>
      </c>
      <c r="S33" s="47" t="n">
        <v>3000</v>
      </c>
      <c r="T33" s="47" t="inlineStr">
        <is>
          <t>反击|护盾</t>
        </is>
      </c>
      <c r="U33" s="47" t="inlineStr">
        <is>
          <t>skill_affix/hong|skill_affix/lan</t>
        </is>
      </c>
      <c r="V33" s="47" t="n">
        <v>1</v>
      </c>
    </row>
    <row r="34">
      <c r="A34" s="47" t="n">
        <v>1032</v>
      </c>
      <c r="B34" s="47" t="n">
        <v>3</v>
      </c>
      <c r="C34" s="47" t="n">
        <v>6</v>
      </c>
      <c r="D34" s="47" t="inlineStr">
        <is>
          <t>位移技能</t>
        </is>
      </c>
      <c r="E34" s="47" t="n">
        <v>103203</v>
      </c>
      <c r="F34" s="25" t="inlineStr">
        <is>
          <t>103210</t>
        </is>
      </c>
      <c r="H34" s="47" t="inlineStr">
        <is>
          <t>[[103210,900]]</t>
        </is>
      </c>
      <c r="I34" s="47" t="inlineStr">
        <is>
          <t>skill/sect/103203</t>
        </is>
      </c>
      <c r="J34" s="47" t="inlineStr">
        <is>
          <t>复仇冲锋</t>
        </is>
      </c>
      <c r="K34" s="36" t="inlineStr">
        <is>
          <t>角色反击伤害提高&lt;color=be7013&gt;10%&lt;/color&gt;</t>
        </is>
      </c>
      <c r="L34" s="47" t="n">
        <v>120322000</v>
      </c>
      <c r="N34" s="47" t="inlineStr">
        <is>
          <t>[[3025,0.05],[3027,0.1]]</t>
        </is>
      </c>
      <c r="O34" s="47" t="inlineStr">
        <is>
          <t>[[3059,0.02]]</t>
        </is>
      </c>
      <c r="P34" s="47" t="inlineStr">
        <is>
          <t>[[3009,0.03],[3010,0.03],[3011,0.03]]</t>
        </is>
      </c>
      <c r="Q34" s="47" t="inlineStr">
        <is>
          <t>[[3001,10],[3002,2],[3003,1000]]</t>
        </is>
      </c>
      <c r="R34" s="47" t="inlineStr">
        <is>
          <t>[[103,10]]</t>
        </is>
      </c>
      <c r="S34" s="47" t="n">
        <v>6000</v>
      </c>
      <c r="T34" s="47" t="inlineStr">
        <is>
          <t>反击|护盾</t>
        </is>
      </c>
      <c r="U34" s="47" t="inlineStr">
        <is>
          <t>skill_affix/hong|skill_affix/lan</t>
        </is>
      </c>
      <c r="V34" s="47" t="n">
        <v>1</v>
      </c>
    </row>
    <row r="35">
      <c r="A35" s="47" t="n">
        <v>1032</v>
      </c>
      <c r="B35" s="47" t="n">
        <v>4</v>
      </c>
      <c r="C35" s="47" t="n">
        <v>8</v>
      </c>
      <c r="D35" s="47" t="inlineStr">
        <is>
          <t>位移技能</t>
        </is>
      </c>
      <c r="E35" s="47" t="n">
        <v>103204</v>
      </c>
      <c r="F35" s="25" t="inlineStr">
        <is>
          <t>103210</t>
        </is>
      </c>
      <c r="G35" s="25" t="inlineStr">
        <is>
          <t>103220</t>
        </is>
      </c>
      <c r="H35" s="47" t="inlineStr">
        <is>
          <t>[[103220,1]]</t>
        </is>
      </c>
      <c r="I35" s="47" t="inlineStr">
        <is>
          <t>skill/sect/103204</t>
        </is>
      </c>
      <c r="J35" s="47" t="inlineStr">
        <is>
          <t>复仇冲锋</t>
        </is>
      </c>
      <c r="K35" s="36" t="inlineStr">
        <is>
          <t>狂野冲锋每命中一个敌人，给自身施加&lt;u color=4169E1 size=2&gt;&lt;a href=30023&gt;无双&lt;/a&gt;&lt;/u&gt;，上限&lt;color=be7013&gt;5&lt;/color&gt;层，持续&lt;color=be7013&gt;10&lt;/color&gt;秒</t>
        </is>
      </c>
      <c r="L35" s="47" t="n">
        <v>120322000</v>
      </c>
      <c r="M35" s="25" t="n">
        <v>120324000</v>
      </c>
      <c r="N35" s="47" t="inlineStr">
        <is>
          <t>[[3025,0.05],[3027,0.1]]</t>
        </is>
      </c>
      <c r="O35" s="47" t="inlineStr">
        <is>
          <t>[[3059,0.02]]</t>
        </is>
      </c>
      <c r="P35" s="47" t="inlineStr">
        <is>
          <t>[[3009,0.04],[3010,0.04],[3011,0.04]]</t>
        </is>
      </c>
      <c r="Q35" s="47" t="inlineStr">
        <is>
          <t>[[3001,50],[3002,10],[3003,5000]]</t>
        </is>
      </c>
      <c r="R35" s="47" t="inlineStr">
        <is>
          <t>[[103,10]]</t>
        </is>
      </c>
      <c r="S35" s="47" t="n">
        <v>10000</v>
      </c>
      <c r="T35" s="47" t="inlineStr">
        <is>
          <t>反击|护盾</t>
        </is>
      </c>
      <c r="U35" s="47" t="inlineStr">
        <is>
          <t>skill_affix/hong|skill_affix/lan</t>
        </is>
      </c>
      <c r="V35" s="47" t="n">
        <v>1</v>
      </c>
    </row>
    <row r="36">
      <c r="A36" s="47">
        <f>A32+1</f>
        <v/>
      </c>
      <c r="B36" s="47">
        <f>B32</f>
        <v/>
      </c>
      <c r="C36" s="47">
        <f>C32</f>
        <v/>
      </c>
      <c r="D36" s="47">
        <f>D32</f>
        <v/>
      </c>
      <c r="E36" s="47">
        <f>E32+100</f>
        <v/>
      </c>
      <c r="F36" s="25">
        <f>F32+100</f>
        <v/>
      </c>
      <c r="H36" s="47">
        <f>"[["&amp;F36&amp;",300]]"</f>
        <v/>
      </c>
      <c r="I36" s="47">
        <f>"skill/sect/"&amp;E36</f>
        <v/>
      </c>
      <c r="J36" s="47" t="inlineStr">
        <is>
          <t>震慑冲锋</t>
        </is>
      </c>
      <c r="K36" s="36" t="inlineStr">
        <is>
          <t>角色掌控技能增伤提高&lt;color=be7013&gt;25%&lt;/color&gt;</t>
        </is>
      </c>
      <c r="N36" s="47" t="inlineStr">
        <is>
          <t>[[3041,0.25]]</t>
        </is>
      </c>
      <c r="O36" s="47" t="inlineStr">
        <is>
          <t>[[3059,0.02]]</t>
        </is>
      </c>
      <c r="P36" s="47" t="inlineStr">
        <is>
          <t>[[3009,0.01],[3010,0.01],[3011,0.01]]</t>
        </is>
      </c>
      <c r="Q36" s="47" t="inlineStr">
        <is>
          <t>[[3001,1],[3002,1],[3003,100]]</t>
        </is>
      </c>
      <c r="R36" s="47">
        <f>R32</f>
        <v/>
      </c>
      <c r="S36" s="47">
        <f>S28</f>
        <v/>
      </c>
      <c r="T36" s="47" t="inlineStr">
        <is>
          <t>位移</t>
        </is>
      </c>
      <c r="U36" s="47" t="inlineStr">
        <is>
          <t>skill_affix/lv</t>
        </is>
      </c>
      <c r="V36" s="47" t="n">
        <v>0</v>
      </c>
    </row>
    <row r="37">
      <c r="A37" s="47">
        <f>A33+1</f>
        <v/>
      </c>
      <c r="B37" s="47">
        <f>B33</f>
        <v/>
      </c>
      <c r="C37" s="47">
        <f>C33</f>
        <v/>
      </c>
      <c r="D37" s="47">
        <f>D33</f>
        <v/>
      </c>
      <c r="E37" s="47">
        <f>E33+100</f>
        <v/>
      </c>
      <c r="F37" s="25">
        <f>F33+100</f>
        <v/>
      </c>
      <c r="H37" s="47">
        <f>"[["&amp;F37&amp;",600]]"</f>
        <v/>
      </c>
      <c r="I37" s="47">
        <f>"skill/sect/"&amp;E37</f>
        <v/>
      </c>
      <c r="J37" s="47" t="inlineStr">
        <is>
          <t>震慑冲锋</t>
        </is>
      </c>
      <c r="K37" s="36" t="inlineStr">
        <is>
          <t>冲锋命中对敌人施加&lt;u color=4169E1 size=2&gt;&lt;a href=30038&gt;电压&lt;/a&gt;&lt;/u&gt;</t>
        </is>
      </c>
      <c r="L37" s="47" t="n">
        <v>120332000</v>
      </c>
      <c r="M37" s="25" t="n">
        <v>120332001</v>
      </c>
      <c r="N37" s="47" t="inlineStr">
        <is>
          <t>[[3041,0.25]]</t>
        </is>
      </c>
      <c r="O37" s="47" t="inlineStr">
        <is>
          <t>[[3059,0.02]]</t>
        </is>
      </c>
      <c r="P37" s="47" t="inlineStr">
        <is>
          <t>[[3009,0.02],[3010,0.02],[3011,0.02]]</t>
        </is>
      </c>
      <c r="Q37" s="47" t="inlineStr">
        <is>
          <t>[[3001,5],[3002,1],[3003,500]]</t>
        </is>
      </c>
      <c r="R37" s="47">
        <f>R33</f>
        <v/>
      </c>
      <c r="S37" s="47">
        <f>S29</f>
        <v/>
      </c>
      <c r="T37" s="47" t="inlineStr">
        <is>
          <t>位移|控制</t>
        </is>
      </c>
      <c r="U37" s="47" t="inlineStr">
        <is>
          <t>skill_affix/lv|skill_affix/zi</t>
        </is>
      </c>
      <c r="V37" s="47" t="n">
        <v>0</v>
      </c>
    </row>
    <row r="38">
      <c r="A38" s="47">
        <f>A34+1</f>
        <v/>
      </c>
      <c r="B38" s="47">
        <f>B34</f>
        <v/>
      </c>
      <c r="C38" s="47">
        <f>C34</f>
        <v/>
      </c>
      <c r="D38" s="47">
        <f>D34</f>
        <v/>
      </c>
      <c r="E38" s="47">
        <f>E34+100</f>
        <v/>
      </c>
      <c r="F38" s="25">
        <f>F34+100</f>
        <v/>
      </c>
      <c r="H38" s="47">
        <f>"[["&amp;F38&amp;",900]]"</f>
        <v/>
      </c>
      <c r="I38" s="47">
        <f>"skill/sect/"&amp;E38</f>
        <v/>
      </c>
      <c r="J38" s="47" t="inlineStr">
        <is>
          <t>震慑冲锋</t>
        </is>
      </c>
      <c r="K38" s="36" t="inlineStr">
        <is>
          <t>角色战意充能提高&lt;color=be7013&gt;5%&lt;/color&gt;</t>
        </is>
      </c>
      <c r="L38" s="47" t="n">
        <v>120332000</v>
      </c>
      <c r="M38" s="25" t="n">
        <v>120332001</v>
      </c>
      <c r="N38" s="47" t="inlineStr">
        <is>
          <t>[[3041,0.25],[3005,0.05]]</t>
        </is>
      </c>
      <c r="O38" s="47" t="inlineStr">
        <is>
          <t>[[3059,0.02]]</t>
        </is>
      </c>
      <c r="P38" s="47" t="inlineStr">
        <is>
          <t>[[3009,0.03],[3010,0.03],[3011,0.03]]</t>
        </is>
      </c>
      <c r="Q38" s="47" t="inlineStr">
        <is>
          <t>[[3001,10],[3002,2],[3003,1000]]</t>
        </is>
      </c>
      <c r="R38" s="47">
        <f>R34</f>
        <v/>
      </c>
      <c r="S38" s="47">
        <f>S30</f>
        <v/>
      </c>
      <c r="T38" s="47" t="inlineStr">
        <is>
          <t>位移|控制</t>
        </is>
      </c>
      <c r="U38" s="47" t="inlineStr">
        <is>
          <t>skill_affix/lv|skill_affix/zi</t>
        </is>
      </c>
      <c r="V38" s="47" t="n">
        <v>0</v>
      </c>
    </row>
    <row r="39">
      <c r="A39" s="47">
        <f>A35+1</f>
        <v/>
      </c>
      <c r="B39" s="47">
        <f>B35</f>
        <v/>
      </c>
      <c r="C39" s="47">
        <f>C35</f>
        <v/>
      </c>
      <c r="D39" s="47">
        <f>D35</f>
        <v/>
      </c>
      <c r="E39" s="47">
        <f>E35+100</f>
        <v/>
      </c>
      <c r="F39" s="25">
        <f>F35+100</f>
        <v/>
      </c>
      <c r="G39" s="25">
        <f>G35+100</f>
        <v/>
      </c>
      <c r="H39" s="47">
        <f>"[["&amp;G39&amp;",1]]"</f>
        <v/>
      </c>
      <c r="I39" s="47">
        <f>"skill/sect/"&amp;E39</f>
        <v/>
      </c>
      <c r="J39" s="47" t="inlineStr">
        <is>
          <t>震慑冲锋</t>
        </is>
      </c>
      <c r="K39" s="36" t="inlineStr">
        <is>
          <t>冲锋命中对敌人施加&lt;u color=4169E1 size=2&gt;&lt;a href=30039&gt;强力电压&lt;/a&gt;&lt;/u&gt;</t>
        </is>
      </c>
      <c r="L39" s="47" t="n">
        <v>120332000</v>
      </c>
      <c r="M39" s="25" t="n">
        <v>120334001</v>
      </c>
      <c r="N39" s="47" t="inlineStr">
        <is>
          <t>[[3041,0.25],[3005,0.05]]</t>
        </is>
      </c>
      <c r="O39" s="47" t="inlineStr">
        <is>
          <t>[[3059,0.02]]</t>
        </is>
      </c>
      <c r="P39" s="47" t="inlineStr">
        <is>
          <t>[[3009,0.04],[3010,0.04],[3011,0.04]]</t>
        </is>
      </c>
      <c r="Q39" s="47" t="inlineStr">
        <is>
          <t>[[3001,50],[3002,10],[3003,5000]]</t>
        </is>
      </c>
      <c r="R39" s="47">
        <f>R35</f>
        <v/>
      </c>
      <c r="S39" s="47">
        <f>S31</f>
        <v/>
      </c>
      <c r="T39" s="47" t="inlineStr">
        <is>
          <t>位移|控制</t>
        </is>
      </c>
      <c r="U39" s="47" t="inlineStr">
        <is>
          <t>skill_affix/lv|skill_affix/zi</t>
        </is>
      </c>
      <c r="V39" s="47" t="n">
        <v>0</v>
      </c>
    </row>
    <row r="40">
      <c r="A40" s="47" t="n">
        <v>1041</v>
      </c>
      <c r="B40" s="47" t="n">
        <v>1</v>
      </c>
      <c r="C40" s="47" t="n">
        <v>3</v>
      </c>
      <c r="D40" s="47" t="inlineStr">
        <is>
          <t>BUFF技能</t>
        </is>
      </c>
      <c r="E40" s="47" t="n">
        <v>104101</v>
      </c>
      <c r="F40" s="25" t="inlineStr">
        <is>
          <t>104110</t>
        </is>
      </c>
      <c r="H40" s="47" t="inlineStr">
        <is>
          <t>[[104110,300]]</t>
        </is>
      </c>
      <c r="I40" s="47" t="inlineStr">
        <is>
          <t>skill/sect/104101</t>
        </is>
      </c>
      <c r="J40" s="47" t="inlineStr">
        <is>
          <t>无畏之躯</t>
        </is>
      </c>
      <c r="K40" s="36" t="inlineStr">
        <is>
          <t>战斗怒火冷却时间缩减&lt;color=be7013&gt;15%&lt;/color&gt;</t>
        </is>
      </c>
      <c r="N40" s="47" t="inlineStr">
        <is>
          <t>[[3256,0.15]]</t>
        </is>
      </c>
      <c r="O40" s="47" t="inlineStr">
        <is>
          <t>[[3059,0.02]]</t>
        </is>
      </c>
      <c r="P40" s="47" t="inlineStr">
        <is>
          <t>[[3009,0.01],[3010,0.01],[3011,0.01]]</t>
        </is>
      </c>
      <c r="Q40" s="47" t="inlineStr">
        <is>
          <t>[[3001,1],[3002,1],[3003,100]]</t>
        </is>
      </c>
      <c r="R40" s="47" t="inlineStr">
        <is>
          <t>[[103,10]]</t>
        </is>
      </c>
      <c r="S40" s="47" t="n">
        <v>1000</v>
      </c>
      <c r="T40" s="47" t="inlineStr">
        <is>
          <t>增益</t>
        </is>
      </c>
      <c r="U40" s="47" t="inlineStr">
        <is>
          <t>skill_affix/hong</t>
        </is>
      </c>
      <c r="V40" s="47" t="n">
        <v>1</v>
      </c>
    </row>
    <row r="41">
      <c r="A41" s="47" t="n">
        <v>1041</v>
      </c>
      <c r="B41" s="47" t="n">
        <v>2</v>
      </c>
      <c r="C41" s="47" t="n">
        <v>4</v>
      </c>
      <c r="D41" s="47" t="inlineStr">
        <is>
          <t>BUFF技能</t>
        </is>
      </c>
      <c r="E41" s="47" t="n">
        <v>104102</v>
      </c>
      <c r="F41" s="25" t="inlineStr">
        <is>
          <t>104110</t>
        </is>
      </c>
      <c r="H41" s="47" t="inlineStr">
        <is>
          <t>[[104110,600]]</t>
        </is>
      </c>
      <c r="I41" s="47" t="inlineStr">
        <is>
          <t>skill/sect/104102</t>
        </is>
      </c>
      <c r="J41" s="47" t="inlineStr">
        <is>
          <t>无畏之躯</t>
        </is>
      </c>
      <c r="K41" s="36" t="inlineStr">
        <is>
          <t>狂暴期间免控</t>
        </is>
      </c>
      <c r="L41" s="47" t="n">
        <v>120412000</v>
      </c>
      <c r="N41" s="47" t="inlineStr">
        <is>
          <t>[[3256,0.15]]</t>
        </is>
      </c>
      <c r="O41" s="47" t="inlineStr">
        <is>
          <t>[[3059,0.02]]</t>
        </is>
      </c>
      <c r="P41" s="47" t="inlineStr">
        <is>
          <t>[[3009,0.02],[3010,0.02],[3011,0.02]]</t>
        </is>
      </c>
      <c r="Q41" s="47" t="inlineStr">
        <is>
          <t>[[3001,5],[3002,1],[3003,500]]</t>
        </is>
      </c>
      <c r="R41" s="47" t="inlineStr">
        <is>
          <t>[[103,10]]</t>
        </is>
      </c>
      <c r="S41" s="47" t="n">
        <v>3000</v>
      </c>
      <c r="T41" s="47" t="inlineStr">
        <is>
          <t>增益|免控</t>
        </is>
      </c>
      <c r="U41" s="47" t="inlineStr">
        <is>
          <t>skill_affix/hong|skill_affix/hong</t>
        </is>
      </c>
      <c r="V41" s="47" t="n">
        <v>1</v>
      </c>
    </row>
    <row r="42">
      <c r="A42" s="47" t="n">
        <v>1041</v>
      </c>
      <c r="B42" s="47" t="n">
        <v>3</v>
      </c>
      <c r="C42" s="47" t="n">
        <v>6</v>
      </c>
      <c r="D42" s="47" t="inlineStr">
        <is>
          <t>BUFF技能</t>
        </is>
      </c>
      <c r="E42" s="47" t="n">
        <v>104103</v>
      </c>
      <c r="F42" s="25" t="inlineStr">
        <is>
          <t>104110</t>
        </is>
      </c>
      <c r="H42" s="47" t="inlineStr">
        <is>
          <t>[[104110,900]]</t>
        </is>
      </c>
      <c r="I42" s="47" t="inlineStr">
        <is>
          <t>skill/sect/104103</t>
        </is>
      </c>
      <c r="J42" s="47" t="inlineStr">
        <is>
          <t>无畏之躯</t>
        </is>
      </c>
      <c r="K42" s="36" t="inlineStr">
        <is>
          <t>角色最终减伤提高&lt;color=be7013&gt;5%&lt;/color&gt;</t>
        </is>
      </c>
      <c r="L42" s="47" t="n">
        <v>120412000</v>
      </c>
      <c r="N42" s="47" t="inlineStr">
        <is>
          <t>[[3256,0.15],[3060,0.05]]</t>
        </is>
      </c>
      <c r="O42" s="47" t="inlineStr">
        <is>
          <t>[[3059,0.02]]</t>
        </is>
      </c>
      <c r="P42" s="47" t="inlineStr">
        <is>
          <t>[[3009,0.03],[3010,0.03],[3011,0.03]]</t>
        </is>
      </c>
      <c r="Q42" s="47" t="inlineStr">
        <is>
          <t>[[3001,10],[3002,2],[3003,1000]]</t>
        </is>
      </c>
      <c r="R42" s="47" t="inlineStr">
        <is>
          <t>[[103,10]]</t>
        </is>
      </c>
      <c r="S42" s="47" t="n">
        <v>6000</v>
      </c>
      <c r="T42" s="47" t="inlineStr">
        <is>
          <t>增益|免控</t>
        </is>
      </c>
      <c r="U42" s="47" t="inlineStr">
        <is>
          <t>skill_affix/hong|skill_affix/hong</t>
        </is>
      </c>
      <c r="V42" s="47" t="n">
        <v>1</v>
      </c>
    </row>
    <row r="43">
      <c r="A43" s="47" t="n">
        <v>1041</v>
      </c>
      <c r="B43" s="47" t="n">
        <v>4</v>
      </c>
      <c r="C43" s="47" t="n">
        <v>8</v>
      </c>
      <c r="D43" s="47" t="inlineStr">
        <is>
          <t>BUFF技能</t>
        </is>
      </c>
      <c r="E43" s="47" t="n">
        <v>104104</v>
      </c>
      <c r="F43" s="25" t="inlineStr">
        <is>
          <t>104110</t>
        </is>
      </c>
      <c r="G43" s="25" t="inlineStr">
        <is>
          <t>104120</t>
        </is>
      </c>
      <c r="H43" s="47" t="inlineStr">
        <is>
          <t>[[104120,1]]</t>
        </is>
      </c>
      <c r="I43" s="47" t="inlineStr">
        <is>
          <t>skill/sect/104104</t>
        </is>
      </c>
      <c r="J43" s="47" t="inlineStr">
        <is>
          <t>无畏之躯</t>
        </is>
      </c>
      <c r="K43" s="36" t="inlineStr">
        <is>
          <t>狂暴持续时间延长至&lt;color=be7013&gt;8&lt;/color&gt;秒</t>
        </is>
      </c>
      <c r="L43" s="47" t="n">
        <v>120414000</v>
      </c>
      <c r="N43" s="47" t="inlineStr">
        <is>
          <t>[[3256,0.15],[3060,0.05]]</t>
        </is>
      </c>
      <c r="O43" s="47" t="inlineStr">
        <is>
          <t>[[3059,0.02]]</t>
        </is>
      </c>
      <c r="P43" s="47" t="inlineStr">
        <is>
          <t>[[3009,0.04],[3010,0.04],[3011,0.04]]</t>
        </is>
      </c>
      <c r="Q43" s="47" t="inlineStr">
        <is>
          <t>[[3001,50],[3002,10],[3003,5000]]</t>
        </is>
      </c>
      <c r="R43" s="47" t="inlineStr">
        <is>
          <t>[[103,10]]</t>
        </is>
      </c>
      <c r="S43" s="47" t="n">
        <v>10000</v>
      </c>
      <c r="T43" s="47" t="inlineStr">
        <is>
          <t>增益|免控</t>
        </is>
      </c>
      <c r="U43" s="47" t="inlineStr">
        <is>
          <t>skill_affix/hong|skill_affix/hong</t>
        </is>
      </c>
      <c r="V43" s="47" t="n">
        <v>1</v>
      </c>
    </row>
    <row r="44">
      <c r="A44" s="47" t="n">
        <v>1042</v>
      </c>
      <c r="B44" s="47" t="n">
        <v>1</v>
      </c>
      <c r="C44" s="47" t="n">
        <v>3</v>
      </c>
      <c r="D44" s="47" t="inlineStr">
        <is>
          <t>BUFF技能</t>
        </is>
      </c>
      <c r="E44" s="47" t="n">
        <v>104201</v>
      </c>
      <c r="F44" s="25" t="inlineStr">
        <is>
          <t>104210</t>
        </is>
      </c>
      <c r="H44" s="47" t="inlineStr">
        <is>
          <t>[[104210,300]]</t>
        </is>
      </c>
      <c r="I44" s="47" t="inlineStr">
        <is>
          <t>skill/sect/104201</t>
        </is>
      </c>
      <c r="J44" s="47" t="inlineStr">
        <is>
          <t>怒意回响</t>
        </is>
      </c>
      <c r="K44" s="36" t="inlineStr">
        <is>
          <t>角色格挡率提高&lt;color=be7013&gt;5%&lt;/color&gt;</t>
        </is>
      </c>
      <c r="N44" s="47" t="inlineStr">
        <is>
          <t>[[10010,0.05]]</t>
        </is>
      </c>
      <c r="O44" s="47" t="inlineStr">
        <is>
          <t>[[3059,0.02]]</t>
        </is>
      </c>
      <c r="P44" s="47" t="inlineStr">
        <is>
          <t>[[3009,0.01],[3010,0.01],[3011,0.01]]</t>
        </is>
      </c>
      <c r="Q44" s="47" t="inlineStr">
        <is>
          <t>[[3001,1],[3002,1],[3003,100]]</t>
        </is>
      </c>
      <c r="R44" s="47" t="inlineStr">
        <is>
          <t>[[103,10]]</t>
        </is>
      </c>
      <c r="S44" s="47" t="n">
        <v>1000</v>
      </c>
      <c r="T44" s="47" t="inlineStr">
        <is>
          <t>格挡</t>
        </is>
      </c>
      <c r="U44" s="47" t="inlineStr">
        <is>
          <t>skill_affix/zong</t>
        </is>
      </c>
      <c r="V44" s="47" t="n">
        <v>1</v>
      </c>
    </row>
    <row r="45">
      <c r="A45" s="47" t="n">
        <v>1042</v>
      </c>
      <c r="B45" s="47" t="n">
        <v>2</v>
      </c>
      <c r="C45" s="47" t="n">
        <v>4</v>
      </c>
      <c r="D45" s="47" t="inlineStr">
        <is>
          <t>BUFF技能</t>
        </is>
      </c>
      <c r="E45" s="47" t="n">
        <v>104202</v>
      </c>
      <c r="F45" s="25" t="inlineStr">
        <is>
          <t>104210</t>
        </is>
      </c>
      <c r="H45" s="47" t="inlineStr">
        <is>
          <t>[[104210,600]]</t>
        </is>
      </c>
      <c r="I45" s="47" t="inlineStr">
        <is>
          <t>skill/sect/104202</t>
        </is>
      </c>
      <c r="J45" s="47" t="inlineStr">
        <is>
          <t>怒意回响</t>
        </is>
      </c>
      <c r="K45" s="36" t="inlineStr">
        <is>
          <t>狂暴期间战意充能提升&lt;color=be7013&gt;50%&lt;/color&gt;</t>
        </is>
      </c>
      <c r="L45" s="47" t="n">
        <v>120422000</v>
      </c>
      <c r="N45" s="47" t="inlineStr">
        <is>
          <t>[[10010,0.05]]</t>
        </is>
      </c>
      <c r="O45" s="47" t="inlineStr">
        <is>
          <t>[[3059,0.02]]</t>
        </is>
      </c>
      <c r="P45" s="47" t="inlineStr">
        <is>
          <t>[[3009,0.02],[3010,0.02],[3011,0.02]]</t>
        </is>
      </c>
      <c r="Q45" s="47" t="inlineStr">
        <is>
          <t>[[3001,5],[3002,1],[3003,500]]</t>
        </is>
      </c>
      <c r="R45" s="47" t="inlineStr">
        <is>
          <t>[[103,10]]</t>
        </is>
      </c>
      <c r="S45" s="47" t="n">
        <v>3000</v>
      </c>
      <c r="T45" s="47" t="inlineStr">
        <is>
          <t>格挡|充能</t>
        </is>
      </c>
      <c r="U45" s="47" t="inlineStr">
        <is>
          <t>skill_affix/zong|skill_affix/hong</t>
        </is>
      </c>
      <c r="V45" s="47" t="n">
        <v>1</v>
      </c>
    </row>
    <row r="46">
      <c r="A46" s="47" t="n">
        <v>1042</v>
      </c>
      <c r="B46" s="47" t="n">
        <v>3</v>
      </c>
      <c r="C46" s="47" t="n">
        <v>6</v>
      </c>
      <c r="D46" s="47" t="inlineStr">
        <is>
          <t>BUFF技能</t>
        </is>
      </c>
      <c r="E46" s="47" t="n">
        <v>104203</v>
      </c>
      <c r="F46" s="25" t="inlineStr">
        <is>
          <t>104210</t>
        </is>
      </c>
      <c r="H46" s="47" t="inlineStr">
        <is>
          <t>[[104210,900]]</t>
        </is>
      </c>
      <c r="I46" s="47" t="inlineStr">
        <is>
          <t>skill/sect/104203</t>
        </is>
      </c>
      <c r="J46" s="47" t="inlineStr">
        <is>
          <t>怒意回响</t>
        </is>
      </c>
      <c r="K46" s="36" t="inlineStr">
        <is>
          <t>角色格挡减伤提高&lt;color=be7013&gt;50%&lt;/color&gt;</t>
        </is>
      </c>
      <c r="L46" s="47" t="n">
        <v>120422000</v>
      </c>
      <c r="N46" s="47" t="inlineStr">
        <is>
          <t>[[10010,0.05],[10011,0.5]]</t>
        </is>
      </c>
      <c r="O46" s="47" t="inlineStr">
        <is>
          <t>[[3059,0.02]]</t>
        </is>
      </c>
      <c r="P46" s="47" t="inlineStr">
        <is>
          <t>[[3009,0.03],[3010,0.03],[3011,0.03]]</t>
        </is>
      </c>
      <c r="Q46" s="47" t="inlineStr">
        <is>
          <t>[[3001,10],[3002,2],[3003,1000]]</t>
        </is>
      </c>
      <c r="R46" s="47" t="inlineStr">
        <is>
          <t>[[103,10]]</t>
        </is>
      </c>
      <c r="S46" s="47" t="n">
        <v>6000</v>
      </c>
      <c r="T46" s="47" t="inlineStr">
        <is>
          <t>格挡|充能</t>
        </is>
      </c>
      <c r="U46" s="47" t="inlineStr">
        <is>
          <t>skill_affix/zong|skill_affix/hong</t>
        </is>
      </c>
      <c r="V46" s="47" t="n">
        <v>1</v>
      </c>
    </row>
    <row r="47">
      <c r="A47" s="47" t="n">
        <v>1042</v>
      </c>
      <c r="B47" s="47" t="n">
        <v>4</v>
      </c>
      <c r="C47" s="47" t="n">
        <v>8</v>
      </c>
      <c r="D47" s="47" t="inlineStr">
        <is>
          <t>BUFF技能</t>
        </is>
      </c>
      <c r="E47" s="47" t="n">
        <v>104204</v>
      </c>
      <c r="F47" s="25" t="inlineStr">
        <is>
          <t>104210</t>
        </is>
      </c>
      <c r="G47" s="25" t="inlineStr">
        <is>
          <t>104220</t>
        </is>
      </c>
      <c r="H47" s="47" t="inlineStr">
        <is>
          <t>[[104220,1]]</t>
        </is>
      </c>
      <c r="I47" s="47" t="inlineStr">
        <is>
          <t>skill/sect/104204</t>
        </is>
      </c>
      <c r="J47" s="47" t="inlineStr">
        <is>
          <t>怒意回响</t>
        </is>
      </c>
      <c r="K47" s="36" t="inlineStr">
        <is>
          <t>狂暴期间击杀敌人恢复&lt;color=be7013&gt;3&lt;/color&gt;点战意</t>
        </is>
      </c>
      <c r="L47" s="47" t="n">
        <v>120424000</v>
      </c>
      <c r="N47" s="47" t="inlineStr">
        <is>
          <t>[[10010,0.05],[10011,0.5]]</t>
        </is>
      </c>
      <c r="O47" s="47" t="inlineStr">
        <is>
          <t>[[3059,0.02]]</t>
        </is>
      </c>
      <c r="P47" s="47" t="inlineStr">
        <is>
          <t>[[3009,0.04],[3010,0.04],[3011,0.04]]</t>
        </is>
      </c>
      <c r="Q47" s="47" t="inlineStr">
        <is>
          <t>[[3001,50],[3002,10],[3003,5000]]</t>
        </is>
      </c>
      <c r="R47" s="47" t="inlineStr">
        <is>
          <t>[[103,10]]</t>
        </is>
      </c>
      <c r="S47" s="47" t="n">
        <v>10000</v>
      </c>
      <c r="T47" s="47" t="inlineStr">
        <is>
          <t>格挡|充能</t>
        </is>
      </c>
      <c r="U47" s="47" t="inlineStr">
        <is>
          <t>skill_affix/zong|skill_affix/hong</t>
        </is>
      </c>
      <c r="V47" s="47" t="n">
        <v>1</v>
      </c>
    </row>
    <row r="48">
      <c r="A48" s="47">
        <f>A44+1</f>
        <v/>
      </c>
      <c r="B48" s="47">
        <f>B44</f>
        <v/>
      </c>
      <c r="C48" s="47">
        <f>C44</f>
        <v/>
      </c>
      <c r="D48" s="47">
        <f>D44</f>
        <v/>
      </c>
      <c r="E48" s="47">
        <f>E44+100</f>
        <v/>
      </c>
      <c r="F48" s="25">
        <f>F44+100</f>
        <v/>
      </c>
      <c r="H48" s="47">
        <f>"[["&amp;F48&amp;",300]]"</f>
        <v/>
      </c>
      <c r="I48" s="47">
        <f>"skill/sect/"&amp;E48</f>
        <v/>
      </c>
      <c r="J48" s="47" t="inlineStr">
        <is>
          <t>残影替身</t>
        </is>
      </c>
      <c r="K48" s="36" t="inlineStr">
        <is>
          <t>角色格挡率提高&lt;color=be7013&gt;5%&lt;/color&gt;</t>
        </is>
      </c>
      <c r="N48" s="47" t="inlineStr">
        <is>
          <t>[[10010,0.05]]</t>
        </is>
      </c>
      <c r="O48" s="47" t="inlineStr">
        <is>
          <t>[[3059,0.02]]</t>
        </is>
      </c>
      <c r="P48" s="47" t="inlineStr">
        <is>
          <t>[[3009,0.01],[3010,0.01],[3011,0.01]]</t>
        </is>
      </c>
      <c r="Q48" s="47" t="inlineStr">
        <is>
          <t>[[3001,1],[3002,1],[3003,100]]</t>
        </is>
      </c>
      <c r="R48" s="47">
        <f>R44</f>
        <v/>
      </c>
      <c r="S48" s="47">
        <f>S40</f>
        <v/>
      </c>
      <c r="T48" s="47" t="inlineStr">
        <is>
          <t>格挡</t>
        </is>
      </c>
      <c r="U48" s="47" t="inlineStr">
        <is>
          <t>skill_affix/zong</t>
        </is>
      </c>
      <c r="V48" s="47" t="n">
        <v>0</v>
      </c>
    </row>
    <row r="49">
      <c r="A49" s="47">
        <f>A45+1</f>
        <v/>
      </c>
      <c r="B49" s="47">
        <f>B45</f>
        <v/>
      </c>
      <c r="C49" s="47">
        <f>C45</f>
        <v/>
      </c>
      <c r="D49" s="47">
        <f>D45</f>
        <v/>
      </c>
      <c r="E49" s="47">
        <f>E45+100</f>
        <v/>
      </c>
      <c r="F49" s="25">
        <f>F45+100</f>
        <v/>
      </c>
      <c r="H49" s="47">
        <f>"[["&amp;F49&amp;",600]]"</f>
        <v/>
      </c>
      <c r="I49" s="47">
        <f>"skill/sect/"&amp;E49</f>
        <v/>
      </c>
      <c r="J49" s="47" t="inlineStr">
        <is>
          <t>残影替身</t>
        </is>
      </c>
      <c r="K49" s="36" t="inlineStr">
        <is>
          <t>释放战斗怒火时在原地召唤替身嘲讽敌人，替身继承本体&lt;color=be7013&gt;10%&lt;/color&gt;生命，持续存在5秒后消失</t>
        </is>
      </c>
      <c r="L49" s="47" t="n">
        <v>120432000</v>
      </c>
      <c r="M49" s="25" t="n">
        <v>1204320010</v>
      </c>
      <c r="N49" s="47" t="inlineStr">
        <is>
          <t>[[10010,0.05]]</t>
        </is>
      </c>
      <c r="O49" s="47" t="inlineStr">
        <is>
          <t>[[3059,0.02]]</t>
        </is>
      </c>
      <c r="P49" s="47" t="inlineStr">
        <is>
          <t>[[3009,0.02],[3010,0.02],[3011,0.02]]</t>
        </is>
      </c>
      <c r="Q49" s="47" t="inlineStr">
        <is>
          <t>[[3001,5],[3002,1],[3003,500]]</t>
        </is>
      </c>
      <c r="R49" s="47">
        <f>R45</f>
        <v/>
      </c>
      <c r="S49" s="47">
        <f>S41</f>
        <v/>
      </c>
      <c r="T49" s="47" t="inlineStr">
        <is>
          <t>格挡|控制</t>
        </is>
      </c>
      <c r="U49" s="47" t="inlineStr">
        <is>
          <t>skill_affix/zong|skill_affix/zi</t>
        </is>
      </c>
      <c r="V49" s="47" t="n">
        <v>0</v>
      </c>
    </row>
    <row r="50">
      <c r="A50" s="47">
        <f>A46+1</f>
        <v/>
      </c>
      <c r="B50" s="47">
        <f>B46</f>
        <v/>
      </c>
      <c r="C50" s="47">
        <f>C46</f>
        <v/>
      </c>
      <c r="D50" s="47">
        <f>D46</f>
        <v/>
      </c>
      <c r="E50" s="47">
        <f>E46+100</f>
        <v/>
      </c>
      <c r="F50" s="25">
        <f>F46+100</f>
        <v/>
      </c>
      <c r="H50" s="47">
        <f>"[["&amp;F50&amp;",900]]"</f>
        <v/>
      </c>
      <c r="I50" s="47">
        <f>"skill/sect/"&amp;E50</f>
        <v/>
      </c>
      <c r="J50" s="47" t="inlineStr">
        <is>
          <t>残影替身</t>
        </is>
      </c>
      <c r="K50" s="36" t="inlineStr">
        <is>
          <t>角色最终减伤提高&lt;color=be7013&gt;5%&lt;/color&gt;</t>
        </is>
      </c>
      <c r="L50" s="47" t="n">
        <v>120432000</v>
      </c>
      <c r="M50" s="25" t="n">
        <v>1204320010</v>
      </c>
      <c r="N50" s="47" t="inlineStr">
        <is>
          <t>[[10010,0.05],[3060,0.05]]</t>
        </is>
      </c>
      <c r="O50" s="47" t="inlineStr">
        <is>
          <t>[[3059,0.02]]</t>
        </is>
      </c>
      <c r="P50" s="47" t="inlineStr">
        <is>
          <t>[[3009,0.03],[3010,0.03],[3011,0.03]]</t>
        </is>
      </c>
      <c r="Q50" s="47" t="inlineStr">
        <is>
          <t>[[3001,10],[3002,2],[3003,1000]]</t>
        </is>
      </c>
      <c r="R50" s="47">
        <f>R46</f>
        <v/>
      </c>
      <c r="S50" s="47">
        <f>S42</f>
        <v/>
      </c>
      <c r="T50" s="47" t="inlineStr">
        <is>
          <t>格挡|控制</t>
        </is>
      </c>
      <c r="U50" s="47" t="inlineStr">
        <is>
          <t>skill_affix/zong|skill_affix/zi</t>
        </is>
      </c>
      <c r="V50" s="47" t="n">
        <v>0</v>
      </c>
    </row>
    <row r="51">
      <c r="A51" s="47">
        <f>A47+1</f>
        <v/>
      </c>
      <c r="B51" s="47">
        <f>B47</f>
        <v/>
      </c>
      <c r="C51" s="47">
        <f>C47</f>
        <v/>
      </c>
      <c r="D51" s="47">
        <f>D47</f>
        <v/>
      </c>
      <c r="E51" s="47">
        <f>E47+100</f>
        <v/>
      </c>
      <c r="F51" s="25">
        <f>F47+100</f>
        <v/>
      </c>
      <c r="G51" s="25">
        <f>G47+100</f>
        <v/>
      </c>
      <c r="H51" s="47">
        <f>"[["&amp;G51&amp;",1]]"</f>
        <v/>
      </c>
      <c r="I51" s="47">
        <f>"skill/sect/"&amp;E51</f>
        <v/>
      </c>
      <c r="J51" s="47" t="inlineStr">
        <is>
          <t>残影替身</t>
        </is>
      </c>
      <c r="K51" s="36" t="inlineStr">
        <is>
          <t>替身死亡或消失后友方恢复&lt;color=be7013&gt;10%&lt;/color&gt;生命</t>
        </is>
      </c>
      <c r="L51" s="47" t="n">
        <v>120432000</v>
      </c>
      <c r="M51" s="25" t="n">
        <v>1204340010</v>
      </c>
      <c r="N51" s="47" t="inlineStr">
        <is>
          <t>[[10010,0.05],[3060,0.05]]</t>
        </is>
      </c>
      <c r="O51" s="47" t="inlineStr">
        <is>
          <t>[[3059,0.02]]</t>
        </is>
      </c>
      <c r="P51" s="47" t="inlineStr">
        <is>
          <t>[[3009,0.04],[3010,0.04],[3011,0.04]]</t>
        </is>
      </c>
      <c r="Q51" s="47" t="inlineStr">
        <is>
          <t>[[3001,50],[3002,10],[3003,5000]]</t>
        </is>
      </c>
      <c r="R51" s="47">
        <f>R47</f>
        <v/>
      </c>
      <c r="S51" s="47">
        <f>S43</f>
        <v/>
      </c>
      <c r="T51" s="47" t="inlineStr">
        <is>
          <t>格挡|控制</t>
        </is>
      </c>
      <c r="U51" s="47" t="inlineStr">
        <is>
          <t>skill_affix/zong|skill_affix/zi</t>
        </is>
      </c>
      <c r="V51" s="47" t="n">
        <v>0</v>
      </c>
    </row>
    <row r="52">
      <c r="A52" s="47" t="n">
        <v>1051</v>
      </c>
      <c r="B52" s="47" t="n">
        <v>1</v>
      </c>
      <c r="C52" s="47" t="n">
        <v>3</v>
      </c>
      <c r="D52" s="47" t="inlineStr">
        <is>
          <t>终极技能</t>
        </is>
      </c>
      <c r="E52" s="47" t="n">
        <v>105101</v>
      </c>
      <c r="F52" s="25" t="inlineStr">
        <is>
          <t>105110</t>
        </is>
      </c>
      <c r="H52" s="47" t="inlineStr">
        <is>
          <t>[[105110,300]]</t>
        </is>
      </c>
      <c r="I52" s="47" t="inlineStr">
        <is>
          <t>skill/sect/105101</t>
        </is>
      </c>
      <c r="J52" s="47" t="inlineStr">
        <is>
          <t>狂血震爆</t>
        </is>
      </c>
      <c r="K52" s="36" t="inlineStr">
        <is>
          <t>裂石穿云冷却时间缩减&lt;color=be7013&gt;6.3%&lt;/color&gt;</t>
        </is>
      </c>
      <c r="N52" s="47" t="inlineStr">
        <is>
          <t>[[3263,0.063]]</t>
        </is>
      </c>
      <c r="O52" s="47" t="inlineStr">
        <is>
          <t>[[3059,0.02]]</t>
        </is>
      </c>
      <c r="P52" s="47" t="inlineStr">
        <is>
          <t>[[3009,0.01],[3010,0.01],[3011,0.01]]</t>
        </is>
      </c>
      <c r="Q52" s="47" t="inlineStr">
        <is>
          <t>[[3001,1],[3002,1],[3003,100]]</t>
        </is>
      </c>
      <c r="R52" s="47" t="inlineStr">
        <is>
          <t>[[103,10]]</t>
        </is>
      </c>
      <c r="S52" s="47" t="n">
        <v>1000</v>
      </c>
      <c r="T52" s="47" t="inlineStr">
        <is>
          <t>增益</t>
        </is>
      </c>
      <c r="U52" s="47" t="inlineStr">
        <is>
          <t>skill_affix/hong</t>
        </is>
      </c>
      <c r="V52" s="47" t="n">
        <v>1</v>
      </c>
    </row>
    <row r="53">
      <c r="A53" s="47" t="n">
        <v>1051</v>
      </c>
      <c r="B53" s="47" t="n">
        <v>2</v>
      </c>
      <c r="C53" s="47" t="n">
        <v>4</v>
      </c>
      <c r="D53" s="47" t="inlineStr">
        <is>
          <t>终极技能</t>
        </is>
      </c>
      <c r="E53" s="47" t="n">
        <v>105102</v>
      </c>
      <c r="F53" s="25" t="inlineStr">
        <is>
          <t>105110</t>
        </is>
      </c>
      <c r="H53" s="47" t="inlineStr">
        <is>
          <t>[[105110,600]]</t>
        </is>
      </c>
      <c r="I53" s="47" t="inlineStr">
        <is>
          <t>skill/sect/105102</t>
        </is>
      </c>
      <c r="J53" s="47" t="inlineStr">
        <is>
          <t>狂血震爆</t>
        </is>
      </c>
      <c r="K53" s="36" t="inlineStr">
        <is>
          <t>裂石穿云强化为嗜血斩杀，命中时对敌人造成&lt;color=be7013&gt;3段&lt;/color&gt;共计&lt;color=be7013&gt;110%&lt;/color&gt;物理伤害与&lt;color=be7013&gt;670%&lt;/color&gt;创伤伤害。释放技能时召唤一群蝙蝠穿过战场对敌人造成&lt;color=be7013&gt;79%&lt;/color&gt;物理伤害与&lt;color=be7013&gt;480%&lt;/color&gt;创伤伤害</t>
        </is>
      </c>
      <c r="L53" s="47" t="n">
        <v>120512000</v>
      </c>
      <c r="M53" s="25" t="n">
        <v>120512000</v>
      </c>
      <c r="N53" s="47" t="inlineStr">
        <is>
          <t>[[3263,0.063]]</t>
        </is>
      </c>
      <c r="O53" s="47" t="inlineStr">
        <is>
          <t>[[3059,0.02]]</t>
        </is>
      </c>
      <c r="P53" s="47" t="inlineStr">
        <is>
          <t>[[3009,0.02],[3010,0.02],[3011,0.02]]</t>
        </is>
      </c>
      <c r="Q53" s="47" t="inlineStr">
        <is>
          <t>[[3001,5],[3002,1],[3003,500]]</t>
        </is>
      </c>
      <c r="R53" s="47" t="inlineStr">
        <is>
          <t>[[103,10]]</t>
        </is>
      </c>
      <c r="S53" s="47" t="n">
        <v>4000</v>
      </c>
      <c r="T53" s="47" t="inlineStr">
        <is>
          <t>创伤|增益</t>
        </is>
      </c>
      <c r="U53" s="47" t="inlineStr">
        <is>
          <t>skill_affix/huang|skill_affix/hong</t>
        </is>
      </c>
      <c r="V53" s="47" t="n">
        <v>1</v>
      </c>
    </row>
    <row r="54">
      <c r="A54" s="47" t="n">
        <v>1051</v>
      </c>
      <c r="B54" s="47" t="n">
        <v>3</v>
      </c>
      <c r="C54" s="47" t="n">
        <v>6</v>
      </c>
      <c r="D54" s="47" t="inlineStr">
        <is>
          <t>终极技能</t>
        </is>
      </c>
      <c r="E54" s="47" t="n">
        <v>105103</v>
      </c>
      <c r="F54" s="25" t="inlineStr">
        <is>
          <t>105110</t>
        </is>
      </c>
      <c r="H54" s="47" t="inlineStr">
        <is>
          <t>[[105110,900]]</t>
        </is>
      </c>
      <c r="I54" s="47" t="inlineStr">
        <is>
          <t>skill/sect/105103</t>
        </is>
      </c>
      <c r="J54" s="47" t="inlineStr">
        <is>
          <t>狂血震爆</t>
        </is>
      </c>
      <c r="K54" s="36" t="inlineStr">
        <is>
          <t>角色创伤伤害提高&lt;color=be7013&gt;15%&lt;/color&gt;</t>
        </is>
      </c>
      <c r="L54" s="47" t="n">
        <v>120512000</v>
      </c>
      <c r="M54" s="25" t="n">
        <v>120512000</v>
      </c>
      <c r="N54" s="47" t="inlineStr">
        <is>
          <t>[[3263,0.063],[3033,0.15]]</t>
        </is>
      </c>
      <c r="O54" s="47" t="inlineStr">
        <is>
          <t>[[3059,0.02]]</t>
        </is>
      </c>
      <c r="P54" s="47" t="inlineStr">
        <is>
          <t>[[3009,0.03],[3010,0.03],[3011,0.03]]</t>
        </is>
      </c>
      <c r="Q54" s="47" t="inlineStr">
        <is>
          <t>[[3001,10],[3002,2],[3003,1000]]</t>
        </is>
      </c>
      <c r="R54" s="47" t="inlineStr">
        <is>
          <t>[[103,10]]</t>
        </is>
      </c>
      <c r="S54" s="47" t="n">
        <v>7500</v>
      </c>
      <c r="T54" s="47" t="inlineStr">
        <is>
          <t>创伤|增益</t>
        </is>
      </c>
      <c r="U54" s="47" t="inlineStr">
        <is>
          <t>skill_affix/huang|skill_affix/hong</t>
        </is>
      </c>
      <c r="V54" s="47" t="n">
        <v>1</v>
      </c>
    </row>
    <row r="55">
      <c r="A55" s="47" t="n">
        <v>1051</v>
      </c>
      <c r="B55" s="47" t="n">
        <v>4</v>
      </c>
      <c r="C55" s="47" t="n">
        <v>8</v>
      </c>
      <c r="D55" s="47" t="inlineStr">
        <is>
          <t>终极技能</t>
        </is>
      </c>
      <c r="E55" s="47" t="n">
        <v>105104</v>
      </c>
      <c r="F55" s="25" t="inlineStr">
        <is>
          <t>105110</t>
        </is>
      </c>
      <c r="G55" s="25" t="inlineStr">
        <is>
          <t>105120</t>
        </is>
      </c>
      <c r="H55" s="47" t="inlineStr">
        <is>
          <t>[[105120,1]]</t>
        </is>
      </c>
      <c r="I55" s="47" t="inlineStr">
        <is>
          <t>skill/sect/105104</t>
        </is>
      </c>
      <c r="J55" s="47" t="inlineStr">
        <is>
          <t>狂血震爆</t>
        </is>
      </c>
      <c r="K55" s="36" t="inlineStr">
        <is>
          <t>吸血蝙蝠将往返穿过战场造成两次伤害效果</t>
        </is>
      </c>
      <c r="L55" s="47" t="n">
        <v>120512000</v>
      </c>
      <c r="M55" s="25" t="n">
        <v>120514000</v>
      </c>
      <c r="N55" s="47" t="inlineStr">
        <is>
          <t>[[3263,0.063],[3033,0.15]]</t>
        </is>
      </c>
      <c r="O55" s="47" t="inlineStr">
        <is>
          <t>[[3059,0.02]]</t>
        </is>
      </c>
      <c r="P55" s="47" t="inlineStr">
        <is>
          <t>[[3009,0.04],[3010,0.04],[3011,0.04]]</t>
        </is>
      </c>
      <c r="Q55" s="47" t="inlineStr">
        <is>
          <t>[[3001,50],[3002,10],[3003,5000]]</t>
        </is>
      </c>
      <c r="R55" s="47" t="inlineStr">
        <is>
          <t>[[103,10]]</t>
        </is>
      </c>
      <c r="S55" s="47" t="n">
        <v>15000</v>
      </c>
      <c r="T55" s="47" t="inlineStr">
        <is>
          <t>创伤|增益</t>
        </is>
      </c>
      <c r="U55" s="47" t="inlineStr">
        <is>
          <t>skill_affix/huang|skill_affix/hong</t>
        </is>
      </c>
      <c r="V55" s="47" t="n">
        <v>1</v>
      </c>
    </row>
    <row r="56">
      <c r="A56" s="47" t="n">
        <v>1052</v>
      </c>
      <c r="B56" s="47" t="n">
        <v>1</v>
      </c>
      <c r="C56" s="47" t="n">
        <v>3</v>
      </c>
      <c r="D56" s="47" t="inlineStr">
        <is>
          <t>终极技能</t>
        </is>
      </c>
      <c r="E56" s="47" t="n">
        <v>105201</v>
      </c>
      <c r="F56" s="25" t="inlineStr">
        <is>
          <t>105210</t>
        </is>
      </c>
      <c r="H56" s="47" t="inlineStr">
        <is>
          <t>[[105210,300]]</t>
        </is>
      </c>
      <c r="I56" s="47" t="inlineStr">
        <is>
          <t>skill/sect/105201</t>
        </is>
      </c>
      <c r="J56" s="47" t="inlineStr">
        <is>
          <t>幻影终结</t>
        </is>
      </c>
      <c r="K56" s="36" t="inlineStr">
        <is>
          <t>裂石穿云伤害提高&lt;color=be7013&gt;20%&lt;/color&gt;</t>
        </is>
      </c>
      <c r="N56" s="47" t="inlineStr">
        <is>
          <t>[[3264,0.2]]</t>
        </is>
      </c>
      <c r="O56" s="47" t="inlineStr">
        <is>
          <t>[[3059,0.02]]</t>
        </is>
      </c>
      <c r="P56" s="47" t="inlineStr">
        <is>
          <t>[[3009,0.01],[3010,0.01],[3011,0.01]]</t>
        </is>
      </c>
      <c r="Q56" s="47" t="inlineStr">
        <is>
          <t>[[3001,1],[3002,1],[3003,100]]</t>
        </is>
      </c>
      <c r="R56" s="47" t="inlineStr">
        <is>
          <t>[[103,10]]</t>
        </is>
      </c>
      <c r="S56" s="47" t="n">
        <v>1000</v>
      </c>
      <c r="T56" s="47" t="inlineStr">
        <is>
          <t>增益</t>
        </is>
      </c>
      <c r="U56" s="47" t="inlineStr">
        <is>
          <t>skill_affix/hong</t>
        </is>
      </c>
      <c r="V56" s="47" t="n">
        <v>1</v>
      </c>
    </row>
    <row r="57">
      <c r="A57" s="47" t="n">
        <v>1052</v>
      </c>
      <c r="B57" s="47" t="n">
        <v>2</v>
      </c>
      <c r="C57" s="47" t="n">
        <v>4</v>
      </c>
      <c r="D57" s="47" t="inlineStr">
        <is>
          <t>终极技能</t>
        </is>
      </c>
      <c r="E57" s="47" t="n">
        <v>105202</v>
      </c>
      <c r="F57" s="25" t="inlineStr">
        <is>
          <t>105210</t>
        </is>
      </c>
      <c r="H57" s="47" t="inlineStr">
        <is>
          <t>[[105210,600]]</t>
        </is>
      </c>
      <c r="I57" s="47" t="inlineStr">
        <is>
          <t>skill/sect/105202</t>
        </is>
      </c>
      <c r="J57" s="47" t="inlineStr">
        <is>
          <t>幻影终结</t>
        </is>
      </c>
      <c r="K57" s="36" t="inlineStr">
        <is>
          <t>释放技能时不再跳斩，改为在身前召唤审判巨斧攻击造成&lt;color=be7013&gt;404%&lt;/color&gt;物理伤害，同时给自身施加&lt;u color=4169E1 size=2&gt;&lt;a href=30024&gt;幻影追击&lt;/a&gt;&lt;/u&gt;，持续&lt;color=be7013&gt;5&lt;/color&gt;秒</t>
        </is>
      </c>
      <c r="L57" s="47" t="n">
        <v>120522000</v>
      </c>
      <c r="N57" s="47" t="inlineStr">
        <is>
          <t>[[3264,0.2]]</t>
        </is>
      </c>
      <c r="O57" s="47" t="inlineStr">
        <is>
          <t>[[3059,0.02]]</t>
        </is>
      </c>
      <c r="P57" s="47" t="inlineStr">
        <is>
          <t>[[3009,0.02],[3010,0.02],[3011,0.02]]</t>
        </is>
      </c>
      <c r="Q57" s="47" t="inlineStr">
        <is>
          <t>[[3001,5],[3002,1],[3003,500]]</t>
        </is>
      </c>
      <c r="R57" s="47" t="inlineStr">
        <is>
          <t>[[103,10]]</t>
        </is>
      </c>
      <c r="S57" s="47" t="n">
        <v>4000</v>
      </c>
      <c r="T57" s="47" t="inlineStr">
        <is>
          <t>追击|增益</t>
        </is>
      </c>
      <c r="U57" s="47" t="inlineStr">
        <is>
          <t>skill_affix/huang|skill_affix/hong</t>
        </is>
      </c>
      <c r="V57" s="47" t="n">
        <v>1</v>
      </c>
    </row>
    <row r="58">
      <c r="A58" s="47" t="n">
        <v>1052</v>
      </c>
      <c r="B58" s="47" t="n">
        <v>3</v>
      </c>
      <c r="C58" s="47" t="n">
        <v>6</v>
      </c>
      <c r="D58" s="47" t="inlineStr">
        <is>
          <t>终极技能</t>
        </is>
      </c>
      <c r="E58" s="47" t="n">
        <v>105203</v>
      </c>
      <c r="F58" s="25" t="inlineStr">
        <is>
          <t>105210</t>
        </is>
      </c>
      <c r="H58" s="47" t="inlineStr">
        <is>
          <t>[[105210,900]]</t>
        </is>
      </c>
      <c r="I58" s="47" t="inlineStr">
        <is>
          <t>skill/sect/105203</t>
        </is>
      </c>
      <c r="J58" s="47" t="inlineStr">
        <is>
          <t>幻影终结</t>
        </is>
      </c>
      <c r="K58" s="36" t="inlineStr">
        <is>
          <t>角色技能冷却时间缩减&lt;color=be7013&gt;10%&lt;/color&gt;</t>
        </is>
      </c>
      <c r="L58" s="47" t="n">
        <v>120522000</v>
      </c>
      <c r="N58" s="47" t="inlineStr">
        <is>
          <t>[[3264,0.2],[3068,0.1]]</t>
        </is>
      </c>
      <c r="O58" s="47" t="inlineStr">
        <is>
          <t>[[3059,0.02]]</t>
        </is>
      </c>
      <c r="P58" s="47" t="inlineStr">
        <is>
          <t>[[3009,0.03],[3010,0.03],[3011,0.03]]</t>
        </is>
      </c>
      <c r="Q58" s="47" t="inlineStr">
        <is>
          <t>[[3001,10],[3002,2],[3003,1000]]</t>
        </is>
      </c>
      <c r="R58" s="47" t="inlineStr">
        <is>
          <t>[[103,10]]</t>
        </is>
      </c>
      <c r="S58" s="47" t="n">
        <v>7500</v>
      </c>
      <c r="T58" s="47" t="inlineStr">
        <is>
          <t>追击|增益</t>
        </is>
      </c>
      <c r="U58" s="47" t="inlineStr">
        <is>
          <t>skill_affix/huang|skill_affix/hong</t>
        </is>
      </c>
      <c r="V58" s="47" t="n">
        <v>1</v>
      </c>
    </row>
    <row r="59">
      <c r="A59" s="47" t="n">
        <v>1052</v>
      </c>
      <c r="B59" s="47" t="n">
        <v>4</v>
      </c>
      <c r="C59" s="47" t="n">
        <v>8</v>
      </c>
      <c r="D59" s="47" t="inlineStr">
        <is>
          <t>终极技能</t>
        </is>
      </c>
      <c r="E59" s="47" t="n">
        <v>105204</v>
      </c>
      <c r="F59" s="25" t="inlineStr">
        <is>
          <t>105210</t>
        </is>
      </c>
      <c r="G59" s="25" t="inlineStr">
        <is>
          <t>105220</t>
        </is>
      </c>
      <c r="H59" s="47" t="inlineStr">
        <is>
          <t>[[105220,1]]</t>
        </is>
      </c>
      <c r="I59" s="47" t="inlineStr">
        <is>
          <t>skill/sect/105204</t>
        </is>
      </c>
      <c r="J59" s="47" t="inlineStr">
        <is>
          <t>幻影终结</t>
        </is>
      </c>
      <c r="K59" s="36" t="inlineStr">
        <is>
          <t>审判巨斧强化为神圣巨斧，对敌人造成&lt;color=be7013&gt;469%&lt;/color&gt;物理伤害，&lt;u color=4169E1 size=2&gt;&lt;a href=30024&gt;幻影追击&lt;/a&gt;&lt;/u&gt;持续时间延长至&lt;color=be7013&gt;8&lt;/color&gt;秒</t>
        </is>
      </c>
      <c r="L59" s="47" t="n">
        <v>120524000</v>
      </c>
      <c r="N59" s="47" t="inlineStr">
        <is>
          <t>[[3264,0.2],[3068,0.1]]</t>
        </is>
      </c>
      <c r="O59" s="47" t="inlineStr">
        <is>
          <t>[[3059,0.02]]</t>
        </is>
      </c>
      <c r="P59" s="47" t="inlineStr">
        <is>
          <t>[[3009,0.04],[3010,0.04],[3011,0.04]]</t>
        </is>
      </c>
      <c r="Q59" s="47" t="inlineStr">
        <is>
          <t>[[3001,50],[3002,10],[3003,5000]]</t>
        </is>
      </c>
      <c r="R59" s="47" t="inlineStr">
        <is>
          <t>[[103,10]]</t>
        </is>
      </c>
      <c r="S59" s="47" t="n">
        <v>15000</v>
      </c>
      <c r="T59" s="47" t="inlineStr">
        <is>
          <t>追击|增益</t>
        </is>
      </c>
      <c r="U59" s="47" t="inlineStr">
        <is>
          <t>skill_affix/huang|skill_affix/hong</t>
        </is>
      </c>
      <c r="V59" s="47" t="n">
        <v>1</v>
      </c>
    </row>
    <row r="60">
      <c r="A60" s="47">
        <f>A56+1</f>
        <v/>
      </c>
      <c r="B60" s="47">
        <f>B56</f>
        <v/>
      </c>
      <c r="C60" s="47">
        <f>C56</f>
        <v/>
      </c>
      <c r="D60" s="47">
        <f>D56</f>
        <v/>
      </c>
      <c r="E60" s="47">
        <f>E56+100</f>
        <v/>
      </c>
      <c r="F60" s="25">
        <f>F56+100</f>
        <v/>
      </c>
      <c r="H60" s="47">
        <f>"[["&amp;F60&amp;",300]]"</f>
        <v/>
      </c>
      <c r="I60" s="47">
        <f>"skill/sect/"&amp;E60</f>
        <v/>
      </c>
      <c r="J60" s="47" t="inlineStr">
        <is>
          <t>炼狱雷光</t>
        </is>
      </c>
      <c r="K60" s="36" t="inlineStr">
        <is>
          <t>角色最终增伤提高&lt;color=be7013&gt;5%&lt;/color&gt;</t>
        </is>
      </c>
      <c r="N60" s="47" t="inlineStr">
        <is>
          <t>[[3059,0.05]]</t>
        </is>
      </c>
      <c r="O60" s="47" t="inlineStr">
        <is>
          <t>[[3059,0.02]]</t>
        </is>
      </c>
      <c r="P60" s="47" t="inlineStr">
        <is>
          <t>[[3009,0.01],[3010,0.01],[3011,0.01]]</t>
        </is>
      </c>
      <c r="Q60" s="47" t="inlineStr">
        <is>
          <t>[[3001,1],[3002,1],[3003,100]]</t>
        </is>
      </c>
      <c r="R60" s="47">
        <f>R56</f>
        <v/>
      </c>
      <c r="S60" s="47">
        <f>S52</f>
        <v/>
      </c>
      <c r="T60" s="47" t="inlineStr">
        <is>
          <t>增益</t>
        </is>
      </c>
      <c r="U60" s="47" t="inlineStr">
        <is>
          <t>skill_affix/hong</t>
        </is>
      </c>
      <c r="V60" s="47" t="n">
        <v>0</v>
      </c>
    </row>
    <row r="61">
      <c r="A61" s="47">
        <f>A57+1</f>
        <v/>
      </c>
      <c r="B61" s="47">
        <f>B57</f>
        <v/>
      </c>
      <c r="C61" s="47">
        <f>C57</f>
        <v/>
      </c>
      <c r="D61" s="47">
        <f>D57</f>
        <v/>
      </c>
      <c r="E61" s="47">
        <f>E57+100</f>
        <v/>
      </c>
      <c r="F61" s="25">
        <f>F57+100</f>
        <v/>
      </c>
      <c r="H61" s="47">
        <f>"[["&amp;F61&amp;",600]]"</f>
        <v/>
      </c>
      <c r="I61" s="47">
        <f>"skill/sect/"&amp;E61</f>
        <v/>
      </c>
      <c r="J61" s="47" t="inlineStr">
        <is>
          <t>炼狱雷光</t>
        </is>
      </c>
      <c r="K61" s="36" t="inlineStr">
        <is>
          <t>漂浮而起凝聚雷电砸下持续轰击敌人，造成&lt;color=be7013&gt;632%&lt;/color&gt;魔法伤害并施加&lt;u color=4169E1 size=2&gt;&lt;a href=30040&gt;战栗&lt;/a&gt;&lt;/u&gt;</t>
        </is>
      </c>
      <c r="L61" s="47" t="n">
        <v>120532000</v>
      </c>
      <c r="N61" s="47" t="inlineStr">
        <is>
          <t>[[3059,0.05]]</t>
        </is>
      </c>
      <c r="O61" s="47" t="inlineStr">
        <is>
          <t>[[3059,0.02]]</t>
        </is>
      </c>
      <c r="P61" s="47" t="inlineStr">
        <is>
          <t>[[3009,0.02],[3010,0.02],[3011,0.02]]</t>
        </is>
      </c>
      <c r="Q61" s="47" t="inlineStr">
        <is>
          <t>[[3001,5],[3002,1],[3003,500]]</t>
        </is>
      </c>
      <c r="R61" s="47">
        <f>R57</f>
        <v/>
      </c>
      <c r="S61" s="47">
        <f>S53</f>
        <v/>
      </c>
      <c r="T61" s="47" t="inlineStr">
        <is>
          <t>引爆|增益</t>
        </is>
      </c>
      <c r="U61" s="47" t="inlineStr">
        <is>
          <t>skill_affix/huang|skill_affix/hong</t>
        </is>
      </c>
      <c r="V61" s="47" t="n">
        <v>0</v>
      </c>
    </row>
    <row r="62">
      <c r="A62" s="47">
        <f>A58+1</f>
        <v/>
      </c>
      <c r="B62" s="47">
        <f>B58</f>
        <v/>
      </c>
      <c r="C62" s="47">
        <f>C58</f>
        <v/>
      </c>
      <c r="D62" s="47">
        <f>D58</f>
        <v/>
      </c>
      <c r="E62" s="47">
        <f>E58+100</f>
        <v/>
      </c>
      <c r="F62" s="25">
        <f>F58+100</f>
        <v/>
      </c>
      <c r="H62" s="47">
        <f>"[["&amp;F62&amp;",900]]"</f>
        <v/>
      </c>
      <c r="I62" s="47">
        <f>"skill/sect/"&amp;E62</f>
        <v/>
      </c>
      <c r="J62" s="47" t="inlineStr">
        <is>
          <t>炼狱雷光</t>
        </is>
      </c>
      <c r="K62" s="36" t="inlineStr">
        <is>
          <t>角色急速提高&lt;color=be7013&gt;20%&lt;/color&gt;</t>
        </is>
      </c>
      <c r="L62" s="47" t="n">
        <v>120532000</v>
      </c>
      <c r="N62" s="47" t="inlineStr">
        <is>
          <t>[[3059,0.05],[3074,0.2]]</t>
        </is>
      </c>
      <c r="O62" s="47" t="inlineStr">
        <is>
          <t>[[3059,0.02]]</t>
        </is>
      </c>
      <c r="P62" s="47" t="inlineStr">
        <is>
          <t>[[3009,0.03],[3010,0.03],[3011,0.03]]</t>
        </is>
      </c>
      <c r="Q62" s="47" t="inlineStr">
        <is>
          <t>[[3001,10],[3002,2],[3003,1000]]</t>
        </is>
      </c>
      <c r="R62" s="47">
        <f>R58</f>
        <v/>
      </c>
      <c r="S62" s="47">
        <f>S54</f>
        <v/>
      </c>
      <c r="T62" s="47" t="inlineStr">
        <is>
          <t>引爆|增益</t>
        </is>
      </c>
      <c r="U62" s="47" t="inlineStr">
        <is>
          <t>skill_affix/huang|skill_affix/hong</t>
        </is>
      </c>
      <c r="V62" s="47" t="n">
        <v>0</v>
      </c>
    </row>
    <row r="63">
      <c r="A63" s="47">
        <f>A59+1</f>
        <v/>
      </c>
      <c r="B63" s="47">
        <f>B59</f>
        <v/>
      </c>
      <c r="C63" s="47">
        <f>C59</f>
        <v/>
      </c>
      <c r="D63" s="47">
        <f>D59</f>
        <v/>
      </c>
      <c r="E63" s="47">
        <f>E59+100</f>
        <v/>
      </c>
      <c r="F63" s="25">
        <f>F59+100</f>
        <v/>
      </c>
      <c r="G63" s="25">
        <f>G59+100</f>
        <v/>
      </c>
      <c r="H63" s="47">
        <f>"[["&amp;G63&amp;",1]]"</f>
        <v/>
      </c>
      <c r="I63" s="47">
        <f>"skill/sect/"&amp;E63</f>
        <v/>
      </c>
      <c r="J63" s="47" t="inlineStr">
        <is>
          <t>炼狱雷光</t>
        </is>
      </c>
      <c r="K63" s="36" t="inlineStr">
        <is>
          <t>释放终极技能后召唤追踪雷云每秒造成&lt;color=be7013&gt;169%&lt;/color&gt;魔法伤害，持续6秒</t>
        </is>
      </c>
      <c r="L63" s="47" t="n">
        <v>120532000</v>
      </c>
      <c r="M63" s="25" t="n">
        <v>1205340000</v>
      </c>
      <c r="N63" s="47" t="inlineStr">
        <is>
          <t>[[3059,0.05],[3074,0.2]]</t>
        </is>
      </c>
      <c r="O63" s="47" t="inlineStr">
        <is>
          <t>[[3059,0.02]]</t>
        </is>
      </c>
      <c r="P63" s="47" t="inlineStr">
        <is>
          <t>[[3009,0.04],[3010,0.04],[3011,0.04]]</t>
        </is>
      </c>
      <c r="Q63" s="47" t="inlineStr">
        <is>
          <t>[[3001,50],[3002,10],[3003,5000]]</t>
        </is>
      </c>
      <c r="R63" s="47">
        <f>R59</f>
        <v/>
      </c>
      <c r="S63" s="47">
        <f>S55</f>
        <v/>
      </c>
      <c r="T63" s="47" t="inlineStr">
        <is>
          <t>引爆|增益</t>
        </is>
      </c>
      <c r="U63" s="47" t="inlineStr">
        <is>
          <t>skill_affix/huang|skill_affix/hong</t>
        </is>
      </c>
      <c r="V63" s="47" t="n">
        <v>0</v>
      </c>
    </row>
    <row r="64">
      <c r="A64" s="47" t="n">
        <v>2011</v>
      </c>
      <c r="B64" s="47" t="n">
        <v>1</v>
      </c>
      <c r="C64" s="47" t="n">
        <v>3</v>
      </c>
      <c r="D64" s="47" t="inlineStr">
        <is>
          <t>普通攻击</t>
        </is>
      </c>
      <c r="E64" s="47" t="n">
        <v>201101</v>
      </c>
      <c r="F64" s="25" t="inlineStr">
        <is>
          <t>201110</t>
        </is>
      </c>
      <c r="H64" s="47" t="inlineStr">
        <is>
          <t>[[201110,300]]</t>
        </is>
      </c>
      <c r="I64" s="47" t="inlineStr">
        <is>
          <t>skill/sect/201101</t>
        </is>
      </c>
      <c r="J64" s="47" t="inlineStr">
        <is>
          <t>割裂之刃</t>
        </is>
      </c>
      <c r="K64" s="47" t="inlineStr">
        <is>
          <t>角色创伤伤害提高&lt;color=be7013&gt;7.5%&lt;/color&gt;。</t>
        </is>
      </c>
      <c r="N64" s="47" t="inlineStr">
        <is>
          <t>[[3033,0.075]]</t>
        </is>
      </c>
      <c r="O64" s="47" t="inlineStr">
        <is>
          <t>[[3059,0.02]]</t>
        </is>
      </c>
      <c r="P64" s="47" t="inlineStr">
        <is>
          <t>[[3009,0.01],[3010,0.01],[3011,0.01]]</t>
        </is>
      </c>
      <c r="Q64" s="47" t="inlineStr">
        <is>
          <t>[[3001,1],[3002,1],[3003,100]]</t>
        </is>
      </c>
      <c r="R64" s="47" t="inlineStr">
        <is>
          <t>[[103,10]]</t>
        </is>
      </c>
      <c r="S64" s="47" t="n">
        <v>1000</v>
      </c>
      <c r="T64" s="47" t="inlineStr">
        <is>
          <t>创伤</t>
        </is>
      </c>
      <c r="U64" s="47" t="inlineStr">
        <is>
          <t>skill_affix/huang</t>
        </is>
      </c>
      <c r="V64" s="47" t="n">
        <v>1</v>
      </c>
    </row>
    <row r="65">
      <c r="A65" s="47" t="n">
        <v>2011</v>
      </c>
      <c r="B65" s="47" t="n">
        <v>2</v>
      </c>
      <c r="C65" s="47" t="n">
        <v>4</v>
      </c>
      <c r="D65" s="47" t="inlineStr">
        <is>
          <t>普通攻击</t>
        </is>
      </c>
      <c r="E65" s="47" t="n">
        <v>201102</v>
      </c>
      <c r="F65" s="25" t="inlineStr">
        <is>
          <t>201110</t>
        </is>
      </c>
      <c r="H65" s="47" t="inlineStr">
        <is>
          <t>[[201110,600]]</t>
        </is>
      </c>
      <c r="I65" s="47" t="inlineStr">
        <is>
          <t>skill/sect/201102</t>
        </is>
      </c>
      <c r="J65" s="47" t="inlineStr">
        <is>
          <t>割裂之刃</t>
        </is>
      </c>
      <c r="K65" s="47" t="inlineStr">
        <is>
          <t>普通攻击命中敌人时将附加每秒&lt;color=be7013&gt;36%&lt;/color&gt;攻击力的创伤伤害，但直接伤害降低至每秒&lt;color=be7013&gt;6%&lt;/color&gt;。</t>
        </is>
      </c>
      <c r="L65" s="47" t="n">
        <v>100112000</v>
      </c>
      <c r="N65" s="47" t="inlineStr">
        <is>
          <t>[[3033,0.075]]</t>
        </is>
      </c>
      <c r="O65" s="47" t="inlineStr">
        <is>
          <t>[[3059,0.02]]</t>
        </is>
      </c>
      <c r="P65" s="47" t="inlineStr">
        <is>
          <t>[[3009,0.02],[3010,0.02],[3011,0.02]]</t>
        </is>
      </c>
      <c r="Q65" s="47" t="inlineStr">
        <is>
          <t>[[3001,5],[3002,1],[3003,500]]</t>
        </is>
      </c>
      <c r="R65" s="47" t="inlineStr">
        <is>
          <t>[[103,10]]</t>
        </is>
      </c>
      <c r="S65" s="47" t="n">
        <v>3000</v>
      </c>
      <c r="T65" s="47" t="inlineStr">
        <is>
          <t>创伤</t>
        </is>
      </c>
      <c r="U65" s="47" t="inlineStr">
        <is>
          <t>skill_affix/huang</t>
        </is>
      </c>
      <c r="V65" s="47" t="n">
        <v>1</v>
      </c>
    </row>
    <row r="66">
      <c r="A66" s="47" t="n">
        <v>2011</v>
      </c>
      <c r="B66" s="47" t="n">
        <v>3</v>
      </c>
      <c r="C66" s="47" t="n">
        <v>6</v>
      </c>
      <c r="D66" s="47" t="inlineStr">
        <is>
          <t>普通攻击</t>
        </is>
      </c>
      <c r="E66" s="47" t="n">
        <v>201103</v>
      </c>
      <c r="F66" s="25" t="inlineStr">
        <is>
          <t>201110</t>
        </is>
      </c>
      <c r="H66" s="47" t="inlineStr">
        <is>
          <t>[[201110,900]]</t>
        </is>
      </c>
      <c r="I66" s="47" t="inlineStr">
        <is>
          <t>skill/sect/201103</t>
        </is>
      </c>
      <c r="J66" s="47" t="inlineStr">
        <is>
          <t>割裂之刃</t>
        </is>
      </c>
      <c r="K66" s="47" t="inlineStr">
        <is>
          <t>角色最终减伤提高&lt;color=be7013&gt;5%&lt;/color&gt;。</t>
        </is>
      </c>
      <c r="L66" s="47" t="n">
        <v>100112000</v>
      </c>
      <c r="N66" s="47" t="inlineStr">
        <is>
          <t>[[3033,0.075],[3060,0.05]]</t>
        </is>
      </c>
      <c r="O66" s="47" t="inlineStr">
        <is>
          <t>[[3059,0.02]]</t>
        </is>
      </c>
      <c r="P66" s="47" t="inlineStr">
        <is>
          <t>[[3009,0.03],[3010,0.03],[3011,0.03]]</t>
        </is>
      </c>
      <c r="Q66" s="47" t="inlineStr">
        <is>
          <t>[[3001,10],[3002,2],[3003,1000]]</t>
        </is>
      </c>
      <c r="R66" s="47" t="inlineStr">
        <is>
          <t>[[103,10]]</t>
        </is>
      </c>
      <c r="S66" s="47" t="n">
        <v>6000</v>
      </c>
      <c r="T66" s="47" t="inlineStr">
        <is>
          <t>创伤</t>
        </is>
      </c>
      <c r="U66" s="47" t="inlineStr">
        <is>
          <t>skill_affix/huang</t>
        </is>
      </c>
      <c r="V66" s="47" t="n">
        <v>1</v>
      </c>
    </row>
    <row r="67">
      <c r="A67" s="47" t="n">
        <v>2011</v>
      </c>
      <c r="B67" s="47" t="n">
        <v>4</v>
      </c>
      <c r="C67" s="47" t="n">
        <v>8</v>
      </c>
      <c r="D67" s="47" t="inlineStr">
        <is>
          <t>普通攻击</t>
        </is>
      </c>
      <c r="E67" s="47" t="n">
        <v>201104</v>
      </c>
      <c r="F67" s="25" t="inlineStr">
        <is>
          <t>201110</t>
        </is>
      </c>
      <c r="G67" s="25" t="inlineStr">
        <is>
          <t>201120</t>
        </is>
      </c>
      <c r="H67" s="47" t="inlineStr">
        <is>
          <t>[[201120,1]]</t>
        </is>
      </c>
      <c r="I67" s="47" t="inlineStr">
        <is>
          <t>skill/sect/201104</t>
        </is>
      </c>
      <c r="J67" s="47" t="inlineStr">
        <is>
          <t>割裂之刃</t>
        </is>
      </c>
      <c r="K67" s="47" t="inlineStr">
        <is>
          <t>普通攻击对受到创伤的敌人造成伤害时有&lt;color=be7013&gt;20%&lt;/color&gt;的概率恢复&lt;color=be7013&gt;0.5&lt;/color&gt;%已损失生命值。</t>
        </is>
      </c>
      <c r="L67" s="47" t="n">
        <v>100114000</v>
      </c>
      <c r="M67" s="25" t="n">
        <v>100114000</v>
      </c>
      <c r="N67" s="47" t="inlineStr">
        <is>
          <t>[[3033,0.075],[3060,0.05]]</t>
        </is>
      </c>
      <c r="O67" s="47" t="inlineStr">
        <is>
          <t>[[3059,0.02]]</t>
        </is>
      </c>
      <c r="P67" s="47" t="inlineStr">
        <is>
          <t>[[3009,0.04],[3010,0.04],[3011,0.04]]</t>
        </is>
      </c>
      <c r="Q67" s="47" t="inlineStr">
        <is>
          <t>[[3001,50],[3002,10],[3003,5000]]</t>
        </is>
      </c>
      <c r="R67" s="47" t="inlineStr">
        <is>
          <t>[[103,10]]</t>
        </is>
      </c>
      <c r="S67" s="47" t="n">
        <v>10000</v>
      </c>
      <c r="T67" s="47" t="inlineStr">
        <is>
          <t>创伤|回血</t>
        </is>
      </c>
      <c r="U67" s="47" t="inlineStr">
        <is>
          <t>skill_affix/huang|skill_affix/lv</t>
        </is>
      </c>
      <c r="V67" s="47" t="n">
        <v>1</v>
      </c>
    </row>
    <row r="68">
      <c r="A68" s="47" t="n">
        <v>2012</v>
      </c>
      <c r="B68" s="47" t="n">
        <v>1</v>
      </c>
      <c r="C68" s="47" t="n">
        <v>3</v>
      </c>
      <c r="D68" s="47" t="inlineStr">
        <is>
          <t>普通攻击</t>
        </is>
      </c>
      <c r="E68" s="47" t="n">
        <v>201201</v>
      </c>
      <c r="F68" s="25" t="inlineStr">
        <is>
          <t>201210</t>
        </is>
      </c>
      <c r="H68" s="47" t="inlineStr">
        <is>
          <t>[[201210,300]]</t>
        </is>
      </c>
      <c r="I68" s="47" t="inlineStr">
        <is>
          <t>skill/sect/201201</t>
        </is>
      </c>
      <c r="J68" s="47" t="inlineStr">
        <is>
          <t>破绽追击</t>
        </is>
      </c>
      <c r="K68" s="47" t="inlineStr">
        <is>
          <t>普通攻击附伤概率提高&lt;color=be7013&gt;8%&lt;/color&gt;。</t>
        </is>
      </c>
      <c r="N68" s="47" t="inlineStr">
        <is>
          <t>[[3093,0.08]]</t>
        </is>
      </c>
      <c r="O68" s="47" t="inlineStr">
        <is>
          <t>[[3059,0.02]]</t>
        </is>
      </c>
      <c r="P68" s="47" t="inlineStr">
        <is>
          <t>[[3009,0.01],[3010,0.01],[3011,0.01]]</t>
        </is>
      </c>
      <c r="Q68" s="47" t="inlineStr">
        <is>
          <t>[[3001,1],[3002,1],[3003,100]]</t>
        </is>
      </c>
      <c r="R68" s="47" t="inlineStr">
        <is>
          <t>[[103,10]]</t>
        </is>
      </c>
      <c r="S68" s="47" t="n">
        <v>1000</v>
      </c>
      <c r="T68" s="47" t="inlineStr">
        <is>
          <t>附伤</t>
        </is>
      </c>
      <c r="U68" s="47" t="inlineStr">
        <is>
          <t>skill_affix/huang</t>
        </is>
      </c>
      <c r="V68" s="47" t="n">
        <v>1</v>
      </c>
    </row>
    <row r="69">
      <c r="A69" s="47" t="n">
        <v>2012</v>
      </c>
      <c r="B69" s="47" t="n">
        <v>2</v>
      </c>
      <c r="C69" s="47" t="n">
        <v>4</v>
      </c>
      <c r="D69" s="47" t="inlineStr">
        <is>
          <t>普通攻击</t>
        </is>
      </c>
      <c r="E69" s="47" t="n">
        <v>201202</v>
      </c>
      <c r="F69" s="25" t="inlineStr">
        <is>
          <t>201210</t>
        </is>
      </c>
      <c r="H69" s="47" t="inlineStr">
        <is>
          <t>[[201210,600]]</t>
        </is>
      </c>
      <c r="I69" s="47" t="inlineStr">
        <is>
          <t>skill/sect/201202</t>
        </is>
      </c>
      <c r="J69" s="47" t="inlineStr">
        <is>
          <t>破绽追击</t>
        </is>
      </c>
      <c r="K69" s="47" t="inlineStr">
        <is>
          <t>普通攻击命中时有&lt;color=be7013&gt;10%&lt;/color&gt;概率使目标进入&lt;u color=4169E1 size=2&gt;&lt;a href=30009&gt;破甲状态&lt;/a&gt;&lt;/u&gt;，持续&lt;color=be7013&gt;2&lt;/color&gt;秒。</t>
        </is>
      </c>
      <c r="L69" s="47" t="n">
        <v>100122000</v>
      </c>
      <c r="N69" s="47" t="inlineStr">
        <is>
          <t>[[3093,0.08]]</t>
        </is>
      </c>
      <c r="O69" s="47" t="inlineStr">
        <is>
          <t>[[3059,0.02]]</t>
        </is>
      </c>
      <c r="P69" s="47" t="inlineStr">
        <is>
          <t>[[3009,0.02],[3010,0.02],[3011,0.02]]</t>
        </is>
      </c>
      <c r="Q69" s="47" t="inlineStr">
        <is>
          <t>[[3001,5],[3002,1],[3003,500]]</t>
        </is>
      </c>
      <c r="R69" s="47" t="inlineStr">
        <is>
          <t>[[103,10]]</t>
        </is>
      </c>
      <c r="S69" s="47" t="n">
        <v>3000</v>
      </c>
      <c r="T69" s="47" t="inlineStr">
        <is>
          <t>附伤|减益</t>
        </is>
      </c>
      <c r="U69" s="47" t="inlineStr">
        <is>
          <t>skill_affix/huang|skill_affix/qing</t>
        </is>
      </c>
      <c r="V69" s="47" t="n">
        <v>1</v>
      </c>
    </row>
    <row r="70">
      <c r="A70" s="47" t="n">
        <v>2012</v>
      </c>
      <c r="B70" s="47" t="n">
        <v>3</v>
      </c>
      <c r="C70" s="47" t="n">
        <v>6</v>
      </c>
      <c r="D70" s="47" t="inlineStr">
        <is>
          <t>普通攻击</t>
        </is>
      </c>
      <c r="E70" s="47" t="n">
        <v>201203</v>
      </c>
      <c r="F70" s="25" t="inlineStr">
        <is>
          <t>201210</t>
        </is>
      </c>
      <c r="H70" s="47" t="inlineStr">
        <is>
          <t>[[201210,900]]</t>
        </is>
      </c>
      <c r="I70" s="47" t="inlineStr">
        <is>
          <t>skill/sect/201203</t>
        </is>
      </c>
      <c r="J70" s="47" t="inlineStr">
        <is>
          <t>破绽追击</t>
        </is>
      </c>
      <c r="K70" s="47" t="inlineStr">
        <is>
          <t>角色附伤伤害提高&lt;color=be7013&gt;10%&lt;/color&gt;。</t>
        </is>
      </c>
      <c r="L70" s="47" t="n">
        <v>100122000</v>
      </c>
      <c r="N70" s="47" t="inlineStr">
        <is>
          <t>[[3093,0.08],[3031,0.1]]</t>
        </is>
      </c>
      <c r="O70" s="47" t="inlineStr">
        <is>
          <t>[[3059,0.02]]</t>
        </is>
      </c>
      <c r="P70" s="47" t="inlineStr">
        <is>
          <t>[[3009,0.03],[3010,0.03],[3011,0.03]]</t>
        </is>
      </c>
      <c r="Q70" s="47" t="inlineStr">
        <is>
          <t>[[3001,10],[3002,2],[3003,1000]]</t>
        </is>
      </c>
      <c r="R70" s="47" t="inlineStr">
        <is>
          <t>[[103,10]]</t>
        </is>
      </c>
      <c r="S70" s="47" t="n">
        <v>6000</v>
      </c>
      <c r="T70" s="47" t="inlineStr">
        <is>
          <t>附伤|减益</t>
        </is>
      </c>
      <c r="U70" s="47" t="inlineStr">
        <is>
          <t>skill_affix/huang|skill_affix/qing</t>
        </is>
      </c>
      <c r="V70" s="47" t="n">
        <v>1</v>
      </c>
    </row>
    <row r="71">
      <c r="A71" s="47" t="n">
        <v>2012</v>
      </c>
      <c r="B71" s="47" t="n">
        <v>4</v>
      </c>
      <c r="C71" s="47" t="n">
        <v>8</v>
      </c>
      <c r="D71" s="47" t="inlineStr">
        <is>
          <t>普通攻击</t>
        </is>
      </c>
      <c r="E71" s="47" t="n">
        <v>201204</v>
      </c>
      <c r="F71" s="25" t="inlineStr">
        <is>
          <t>201210</t>
        </is>
      </c>
      <c r="G71" s="25" t="inlineStr">
        <is>
          <t>201220</t>
        </is>
      </c>
      <c r="H71" s="47" t="inlineStr">
        <is>
          <t>[[201220,1]]</t>
        </is>
      </c>
      <c r="I71" s="47" t="inlineStr">
        <is>
          <t>skill/sect/201204</t>
        </is>
      </c>
      <c r="J71" s="47" t="inlineStr">
        <is>
          <t>破绽追击</t>
        </is>
      </c>
      <c r="K71" s="47" t="inlineStr">
        <is>
          <t>破甲状态受到伤害增加提高至&lt;color=be7013&gt;13%&lt;/color&gt;。</t>
        </is>
      </c>
      <c r="L71" s="47" t="n">
        <v>100124000</v>
      </c>
      <c r="N71" s="47" t="inlineStr">
        <is>
          <t>[[3093,0.08],[3031,0.1]]</t>
        </is>
      </c>
      <c r="O71" s="47" t="inlineStr">
        <is>
          <t>[[3059,0.02]]</t>
        </is>
      </c>
      <c r="P71" s="47" t="inlineStr">
        <is>
          <t>[[3009,0.04],[3010,0.04],[3011,0.04]]</t>
        </is>
      </c>
      <c r="Q71" s="47" t="inlineStr">
        <is>
          <t>[[3001,50],[3002,10],[3003,5000]]</t>
        </is>
      </c>
      <c r="R71" s="47" t="inlineStr">
        <is>
          <t>[[103,10]]</t>
        </is>
      </c>
      <c r="S71" s="47" t="n">
        <v>10000</v>
      </c>
      <c r="T71" s="47" t="inlineStr">
        <is>
          <t>附伤|减益</t>
        </is>
      </c>
      <c r="U71" s="47" t="inlineStr">
        <is>
          <t>skill_affix/huang|skill_affix/qing</t>
        </is>
      </c>
      <c r="V71" s="47" t="n">
        <v>1</v>
      </c>
    </row>
    <row r="72">
      <c r="A72" s="47">
        <f>A68+1</f>
        <v/>
      </c>
      <c r="B72" s="47">
        <f>B68</f>
        <v/>
      </c>
      <c r="C72" s="47">
        <f>C68</f>
        <v/>
      </c>
      <c r="D72" s="47">
        <f>D68</f>
        <v/>
      </c>
      <c r="E72" s="47">
        <f>E68+100</f>
        <v/>
      </c>
      <c r="F72" s="25">
        <f>F68+100</f>
        <v/>
      </c>
      <c r="H72" s="47">
        <f>"[["&amp;F72&amp;",300]]"</f>
        <v/>
      </c>
      <c r="I72" s="47">
        <f>"skill/sect/"&amp;E72</f>
        <v/>
      </c>
      <c r="J72" s="47" t="inlineStr">
        <is>
          <t>致命恩典</t>
        </is>
      </c>
      <c r="K72" s="36" t="inlineStr">
        <is>
          <t>角色的物理伤害提高&lt;color=be7013&gt;5%&lt;/color&gt;。</t>
        </is>
      </c>
      <c r="N72" s="47" t="inlineStr">
        <is>
          <t>[[3021,0.05]]</t>
        </is>
      </c>
      <c r="O72" s="47" t="inlineStr">
        <is>
          <t>[[3059,0.02]]</t>
        </is>
      </c>
      <c r="P72" s="47" t="inlineStr">
        <is>
          <t>[[3009,0.01],[3010,0.01],[3011,0.01]]</t>
        </is>
      </c>
      <c r="Q72" s="47" t="inlineStr">
        <is>
          <t>[[3001,1],[3002,1],[3003,100]]</t>
        </is>
      </c>
      <c r="R72" s="47">
        <f>R68</f>
        <v/>
      </c>
      <c r="S72" s="47">
        <f>S64</f>
        <v/>
      </c>
      <c r="T72" s="47" t="inlineStr">
        <is>
          <t>增益</t>
        </is>
      </c>
      <c r="U72" s="47" t="inlineStr">
        <is>
          <t>skill_affix/hong</t>
        </is>
      </c>
      <c r="V72" s="47" t="n">
        <v>0</v>
      </c>
    </row>
    <row r="73">
      <c r="A73" s="47">
        <f>A69+1</f>
        <v/>
      </c>
      <c r="B73" s="47">
        <f>B69</f>
        <v/>
      </c>
      <c r="C73" s="47">
        <f>C69</f>
        <v/>
      </c>
      <c r="D73" s="47">
        <f>D69</f>
        <v/>
      </c>
      <c r="E73" s="47">
        <f>E69+100</f>
        <v/>
      </c>
      <c r="F73" s="25">
        <f>F69+100</f>
        <v/>
      </c>
      <c r="H73" s="47">
        <f>"[["&amp;F73&amp;",600]]"</f>
        <v/>
      </c>
      <c r="I73" s="47">
        <f>"skill/sect/"&amp;E73</f>
        <v/>
      </c>
      <c r="J73" s="47" t="inlineStr">
        <is>
          <t>致命恩典</t>
        </is>
      </c>
      <c r="K73" s="36" t="inlineStr">
        <is>
          <t>对敌人造成伤害时有40%概率获得一层&lt;u color=4169E1 size=2&gt;&lt;a href=30034&gt;裁决&lt;/a&gt;&lt;/u&gt;。</t>
        </is>
      </c>
      <c r="L73" s="47" t="n">
        <v>100132000</v>
      </c>
      <c r="M73" s="25" t="n">
        <v>100132000</v>
      </c>
      <c r="N73" s="47" t="inlineStr">
        <is>
          <t>[[3021,0.05]]</t>
        </is>
      </c>
      <c r="O73" s="47" t="inlineStr">
        <is>
          <t>[[3059,0.02]]</t>
        </is>
      </c>
      <c r="P73" s="47" t="inlineStr">
        <is>
          <t>[[3009,0.02],[3010,0.02],[3011,0.02]]</t>
        </is>
      </c>
      <c r="Q73" s="47" t="inlineStr">
        <is>
          <t>[[3001,5],[3002,1],[3003,500]]</t>
        </is>
      </c>
      <c r="R73" s="47">
        <f>R69</f>
        <v/>
      </c>
      <c r="S73" s="47">
        <f>S65</f>
        <v/>
      </c>
      <c r="T73" s="47" t="inlineStr">
        <is>
          <t>增益</t>
        </is>
      </c>
      <c r="U73" s="47" t="inlineStr">
        <is>
          <t>skill_affix/hong</t>
        </is>
      </c>
      <c r="V73" s="47" t="n">
        <v>0</v>
      </c>
    </row>
    <row r="74">
      <c r="A74" s="47">
        <f>A70+1</f>
        <v/>
      </c>
      <c r="B74" s="47">
        <f>B70</f>
        <v/>
      </c>
      <c r="C74" s="47">
        <f>C70</f>
        <v/>
      </c>
      <c r="D74" s="47">
        <f>D70</f>
        <v/>
      </c>
      <c r="E74" s="47">
        <f>E70+100</f>
        <v/>
      </c>
      <c r="F74" s="25">
        <f>F70+100</f>
        <v/>
      </c>
      <c r="H74" s="47">
        <f>"[["&amp;F74&amp;",900]]"</f>
        <v/>
      </c>
      <c r="I74" s="47">
        <f>"skill/sect/"&amp;E74</f>
        <v/>
      </c>
      <c r="J74" s="47" t="inlineStr">
        <is>
          <t>致命恩典</t>
        </is>
      </c>
      <c r="K74" s="36" t="inlineStr">
        <is>
          <t>角色暴击率提高&lt;color=be7013&gt;5%&lt;/color&gt;。</t>
        </is>
      </c>
      <c r="L74" s="47" t="n">
        <v>100132000</v>
      </c>
      <c r="M74" s="25" t="n">
        <v>100132000</v>
      </c>
      <c r="N74" s="47" t="inlineStr">
        <is>
          <t>[[3021,0.05],[3014,0.05]]</t>
        </is>
      </c>
      <c r="O74" s="47" t="inlineStr">
        <is>
          <t>[[3059,0.02]]</t>
        </is>
      </c>
      <c r="P74" s="47" t="inlineStr">
        <is>
          <t>[[3009,0.03],[3010,0.03],[3011,0.03]]</t>
        </is>
      </c>
      <c r="Q74" s="47" t="inlineStr">
        <is>
          <t>[[3001,10],[3002,2],[3003,1000]]</t>
        </is>
      </c>
      <c r="R74" s="47">
        <f>R70</f>
        <v/>
      </c>
      <c r="S74" s="47">
        <f>S66</f>
        <v/>
      </c>
      <c r="T74" s="47" t="inlineStr">
        <is>
          <t>增益</t>
        </is>
      </c>
      <c r="U74" s="47" t="inlineStr">
        <is>
          <t>skill_affix/hong</t>
        </is>
      </c>
      <c r="V74" s="47" t="n">
        <v>0</v>
      </c>
    </row>
    <row r="75">
      <c r="A75" s="47">
        <f>A71+1</f>
        <v/>
      </c>
      <c r="B75" s="47">
        <f>B71</f>
        <v/>
      </c>
      <c r="C75" s="47">
        <f>C71</f>
        <v/>
      </c>
      <c r="D75" s="47">
        <f>D71</f>
        <v/>
      </c>
      <c r="E75" s="47">
        <f>E71+100</f>
        <v/>
      </c>
      <c r="F75" s="25">
        <f>F71+100</f>
        <v/>
      </c>
      <c r="G75" s="25">
        <f>G71+100</f>
        <v/>
      </c>
      <c r="H75" s="47">
        <f>"[["&amp;G75&amp;",1]]"</f>
        <v/>
      </c>
      <c r="I75" s="47">
        <f>"skill/sect/"&amp;E75</f>
        <v/>
      </c>
      <c r="J75" s="47" t="inlineStr">
        <is>
          <t>致命恩典</t>
        </is>
      </c>
      <c r="K75" s="36" t="inlineStr">
        <is>
          <t>普通攻击触发暴击时有40%的概率将额外获得一层&lt;u color=4169E1 size=2&gt;&lt;a href=30034&gt;裁决&lt;/a&gt;&lt;/u&gt;。</t>
        </is>
      </c>
      <c r="L75" s="47" t="n">
        <v>100134000</v>
      </c>
      <c r="M75" s="25" t="inlineStr">
        <is>
          <t>100132000|100134000</t>
        </is>
      </c>
      <c r="N75" s="47" t="inlineStr">
        <is>
          <t>[[3021,0.05],[3014,0.05]]</t>
        </is>
      </c>
      <c r="O75" s="47" t="inlineStr">
        <is>
          <t>[[3059,0.02]]</t>
        </is>
      </c>
      <c r="P75" s="47" t="inlineStr">
        <is>
          <t>[[3009,0.04],[3010,0.04],[3011,0.04]]</t>
        </is>
      </c>
      <c r="Q75" s="47" t="inlineStr">
        <is>
          <t>[[3001,50],[3002,10],[3003,5000]]</t>
        </is>
      </c>
      <c r="R75" s="47">
        <f>R71</f>
        <v/>
      </c>
      <c r="S75" s="47">
        <f>S67</f>
        <v/>
      </c>
      <c r="T75" s="47" t="inlineStr">
        <is>
          <t>增益</t>
        </is>
      </c>
      <c r="U75" s="47" t="inlineStr">
        <is>
          <t>skill_affix/hong</t>
        </is>
      </c>
      <c r="V75" s="47" t="n">
        <v>0</v>
      </c>
    </row>
    <row r="76">
      <c r="A76" s="47" t="n">
        <v>2021</v>
      </c>
      <c r="B76" s="47" t="n">
        <v>1</v>
      </c>
      <c r="C76" s="47" t="n">
        <v>3</v>
      </c>
      <c r="D76" s="47" t="inlineStr">
        <is>
          <t>核心技能</t>
        </is>
      </c>
      <c r="E76" s="47" t="n">
        <v>202101</v>
      </c>
      <c r="F76" s="25" t="inlineStr">
        <is>
          <t>202110</t>
        </is>
      </c>
      <c r="H76" s="47" t="inlineStr">
        <is>
          <t>[[202110,300]]</t>
        </is>
      </c>
      <c r="I76" s="47" t="inlineStr">
        <is>
          <t>skill/sect/202101</t>
        </is>
      </c>
      <c r="J76" s="47" t="inlineStr">
        <is>
          <t>刻痕斩</t>
        </is>
      </c>
      <c r="K76" s="47" t="inlineStr">
        <is>
          <t>疾速连击所需战意降低&lt;color=be7013&gt;6&lt;/color&gt;点。</t>
        </is>
      </c>
      <c r="L76" s="47" t="n">
        <v>100211000</v>
      </c>
      <c r="O76" s="47" t="inlineStr">
        <is>
          <t>[[3059,0.02]]</t>
        </is>
      </c>
      <c r="P76" s="47" t="inlineStr">
        <is>
          <t>[[3009,0.01],[3010,0.01],[3011,0.01]]</t>
        </is>
      </c>
      <c r="Q76" s="47" t="inlineStr">
        <is>
          <t>[[3001,1],[3002,1],[3003,100]]</t>
        </is>
      </c>
      <c r="R76" s="47" t="inlineStr">
        <is>
          <t>[[103,10]]</t>
        </is>
      </c>
      <c r="S76" s="47" t="n">
        <v>2000</v>
      </c>
      <c r="T76" s="47" t="inlineStr">
        <is>
          <t>创伤</t>
        </is>
      </c>
      <c r="U76" s="47" t="inlineStr">
        <is>
          <t>skill_affix/huang</t>
        </is>
      </c>
      <c r="V76" s="47" t="n">
        <v>1</v>
      </c>
    </row>
    <row r="77">
      <c r="A77" s="47" t="n">
        <v>2021</v>
      </c>
      <c r="B77" s="47" t="n">
        <v>2</v>
      </c>
      <c r="C77" s="47" t="n">
        <v>4</v>
      </c>
      <c r="D77" s="47" t="inlineStr">
        <is>
          <t>核心技能</t>
        </is>
      </c>
      <c r="E77" s="47" t="n">
        <v>202102</v>
      </c>
      <c r="F77" s="25" t="inlineStr">
        <is>
          <t>202110</t>
        </is>
      </c>
      <c r="H77" s="47" t="inlineStr">
        <is>
          <t>[[202110,600]]</t>
        </is>
      </c>
      <c r="I77" s="47" t="inlineStr">
        <is>
          <t>skill/sect/202102</t>
        </is>
      </c>
      <c r="J77" s="47" t="inlineStr">
        <is>
          <t>刻痕斩</t>
        </is>
      </c>
      <c r="K77" s="47" t="inlineStr">
        <is>
          <t>疾速连击向前方释放六道斩击和一道剑气，造成总计&lt;color=be7013&gt;72%&lt;/color&gt;攻击力的物理伤害和&lt;color=be7013&gt;259%&lt;/color&gt;攻击力的创伤伤害。</t>
        </is>
      </c>
      <c r="L77" s="47" t="n">
        <v>100212000</v>
      </c>
      <c r="M77" s="25" t="n">
        <v>100212000</v>
      </c>
      <c r="O77" s="47" t="inlineStr">
        <is>
          <t>[[3059,0.02]]</t>
        </is>
      </c>
      <c r="P77" s="47" t="inlineStr">
        <is>
          <t>[[3009,0.02],[3010,0.02],[3011,0.02]]</t>
        </is>
      </c>
      <c r="Q77" s="47" t="inlineStr">
        <is>
          <t>[[3001,5],[3002,1],[3003,500]]</t>
        </is>
      </c>
      <c r="R77" s="47" t="inlineStr">
        <is>
          <t>[[103,10]]</t>
        </is>
      </c>
      <c r="S77" s="47" t="n">
        <v>5000</v>
      </c>
      <c r="T77" s="47" t="inlineStr">
        <is>
          <t>创伤</t>
        </is>
      </c>
      <c r="U77" s="47" t="inlineStr">
        <is>
          <t>skill_affix/huang</t>
        </is>
      </c>
      <c r="V77" s="47" t="n">
        <v>1</v>
      </c>
    </row>
    <row r="78">
      <c r="A78" s="47" t="n">
        <v>2021</v>
      </c>
      <c r="B78" s="47" t="n">
        <v>3</v>
      </c>
      <c r="C78" s="47" t="n">
        <v>6</v>
      </c>
      <c r="D78" s="47" t="inlineStr">
        <is>
          <t>核心技能</t>
        </is>
      </c>
      <c r="E78" s="47" t="n">
        <v>202103</v>
      </c>
      <c r="F78" s="25" t="inlineStr">
        <is>
          <t>202110</t>
        </is>
      </c>
      <c r="H78" s="47" t="inlineStr">
        <is>
          <t>[[202110,900]]</t>
        </is>
      </c>
      <c r="I78" s="47" t="inlineStr">
        <is>
          <t>skill/sect/202103</t>
        </is>
      </c>
      <c r="J78" s="47" t="inlineStr">
        <is>
          <t>刻痕斩</t>
        </is>
      </c>
      <c r="K78" s="47" t="inlineStr">
        <is>
          <t>疾速连击暴击率提高&lt;color=be7013&gt;40%&lt;/color&gt;。</t>
        </is>
      </c>
      <c r="L78" s="47" t="n">
        <v>100212000</v>
      </c>
      <c r="M78" s="25" t="n">
        <v>100212000</v>
      </c>
      <c r="N78" s="47" t="inlineStr">
        <is>
          <t>[[3099,0.4]]</t>
        </is>
      </c>
      <c r="O78" s="47" t="inlineStr">
        <is>
          <t>[[3059,0.02]]</t>
        </is>
      </c>
      <c r="P78" s="47" t="inlineStr">
        <is>
          <t>[[3009,0.03],[3010,0.03],[3011,0.03]]</t>
        </is>
      </c>
      <c r="Q78" s="47" t="inlineStr">
        <is>
          <t>[[3001,10],[3002,2],[3003,1000]]</t>
        </is>
      </c>
      <c r="R78" s="47" t="inlineStr">
        <is>
          <t>[[103,10]]</t>
        </is>
      </c>
      <c r="S78" s="47" t="n">
        <v>10000</v>
      </c>
      <c r="T78" s="47" t="inlineStr">
        <is>
          <t>创伤</t>
        </is>
      </c>
      <c r="U78" s="47" t="inlineStr">
        <is>
          <t>skill_affix/huang</t>
        </is>
      </c>
      <c r="V78" s="47" t="n">
        <v>1</v>
      </c>
    </row>
    <row r="79">
      <c r="A79" s="47" t="n">
        <v>2021</v>
      </c>
      <c r="B79" s="47" t="n">
        <v>4</v>
      </c>
      <c r="C79" s="47" t="n">
        <v>8</v>
      </c>
      <c r="D79" s="47" t="inlineStr">
        <is>
          <t>核心技能</t>
        </is>
      </c>
      <c r="E79" s="47" t="n">
        <v>202104</v>
      </c>
      <c r="F79" s="25" t="inlineStr">
        <is>
          <t>202110</t>
        </is>
      </c>
      <c r="G79" s="25" t="inlineStr">
        <is>
          <t>202120</t>
        </is>
      </c>
      <c r="H79" s="47" t="inlineStr">
        <is>
          <t>[[202120,1]]</t>
        </is>
      </c>
      <c r="I79" s="47" t="inlineStr">
        <is>
          <t>skill/sect/202104</t>
        </is>
      </c>
      <c r="J79" s="47" t="inlineStr">
        <is>
          <t>刻痕斩</t>
        </is>
      </c>
      <c r="K79" s="47" t="inlineStr">
        <is>
          <t>疾速连击触发暴击时将施加&lt;color=be7013&gt;2.15&lt;/color&gt;倍创伤效果。</t>
        </is>
      </c>
      <c r="L79" s="47" t="n">
        <v>100214000</v>
      </c>
      <c r="M79" s="25" t="n">
        <v>100212000</v>
      </c>
      <c r="N79" s="47" t="inlineStr">
        <is>
          <t>[[3099,0.4]]</t>
        </is>
      </c>
      <c r="O79" s="47" t="inlineStr">
        <is>
          <t>[[3059,0.02]]</t>
        </is>
      </c>
      <c r="P79" s="47" t="inlineStr">
        <is>
          <t>[[3009,0.04],[3010,0.04],[3011,0.04]]</t>
        </is>
      </c>
      <c r="Q79" s="47" t="inlineStr">
        <is>
          <t>[[3001,50],[3002,10],[3003,5000]]</t>
        </is>
      </c>
      <c r="R79" s="47" t="inlineStr">
        <is>
          <t>[[103,10]]</t>
        </is>
      </c>
      <c r="S79" s="47" t="n">
        <v>20000</v>
      </c>
      <c r="T79" s="47" t="inlineStr">
        <is>
          <t>创伤|减益</t>
        </is>
      </c>
      <c r="U79" s="47" t="inlineStr">
        <is>
          <t>skill_affix/huang|skill_affix/qing</t>
        </is>
      </c>
      <c r="V79" s="47" t="n">
        <v>1</v>
      </c>
    </row>
    <row r="80">
      <c r="A80" s="47" t="n">
        <v>2022</v>
      </c>
      <c r="B80" s="47" t="n">
        <v>1</v>
      </c>
      <c r="C80" s="47" t="n">
        <v>3</v>
      </c>
      <c r="D80" s="47" t="inlineStr">
        <is>
          <t>核心技能</t>
        </is>
      </c>
      <c r="E80" s="47" t="n">
        <v>202201</v>
      </c>
      <c r="F80" s="25" t="inlineStr">
        <is>
          <t>202210</t>
        </is>
      </c>
      <c r="H80" s="47" t="inlineStr">
        <is>
          <t>[[202210,300]]</t>
        </is>
      </c>
      <c r="I80" s="47" t="inlineStr">
        <is>
          <t>skill/sect/202201</t>
        </is>
      </c>
      <c r="J80" s="47" t="inlineStr">
        <is>
          <t>千刃破</t>
        </is>
      </c>
      <c r="K80" s="47" t="inlineStr">
        <is>
          <t>角色附伤伤害提高&lt;color=be7013&gt;10%&lt;/color&gt;。</t>
        </is>
      </c>
      <c r="N80" s="47" t="inlineStr">
        <is>
          <t>[[3031,0.1]]</t>
        </is>
      </c>
      <c r="O80" s="47" t="inlineStr">
        <is>
          <t>[[3059,0.02]]</t>
        </is>
      </c>
      <c r="P80" s="47" t="inlineStr">
        <is>
          <t>[[3009,0.01],[3010,0.01],[3011,0.01]]</t>
        </is>
      </c>
      <c r="Q80" s="47" t="inlineStr">
        <is>
          <t>[[3001,1],[3002,1],[3003,100]]</t>
        </is>
      </c>
      <c r="R80" s="47" t="inlineStr">
        <is>
          <t>[[103,10]]</t>
        </is>
      </c>
      <c r="S80" s="47" t="n">
        <v>2000</v>
      </c>
      <c r="T80" s="47" t="inlineStr">
        <is>
          <t>附伤</t>
        </is>
      </c>
      <c r="U80" s="47" t="inlineStr">
        <is>
          <t>skill_affix/huang</t>
        </is>
      </c>
      <c r="V80" s="47" t="n">
        <v>1</v>
      </c>
    </row>
    <row r="81">
      <c r="A81" s="47" t="n">
        <v>2022</v>
      </c>
      <c r="B81" s="47" t="n">
        <v>2</v>
      </c>
      <c r="C81" s="47" t="n">
        <v>4</v>
      </c>
      <c r="D81" s="47" t="inlineStr">
        <is>
          <t>核心技能</t>
        </is>
      </c>
      <c r="E81" s="47" t="n">
        <v>202202</v>
      </c>
      <c r="F81" s="25" t="inlineStr">
        <is>
          <t>202210</t>
        </is>
      </c>
      <c r="H81" s="47" t="inlineStr">
        <is>
          <t>[[202210,600]]</t>
        </is>
      </c>
      <c r="I81" s="47" t="inlineStr">
        <is>
          <t>skill/sect/202202</t>
        </is>
      </c>
      <c r="J81" s="47" t="inlineStr">
        <is>
          <t>千刃破</t>
        </is>
      </c>
      <c r="K81" s="47" t="inlineStr">
        <is>
          <t>疾速连击造成伤害时有&lt;color=be7013&gt;40%&lt;/color&gt;概率释放一道闪电，造成&lt;color=be7013&gt;48.6%&lt;/color&gt;攻击力的伤害并造成&lt;u color=4169E1 size=2&gt;&lt;a href=30007&gt;麻痹&lt;/a&gt;&lt;/u&gt;。</t>
        </is>
      </c>
      <c r="L81" s="47" t="n">
        <v>100222000</v>
      </c>
      <c r="M81" s="25" t="n">
        <v>100222000</v>
      </c>
      <c r="N81" s="47" t="inlineStr">
        <is>
          <t>[[3031,0.1]]</t>
        </is>
      </c>
      <c r="O81" s="47" t="inlineStr">
        <is>
          <t>[[3059,0.02]]</t>
        </is>
      </c>
      <c r="P81" s="47" t="inlineStr">
        <is>
          <t>[[3009,0.02],[3010,0.02],[3011,0.02]]</t>
        </is>
      </c>
      <c r="Q81" s="47" t="inlineStr">
        <is>
          <t>[[3001,5],[3002,1],[3003,500]]</t>
        </is>
      </c>
      <c r="R81" s="47" t="inlineStr">
        <is>
          <t>[[103,10]]</t>
        </is>
      </c>
      <c r="S81" s="47" t="n">
        <v>5000</v>
      </c>
      <c r="T81" s="47" t="inlineStr">
        <is>
          <t>附伤|减益</t>
        </is>
      </c>
      <c r="U81" s="47" t="inlineStr">
        <is>
          <t>skill_affix/huang|skill_affix/qing</t>
        </is>
      </c>
      <c r="V81" s="47" t="n">
        <v>1</v>
      </c>
    </row>
    <row r="82">
      <c r="A82" s="47" t="n">
        <v>2022</v>
      </c>
      <c r="B82" s="47" t="n">
        <v>3</v>
      </c>
      <c r="C82" s="47" t="n">
        <v>6</v>
      </c>
      <c r="D82" s="47" t="inlineStr">
        <is>
          <t>核心技能</t>
        </is>
      </c>
      <c r="E82" s="47" t="n">
        <v>202203</v>
      </c>
      <c r="F82" s="25" t="inlineStr">
        <is>
          <t>202210</t>
        </is>
      </c>
      <c r="H82" s="47" t="inlineStr">
        <is>
          <t>[[202210,900]]</t>
        </is>
      </c>
      <c r="I82" s="47" t="inlineStr">
        <is>
          <t>skill/sect/202203</t>
        </is>
      </c>
      <c r="J82" s="47" t="inlineStr">
        <is>
          <t>千刃破</t>
        </is>
      </c>
      <c r="K82" s="47" t="inlineStr">
        <is>
          <t>角色附伤概率提高&lt;color=be7013&gt;15%&lt;/color&gt;。</t>
        </is>
      </c>
      <c r="L82" s="47" t="n">
        <v>100222000</v>
      </c>
      <c r="M82" s="25" t="n">
        <v>100222000</v>
      </c>
      <c r="N82" s="47" t="inlineStr">
        <is>
          <t>[[3031,0.1],[3029,0.15]]</t>
        </is>
      </c>
      <c r="O82" s="47" t="inlineStr">
        <is>
          <t>[[3059,0.02]]</t>
        </is>
      </c>
      <c r="P82" s="47" t="inlineStr">
        <is>
          <t>[[3009,0.03],[3010,0.03],[3011,0.03]]</t>
        </is>
      </c>
      <c r="Q82" s="47" t="inlineStr">
        <is>
          <t>[[3001,10],[3002,2],[3003,1000]]</t>
        </is>
      </c>
      <c r="R82" s="47" t="inlineStr">
        <is>
          <t>[[103,10]]</t>
        </is>
      </c>
      <c r="S82" s="47" t="n">
        <v>10000</v>
      </c>
      <c r="T82" s="47" t="inlineStr">
        <is>
          <t>附伤|减益</t>
        </is>
      </c>
      <c r="U82" s="47" t="inlineStr">
        <is>
          <t>skill_affix/huang|skill_affix/qing</t>
        </is>
      </c>
      <c r="V82" s="47" t="n">
        <v>1</v>
      </c>
    </row>
    <row r="83">
      <c r="A83" s="47" t="n">
        <v>2022</v>
      </c>
      <c r="B83" s="47" t="n">
        <v>4</v>
      </c>
      <c r="C83" s="47" t="n">
        <v>8</v>
      </c>
      <c r="D83" s="47" t="inlineStr">
        <is>
          <t>核心技能</t>
        </is>
      </c>
      <c r="E83" s="47" t="n">
        <v>202204</v>
      </c>
      <c r="F83" s="25" t="inlineStr">
        <is>
          <t>202210</t>
        </is>
      </c>
      <c r="G83" s="25" t="inlineStr">
        <is>
          <t>202220</t>
        </is>
      </c>
      <c r="H83" s="47" t="inlineStr">
        <is>
          <t>[[202220,1]]</t>
        </is>
      </c>
      <c r="I83" s="47" t="inlineStr">
        <is>
          <t>skill/sect/202204</t>
        </is>
      </c>
      <c r="J83" s="47" t="inlineStr">
        <is>
          <t>千刃破</t>
        </is>
      </c>
      <c r="K83" s="47" t="inlineStr">
        <is>
          <t>疾速连击的打击次数提高至&lt;color=be7013&gt;10&lt;/color&gt;次。</t>
        </is>
      </c>
      <c r="L83" s="47" t="n">
        <v>100224000</v>
      </c>
      <c r="M83" s="25" t="n">
        <v>100224000</v>
      </c>
      <c r="N83" s="47" t="inlineStr">
        <is>
          <t>[[3031,0.1],[3029,0.15]]</t>
        </is>
      </c>
      <c r="O83" s="47" t="inlineStr">
        <is>
          <t>[[3059,0.02]]</t>
        </is>
      </c>
      <c r="P83" s="47" t="inlineStr">
        <is>
          <t>[[3009,0.04],[3010,0.04],[3011,0.04]]</t>
        </is>
      </c>
      <c r="Q83" s="47" t="inlineStr">
        <is>
          <t>[[3001,50],[3002,10],[3003,5000]]</t>
        </is>
      </c>
      <c r="R83" s="47" t="inlineStr">
        <is>
          <t>[[103,10]]</t>
        </is>
      </c>
      <c r="S83" s="47" t="n">
        <v>20000</v>
      </c>
      <c r="T83" s="47" t="inlineStr">
        <is>
          <t>附伤|减益</t>
        </is>
      </c>
      <c r="U83" s="47" t="inlineStr">
        <is>
          <t>skill_affix/huang|skill_affix/qing</t>
        </is>
      </c>
      <c r="V83" s="47" t="n">
        <v>1</v>
      </c>
    </row>
    <row r="84">
      <c r="A84" s="47">
        <f>A80+1</f>
        <v/>
      </c>
      <c r="B84" s="47">
        <f>B80</f>
        <v/>
      </c>
      <c r="C84" s="47">
        <f>C80</f>
        <v/>
      </c>
      <c r="D84" s="47">
        <f>D80</f>
        <v/>
      </c>
      <c r="E84" s="47">
        <f>E80+100</f>
        <v/>
      </c>
      <c r="F84" s="25">
        <f>F80+100</f>
        <v/>
      </c>
      <c r="H84" s="47">
        <f>"[["&amp;F84&amp;",300]]"</f>
        <v/>
      </c>
      <c r="I84" s="47">
        <f>"skill/sect/"&amp;E84</f>
        <v/>
      </c>
      <c r="J84" s="47" t="inlineStr">
        <is>
          <t>断罪舞</t>
        </is>
      </c>
      <c r="K84" s="36" t="inlineStr">
        <is>
          <t>疾速连击伤害提高&lt;color=be7013&gt;10%&lt;/color&gt;。</t>
        </is>
      </c>
      <c r="N84" s="47" t="inlineStr">
        <is>
          <t>[[3208,0.1]]</t>
        </is>
      </c>
      <c r="O84" s="47" t="inlineStr">
        <is>
          <t>[[3059,0.02]]</t>
        </is>
      </c>
      <c r="P84" s="47" t="inlineStr">
        <is>
          <t>[[3009,0.01],[3010,0.01],[3011,0.01]]</t>
        </is>
      </c>
      <c r="Q84" s="47" t="inlineStr">
        <is>
          <t>[[3001,1],[3002,1],[3003,100]]</t>
        </is>
      </c>
      <c r="R84" s="47">
        <f>R80</f>
        <v/>
      </c>
      <c r="S84" s="47">
        <f>S76</f>
        <v/>
      </c>
      <c r="T84" s="47" t="inlineStr">
        <is>
          <t>增益</t>
        </is>
      </c>
      <c r="U84" s="47" t="inlineStr">
        <is>
          <t>skill_affix/hong</t>
        </is>
      </c>
      <c r="V84" s="47" t="n">
        <v>0</v>
      </c>
    </row>
    <row r="85">
      <c r="A85" s="47">
        <f>A81+1</f>
        <v/>
      </c>
      <c r="B85" s="47">
        <f>B81</f>
        <v/>
      </c>
      <c r="C85" s="47">
        <f>C81</f>
        <v/>
      </c>
      <c r="D85" s="47">
        <f>D81</f>
        <v/>
      </c>
      <c r="E85" s="47">
        <f>E81+100</f>
        <v/>
      </c>
      <c r="F85" s="25">
        <f>F81+100</f>
        <v/>
      </c>
      <c r="H85" s="47">
        <f>"[["&amp;F85&amp;",600]]"</f>
        <v/>
      </c>
      <c r="I85" s="47">
        <f>"skill/sect/"&amp;E85</f>
        <v/>
      </c>
      <c r="J85" s="47" t="inlineStr">
        <is>
          <t>断罪舞</t>
        </is>
      </c>
      <c r="K85" s="36" t="inlineStr">
        <is>
          <t>不再进行连击，而是向前释放两段斩击造成总计&lt;color=be7013&gt;195%&lt;/color&gt;攻击力的伤害，释放斩击时获得2层&lt;u color=4169E1 size=2&gt;&lt;a href=30034&gt;裁决&lt;/a&gt;&lt;/u&gt;，若&lt;u color=4169E1 size=2&gt;&lt;a href=30034&gt;裁决&lt;/a&gt;&lt;/u&gt;达到10层将清空当前所有&lt;u color=4169E1 size=2&gt;&lt;a href=30034&gt;裁决&lt;/a&gt;&lt;/u&gt;，并进入5s&lt;u color=4169E1 size=2&gt;&lt;a href=30035&gt;裁决时刻&lt;/a&gt;&lt;/u&gt;。</t>
        </is>
      </c>
      <c r="L85" s="47" t="n">
        <v>100232000</v>
      </c>
      <c r="M85" s="25" t="n">
        <v>100232000</v>
      </c>
      <c r="N85" s="47" t="inlineStr">
        <is>
          <t>[[3208,0.1]]</t>
        </is>
      </c>
      <c r="O85" s="47" t="inlineStr">
        <is>
          <t>[[3059,0.02]]</t>
        </is>
      </c>
      <c r="P85" s="47" t="inlineStr">
        <is>
          <t>[[3009,0.02],[3010,0.02],[3011,0.02]]</t>
        </is>
      </c>
      <c r="Q85" s="47" t="inlineStr">
        <is>
          <t>[[3001,5],[3002,1],[3003,500]]</t>
        </is>
      </c>
      <c r="R85" s="47">
        <f>R81</f>
        <v/>
      </c>
      <c r="S85" s="47">
        <f>S77</f>
        <v/>
      </c>
      <c r="T85" s="47" t="inlineStr">
        <is>
          <t>增益</t>
        </is>
      </c>
      <c r="U85" s="47" t="inlineStr">
        <is>
          <t>skill_affix/hong</t>
        </is>
      </c>
      <c r="V85" s="47" t="n">
        <v>0</v>
      </c>
    </row>
    <row r="86">
      <c r="A86" s="47">
        <f>A82+1</f>
        <v/>
      </c>
      <c r="B86" s="47">
        <f>B82</f>
        <v/>
      </c>
      <c r="C86" s="47">
        <f>C82</f>
        <v/>
      </c>
      <c r="D86" s="47">
        <f>D82</f>
        <v/>
      </c>
      <c r="E86" s="47">
        <f>E82+100</f>
        <v/>
      </c>
      <c r="F86" s="25">
        <f>F82+100</f>
        <v/>
      </c>
      <c r="H86" s="47">
        <f>"[["&amp;F86&amp;",900]]"</f>
        <v/>
      </c>
      <c r="I86" s="47">
        <f>"skill/sect/"&amp;E86</f>
        <v/>
      </c>
      <c r="J86" s="47" t="inlineStr">
        <is>
          <t>断罪舞</t>
        </is>
      </c>
      <c r="K86" s="36" t="inlineStr">
        <is>
          <t>疾速连击暴击伤害提高&lt;color=be7013&gt;60%&lt;/color&gt;。</t>
        </is>
      </c>
      <c r="L86" s="47" t="n">
        <v>100232000</v>
      </c>
      <c r="M86" s="25" t="n">
        <v>100232000</v>
      </c>
      <c r="N86" s="47" t="inlineStr">
        <is>
          <t>[[3208,0.1],[3212,0.6]]</t>
        </is>
      </c>
      <c r="O86" s="47" t="inlineStr">
        <is>
          <t>[[3059,0.02]]</t>
        </is>
      </c>
      <c r="P86" s="47" t="inlineStr">
        <is>
          <t>[[3009,0.03],[3010,0.03],[3011,0.03]]</t>
        </is>
      </c>
      <c r="Q86" s="47" t="inlineStr">
        <is>
          <t>[[3001,10],[3002,2],[3003,1000]]</t>
        </is>
      </c>
      <c r="R86" s="47">
        <f>R82</f>
        <v/>
      </c>
      <c r="S86" s="47">
        <f>S78</f>
        <v/>
      </c>
      <c r="T86" s="47" t="inlineStr">
        <is>
          <t>增益</t>
        </is>
      </c>
      <c r="U86" s="47" t="inlineStr">
        <is>
          <t>skill_affix/hong</t>
        </is>
      </c>
      <c r="V86" s="47" t="n">
        <v>0</v>
      </c>
    </row>
    <row r="87">
      <c r="A87" s="47">
        <f>A83+1</f>
        <v/>
      </c>
      <c r="B87" s="47">
        <f>B83</f>
        <v/>
      </c>
      <c r="C87" s="47">
        <f>C83</f>
        <v/>
      </c>
      <c r="D87" s="47">
        <f>D83</f>
        <v/>
      </c>
      <c r="E87" s="47">
        <f>E83+100</f>
        <v/>
      </c>
      <c r="F87" s="25">
        <f>F83+100</f>
        <v/>
      </c>
      <c r="G87" s="25">
        <f>G83+100</f>
        <v/>
      </c>
      <c r="H87" s="47">
        <f>"[["&amp;G87&amp;",1]]"</f>
        <v/>
      </c>
      <c r="I87" s="47">
        <f>"skill/sect/"&amp;E87</f>
        <v/>
      </c>
      <c r="J87" s="47" t="inlineStr">
        <is>
          <t>断罪舞</t>
        </is>
      </c>
      <c r="K87" s="36" t="inlineStr">
        <is>
          <t>额外释放一段斩击造成&lt;color=be7013&gt;146%&lt;/color&gt;攻击力的伤害。进入&lt;u color=4169E1 size=2&gt;&lt;a href=30035&gt;裁决时刻&lt;/a&gt;&lt;/u&gt;状态时每触发一次暴击将额外释放一道斩击波造成&lt;color=be7013&gt;18%&lt;/color&gt;攻击力的伤害。</t>
        </is>
      </c>
      <c r="L87" s="47" t="n">
        <v>100234000</v>
      </c>
      <c r="M87" s="25" t="n">
        <v>100234000</v>
      </c>
      <c r="N87" s="47" t="inlineStr">
        <is>
          <t>[[3208,0.1],[3212,0.6]]</t>
        </is>
      </c>
      <c r="O87" s="47" t="inlineStr">
        <is>
          <t>[[3059,0.02]]</t>
        </is>
      </c>
      <c r="P87" s="47" t="inlineStr">
        <is>
          <t>[[3009,0.04],[3010,0.04],[3011,0.04]]</t>
        </is>
      </c>
      <c r="Q87" s="47" t="inlineStr">
        <is>
          <t>[[3001,50],[3002,10],[3003,5000]]</t>
        </is>
      </c>
      <c r="R87" s="47">
        <f>R83</f>
        <v/>
      </c>
      <c r="S87" s="47">
        <f>S79</f>
        <v/>
      </c>
      <c r="T87" s="47" t="inlineStr">
        <is>
          <t>增益</t>
        </is>
      </c>
      <c r="U87" s="47" t="inlineStr">
        <is>
          <t>skill_affix/hong</t>
        </is>
      </c>
      <c r="V87" s="47" t="n">
        <v>0</v>
      </c>
    </row>
    <row r="88">
      <c r="A88" s="47" t="n">
        <v>2031</v>
      </c>
      <c r="B88" s="47" t="n">
        <v>1</v>
      </c>
      <c r="C88" s="47" t="n">
        <v>3</v>
      </c>
      <c r="D88" s="47" t="inlineStr">
        <is>
          <t>位移技能</t>
        </is>
      </c>
      <c r="E88" s="47" t="n">
        <v>203101</v>
      </c>
      <c r="F88" s="25" t="inlineStr">
        <is>
          <t>203110</t>
        </is>
      </c>
      <c r="H88" s="47" t="inlineStr">
        <is>
          <t>[[203110,300]]</t>
        </is>
      </c>
      <c r="I88" s="47" t="inlineStr">
        <is>
          <t>skill/sect/203101</t>
        </is>
      </c>
      <c r="J88" s="47" t="inlineStr">
        <is>
          <t>破甲冲刺</t>
        </is>
      </c>
      <c r="K88" s="47" t="inlineStr">
        <is>
          <t>风驰霆击冷却时间缩减&lt;color=be7013&gt;15%&lt;/color&gt;。</t>
        </is>
      </c>
      <c r="L88" s="47" t="n">
        <v>100311000</v>
      </c>
      <c r="N88" s="47" t="inlineStr">
        <is>
          <t>[[3214,0.15]]</t>
        </is>
      </c>
      <c r="O88" s="47" t="inlineStr">
        <is>
          <t>[[3059,0.02]]</t>
        </is>
      </c>
      <c r="P88" s="47" t="inlineStr">
        <is>
          <t>[[3009,0.01],[3010,0.01],[3011,0.01]]</t>
        </is>
      </c>
      <c r="Q88" s="47" t="inlineStr">
        <is>
          <t>[[3001,1],[3002,1],[3003,100]]</t>
        </is>
      </c>
      <c r="R88" s="47" t="inlineStr">
        <is>
          <t>[[103,10]]</t>
        </is>
      </c>
      <c r="S88" s="47" t="n">
        <v>1000</v>
      </c>
      <c r="T88" s="47" t="inlineStr">
        <is>
          <t>位移</t>
        </is>
      </c>
      <c r="U88" s="47" t="inlineStr">
        <is>
          <t>skill_affix/lan</t>
        </is>
      </c>
      <c r="V88" s="47" t="n">
        <v>1</v>
      </c>
    </row>
    <row r="89">
      <c r="A89" s="47" t="n">
        <v>2031</v>
      </c>
      <c r="B89" s="47" t="n">
        <v>2</v>
      </c>
      <c r="C89" s="47" t="n">
        <v>4</v>
      </c>
      <c r="D89" s="47" t="inlineStr">
        <is>
          <t>位移技能</t>
        </is>
      </c>
      <c r="E89" s="47" t="n">
        <v>203102</v>
      </c>
      <c r="F89" s="25" t="inlineStr">
        <is>
          <t>203110</t>
        </is>
      </c>
      <c r="H89" s="47" t="inlineStr">
        <is>
          <t>[[203110,600]]</t>
        </is>
      </c>
      <c r="I89" s="47" t="inlineStr">
        <is>
          <t>skill/sect/203102</t>
        </is>
      </c>
      <c r="J89" s="47" t="inlineStr">
        <is>
          <t>破甲冲刺</t>
        </is>
      </c>
      <c r="K89" s="47" t="inlineStr">
        <is>
          <t>冲锋时角色将进入无敌状态，冲锋结束后获得&lt;color=be7013&gt;35%&lt;/color&gt;的最终减伤，持续&lt;color=be7013&gt;2&lt;/color&gt;秒。</t>
        </is>
      </c>
      <c r="L89" s="47" t="n">
        <v>100312000</v>
      </c>
      <c r="N89" s="47" t="inlineStr">
        <is>
          <t>[[3214,0.15]]</t>
        </is>
      </c>
      <c r="O89" s="47" t="inlineStr">
        <is>
          <t>[[3059,0.02]]</t>
        </is>
      </c>
      <c r="P89" s="47" t="inlineStr">
        <is>
          <t>[[3009,0.02],[3010,0.02],[3011,0.02]]</t>
        </is>
      </c>
      <c r="Q89" s="47" t="inlineStr">
        <is>
          <t>[[3001,5],[3002,1],[3003,500]]</t>
        </is>
      </c>
      <c r="R89" s="47" t="inlineStr">
        <is>
          <t>[[103,10]]</t>
        </is>
      </c>
      <c r="S89" s="47" t="n">
        <v>3000</v>
      </c>
      <c r="T89" s="47" t="inlineStr">
        <is>
          <t>位移|增益</t>
        </is>
      </c>
      <c r="U89" s="47" t="inlineStr">
        <is>
          <t>skill_affix/lan|skill_affix/hong</t>
        </is>
      </c>
      <c r="V89" s="47" t="n">
        <v>1</v>
      </c>
    </row>
    <row r="90">
      <c r="A90" s="47" t="n">
        <v>2031</v>
      </c>
      <c r="B90" s="47" t="n">
        <v>3</v>
      </c>
      <c r="C90" s="47" t="n">
        <v>6</v>
      </c>
      <c r="D90" s="47" t="inlineStr">
        <is>
          <t>位移技能</t>
        </is>
      </c>
      <c r="E90" s="47" t="n">
        <v>203103</v>
      </c>
      <c r="F90" s="25" t="inlineStr">
        <is>
          <t>203110</t>
        </is>
      </c>
      <c r="H90" s="47" t="inlineStr">
        <is>
          <t>[[203110,900]]</t>
        </is>
      </c>
      <c r="I90" s="47" t="inlineStr">
        <is>
          <t>skill/sect/203103</t>
        </is>
      </c>
      <c r="J90" s="47" t="inlineStr">
        <is>
          <t>破甲冲刺</t>
        </is>
      </c>
      <c r="K90" s="47" t="inlineStr">
        <is>
          <t>角色战意充能提高&lt;color=be7013&gt;17%&lt;/color&gt;。</t>
        </is>
      </c>
      <c r="L90" s="47" t="n">
        <v>100312000</v>
      </c>
      <c r="N90" s="47" t="inlineStr">
        <is>
          <t>[[3214,0.15],[3005,0.17]]</t>
        </is>
      </c>
      <c r="O90" s="47" t="inlineStr">
        <is>
          <t>[[3059,0.02]]</t>
        </is>
      </c>
      <c r="P90" s="47" t="inlineStr">
        <is>
          <t>[[3009,0.03],[3010,0.03],[3011,0.03]]</t>
        </is>
      </c>
      <c r="Q90" s="47" t="inlineStr">
        <is>
          <t>[[3001,10],[3002,2],[3003,1000]]</t>
        </is>
      </c>
      <c r="R90" s="47" t="inlineStr">
        <is>
          <t>[[103,10]]</t>
        </is>
      </c>
      <c r="S90" s="47" t="n">
        <v>6000</v>
      </c>
      <c r="T90" s="47" t="inlineStr">
        <is>
          <t>位移|增益</t>
        </is>
      </c>
      <c r="U90" s="47" t="inlineStr">
        <is>
          <t>skill_affix/lan|skill_affix/hong</t>
        </is>
      </c>
      <c r="V90" s="47" t="n">
        <v>1</v>
      </c>
    </row>
    <row r="91">
      <c r="A91" s="47" t="n">
        <v>2031</v>
      </c>
      <c r="B91" s="47" t="n">
        <v>4</v>
      </c>
      <c r="C91" s="47" t="n">
        <v>8</v>
      </c>
      <c r="D91" s="47" t="inlineStr">
        <is>
          <t>位移技能</t>
        </is>
      </c>
      <c r="E91" s="47" t="n">
        <v>203104</v>
      </c>
      <c r="F91" s="25" t="inlineStr">
        <is>
          <t>203110</t>
        </is>
      </c>
      <c r="G91" s="25" t="inlineStr">
        <is>
          <t>203120</t>
        </is>
      </c>
      <c r="H91" s="47" t="inlineStr">
        <is>
          <t>[[203120,1]]</t>
        </is>
      </c>
      <c r="I91" s="47" t="inlineStr">
        <is>
          <t>skill/sect/203104</t>
        </is>
      </c>
      <c r="J91" s="47" t="inlineStr">
        <is>
          <t>破甲冲刺</t>
        </is>
      </c>
      <c r="K91" s="47" t="inlineStr">
        <is>
          <t>冲锋时角色进入无敌状态，冲锋结束后获得&lt;color=be7013&gt;50%&lt;/color&gt;的最终减伤，持续&lt;color=be7013&gt;2&lt;/color&gt;秒。</t>
        </is>
      </c>
      <c r="L91" s="47" t="n">
        <v>100314000</v>
      </c>
      <c r="N91" s="47" t="inlineStr">
        <is>
          <t>[[3214,0.15],[3005,0.17]]</t>
        </is>
      </c>
      <c r="O91" s="47" t="inlineStr">
        <is>
          <t>[[3059,0.02]]</t>
        </is>
      </c>
      <c r="P91" s="47" t="inlineStr">
        <is>
          <t>[[3009,0.04],[3010,0.04],[3011,0.04]]</t>
        </is>
      </c>
      <c r="Q91" s="47" t="inlineStr">
        <is>
          <t>[[3001,50],[3002,10],[3003,5000]]</t>
        </is>
      </c>
      <c r="R91" s="47" t="inlineStr">
        <is>
          <t>[[103,10]]</t>
        </is>
      </c>
      <c r="S91" s="47" t="n">
        <v>10000</v>
      </c>
      <c r="T91" s="47" t="inlineStr">
        <is>
          <t>位移|增益</t>
        </is>
      </c>
      <c r="U91" s="47" t="inlineStr">
        <is>
          <t>skill_affix/lan|skill_affix/hong</t>
        </is>
      </c>
      <c r="V91" s="47" t="n">
        <v>1</v>
      </c>
    </row>
    <row r="92">
      <c r="A92" s="47" t="n">
        <v>2032</v>
      </c>
      <c r="B92" s="47" t="n">
        <v>1</v>
      </c>
      <c r="C92" s="47" t="n">
        <v>3</v>
      </c>
      <c r="D92" s="47" t="inlineStr">
        <is>
          <t>位移技能</t>
        </is>
      </c>
      <c r="E92" s="47" t="n">
        <v>203201</v>
      </c>
      <c r="F92" s="25" t="inlineStr">
        <is>
          <t>203210</t>
        </is>
      </c>
      <c r="H92" s="47" t="inlineStr">
        <is>
          <t>[[203210,300]]</t>
        </is>
      </c>
      <c r="I92" s="47" t="inlineStr">
        <is>
          <t>skill/sect/203201</t>
        </is>
      </c>
      <c r="J92" s="47" t="inlineStr">
        <is>
          <t>幻影飓风</t>
        </is>
      </c>
      <c r="K92" s="47" t="inlineStr">
        <is>
          <t>角色暴击率提高&lt;color=be7013&gt;5%&lt;/color&gt;。</t>
        </is>
      </c>
      <c r="N92" s="47" t="inlineStr">
        <is>
          <t>[[3014,0.05]]</t>
        </is>
      </c>
      <c r="O92" s="47" t="inlineStr">
        <is>
          <t>[[3059,0.02]]</t>
        </is>
      </c>
      <c r="P92" s="47" t="inlineStr">
        <is>
          <t>[[3009,0.01],[3010,0.01],[3011,0.01]]</t>
        </is>
      </c>
      <c r="Q92" s="47" t="inlineStr">
        <is>
          <t>[[3001,1],[3002,1],[3003,100]]</t>
        </is>
      </c>
      <c r="R92" s="47" t="inlineStr">
        <is>
          <t>[[103,10]]</t>
        </is>
      </c>
      <c r="S92" s="47" t="n">
        <v>1000</v>
      </c>
      <c r="T92" s="47" t="inlineStr">
        <is>
          <t>控制</t>
        </is>
      </c>
      <c r="U92" s="47" t="inlineStr">
        <is>
          <t>skill_affix/zi</t>
        </is>
      </c>
      <c r="V92" s="47" t="n">
        <v>1</v>
      </c>
    </row>
    <row r="93">
      <c r="A93" s="47" t="n">
        <v>2032</v>
      </c>
      <c r="B93" s="47" t="n">
        <v>2</v>
      </c>
      <c r="C93" s="47" t="n">
        <v>4</v>
      </c>
      <c r="D93" s="47" t="inlineStr">
        <is>
          <t>位移技能</t>
        </is>
      </c>
      <c r="E93" s="47" t="n">
        <v>203202</v>
      </c>
      <c r="F93" s="25" t="inlineStr">
        <is>
          <t>203210</t>
        </is>
      </c>
      <c r="H93" s="47" t="inlineStr">
        <is>
          <t>[[203210,600]]</t>
        </is>
      </c>
      <c r="I93" s="47" t="inlineStr">
        <is>
          <t>skill/sect/203202</t>
        </is>
      </c>
      <c r="J93" s="47" t="inlineStr">
        <is>
          <t>幻影飓风</t>
        </is>
      </c>
      <c r="K93" s="47" t="inlineStr">
        <is>
          <t>风驰霆击不再进行冲锋，而是召唤一个幻影冲锋，随后生成一道持续&lt;color=be7013&gt;1.5&lt;/color&gt;秒的龙卷风，吸附周围敌人并&lt;color=be7013&gt;0.5&lt;/color&gt;秒造成一次&lt;color=be7013&gt;40.7&lt;/color&gt;%攻击力的物理伤害。</t>
        </is>
      </c>
      <c r="L93" s="47" t="n">
        <v>100322000</v>
      </c>
      <c r="N93" s="47" t="inlineStr">
        <is>
          <t>[[3014,0.05]]</t>
        </is>
      </c>
      <c r="O93" s="47" t="inlineStr">
        <is>
          <t>[[3059,0.02]]</t>
        </is>
      </c>
      <c r="P93" s="47" t="inlineStr">
        <is>
          <t>[[3009,0.02],[3010,0.02],[3011,0.02]]</t>
        </is>
      </c>
      <c r="Q93" s="47" t="inlineStr">
        <is>
          <t>[[3001,5],[3002,1],[3003,500]]</t>
        </is>
      </c>
      <c r="R93" s="47" t="inlineStr">
        <is>
          <t>[[103,10]]</t>
        </is>
      </c>
      <c r="S93" s="47" t="n">
        <v>3000</v>
      </c>
      <c r="T93" s="47" t="inlineStr">
        <is>
          <t>控制</t>
        </is>
      </c>
      <c r="U93" s="47" t="inlineStr">
        <is>
          <t>skill_affix/zi</t>
        </is>
      </c>
      <c r="V93" s="47" t="n">
        <v>1</v>
      </c>
    </row>
    <row r="94">
      <c r="A94" s="47" t="n">
        <v>2032</v>
      </c>
      <c r="B94" s="47" t="n">
        <v>3</v>
      </c>
      <c r="C94" s="47" t="n">
        <v>6</v>
      </c>
      <c r="D94" s="47" t="inlineStr">
        <is>
          <t>位移技能</t>
        </is>
      </c>
      <c r="E94" s="47" t="n">
        <v>203203</v>
      </c>
      <c r="F94" s="25" t="inlineStr">
        <is>
          <t>203210</t>
        </is>
      </c>
      <c r="H94" s="47" t="inlineStr">
        <is>
          <t>[[203210,900]]</t>
        </is>
      </c>
      <c r="I94" s="47" t="inlineStr">
        <is>
          <t>skill/sect/203203</t>
        </is>
      </c>
      <c r="J94" s="47" t="inlineStr">
        <is>
          <t>幻影飓风</t>
        </is>
      </c>
      <c r="K94" s="47" t="inlineStr">
        <is>
          <t>角色创伤伤害提高&lt;color=be7013&gt;7.5%&lt;/color&gt;。</t>
        </is>
      </c>
      <c r="L94" s="47" t="n">
        <v>100322000</v>
      </c>
      <c r="N94" s="47" t="inlineStr">
        <is>
          <t>[[3014,0.05],[3033,0.075]]</t>
        </is>
      </c>
      <c r="O94" s="47" t="inlineStr">
        <is>
          <t>[[3059,0.02]]</t>
        </is>
      </c>
      <c r="P94" s="47" t="inlineStr">
        <is>
          <t>[[3009,0.03],[3010,0.03],[3011,0.03]]</t>
        </is>
      </c>
      <c r="Q94" s="47" t="inlineStr">
        <is>
          <t>[[3001,10],[3002,2],[3003,1000]]</t>
        </is>
      </c>
      <c r="R94" s="47" t="inlineStr">
        <is>
          <t>[[103,10]]</t>
        </is>
      </c>
      <c r="S94" s="47" t="n">
        <v>6000</v>
      </c>
      <c r="T94" s="47" t="inlineStr">
        <is>
          <t>控制</t>
        </is>
      </c>
      <c r="U94" s="47" t="inlineStr">
        <is>
          <t>skill_affix/zi</t>
        </is>
      </c>
      <c r="V94" s="47" t="n">
        <v>1</v>
      </c>
    </row>
    <row r="95">
      <c r="A95" s="47" t="n">
        <v>2032</v>
      </c>
      <c r="B95" s="47" t="n">
        <v>4</v>
      </c>
      <c r="C95" s="47" t="n">
        <v>8</v>
      </c>
      <c r="D95" s="47" t="inlineStr">
        <is>
          <t>位移技能</t>
        </is>
      </c>
      <c r="E95" s="47" t="n">
        <v>203204</v>
      </c>
      <c r="F95" s="25" t="inlineStr">
        <is>
          <t>203210</t>
        </is>
      </c>
      <c r="G95" s="25" t="inlineStr">
        <is>
          <t>203220</t>
        </is>
      </c>
      <c r="H95" s="47" t="inlineStr">
        <is>
          <t>[[203220,1]]</t>
        </is>
      </c>
      <c r="I95" s="47" t="inlineStr">
        <is>
          <t>skill/sect/203204</t>
        </is>
      </c>
      <c r="J95" s="47" t="inlineStr">
        <is>
          <t>幻影飓风</t>
        </is>
      </c>
      <c r="K95" s="47" t="inlineStr">
        <is>
          <t>龙卷风半径增加&lt;color=be7013&gt;30%&lt;/color&gt;，持续时间翻倍且伤害提升至&lt;color=be7013&gt;81.4%&lt;/color&gt;。</t>
        </is>
      </c>
      <c r="L95" s="47" t="n">
        <v>100324000</v>
      </c>
      <c r="N95" s="47" t="inlineStr">
        <is>
          <t>[[3014,0.05],[3033,0.075]]</t>
        </is>
      </c>
      <c r="O95" s="47" t="inlineStr">
        <is>
          <t>[[3059,0.02]]</t>
        </is>
      </c>
      <c r="P95" s="47" t="inlineStr">
        <is>
          <t>[[3009,0.04],[3010,0.04],[3011,0.04]]</t>
        </is>
      </c>
      <c r="Q95" s="47" t="inlineStr">
        <is>
          <t>[[3001,50],[3002,10],[3003,5000]]</t>
        </is>
      </c>
      <c r="R95" s="47" t="inlineStr">
        <is>
          <t>[[103,10]]</t>
        </is>
      </c>
      <c r="S95" s="47" t="n">
        <v>10000</v>
      </c>
      <c r="T95" s="47" t="inlineStr">
        <is>
          <t>控制</t>
        </is>
      </c>
      <c r="U95" s="47" t="inlineStr">
        <is>
          <t>skill_affix/zi</t>
        </is>
      </c>
      <c r="V95" s="47" t="n">
        <v>1</v>
      </c>
    </row>
    <row r="96">
      <c r="A96" s="47">
        <f>A92+1</f>
        <v/>
      </c>
      <c r="B96" s="47">
        <f>B92</f>
        <v/>
      </c>
      <c r="C96" s="47">
        <f>C92</f>
        <v/>
      </c>
      <c r="D96" s="47">
        <f>D92</f>
        <v/>
      </c>
      <c r="E96" s="47">
        <f>E92+100</f>
        <v/>
      </c>
      <c r="F96" s="25">
        <f>F92+100</f>
        <v/>
      </c>
      <c r="H96" s="47">
        <f>"[["&amp;F96&amp;",300]]"</f>
        <v/>
      </c>
      <c r="I96" s="47">
        <f>"skill/sect/"&amp;E96</f>
        <v/>
      </c>
      <c r="J96" s="47" t="inlineStr">
        <is>
          <t>狼袭瞬影</t>
        </is>
      </c>
      <c r="K96" s="36" t="inlineStr">
        <is>
          <t>角色的急速提高&lt;color=be7013&gt;10%&lt;/color&gt;。</t>
        </is>
      </c>
      <c r="N96" s="47" t="inlineStr">
        <is>
          <t>[[3074,0.1]]</t>
        </is>
      </c>
      <c r="O96" s="47" t="inlineStr">
        <is>
          <t>[[3059,0.02]]</t>
        </is>
      </c>
      <c r="P96" s="47" t="inlineStr">
        <is>
          <t>[[3009,0.01],[3010,0.01],[3011,0.01]]</t>
        </is>
      </c>
      <c r="Q96" s="47" t="inlineStr">
        <is>
          <t>[[3001,1],[3002,1],[3003,100]]</t>
        </is>
      </c>
      <c r="R96" s="47">
        <f>R92</f>
        <v/>
      </c>
      <c r="S96" s="47">
        <f>S88</f>
        <v/>
      </c>
      <c r="T96" s="47" t="inlineStr">
        <is>
          <t>位移|增益</t>
        </is>
      </c>
      <c r="U96" s="47" t="inlineStr">
        <is>
          <t>skill_affix/lan|skill_affix/hong</t>
        </is>
      </c>
      <c r="V96" s="47" t="n">
        <v>0</v>
      </c>
    </row>
    <row r="97">
      <c r="A97" s="47">
        <f>A93+1</f>
        <v/>
      </c>
      <c r="B97" s="47">
        <f>B93</f>
        <v/>
      </c>
      <c r="C97" s="47">
        <f>C93</f>
        <v/>
      </c>
      <c r="D97" s="47">
        <f>D93</f>
        <v/>
      </c>
      <c r="E97" s="47">
        <f>E93+100</f>
        <v/>
      </c>
      <c r="F97" s="25">
        <f>F93+100</f>
        <v/>
      </c>
      <c r="H97" s="47">
        <f>"[["&amp;F97&amp;",600]]"</f>
        <v/>
      </c>
      <c r="I97" s="47">
        <f>"skill/sect/"&amp;E97</f>
        <v/>
      </c>
      <c r="J97" s="47" t="inlineStr">
        <is>
          <t>狼袭瞬影</t>
        </is>
      </c>
      <c r="K97" s="36" t="inlineStr">
        <is>
          <t>风驰霆击不再进行冲锋，而是跳向最近的敌人，落地后造成&lt;color=be7013&gt;196%&lt;/color&gt;攻击力的伤害。并提高&lt;color=be7013&gt;25%&lt;/color&gt;最终伤害，持续5秒。</t>
        </is>
      </c>
      <c r="L97" s="47" t="n">
        <v>100332000</v>
      </c>
      <c r="N97" s="47" t="inlineStr">
        <is>
          <t>[[3074,0.1]]</t>
        </is>
      </c>
      <c r="O97" s="47" t="inlineStr">
        <is>
          <t>[[3059,0.02]]</t>
        </is>
      </c>
      <c r="P97" s="47" t="inlineStr">
        <is>
          <t>[[3009,0.02],[3010,0.02],[3011,0.02]]</t>
        </is>
      </c>
      <c r="Q97" s="47" t="inlineStr">
        <is>
          <t>[[3001,5],[3002,1],[3003,500]]</t>
        </is>
      </c>
      <c r="R97" s="47">
        <f>R93</f>
        <v/>
      </c>
      <c r="S97" s="47">
        <f>S89</f>
        <v/>
      </c>
      <c r="T97" s="47" t="inlineStr">
        <is>
          <t>位移|增益</t>
        </is>
      </c>
      <c r="U97" s="47" t="inlineStr">
        <is>
          <t>skill_affix/lan|skill_affix/hong</t>
        </is>
      </c>
      <c r="V97" s="47" t="n">
        <v>0</v>
      </c>
    </row>
    <row r="98">
      <c r="A98" s="47">
        <f>A94+1</f>
        <v/>
      </c>
      <c r="B98" s="47">
        <f>B94</f>
        <v/>
      </c>
      <c r="C98" s="47">
        <f>C94</f>
        <v/>
      </c>
      <c r="D98" s="47">
        <f>D94</f>
        <v/>
      </c>
      <c r="E98" s="47">
        <f>E94+100</f>
        <v/>
      </c>
      <c r="F98" s="25">
        <f>F94+100</f>
        <v/>
      </c>
      <c r="H98" s="47">
        <f>"[["&amp;F98&amp;",900]]"</f>
        <v/>
      </c>
      <c r="I98" s="47">
        <f>"skill/sect/"&amp;E98</f>
        <v/>
      </c>
      <c r="J98" s="47" t="inlineStr">
        <is>
          <t>狼袭瞬影</t>
        </is>
      </c>
      <c r="K98" s="36" t="inlineStr">
        <is>
          <t>风驰霆击伤害提高&lt;color=be7013&gt;25%&lt;/color&gt;。</t>
        </is>
      </c>
      <c r="L98" s="47" t="n">
        <v>100332000</v>
      </c>
      <c r="N98" s="47" t="inlineStr">
        <is>
          <t>[[3074,0.1],[3215,0.25]]</t>
        </is>
      </c>
      <c r="O98" s="47" t="inlineStr">
        <is>
          <t>[[3059,0.02]]</t>
        </is>
      </c>
      <c r="P98" s="47" t="inlineStr">
        <is>
          <t>[[3009,0.03],[3010,0.03],[3011,0.03]]</t>
        </is>
      </c>
      <c r="Q98" s="47" t="inlineStr">
        <is>
          <t>[[3001,10],[3002,2],[3003,1000]]</t>
        </is>
      </c>
      <c r="R98" s="47">
        <f>R94</f>
        <v/>
      </c>
      <c r="S98" s="47">
        <f>S90</f>
        <v/>
      </c>
      <c r="T98" s="47" t="inlineStr">
        <is>
          <t>位移|增益</t>
        </is>
      </c>
      <c r="U98" s="47" t="inlineStr">
        <is>
          <t>skill_affix/lan|skill_affix/hong</t>
        </is>
      </c>
      <c r="V98" s="47" t="n">
        <v>0</v>
      </c>
    </row>
    <row r="99">
      <c r="A99" s="47">
        <f>A95+1</f>
        <v/>
      </c>
      <c r="B99" s="47">
        <f>B95</f>
        <v/>
      </c>
      <c r="C99" s="47">
        <f>C95</f>
        <v/>
      </c>
      <c r="D99" s="47">
        <f>D95</f>
        <v/>
      </c>
      <c r="E99" s="47">
        <f>E95+100</f>
        <v/>
      </c>
      <c r="F99" s="25">
        <f>F95+100</f>
        <v/>
      </c>
      <c r="G99" s="25">
        <f>G95+100</f>
        <v/>
      </c>
      <c r="H99" s="47">
        <f>"[["&amp;G99&amp;",1]]"</f>
        <v/>
      </c>
      <c r="I99" s="47">
        <f>"skill/sect/"&amp;E99</f>
        <v/>
      </c>
      <c r="J99" s="47" t="inlineStr">
        <is>
          <t>狼袭瞬影</t>
        </is>
      </c>
      <c r="K99" s="36" t="inlineStr">
        <is>
          <t>最终伤害加成提升至&lt;color=be7013&gt;43%&lt;/color&gt;。</t>
        </is>
      </c>
      <c r="L99" s="47" t="n">
        <v>100334000</v>
      </c>
      <c r="N99" s="47" t="inlineStr">
        <is>
          <t>[[3074,0.1],[3215,0.25]]</t>
        </is>
      </c>
      <c r="O99" s="47" t="inlineStr">
        <is>
          <t>[[3059,0.02]]</t>
        </is>
      </c>
      <c r="P99" s="47" t="inlineStr">
        <is>
          <t>[[3009,0.04],[3010,0.04],[3011,0.04]]</t>
        </is>
      </c>
      <c r="Q99" s="47" t="inlineStr">
        <is>
          <t>[[3001,50],[3002,10],[3003,5000]]</t>
        </is>
      </c>
      <c r="R99" s="47">
        <f>R95</f>
        <v/>
      </c>
      <c r="S99" s="47">
        <f>S91</f>
        <v/>
      </c>
      <c r="T99" s="47" t="inlineStr">
        <is>
          <t>位移|增益</t>
        </is>
      </c>
      <c r="U99" s="47" t="inlineStr">
        <is>
          <t>skill_affix/lan|skill_affix/hong</t>
        </is>
      </c>
      <c r="V99" s="47" t="n">
        <v>0</v>
      </c>
    </row>
    <row r="100">
      <c r="A100" s="47" t="n">
        <v>2041</v>
      </c>
      <c r="B100" s="47" t="n">
        <v>1</v>
      </c>
      <c r="C100" s="47" t="n">
        <v>3</v>
      </c>
      <c r="D100" s="47" t="inlineStr">
        <is>
          <t>BUFF技能</t>
        </is>
      </c>
      <c r="E100" s="47" t="n">
        <v>204101</v>
      </c>
      <c r="F100" s="25" t="inlineStr">
        <is>
          <t>204110</t>
        </is>
      </c>
      <c r="H100" s="47" t="inlineStr">
        <is>
          <t>[[204110,300]]</t>
        </is>
      </c>
      <c r="I100" s="47" t="inlineStr">
        <is>
          <t>skill/sect/204101</t>
        </is>
      </c>
      <c r="J100" s="47" t="inlineStr">
        <is>
          <t>怒影疾步</t>
        </is>
      </c>
      <c r="K100" s="47" t="inlineStr">
        <is>
          <t>角色格挡率提高&lt;color=be7013&gt;5%&lt;/color&gt;。</t>
        </is>
      </c>
      <c r="N100" s="47" t="inlineStr">
        <is>
          <t>[[10010,0.05]]</t>
        </is>
      </c>
      <c r="O100" s="47" t="inlineStr">
        <is>
          <t>[[3059,0.02]]</t>
        </is>
      </c>
      <c r="P100" s="47" t="inlineStr">
        <is>
          <t>[[3009,0.01],[3010,0.01],[3011,0.01]]</t>
        </is>
      </c>
      <c r="Q100" s="47" t="inlineStr">
        <is>
          <t>[[3001,1],[3002,1],[3003,100]]</t>
        </is>
      </c>
      <c r="R100" s="47" t="inlineStr">
        <is>
          <t>[[103,10]]</t>
        </is>
      </c>
      <c r="S100" s="47" t="n">
        <v>1000</v>
      </c>
      <c r="T100" s="47" t="inlineStr">
        <is>
          <t>格挡</t>
        </is>
      </c>
      <c r="U100" s="47" t="inlineStr">
        <is>
          <t>skill_affix/lan</t>
        </is>
      </c>
      <c r="V100" s="47" t="n">
        <v>1</v>
      </c>
    </row>
    <row r="101">
      <c r="A101" s="47" t="n">
        <v>2041</v>
      </c>
      <c r="B101" s="47" t="n">
        <v>2</v>
      </c>
      <c r="C101" s="47" t="n">
        <v>4</v>
      </c>
      <c r="D101" s="47" t="inlineStr">
        <is>
          <t>BUFF技能</t>
        </is>
      </c>
      <c r="E101" s="47" t="n">
        <v>204102</v>
      </c>
      <c r="F101" s="25" t="inlineStr">
        <is>
          <t>204110</t>
        </is>
      </c>
      <c r="H101" s="47" t="inlineStr">
        <is>
          <t>[[204110,600]]</t>
        </is>
      </c>
      <c r="I101" s="47" t="inlineStr">
        <is>
          <t>skill/sect/204102</t>
        </is>
      </c>
      <c r="J101" s="47" t="inlineStr">
        <is>
          <t>怒影疾步</t>
        </is>
      </c>
      <c r="K101" s="47" t="inlineStr">
        <is>
          <t>怒吼持续期间每次造成伤害将提升&lt;color=be7013&gt;17%&lt;/color&gt;的格挡减伤持续&lt;color=be7013&gt;5&lt;/color&gt;秒，最多叠加&lt;color=be7013&gt;10&lt;/color&gt;层。</t>
        </is>
      </c>
      <c r="L101" s="47" t="n">
        <v>100412000</v>
      </c>
      <c r="N101" s="47" t="inlineStr">
        <is>
          <t>[[10010,0.05]]</t>
        </is>
      </c>
      <c r="O101" s="47" t="inlineStr">
        <is>
          <t>[[3059,0.02]]</t>
        </is>
      </c>
      <c r="P101" s="47" t="inlineStr">
        <is>
          <t>[[3009,0.02],[3010,0.02],[3011,0.02]]</t>
        </is>
      </c>
      <c r="Q101" s="47" t="inlineStr">
        <is>
          <t>[[3001,5],[3002,1],[3003,500]]</t>
        </is>
      </c>
      <c r="R101" s="47" t="inlineStr">
        <is>
          <t>[[103,10]]</t>
        </is>
      </c>
      <c r="S101" s="47" t="n">
        <v>3000</v>
      </c>
      <c r="T101" s="47" t="inlineStr">
        <is>
          <t>格挡</t>
        </is>
      </c>
      <c r="U101" s="47" t="inlineStr">
        <is>
          <t>skill_affix/lan</t>
        </is>
      </c>
      <c r="V101" s="47" t="n">
        <v>1</v>
      </c>
    </row>
    <row r="102">
      <c r="A102" s="47" t="n">
        <v>2041</v>
      </c>
      <c r="B102" s="47" t="n">
        <v>3</v>
      </c>
      <c r="C102" s="47" t="n">
        <v>6</v>
      </c>
      <c r="D102" s="47" t="inlineStr">
        <is>
          <t>BUFF技能</t>
        </is>
      </c>
      <c r="E102" s="47" t="n">
        <v>204103</v>
      </c>
      <c r="F102" s="25" t="inlineStr">
        <is>
          <t>204110</t>
        </is>
      </c>
      <c r="H102" s="47" t="inlineStr">
        <is>
          <t>[[204110,900]]</t>
        </is>
      </c>
      <c r="I102" s="47" t="inlineStr">
        <is>
          <t>skill/sect/204103</t>
        </is>
      </c>
      <c r="J102" s="47" t="inlineStr">
        <is>
          <t>怒影疾步</t>
        </is>
      </c>
      <c r="K102" s="47" t="inlineStr">
        <is>
          <t>角色格挡减伤提高&lt;color=be7013&gt;50%&lt;/color&gt;。</t>
        </is>
      </c>
      <c r="L102" s="47" t="n">
        <v>100412000</v>
      </c>
      <c r="N102" s="47" t="inlineStr">
        <is>
          <t>[[10010,0.05],[10011,0.5]]</t>
        </is>
      </c>
      <c r="O102" s="47" t="inlineStr">
        <is>
          <t>[[3059,0.02]]</t>
        </is>
      </c>
      <c r="P102" s="47" t="inlineStr">
        <is>
          <t>[[3009,0.03],[3010,0.03],[3011,0.03]]</t>
        </is>
      </c>
      <c r="Q102" s="47" t="inlineStr">
        <is>
          <t>[[3001,10],[3002,2],[3003,1000]]</t>
        </is>
      </c>
      <c r="R102" s="47" t="inlineStr">
        <is>
          <t>[[103,10]]</t>
        </is>
      </c>
      <c r="S102" s="47" t="n">
        <v>6000</v>
      </c>
      <c r="T102" s="47" t="inlineStr">
        <is>
          <t>格挡</t>
        </is>
      </c>
      <c r="U102" s="47" t="inlineStr">
        <is>
          <t>skill_affix/lan</t>
        </is>
      </c>
      <c r="V102" s="47" t="n">
        <v>1</v>
      </c>
    </row>
    <row r="103">
      <c r="A103" s="47" t="n">
        <v>2041</v>
      </c>
      <c r="B103" s="47" t="n">
        <v>4</v>
      </c>
      <c r="C103" s="47" t="n">
        <v>8</v>
      </c>
      <c r="D103" s="47" t="inlineStr">
        <is>
          <t>BUFF技能</t>
        </is>
      </c>
      <c r="E103" s="47" t="n">
        <v>204104</v>
      </c>
      <c r="F103" s="25" t="inlineStr">
        <is>
          <t>204110</t>
        </is>
      </c>
      <c r="G103" s="25" t="inlineStr">
        <is>
          <t>204120</t>
        </is>
      </c>
      <c r="H103" s="47" t="inlineStr">
        <is>
          <t>[[204120,1]]</t>
        </is>
      </c>
      <c r="I103" s="47" t="inlineStr">
        <is>
          <t>skill/sect/204104</t>
        </is>
      </c>
      <c r="J103" s="47" t="inlineStr">
        <is>
          <t>怒影疾步</t>
        </is>
      </c>
      <c r="K103" s="47" t="inlineStr">
        <is>
          <t>怒吼的持续时间提高至&lt;color=be7013&gt;8&lt;/color&gt;秒，且每层格挡减伤提升至&lt;color=be7013&gt;34%&lt;/color&gt;。</t>
        </is>
      </c>
      <c r="L103" s="47" t="n">
        <v>100414000</v>
      </c>
      <c r="N103" s="47" t="inlineStr">
        <is>
          <t>[[10010,0.05],[10011,0.5]]</t>
        </is>
      </c>
      <c r="O103" s="47" t="inlineStr">
        <is>
          <t>[[3059,0.02]]</t>
        </is>
      </c>
      <c r="P103" s="47" t="inlineStr">
        <is>
          <t>[[3009,0.04],[3010,0.04],[3011,0.04]]</t>
        </is>
      </c>
      <c r="Q103" s="47" t="inlineStr">
        <is>
          <t>[[3001,50],[3002,10],[3003,5000]]</t>
        </is>
      </c>
      <c r="R103" s="47" t="inlineStr">
        <is>
          <t>[[103,10]]</t>
        </is>
      </c>
      <c r="S103" s="47" t="n">
        <v>10000</v>
      </c>
      <c r="T103" s="47" t="inlineStr">
        <is>
          <t>格挡</t>
        </is>
      </c>
      <c r="U103" s="47" t="inlineStr">
        <is>
          <t>skill_affix/lan</t>
        </is>
      </c>
      <c r="V103" s="47" t="n">
        <v>1</v>
      </c>
    </row>
    <row r="104">
      <c r="A104" s="47" t="n">
        <v>2042</v>
      </c>
      <c r="B104" s="47" t="n">
        <v>1</v>
      </c>
      <c r="C104" s="47" t="n">
        <v>3</v>
      </c>
      <c r="D104" s="47" t="inlineStr">
        <is>
          <t>BUFF技能</t>
        </is>
      </c>
      <c r="E104" s="47" t="n">
        <v>204201</v>
      </c>
      <c r="F104" s="25" t="inlineStr">
        <is>
          <t>204210</t>
        </is>
      </c>
      <c r="H104" s="47" t="inlineStr">
        <is>
          <t>[[204210,300]]</t>
        </is>
      </c>
      <c r="I104" s="47" t="inlineStr">
        <is>
          <t>skill/sect/204201</t>
        </is>
      </c>
      <c r="J104" s="47" t="inlineStr">
        <is>
          <t>暴戾战吼</t>
        </is>
      </c>
      <c r="K104" s="47" t="inlineStr">
        <is>
          <t>角色暴击率提高&lt;color=be7013&gt;5%&lt;/color&gt;。</t>
        </is>
      </c>
      <c r="N104" s="47" t="inlineStr">
        <is>
          <t>[[3014,0.05]]</t>
        </is>
      </c>
      <c r="O104" s="47" t="inlineStr">
        <is>
          <t>[[3059,0.02]]</t>
        </is>
      </c>
      <c r="P104" s="47" t="inlineStr">
        <is>
          <t>[[3009,0.01],[3010,0.01],[3011,0.01]]</t>
        </is>
      </c>
      <c r="Q104" s="47" t="inlineStr">
        <is>
          <t>[[3001,1],[3002,1],[3003,100]]</t>
        </is>
      </c>
      <c r="R104" s="47" t="inlineStr">
        <is>
          <t>[[103,10]]</t>
        </is>
      </c>
      <c r="S104" s="47" t="n">
        <v>1000</v>
      </c>
      <c r="T104" s="47" t="inlineStr">
        <is>
          <t>减益</t>
        </is>
      </c>
      <c r="U104" s="47" t="inlineStr">
        <is>
          <t>skill_affix/qing</t>
        </is>
      </c>
      <c r="V104" s="47" t="n">
        <v>1</v>
      </c>
    </row>
    <row r="105">
      <c r="A105" s="47" t="n">
        <v>2042</v>
      </c>
      <c r="B105" s="47" t="n">
        <v>2</v>
      </c>
      <c r="C105" s="47" t="n">
        <v>4</v>
      </c>
      <c r="D105" s="47" t="inlineStr">
        <is>
          <t>BUFF技能</t>
        </is>
      </c>
      <c r="E105" s="47" t="n">
        <v>204202</v>
      </c>
      <c r="F105" s="25" t="inlineStr">
        <is>
          <t>204210</t>
        </is>
      </c>
      <c r="H105" s="47" t="inlineStr">
        <is>
          <t>[[204210,600]]</t>
        </is>
      </c>
      <c r="I105" s="47" t="inlineStr">
        <is>
          <t>skill/sect/204202</t>
        </is>
      </c>
      <c r="J105" s="47" t="inlineStr">
        <is>
          <t>暴戾战吼</t>
        </is>
      </c>
      <c r="K105" s="47" t="inlineStr">
        <is>
          <t>每道刀光命中敌人时附带&lt;color=be7013&gt;1&lt;/color&gt;层&lt;u color=4169E1 size=2&gt;&lt;a href=30003&gt;易伤&lt;/a&gt;&lt;/u&gt;。</t>
        </is>
      </c>
      <c r="L105" s="47" t="n">
        <v>100422000</v>
      </c>
      <c r="N105" s="47" t="inlineStr">
        <is>
          <t>[[3014,0.05]]</t>
        </is>
      </c>
      <c r="O105" s="47" t="inlineStr">
        <is>
          <t>[[3059,0.02]]</t>
        </is>
      </c>
      <c r="P105" s="47" t="inlineStr">
        <is>
          <t>[[3009,0.02],[3010,0.02],[3011,0.02]]</t>
        </is>
      </c>
      <c r="Q105" s="47" t="inlineStr">
        <is>
          <t>[[3001,5],[3002,1],[3003,500]]</t>
        </is>
      </c>
      <c r="R105" s="47" t="inlineStr">
        <is>
          <t>[[103,10]]</t>
        </is>
      </c>
      <c r="S105" s="47" t="n">
        <v>3000</v>
      </c>
      <c r="T105" s="47" t="inlineStr">
        <is>
          <t>减益</t>
        </is>
      </c>
      <c r="U105" s="47" t="inlineStr">
        <is>
          <t>skill_affix/qing</t>
        </is>
      </c>
      <c r="V105" s="47" t="n">
        <v>1</v>
      </c>
    </row>
    <row r="106">
      <c r="A106" s="47" t="n">
        <v>2042</v>
      </c>
      <c r="B106" s="47" t="n">
        <v>3</v>
      </c>
      <c r="C106" s="47" t="n">
        <v>6</v>
      </c>
      <c r="D106" s="47" t="inlineStr">
        <is>
          <t>BUFF技能</t>
        </is>
      </c>
      <c r="E106" s="47" t="n">
        <v>204203</v>
      </c>
      <c r="F106" s="25" t="inlineStr">
        <is>
          <t>204210</t>
        </is>
      </c>
      <c r="H106" s="47" t="inlineStr">
        <is>
          <t>[[204210,900]]</t>
        </is>
      </c>
      <c r="I106" s="47" t="inlineStr">
        <is>
          <t>skill/sect/204203</t>
        </is>
      </c>
      <c r="J106" s="47" t="inlineStr">
        <is>
          <t>暴戾战吼</t>
        </is>
      </c>
      <c r="K106" s="47" t="inlineStr">
        <is>
          <t>角色暴击伤害提高&lt;color=be7013&gt;10%&lt;/color&gt;。</t>
        </is>
      </c>
      <c r="L106" s="47" t="n">
        <v>100422000</v>
      </c>
      <c r="N106" s="47" t="inlineStr">
        <is>
          <t>[[3014,0.05],[3015,0.1]]</t>
        </is>
      </c>
      <c r="O106" s="47" t="inlineStr">
        <is>
          <t>[[3059,0.02]]</t>
        </is>
      </c>
      <c r="P106" s="47" t="inlineStr">
        <is>
          <t>[[3009,0.03],[3010,0.03],[3011,0.03]]</t>
        </is>
      </c>
      <c r="Q106" s="47" t="inlineStr">
        <is>
          <t>[[3001,10],[3002,2],[3003,1000]]</t>
        </is>
      </c>
      <c r="R106" s="47" t="inlineStr">
        <is>
          <t>[[103,10]]</t>
        </is>
      </c>
      <c r="S106" s="47" t="n">
        <v>6000</v>
      </c>
      <c r="T106" s="47" t="inlineStr">
        <is>
          <t>减益</t>
        </is>
      </c>
      <c r="U106" s="47" t="inlineStr">
        <is>
          <t>skill_affix/qing</t>
        </is>
      </c>
      <c r="V106" s="47" t="n">
        <v>1</v>
      </c>
    </row>
    <row r="107">
      <c r="A107" s="47" t="n">
        <v>2042</v>
      </c>
      <c r="B107" s="47" t="n">
        <v>4</v>
      </c>
      <c r="C107" s="47" t="n">
        <v>8</v>
      </c>
      <c r="D107" s="47" t="inlineStr">
        <is>
          <t>BUFF技能</t>
        </is>
      </c>
      <c r="E107" s="47" t="n">
        <v>204204</v>
      </c>
      <c r="F107" s="25" t="inlineStr">
        <is>
          <t>204210</t>
        </is>
      </c>
      <c r="G107" s="25" t="inlineStr">
        <is>
          <t>204220</t>
        </is>
      </c>
      <c r="H107" s="47" t="inlineStr">
        <is>
          <t>[[204220,1]]</t>
        </is>
      </c>
      <c r="I107" s="47" t="inlineStr">
        <is>
          <t>skill/sect/204204</t>
        </is>
      </c>
      <c r="J107" s="47" t="inlineStr">
        <is>
          <t>暴戾战吼</t>
        </is>
      </c>
      <c r="K107" s="47" t="inlineStr">
        <is>
          <t>每道刀光命中敌人时附带&lt;color=be7013&gt;3&lt;/color&gt;层&lt;u color=4169E1 size=2&gt;&lt;a href=30003&gt;易伤&lt;/a&gt;&lt;/u&gt;。</t>
        </is>
      </c>
      <c r="L107" s="47" t="n">
        <v>100424000</v>
      </c>
      <c r="N107" s="47" t="inlineStr">
        <is>
          <t>[[3014,0.05],[3015,0.1]]</t>
        </is>
      </c>
      <c r="O107" s="47" t="inlineStr">
        <is>
          <t>[[3059,0.02]]</t>
        </is>
      </c>
      <c r="P107" s="47" t="inlineStr">
        <is>
          <t>[[3009,0.04],[3010,0.04],[3011,0.04]]</t>
        </is>
      </c>
      <c r="Q107" s="47" t="inlineStr">
        <is>
          <t>[[3001,50],[3002,10],[3003,5000]]</t>
        </is>
      </c>
      <c r="R107" s="47" t="inlineStr">
        <is>
          <t>[[103,10]]</t>
        </is>
      </c>
      <c r="S107" s="47" t="n">
        <v>10000</v>
      </c>
      <c r="T107" s="47" t="inlineStr">
        <is>
          <t>减益</t>
        </is>
      </c>
      <c r="U107" s="47" t="inlineStr">
        <is>
          <t>skill_affix/qing</t>
        </is>
      </c>
      <c r="V107" s="47" t="n">
        <v>1</v>
      </c>
    </row>
    <row r="108">
      <c r="A108" s="47">
        <f>A104+1</f>
        <v/>
      </c>
      <c r="B108" s="47">
        <f>B104</f>
        <v/>
      </c>
      <c r="C108" s="47">
        <f>C104</f>
        <v/>
      </c>
      <c r="D108" s="47">
        <f>D104</f>
        <v/>
      </c>
      <c r="E108" s="47">
        <f>E104+100</f>
        <v/>
      </c>
      <c r="F108" s="25">
        <f>F104+100</f>
        <v/>
      </c>
      <c r="H108" s="47">
        <f>"[["&amp;F108&amp;",300]]"</f>
        <v/>
      </c>
      <c r="I108" s="47">
        <f>"skill/sect/"&amp;E108</f>
        <v/>
      </c>
      <c r="J108" s="47" t="inlineStr">
        <is>
          <t>衰败斩击</t>
        </is>
      </c>
      <c r="K108" s="36" t="inlineStr">
        <is>
          <t>光翼重击冷却时间缩减&lt;color=be7013&gt;15%&lt;/color&gt;。</t>
        </is>
      </c>
      <c r="N108" s="47" t="inlineStr">
        <is>
          <t>[[3221,0.15]]</t>
        </is>
      </c>
      <c r="O108" s="47" t="inlineStr">
        <is>
          <t>[[3059,0.02]]</t>
        </is>
      </c>
      <c r="P108" s="47" t="inlineStr">
        <is>
          <t>[[3009,0.01],[3010,0.01],[3011,0.01]]</t>
        </is>
      </c>
      <c r="Q108" s="47" t="inlineStr">
        <is>
          <t>[[3001,1],[3002,1],[3003,100]]</t>
        </is>
      </c>
      <c r="R108" s="47">
        <f>R104</f>
        <v/>
      </c>
      <c r="S108" s="47">
        <f>S100</f>
        <v/>
      </c>
      <c r="T108" s="47" t="inlineStr">
        <is>
          <t>减益</t>
        </is>
      </c>
      <c r="U108" s="47" t="inlineStr">
        <is>
          <t>skill_affix/qing</t>
        </is>
      </c>
      <c r="V108" s="47" t="n">
        <v>0</v>
      </c>
    </row>
    <row r="109">
      <c r="A109" s="47">
        <f>A105+1</f>
        <v/>
      </c>
      <c r="B109" s="47">
        <f>B105</f>
        <v/>
      </c>
      <c r="C109" s="47">
        <f>C105</f>
        <v/>
      </c>
      <c r="D109" s="47">
        <f>D105</f>
        <v/>
      </c>
      <c r="E109" s="47">
        <f>E105+100</f>
        <v/>
      </c>
      <c r="F109" s="25">
        <f>F105+100</f>
        <v/>
      </c>
      <c r="H109" s="47">
        <f>"[["&amp;F109&amp;",600]]"</f>
        <v/>
      </c>
      <c r="I109" s="47">
        <f>"skill/sect/"&amp;E109</f>
        <v/>
      </c>
      <c r="J109" s="47" t="inlineStr">
        <is>
          <t>衰败斩击</t>
        </is>
      </c>
      <c r="K109" s="36" t="inlineStr">
        <is>
          <t>刀光命中敌人时降低其&lt;color=be7013&gt;27%&lt;/color&gt;的最终伤害，持续5秒。</t>
        </is>
      </c>
      <c r="L109" s="47" t="n">
        <v>100432000</v>
      </c>
      <c r="N109" s="47" t="inlineStr">
        <is>
          <t>[[3221,0.15]]</t>
        </is>
      </c>
      <c r="O109" s="47" t="inlineStr">
        <is>
          <t>[[3059,0.02]]</t>
        </is>
      </c>
      <c r="P109" s="47" t="inlineStr">
        <is>
          <t>[[3009,0.02],[3010,0.02],[3011,0.02]]</t>
        </is>
      </c>
      <c r="Q109" s="47" t="inlineStr">
        <is>
          <t>[[3001,5],[3002,1],[3003,500]]</t>
        </is>
      </c>
      <c r="R109" s="47">
        <f>R105</f>
        <v/>
      </c>
      <c r="S109" s="47">
        <f>S101</f>
        <v/>
      </c>
      <c r="T109" s="47" t="inlineStr">
        <is>
          <t>减益</t>
        </is>
      </c>
      <c r="U109" s="47" t="inlineStr">
        <is>
          <t>skill_affix/qing</t>
        </is>
      </c>
      <c r="V109" s="47" t="n">
        <v>0</v>
      </c>
    </row>
    <row r="110">
      <c r="A110" s="47">
        <f>A106+1</f>
        <v/>
      </c>
      <c r="B110" s="47">
        <f>B106</f>
        <v/>
      </c>
      <c r="C110" s="47">
        <f>C106</f>
        <v/>
      </c>
      <c r="D110" s="47">
        <f>D106</f>
        <v/>
      </c>
      <c r="E110" s="47">
        <f>E106+100</f>
        <v/>
      </c>
      <c r="F110" s="25">
        <f>F106+100</f>
        <v/>
      </c>
      <c r="H110" s="47">
        <f>"[["&amp;F110&amp;",900]]"</f>
        <v/>
      </c>
      <c r="I110" s="47">
        <f>"skill/sect/"&amp;E110</f>
        <v/>
      </c>
      <c r="J110" s="47" t="inlineStr">
        <is>
          <t>衰败斩击</t>
        </is>
      </c>
      <c r="K110" s="36" t="inlineStr">
        <is>
          <t>角色的战意充能提高&lt;color=be7013&gt;5%&lt;/color&gt;。</t>
        </is>
      </c>
      <c r="L110" s="47" t="n">
        <v>100432000</v>
      </c>
      <c r="N110" s="47" t="inlineStr">
        <is>
          <t>[[3221,0.15],[3005,0.05]]</t>
        </is>
      </c>
      <c r="O110" s="47" t="inlineStr">
        <is>
          <t>[[3059,0.02]]</t>
        </is>
      </c>
      <c r="P110" s="47" t="inlineStr">
        <is>
          <t>[[3009,0.03],[3010,0.03],[3011,0.03]]</t>
        </is>
      </c>
      <c r="Q110" s="47" t="inlineStr">
        <is>
          <t>[[3001,10],[3002,2],[3003,1000]]</t>
        </is>
      </c>
      <c r="R110" s="47">
        <f>R106</f>
        <v/>
      </c>
      <c r="S110" s="47">
        <f>S102</f>
        <v/>
      </c>
      <c r="T110" s="47" t="inlineStr">
        <is>
          <t>减益</t>
        </is>
      </c>
      <c r="U110" s="47" t="inlineStr">
        <is>
          <t>skill_affix/qing</t>
        </is>
      </c>
      <c r="V110" s="47" t="n">
        <v>0</v>
      </c>
    </row>
    <row r="111">
      <c r="A111" s="47">
        <f>A107+1</f>
        <v/>
      </c>
      <c r="B111" s="47">
        <f>B107</f>
        <v/>
      </c>
      <c r="C111" s="47">
        <f>C107</f>
        <v/>
      </c>
      <c r="D111" s="47">
        <f>D107</f>
        <v/>
      </c>
      <c r="E111" s="47">
        <f>E107+100</f>
        <v/>
      </c>
      <c r="F111" s="25">
        <f>F107+100</f>
        <v/>
      </c>
      <c r="G111" s="25">
        <f>G107+100</f>
        <v/>
      </c>
      <c r="H111" s="47">
        <f>"[["&amp;G111&amp;",1]]"</f>
        <v/>
      </c>
      <c r="I111" s="47">
        <f>"skill/sect/"&amp;E111</f>
        <v/>
      </c>
      <c r="J111" s="47" t="inlineStr">
        <is>
          <t>衰败斩击</t>
        </is>
      </c>
      <c r="K111" s="36" t="inlineStr">
        <is>
          <t>最终伤害削弱提升至&lt;color=be7013&gt;36%&lt;/color&gt;。</t>
        </is>
      </c>
      <c r="L111" s="47" t="n">
        <v>100434000</v>
      </c>
      <c r="N111" s="47" t="inlineStr">
        <is>
          <t>[[3221,0.15],[3005,0.05]]</t>
        </is>
      </c>
      <c r="O111" s="47" t="inlineStr">
        <is>
          <t>[[3059,0.02]]</t>
        </is>
      </c>
      <c r="P111" s="47" t="inlineStr">
        <is>
          <t>[[3009,0.04],[3010,0.04],[3011,0.04]]</t>
        </is>
      </c>
      <c r="Q111" s="47" t="inlineStr">
        <is>
          <t>[[3001,50],[3002,10],[3003,5000]]</t>
        </is>
      </c>
      <c r="R111" s="47">
        <f>R107</f>
        <v/>
      </c>
      <c r="S111" s="47">
        <f>S103</f>
        <v/>
      </c>
      <c r="T111" s="47" t="inlineStr">
        <is>
          <t>减益</t>
        </is>
      </c>
      <c r="U111" s="47" t="inlineStr">
        <is>
          <t>skill_affix/qing</t>
        </is>
      </c>
      <c r="V111" s="47" t="n">
        <v>0</v>
      </c>
    </row>
    <row r="112">
      <c r="A112" s="47" t="n">
        <v>2051</v>
      </c>
      <c r="B112" s="47" t="n">
        <v>1</v>
      </c>
      <c r="C112" s="47" t="n">
        <v>3</v>
      </c>
      <c r="D112" s="47" t="inlineStr">
        <is>
          <t>终极技能</t>
        </is>
      </c>
      <c r="E112" s="47" t="n">
        <v>205101</v>
      </c>
      <c r="F112" s="25" t="inlineStr">
        <is>
          <t>205110</t>
        </is>
      </c>
      <c r="H112" s="47" t="inlineStr">
        <is>
          <t>[[205110,300]]</t>
        </is>
      </c>
      <c r="I112" s="47" t="inlineStr">
        <is>
          <t>skill/sect/205101</t>
        </is>
      </c>
      <c r="J112" s="47" t="inlineStr">
        <is>
          <t>幻影剑袭</t>
        </is>
      </c>
      <c r="K112" s="47" t="inlineStr">
        <is>
          <t>角色急速提高&lt;color=be7013&gt;10%&lt;/color&gt;。</t>
        </is>
      </c>
      <c r="N112" s="47" t="inlineStr">
        <is>
          <t>[[3074,0.1]]</t>
        </is>
      </c>
      <c r="O112" s="47" t="inlineStr">
        <is>
          <t>[[3059,0.02]]</t>
        </is>
      </c>
      <c r="P112" s="47" t="inlineStr">
        <is>
          <t>[[3009,0.01],[3010,0.01],[3011,0.01]]</t>
        </is>
      </c>
      <c r="Q112" s="47" t="inlineStr">
        <is>
          <t>[[3001,1],[3002,1],[3003,100]]</t>
        </is>
      </c>
      <c r="R112" s="47" t="inlineStr">
        <is>
          <t>[[103,10]]</t>
        </is>
      </c>
      <c r="S112" s="47" t="n">
        <v>1000</v>
      </c>
      <c r="T112" s="47" t="inlineStr">
        <is>
          <t>附伤</t>
        </is>
      </c>
      <c r="U112" s="47" t="inlineStr">
        <is>
          <t>skill_affix/huang</t>
        </is>
      </c>
      <c r="V112" s="47" t="n">
        <v>1</v>
      </c>
    </row>
    <row r="113">
      <c r="A113" s="47" t="n">
        <v>2051</v>
      </c>
      <c r="B113" s="47" t="n">
        <v>2</v>
      </c>
      <c r="C113" s="47" t="n">
        <v>4</v>
      </c>
      <c r="D113" s="47" t="inlineStr">
        <is>
          <t>终极技能</t>
        </is>
      </c>
      <c r="E113" s="47" t="n">
        <v>205102</v>
      </c>
      <c r="F113" s="25" t="inlineStr">
        <is>
          <t>205110</t>
        </is>
      </c>
      <c r="H113" s="47" t="inlineStr">
        <is>
          <t>[[205110,600]]</t>
        </is>
      </c>
      <c r="I113" s="47" t="inlineStr">
        <is>
          <t>skill/sect/205102</t>
        </is>
      </c>
      <c r="J113" s="47" t="inlineStr">
        <is>
          <t>幻影剑袭</t>
        </is>
      </c>
      <c r="K113" s="47" t="inlineStr">
        <is>
          <t>刀魂获得进一步的强化，对敌人造成伤害时有&lt;color=be7013&gt;50%&lt;/color&gt;的概率将召唤一把飞剑追踪敌人，造成&lt;color=be7013&gt;31.1%&lt;/color&gt;攻击力的物理伤害，持续&lt;color=be7013&gt;8&lt;/color&gt;秒。</t>
        </is>
      </c>
      <c r="L113" s="47" t="n">
        <v>100522000</v>
      </c>
      <c r="N113" s="47" t="inlineStr">
        <is>
          <t>[[3074,0.1]]</t>
        </is>
      </c>
      <c r="O113" s="47" t="inlineStr">
        <is>
          <t>[[3059,0.02]]</t>
        </is>
      </c>
      <c r="P113" s="47" t="inlineStr">
        <is>
          <t>[[3009,0.02],[3010,0.02],[3011,0.02]]</t>
        </is>
      </c>
      <c r="Q113" s="47" t="inlineStr">
        <is>
          <t>[[3001,5],[3002,1],[3003,500]]</t>
        </is>
      </c>
      <c r="R113" s="47" t="inlineStr">
        <is>
          <t>[[103,10]]</t>
        </is>
      </c>
      <c r="S113" s="47" t="n">
        <v>4000</v>
      </c>
      <c r="T113" s="47" t="inlineStr">
        <is>
          <t>附伤</t>
        </is>
      </c>
      <c r="U113" s="47" t="inlineStr">
        <is>
          <t>skill_affix/huang</t>
        </is>
      </c>
      <c r="V113" s="47" t="n">
        <v>1</v>
      </c>
    </row>
    <row r="114">
      <c r="A114" s="47" t="n">
        <v>2051</v>
      </c>
      <c r="B114" s="47" t="n">
        <v>3</v>
      </c>
      <c r="C114" s="47" t="n">
        <v>6</v>
      </c>
      <c r="D114" s="47" t="inlineStr">
        <is>
          <t>终极技能</t>
        </is>
      </c>
      <c r="E114" s="47" t="n">
        <v>205103</v>
      </c>
      <c r="F114" s="25" t="inlineStr">
        <is>
          <t>205110</t>
        </is>
      </c>
      <c r="H114" s="47" t="inlineStr">
        <is>
          <t>[[205110,900]]</t>
        </is>
      </c>
      <c r="I114" s="47" t="inlineStr">
        <is>
          <t>skill/sect/205103</t>
        </is>
      </c>
      <c r="J114" s="47" t="inlineStr">
        <is>
          <t>幻影剑袭</t>
        </is>
      </c>
      <c r="K114" s="47" t="inlineStr">
        <is>
          <t>角色附加伤害提高&lt;color=be7013&gt;20%&lt;/color&gt;。</t>
        </is>
      </c>
      <c r="L114" s="47" t="n">
        <v>100522000</v>
      </c>
      <c r="N114" s="47" t="inlineStr">
        <is>
          <t>[[3074,0.1],[3031,0.2]]</t>
        </is>
      </c>
      <c r="O114" s="47" t="inlineStr">
        <is>
          <t>[[3059,0.02]]</t>
        </is>
      </c>
      <c r="P114" s="47" t="inlineStr">
        <is>
          <t>[[3009,0.03],[3010,0.03],[3011,0.03]]</t>
        </is>
      </c>
      <c r="Q114" s="47" t="inlineStr">
        <is>
          <t>[[3001,10],[3002,2],[3003,1000]]</t>
        </is>
      </c>
      <c r="R114" s="47" t="inlineStr">
        <is>
          <t>[[103,10]]</t>
        </is>
      </c>
      <c r="S114" s="47" t="n">
        <v>7500</v>
      </c>
      <c r="T114" s="47" t="inlineStr">
        <is>
          <t>附伤</t>
        </is>
      </c>
      <c r="U114" s="47" t="inlineStr">
        <is>
          <t>skill_affix/huang</t>
        </is>
      </c>
      <c r="V114" s="47" t="n">
        <v>1</v>
      </c>
    </row>
    <row r="115">
      <c r="A115" s="47" t="n">
        <v>2051</v>
      </c>
      <c r="B115" s="47" t="n">
        <v>4</v>
      </c>
      <c r="C115" s="47" t="n">
        <v>8</v>
      </c>
      <c r="D115" s="47" t="inlineStr">
        <is>
          <t>终极技能</t>
        </is>
      </c>
      <c r="E115" s="47" t="n">
        <v>205104</v>
      </c>
      <c r="F115" s="25" t="inlineStr">
        <is>
          <t>205110</t>
        </is>
      </c>
      <c r="G115" s="25" t="inlineStr">
        <is>
          <t>205120</t>
        </is>
      </c>
      <c r="H115" s="47" t="inlineStr">
        <is>
          <t>[[205120,1]]</t>
        </is>
      </c>
      <c r="I115" s="47" t="inlineStr">
        <is>
          <t>skill/sect/205104</t>
        </is>
      </c>
      <c r="J115" s="47" t="inlineStr">
        <is>
          <t>幻影剑袭</t>
        </is>
      </c>
      <c r="K115" s="47" t="inlineStr">
        <is>
          <t>刀魂获得进一步的强化持续时间提升至&lt;color=be7013&gt;12&lt;/color&gt;秒，召唤飞剑的概率提升至&lt;color=be7013&gt;100%&lt;/color&gt;且伤害提升至&lt;color=be7013&gt;35%&lt;/color&gt;</t>
        </is>
      </c>
      <c r="L115" s="47" t="n">
        <v>100524000</v>
      </c>
      <c r="N115" s="47" t="inlineStr">
        <is>
          <t>[[3074,0.1],[3031,0.2]]</t>
        </is>
      </c>
      <c r="O115" s="47" t="inlineStr">
        <is>
          <t>[[3059,0.02]]</t>
        </is>
      </c>
      <c r="P115" s="47" t="inlineStr">
        <is>
          <t>[[3009,0.04],[3010,0.04],[3011,0.04]]</t>
        </is>
      </c>
      <c r="Q115" s="47" t="inlineStr">
        <is>
          <t>[[3001,50],[3002,10],[3003,5000]]</t>
        </is>
      </c>
      <c r="R115" s="47" t="inlineStr">
        <is>
          <t>[[103,10]]</t>
        </is>
      </c>
      <c r="S115" s="47" t="n">
        <v>15000</v>
      </c>
      <c r="T115" s="47" t="inlineStr">
        <is>
          <t>附伤</t>
        </is>
      </c>
      <c r="U115" s="47" t="inlineStr">
        <is>
          <t>skill_affix/huang</t>
        </is>
      </c>
      <c r="V115" s="47" t="n">
        <v>1</v>
      </c>
    </row>
    <row r="116">
      <c r="A116" s="47" t="n">
        <v>2052</v>
      </c>
      <c r="B116" s="47" t="n">
        <v>1</v>
      </c>
      <c r="C116" s="47" t="n">
        <v>3</v>
      </c>
      <c r="D116" s="47" t="inlineStr">
        <is>
          <t>终极技能</t>
        </is>
      </c>
      <c r="E116" s="47" t="n">
        <v>205201</v>
      </c>
      <c r="F116" s="25" t="inlineStr">
        <is>
          <t>205210</t>
        </is>
      </c>
      <c r="H116" s="47" t="inlineStr">
        <is>
          <t>[[205210,300]]</t>
        </is>
      </c>
      <c r="I116" s="47" t="inlineStr">
        <is>
          <t>skill/sect/205201</t>
        </is>
      </c>
      <c r="J116" s="47" t="inlineStr">
        <is>
          <t>幻影千灭</t>
        </is>
      </c>
      <c r="K116" s="47" t="inlineStr">
        <is>
          <t>终极技能冷却缩减提高&lt;color=be7013&gt;6.3%&lt;/color&gt;。</t>
        </is>
      </c>
      <c r="M116" s="47" t="n"/>
      <c r="N116" s="47" t="inlineStr">
        <is>
          <t>[[3110,0.063]]</t>
        </is>
      </c>
      <c r="O116" s="47" t="inlineStr">
        <is>
          <t>[[3059,0.02]]</t>
        </is>
      </c>
      <c r="P116" s="47" t="inlineStr">
        <is>
          <t>[[3009,0.01],[3010,0.01],[3011,0.01]]</t>
        </is>
      </c>
      <c r="Q116" s="47" t="inlineStr">
        <is>
          <t>[[3001,1],[3002,1],[3003,100]]</t>
        </is>
      </c>
      <c r="R116" s="47">
        <f>R112</f>
        <v/>
      </c>
      <c r="S116" s="47">
        <f>S108</f>
        <v/>
      </c>
      <c r="T116" s="47" t="inlineStr">
        <is>
          <t>增益</t>
        </is>
      </c>
      <c r="U116" s="47" t="inlineStr">
        <is>
          <t>skill_affix/hong</t>
        </is>
      </c>
      <c r="V116" s="47" t="n">
        <v>0</v>
      </c>
    </row>
    <row r="117">
      <c r="A117" s="47" t="n">
        <v>2052</v>
      </c>
      <c r="B117" s="47" t="n">
        <v>2</v>
      </c>
      <c r="C117" s="47" t="n">
        <v>4</v>
      </c>
      <c r="D117" s="47" t="inlineStr">
        <is>
          <t>终极技能</t>
        </is>
      </c>
      <c r="E117" s="47" t="n">
        <v>205202</v>
      </c>
      <c r="F117" s="25" t="inlineStr">
        <is>
          <t>205210</t>
        </is>
      </c>
      <c r="H117" s="47" t="inlineStr">
        <is>
          <t>[[205210,600]]</t>
        </is>
      </c>
      <c r="I117" s="47" t="inlineStr">
        <is>
          <t>skill/sect/205202</t>
        </is>
      </c>
      <c r="J117" s="47" t="inlineStr">
        <is>
          <t>幻影千灭</t>
        </is>
      </c>
      <c r="K117" s="36" t="inlineStr">
        <is>
          <t>不再召唤飞剑，而是召唤召唤数道幻影对前方进行多次打击，造成总计&lt;color=be7013&gt;44.5%&lt;/color&gt;攻击力的物理伤害和&lt;color=be7013&gt;44.5%&lt;/color&gt;攻击力的创伤伤害。</t>
        </is>
      </c>
      <c r="L117" s="47" t="n">
        <v>100512000</v>
      </c>
      <c r="M117" s="47" t="n"/>
      <c r="N117" s="47" t="inlineStr">
        <is>
          <t>[[3110,0.063]]</t>
        </is>
      </c>
      <c r="O117" s="47" t="inlineStr">
        <is>
          <t>[[3059,0.02]]</t>
        </is>
      </c>
      <c r="P117" s="47" t="inlineStr">
        <is>
          <t>[[3009,0.02],[3010,0.02],[3011,0.02]]</t>
        </is>
      </c>
      <c r="Q117" s="47" t="inlineStr">
        <is>
          <t>[[3001,5],[3002,1],[3003,500]]</t>
        </is>
      </c>
      <c r="R117" s="47">
        <f>R113</f>
        <v/>
      </c>
      <c r="S117" s="47">
        <f>S109</f>
        <v/>
      </c>
      <c r="T117" s="47" t="inlineStr">
        <is>
          <t>增益</t>
        </is>
      </c>
      <c r="U117" s="47" t="inlineStr">
        <is>
          <t>skill_affix/hong</t>
        </is>
      </c>
      <c r="V117" s="47" t="n">
        <v>0</v>
      </c>
    </row>
    <row r="118">
      <c r="A118" s="47" t="n">
        <v>2052</v>
      </c>
      <c r="B118" s="47" t="n">
        <v>3</v>
      </c>
      <c r="C118" s="47" t="n">
        <v>6</v>
      </c>
      <c r="D118" s="47" t="inlineStr">
        <is>
          <t>终极技能</t>
        </is>
      </c>
      <c r="E118" s="47" t="n">
        <v>205203</v>
      </c>
      <c r="F118" s="25" t="inlineStr">
        <is>
          <t>205210</t>
        </is>
      </c>
      <c r="H118" s="47" t="inlineStr">
        <is>
          <t>[[205210,900]]</t>
        </is>
      </c>
      <c r="I118" s="47" t="inlineStr">
        <is>
          <t>skill/sect/205203</t>
        </is>
      </c>
      <c r="J118" s="47" t="inlineStr">
        <is>
          <t>幻影千灭</t>
        </is>
      </c>
      <c r="K118" s="47" t="inlineStr">
        <is>
          <t>角色创伤伤害提高&lt;color=be7013&gt;10%&lt;/color&gt;。</t>
        </is>
      </c>
      <c r="L118" s="47" t="n">
        <v>100512000</v>
      </c>
      <c r="M118" s="47" t="n"/>
      <c r="N118" s="47" t="inlineStr">
        <is>
          <t>[[3110,0.063],[3033,0.1]]</t>
        </is>
      </c>
      <c r="O118" s="47" t="inlineStr">
        <is>
          <t>[[3059,0.02]]</t>
        </is>
      </c>
      <c r="P118" s="47" t="inlineStr">
        <is>
          <t>[[3009,0.03],[3010,0.03],[3011,0.03]]</t>
        </is>
      </c>
      <c r="Q118" s="47" t="inlineStr">
        <is>
          <t>[[3001,10],[3002,2],[3003,1000]]</t>
        </is>
      </c>
      <c r="R118" s="47">
        <f>R114</f>
        <v/>
      </c>
      <c r="S118" s="47">
        <f>S110</f>
        <v/>
      </c>
      <c r="T118" s="47" t="inlineStr">
        <is>
          <t>增益</t>
        </is>
      </c>
      <c r="U118" s="47" t="inlineStr">
        <is>
          <t>skill_affix/hong</t>
        </is>
      </c>
      <c r="V118" s="47" t="n">
        <v>0</v>
      </c>
    </row>
    <row r="119">
      <c r="A119" s="47" t="n">
        <v>2052</v>
      </c>
      <c r="B119" s="47" t="n">
        <v>4</v>
      </c>
      <c r="C119" s="47" t="n">
        <v>8</v>
      </c>
      <c r="D119" s="47" t="inlineStr">
        <is>
          <t>终极技能</t>
        </is>
      </c>
      <c r="E119" s="47" t="n">
        <v>205204</v>
      </c>
      <c r="F119" s="25" t="inlineStr">
        <is>
          <t>205210</t>
        </is>
      </c>
      <c r="G119" s="25" t="n">
        <v>205220</v>
      </c>
      <c r="H119" s="47" t="inlineStr">
        <is>
          <t>[[205220,1]]</t>
        </is>
      </c>
      <c r="I119" s="47" t="inlineStr">
        <is>
          <t>skill/sect/205204</t>
        </is>
      </c>
      <c r="J119" s="47" t="inlineStr">
        <is>
          <t>幻影千灭</t>
        </is>
      </c>
      <c r="K119" s="36" t="inlineStr">
        <is>
          <t>斩断空间周围敌人额外造成&lt;color=be7013&gt;79%%&lt;/color&gt;攻击力的物理伤害和&lt;color=be7013&gt;482%&lt;/color&gt;攻击力的创伤伤害，并对附加&lt;u color=4169E1 size=2&gt;&lt;a href=30008&gt;血毒效果&lt;/a&gt;&lt;/u&gt;，持续&lt;color=be7013&gt;5&lt;/color&gt;秒。</t>
        </is>
      </c>
      <c r="L119" s="47" t="n">
        <v>100514000</v>
      </c>
      <c r="M119" s="47" t="n"/>
      <c r="N119" s="47" t="inlineStr">
        <is>
          <t>[[3110,0.063],[3033,0.1]]</t>
        </is>
      </c>
      <c r="O119" s="47" t="inlineStr">
        <is>
          <t>[[3059,0.02]]</t>
        </is>
      </c>
      <c r="P119" s="47" t="inlineStr">
        <is>
          <t>[[3009,0.04],[3010,0.04],[3011,0.04]]</t>
        </is>
      </c>
      <c r="Q119" s="47" t="inlineStr">
        <is>
          <t>[[3001,50],[3002,10],[3003,5000]]</t>
        </is>
      </c>
      <c r="R119" s="47">
        <f>R115</f>
        <v/>
      </c>
      <c r="S119" s="47">
        <f>S111</f>
        <v/>
      </c>
      <c r="T119" s="47" t="inlineStr">
        <is>
          <t>增益</t>
        </is>
      </c>
      <c r="U119" s="47" t="inlineStr">
        <is>
          <t>skill_affix/hong</t>
        </is>
      </c>
      <c r="V119" s="47" t="n">
        <v>0</v>
      </c>
    </row>
    <row r="120">
      <c r="A120" s="47">
        <f>A116+1</f>
        <v/>
      </c>
      <c r="B120" s="47">
        <f>B116</f>
        <v/>
      </c>
      <c r="C120" s="47">
        <f>C116</f>
        <v/>
      </c>
      <c r="D120" s="47">
        <f>D116</f>
        <v/>
      </c>
      <c r="E120" s="47">
        <f>E116+100</f>
        <v/>
      </c>
      <c r="F120" s="25">
        <f>F116+100</f>
        <v/>
      </c>
      <c r="H120" s="47">
        <f>"[["&amp;F120&amp;",300]]"</f>
        <v/>
      </c>
      <c r="I120" s="47">
        <f>"skill/sect/"&amp;E120</f>
        <v/>
      </c>
      <c r="J120" s="47" t="inlineStr">
        <is>
          <t>圣剑裁罚</t>
        </is>
      </c>
      <c r="K120" s="47" t="inlineStr">
        <is>
          <t>角色暴击率提高&lt;color=be7013&gt;5%&lt;/color&gt;。</t>
        </is>
      </c>
      <c r="N120" s="47" t="inlineStr">
        <is>
          <t>[[3014,0.05]]</t>
        </is>
      </c>
      <c r="O120" s="47" t="inlineStr">
        <is>
          <t>[[3059,0.02]]</t>
        </is>
      </c>
      <c r="P120" s="47" t="inlineStr">
        <is>
          <t>[[3009,0.01],[3010,0.01],[3011,0.01]]</t>
        </is>
      </c>
      <c r="Q120" s="47" t="inlineStr">
        <is>
          <t>[[3001,1],[3002,1],[3003,100]]</t>
        </is>
      </c>
      <c r="R120" s="47" t="inlineStr">
        <is>
          <t>[[103,10]]</t>
        </is>
      </c>
      <c r="S120" s="47" t="n">
        <v>1000</v>
      </c>
      <c r="T120" s="47" t="inlineStr">
        <is>
          <t>创伤</t>
        </is>
      </c>
      <c r="U120" s="47" t="inlineStr">
        <is>
          <t>skill_affix/huang</t>
        </is>
      </c>
      <c r="V120" s="47" t="n">
        <v>1</v>
      </c>
    </row>
    <row r="121">
      <c r="A121" s="47">
        <f>A117+1</f>
        <v/>
      </c>
      <c r="B121" s="47">
        <f>B117</f>
        <v/>
      </c>
      <c r="C121" s="47">
        <f>C117</f>
        <v/>
      </c>
      <c r="D121" s="47">
        <f>D117</f>
        <v/>
      </c>
      <c r="E121" s="47">
        <f>E117+100</f>
        <v/>
      </c>
      <c r="F121" s="25">
        <f>F117+100</f>
        <v/>
      </c>
      <c r="H121" s="47">
        <f>"[["&amp;F121&amp;",600]]"</f>
        <v/>
      </c>
      <c r="I121" s="47">
        <f>"skill/sect/"&amp;E121</f>
        <v/>
      </c>
      <c r="J121" s="47" t="inlineStr">
        <is>
          <t>圣剑裁罚</t>
        </is>
      </c>
      <c r="K121" s="47" t="inlineStr">
        <is>
          <t>不再释放剑阵，而是在短暂蓄力后凝聚一把巨大的光刃向前方斩击，造成&lt;color=be7013&gt;956%&lt;/color&gt;攻击力的伤害。</t>
        </is>
      </c>
      <c r="L121" s="47" t="n">
        <v>100532000</v>
      </c>
      <c r="N121" s="47" t="inlineStr">
        <is>
          <t>[[3014,0.05]]</t>
        </is>
      </c>
      <c r="O121" s="47" t="inlineStr">
        <is>
          <t>[[3059,0.02]]</t>
        </is>
      </c>
      <c r="P121" s="47" t="inlineStr">
        <is>
          <t>[[3009,0.02],[3010,0.02],[3011,0.02]]</t>
        </is>
      </c>
      <c r="Q121" s="47" t="inlineStr">
        <is>
          <t>[[3001,5],[3002,1],[3003,500]]</t>
        </is>
      </c>
      <c r="R121" s="47" t="inlineStr">
        <is>
          <t>[[103,10]]</t>
        </is>
      </c>
      <c r="S121" s="47" t="n">
        <v>4000</v>
      </c>
      <c r="T121" s="47" t="inlineStr">
        <is>
          <t>创伤|减益</t>
        </is>
      </c>
      <c r="U121" s="47" t="inlineStr">
        <is>
          <t>skill_affix/huang|skill_affix/qing</t>
        </is>
      </c>
      <c r="V121" s="47" t="n">
        <v>1</v>
      </c>
    </row>
    <row r="122">
      <c r="A122" s="47">
        <f>A118+1</f>
        <v/>
      </c>
      <c r="B122" s="47">
        <f>B118</f>
        <v/>
      </c>
      <c r="C122" s="47">
        <f>C118</f>
        <v/>
      </c>
      <c r="D122" s="47">
        <f>D118</f>
        <v/>
      </c>
      <c r="E122" s="47">
        <f>E118+100</f>
        <v/>
      </c>
      <c r="F122" s="25">
        <f>F118+100</f>
        <v/>
      </c>
      <c r="H122" s="47">
        <f>"[["&amp;F122&amp;",900]]"</f>
        <v/>
      </c>
      <c r="I122" s="47">
        <f>"skill/sect/"&amp;E122</f>
        <v/>
      </c>
      <c r="J122" s="47" t="inlineStr">
        <is>
          <t>圣剑裁罚</t>
        </is>
      </c>
      <c r="K122" s="47" t="inlineStr">
        <is>
          <t>角色暴击伤害提高&lt;color=be7013&gt;20%&lt;/color&gt;。</t>
        </is>
      </c>
      <c r="L122" s="47" t="n">
        <v>100532000</v>
      </c>
      <c r="N122" s="47" t="inlineStr">
        <is>
          <t>[[3014,0.05],[3015,0.2]]</t>
        </is>
      </c>
      <c r="O122" s="47" t="inlineStr">
        <is>
          <t>[[3059,0.02]]</t>
        </is>
      </c>
      <c r="P122" s="47" t="inlineStr">
        <is>
          <t>[[3009,0.03],[3010,0.03],[3011,0.03]]</t>
        </is>
      </c>
      <c r="Q122" s="47" t="inlineStr">
        <is>
          <t>[[3001,10],[3002,2],[3003,1000]]</t>
        </is>
      </c>
      <c r="R122" s="47" t="inlineStr">
        <is>
          <t>[[103,10]]</t>
        </is>
      </c>
      <c r="S122" s="47" t="n">
        <v>7500</v>
      </c>
      <c r="T122" s="47" t="inlineStr">
        <is>
          <t>创伤|减益</t>
        </is>
      </c>
      <c r="U122" s="47" t="inlineStr">
        <is>
          <t>skill_affix/huang|skill_affix/qing</t>
        </is>
      </c>
      <c r="V122" s="47" t="n">
        <v>1</v>
      </c>
    </row>
    <row r="123">
      <c r="A123" s="47">
        <f>A119+1</f>
        <v/>
      </c>
      <c r="B123" s="47">
        <f>B119</f>
        <v/>
      </c>
      <c r="C123" s="47">
        <f>C119</f>
        <v/>
      </c>
      <c r="D123" s="47">
        <f>D119</f>
        <v/>
      </c>
      <c r="E123" s="47">
        <f>E119+100</f>
        <v/>
      </c>
      <c r="F123" s="25">
        <f>F119+100</f>
        <v/>
      </c>
      <c r="G123" s="25" t="n">
        <v>205320</v>
      </c>
      <c r="H123" s="47">
        <f>"[["&amp;G123&amp;",1]]"</f>
        <v/>
      </c>
      <c r="I123" s="47">
        <f>"skill/sect/"&amp;E123</f>
        <v/>
      </c>
      <c r="J123" s="47" t="inlineStr">
        <is>
          <t>圣剑裁罚</t>
        </is>
      </c>
      <c r="K123" s="47" t="inlineStr">
        <is>
          <t>跳至空中，短暂蓄力后凝聚一把巨大的光刃向前方斩击，造成&lt;color=be7013&gt;1242%&lt;/color&gt;攻击力的伤害，短暂延时后在原地喷出烈焰柱，造成&lt;color=be7013&gt;671%&lt;/color&gt;攻击力的伤害。</t>
        </is>
      </c>
      <c r="L123" s="47" t="n">
        <v>100534000</v>
      </c>
      <c r="N123" s="47" t="inlineStr">
        <is>
          <t>[[3014,0.05],[3015,0.2]]</t>
        </is>
      </c>
      <c r="O123" s="47" t="inlineStr">
        <is>
          <t>[[3059,0.02]]</t>
        </is>
      </c>
      <c r="P123" s="47" t="inlineStr">
        <is>
          <t>[[3009,0.04],[3010,0.04],[3011,0.04]]</t>
        </is>
      </c>
      <c r="Q123" s="47" t="inlineStr">
        <is>
          <t>[[3001,50],[3002,10],[3003,5000]]</t>
        </is>
      </c>
      <c r="R123" s="47" t="inlineStr">
        <is>
          <t>[[103,10]]</t>
        </is>
      </c>
      <c r="S123" s="47" t="n">
        <v>15000</v>
      </c>
      <c r="T123" s="47" t="inlineStr">
        <is>
          <t>创伤|减益</t>
        </is>
      </c>
      <c r="U123" s="47" t="inlineStr">
        <is>
          <t>skill_affix/huang|skill_affix/qing</t>
        </is>
      </c>
      <c r="V123" s="47" t="n">
        <v>1</v>
      </c>
    </row>
    <row r="124">
      <c r="A124" s="47" t="n">
        <v>3011</v>
      </c>
      <c r="B124" s="47" t="n">
        <v>1</v>
      </c>
      <c r="C124" s="47" t="n">
        <v>3</v>
      </c>
      <c r="D124" s="47" t="inlineStr">
        <is>
          <t>普通攻击</t>
        </is>
      </c>
      <c r="E124" s="47" t="n">
        <v>301101</v>
      </c>
      <c r="F124" s="25" t="inlineStr">
        <is>
          <t>301110</t>
        </is>
      </c>
      <c r="H124" s="47" t="inlineStr">
        <is>
          <t>[[301110,300]]</t>
        </is>
      </c>
      <c r="I124" s="47" t="inlineStr">
        <is>
          <t>skill/sect/301101</t>
        </is>
      </c>
      <c r="J124" s="47" t="inlineStr">
        <is>
          <t>穿骨爪</t>
        </is>
      </c>
      <c r="K124" s="47" t="inlineStr">
        <is>
          <t>普通攻击附伤概率提高&lt;color=be7013&gt;8%&lt;/color&gt;。</t>
        </is>
      </c>
      <c r="N124" s="47" t="inlineStr">
        <is>
          <t>[[3093,0.08]]</t>
        </is>
      </c>
      <c r="O124" s="47" t="inlineStr">
        <is>
          <t>[[3059,0.02]]</t>
        </is>
      </c>
      <c r="P124" s="47" t="inlineStr">
        <is>
          <t>[[3009,0.01],[3010,0.01],[3011,0.01]]</t>
        </is>
      </c>
      <c r="Q124" s="47" t="inlineStr">
        <is>
          <t>[[3001,1],[3002,1],[3003,100]]</t>
        </is>
      </c>
      <c r="R124" s="47" t="inlineStr">
        <is>
          <t>[[103,10]]</t>
        </is>
      </c>
      <c r="S124" s="47" t="n">
        <v>1000</v>
      </c>
      <c r="T124" s="47" t="inlineStr">
        <is>
          <t>附伤|减益</t>
        </is>
      </c>
      <c r="U124" s="47" t="inlineStr">
        <is>
          <t>skill_affix/huang|skill_affix/qing</t>
        </is>
      </c>
      <c r="V124" s="47" t="n">
        <v>1</v>
      </c>
    </row>
    <row r="125">
      <c r="A125" s="47" t="n">
        <v>3011</v>
      </c>
      <c r="B125" s="47" t="n">
        <v>2</v>
      </c>
      <c r="C125" s="47" t="n">
        <v>4</v>
      </c>
      <c r="D125" s="47" t="inlineStr">
        <is>
          <t>普通攻击</t>
        </is>
      </c>
      <c r="E125" s="47" t="n">
        <v>301102</v>
      </c>
      <c r="F125" s="25" t="inlineStr">
        <is>
          <t>301110</t>
        </is>
      </c>
      <c r="H125" s="47" t="inlineStr">
        <is>
          <t>[[301110,600]]</t>
        </is>
      </c>
      <c r="I125" s="47" t="inlineStr">
        <is>
          <t>skill/sect/301102</t>
        </is>
      </c>
      <c r="J125" s="47" t="inlineStr">
        <is>
          <t>穿骨爪</t>
        </is>
      </c>
      <c r="K125" s="47" t="inlineStr">
        <is>
          <t>攻击时有&lt;color=be7013&gt;10%&lt;/color&gt;概率额外使用鬼手造成一次&lt;color=be7013&gt;37.1%&lt;/color&gt;的伤害并附带一层&lt;u color=4169E1 size=2&gt;&lt;a href=30002&gt;魂噬&lt;/a&gt;&lt;/u&gt;。</t>
        </is>
      </c>
      <c r="L125" s="47" t="n">
        <v>130112000</v>
      </c>
      <c r="M125" s="25" t="n">
        <v>130112000</v>
      </c>
      <c r="N125" s="47" t="inlineStr">
        <is>
          <t>[[3093,0.08]]</t>
        </is>
      </c>
      <c r="O125" s="47" t="inlineStr">
        <is>
          <t>[[3059,0.02]]</t>
        </is>
      </c>
      <c r="P125" s="47" t="inlineStr">
        <is>
          <t>[[3009,0.02],[3010,0.02],[3011,0.02]]</t>
        </is>
      </c>
      <c r="Q125" s="47" t="inlineStr">
        <is>
          <t>[[3001,5],[3002,1],[3003,500]]</t>
        </is>
      </c>
      <c r="R125" s="47" t="inlineStr">
        <is>
          <t>[[103,10]]</t>
        </is>
      </c>
      <c r="S125" s="47" t="n">
        <v>3000</v>
      </c>
      <c r="T125" s="47" t="inlineStr">
        <is>
          <t>附伤|减益</t>
        </is>
      </c>
      <c r="U125" s="47" t="inlineStr">
        <is>
          <t>skill_affix/huang|skill_affix/qing</t>
        </is>
      </c>
      <c r="V125" s="47" t="n">
        <v>1</v>
      </c>
    </row>
    <row r="126">
      <c r="A126" s="47" t="n">
        <v>3011</v>
      </c>
      <c r="B126" s="47" t="n">
        <v>3</v>
      </c>
      <c r="C126" s="47" t="n">
        <v>6</v>
      </c>
      <c r="D126" s="47" t="inlineStr">
        <is>
          <t>普通攻击</t>
        </is>
      </c>
      <c r="E126" s="47" t="n">
        <v>301103</v>
      </c>
      <c r="F126" s="25" t="inlineStr">
        <is>
          <t>301110</t>
        </is>
      </c>
      <c r="H126" s="47" t="inlineStr">
        <is>
          <t>[[301110,900]]</t>
        </is>
      </c>
      <c r="I126" s="47" t="inlineStr">
        <is>
          <t>skill/sect/301103</t>
        </is>
      </c>
      <c r="J126" s="47" t="inlineStr">
        <is>
          <t>穿骨爪</t>
        </is>
      </c>
      <c r="K126" s="47" t="inlineStr">
        <is>
          <t>角色战意充能提高&lt;color=be7013&gt;13%&lt;/color&gt;。</t>
        </is>
      </c>
      <c r="L126" s="47" t="n">
        <v>130112000</v>
      </c>
      <c r="M126" s="25" t="n">
        <v>130112000</v>
      </c>
      <c r="N126" s="47" t="inlineStr">
        <is>
          <t>[[3093,0.08],[3005,0.13]]</t>
        </is>
      </c>
      <c r="O126" s="47" t="inlineStr">
        <is>
          <t>[[3059,0.02]]</t>
        </is>
      </c>
      <c r="P126" s="47" t="inlineStr">
        <is>
          <t>[[3009,0.03],[3010,0.03],[3011,0.03]]</t>
        </is>
      </c>
      <c r="Q126" s="47" t="inlineStr">
        <is>
          <t>[[3001,10],[3002,2],[3003,1000]]</t>
        </is>
      </c>
      <c r="R126" s="47" t="inlineStr">
        <is>
          <t>[[103,10]]</t>
        </is>
      </c>
      <c r="S126" s="47" t="n">
        <v>6000</v>
      </c>
      <c r="T126" s="47" t="inlineStr">
        <is>
          <t>附伤|减益</t>
        </is>
      </c>
      <c r="U126" s="47" t="inlineStr">
        <is>
          <t>skill_affix/huang|skill_affix/qing</t>
        </is>
      </c>
      <c r="V126" s="47" t="n">
        <v>1</v>
      </c>
    </row>
    <row r="127">
      <c r="A127" s="47" t="n">
        <v>3011</v>
      </c>
      <c r="B127" s="47" t="n">
        <v>4</v>
      </c>
      <c r="C127" s="47" t="n">
        <v>8</v>
      </c>
      <c r="D127" s="47" t="inlineStr">
        <is>
          <t>普通攻击</t>
        </is>
      </c>
      <c r="E127" s="47" t="n">
        <v>301104</v>
      </c>
      <c r="F127" s="25" t="inlineStr">
        <is>
          <t>301110</t>
        </is>
      </c>
      <c r="G127" s="25" t="inlineStr">
        <is>
          <t>301120</t>
        </is>
      </c>
      <c r="H127" s="47" t="inlineStr">
        <is>
          <t>[[301120,1]]</t>
        </is>
      </c>
      <c r="I127" s="47" t="inlineStr">
        <is>
          <t>skill/sect/301104</t>
        </is>
      </c>
      <c r="J127" s="47" t="inlineStr">
        <is>
          <t>穿骨爪</t>
        </is>
      </c>
      <c r="K127" s="47" t="inlineStr">
        <is>
          <t>鬼手的出现概率提高至&lt;color=be7013&gt;20%&lt;/color&gt;伤害提高至&lt;color=be7013&gt;37.1%&lt;/color&gt;，且目标血量低于50%时鬼手造成的伤害提高&lt;color=be7013&gt;30%&lt;/color&gt;。</t>
        </is>
      </c>
      <c r="L127" s="47" t="n">
        <v>130114000</v>
      </c>
      <c r="M127" s="25" t="inlineStr">
        <is>
          <t>130114000|130114001</t>
        </is>
      </c>
      <c r="N127" s="47" t="inlineStr">
        <is>
          <t>[[3093,0.08],[3005,0.13]]</t>
        </is>
      </c>
      <c r="O127" s="47" t="inlineStr">
        <is>
          <t>[[3059,0.02]]</t>
        </is>
      </c>
      <c r="P127" s="47" t="inlineStr">
        <is>
          <t>[[3009,0.04],[3010,0.04],[3011,0.04]]</t>
        </is>
      </c>
      <c r="Q127" s="47" t="inlineStr">
        <is>
          <t>[[3001,50],[3002,10],[3003,5000]]</t>
        </is>
      </c>
      <c r="R127" s="47" t="inlineStr">
        <is>
          <t>[[103,10]]</t>
        </is>
      </c>
      <c r="S127" s="47" t="n">
        <v>10000</v>
      </c>
      <c r="T127" s="47" t="inlineStr">
        <is>
          <t>附伤|减益</t>
        </is>
      </c>
      <c r="U127" s="47" t="inlineStr">
        <is>
          <t>skill_affix/huang|skill_affix/qing</t>
        </is>
      </c>
      <c r="V127" s="47" t="n">
        <v>1</v>
      </c>
    </row>
    <row r="128">
      <c r="A128" s="47" t="n">
        <v>3012</v>
      </c>
      <c r="B128" s="47" t="n">
        <v>1</v>
      </c>
      <c r="C128" s="47" t="n">
        <v>3</v>
      </c>
      <c r="D128" s="47" t="inlineStr">
        <is>
          <t>普通攻击</t>
        </is>
      </c>
      <c r="E128" s="47" t="n">
        <v>301201</v>
      </c>
      <c r="F128" s="25" t="inlineStr">
        <is>
          <t>301210</t>
        </is>
      </c>
      <c r="H128" s="47" t="inlineStr">
        <is>
          <t>[[301210,300]]</t>
        </is>
      </c>
      <c r="I128" s="47" t="inlineStr">
        <is>
          <t>skill/sect/301201</t>
        </is>
      </c>
      <c r="J128" s="47" t="inlineStr">
        <is>
          <t>幽魂爪</t>
        </is>
      </c>
      <c r="K128" s="47" t="inlineStr">
        <is>
          <t>普通攻击伤害提高&lt;color=be7013&gt;10%&lt;/color&gt;。</t>
        </is>
      </c>
      <c r="N128" s="47" t="inlineStr">
        <is>
          <t>[[3090,0.1]]</t>
        </is>
      </c>
      <c r="O128" s="47" t="inlineStr">
        <is>
          <t>[[3059,0.02]]</t>
        </is>
      </c>
      <c r="P128" s="47" t="inlineStr">
        <is>
          <t>[[3009,0.01],[3010,0.01],[3011,0.01]]</t>
        </is>
      </c>
      <c r="Q128" s="47" t="inlineStr">
        <is>
          <t>[[3001,1],[3002,1],[3003,100]]</t>
        </is>
      </c>
      <c r="R128" s="47" t="inlineStr">
        <is>
          <t>[[103,10]]</t>
        </is>
      </c>
      <c r="S128" s="47" t="n">
        <v>1000</v>
      </c>
      <c r="T128" s="47" t="inlineStr">
        <is>
          <t>召唤</t>
        </is>
      </c>
      <c r="U128" s="47" t="inlineStr">
        <is>
          <t>skill_affix/huang</t>
        </is>
      </c>
      <c r="V128" s="47" t="n">
        <v>1</v>
      </c>
    </row>
    <row r="129">
      <c r="A129" s="47" t="n">
        <v>3012</v>
      </c>
      <c r="B129" s="47" t="n">
        <v>2</v>
      </c>
      <c r="C129" s="47" t="n">
        <v>4</v>
      </c>
      <c r="D129" s="47" t="inlineStr">
        <is>
          <t>普通攻击</t>
        </is>
      </c>
      <c r="E129" s="47" t="n">
        <v>301202</v>
      </c>
      <c r="F129" s="25" t="inlineStr">
        <is>
          <t>301210</t>
        </is>
      </c>
      <c r="H129" s="47" t="inlineStr">
        <is>
          <t>[[301210,600]]</t>
        </is>
      </c>
      <c r="I129" s="47" t="inlineStr">
        <is>
          <t>skill/sect/301202</t>
        </is>
      </c>
      <c r="J129" s="47" t="inlineStr">
        <is>
          <t>幽魂爪</t>
        </is>
      </c>
      <c r="K129" s="47" t="inlineStr">
        <is>
          <t>攻击敌人时有&lt;color=be7013&gt;20%&lt;/color&gt;概率召唤一个骷髅（存在10秒，上限3个）。</t>
        </is>
      </c>
      <c r="L129" s="47" t="n">
        <v>130122000</v>
      </c>
      <c r="M129" s="25" t="n">
        <v>130122000</v>
      </c>
      <c r="N129" s="47" t="inlineStr">
        <is>
          <t>[[3090,0.1]]</t>
        </is>
      </c>
      <c r="O129" s="47" t="inlineStr">
        <is>
          <t>[[3059,0.02]]</t>
        </is>
      </c>
      <c r="P129" s="47" t="inlineStr">
        <is>
          <t>[[3009,0.02],[3010,0.02],[3011,0.02]]</t>
        </is>
      </c>
      <c r="Q129" s="47" t="inlineStr">
        <is>
          <t>[[3001,5],[3002,1],[3003,500]]</t>
        </is>
      </c>
      <c r="R129" s="47" t="inlineStr">
        <is>
          <t>[[103,10]]</t>
        </is>
      </c>
      <c r="S129" s="47" t="n">
        <v>3000</v>
      </c>
      <c r="T129" s="47" t="inlineStr">
        <is>
          <t>召唤</t>
        </is>
      </c>
      <c r="U129" s="47" t="inlineStr">
        <is>
          <t>skill_affix/huang</t>
        </is>
      </c>
      <c r="V129" s="47" t="n">
        <v>1</v>
      </c>
    </row>
    <row r="130">
      <c r="A130" s="47" t="n">
        <v>3012</v>
      </c>
      <c r="B130" s="47" t="n">
        <v>3</v>
      </c>
      <c r="C130" s="47" t="n">
        <v>6</v>
      </c>
      <c r="D130" s="47" t="inlineStr">
        <is>
          <t>普通攻击</t>
        </is>
      </c>
      <c r="E130" s="47" t="n">
        <v>301203</v>
      </c>
      <c r="F130" s="25" t="inlineStr">
        <is>
          <t>301210</t>
        </is>
      </c>
      <c r="H130" s="47" t="inlineStr">
        <is>
          <t>[[301210,900]]</t>
        </is>
      </c>
      <c r="I130" s="47" t="inlineStr">
        <is>
          <t>skill/sect/301203</t>
        </is>
      </c>
      <c r="J130" s="47" t="inlineStr">
        <is>
          <t>幽魂爪</t>
        </is>
      </c>
      <c r="K130" s="47" t="inlineStr">
        <is>
          <t>角色召唤物增伤提高&lt;color=be7013&gt;12.5%&lt;/color&gt;。</t>
        </is>
      </c>
      <c r="L130" s="47" t="n">
        <v>130122000</v>
      </c>
      <c r="M130" s="25" t="n">
        <v>130122000</v>
      </c>
      <c r="N130" s="47" t="inlineStr">
        <is>
          <t>[[3090,0.1],[3078,0.125]]</t>
        </is>
      </c>
      <c r="O130" s="47" t="inlineStr">
        <is>
          <t>[[3059,0.02]]</t>
        </is>
      </c>
      <c r="P130" s="47" t="inlineStr">
        <is>
          <t>[[3009,0.03],[3010,0.03],[3011,0.03]]</t>
        </is>
      </c>
      <c r="Q130" s="47" t="inlineStr">
        <is>
          <t>[[3001,10],[3002,2],[3003,1000]]</t>
        </is>
      </c>
      <c r="R130" s="47" t="inlineStr">
        <is>
          <t>[[103,10]]</t>
        </is>
      </c>
      <c r="S130" s="47" t="n">
        <v>6000</v>
      </c>
      <c r="T130" s="47" t="inlineStr">
        <is>
          <t>召唤</t>
        </is>
      </c>
      <c r="U130" s="47" t="inlineStr">
        <is>
          <t>skill_affix/huang</t>
        </is>
      </c>
      <c r="V130" s="47" t="n">
        <v>1</v>
      </c>
    </row>
    <row r="131">
      <c r="A131" s="47" t="n">
        <v>3012</v>
      </c>
      <c r="B131" s="47" t="n">
        <v>4</v>
      </c>
      <c r="C131" s="47" t="n">
        <v>8</v>
      </c>
      <c r="D131" s="47" t="inlineStr">
        <is>
          <t>普通攻击</t>
        </is>
      </c>
      <c r="E131" s="47" t="n">
        <v>301204</v>
      </c>
      <c r="F131" s="25" t="inlineStr">
        <is>
          <t>301210</t>
        </is>
      </c>
      <c r="G131" s="25" t="inlineStr">
        <is>
          <t>301220</t>
        </is>
      </c>
      <c r="H131" s="47" t="inlineStr">
        <is>
          <t>[[301220,1]]</t>
        </is>
      </c>
      <c r="I131" s="47" t="inlineStr">
        <is>
          <t>skill/sect/301204</t>
        </is>
      </c>
      <c r="J131" s="47" t="inlineStr">
        <is>
          <t>幽魂爪</t>
        </is>
      </c>
      <c r="K131" s="47" t="inlineStr">
        <is>
          <t>召唤概率提升至&lt;color=be7013&gt;50%&lt;/color&gt;，骷髅上限提升至&lt;color=be7013&gt;5&lt;/color&gt;个，且骷髅消失时生成将一个骸骨。</t>
        </is>
      </c>
      <c r="L131" s="47" t="n">
        <v>130124000</v>
      </c>
      <c r="M131" s="25" t="n">
        <v>130124000</v>
      </c>
      <c r="N131" s="47" t="inlineStr">
        <is>
          <t>[[3090,0.1],[3078,0.125]]</t>
        </is>
      </c>
      <c r="O131" s="47" t="inlineStr">
        <is>
          <t>[[3059,0.02]]</t>
        </is>
      </c>
      <c r="P131" s="47" t="inlineStr">
        <is>
          <t>[[3009,0.04],[3010,0.04],[3011,0.04]]</t>
        </is>
      </c>
      <c r="Q131" s="47" t="inlineStr">
        <is>
          <t>[[3001,50],[3002,10],[3003,5000]]</t>
        </is>
      </c>
      <c r="R131" s="47" t="inlineStr">
        <is>
          <t>[[103,10]]</t>
        </is>
      </c>
      <c r="S131" s="47" t="n">
        <v>10000</v>
      </c>
      <c r="T131" s="47" t="inlineStr">
        <is>
          <t>召唤</t>
        </is>
      </c>
      <c r="U131" s="47" t="inlineStr">
        <is>
          <t>skill_affix/huang</t>
        </is>
      </c>
      <c r="V131" s="47" t="n">
        <v>1</v>
      </c>
    </row>
    <row r="132">
      <c r="A132" s="47">
        <f>A128+1</f>
        <v/>
      </c>
      <c r="B132" s="47">
        <f>B128</f>
        <v/>
      </c>
      <c r="C132" s="47">
        <f>C128</f>
        <v/>
      </c>
      <c r="D132" s="47">
        <f>D128</f>
        <v/>
      </c>
      <c r="E132" s="47">
        <f>E128+100</f>
        <v/>
      </c>
      <c r="F132" s="25">
        <f>F128+100</f>
        <v/>
      </c>
      <c r="H132" s="47">
        <f>"[["&amp;F132&amp;",300]]"</f>
        <v/>
      </c>
      <c r="I132" s="47">
        <f>"skill/sect/"&amp;E132</f>
        <v/>
      </c>
      <c r="J132" s="47" t="inlineStr">
        <is>
          <t>夺心爪</t>
        </is>
      </c>
      <c r="K132" s="47" t="inlineStr">
        <is>
          <t>角色暴击伤害提高&lt;color=be7013&gt;10%&lt;/color&gt;。</t>
        </is>
      </c>
      <c r="N132" s="47" t="inlineStr">
        <is>
          <t>[[3015,0.1]]</t>
        </is>
      </c>
      <c r="O132" s="47" t="inlineStr">
        <is>
          <t>[[3059,0.02]]</t>
        </is>
      </c>
      <c r="P132" s="47" t="inlineStr">
        <is>
          <t>[[3009,0.01],[3010,0.01],[3011,0.01]]</t>
        </is>
      </c>
      <c r="Q132" s="47" t="inlineStr">
        <is>
          <t>[[3001,1],[3002,1],[3003,100]]</t>
        </is>
      </c>
      <c r="R132" s="47">
        <f>R128</f>
        <v/>
      </c>
      <c r="S132" s="47">
        <f>S124</f>
        <v/>
      </c>
      <c r="T132" s="47" t="inlineStr">
        <is>
          <t>增益</t>
        </is>
      </c>
      <c r="U132" s="47" t="inlineStr">
        <is>
          <t>skill_affix/hong</t>
        </is>
      </c>
      <c r="V132" s="47" t="n">
        <v>0</v>
      </c>
    </row>
    <row r="133">
      <c r="A133" s="47">
        <f>A129+1</f>
        <v/>
      </c>
      <c r="B133" s="47">
        <f>B129</f>
        <v/>
      </c>
      <c r="C133" s="47">
        <f>C129</f>
        <v/>
      </c>
      <c r="D133" s="47">
        <f>D129</f>
        <v/>
      </c>
      <c r="E133" s="47">
        <f>E129+100</f>
        <v/>
      </c>
      <c r="F133" s="25">
        <f>F129+100</f>
        <v/>
      </c>
      <c r="H133" s="47">
        <f>"[["&amp;F133&amp;",600]]"</f>
        <v/>
      </c>
      <c r="I133" s="47">
        <f>"skill/sect/"&amp;E133</f>
        <v/>
      </c>
      <c r="J133" s="47" t="inlineStr">
        <is>
          <t>夺心爪</t>
        </is>
      </c>
      <c r="K133" s="36" t="inlineStr">
        <is>
          <t>普通攻击命中有&lt;color=be7013&gt;60%&lt;/color&gt;概率将掠夺一层&lt;u color=4169E1 size=2&gt;&lt;a href=30036&gt;生机&lt;/a&gt;&lt;/u&gt;。</t>
        </is>
      </c>
      <c r="L133" s="47" t="n">
        <v>130132000</v>
      </c>
      <c r="M133" s="25" t="n">
        <v>130132000</v>
      </c>
      <c r="N133" s="47" t="inlineStr">
        <is>
          <t>[[3015,0.1]]</t>
        </is>
      </c>
      <c r="O133" s="47" t="inlineStr">
        <is>
          <t>[[3059,0.02]]</t>
        </is>
      </c>
      <c r="P133" s="47" t="inlineStr">
        <is>
          <t>[[3009,0.02],[3010,0.02],[3011,0.02]]</t>
        </is>
      </c>
      <c r="Q133" s="47" t="inlineStr">
        <is>
          <t>[[3001,5],[3002,1],[3003,500]]</t>
        </is>
      </c>
      <c r="R133" s="47">
        <f>R129</f>
        <v/>
      </c>
      <c r="S133" s="47">
        <f>S125</f>
        <v/>
      </c>
      <c r="T133" s="47" t="inlineStr">
        <is>
          <t>增益</t>
        </is>
      </c>
      <c r="U133" s="47" t="inlineStr">
        <is>
          <t>skill_affix/hong</t>
        </is>
      </c>
      <c r="V133" s="47" t="n">
        <v>0</v>
      </c>
    </row>
    <row r="134">
      <c r="A134" s="47">
        <f>A130+1</f>
        <v/>
      </c>
      <c r="B134" s="47">
        <f>B130</f>
        <v/>
      </c>
      <c r="C134" s="47">
        <f>C130</f>
        <v/>
      </c>
      <c r="D134" s="47">
        <f>D130</f>
        <v/>
      </c>
      <c r="E134" s="47">
        <f>E130+100</f>
        <v/>
      </c>
      <c r="F134" s="25">
        <f>F130+100</f>
        <v/>
      </c>
      <c r="H134" s="47">
        <f>"[["&amp;F134&amp;",900]]"</f>
        <v/>
      </c>
      <c r="I134" s="47">
        <f>"skill/sect/"&amp;E134</f>
        <v/>
      </c>
      <c r="J134" s="47" t="inlineStr">
        <is>
          <t>夺心爪</t>
        </is>
      </c>
      <c r="K134" s="47" t="inlineStr">
        <is>
          <t>角色暴击率提高&lt;color=be7013&gt;5%&lt;/color&gt;。</t>
        </is>
      </c>
      <c r="L134" s="47" t="n">
        <v>130132000</v>
      </c>
      <c r="M134" s="25" t="n">
        <v>130132000</v>
      </c>
      <c r="N134" s="47" t="inlineStr">
        <is>
          <t>[[3014,0.05],[3015,0.1]]</t>
        </is>
      </c>
      <c r="O134" s="47" t="inlineStr">
        <is>
          <t>[[3059,0.02]]</t>
        </is>
      </c>
      <c r="P134" s="47" t="inlineStr">
        <is>
          <t>[[3009,0.03],[3010,0.03],[3011,0.03]]</t>
        </is>
      </c>
      <c r="Q134" s="47" t="inlineStr">
        <is>
          <t>[[3001,10],[3002,2],[3003,1000]]</t>
        </is>
      </c>
      <c r="R134" s="47">
        <f>R130</f>
        <v/>
      </c>
      <c r="S134" s="47">
        <f>S126</f>
        <v/>
      </c>
      <c r="T134" s="47" t="inlineStr">
        <is>
          <t>增益</t>
        </is>
      </c>
      <c r="U134" s="47" t="inlineStr">
        <is>
          <t>skill_affix/hong</t>
        </is>
      </c>
      <c r="V134" s="47" t="n">
        <v>0</v>
      </c>
    </row>
    <row r="135">
      <c r="A135" s="47">
        <f>A131+1</f>
        <v/>
      </c>
      <c r="B135" s="47">
        <f>B131</f>
        <v/>
      </c>
      <c r="C135" s="47">
        <f>C131</f>
        <v/>
      </c>
      <c r="D135" s="47">
        <f>D131</f>
        <v/>
      </c>
      <c r="E135" s="47">
        <f>E131+100</f>
        <v/>
      </c>
      <c r="F135" s="25">
        <f>F131+100</f>
        <v/>
      </c>
      <c r="G135" s="25">
        <f>G131+100</f>
        <v/>
      </c>
      <c r="H135" s="47">
        <f>"[["&amp;G135&amp;",1]]"</f>
        <v/>
      </c>
      <c r="I135" s="47">
        <f>"skill/sect/"&amp;E135</f>
        <v/>
      </c>
      <c r="J135" s="47" t="inlineStr">
        <is>
          <t>夺心爪</t>
        </is>
      </c>
      <c r="K135" s="36" t="inlineStr">
        <is>
          <t>普通攻击造成暴击时额外掠夺一层&lt;u color=4169E1 size=2&gt;&lt;a href=30036&gt;生机&lt;/a&gt;&lt;/u&gt;。</t>
        </is>
      </c>
      <c r="L135" s="47" t="n">
        <v>130132000</v>
      </c>
      <c r="M135" s="25" t="inlineStr">
        <is>
          <t>130132000|130134000</t>
        </is>
      </c>
      <c r="N135" s="47" t="inlineStr">
        <is>
          <t>[[3014,0.05],[3015,0.1]]</t>
        </is>
      </c>
      <c r="O135" s="47" t="inlineStr">
        <is>
          <t>[[3059,0.02]]</t>
        </is>
      </c>
      <c r="P135" s="47" t="inlineStr">
        <is>
          <t>[[3009,0.04],[3010,0.04],[3011,0.04]]</t>
        </is>
      </c>
      <c r="Q135" s="47" t="inlineStr">
        <is>
          <t>[[3001,50],[3002,10],[3003,5000]]</t>
        </is>
      </c>
      <c r="R135" s="47">
        <f>R131</f>
        <v/>
      </c>
      <c r="S135" s="47">
        <f>S127</f>
        <v/>
      </c>
      <c r="T135" s="47" t="inlineStr">
        <is>
          <t>增益</t>
        </is>
      </c>
      <c r="U135" s="47" t="inlineStr">
        <is>
          <t>skill_affix/hong</t>
        </is>
      </c>
      <c r="V135" s="47" t="n">
        <v>0</v>
      </c>
    </row>
    <row r="136">
      <c r="A136" s="47" t="n">
        <v>3021</v>
      </c>
      <c r="B136" s="47" t="n">
        <v>1</v>
      </c>
      <c r="C136" s="47" t="n">
        <v>3</v>
      </c>
      <c r="D136" s="47" t="inlineStr">
        <is>
          <t>核心技能</t>
        </is>
      </c>
      <c r="E136" s="47" t="n">
        <v>302101</v>
      </c>
      <c r="F136" s="25" t="inlineStr">
        <is>
          <t>302110</t>
        </is>
      </c>
      <c r="H136" s="47" t="inlineStr">
        <is>
          <t>[[302110,300]]</t>
        </is>
      </c>
      <c r="I136" s="47" t="inlineStr">
        <is>
          <t>skill/sect/302101</t>
        </is>
      </c>
      <c r="J136" s="47" t="inlineStr">
        <is>
          <t>骨蚀双震</t>
        </is>
      </c>
      <c r="K136" s="47" t="inlineStr">
        <is>
          <t>核心技能耗能降低&lt;color=be7013&gt;7&lt;/color&gt;点。</t>
        </is>
      </c>
      <c r="L136" s="47" t="n">
        <v>130211000</v>
      </c>
      <c r="O136" s="47" t="inlineStr">
        <is>
          <t>[[3059,0.02]]</t>
        </is>
      </c>
      <c r="P136" s="47" t="inlineStr">
        <is>
          <t>[[3009,0.01],[3010,0.01],[3011,0.01]]</t>
        </is>
      </c>
      <c r="Q136" s="47" t="inlineStr">
        <is>
          <t>[[3001,1],[3002,1],[3003,100]]</t>
        </is>
      </c>
      <c r="R136" s="47" t="inlineStr">
        <is>
          <t>[[103,10]]</t>
        </is>
      </c>
      <c r="S136" s="47" t="n">
        <v>2000</v>
      </c>
      <c r="T136" s="47" t="inlineStr">
        <is>
          <t>附伤|减益</t>
        </is>
      </c>
      <c r="U136" s="47" t="inlineStr">
        <is>
          <t>skill_affix/huang|skill_affix/qing</t>
        </is>
      </c>
      <c r="V136" s="47" t="n">
        <v>1</v>
      </c>
    </row>
    <row r="137">
      <c r="A137" s="47" t="n">
        <v>3021</v>
      </c>
      <c r="B137" s="47" t="n">
        <v>2</v>
      </c>
      <c r="C137" s="47" t="n">
        <v>4</v>
      </c>
      <c r="D137" s="47" t="inlineStr">
        <is>
          <t>核心技能</t>
        </is>
      </c>
      <c r="E137" s="47" t="n">
        <v>302102</v>
      </c>
      <c r="F137" s="25" t="inlineStr">
        <is>
          <t>302110</t>
        </is>
      </c>
      <c r="H137" s="47" t="inlineStr">
        <is>
          <t>[[302110,600]]</t>
        </is>
      </c>
      <c r="I137" s="47" t="inlineStr">
        <is>
          <t>skill/sect/302102</t>
        </is>
      </c>
      <c r="J137" s="47" t="inlineStr">
        <is>
          <t>骨蚀双震</t>
        </is>
      </c>
      <c r="K137" s="47" t="inlineStr">
        <is>
          <t>幽魂爪击造成的总伤害提高至&lt;color=be7013&gt;234%&lt;/color&gt;，且骸骨爆炸将对周围的敌人附加1层&lt;u color=4169E1 size=2&gt;&lt;a href=30002&gt;魂噬&lt;/a&gt;&lt;/u&gt;。</t>
        </is>
      </c>
      <c r="L137" s="47" t="n">
        <v>130212000</v>
      </c>
      <c r="O137" s="47" t="inlineStr">
        <is>
          <t>[[3059,0.02]]</t>
        </is>
      </c>
      <c r="P137" s="47" t="inlineStr">
        <is>
          <t>[[3009,0.02],[3010,0.02],[3011,0.02]]</t>
        </is>
      </c>
      <c r="Q137" s="47" t="inlineStr">
        <is>
          <t>[[3001,5],[3002,1],[3003,500]]</t>
        </is>
      </c>
      <c r="R137" s="47" t="inlineStr">
        <is>
          <t>[[103,10]]</t>
        </is>
      </c>
      <c r="S137" s="47" t="n">
        <v>5000</v>
      </c>
      <c r="T137" s="47" t="inlineStr">
        <is>
          <t>附伤|减益</t>
        </is>
      </c>
      <c r="U137" s="47" t="inlineStr">
        <is>
          <t>skill_affix/huang|skill_affix/qing</t>
        </is>
      </c>
      <c r="V137" s="47" t="n">
        <v>1</v>
      </c>
    </row>
    <row r="138">
      <c r="A138" s="47" t="n">
        <v>3021</v>
      </c>
      <c r="B138" s="47" t="n">
        <v>3</v>
      </c>
      <c r="C138" s="47" t="n">
        <v>6</v>
      </c>
      <c r="D138" s="47" t="inlineStr">
        <is>
          <t>核心技能</t>
        </is>
      </c>
      <c r="E138" s="47" t="n">
        <v>302103</v>
      </c>
      <c r="F138" s="25" t="inlineStr">
        <is>
          <t>302110</t>
        </is>
      </c>
      <c r="H138" s="47" t="inlineStr">
        <is>
          <t>[[302110,900]]</t>
        </is>
      </c>
      <c r="I138" s="47" t="inlineStr">
        <is>
          <t>skill/sect/302103</t>
        </is>
      </c>
      <c r="J138" s="47" t="inlineStr">
        <is>
          <t>骨蚀双震</t>
        </is>
      </c>
      <c r="K138" s="47" t="inlineStr">
        <is>
          <t>角色附伤概率提高&lt;color=be7013&gt;15%&lt;/color&gt;。</t>
        </is>
      </c>
      <c r="L138" s="47" t="n">
        <v>130212000</v>
      </c>
      <c r="N138" s="47" t="inlineStr">
        <is>
          <t>[[3029,0.15]]</t>
        </is>
      </c>
      <c r="O138" s="47" t="inlineStr">
        <is>
          <t>[[3059,0.02]]</t>
        </is>
      </c>
      <c r="P138" s="47" t="inlineStr">
        <is>
          <t>[[3009,0.03],[3010,0.03],[3011,0.03]]</t>
        </is>
      </c>
      <c r="Q138" s="47" t="inlineStr">
        <is>
          <t>[[3001,10],[3002,2],[3003,1000]]</t>
        </is>
      </c>
      <c r="R138" s="47" t="inlineStr">
        <is>
          <t>[[103,10]]</t>
        </is>
      </c>
      <c r="S138" s="47" t="n">
        <v>10000</v>
      </c>
      <c r="T138" s="47" t="inlineStr">
        <is>
          <t>附伤|减益</t>
        </is>
      </c>
      <c r="U138" s="47" t="inlineStr">
        <is>
          <t>skill_affix/huang|skill_affix/qing</t>
        </is>
      </c>
      <c r="V138" s="47" t="n">
        <v>1</v>
      </c>
    </row>
    <row r="139">
      <c r="A139" s="47" t="n">
        <v>3021</v>
      </c>
      <c r="B139" s="47" t="n">
        <v>4</v>
      </c>
      <c r="C139" s="47" t="n">
        <v>8</v>
      </c>
      <c r="D139" s="47" t="inlineStr">
        <is>
          <t>核心技能</t>
        </is>
      </c>
      <c r="E139" s="47" t="n">
        <v>302104</v>
      </c>
      <c r="F139" s="25" t="inlineStr">
        <is>
          <t>302110</t>
        </is>
      </c>
      <c r="G139" s="25" t="inlineStr">
        <is>
          <t>302120</t>
        </is>
      </c>
      <c r="H139" s="47" t="inlineStr">
        <is>
          <t>[[302120,1]]</t>
        </is>
      </c>
      <c r="I139" s="47" t="inlineStr">
        <is>
          <t>skill/sect/302104</t>
        </is>
      </c>
      <c r="J139" s="47" t="inlineStr">
        <is>
          <t>骨蚀双震</t>
        </is>
      </c>
      <c r="K139" s="47" t="inlineStr">
        <is>
          <t>骸骨将额外爆炸一次，且骸骨爆炸后有&lt;color=be7013&gt;10%&lt;/color&gt;的概率不会消耗骸骨。</t>
        </is>
      </c>
      <c r="L139" s="47" t="n">
        <v>130214000</v>
      </c>
      <c r="N139" s="47" t="inlineStr">
        <is>
          <t>[[3029,0.15]]</t>
        </is>
      </c>
      <c r="O139" s="47" t="inlineStr">
        <is>
          <t>[[3059,0.02]]</t>
        </is>
      </c>
      <c r="P139" s="47" t="inlineStr">
        <is>
          <t>[[3009,0.04],[3010,0.04],[3011,0.04]]</t>
        </is>
      </c>
      <c r="Q139" s="47" t="inlineStr">
        <is>
          <t>[[3001,50],[3002,10],[3003,5000]]</t>
        </is>
      </c>
      <c r="R139" s="47" t="inlineStr">
        <is>
          <t>[[103,10]]</t>
        </is>
      </c>
      <c r="S139" s="47" t="n">
        <v>20000</v>
      </c>
      <c r="T139" s="47" t="inlineStr">
        <is>
          <t>附伤|减益</t>
        </is>
      </c>
      <c r="U139" s="47" t="inlineStr">
        <is>
          <t>skill_affix/huang|skill_affix/qing</t>
        </is>
      </c>
      <c r="V139" s="47" t="n">
        <v>1</v>
      </c>
    </row>
    <row r="140">
      <c r="A140" s="47" t="n">
        <v>3022</v>
      </c>
      <c r="B140" s="47" t="n">
        <v>1</v>
      </c>
      <c r="C140" s="47" t="n">
        <v>3</v>
      </c>
      <c r="D140" s="47" t="inlineStr">
        <is>
          <t>核心技能</t>
        </is>
      </c>
      <c r="E140" s="47" t="n">
        <v>302201</v>
      </c>
      <c r="F140" s="25" t="inlineStr">
        <is>
          <t>302210</t>
        </is>
      </c>
      <c r="H140" s="47" t="inlineStr">
        <is>
          <t>[[302210,300]]</t>
        </is>
      </c>
      <c r="I140" s="47" t="inlineStr">
        <is>
          <t>skill/sect/302201</t>
        </is>
      </c>
      <c r="J140" s="47" t="inlineStr">
        <is>
          <t>咒骸殉爆</t>
        </is>
      </c>
      <c r="K140" s="47" t="inlineStr">
        <is>
          <t>角色暴击伤害提高&lt;color=be7013&gt;10%&lt;/color&gt;。</t>
        </is>
      </c>
      <c r="N140" s="47" t="inlineStr">
        <is>
          <t>[[3015,0.1]]</t>
        </is>
      </c>
      <c r="O140" s="47" t="inlineStr">
        <is>
          <t>[[3059,0.02]]</t>
        </is>
      </c>
      <c r="P140" s="47" t="inlineStr">
        <is>
          <t>[[3009,0.01],[3010,0.01],[3011,0.01]]</t>
        </is>
      </c>
      <c r="Q140" s="47" t="inlineStr">
        <is>
          <t>[[3001,1],[3002,1],[3003,100]]</t>
        </is>
      </c>
      <c r="R140" s="47" t="inlineStr">
        <is>
          <t>[[103,10]]</t>
        </is>
      </c>
      <c r="S140" s="47" t="n">
        <v>2000</v>
      </c>
      <c r="T140" s="47" t="inlineStr">
        <is>
          <t>召唤</t>
        </is>
      </c>
      <c r="U140" s="47" t="inlineStr">
        <is>
          <t>skill_affix/huang</t>
        </is>
      </c>
      <c r="V140" s="47" t="n">
        <v>1</v>
      </c>
    </row>
    <row r="141">
      <c r="A141" s="47" t="n">
        <v>3022</v>
      </c>
      <c r="B141" s="47" t="n">
        <v>2</v>
      </c>
      <c r="C141" s="47" t="n">
        <v>4</v>
      </c>
      <c r="D141" s="47" t="inlineStr">
        <is>
          <t>核心技能</t>
        </is>
      </c>
      <c r="E141" s="47" t="n">
        <v>302202</v>
      </c>
      <c r="F141" s="25" t="inlineStr">
        <is>
          <t>302210</t>
        </is>
      </c>
      <c r="H141" s="47" t="inlineStr">
        <is>
          <t>[[302210,600]]</t>
        </is>
      </c>
      <c r="I141" s="47" t="inlineStr">
        <is>
          <t>skill/sect/302202</t>
        </is>
      </c>
      <c r="J141" s="47" t="inlineStr">
        <is>
          <t>咒骸殉爆</t>
        </is>
      </c>
      <c r="K141" s="47" t="inlineStr">
        <is>
          <t>战意消耗提高至&lt;color=be7013&gt;50&lt;/color&gt;点，且不再召唤鬼手而是消耗周围所有骸骨召唤对应数量+&lt;color=be7013&gt;4&lt;/color&gt;个自爆幽灵，自动追踪到敌人处并殉爆造成每次&lt;color=be7013&gt;86.1%&lt;/color&gt;攻击力的魔法伤害（殉爆对同一敌人造成的伤害递减，最低造成每次&lt;color=be7013&gt;13.4%&lt;/color&gt;的伤害）。</t>
        </is>
      </c>
      <c r="L141" s="47" t="n">
        <v>130222000</v>
      </c>
      <c r="N141" s="47" t="inlineStr">
        <is>
          <t>[[3015,0.1]]</t>
        </is>
      </c>
      <c r="O141" s="47" t="inlineStr">
        <is>
          <t>[[3059,0.02]]</t>
        </is>
      </c>
      <c r="P141" s="47" t="inlineStr">
        <is>
          <t>[[3009,0.02],[3010,0.02],[3011,0.02]]</t>
        </is>
      </c>
      <c r="Q141" s="47" t="inlineStr">
        <is>
          <t>[[3001,5],[3002,1],[3003,500]]</t>
        </is>
      </c>
      <c r="R141" s="47" t="inlineStr">
        <is>
          <t>[[103,10]]</t>
        </is>
      </c>
      <c r="S141" s="47" t="n">
        <v>5000</v>
      </c>
      <c r="T141" s="47" t="inlineStr">
        <is>
          <t>召唤</t>
        </is>
      </c>
      <c r="U141" s="47" t="inlineStr">
        <is>
          <t>skill_affix/huang</t>
        </is>
      </c>
      <c r="V141" s="47" t="n">
        <v>1</v>
      </c>
    </row>
    <row r="142">
      <c r="A142" s="47" t="n">
        <v>3022</v>
      </c>
      <c r="B142" s="47" t="n">
        <v>3</v>
      </c>
      <c r="C142" s="47" t="n">
        <v>6</v>
      </c>
      <c r="D142" s="47" t="inlineStr">
        <is>
          <t>核心技能</t>
        </is>
      </c>
      <c r="E142" s="47" t="n">
        <v>302203</v>
      </c>
      <c r="F142" s="25" t="inlineStr">
        <is>
          <t>302210</t>
        </is>
      </c>
      <c r="H142" s="47" t="inlineStr">
        <is>
          <t>[[302210,900]]</t>
        </is>
      </c>
      <c r="I142" s="47" t="inlineStr">
        <is>
          <t>skill/sect/302203</t>
        </is>
      </c>
      <c r="J142" s="47" t="inlineStr">
        <is>
          <t>咒骸殉爆</t>
        </is>
      </c>
      <c r="K142" s="47" t="inlineStr">
        <is>
          <t>自爆幽灵殉爆伤害提高&lt;color=be7013&gt;40%&lt;/color&gt;。</t>
        </is>
      </c>
      <c r="L142" s="47" t="n">
        <v>130222000</v>
      </c>
      <c r="N142" s="47" t="inlineStr">
        <is>
          <t>[[3015,0.1],[3097,0.4]]</t>
        </is>
      </c>
      <c r="O142" s="47" t="inlineStr">
        <is>
          <t>[[3059,0.02]]</t>
        </is>
      </c>
      <c r="P142" s="47" t="inlineStr">
        <is>
          <t>[[3009,0.03],[3010,0.03],[3011,0.03]]</t>
        </is>
      </c>
      <c r="Q142" s="47" t="inlineStr">
        <is>
          <t>[[3001,10],[3002,2],[3003,1000]]</t>
        </is>
      </c>
      <c r="R142" s="47" t="inlineStr">
        <is>
          <t>[[103,10]]</t>
        </is>
      </c>
      <c r="S142" s="47" t="n">
        <v>10000</v>
      </c>
      <c r="T142" s="47" t="inlineStr">
        <is>
          <t>召唤</t>
        </is>
      </c>
      <c r="U142" s="47" t="inlineStr">
        <is>
          <t>skill_affix/huang</t>
        </is>
      </c>
      <c r="V142" s="47" t="n">
        <v>1</v>
      </c>
    </row>
    <row r="143">
      <c r="A143" s="47" t="n">
        <v>3022</v>
      </c>
      <c r="B143" s="47" t="n">
        <v>4</v>
      </c>
      <c r="C143" s="47" t="n">
        <v>8</v>
      </c>
      <c r="D143" s="47" t="inlineStr">
        <is>
          <t>核心技能</t>
        </is>
      </c>
      <c r="E143" s="47" t="n">
        <v>302204</v>
      </c>
      <c r="F143" s="25" t="inlineStr">
        <is>
          <t>302210</t>
        </is>
      </c>
      <c r="G143" s="25" t="inlineStr">
        <is>
          <t>302220</t>
        </is>
      </c>
      <c r="H143" s="47" t="inlineStr">
        <is>
          <t>[[302220,1]]</t>
        </is>
      </c>
      <c r="I143" s="47" t="inlineStr">
        <is>
          <t>skill/sect/302204</t>
        </is>
      </c>
      <c r="J143" s="47" t="inlineStr">
        <is>
          <t>咒骸殉爆</t>
        </is>
      </c>
      <c r="K143" s="47" t="inlineStr">
        <is>
          <t>幽灵基础召唤数提高至&lt;color=be7013&gt;8&lt;/color&gt;个，且爆炸伤害提升至&lt;color=be7013&gt;90%&lt;/color&gt;。</t>
        </is>
      </c>
      <c r="L143" s="47" t="n">
        <v>130224000</v>
      </c>
      <c r="N143" s="47" t="inlineStr">
        <is>
          <t>[[3015,0.1],[3097,0.4]]</t>
        </is>
      </c>
      <c r="O143" s="47" t="inlineStr">
        <is>
          <t>[[3059,0.02]]</t>
        </is>
      </c>
      <c r="P143" s="47" t="inlineStr">
        <is>
          <t>[[3009,0.04],[3010,0.04],[3011,0.04]]</t>
        </is>
      </c>
      <c r="Q143" s="47" t="inlineStr">
        <is>
          <t>[[3001,50],[3002,10],[3003,5000]]</t>
        </is>
      </c>
      <c r="R143" s="47" t="inlineStr">
        <is>
          <t>[[103,10]]</t>
        </is>
      </c>
      <c r="S143" s="47" t="n">
        <v>20000</v>
      </c>
      <c r="T143" s="47" t="inlineStr">
        <is>
          <t>召唤</t>
        </is>
      </c>
      <c r="U143" s="47" t="inlineStr">
        <is>
          <t>skill_affix/huang</t>
        </is>
      </c>
      <c r="V143" s="47" t="n">
        <v>1</v>
      </c>
    </row>
    <row r="144">
      <c r="A144" s="47">
        <f>A140+1</f>
        <v/>
      </c>
      <c r="B144" s="47">
        <f>B140</f>
        <v/>
      </c>
      <c r="C144" s="47">
        <f>C140</f>
        <v/>
      </c>
      <c r="D144" s="47">
        <f>D140</f>
        <v/>
      </c>
      <c r="E144" s="47">
        <f>E140+100</f>
        <v/>
      </c>
      <c r="F144" s="25">
        <f>F140+100</f>
        <v/>
      </c>
      <c r="H144" s="47">
        <f>"[["&amp;F144&amp;",300]]"</f>
        <v/>
      </c>
      <c r="I144" s="47">
        <f>"skill/sect/"&amp;E144</f>
        <v/>
      </c>
      <c r="J144" s="47" t="inlineStr">
        <is>
          <t>骸骨拳袭</t>
        </is>
      </c>
      <c r="K144" s="36" t="inlineStr">
        <is>
          <t>角色核心幽魂出击伤害提高&lt;color=be7013&gt;10%&lt;/color&gt;。</t>
        </is>
      </c>
      <c r="N144" s="47" t="inlineStr">
        <is>
          <t>[[3278,0.1]]</t>
        </is>
      </c>
      <c r="O144" s="47" t="inlineStr">
        <is>
          <t>[[3059,0.02]]</t>
        </is>
      </c>
      <c r="P144" s="47" t="inlineStr">
        <is>
          <t>[[3009,0.01],[3010,0.01],[3011,0.01]]</t>
        </is>
      </c>
      <c r="Q144" s="47" t="inlineStr">
        <is>
          <t>[[3001,1],[3002,1],[3003,100]]</t>
        </is>
      </c>
      <c r="R144" s="47">
        <f>R140</f>
        <v/>
      </c>
      <c r="S144" s="47">
        <f>S136</f>
        <v/>
      </c>
      <c r="T144" s="47" t="inlineStr">
        <is>
          <t>增益</t>
        </is>
      </c>
      <c r="U144" s="47" t="inlineStr">
        <is>
          <t>skill_affix/hong</t>
        </is>
      </c>
      <c r="V144" s="47" t="n">
        <v>0</v>
      </c>
    </row>
    <row r="145">
      <c r="A145" s="47">
        <f>A141+1</f>
        <v/>
      </c>
      <c r="B145" s="47">
        <f>B141</f>
        <v/>
      </c>
      <c r="C145" s="47">
        <f>C141</f>
        <v/>
      </c>
      <c r="D145" s="47">
        <f>D141</f>
        <v/>
      </c>
      <c r="E145" s="47">
        <f>E141+100</f>
        <v/>
      </c>
      <c r="F145" s="25">
        <f>F141+100</f>
        <v/>
      </c>
      <c r="H145" s="47">
        <f>"[["&amp;F145&amp;",600]]"</f>
        <v/>
      </c>
      <c r="I145" s="47">
        <f>"skill/sect/"&amp;E145</f>
        <v/>
      </c>
      <c r="J145" s="47" t="inlineStr">
        <is>
          <t>骸骨拳袭</t>
        </is>
      </c>
      <c r="K145" s="36" t="inlineStr">
        <is>
          <t>不再召唤幽魂，而是召唤5个拳头向前方造成总计&lt;color=be7013&gt;146%&lt;/color&gt;攻击力的魔法伤害，并吸收周围骸骨，每个骸骨将提供一层&lt;u color=4169E1 size=2&gt;&lt;a href=30036&gt;生机&lt;/a&gt;&lt;/u&gt;，当&lt;u color=4169E1 size=2&gt;&lt;a href=30036&gt;生机&lt;/a&gt;&lt;/u&gt;达到45/130/170层时都将额外生成2个拳头。</t>
        </is>
      </c>
      <c r="L145" s="47" t="n">
        <v>130232000</v>
      </c>
      <c r="N145" s="47" t="inlineStr">
        <is>
          <t>[[3278,0.1]]</t>
        </is>
      </c>
      <c r="O145" s="47" t="inlineStr">
        <is>
          <t>[[3059,0.02]]</t>
        </is>
      </c>
      <c r="P145" s="47" t="inlineStr">
        <is>
          <t>[[3009,0.02],[3010,0.02],[3011,0.02]]</t>
        </is>
      </c>
      <c r="Q145" s="47" t="inlineStr">
        <is>
          <t>[[3001,5],[3002,1],[3003,500]]</t>
        </is>
      </c>
      <c r="R145" s="47">
        <f>R141</f>
        <v/>
      </c>
      <c r="S145" s="47">
        <f>S137</f>
        <v/>
      </c>
      <c r="T145" s="47" t="inlineStr">
        <is>
          <t>增益</t>
        </is>
      </c>
      <c r="U145" s="47" t="inlineStr">
        <is>
          <t>skill_affix/hong</t>
        </is>
      </c>
      <c r="V145" s="47" t="n">
        <v>0</v>
      </c>
    </row>
    <row r="146">
      <c r="A146" s="47">
        <f>A142+1</f>
        <v/>
      </c>
      <c r="B146" s="47">
        <f>B142</f>
        <v/>
      </c>
      <c r="C146" s="47">
        <f>C142</f>
        <v/>
      </c>
      <c r="D146" s="47">
        <f>D142</f>
        <v/>
      </c>
      <c r="E146" s="47">
        <f>E142+100</f>
        <v/>
      </c>
      <c r="F146" s="25">
        <f>F142+100</f>
        <v/>
      </c>
      <c r="H146" s="47">
        <f>"[["&amp;F146&amp;",900]]"</f>
        <v/>
      </c>
      <c r="I146" s="47">
        <f>"skill/sect/"&amp;E146</f>
        <v/>
      </c>
      <c r="J146" s="47" t="inlineStr">
        <is>
          <t>骸骨拳袭</t>
        </is>
      </c>
      <c r="K146" s="36" t="inlineStr">
        <is>
          <t>战意充能提高&lt;color=be7013&gt;12.5%&lt;/color&gt;。</t>
        </is>
      </c>
      <c r="L146" s="47" t="n">
        <v>130232000</v>
      </c>
      <c r="N146" s="47" t="inlineStr">
        <is>
          <t>[[3278,0.1],[3005,0.125]]</t>
        </is>
      </c>
      <c r="O146" s="47" t="inlineStr">
        <is>
          <t>[[3059,0.02]]</t>
        </is>
      </c>
      <c r="P146" s="47" t="inlineStr">
        <is>
          <t>[[3009,0.03],[3010,0.03],[3011,0.03]]</t>
        </is>
      </c>
      <c r="Q146" s="47" t="inlineStr">
        <is>
          <t>[[3001,10],[3002,2],[3003,1000]]</t>
        </is>
      </c>
      <c r="R146" s="47">
        <f>R142</f>
        <v/>
      </c>
      <c r="S146" s="47">
        <f>S138</f>
        <v/>
      </c>
      <c r="T146" s="47" t="inlineStr">
        <is>
          <t>增益</t>
        </is>
      </c>
      <c r="U146" s="47" t="inlineStr">
        <is>
          <t>skill_affix/hong</t>
        </is>
      </c>
      <c r="V146" s="47" t="n">
        <v>0</v>
      </c>
    </row>
    <row r="147">
      <c r="A147" s="47">
        <f>A143+1</f>
        <v/>
      </c>
      <c r="B147" s="47">
        <f>B143</f>
        <v/>
      </c>
      <c r="C147" s="47">
        <f>C143</f>
        <v/>
      </c>
      <c r="D147" s="47">
        <f>D143</f>
        <v/>
      </c>
      <c r="E147" s="47">
        <f>E143+100</f>
        <v/>
      </c>
      <c r="F147" s="25">
        <f>F143+100</f>
        <v/>
      </c>
      <c r="G147" s="25">
        <f>G143+100</f>
        <v/>
      </c>
      <c r="H147" s="47">
        <f>"[["&amp;G147&amp;",1]]"</f>
        <v/>
      </c>
      <c r="I147" s="47">
        <f>"skill/sect/"&amp;E147</f>
        <v/>
      </c>
      <c r="J147" s="47" t="inlineStr">
        <is>
          <t>骸骨拳袭</t>
        </is>
      </c>
      <c r="K147" s="36" t="inlineStr">
        <is>
          <t>额外召唤4个拳头对前方造成一次砸击，造成&lt;color=be7013&gt;219%&lt;/color&gt;攻击力的魔法伤害，并眩晕&lt;color=be7013&gt;0.8&lt;/color&gt;秒。</t>
        </is>
      </c>
      <c r="L147" s="47" t="n">
        <v>130234000</v>
      </c>
      <c r="N147" s="47" t="inlineStr">
        <is>
          <t>[[3278,0.1],[3005,0.125]]</t>
        </is>
      </c>
      <c r="O147" s="47" t="inlineStr">
        <is>
          <t>[[3059,0.02]]</t>
        </is>
      </c>
      <c r="P147" s="47" t="inlineStr">
        <is>
          <t>[[3009,0.04],[3010,0.04],[3011,0.04]]</t>
        </is>
      </c>
      <c r="Q147" s="47" t="inlineStr">
        <is>
          <t>[[3001,50],[3002,10],[3003,5000]]</t>
        </is>
      </c>
      <c r="R147" s="47">
        <f>R143</f>
        <v/>
      </c>
      <c r="S147" s="47">
        <f>S139</f>
        <v/>
      </c>
      <c r="T147" s="47" t="inlineStr">
        <is>
          <t>增益</t>
        </is>
      </c>
      <c r="U147" s="47" t="inlineStr">
        <is>
          <t>skill_affix/hong</t>
        </is>
      </c>
      <c r="V147" s="47" t="n">
        <v>0</v>
      </c>
    </row>
    <row r="148">
      <c r="A148" s="47" t="n">
        <v>3031</v>
      </c>
      <c r="B148" s="47" t="n">
        <v>1</v>
      </c>
      <c r="C148" s="47" t="n">
        <v>3</v>
      </c>
      <c r="D148" s="47" t="inlineStr">
        <is>
          <t>位移技能</t>
        </is>
      </c>
      <c r="E148" s="47" t="n">
        <v>303101</v>
      </c>
      <c r="F148" s="25" t="inlineStr">
        <is>
          <t>303110</t>
        </is>
      </c>
      <c r="H148" s="47" t="inlineStr">
        <is>
          <t>[[303110,300]]</t>
        </is>
      </c>
      <c r="I148" s="47" t="inlineStr">
        <is>
          <t>skill/sect/303101</t>
        </is>
      </c>
      <c r="J148" s="47" t="inlineStr">
        <is>
          <t>枯萎缠绕</t>
        </is>
      </c>
      <c r="K148" s="47" t="inlineStr">
        <is>
          <t>角色最终减伤提高&lt;color=be7013&gt;5%&lt;/color&gt;。</t>
        </is>
      </c>
      <c r="N148" s="47" t="inlineStr">
        <is>
          <t>[[3060,0.05]]</t>
        </is>
      </c>
      <c r="O148" s="47" t="inlineStr">
        <is>
          <t>[[3059,0.02]]</t>
        </is>
      </c>
      <c r="P148" s="47" t="inlineStr">
        <is>
          <t>[[3009,0.01],[3010,0.01],[3011,0.01]]</t>
        </is>
      </c>
      <c r="Q148" s="47" t="inlineStr">
        <is>
          <t>[[3001,1],[3002,1],[3003,100]]</t>
        </is>
      </c>
      <c r="R148" s="47" t="inlineStr">
        <is>
          <t>[[103,10]]</t>
        </is>
      </c>
      <c r="S148" s="47" t="n">
        <v>1000</v>
      </c>
      <c r="T148" s="47" t="inlineStr">
        <is>
          <t>控制|减益</t>
        </is>
      </c>
      <c r="U148" s="47" t="inlineStr">
        <is>
          <t>skill_affix/zi|skill_affix/qing</t>
        </is>
      </c>
      <c r="V148" s="47" t="n">
        <v>1</v>
      </c>
    </row>
    <row r="149">
      <c r="A149" s="47" t="n">
        <v>3031</v>
      </c>
      <c r="B149" s="47" t="n">
        <v>2</v>
      </c>
      <c r="C149" s="47" t="n">
        <v>4</v>
      </c>
      <c r="D149" s="47" t="inlineStr">
        <is>
          <t>位移技能</t>
        </is>
      </c>
      <c r="E149" s="47" t="n">
        <v>303102</v>
      </c>
      <c r="F149" s="25" t="inlineStr">
        <is>
          <t>303110</t>
        </is>
      </c>
      <c r="H149" s="47" t="inlineStr">
        <is>
          <t>[[303110,600]]</t>
        </is>
      </c>
      <c r="I149" s="47" t="inlineStr">
        <is>
          <t>skill/sect/303102</t>
        </is>
      </c>
      <c r="J149" s="47" t="inlineStr">
        <is>
          <t>枯萎缠绕</t>
        </is>
      </c>
      <c r="K149" s="47" t="inlineStr">
        <is>
          <t>枯萎造成伤害时有&lt;color=be7013&gt;50%&lt;/color&gt;的概率将对敌人附加1层&lt;u color=4169E1 size=2&gt;&lt;a href=30003&gt;易伤&lt;/a&gt;&lt;/u&gt;，释放枯萎时有&lt;color=be7013&gt;35%&lt;/color&gt;的概率从沼泽中召唤深渊触须，使被捆绑的敌人陷入无法移动的状态，持续&lt;color=be7013&gt;2&lt;/color&gt;秒。</t>
        </is>
      </c>
      <c r="L149" s="47" t="n">
        <v>130312000</v>
      </c>
      <c r="N149" s="47" t="inlineStr">
        <is>
          <t>[[3060,0.05]]</t>
        </is>
      </c>
      <c r="O149" s="47" t="inlineStr">
        <is>
          <t>[[3059,0.02]]</t>
        </is>
      </c>
      <c r="P149" s="47" t="inlineStr">
        <is>
          <t>[[3009,0.02],[3010,0.02],[3011,0.02]]</t>
        </is>
      </c>
      <c r="Q149" s="47" t="inlineStr">
        <is>
          <t>[[3001,5],[3002,1],[3003,500]]</t>
        </is>
      </c>
      <c r="R149" s="47" t="inlineStr">
        <is>
          <t>[[103,10]]</t>
        </is>
      </c>
      <c r="S149" s="47" t="n">
        <v>3000</v>
      </c>
      <c r="T149" s="47" t="inlineStr">
        <is>
          <t>控制|减益</t>
        </is>
      </c>
      <c r="U149" s="47" t="inlineStr">
        <is>
          <t>skill_affix/zi|skill_affix/qing</t>
        </is>
      </c>
      <c r="V149" s="47" t="n">
        <v>1</v>
      </c>
    </row>
    <row r="150">
      <c r="A150" s="47" t="n">
        <v>3031</v>
      </c>
      <c r="B150" s="47" t="n">
        <v>3</v>
      </c>
      <c r="C150" s="47" t="n">
        <v>6</v>
      </c>
      <c r="D150" s="47" t="inlineStr">
        <is>
          <t>位移技能</t>
        </is>
      </c>
      <c r="E150" s="47" t="n">
        <v>303103</v>
      </c>
      <c r="F150" s="25" t="inlineStr">
        <is>
          <t>303110</t>
        </is>
      </c>
      <c r="H150" s="47" t="inlineStr">
        <is>
          <t>[[303110,900]]</t>
        </is>
      </c>
      <c r="I150" s="47" t="inlineStr">
        <is>
          <t>skill/sect/303103</t>
        </is>
      </c>
      <c r="J150" s="47" t="inlineStr">
        <is>
          <t>枯萎缠绕</t>
        </is>
      </c>
      <c r="K150" s="47" t="inlineStr">
        <is>
          <t>角色附加伤害提升&lt;color=be7013&gt;10%&lt;/color&gt;。</t>
        </is>
      </c>
      <c r="L150" s="47" t="n">
        <v>130313000</v>
      </c>
      <c r="N150" s="47" t="inlineStr">
        <is>
          <t>[[3060,0.05],[3031,0.1]]</t>
        </is>
      </c>
      <c r="O150" s="47" t="inlineStr">
        <is>
          <t>[[3059,0.02]]</t>
        </is>
      </c>
      <c r="P150" s="47" t="inlineStr">
        <is>
          <t>[[3009,0.03],[3010,0.03],[3011,0.03]]</t>
        </is>
      </c>
      <c r="Q150" s="47" t="inlineStr">
        <is>
          <t>[[3001,10],[3002,2],[3003,1000]]</t>
        </is>
      </c>
      <c r="R150" s="47" t="inlineStr">
        <is>
          <t>[[103,10]]</t>
        </is>
      </c>
      <c r="S150" s="47" t="n">
        <v>6000</v>
      </c>
      <c r="T150" s="47" t="inlineStr">
        <is>
          <t>控制|减益</t>
        </is>
      </c>
      <c r="U150" s="47" t="inlineStr">
        <is>
          <t>skill_affix/zi|skill_affix/qing</t>
        </is>
      </c>
      <c r="V150" s="47" t="n">
        <v>1</v>
      </c>
    </row>
    <row r="151">
      <c r="A151" s="47" t="n">
        <v>3031</v>
      </c>
      <c r="B151" s="47" t="n">
        <v>4</v>
      </c>
      <c r="C151" s="47" t="n">
        <v>8</v>
      </c>
      <c r="D151" s="47" t="inlineStr">
        <is>
          <t>位移技能</t>
        </is>
      </c>
      <c r="E151" s="47" t="n">
        <v>303104</v>
      </c>
      <c r="F151" s="25" t="inlineStr">
        <is>
          <t>303110</t>
        </is>
      </c>
      <c r="G151" s="25" t="inlineStr">
        <is>
          <t>303120</t>
        </is>
      </c>
      <c r="H151" s="47" t="inlineStr">
        <is>
          <t>[[303120,1]]</t>
        </is>
      </c>
      <c r="I151" s="47" t="inlineStr">
        <is>
          <t>skill/sect/303104</t>
        </is>
      </c>
      <c r="J151" s="47" t="inlineStr">
        <is>
          <t>枯萎缠绕</t>
        </is>
      </c>
      <c r="K151" s="47" t="inlineStr">
        <is>
          <t>枯萎造成伤害时必定对敌人附加&lt;color=be7013&gt;1&lt;/color&gt;层&lt;u color=4169E1 size=2&gt;&lt;a href=30003&gt;易伤&lt;/a&gt;&lt;/u&gt;，捆绑概率提高至&lt;color=be7013&gt;55%&lt;/color&gt;。</t>
        </is>
      </c>
      <c r="L151" s="47" t="n">
        <v>130314000</v>
      </c>
      <c r="N151" s="47" t="inlineStr">
        <is>
          <t>[[3060,0.05],[3031,0.1]]</t>
        </is>
      </c>
      <c r="O151" s="47" t="inlineStr">
        <is>
          <t>[[3059,0.02]]</t>
        </is>
      </c>
      <c r="P151" s="47" t="inlineStr">
        <is>
          <t>[[3009,0.04],[3010,0.04],[3011,0.04]]</t>
        </is>
      </c>
      <c r="Q151" s="47" t="inlineStr">
        <is>
          <t>[[3001,50],[3002,10],[3003,5000]]</t>
        </is>
      </c>
      <c r="R151" s="47" t="inlineStr">
        <is>
          <t>[[103,10]]</t>
        </is>
      </c>
      <c r="S151" s="47" t="n">
        <v>10000</v>
      </c>
      <c r="T151" s="47" t="inlineStr">
        <is>
          <t>控制|减益</t>
        </is>
      </c>
      <c r="U151" s="47" t="inlineStr">
        <is>
          <t>skill_affix/zi|skill_affix/qing</t>
        </is>
      </c>
      <c r="V151" s="47" t="n">
        <v>1</v>
      </c>
    </row>
    <row r="152">
      <c r="A152" s="47" t="n">
        <v>3032</v>
      </c>
      <c r="B152" s="47" t="n">
        <v>1</v>
      </c>
      <c r="C152" s="47" t="n">
        <v>3</v>
      </c>
      <c r="D152" s="47" t="inlineStr">
        <is>
          <t>位移技能</t>
        </is>
      </c>
      <c r="E152" s="47" t="n">
        <v>303201</v>
      </c>
      <c r="F152" s="25" t="inlineStr">
        <is>
          <t>303210</t>
        </is>
      </c>
      <c r="H152" s="47" t="inlineStr">
        <is>
          <t>[[303210,300]]</t>
        </is>
      </c>
      <c r="I152" s="47" t="inlineStr">
        <is>
          <t>skill/sect/303201</t>
        </is>
      </c>
      <c r="J152" s="47" t="inlineStr">
        <is>
          <t>腐殖盛宴</t>
        </is>
      </c>
      <c r="K152" s="47" t="inlineStr">
        <is>
          <t>角色最终增伤提高&lt;color=be7013&gt;5%&lt;/color&gt;。</t>
        </is>
      </c>
      <c r="N152" s="47" t="inlineStr">
        <is>
          <t>[[3059,0.05]]</t>
        </is>
      </c>
      <c r="O152" s="47" t="inlineStr">
        <is>
          <t>[[3059,0.02]]</t>
        </is>
      </c>
      <c r="P152" s="47" t="inlineStr">
        <is>
          <t>[[3009,0.01],[3010,0.01],[3011,0.01]]</t>
        </is>
      </c>
      <c r="Q152" s="47" t="inlineStr">
        <is>
          <t>[[3001,1],[3002,1],[3003,100]]</t>
        </is>
      </c>
      <c r="R152" s="47" t="inlineStr">
        <is>
          <t>[[103,10]]</t>
        </is>
      </c>
      <c r="S152" s="47" t="n">
        <v>1000</v>
      </c>
      <c r="T152" s="47" t="inlineStr">
        <is>
          <t>回血</t>
        </is>
      </c>
      <c r="U152" s="47" t="inlineStr">
        <is>
          <t>skill_affix/lv</t>
        </is>
      </c>
      <c r="V152" s="47" t="n">
        <v>1</v>
      </c>
    </row>
    <row r="153">
      <c r="A153" s="47" t="n">
        <v>3032</v>
      </c>
      <c r="B153" s="47" t="n">
        <v>2</v>
      </c>
      <c r="C153" s="47" t="n">
        <v>4</v>
      </c>
      <c r="D153" s="47" t="inlineStr">
        <is>
          <t>位移技能</t>
        </is>
      </c>
      <c r="E153" s="47" t="n">
        <v>303202</v>
      </c>
      <c r="F153" s="25" t="inlineStr">
        <is>
          <t>303210</t>
        </is>
      </c>
      <c r="H153" s="47" t="inlineStr">
        <is>
          <t>[[303210,600]]</t>
        </is>
      </c>
      <c r="I153" s="47" t="inlineStr">
        <is>
          <t>skill/sect/303202</t>
        </is>
      </c>
      <c r="J153" s="47" t="inlineStr">
        <is>
          <t>腐殖盛宴</t>
        </is>
      </c>
      <c r="K153" s="47" t="inlineStr">
        <is>
          <t>释放枯萎时将恢复&lt;color=be7013&gt;4%&lt;/color&gt;已损失生命值。</t>
        </is>
      </c>
      <c r="L153" s="47" t="n">
        <v>130322000</v>
      </c>
      <c r="N153" s="47" t="inlineStr">
        <is>
          <t>[[3059,0.05]]</t>
        </is>
      </c>
      <c r="O153" s="47" t="inlineStr">
        <is>
          <t>[[3059,0.02]]</t>
        </is>
      </c>
      <c r="P153" s="47" t="inlineStr">
        <is>
          <t>[[3009,0.02],[3010,0.02],[3011,0.02]]</t>
        </is>
      </c>
      <c r="Q153" s="47" t="inlineStr">
        <is>
          <t>[[3001,5],[3002,1],[3003,500]]</t>
        </is>
      </c>
      <c r="R153" s="47" t="inlineStr">
        <is>
          <t>[[103,10]]</t>
        </is>
      </c>
      <c r="S153" s="47" t="n">
        <v>3000</v>
      </c>
      <c r="T153" s="47" t="inlineStr">
        <is>
          <t>回血</t>
        </is>
      </c>
      <c r="U153" s="47" t="inlineStr">
        <is>
          <t>skill_affix/lv</t>
        </is>
      </c>
      <c r="V153" s="47" t="n">
        <v>1</v>
      </c>
    </row>
    <row r="154">
      <c r="A154" s="47" t="n">
        <v>3032</v>
      </c>
      <c r="B154" s="47" t="n">
        <v>3</v>
      </c>
      <c r="C154" s="47" t="n">
        <v>6</v>
      </c>
      <c r="D154" s="47" t="inlineStr">
        <is>
          <t>位移技能</t>
        </is>
      </c>
      <c r="E154" s="47" t="n">
        <v>303203</v>
      </c>
      <c r="F154" s="25" t="inlineStr">
        <is>
          <t>303210</t>
        </is>
      </c>
      <c r="H154" s="47" t="inlineStr">
        <is>
          <t>[[303210,900]]</t>
        </is>
      </c>
      <c r="I154" s="47" t="inlineStr">
        <is>
          <t>skill/sect/303203</t>
        </is>
      </c>
      <c r="J154" s="47" t="inlineStr">
        <is>
          <t>腐殖盛宴</t>
        </is>
      </c>
      <c r="K154" s="47" t="inlineStr">
        <is>
          <t>角色闪避率提高&lt;color=be7013&gt;3%&lt;/color&gt;。</t>
        </is>
      </c>
      <c r="N154" s="47" t="inlineStr">
        <is>
          <t>[[3059,0.05],[10009,0.03]]</t>
        </is>
      </c>
      <c r="O154" s="47" t="inlineStr">
        <is>
          <t>[[3059,0.02]]</t>
        </is>
      </c>
      <c r="P154" s="47" t="inlineStr">
        <is>
          <t>[[3009,0.03],[3010,0.03],[3011,0.03]]</t>
        </is>
      </c>
      <c r="Q154" s="47" t="inlineStr">
        <is>
          <t>[[3001,10],[3002,2],[3003,1000]]</t>
        </is>
      </c>
      <c r="R154" s="47" t="inlineStr">
        <is>
          <t>[[103,10]]</t>
        </is>
      </c>
      <c r="S154" s="47" t="n">
        <v>6000</v>
      </c>
      <c r="T154" s="47" t="inlineStr">
        <is>
          <t>回血</t>
        </is>
      </c>
      <c r="U154" s="47" t="inlineStr">
        <is>
          <t>skill_affix/lv</t>
        </is>
      </c>
      <c r="V154" s="47" t="n">
        <v>1</v>
      </c>
    </row>
    <row r="155">
      <c r="A155" s="47" t="n">
        <v>3032</v>
      </c>
      <c r="B155" s="47" t="n">
        <v>4</v>
      </c>
      <c r="C155" s="47" t="n">
        <v>8</v>
      </c>
      <c r="D155" s="47" t="inlineStr">
        <is>
          <t>位移技能</t>
        </is>
      </c>
      <c r="E155" s="47" t="n">
        <v>303204</v>
      </c>
      <c r="F155" s="25" t="inlineStr">
        <is>
          <t>303210</t>
        </is>
      </c>
      <c r="G155" s="25" t="inlineStr">
        <is>
          <t>303220</t>
        </is>
      </c>
      <c r="H155" s="47" t="inlineStr">
        <is>
          <t>[[303220,1]]</t>
        </is>
      </c>
      <c r="I155" s="47" t="inlineStr">
        <is>
          <t>skill/sect/303204</t>
        </is>
      </c>
      <c r="J155" s="47" t="inlineStr">
        <is>
          <t>腐殖盛宴</t>
        </is>
      </c>
      <c r="K155" s="47" t="inlineStr">
        <is>
          <t>释放枯萎时将恢复&lt;color=be7013&gt;8%&lt;/color&gt;已损失生命值。</t>
        </is>
      </c>
      <c r="L155" s="47" t="n">
        <v>130324000</v>
      </c>
      <c r="N155" s="47" t="inlineStr">
        <is>
          <t>[[3059,0.05],[10009,0.03]]</t>
        </is>
      </c>
      <c r="O155" s="47" t="inlineStr">
        <is>
          <t>[[3059,0.02]]</t>
        </is>
      </c>
      <c r="P155" s="47" t="inlineStr">
        <is>
          <t>[[3009,0.04],[3010,0.04],[3011,0.04]]</t>
        </is>
      </c>
      <c r="Q155" s="47" t="inlineStr">
        <is>
          <t>[[3001,50],[3002,10],[3003,5000]]</t>
        </is>
      </c>
      <c r="R155" s="47" t="inlineStr">
        <is>
          <t>[[103,10]]</t>
        </is>
      </c>
      <c r="S155" s="47" t="n">
        <v>10000</v>
      </c>
      <c r="T155" s="47" t="inlineStr">
        <is>
          <t>回血</t>
        </is>
      </c>
      <c r="U155" s="47" t="inlineStr">
        <is>
          <t>skill_affix/lv</t>
        </is>
      </c>
      <c r="V155" s="47" t="n">
        <v>1</v>
      </c>
    </row>
    <row r="156">
      <c r="A156" s="47">
        <f>A152+1</f>
        <v/>
      </c>
      <c r="B156" s="47">
        <f>B152</f>
        <v/>
      </c>
      <c r="C156" s="47">
        <f>C152</f>
        <v/>
      </c>
      <c r="D156" s="47">
        <f>D152</f>
        <v/>
      </c>
      <c r="E156" s="47">
        <f>E152+100</f>
        <v/>
      </c>
      <c r="F156" s="25">
        <f>F152+100</f>
        <v/>
      </c>
      <c r="H156" s="47">
        <f>"[["&amp;F156&amp;",300]]"</f>
        <v/>
      </c>
      <c r="I156" s="47">
        <f>"skill/sect/"&amp;E156</f>
        <v/>
      </c>
      <c r="J156" s="47" t="inlineStr">
        <is>
          <t>猩红巡礼</t>
        </is>
      </c>
      <c r="K156" s="47" t="inlineStr">
        <is>
          <t>角色魔法增伤提高&lt;color=be7013&gt;5%&lt;/color&gt;。</t>
        </is>
      </c>
      <c r="N156" s="47" t="inlineStr">
        <is>
          <t>[[3023,0.05]]</t>
        </is>
      </c>
      <c r="O156" s="47" t="inlineStr">
        <is>
          <t>[[3059,0.02]]</t>
        </is>
      </c>
      <c r="P156" s="47" t="inlineStr">
        <is>
          <t>[[3009,0.01],[3010,0.01],[3011,0.01]]</t>
        </is>
      </c>
      <c r="Q156" s="47" t="inlineStr">
        <is>
          <t>[[3001,1],[3002,1],[3003,100]]</t>
        </is>
      </c>
      <c r="R156" s="47">
        <f>R152</f>
        <v/>
      </c>
      <c r="S156" s="47">
        <f>S148</f>
        <v/>
      </c>
      <c r="T156" s="47" t="inlineStr">
        <is>
          <t>位移|减益</t>
        </is>
      </c>
      <c r="U156" s="47" t="inlineStr">
        <is>
          <t>skill_affix/lan|skill_affix/qing</t>
        </is>
      </c>
      <c r="V156" s="47" t="n">
        <v>0</v>
      </c>
    </row>
    <row r="157">
      <c r="A157" s="47">
        <f>A153+1</f>
        <v/>
      </c>
      <c r="B157" s="47">
        <f>B153</f>
        <v/>
      </c>
      <c r="C157" s="47">
        <f>C153</f>
        <v/>
      </c>
      <c r="D157" s="47">
        <f>D153</f>
        <v/>
      </c>
      <c r="E157" s="47">
        <f>E153+100</f>
        <v/>
      </c>
      <c r="F157" s="25">
        <f>F153+100</f>
        <v/>
      </c>
      <c r="H157" s="47">
        <f>"[["&amp;F157&amp;",600]]"</f>
        <v/>
      </c>
      <c r="I157" s="47">
        <f>"skill/sect/"&amp;E157</f>
        <v/>
      </c>
      <c r="J157" s="47" t="inlineStr">
        <is>
          <t>猩红巡礼</t>
        </is>
      </c>
      <c r="K157" s="36" t="inlineStr">
        <is>
          <t>化身血池向前移动，对经过的敌人造成&lt;color=be7013&gt;66%&lt;/color&gt;攻击力的魔法伤害并降低&lt;color=be7013&gt;10%&lt;/color&gt;魔法抗性，持续5秒，血池持续1秒期间无敌。</t>
        </is>
      </c>
      <c r="L157" s="47" t="n">
        <v>130332000</v>
      </c>
      <c r="N157" s="47" t="inlineStr">
        <is>
          <t>[[3023,0.05]]</t>
        </is>
      </c>
      <c r="O157" s="47" t="inlineStr">
        <is>
          <t>[[3059,0.02]]</t>
        </is>
      </c>
      <c r="P157" s="47" t="inlineStr">
        <is>
          <t>[[3009,0.02],[3010,0.02],[3011,0.02]]</t>
        </is>
      </c>
      <c r="Q157" s="47" t="inlineStr">
        <is>
          <t>[[3001,5],[3002,1],[3003,500]]</t>
        </is>
      </c>
      <c r="R157" s="47">
        <f>R153</f>
        <v/>
      </c>
      <c r="S157" s="47">
        <f>S149</f>
        <v/>
      </c>
      <c r="T157" s="47" t="inlineStr">
        <is>
          <t>位移|减益</t>
        </is>
      </c>
      <c r="U157" s="47" t="inlineStr">
        <is>
          <t>skill_affix/lan|skill_affix/qing</t>
        </is>
      </c>
      <c r="V157" s="47" t="n">
        <v>0</v>
      </c>
    </row>
    <row r="158">
      <c r="A158" s="47">
        <f>A154+1</f>
        <v/>
      </c>
      <c r="B158" s="47">
        <f>B154</f>
        <v/>
      </c>
      <c r="C158" s="47">
        <f>C154</f>
        <v/>
      </c>
      <c r="D158" s="47">
        <f>D154</f>
        <v/>
      </c>
      <c r="E158" s="47">
        <f>E154+100</f>
        <v/>
      </c>
      <c r="F158" s="25">
        <f>F154+100</f>
        <v/>
      </c>
      <c r="H158" s="47">
        <f>"[["&amp;F158&amp;",900]]"</f>
        <v/>
      </c>
      <c r="I158" s="47">
        <f>"skill/sect/"&amp;E158</f>
        <v/>
      </c>
      <c r="J158" s="47" t="inlineStr">
        <is>
          <t>猩红巡礼</t>
        </is>
      </c>
      <c r="K158" s="47" t="inlineStr">
        <is>
          <t>枯萎冷却时间缩减&lt;color=be7013&gt;15%&lt;/color&gt;。</t>
        </is>
      </c>
      <c r="L158" s="47" t="n">
        <v>130332000</v>
      </c>
      <c r="N158" s="47" t="inlineStr">
        <is>
          <t>[[3023,0.05],[3284,0.15]]</t>
        </is>
      </c>
      <c r="O158" s="47" t="inlineStr">
        <is>
          <t>[[3059,0.02]]</t>
        </is>
      </c>
      <c r="P158" s="47" t="inlineStr">
        <is>
          <t>[[3009,0.03],[3010,0.03],[3011,0.03]]</t>
        </is>
      </c>
      <c r="Q158" s="47" t="inlineStr">
        <is>
          <t>[[3001,10],[3002,2],[3003,1000]]</t>
        </is>
      </c>
      <c r="R158" s="47">
        <f>R154</f>
        <v/>
      </c>
      <c r="S158" s="47">
        <f>S150</f>
        <v/>
      </c>
      <c r="T158" s="47" t="inlineStr">
        <is>
          <t>位移|减益</t>
        </is>
      </c>
      <c r="U158" s="47" t="inlineStr">
        <is>
          <t>skill_affix/lan|skill_affix/qing</t>
        </is>
      </c>
      <c r="V158" s="47" t="n">
        <v>0</v>
      </c>
    </row>
    <row r="159">
      <c r="A159" s="47">
        <f>A155+1</f>
        <v/>
      </c>
      <c r="B159" s="47">
        <f>B155</f>
        <v/>
      </c>
      <c r="C159" s="47">
        <f>C155</f>
        <v/>
      </c>
      <c r="D159" s="47">
        <f>D155</f>
        <v/>
      </c>
      <c r="E159" s="47">
        <f>E155+100</f>
        <v/>
      </c>
      <c r="F159" s="25">
        <f>F155+100</f>
        <v/>
      </c>
      <c r="G159" s="25">
        <f>G155+100</f>
        <v/>
      </c>
      <c r="H159" s="47">
        <f>"[["&amp;G159&amp;",1]]"</f>
        <v/>
      </c>
      <c r="I159" s="47">
        <f>"skill/sect/"&amp;E159</f>
        <v/>
      </c>
      <c r="J159" s="47" t="inlineStr">
        <is>
          <t>猩红巡礼</t>
        </is>
      </c>
      <c r="K159" s="36" t="inlineStr">
        <is>
          <t>猩红巡礼造成伤害提升至&lt;color=be7013&gt;121%&lt;/color&gt;，魔法抗性削弱提升至&lt;color=be7013&gt;18%&lt;/color&gt;。</t>
        </is>
      </c>
      <c r="L159" s="47" t="n">
        <v>130334000</v>
      </c>
      <c r="N159" s="47" t="inlineStr">
        <is>
          <t>[[3023,0.05],[3284,0.15]]</t>
        </is>
      </c>
      <c r="O159" s="47" t="inlineStr">
        <is>
          <t>[[3059,0.02]]</t>
        </is>
      </c>
      <c r="P159" s="47" t="inlineStr">
        <is>
          <t>[[3009,0.04],[3010,0.04],[3011,0.04]]</t>
        </is>
      </c>
      <c r="Q159" s="47" t="inlineStr">
        <is>
          <t>[[3001,50],[3002,10],[3003,5000]]</t>
        </is>
      </c>
      <c r="R159" s="47">
        <f>R155</f>
        <v/>
      </c>
      <c r="S159" s="47">
        <f>S151</f>
        <v/>
      </c>
      <c r="T159" s="47" t="inlineStr">
        <is>
          <t>位移|减益</t>
        </is>
      </c>
      <c r="U159" s="47" t="inlineStr">
        <is>
          <t>skill_affix/lan|skill_affix/qing</t>
        </is>
      </c>
      <c r="V159" s="47" t="n">
        <v>0</v>
      </c>
    </row>
    <row r="160">
      <c r="A160" s="47" t="n">
        <v>3041</v>
      </c>
      <c r="B160" s="47" t="n">
        <v>1</v>
      </c>
      <c r="C160" s="47" t="n">
        <v>3</v>
      </c>
      <c r="D160" s="47" t="inlineStr">
        <is>
          <t>BUFF技能</t>
        </is>
      </c>
      <c r="E160" s="47" t="n">
        <v>304101</v>
      </c>
      <c r="F160" s="25" t="inlineStr">
        <is>
          <t>304110</t>
        </is>
      </c>
      <c r="H160" s="47" t="inlineStr">
        <is>
          <t>[[304110,300]]</t>
        </is>
      </c>
      <c r="I160" s="47" t="inlineStr">
        <is>
          <t>skill/sect/304101</t>
        </is>
      </c>
      <c r="J160" s="47" t="inlineStr">
        <is>
          <t>邪秽护体</t>
        </is>
      </c>
      <c r="K160" s="47" t="inlineStr">
        <is>
          <t>角色最终减伤提高&lt;color=be7013&gt;5%&lt;/color&gt;。</t>
        </is>
      </c>
      <c r="N160" s="47" t="inlineStr">
        <is>
          <t>[[3060,0.05]]</t>
        </is>
      </c>
      <c r="O160" s="47" t="inlineStr">
        <is>
          <t>[[3059,0.02]]</t>
        </is>
      </c>
      <c r="P160" s="47" t="inlineStr">
        <is>
          <t>[[3009,0.01],[3010,0.01],[3011,0.01]]</t>
        </is>
      </c>
      <c r="Q160" s="47" t="inlineStr">
        <is>
          <t>[[3001,1],[3002,1],[3003,100]]</t>
        </is>
      </c>
      <c r="R160" s="47" t="inlineStr">
        <is>
          <t>[[103,10]]</t>
        </is>
      </c>
      <c r="S160" s="47" t="n">
        <v>1000</v>
      </c>
      <c r="T160" s="47" t="inlineStr">
        <is>
          <t>减益</t>
        </is>
      </c>
      <c r="U160" s="47" t="inlineStr">
        <is>
          <t>skill_affix/zi</t>
        </is>
      </c>
      <c r="V160" s="47" t="n">
        <v>1</v>
      </c>
    </row>
    <row r="161">
      <c r="A161" s="47" t="n">
        <v>3041</v>
      </c>
      <c r="B161" s="47" t="n">
        <v>2</v>
      </c>
      <c r="C161" s="47" t="n">
        <v>4</v>
      </c>
      <c r="D161" s="47" t="inlineStr">
        <is>
          <t>BUFF技能</t>
        </is>
      </c>
      <c r="E161" s="47" t="n">
        <v>304102</v>
      </c>
      <c r="F161" s="25" t="inlineStr">
        <is>
          <t>304110</t>
        </is>
      </c>
      <c r="H161" s="47" t="inlineStr">
        <is>
          <t>[[304110,600]]</t>
        </is>
      </c>
      <c r="I161" s="47" t="inlineStr">
        <is>
          <t>skill/sect/304102</t>
        </is>
      </c>
      <c r="J161" s="47" t="inlineStr">
        <is>
          <t>邪秽护体</t>
        </is>
      </c>
      <c r="K161" s="47" t="inlineStr">
        <is>
          <t>成功诅咒敌人时将获得一层自己生命上限&lt;color=be7013&gt;8.5%&lt;/color&gt;的护盾。</t>
        </is>
      </c>
      <c r="L161" s="47" t="n">
        <v>130412000</v>
      </c>
      <c r="N161" s="47" t="inlineStr">
        <is>
          <t>[[3060,0.05]]</t>
        </is>
      </c>
      <c r="O161" s="47" t="inlineStr">
        <is>
          <t>[[3059,0.02]]</t>
        </is>
      </c>
      <c r="P161" s="47" t="inlineStr">
        <is>
          <t>[[3009,0.02],[3010,0.02],[3011,0.02]]</t>
        </is>
      </c>
      <c r="Q161" s="47" t="inlineStr">
        <is>
          <t>[[3001,5],[3002,1],[3003,500]]</t>
        </is>
      </c>
      <c r="R161" s="47" t="inlineStr">
        <is>
          <t>[[103,10]]</t>
        </is>
      </c>
      <c r="S161" s="47" t="n">
        <v>3000</v>
      </c>
      <c r="T161" s="47" t="inlineStr">
        <is>
          <t>减益|护盾</t>
        </is>
      </c>
      <c r="U161" s="47" t="inlineStr">
        <is>
          <t>skill_affix/qing|skill_affix/lv</t>
        </is>
      </c>
      <c r="V161" s="47" t="n">
        <v>1</v>
      </c>
    </row>
    <row r="162">
      <c r="A162" s="47" t="n">
        <v>3041</v>
      </c>
      <c r="B162" s="47" t="n">
        <v>3</v>
      </c>
      <c r="C162" s="47" t="n">
        <v>6</v>
      </c>
      <c r="D162" s="47" t="inlineStr">
        <is>
          <t>BUFF技能</t>
        </is>
      </c>
      <c r="E162" s="47" t="n">
        <v>304103</v>
      </c>
      <c r="F162" s="25" t="inlineStr">
        <is>
          <t>304110</t>
        </is>
      </c>
      <c r="H162" s="47" t="inlineStr">
        <is>
          <t>[[304110,900]]</t>
        </is>
      </c>
      <c r="I162" s="47" t="inlineStr">
        <is>
          <t>skill/sect/304103</t>
        </is>
      </c>
      <c r="J162" s="47" t="inlineStr">
        <is>
          <t>邪秽护体</t>
        </is>
      </c>
      <c r="K162" s="47" t="inlineStr">
        <is>
          <t>角色护盾强度提高&lt;color=be7013&gt;25%&lt;/color&gt;。</t>
        </is>
      </c>
      <c r="L162" s="47" t="n">
        <v>130412000</v>
      </c>
      <c r="N162" s="47" t="inlineStr">
        <is>
          <t>[[3060,0.05],[3064,0.25]]</t>
        </is>
      </c>
      <c r="O162" s="47" t="inlineStr">
        <is>
          <t>[[3059,0.02]]</t>
        </is>
      </c>
      <c r="P162" s="47" t="inlineStr">
        <is>
          <t>[[3009,0.03],[3010,0.03],[3011,0.03]]</t>
        </is>
      </c>
      <c r="Q162" s="47" t="inlineStr">
        <is>
          <t>[[3001,10],[3002,2],[3003,1000]]</t>
        </is>
      </c>
      <c r="R162" s="47" t="inlineStr">
        <is>
          <t>[[103,10]]</t>
        </is>
      </c>
      <c r="S162" s="47" t="n">
        <v>6000</v>
      </c>
      <c r="T162" s="47" t="inlineStr">
        <is>
          <t>减益|护盾</t>
        </is>
      </c>
      <c r="U162" s="47" t="inlineStr">
        <is>
          <t>skill_affix/qing|skill_affix/lv</t>
        </is>
      </c>
      <c r="V162" s="47" t="n">
        <v>1</v>
      </c>
    </row>
    <row r="163">
      <c r="A163" s="47" t="n">
        <v>3041</v>
      </c>
      <c r="B163" s="47" t="n">
        <v>4</v>
      </c>
      <c r="C163" s="47" t="n">
        <v>8</v>
      </c>
      <c r="D163" s="47" t="inlineStr">
        <is>
          <t>BUFF技能</t>
        </is>
      </c>
      <c r="E163" s="47" t="n">
        <v>304104</v>
      </c>
      <c r="F163" s="25" t="inlineStr">
        <is>
          <t>304110</t>
        </is>
      </c>
      <c r="G163" s="25" t="inlineStr">
        <is>
          <t>304120</t>
        </is>
      </c>
      <c r="H163" s="47" t="inlineStr">
        <is>
          <t>[[304120,1]]</t>
        </is>
      </c>
      <c r="I163" s="47" t="inlineStr">
        <is>
          <t>skill/sect/304104</t>
        </is>
      </c>
      <c r="J163" s="47" t="inlineStr">
        <is>
          <t>邪秽护体</t>
        </is>
      </c>
      <c r="K163" s="47" t="inlineStr">
        <is>
          <t>成功诅咒敌人时将获得一层自己生命上限&lt;color=be7013&gt;15%&lt;/color&gt;的护盾。</t>
        </is>
      </c>
      <c r="L163" s="47" t="n">
        <v>130414000</v>
      </c>
      <c r="N163" s="47" t="inlineStr">
        <is>
          <t>[[3060,0.05],[3064,0.25]]</t>
        </is>
      </c>
      <c r="O163" s="47" t="inlineStr">
        <is>
          <t>[[3059,0.02]]</t>
        </is>
      </c>
      <c r="P163" s="47" t="inlineStr">
        <is>
          <t>[[3009,0.04],[3010,0.04],[3011,0.04]]</t>
        </is>
      </c>
      <c r="Q163" s="47" t="inlineStr">
        <is>
          <t>[[3001,50],[3002,10],[3003,5000]]</t>
        </is>
      </c>
      <c r="R163" s="47" t="inlineStr">
        <is>
          <t>[[103,10]]</t>
        </is>
      </c>
      <c r="S163" s="47" t="n">
        <v>10000</v>
      </c>
      <c r="T163" s="47" t="inlineStr">
        <is>
          <t>减益|护盾</t>
        </is>
      </c>
      <c r="U163" s="47" t="inlineStr">
        <is>
          <t>skill_affix/qing|skill_affix/lv</t>
        </is>
      </c>
      <c r="V163" s="47" t="n">
        <v>1</v>
      </c>
    </row>
    <row r="164">
      <c r="A164" s="47" t="n">
        <v>3042</v>
      </c>
      <c r="B164" s="47" t="n">
        <v>1</v>
      </c>
      <c r="C164" s="47" t="n">
        <v>3</v>
      </c>
      <c r="D164" s="47" t="inlineStr">
        <is>
          <t>BUFF技能</t>
        </is>
      </c>
      <c r="E164" s="47" t="n">
        <v>304201</v>
      </c>
      <c r="F164" s="25" t="inlineStr">
        <is>
          <t>304210</t>
        </is>
      </c>
      <c r="H164" s="47" t="inlineStr">
        <is>
          <t>[[304210,300]]</t>
        </is>
      </c>
      <c r="I164" s="47" t="inlineStr">
        <is>
          <t>skill/sect/304201</t>
        </is>
      </c>
      <c r="J164" s="47" t="inlineStr">
        <is>
          <t>血蚀契约</t>
        </is>
      </c>
      <c r="K164" s="47" t="inlineStr">
        <is>
          <t>窃魂缚咒冷却时间缩减&lt;color=be7013&gt;15%&lt;/color&gt;。</t>
        </is>
      </c>
      <c r="L164" s="47" t="n">
        <v>130411000</v>
      </c>
      <c r="N164" s="47" t="inlineStr">
        <is>
          <t>[[3291,0.15]]</t>
        </is>
      </c>
      <c r="O164" s="47" t="inlineStr">
        <is>
          <t>[[3059,0.02]]</t>
        </is>
      </c>
      <c r="P164" s="47" t="inlineStr">
        <is>
          <t>[[3009,0.01],[3010,0.01],[3011,0.01]]</t>
        </is>
      </c>
      <c r="Q164" s="47" t="inlineStr">
        <is>
          <t>[[3001,1],[3002,1],[3003,100]]</t>
        </is>
      </c>
      <c r="R164" s="47" t="inlineStr">
        <is>
          <t>[[103,10]]</t>
        </is>
      </c>
      <c r="S164" s="47" t="n">
        <v>1000</v>
      </c>
      <c r="T164" s="47" t="inlineStr">
        <is>
          <t>减益</t>
        </is>
      </c>
      <c r="U164" s="47" t="inlineStr">
        <is>
          <t>skill_affix/zi</t>
        </is>
      </c>
      <c r="V164" s="47" t="n">
        <v>1</v>
      </c>
    </row>
    <row r="165">
      <c r="A165" s="47" t="n">
        <v>3042</v>
      </c>
      <c r="B165" s="47" t="n">
        <v>2</v>
      </c>
      <c r="C165" s="47" t="n">
        <v>4</v>
      </c>
      <c r="D165" s="47" t="inlineStr">
        <is>
          <t>BUFF技能</t>
        </is>
      </c>
      <c r="E165" s="47" t="n">
        <v>304202</v>
      </c>
      <c r="F165" s="25" t="inlineStr">
        <is>
          <t>304210</t>
        </is>
      </c>
      <c r="H165" s="47" t="inlineStr">
        <is>
          <t>[[304210,600]]</t>
        </is>
      </c>
      <c r="I165" s="47" t="inlineStr">
        <is>
          <t>skill/sect/304202</t>
        </is>
      </c>
      <c r="J165" s="47" t="inlineStr">
        <is>
          <t>血蚀契约</t>
        </is>
      </c>
      <c r="K165" s="47" t="inlineStr">
        <is>
          <t>敌人不再受到迟缓诅咒而是受到&lt;u color=4169E1 size=2&gt;&lt;a href=30005&gt;血缘诅咒&lt;/a&gt;&lt;/u&gt;的影响。</t>
        </is>
      </c>
      <c r="L165" s="47" t="n">
        <v>130422000</v>
      </c>
      <c r="N165" s="47" t="inlineStr">
        <is>
          <t>[[3291,0.15]]</t>
        </is>
      </c>
      <c r="O165" s="47" t="inlineStr">
        <is>
          <t>[[3059,0.02]]</t>
        </is>
      </c>
      <c r="P165" s="47" t="inlineStr">
        <is>
          <t>[[3009,0.02],[3010,0.02],[3011,0.02]]</t>
        </is>
      </c>
      <c r="Q165" s="47" t="inlineStr">
        <is>
          <t>[[3001,5],[3002,1],[3003,500]]</t>
        </is>
      </c>
      <c r="R165" s="47" t="inlineStr">
        <is>
          <t>[[103,10]]</t>
        </is>
      </c>
      <c r="S165" s="47" t="n">
        <v>3000</v>
      </c>
      <c r="T165" s="47" t="inlineStr">
        <is>
          <t>减益</t>
        </is>
      </c>
      <c r="U165" s="47" t="inlineStr">
        <is>
          <t>skill_affix/zi</t>
        </is>
      </c>
      <c r="V165" s="47" t="n">
        <v>1</v>
      </c>
    </row>
    <row r="166">
      <c r="A166" s="47" t="n">
        <v>3042</v>
      </c>
      <c r="B166" s="47" t="n">
        <v>3</v>
      </c>
      <c r="C166" s="47" t="n">
        <v>6</v>
      </c>
      <c r="D166" s="47" t="inlineStr">
        <is>
          <t>BUFF技能</t>
        </is>
      </c>
      <c r="E166" s="47" t="n">
        <v>304203</v>
      </c>
      <c r="F166" s="25" t="inlineStr">
        <is>
          <t>304210</t>
        </is>
      </c>
      <c r="H166" s="47" t="inlineStr">
        <is>
          <t>[[304210,900]]</t>
        </is>
      </c>
      <c r="I166" s="47" t="inlineStr">
        <is>
          <t>skill/sect/304203</t>
        </is>
      </c>
      <c r="J166" s="47" t="inlineStr">
        <is>
          <t>血蚀契约</t>
        </is>
      </c>
      <c r="K166" s="47" t="inlineStr">
        <is>
          <t>角色暴击伤害提高&lt;color=be7013&gt;10%&lt;/color&gt;。</t>
        </is>
      </c>
      <c r="L166" s="47" t="n">
        <v>130422000</v>
      </c>
      <c r="N166" s="47" t="inlineStr">
        <is>
          <t>[[3291,0.15],[3015,0.1]]</t>
        </is>
      </c>
      <c r="O166" s="47" t="inlineStr">
        <is>
          <t>[[3059,0.02]]</t>
        </is>
      </c>
      <c r="P166" s="47" t="inlineStr">
        <is>
          <t>[[3009,0.03],[3010,0.03],[3011,0.03]]</t>
        </is>
      </c>
      <c r="Q166" s="47" t="inlineStr">
        <is>
          <t>[[3001,10],[3002,2],[3003,1000]]</t>
        </is>
      </c>
      <c r="R166" s="47" t="inlineStr">
        <is>
          <t>[[103,10]]</t>
        </is>
      </c>
      <c r="S166" s="47" t="n">
        <v>6000</v>
      </c>
      <c r="T166" s="47" t="inlineStr">
        <is>
          <t>减益</t>
        </is>
      </c>
      <c r="U166" s="47" t="inlineStr">
        <is>
          <t>skill_affix/zi</t>
        </is>
      </c>
      <c r="V166" s="47" t="n">
        <v>1</v>
      </c>
    </row>
    <row r="167">
      <c r="A167" s="47" t="n">
        <v>3042</v>
      </c>
      <c r="B167" s="47" t="n">
        <v>4</v>
      </c>
      <c r="C167" s="47" t="n">
        <v>8</v>
      </c>
      <c r="D167" s="47" t="inlineStr">
        <is>
          <t>BUFF技能</t>
        </is>
      </c>
      <c r="E167" s="47" t="n">
        <v>304204</v>
      </c>
      <c r="F167" s="25" t="inlineStr">
        <is>
          <t>304210</t>
        </is>
      </c>
      <c r="G167" s="25" t="inlineStr">
        <is>
          <t>304220</t>
        </is>
      </c>
      <c r="H167" s="47" t="inlineStr">
        <is>
          <t>[[304220,1]]</t>
        </is>
      </c>
      <c r="I167" s="47" t="inlineStr">
        <is>
          <t>skill/sect/304204</t>
        </is>
      </c>
      <c r="J167" s="47" t="inlineStr">
        <is>
          <t>血蚀契约</t>
        </is>
      </c>
      <c r="K167" s="47" t="inlineStr">
        <is>
          <t>对血源诅咒目标造成伤害的友方单位获得&lt;u color=4169E1 size=2&gt;&lt;a href=30004&gt;嗜血效果&lt;/a&gt;&lt;/u&gt;。</t>
        </is>
      </c>
      <c r="L167" s="47" t="n">
        <v>130424000</v>
      </c>
      <c r="N167" s="47" t="inlineStr">
        <is>
          <t>[[3291,0.15],[3015,0.1]]</t>
        </is>
      </c>
      <c r="O167" s="47" t="inlineStr">
        <is>
          <t>[[3059,0.02]]</t>
        </is>
      </c>
      <c r="P167" s="47" t="inlineStr">
        <is>
          <t>[[3009,0.04],[3010,0.04],[3011,0.04]]</t>
        </is>
      </c>
      <c r="Q167" s="47" t="inlineStr">
        <is>
          <t>[[3001,50],[3002,10],[3003,5000]]</t>
        </is>
      </c>
      <c r="R167" s="47" t="inlineStr">
        <is>
          <t>[[103,10]]</t>
        </is>
      </c>
      <c r="S167" s="47" t="n">
        <v>10000</v>
      </c>
      <c r="T167" s="47" t="inlineStr">
        <is>
          <t>减益</t>
        </is>
      </c>
      <c r="U167" s="47" t="inlineStr">
        <is>
          <t>skill_affix/zi</t>
        </is>
      </c>
      <c r="V167" s="47" t="n">
        <v>1</v>
      </c>
    </row>
    <row r="168">
      <c r="A168" s="47">
        <f>A164+1</f>
        <v/>
      </c>
      <c r="B168" s="47">
        <f>B164</f>
        <v/>
      </c>
      <c r="C168" s="47">
        <f>C164</f>
        <v/>
      </c>
      <c r="D168" s="47">
        <f>D164</f>
        <v/>
      </c>
      <c r="E168" s="47">
        <f>E164+100</f>
        <v/>
      </c>
      <c r="F168" s="25">
        <f>F164+100</f>
        <v/>
      </c>
      <c r="H168" s="47">
        <f>"[["&amp;F168&amp;",300]]"</f>
        <v/>
      </c>
      <c r="I168" s="47">
        <f>"skill/sect/"&amp;E168</f>
        <v/>
      </c>
      <c r="J168" s="47" t="inlineStr">
        <is>
          <t>厄运汲取</t>
        </is>
      </c>
      <c r="K168" s="47" t="inlineStr">
        <is>
          <t>角色战意充能提高&lt;color=be7013&gt;5%&lt;/color&gt;。</t>
        </is>
      </c>
      <c r="N168" s="47" t="inlineStr">
        <is>
          <t>[[3005,0.05]]</t>
        </is>
      </c>
      <c r="O168" s="47" t="inlineStr">
        <is>
          <t>[[3059,0.02]]</t>
        </is>
      </c>
      <c r="P168" s="47" t="inlineStr">
        <is>
          <t>[[3009,0.01],[3010,0.01],[3011,0.01]]</t>
        </is>
      </c>
      <c r="Q168" s="47" t="inlineStr">
        <is>
          <t>[[3001,1],[3002,1],[3003,100]]</t>
        </is>
      </c>
      <c r="R168" s="47">
        <f>R164</f>
        <v/>
      </c>
      <c r="S168" s="47">
        <f>S160</f>
        <v/>
      </c>
      <c r="T168" s="47" t="inlineStr">
        <is>
          <t>回能</t>
        </is>
      </c>
      <c r="U168" s="47" t="inlineStr">
        <is>
          <t>skill_affix/lv</t>
        </is>
      </c>
      <c r="V168" s="47" t="n">
        <v>0</v>
      </c>
    </row>
    <row r="169">
      <c r="A169" s="47">
        <f>A165+1</f>
        <v/>
      </c>
      <c r="B169" s="47">
        <f>B165</f>
        <v/>
      </c>
      <c r="C169" s="47">
        <f>C165</f>
        <v/>
      </c>
      <c r="D169" s="47">
        <f>D165</f>
        <v/>
      </c>
      <c r="E169" s="47">
        <f>E165+100</f>
        <v/>
      </c>
      <c r="F169" s="25">
        <f>F165+100</f>
        <v/>
      </c>
      <c r="H169" s="47">
        <f>"[["&amp;F169&amp;",600]]"</f>
        <v/>
      </c>
      <c r="I169" s="47">
        <f>"skill/sect/"&amp;E169</f>
        <v/>
      </c>
      <c r="J169" s="47" t="inlineStr">
        <is>
          <t>厄运汲取</t>
        </is>
      </c>
      <c r="K169" s="36" t="inlineStr">
        <is>
          <t>释放窃魂缚咒时恢复&lt;color=be7013&gt;28&lt;/color&gt;点战意。</t>
        </is>
      </c>
      <c r="L169" s="47" t="n">
        <v>130432000</v>
      </c>
      <c r="N169" s="47" t="inlineStr">
        <is>
          <t>[[3005,0.05]]</t>
        </is>
      </c>
      <c r="O169" s="47" t="inlineStr">
        <is>
          <t>[[3059,0.02]]</t>
        </is>
      </c>
      <c r="P169" s="47" t="inlineStr">
        <is>
          <t>[[3009,0.02],[3010,0.02],[3011,0.02]]</t>
        </is>
      </c>
      <c r="Q169" s="47" t="inlineStr">
        <is>
          <t>[[3001,5],[3002,1],[3003,500]]</t>
        </is>
      </c>
      <c r="R169" s="47">
        <f>R165</f>
        <v/>
      </c>
      <c r="S169" s="47">
        <f>S161</f>
        <v/>
      </c>
      <c r="T169" s="47" t="inlineStr">
        <is>
          <t>回能</t>
        </is>
      </c>
      <c r="U169" s="47" t="inlineStr">
        <is>
          <t>skill_affix/lv</t>
        </is>
      </c>
      <c r="V169" s="47" t="n">
        <v>0</v>
      </c>
    </row>
    <row r="170">
      <c r="A170" s="47">
        <f>A166+1</f>
        <v/>
      </c>
      <c r="B170" s="47">
        <f>B166</f>
        <v/>
      </c>
      <c r="C170" s="47">
        <f>C166</f>
        <v/>
      </c>
      <c r="D170" s="47">
        <f>D166</f>
        <v/>
      </c>
      <c r="E170" s="47">
        <f>E166+100</f>
        <v/>
      </c>
      <c r="F170" s="25">
        <f>F166+100</f>
        <v/>
      </c>
      <c r="H170" s="47">
        <f>"[["&amp;F170&amp;",900]]"</f>
        <v/>
      </c>
      <c r="I170" s="47">
        <f>"skill/sect/"&amp;E170</f>
        <v/>
      </c>
      <c r="J170" s="47" t="inlineStr">
        <is>
          <t>厄运汲取</t>
        </is>
      </c>
      <c r="K170" s="47" t="inlineStr">
        <is>
          <t>角色最终伤害提高&lt;color=be7013&gt;5%&lt;/color&gt;。</t>
        </is>
      </c>
      <c r="L170" s="47" t="n">
        <v>130432000</v>
      </c>
      <c r="N170" s="47" t="inlineStr">
        <is>
          <t>[[3005,0.05],[3059,0.05]]</t>
        </is>
      </c>
      <c r="O170" s="47" t="inlineStr">
        <is>
          <t>[[3059,0.02]]</t>
        </is>
      </c>
      <c r="P170" s="47" t="inlineStr">
        <is>
          <t>[[3009,0.03],[3010,0.03],[3011,0.03]]</t>
        </is>
      </c>
      <c r="Q170" s="47" t="inlineStr">
        <is>
          <t>[[3001,10],[3002,2],[3003,1000]]</t>
        </is>
      </c>
      <c r="R170" s="47">
        <f>R166</f>
        <v/>
      </c>
      <c r="S170" s="47">
        <f>S162</f>
        <v/>
      </c>
      <c r="T170" s="47" t="inlineStr">
        <is>
          <t>回能</t>
        </is>
      </c>
      <c r="U170" s="47" t="inlineStr">
        <is>
          <t>skill_affix/lv</t>
        </is>
      </c>
      <c r="V170" s="47" t="n">
        <v>0</v>
      </c>
    </row>
    <row r="171">
      <c r="A171" s="47">
        <f>A167+1</f>
        <v/>
      </c>
      <c r="B171" s="47">
        <f>B167</f>
        <v/>
      </c>
      <c r="C171" s="47">
        <f>C167</f>
        <v/>
      </c>
      <c r="D171" s="47">
        <f>D167</f>
        <v/>
      </c>
      <c r="E171" s="47">
        <f>E167+100</f>
        <v/>
      </c>
      <c r="F171" s="25">
        <f>F167+100</f>
        <v/>
      </c>
      <c r="G171" s="25">
        <f>G167+100</f>
        <v/>
      </c>
      <c r="H171" s="47">
        <f>"[["&amp;G171&amp;",1]]"</f>
        <v/>
      </c>
      <c r="I171" s="47">
        <f>"skill/sect/"&amp;E171</f>
        <v/>
      </c>
      <c r="J171" s="47" t="inlineStr">
        <is>
          <t>厄运汲取</t>
        </is>
      </c>
      <c r="K171" s="36" t="inlineStr">
        <is>
          <t>释放窃魂缚咒时恢复&lt;color=be7013&gt;47&lt;/color&gt;点战意。</t>
        </is>
      </c>
      <c r="L171" s="47" t="n">
        <v>130434000</v>
      </c>
      <c r="N171" s="47" t="inlineStr">
        <is>
          <t>[[3005,0.05],[3059,0.05]]</t>
        </is>
      </c>
      <c r="O171" s="47" t="inlineStr">
        <is>
          <t>[[3059,0.02]]</t>
        </is>
      </c>
      <c r="P171" s="47" t="inlineStr">
        <is>
          <t>[[3009,0.04],[3010,0.04],[3011,0.04]]</t>
        </is>
      </c>
      <c r="Q171" s="47" t="inlineStr">
        <is>
          <t>[[3001,50],[3002,10],[3003,5000]]</t>
        </is>
      </c>
      <c r="R171" s="47">
        <f>R167</f>
        <v/>
      </c>
      <c r="S171" s="47">
        <f>S163</f>
        <v/>
      </c>
      <c r="T171" s="47" t="inlineStr">
        <is>
          <t>回能</t>
        </is>
      </c>
      <c r="U171" s="47" t="inlineStr">
        <is>
          <t>skill_affix/lv</t>
        </is>
      </c>
      <c r="V171" s="47" t="n">
        <v>0</v>
      </c>
    </row>
    <row r="172">
      <c r="A172" s="47" t="n">
        <v>3051</v>
      </c>
      <c r="B172" s="47" t="n">
        <v>1</v>
      </c>
      <c r="C172" s="47" t="n">
        <v>3</v>
      </c>
      <c r="D172" s="47" t="inlineStr">
        <is>
          <t>终极技能</t>
        </is>
      </c>
      <c r="E172" s="47" t="n">
        <v>305101</v>
      </c>
      <c r="F172" s="25" t="inlineStr">
        <is>
          <t>305110</t>
        </is>
      </c>
      <c r="H172" s="47" t="inlineStr">
        <is>
          <t>[[305110,300]]</t>
        </is>
      </c>
      <c r="I172" s="47" t="inlineStr">
        <is>
          <t>skill/sect/305101</t>
        </is>
      </c>
      <c r="J172" s="47" t="inlineStr">
        <is>
          <t>灵魂射线</t>
        </is>
      </c>
      <c r="K172" s="47" t="inlineStr">
        <is>
          <t>亡灵之门冷却时间缩减&lt;color=be7013&gt;6.3%&lt;/color&gt;。</t>
        </is>
      </c>
      <c r="L172" s="47" t="n">
        <v>130511000</v>
      </c>
      <c r="N172" s="47" t="inlineStr">
        <is>
          <t>[[3298,0.063]]</t>
        </is>
      </c>
      <c r="O172" s="47" t="inlineStr">
        <is>
          <t>[[3059,0.02]]</t>
        </is>
      </c>
      <c r="P172" s="47" t="inlineStr">
        <is>
          <t>[[3009,0.01],[3010,0.01],[3011,0.01]]</t>
        </is>
      </c>
      <c r="Q172" s="47" t="inlineStr">
        <is>
          <t>[[3001,1],[3002,1],[3003,100]]</t>
        </is>
      </c>
      <c r="R172" s="47" t="inlineStr">
        <is>
          <t>[[103,10]]</t>
        </is>
      </c>
      <c r="S172" s="47" t="n">
        <v>1000</v>
      </c>
      <c r="T172" s="47" t="inlineStr">
        <is>
          <t>附伤|减益</t>
        </is>
      </c>
      <c r="U172" s="47" t="inlineStr">
        <is>
          <t>skill_affix/huang|skill_affix/qing</t>
        </is>
      </c>
      <c r="V172" s="47" t="n">
        <v>1</v>
      </c>
    </row>
    <row r="173">
      <c r="A173" s="47" t="n">
        <v>3051</v>
      </c>
      <c r="B173" s="47" t="n">
        <v>2</v>
      </c>
      <c r="C173" s="47" t="n">
        <v>4</v>
      </c>
      <c r="D173" s="47" t="inlineStr">
        <is>
          <t>终极技能</t>
        </is>
      </c>
      <c r="E173" s="47" t="n">
        <v>305102</v>
      </c>
      <c r="F173" s="25" t="inlineStr">
        <is>
          <t>305110</t>
        </is>
      </c>
      <c r="H173" s="47" t="inlineStr">
        <is>
          <t>[[305110,600]]</t>
        </is>
      </c>
      <c r="I173" s="47" t="inlineStr">
        <is>
          <t>skill/sect/305102</t>
        </is>
      </c>
      <c r="J173" s="47" t="inlineStr">
        <is>
          <t>灵魂射线</t>
        </is>
      </c>
      <c r="K173" s="47" t="inlineStr">
        <is>
          <t>从地底引导出地脉狂潮，向上喷涌&lt;color=be7013&gt;2&lt;/color&gt;秒，每秒造成3次伤害，每次造成&lt;color=be7013&gt;33.3%&lt;/color&gt;魔法伤害并附加&lt;color=be7013&gt;1&lt;/color&gt;层&lt;u color=4169E1 size=2&gt;&lt;a href=30002&gt;魂噬&lt;/a&gt;&lt;/u&gt;。</t>
        </is>
      </c>
      <c r="L173" s="47" t="n">
        <v>130512000</v>
      </c>
      <c r="N173" s="47" t="inlineStr">
        <is>
          <t>[[3298,0.063]]</t>
        </is>
      </c>
      <c r="O173" s="47" t="inlineStr">
        <is>
          <t>[[3059,0.02]]</t>
        </is>
      </c>
      <c r="P173" s="47" t="inlineStr">
        <is>
          <t>[[3009,0.02],[3010,0.02],[3011,0.02]]</t>
        </is>
      </c>
      <c r="Q173" s="47" t="inlineStr">
        <is>
          <t>[[3001,5],[3002,1],[3003,500]]</t>
        </is>
      </c>
      <c r="R173" s="47" t="inlineStr">
        <is>
          <t>[[103,10]]</t>
        </is>
      </c>
      <c r="S173" s="47" t="n">
        <v>4000</v>
      </c>
      <c r="T173" s="47" t="inlineStr">
        <is>
          <t>附伤|减益</t>
        </is>
      </c>
      <c r="U173" s="47" t="inlineStr">
        <is>
          <t>skill_affix/huang|skill_affix/qing</t>
        </is>
      </c>
      <c r="V173" s="47" t="n">
        <v>1</v>
      </c>
    </row>
    <row r="174">
      <c r="A174" s="47" t="n">
        <v>3051</v>
      </c>
      <c r="B174" s="47" t="n">
        <v>3</v>
      </c>
      <c r="C174" s="47" t="n">
        <v>6</v>
      </c>
      <c r="D174" s="47" t="inlineStr">
        <is>
          <t>终极技能</t>
        </is>
      </c>
      <c r="E174" s="47" t="n">
        <v>305103</v>
      </c>
      <c r="F174" s="25" t="inlineStr">
        <is>
          <t>305110</t>
        </is>
      </c>
      <c r="H174" s="47" t="inlineStr">
        <is>
          <t>[[305110,900]]</t>
        </is>
      </c>
      <c r="I174" s="47" t="inlineStr">
        <is>
          <t>skill/sect/305103</t>
        </is>
      </c>
      <c r="J174" s="47" t="inlineStr">
        <is>
          <t>灵魂射线</t>
        </is>
      </c>
      <c r="K174" s="47" t="inlineStr">
        <is>
          <t>角色最终增伤提高&lt;color=be7013&gt;10%&lt;/color&gt;。</t>
        </is>
      </c>
      <c r="L174" s="47" t="n">
        <v>130512000</v>
      </c>
      <c r="N174" s="47" t="inlineStr">
        <is>
          <t>[[3298,0.063],[3059,0.1]]</t>
        </is>
      </c>
      <c r="O174" s="47" t="inlineStr">
        <is>
          <t>[[3059,0.02]]</t>
        </is>
      </c>
      <c r="P174" s="47" t="inlineStr">
        <is>
          <t>[[3009,0.03],[3010,0.03],[3011,0.03]]</t>
        </is>
      </c>
      <c r="Q174" s="47" t="inlineStr">
        <is>
          <t>[[3001,10],[3002,2],[3003,1000]]</t>
        </is>
      </c>
      <c r="R174" s="47" t="inlineStr">
        <is>
          <t>[[103,10]]</t>
        </is>
      </c>
      <c r="S174" s="47" t="n">
        <v>7500</v>
      </c>
      <c r="T174" s="47" t="inlineStr">
        <is>
          <t>附伤|减益</t>
        </is>
      </c>
      <c r="U174" s="47" t="inlineStr">
        <is>
          <t>skill_affix/huang|skill_affix/qing</t>
        </is>
      </c>
      <c r="V174" s="47" t="n">
        <v>1</v>
      </c>
    </row>
    <row r="175">
      <c r="A175" s="47" t="n">
        <v>3051</v>
      </c>
      <c r="B175" s="47" t="n">
        <v>4</v>
      </c>
      <c r="C175" s="47" t="n">
        <v>8</v>
      </c>
      <c r="D175" s="47" t="inlineStr">
        <is>
          <t>终极技能</t>
        </is>
      </c>
      <c r="E175" s="47" t="n">
        <v>305104</v>
      </c>
      <c r="F175" s="25" t="inlineStr">
        <is>
          <t>305110</t>
        </is>
      </c>
      <c r="G175" s="25" t="inlineStr">
        <is>
          <t>305120</t>
        </is>
      </c>
      <c r="H175" s="47" t="inlineStr">
        <is>
          <t>[[305120,1]]</t>
        </is>
      </c>
      <c r="I175" s="47" t="inlineStr">
        <is>
          <t>skill/sect/305104</t>
        </is>
      </c>
      <c r="J175" s="47" t="inlineStr">
        <is>
          <t>灵魂射线</t>
        </is>
      </c>
      <c r="K175" s="47" t="inlineStr">
        <is>
          <t>喷涌每秒造成&lt;color=be7013&gt;5&lt;/color&gt;次伤害，每次造成&lt;color=be7013&gt;73%&lt;/color&gt;魔法伤害并附加&lt;color=be7013&gt;2&lt;/color&gt;层&lt;u color=4169E1 size=2&gt;&lt;a href=30002&gt;魂噬&lt;/a&gt;&lt;/u&gt;。</t>
        </is>
      </c>
      <c r="L175" s="47" t="n">
        <v>130514000</v>
      </c>
      <c r="N175" s="47" t="inlineStr">
        <is>
          <t>[[3298,0.063],[3059,0.1]]</t>
        </is>
      </c>
      <c r="O175" s="47" t="inlineStr">
        <is>
          <t>[[3059,0.02]]</t>
        </is>
      </c>
      <c r="P175" s="47" t="inlineStr">
        <is>
          <t>[[3009,0.04],[3010,0.04],[3011,0.04]]</t>
        </is>
      </c>
      <c r="Q175" s="47" t="inlineStr">
        <is>
          <t>[[3001,50],[3002,10],[3003,5000]]</t>
        </is>
      </c>
      <c r="R175" s="47" t="inlineStr">
        <is>
          <t>[[103,10]]</t>
        </is>
      </c>
      <c r="S175" s="47" t="n">
        <v>15000</v>
      </c>
      <c r="T175" s="47" t="inlineStr">
        <is>
          <t>附伤|减益</t>
        </is>
      </c>
      <c r="U175" s="47" t="inlineStr">
        <is>
          <t>skill_affix/huang|skill_affix/qing</t>
        </is>
      </c>
      <c r="V175" s="47" t="n">
        <v>1</v>
      </c>
    </row>
    <row r="176">
      <c r="A176" s="47" t="n">
        <v>3052</v>
      </c>
      <c r="B176" s="47" t="n">
        <v>1</v>
      </c>
      <c r="C176" s="47" t="n">
        <v>3</v>
      </c>
      <c r="D176" s="47" t="inlineStr">
        <is>
          <t>终极技能</t>
        </is>
      </c>
      <c r="E176" s="47" t="n">
        <v>305201</v>
      </c>
      <c r="F176" s="25" t="inlineStr">
        <is>
          <t>305210</t>
        </is>
      </c>
      <c r="H176" s="47" t="inlineStr">
        <is>
          <t>[[305210,300]]</t>
        </is>
      </c>
      <c r="I176" s="47" t="inlineStr">
        <is>
          <t>skill/sect/305201</t>
        </is>
      </c>
      <c r="J176" s="47" t="inlineStr">
        <is>
          <t>亡者降临</t>
        </is>
      </c>
      <c r="K176" s="47" t="inlineStr">
        <is>
          <t>亡灵之门伤害提高&lt;color=be7013&gt;20%&lt;/color&gt;。</t>
        </is>
      </c>
      <c r="N176" s="47" t="inlineStr">
        <is>
          <t>[[3111,0.2]]</t>
        </is>
      </c>
      <c r="O176" s="47" t="inlineStr">
        <is>
          <t>[[3059,0.02]]</t>
        </is>
      </c>
      <c r="P176" s="47" t="inlineStr">
        <is>
          <t>[[3009,0.01],[3010,0.01],[3011,0.01]]</t>
        </is>
      </c>
      <c r="Q176" s="47" t="inlineStr">
        <is>
          <t>[[3001,1],[3002,1],[3003,100]]</t>
        </is>
      </c>
      <c r="R176" s="47" t="inlineStr">
        <is>
          <t>[[103,10]]</t>
        </is>
      </c>
      <c r="S176" s="47" t="n">
        <v>1000</v>
      </c>
      <c r="T176" s="47" t="inlineStr">
        <is>
          <t>召唤</t>
        </is>
      </c>
      <c r="U176" s="47" t="inlineStr">
        <is>
          <t>skill_affix/huang</t>
        </is>
      </c>
      <c r="V176" s="47" t="n">
        <v>1</v>
      </c>
    </row>
    <row r="177">
      <c r="A177" s="47" t="n">
        <v>3052</v>
      </c>
      <c r="B177" s="47" t="n">
        <v>2</v>
      </c>
      <c r="C177" s="47" t="n">
        <v>4</v>
      </c>
      <c r="D177" s="47" t="inlineStr">
        <is>
          <t>终极技能</t>
        </is>
      </c>
      <c r="E177" s="47" t="n">
        <v>305202</v>
      </c>
      <c r="F177" s="25" t="inlineStr">
        <is>
          <t>305210</t>
        </is>
      </c>
      <c r="H177" s="47" t="inlineStr">
        <is>
          <t>[[305210,600]]</t>
        </is>
      </c>
      <c r="I177" s="47" t="inlineStr">
        <is>
          <t>skill/sect/305202</t>
        </is>
      </c>
      <c r="J177" s="47" t="inlineStr">
        <is>
          <t>亡者降临</t>
        </is>
      </c>
      <c r="K177" s="47" t="inlineStr">
        <is>
          <t>死灵之门打开时，召唤一个守护骑士拥有技能砸击和普攻继承自身&lt;color=be7013&gt;100%&lt;/color&gt;的战斗属性，存在&lt;color=be7013&gt;20&lt;/color&gt;秒。</t>
        </is>
      </c>
      <c r="L177" s="47" t="n">
        <v>130522000</v>
      </c>
      <c r="N177" s="47" t="inlineStr">
        <is>
          <t>[[3111,0.2]]</t>
        </is>
      </c>
      <c r="O177" s="47" t="inlineStr">
        <is>
          <t>[[3059,0.02]]</t>
        </is>
      </c>
      <c r="P177" s="47" t="inlineStr">
        <is>
          <t>[[3009,0.02],[3010,0.02],[3011,0.02]]</t>
        </is>
      </c>
      <c r="Q177" s="47" t="inlineStr">
        <is>
          <t>[[3001,5],[3002,1],[3003,500]]</t>
        </is>
      </c>
      <c r="R177" s="47" t="inlineStr">
        <is>
          <t>[[103,10]]</t>
        </is>
      </c>
      <c r="S177" s="47" t="n">
        <v>4000</v>
      </c>
      <c r="T177" s="47" t="inlineStr">
        <is>
          <t>召唤</t>
        </is>
      </c>
      <c r="U177" s="47" t="inlineStr">
        <is>
          <t>skill_affix/huang</t>
        </is>
      </c>
      <c r="V177" s="47" t="n">
        <v>1</v>
      </c>
    </row>
    <row r="178">
      <c r="A178" s="47" t="n">
        <v>3052</v>
      </c>
      <c r="B178" s="47" t="n">
        <v>3</v>
      </c>
      <c r="C178" s="47" t="n">
        <v>6</v>
      </c>
      <c r="D178" s="47" t="inlineStr">
        <is>
          <t>终极技能</t>
        </is>
      </c>
      <c r="E178" s="47" t="n">
        <v>305203</v>
      </c>
      <c r="F178" s="25" t="inlineStr">
        <is>
          <t>305210</t>
        </is>
      </c>
      <c r="H178" s="47" t="inlineStr">
        <is>
          <t>[[305210,900]]</t>
        </is>
      </c>
      <c r="I178" s="47" t="inlineStr">
        <is>
          <t>skill/sect/305203</t>
        </is>
      </c>
      <c r="J178" s="47" t="inlineStr">
        <is>
          <t>亡者降临</t>
        </is>
      </c>
      <c r="K178" s="47" t="inlineStr">
        <is>
          <t>角色召唤物增伤提高&lt;color=be7013&gt;25%&lt;/color&gt;。</t>
        </is>
      </c>
      <c r="L178" s="47" t="n">
        <v>130522000</v>
      </c>
      <c r="N178" s="47" t="inlineStr">
        <is>
          <t>[[3111,0.2],[3078,0.25]]</t>
        </is>
      </c>
      <c r="O178" s="47" t="inlineStr">
        <is>
          <t>[[3059,0.02]]</t>
        </is>
      </c>
      <c r="P178" s="47" t="inlineStr">
        <is>
          <t>[[3009,0.03],[3010,0.03],[3011,0.03]]</t>
        </is>
      </c>
      <c r="Q178" s="47" t="inlineStr">
        <is>
          <t>[[3001,10],[3002,2],[3003,1000]]</t>
        </is>
      </c>
      <c r="R178" s="47" t="inlineStr">
        <is>
          <t>[[103,10]]</t>
        </is>
      </c>
      <c r="S178" s="47" t="n">
        <v>7500</v>
      </c>
      <c r="T178" s="47" t="inlineStr">
        <is>
          <t>召唤</t>
        </is>
      </c>
      <c r="U178" s="47" t="inlineStr">
        <is>
          <t>skill_affix/huang</t>
        </is>
      </c>
      <c r="V178" s="47" t="n">
        <v>1</v>
      </c>
    </row>
    <row r="179">
      <c r="A179" s="47" t="n">
        <v>3052</v>
      </c>
      <c r="B179" s="47" t="n">
        <v>4</v>
      </c>
      <c r="C179" s="47" t="n">
        <v>8</v>
      </c>
      <c r="D179" s="47" t="inlineStr">
        <is>
          <t>终极技能</t>
        </is>
      </c>
      <c r="E179" s="47" t="n">
        <v>305204</v>
      </c>
      <c r="F179" s="25" t="inlineStr">
        <is>
          <t>305210</t>
        </is>
      </c>
      <c r="G179" s="25" t="inlineStr">
        <is>
          <t>305220</t>
        </is>
      </c>
      <c r="H179" s="47" t="inlineStr">
        <is>
          <t>[[305220,1]]</t>
        </is>
      </c>
      <c r="I179" s="47" t="inlineStr">
        <is>
          <t>skill/sect/305204</t>
        </is>
      </c>
      <c r="J179" s="47" t="inlineStr">
        <is>
          <t>亡者降临</t>
        </is>
      </c>
      <c r="K179" s="47" t="inlineStr">
        <is>
          <t>守护骑士的技能倍率翻倍且获得一个&lt;u color=4169E1 size=2&gt;&lt;a href=30001&gt;新技能&lt;/a&gt;&lt;/u&gt;。</t>
        </is>
      </c>
      <c r="L179" s="47" t="n">
        <v>130524000</v>
      </c>
      <c r="N179" s="47" t="inlineStr">
        <is>
          <t>[[3111,0.2],[3078,0.25]]</t>
        </is>
      </c>
      <c r="O179" s="47" t="inlineStr">
        <is>
          <t>[[3059,0.02]]</t>
        </is>
      </c>
      <c r="P179" s="47" t="inlineStr">
        <is>
          <t>[[3009,0.04],[3010,0.04],[3011,0.04]]</t>
        </is>
      </c>
      <c r="Q179" s="47" t="inlineStr">
        <is>
          <t>[[3001,50],[3002,10],[3003,5000]]</t>
        </is>
      </c>
      <c r="R179" s="47" t="inlineStr">
        <is>
          <t>[[103,10]]</t>
        </is>
      </c>
      <c r="S179" s="47" t="n">
        <v>15000</v>
      </c>
      <c r="T179" s="47" t="inlineStr">
        <is>
          <t>召唤</t>
        </is>
      </c>
      <c r="U179" s="47" t="inlineStr">
        <is>
          <t>skill_affix/huang</t>
        </is>
      </c>
      <c r="V179" s="47" t="n">
        <v>1</v>
      </c>
    </row>
    <row r="180">
      <c r="A180" s="47">
        <f>A176+1</f>
        <v/>
      </c>
      <c r="B180" s="47">
        <f>B176</f>
        <v/>
      </c>
      <c r="C180" s="47">
        <f>C176</f>
        <v/>
      </c>
      <c r="D180" s="47">
        <f>D176</f>
        <v/>
      </c>
      <c r="E180" s="47">
        <f>E176+100</f>
        <v/>
      </c>
      <c r="F180" s="25">
        <f>F176+100</f>
        <v/>
      </c>
      <c r="H180" s="47">
        <f>"[["&amp;F180&amp;",300]]"</f>
        <v/>
      </c>
      <c r="I180" s="47">
        <f>"skill/sect/"&amp;E180</f>
        <v/>
      </c>
      <c r="J180" s="47" t="inlineStr">
        <is>
          <t>冥府裁决</t>
        </is>
      </c>
      <c r="K180" s="47" t="inlineStr">
        <is>
          <t>角色最终增伤提高&lt;color=be7013&gt;5%&lt;/color&gt;。</t>
        </is>
      </c>
      <c r="N180" s="47" t="inlineStr">
        <is>
          <t>[[3059,0.05]]</t>
        </is>
      </c>
      <c r="O180" s="47" t="inlineStr">
        <is>
          <t>[[3059,0.02]]</t>
        </is>
      </c>
      <c r="P180" s="47" t="inlineStr">
        <is>
          <t>[[3009,0.01],[3010,0.01],[3011,0.01]]</t>
        </is>
      </c>
      <c r="Q180" s="47" t="inlineStr">
        <is>
          <t>[[3001,1],[3002,1],[3003,100]]</t>
        </is>
      </c>
      <c r="R180" s="47">
        <f>R176</f>
        <v/>
      </c>
      <c r="S180" s="47">
        <f>S172</f>
        <v/>
      </c>
      <c r="T180" s="47" t="inlineStr">
        <is>
          <t>增益</t>
        </is>
      </c>
      <c r="U180" s="47" t="inlineStr">
        <is>
          <t>skill_affix/hong</t>
        </is>
      </c>
      <c r="V180" s="47" t="n">
        <v>0</v>
      </c>
    </row>
    <row r="181">
      <c r="A181" s="47">
        <f>A177+1</f>
        <v/>
      </c>
      <c r="B181" s="47">
        <f>B177</f>
        <v/>
      </c>
      <c r="C181" s="47">
        <f>C177</f>
        <v/>
      </c>
      <c r="D181" s="47">
        <f>D177</f>
        <v/>
      </c>
      <c r="E181" s="47">
        <f>E177+100</f>
        <v/>
      </c>
      <c r="F181" s="25">
        <f>F177+100</f>
        <v/>
      </c>
      <c r="H181" s="47">
        <f>"[["&amp;F181&amp;",600]]"</f>
        <v/>
      </c>
      <c r="I181" s="47">
        <f>"skill/sect/"&amp;E181</f>
        <v/>
      </c>
      <c r="J181" s="47" t="inlineStr">
        <is>
          <t>冥府裁决</t>
        </is>
      </c>
      <c r="K181" s="36" t="inlineStr">
        <is>
          <t>变身为幽魂，获得20层&lt;u color=4169E1 size=2&gt;&lt;a href=30036&gt;生机&lt;/a&gt;&lt;/u&gt;，并使用鬼手向前方进行两次爪击，造成总计&lt;color=be7013&gt;1291%&lt;/color&gt;攻击力的魔法伤害。</t>
        </is>
      </c>
      <c r="L181" s="47" t="n">
        <v>130532000</v>
      </c>
      <c r="N181" s="47" t="inlineStr">
        <is>
          <t>[[3059,0.05]]</t>
        </is>
      </c>
      <c r="O181" s="47" t="inlineStr">
        <is>
          <t>[[3059,0.02]]</t>
        </is>
      </c>
      <c r="P181" s="47" t="inlineStr">
        <is>
          <t>[[3009,0.02],[3010,0.02],[3011,0.02]]</t>
        </is>
      </c>
      <c r="Q181" s="47" t="inlineStr">
        <is>
          <t>[[3001,5],[3002,1],[3003,500]]</t>
        </is>
      </c>
      <c r="R181" s="47">
        <f>R177</f>
        <v/>
      </c>
      <c r="S181" s="47">
        <f>S173</f>
        <v/>
      </c>
      <c r="T181" s="47" t="inlineStr">
        <is>
          <t>增益</t>
        </is>
      </c>
      <c r="U181" s="47" t="inlineStr">
        <is>
          <t>skill_affix/hong</t>
        </is>
      </c>
      <c r="V181" s="47" t="n">
        <v>0</v>
      </c>
    </row>
    <row r="182">
      <c r="A182" s="47">
        <f>A178+1</f>
        <v/>
      </c>
      <c r="B182" s="47">
        <f>B178</f>
        <v/>
      </c>
      <c r="C182" s="47">
        <f>C178</f>
        <v/>
      </c>
      <c r="D182" s="47">
        <f>D178</f>
        <v/>
      </c>
      <c r="E182" s="47">
        <f>E178+100</f>
        <v/>
      </c>
      <c r="F182" s="25">
        <f>F178+100</f>
        <v/>
      </c>
      <c r="H182" s="47">
        <f>"[["&amp;F182&amp;",900]]"</f>
        <v/>
      </c>
      <c r="I182" s="47">
        <f>"skill/sect/"&amp;E182</f>
        <v/>
      </c>
      <c r="J182" s="47" t="inlineStr">
        <is>
          <t>冥府裁决</t>
        </is>
      </c>
      <c r="K182" s="36" t="inlineStr">
        <is>
          <t>亡灵之门伤害提高&lt;color=be7013&gt;40%&lt;/color&gt;。</t>
        </is>
      </c>
      <c r="L182" s="47" t="n">
        <v>130532000</v>
      </c>
      <c r="N182" s="47" t="inlineStr">
        <is>
          <t>[[3059,0.05],[3299,0.4]]</t>
        </is>
      </c>
      <c r="O182" s="47" t="inlineStr">
        <is>
          <t>[[3059,0.02]]</t>
        </is>
      </c>
      <c r="P182" s="47" t="inlineStr">
        <is>
          <t>[[3009,0.03],[3010,0.03],[3011,0.03]]</t>
        </is>
      </c>
      <c r="Q182" s="47" t="inlineStr">
        <is>
          <t>[[3001,10],[3002,2],[3003,1000]]</t>
        </is>
      </c>
      <c r="R182" s="47">
        <f>R178</f>
        <v/>
      </c>
      <c r="S182" s="47">
        <f>S174</f>
        <v/>
      </c>
      <c r="T182" s="47" t="inlineStr">
        <is>
          <t>增益</t>
        </is>
      </c>
      <c r="U182" s="47" t="inlineStr">
        <is>
          <t>skill_affix/hong</t>
        </is>
      </c>
      <c r="V182" s="47" t="n">
        <v>0</v>
      </c>
    </row>
    <row r="183">
      <c r="A183" s="47">
        <f>A179+1</f>
        <v/>
      </c>
      <c r="B183" s="47">
        <f>B179</f>
        <v/>
      </c>
      <c r="C183" s="47">
        <f>C179</f>
        <v/>
      </c>
      <c r="D183" s="47">
        <f>D179</f>
        <v/>
      </c>
      <c r="E183" s="47">
        <f>E179+100</f>
        <v/>
      </c>
      <c r="F183" s="25">
        <f>F179+100</f>
        <v/>
      </c>
      <c r="G183" s="25">
        <f>G179+100</f>
        <v/>
      </c>
      <c r="H183" s="47">
        <f>"[["&amp;G183&amp;",1]]"</f>
        <v/>
      </c>
      <c r="I183" s="47">
        <f>"skill/sect/"&amp;E183</f>
        <v/>
      </c>
      <c r="J183" s="47" t="inlineStr">
        <is>
          <t>冥府裁决</t>
        </is>
      </c>
      <c r="K183" s="36" t="inlineStr">
        <is>
          <t>变身为幽魂，获得40层&lt;u color=4169E1 size=2&gt;&lt;a href=30036&gt;生机&lt;/a&gt;&lt;/u&gt;，并使用鬼手向前方进行三次打击，造成总计&lt;color=be7013&gt;1937%&lt;/color&gt;攻击力的魔法伤害，并且每有一层&lt;u color=4169E1 size=2&gt;&lt;a href=30036&gt;生机&lt;/a&gt;&lt;/u&gt;鬼手所造成的伤害提高1%。</t>
        </is>
      </c>
      <c r="L183" s="47" t="n">
        <v>130534000</v>
      </c>
      <c r="N183" s="47" t="inlineStr">
        <is>
          <t>[[3059,0.05],[3299,0.4]]</t>
        </is>
      </c>
      <c r="O183" s="47" t="inlineStr">
        <is>
          <t>[[3059,0.02]]</t>
        </is>
      </c>
      <c r="P183" s="47" t="inlineStr">
        <is>
          <t>[[3009,0.04],[3010,0.04],[3011,0.04]]</t>
        </is>
      </c>
      <c r="Q183" s="47" t="inlineStr">
        <is>
          <t>[[3001,50],[3002,10],[3003,5000]]</t>
        </is>
      </c>
      <c r="R183" s="47">
        <f>R179</f>
        <v/>
      </c>
      <c r="S183" s="47">
        <f>S175</f>
        <v/>
      </c>
      <c r="T183" s="47" t="inlineStr">
        <is>
          <t>增益</t>
        </is>
      </c>
      <c r="U183" s="47" t="inlineStr">
        <is>
          <t>skill_affix/hong</t>
        </is>
      </c>
      <c r="V183" s="47" t="n">
        <v>0</v>
      </c>
    </row>
  </sheetData>
  <autoFilter ref="A1:V183"/>
  <conditionalFormatting sqref="C1:C2">
    <cfRule type="duplicateValues" priority="56" dxfId="0"/>
  </conditionalFormatting>
  <conditionalFormatting sqref="D1:D2">
    <cfRule type="duplicateValues" priority="55" dxfId="0"/>
  </conditionalFormatting>
  <conditionalFormatting sqref="I1:I2">
    <cfRule type="duplicateValues" priority="17" dxfId="0"/>
  </conditionalFormatting>
  <conditionalFormatting sqref="J1:J2">
    <cfRule type="duplicateValues" priority="16" dxfId="0"/>
  </conditionalFormatting>
  <conditionalFormatting sqref="K1:K2">
    <cfRule type="duplicateValues" priority="97" dxfId="0"/>
  </conditionalFormatting>
  <conditionalFormatting sqref="L1:L2">
    <cfRule type="duplicateValues" priority="14" dxfId="0"/>
  </conditionalFormatting>
  <conditionalFormatting sqref="M1:M2">
    <cfRule type="duplicateValues" priority="13" dxfId="0"/>
  </conditionalFormatting>
  <conditionalFormatting sqref="N1:N2">
    <cfRule type="duplicateValues" priority="12" dxfId="0"/>
  </conditionalFormatting>
  <conditionalFormatting sqref="O1:O2">
    <cfRule type="duplicateValues" priority="11" dxfId="0"/>
  </conditionalFormatting>
  <conditionalFormatting sqref="Q1:Q2">
    <cfRule type="duplicateValues" priority="4" dxfId="0"/>
  </conditionalFormatting>
  <conditionalFormatting sqref="S1:S2">
    <cfRule type="duplicateValues" priority="5" dxfId="0"/>
  </conditionalFormatting>
  <conditionalFormatting sqref="T1:T2">
    <cfRule type="duplicateValues" priority="3" dxfId="0"/>
  </conditionalFormatting>
  <conditionalFormatting sqref="U1:U2">
    <cfRule type="duplicateValues" priority="2" dxfId="0"/>
  </conditionalFormatting>
  <conditionalFormatting sqref="V1:V2">
    <cfRule type="duplicateValues" priority="1" dxfId="0"/>
  </conditionalFormatting>
  <conditionalFormatting sqref="A1:B2">
    <cfRule type="duplicateValues" priority="57" dxfId="0"/>
  </conditionalFormatting>
  <conditionalFormatting sqref="E1:H2">
    <cfRule type="duplicateValues" priority="18" dxfId="0"/>
  </conditionalFormatting>
  <conditionalFormatting sqref="P1:P2 R1:R2">
    <cfRule type="duplicateValues" priority="6" dxfId="0"/>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codeName="Sheet6">
    <outlinePr summaryBelow="1" summaryRight="1"/>
    <pageSetUpPr/>
  </sheetPr>
  <dimension ref="A1:H24"/>
  <sheetViews>
    <sheetView workbookViewId="0">
      <selection activeCell="H14" sqref="H14"/>
    </sheetView>
  </sheetViews>
  <sheetFormatPr baseColWidth="8" defaultColWidth="9" defaultRowHeight="13.5"/>
  <cols>
    <col width="20.25" customWidth="1" style="78" min="2" max="2"/>
    <col width="10.875" customWidth="1" style="78" min="3" max="6"/>
    <col width="12.75" customWidth="1" style="78" min="7" max="7"/>
    <col width="13.625" customWidth="1" style="78" min="8" max="8"/>
  </cols>
  <sheetData>
    <row r="1">
      <c r="A1" s="32" t="inlineStr">
        <is>
          <t>id</t>
        </is>
      </c>
      <c r="B1" s="32" t="inlineStr">
        <is>
          <t>备注(nouse)</t>
        </is>
      </c>
      <c r="C1" s="32" t="inlineStr">
        <is>
          <t>自选箱类型</t>
        </is>
      </c>
      <c r="D1" s="32" t="inlineStr">
        <is>
          <t>自选箱等级</t>
        </is>
      </c>
      <c r="E1" s="32" t="inlineStr">
        <is>
          <t>是否可合成</t>
        </is>
      </c>
      <c r="F1" s="32" t="inlineStr">
        <is>
          <t>原料数量</t>
        </is>
      </c>
      <c r="G1" s="47" t="inlineStr">
        <is>
          <t>合成成功概率</t>
        </is>
      </c>
      <c r="H1" s="47" t="inlineStr">
        <is>
          <t>合成后道具</t>
        </is>
      </c>
    </row>
    <row r="2">
      <c r="A2" s="33" t="inlineStr">
        <is>
          <t>id.p</t>
        </is>
      </c>
      <c r="B2" s="33" t="inlineStr">
        <is>
          <t>desc999</t>
        </is>
      </c>
      <c r="C2" s="33" t="inlineStr">
        <is>
          <t>type</t>
        </is>
      </c>
      <c r="D2" s="33" t="inlineStr">
        <is>
          <t>level</t>
        </is>
      </c>
      <c r="E2" s="33" t="inlineStr">
        <is>
          <t>ifSynthesis</t>
        </is>
      </c>
      <c r="F2" s="33" t="inlineStr">
        <is>
          <t>materialNum</t>
        </is>
      </c>
      <c r="G2" s="33" t="inlineStr">
        <is>
          <t>synthesisProb</t>
        </is>
      </c>
      <c r="H2" s="33" t="inlineStr">
        <is>
          <t>synthesisItem</t>
        </is>
      </c>
    </row>
    <row r="3">
      <c r="A3" s="34" t="inlineStr">
        <is>
          <t>number</t>
        </is>
      </c>
      <c r="B3" s="34" t="inlineStr">
        <is>
          <t>string</t>
        </is>
      </c>
      <c r="C3" s="34" t="inlineStr">
        <is>
          <t>number</t>
        </is>
      </c>
      <c r="D3" s="34" t="inlineStr">
        <is>
          <t>number</t>
        </is>
      </c>
      <c r="E3" s="34" t="inlineStr">
        <is>
          <t>number</t>
        </is>
      </c>
      <c r="F3" s="34" t="inlineStr">
        <is>
          <t>number2</t>
        </is>
      </c>
      <c r="G3" s="34" t="inlineStr">
        <is>
          <t>number2</t>
        </is>
      </c>
      <c r="H3" s="34" t="inlineStr">
        <is>
          <t>object</t>
        </is>
      </c>
    </row>
    <row r="4">
      <c r="A4" s="35" t="inlineStr">
        <is>
          <t>1001</t>
        </is>
      </c>
      <c r="B4" s="35" t="inlineStr">
        <is>
          <t>技能书自选箱等级1</t>
        </is>
      </c>
      <c r="C4" s="47" t="n">
        <v>1</v>
      </c>
      <c r="D4" s="47" t="n">
        <v>1</v>
      </c>
      <c r="E4" s="47" t="n">
        <v>1</v>
      </c>
      <c r="F4" s="47" t="n">
        <v>2</v>
      </c>
      <c r="G4" s="47" t="n">
        <v>1</v>
      </c>
      <c r="H4" s="35" t="inlineStr">
        <is>
          <t>[[1002,1]]</t>
        </is>
      </c>
    </row>
    <row r="5">
      <c r="A5" s="35" t="inlineStr">
        <is>
          <t>1002</t>
        </is>
      </c>
      <c r="B5" s="35" t="inlineStr">
        <is>
          <t>技能书自选箱等级2</t>
        </is>
      </c>
      <c r="C5" s="47" t="n">
        <v>1</v>
      </c>
      <c r="D5" s="47" t="n">
        <v>2</v>
      </c>
      <c r="E5" s="47" t="n">
        <v>1</v>
      </c>
      <c r="F5" s="47" t="n">
        <v>2</v>
      </c>
      <c r="G5" s="47" t="n">
        <v>0.95</v>
      </c>
      <c r="H5" s="35" t="inlineStr">
        <is>
          <t>[[1003,1]]</t>
        </is>
      </c>
    </row>
    <row r="6">
      <c r="A6" s="35" t="inlineStr">
        <is>
          <t>1003</t>
        </is>
      </c>
      <c r="B6" s="35" t="inlineStr">
        <is>
          <t>技能书自选箱等级3</t>
        </is>
      </c>
      <c r="C6" s="47" t="n">
        <v>1</v>
      </c>
      <c r="D6" s="47" t="n">
        <v>3</v>
      </c>
      <c r="E6" s="47" t="n">
        <v>1</v>
      </c>
      <c r="F6" s="47" t="n">
        <v>2</v>
      </c>
      <c r="G6" s="47" t="n">
        <v>0.9</v>
      </c>
      <c r="H6" s="35" t="inlineStr">
        <is>
          <t>[[1004,1]]</t>
        </is>
      </c>
    </row>
    <row r="7">
      <c r="A7" s="35" t="inlineStr">
        <is>
          <t>1004</t>
        </is>
      </c>
      <c r="B7" s="35" t="inlineStr">
        <is>
          <t>技能书自选箱等级4</t>
        </is>
      </c>
      <c r="C7" s="47" t="n">
        <v>1</v>
      </c>
      <c r="D7" s="47" t="n">
        <v>4</v>
      </c>
      <c r="E7" s="47" t="n">
        <v>1</v>
      </c>
      <c r="F7" s="47" t="n">
        <v>2</v>
      </c>
      <c r="G7" s="47" t="n">
        <v>0.85</v>
      </c>
      <c r="H7" s="35" t="inlineStr">
        <is>
          <t>[[1005,1]]</t>
        </is>
      </c>
    </row>
    <row r="8">
      <c r="A8" s="35" t="inlineStr">
        <is>
          <t>1005</t>
        </is>
      </c>
      <c r="B8" s="35" t="inlineStr">
        <is>
          <t>技能书自选箱等级5</t>
        </is>
      </c>
      <c r="C8" s="47" t="n">
        <v>1</v>
      </c>
      <c r="D8" s="47" t="n">
        <v>5</v>
      </c>
      <c r="E8" s="47" t="n">
        <v>1</v>
      </c>
      <c r="F8" s="47" t="n">
        <v>2</v>
      </c>
      <c r="G8" s="47" t="n">
        <v>0.8</v>
      </c>
      <c r="H8" s="35" t="inlineStr">
        <is>
          <t>[[1006,1]]</t>
        </is>
      </c>
    </row>
    <row r="9">
      <c r="A9" s="35" t="inlineStr">
        <is>
          <t>1006</t>
        </is>
      </c>
      <c r="B9" s="35" t="inlineStr">
        <is>
          <t>技能书自选箱等级6</t>
        </is>
      </c>
      <c r="C9" s="47" t="n">
        <v>1</v>
      </c>
      <c r="D9" s="47" t="n">
        <v>6</v>
      </c>
      <c r="E9" s="47" t="n">
        <v>1</v>
      </c>
      <c r="F9" s="47" t="n">
        <v>2</v>
      </c>
      <c r="G9" s="47" t="n">
        <v>0.7</v>
      </c>
      <c r="H9" s="35" t="inlineStr">
        <is>
          <t>[[1007,1]]</t>
        </is>
      </c>
    </row>
    <row r="10">
      <c r="A10" s="35" t="inlineStr">
        <is>
          <t>1007</t>
        </is>
      </c>
      <c r="B10" s="35" t="inlineStr">
        <is>
          <t>技能书自选箱等级7</t>
        </is>
      </c>
      <c r="C10" s="47" t="n">
        <v>1</v>
      </c>
      <c r="D10" s="47" t="n">
        <v>7</v>
      </c>
      <c r="E10" s="47" t="n">
        <v>1</v>
      </c>
      <c r="F10" s="47" t="n">
        <v>2</v>
      </c>
      <c r="G10" s="47" t="n">
        <v>0.6</v>
      </c>
      <c r="H10" s="35" t="inlineStr">
        <is>
          <t>[[1008,1]]</t>
        </is>
      </c>
    </row>
    <row r="11">
      <c r="A11" s="35" t="inlineStr">
        <is>
          <t>1008</t>
        </is>
      </c>
      <c r="B11" s="35" t="inlineStr">
        <is>
          <t>技能书自选箱等级8</t>
        </is>
      </c>
      <c r="C11" s="47" t="n">
        <v>1</v>
      </c>
      <c r="D11" s="47" t="n">
        <v>8</v>
      </c>
      <c r="E11" s="47" t="n">
        <v>1</v>
      </c>
      <c r="F11" s="47" t="n">
        <v>2</v>
      </c>
      <c r="G11" s="47" t="n">
        <v>0.5</v>
      </c>
      <c r="H11" s="35" t="inlineStr">
        <is>
          <t>[[1009,1]]</t>
        </is>
      </c>
    </row>
    <row r="12">
      <c r="A12" s="35" t="inlineStr">
        <is>
          <t>1009</t>
        </is>
      </c>
      <c r="B12" s="35" t="inlineStr">
        <is>
          <t>技能书自选箱等级9</t>
        </is>
      </c>
      <c r="C12" s="47" t="n">
        <v>1</v>
      </c>
      <c r="D12" s="47" t="n">
        <v>9</v>
      </c>
      <c r="E12" s="47" t="n">
        <v>1</v>
      </c>
      <c r="F12" s="47" t="n">
        <v>2</v>
      </c>
      <c r="G12" s="47" t="n">
        <v>0.4</v>
      </c>
      <c r="H12" s="35" t="inlineStr">
        <is>
          <t>[[1010,1]]</t>
        </is>
      </c>
    </row>
    <row r="13">
      <c r="A13" s="35" t="inlineStr">
        <is>
          <t>1010</t>
        </is>
      </c>
      <c r="B13" s="35" t="inlineStr">
        <is>
          <t>技能书自选箱等级10</t>
        </is>
      </c>
      <c r="C13" s="47" t="n">
        <v>1</v>
      </c>
      <c r="D13" s="47" t="n">
        <v>10</v>
      </c>
      <c r="E13" s="47" t="n">
        <v>1</v>
      </c>
      <c r="F13" s="47" t="n">
        <v>2</v>
      </c>
      <c r="G13" s="47" t="n">
        <v>0.3</v>
      </c>
      <c r="H13" s="35" t="inlineStr">
        <is>
          <t>[[1011,1]]</t>
        </is>
      </c>
    </row>
    <row r="14">
      <c r="A14" s="35" t="inlineStr">
        <is>
          <t>1011</t>
        </is>
      </c>
      <c r="B14" s="35" t="inlineStr">
        <is>
          <t>技能书自选箱等级11</t>
        </is>
      </c>
      <c r="C14" s="47" t="n">
        <v>1</v>
      </c>
      <c r="D14" s="47" t="n">
        <v>11</v>
      </c>
      <c r="E14" s="47" t="n">
        <v>1</v>
      </c>
      <c r="F14" s="47" t="n">
        <v>2</v>
      </c>
      <c r="G14" s="47" t="n">
        <v>0.2</v>
      </c>
      <c r="H14" s="35" t="inlineStr">
        <is>
          <t>[[1012,1]]</t>
        </is>
      </c>
    </row>
    <row r="15">
      <c r="A15" s="35" t="inlineStr">
        <is>
          <t>1012</t>
        </is>
      </c>
      <c r="B15" s="35" t="inlineStr">
        <is>
          <t>技能书自选箱等级12</t>
        </is>
      </c>
      <c r="C15" s="47" t="n">
        <v>1</v>
      </c>
      <c r="D15" s="47" t="n">
        <v>12</v>
      </c>
      <c r="E15" s="47" t="n">
        <v>1</v>
      </c>
      <c r="F15" s="47" t="n">
        <v>2</v>
      </c>
      <c r="G15" s="47" t="n">
        <v>0.09999999999999939</v>
      </c>
      <c r="H15" s="35" t="inlineStr">
        <is>
          <t>[[1013,1]]</t>
        </is>
      </c>
    </row>
    <row r="16">
      <c r="A16" s="35" t="inlineStr">
        <is>
          <t>1013</t>
        </is>
      </c>
      <c r="B16" s="35" t="inlineStr">
        <is>
          <t>技能书自选箱等级13</t>
        </is>
      </c>
      <c r="C16" s="47" t="n">
        <v>1</v>
      </c>
      <c r="D16" s="47" t="n">
        <v>13</v>
      </c>
      <c r="E16" s="47" t="n">
        <v>1</v>
      </c>
      <c r="F16" s="47" t="n">
        <v>2</v>
      </c>
      <c r="H16" s="35" t="n"/>
    </row>
    <row r="17">
      <c r="A17" s="35" t="inlineStr">
        <is>
          <t>1014</t>
        </is>
      </c>
      <c r="B17" s="35" t="inlineStr">
        <is>
          <t>技能书自选箱等级14</t>
        </is>
      </c>
      <c r="C17" s="47" t="n">
        <v>1</v>
      </c>
      <c r="D17" s="47" t="n">
        <v>14</v>
      </c>
      <c r="E17" s="47" t="n">
        <v>1</v>
      </c>
      <c r="F17" s="47" t="n">
        <v>2</v>
      </c>
      <c r="H17" s="35" t="n"/>
    </row>
    <row r="18">
      <c r="A18" s="35" t="inlineStr">
        <is>
          <t>1015</t>
        </is>
      </c>
      <c r="B18" s="35" t="inlineStr">
        <is>
          <t>技能书自选箱等级15</t>
        </is>
      </c>
      <c r="C18" s="47" t="n">
        <v>1</v>
      </c>
      <c r="D18" s="47" t="n">
        <v>15</v>
      </c>
      <c r="E18" s="47" t="n">
        <v>1</v>
      </c>
      <c r="F18" s="47" t="n">
        <v>2</v>
      </c>
      <c r="H18" s="35" t="n"/>
    </row>
    <row r="19">
      <c r="A19" s="35" t="inlineStr">
        <is>
          <t>1016</t>
        </is>
      </c>
      <c r="B19" s="35" t="inlineStr">
        <is>
          <t>技能书自选箱等级16</t>
        </is>
      </c>
      <c r="C19" s="47" t="n">
        <v>1</v>
      </c>
      <c r="D19" s="47" t="n">
        <v>16</v>
      </c>
      <c r="E19" s="47" t="n">
        <v>0</v>
      </c>
    </row>
    <row r="20">
      <c r="A20" s="35" t="inlineStr">
        <is>
          <t>1101</t>
        </is>
      </c>
      <c r="B20" s="47" t="inlineStr">
        <is>
          <t>宝石自选箱等级1</t>
        </is>
      </c>
      <c r="C20" s="47" t="n">
        <v>2</v>
      </c>
      <c r="D20" s="47" t="n">
        <v>1</v>
      </c>
      <c r="E20" s="47" t="n">
        <v>0</v>
      </c>
    </row>
    <row r="21">
      <c r="A21" s="35" t="inlineStr">
        <is>
          <t>1102</t>
        </is>
      </c>
      <c r="B21" s="47" t="inlineStr">
        <is>
          <t>宝石自选箱等级2</t>
        </is>
      </c>
      <c r="C21" s="47" t="n">
        <v>2</v>
      </c>
      <c r="D21" s="47" t="n">
        <v>2</v>
      </c>
      <c r="E21" s="47" t="n">
        <v>0</v>
      </c>
    </row>
    <row r="22">
      <c r="A22" s="35" t="inlineStr">
        <is>
          <t>1103</t>
        </is>
      </c>
      <c r="B22" s="47" t="inlineStr">
        <is>
          <t>宝石自选箱等级3</t>
        </is>
      </c>
      <c r="C22" s="47" t="n">
        <v>2</v>
      </c>
      <c r="D22" s="47" t="n">
        <v>3</v>
      </c>
      <c r="E22" s="47" t="n">
        <v>0</v>
      </c>
    </row>
    <row r="23">
      <c r="A23" s="35" t="inlineStr">
        <is>
          <t>1104</t>
        </is>
      </c>
      <c r="B23" s="47" t="inlineStr">
        <is>
          <t>宝石自选箱等级4</t>
        </is>
      </c>
      <c r="C23" s="47" t="n">
        <v>2</v>
      </c>
      <c r="D23" s="47" t="n">
        <v>4</v>
      </c>
      <c r="E23" s="47" t="n">
        <v>0</v>
      </c>
    </row>
    <row r="24">
      <c r="A24" s="35" t="inlineStr">
        <is>
          <t>1105</t>
        </is>
      </c>
      <c r="B24" s="47" t="inlineStr">
        <is>
          <t>宝石自选箱等级5</t>
        </is>
      </c>
      <c r="C24" s="47" t="n">
        <v>2</v>
      </c>
      <c r="D24" s="47" t="n">
        <v>5</v>
      </c>
      <c r="E24" s="47" t="n">
        <v>0</v>
      </c>
    </row>
  </sheetData>
  <conditionalFormatting sqref="E2:F2">
    <cfRule type="duplicateValues" priority="5" dxfId="0"/>
  </conditionalFormatting>
  <conditionalFormatting sqref="G2">
    <cfRule type="duplicateValues" priority="9" dxfId="0"/>
  </conditionalFormatting>
  <conditionalFormatting sqref="H2">
    <cfRule type="duplicateValues" priority="8" dxfId="0"/>
  </conditionalFormatting>
  <conditionalFormatting sqref="H18">
    <cfRule type="duplicateValues" priority="1" dxfId="0"/>
    <cfRule type="duplicateValues" priority="2" dxfId="1"/>
  </conditionalFormatting>
  <conditionalFormatting sqref="A20:A24">
    <cfRule type="duplicateValues" priority="10" dxfId="0"/>
    <cfRule type="duplicateValues" priority="11" dxfId="1"/>
  </conditionalFormatting>
  <conditionalFormatting sqref="C1:C2">
    <cfRule type="duplicateValues" priority="15" dxfId="0"/>
  </conditionalFormatting>
  <conditionalFormatting sqref="H4:H17">
    <cfRule type="duplicateValues" priority="6" dxfId="0"/>
    <cfRule type="duplicateValues" priority="7" dxfId="1"/>
  </conditionalFormatting>
  <conditionalFormatting sqref="A1:B2">
    <cfRule type="duplicateValues" priority="16" dxfId="0"/>
  </conditionalFormatting>
  <conditionalFormatting sqref="D1:F1 D2">
    <cfRule type="duplicateValues" priority="14" dxfId="0"/>
  </conditionalFormatting>
  <conditionalFormatting sqref="A4:B19">
    <cfRule type="duplicateValues" priority="12" dxfId="0"/>
    <cfRule type="duplicateValues" priority="13" dxfId="1"/>
  </conditionalFormatting>
  <pageMargins left="0.75" right="0.75" top="1" bottom="1" header="0.5" footer="0.5"/>
</worksheet>
</file>

<file path=xl/worksheets/sheet9.xml><?xml version="1.0" encoding="utf-8"?>
<worksheet xmlns="http://schemas.openxmlformats.org/spreadsheetml/2006/main">
  <sheetPr codeName="Sheet37">
    <outlinePr summaryBelow="1" summaryRight="1"/>
    <pageSetUpPr/>
  </sheetPr>
  <dimension ref="A1:O280"/>
  <sheetViews>
    <sheetView workbookViewId="0">
      <pane xSplit="1" ySplit="3" topLeftCell="B243" activePane="bottomRight" state="frozen"/>
      <selection activeCell="A1" sqref="A1"/>
      <selection pane="topRight" activeCell="A1" sqref="A1"/>
      <selection pane="bottomLeft" activeCell="A1" sqref="A1"/>
      <selection pane="bottomRight" activeCell="J262" sqref="J262"/>
    </sheetView>
  </sheetViews>
  <sheetFormatPr baseColWidth="8" defaultColWidth="9" defaultRowHeight="13.5"/>
  <cols>
    <col width="14" customWidth="1" style="25" min="1" max="1"/>
    <col width="18.625" customWidth="1" style="25" min="2" max="2"/>
    <col width="11.5" customWidth="1" style="25" min="3" max="3"/>
    <col width="61.875" customWidth="1" style="25" min="4" max="4"/>
    <col width="20.375" customWidth="1" style="25" min="5" max="6"/>
    <col width="11.5" customWidth="1" style="25" min="7" max="7"/>
    <col width="28.375" customWidth="1" style="25" min="8" max="8"/>
    <col width="15.875" customWidth="1" style="25" min="9" max="9"/>
    <col width="90.25" customWidth="1" style="25" min="10" max="11"/>
    <col width="12" customWidth="1" style="25" min="12" max="12"/>
    <col width="32.625" customWidth="1" style="25" min="13" max="13"/>
    <col width="11.6333333333333" customWidth="1" style="25" min="14" max="14"/>
    <col width="20.25" customWidth="1" style="25" min="15" max="15"/>
    <col width="9" customWidth="1" style="25" min="16" max="16383"/>
  </cols>
  <sheetData>
    <row r="1">
      <c r="A1" s="15" t="n">
        <v>1006201</v>
      </c>
      <c r="B1" s="15" t="inlineStr">
        <is>
          <t>(nouse)策划说明</t>
        </is>
      </c>
      <c r="C1" s="15" t="inlineStr">
        <is>
          <t>职业</t>
        </is>
      </c>
      <c r="D1" s="25" t="inlineStr">
        <is>
          <t>关联的节点id</t>
        </is>
      </c>
      <c r="E1" s="25" t="inlineStr">
        <is>
          <t>技能界面位置</t>
        </is>
      </c>
      <c r="F1" s="25" t="inlineStr">
        <is>
          <t>归属天赋盘</t>
        </is>
      </c>
      <c r="G1" s="15" t="inlineStr">
        <is>
          <t>天赋类型</t>
        </is>
      </c>
      <c r="H1" s="15" t="inlineStr">
        <is>
          <t>图标</t>
        </is>
      </c>
      <c r="I1" s="15" t="inlineStr">
        <is>
          <t>名称</t>
        </is>
      </c>
      <c r="J1" s="15" t="inlineStr">
        <is>
          <t>描述</t>
        </is>
      </c>
      <c r="K1" s="15" t="inlineStr">
        <is>
          <t>等级上限</t>
        </is>
      </c>
      <c r="L1" s="15" t="inlineStr">
        <is>
          <t>词缀id</t>
        </is>
      </c>
      <c r="M1" s="15" t="inlineStr">
        <is>
          <t>词缀值</t>
        </is>
      </c>
      <c r="N1" s="15" t="inlineStr">
        <is>
          <t>被动表id</t>
        </is>
      </c>
      <c r="O1" s="25" t="inlineStr">
        <is>
          <t>提供属性-启用加属性</t>
        </is>
      </c>
    </row>
    <row r="2">
      <c r="A2" s="16" t="inlineStr">
        <is>
          <t>id.p</t>
        </is>
      </c>
      <c r="B2" s="16" t="inlineStr">
        <is>
          <t>desc999</t>
        </is>
      </c>
      <c r="C2" s="16" t="inlineStr">
        <is>
          <t>occupation</t>
        </is>
      </c>
      <c r="D2" s="16" t="inlineStr">
        <is>
          <t>linkPoint</t>
        </is>
      </c>
      <c r="E2" s="16" t="inlineStr">
        <is>
          <t>viewPos</t>
        </is>
      </c>
      <c r="F2" s="16" t="inlineStr">
        <is>
          <t>talentGrid</t>
        </is>
      </c>
      <c r="G2" s="16" t="inlineStr">
        <is>
          <t>size</t>
        </is>
      </c>
      <c r="H2" s="16" t="inlineStr">
        <is>
          <t>icon</t>
        </is>
      </c>
      <c r="I2" s="16" t="inlineStr">
        <is>
          <t>name</t>
        </is>
      </c>
      <c r="J2" s="16" t="inlineStr">
        <is>
          <t>desc</t>
        </is>
      </c>
      <c r="K2" s="16" t="inlineStr">
        <is>
          <t>maxLv</t>
        </is>
      </c>
      <c r="L2" s="16" t="inlineStr">
        <is>
          <t>skillAffix</t>
        </is>
      </c>
      <c r="M2" s="16" t="inlineStr">
        <is>
          <t>affixValue</t>
        </is>
      </c>
      <c r="N2" s="16" t="inlineStr">
        <is>
          <t>stunt</t>
        </is>
      </c>
      <c r="O2" s="16" t="inlineStr">
        <is>
          <t>attr</t>
        </is>
      </c>
    </row>
    <row r="3">
      <c r="A3" s="17" t="inlineStr">
        <is>
          <t>number</t>
        </is>
      </c>
      <c r="B3" s="17" t="inlineStr">
        <is>
          <t>string</t>
        </is>
      </c>
      <c r="C3" s="17" t="inlineStr">
        <is>
          <t>number</t>
        </is>
      </c>
      <c r="D3" s="17" t="inlineStr">
        <is>
          <t>numberArr</t>
        </is>
      </c>
      <c r="E3" s="17" t="inlineStr">
        <is>
          <t>numberArr</t>
        </is>
      </c>
      <c r="F3" s="17" t="inlineStr">
        <is>
          <t>number2</t>
        </is>
      </c>
      <c r="G3" s="17" t="inlineStr">
        <is>
          <t>number</t>
        </is>
      </c>
      <c r="H3" s="17" t="inlineStr">
        <is>
          <t>string</t>
        </is>
      </c>
      <c r="I3" s="17" t="inlineStr">
        <is>
          <t>string</t>
        </is>
      </c>
      <c r="J3" s="17" t="inlineStr">
        <is>
          <t>string</t>
        </is>
      </c>
      <c r="K3" s="17" t="inlineStr">
        <is>
          <t>number</t>
        </is>
      </c>
      <c r="L3" s="17" t="inlineStr">
        <is>
          <t>numberArr</t>
        </is>
      </c>
      <c r="M3" s="17" t="inlineStr">
        <is>
          <t>object</t>
        </is>
      </c>
      <c r="N3" s="17" t="inlineStr">
        <is>
          <t>numberArr</t>
        </is>
      </c>
      <c r="O3" s="17" t="inlineStr">
        <is>
          <t>object</t>
        </is>
      </c>
    </row>
    <row r="4" customFormat="1" s="31">
      <c r="A4" s="29" t="n">
        <v>1000001</v>
      </c>
      <c r="B4" s="31" t="inlineStr">
        <is>
          <t>通用-天赋1</t>
        </is>
      </c>
      <c r="C4" s="31" t="n">
        <v>0</v>
      </c>
      <c r="D4" s="29" t="n">
        <v>1000002</v>
      </c>
      <c r="E4" s="29" t="inlineStr">
        <is>
          <t>0|319.773</t>
        </is>
      </c>
      <c r="F4" s="29" t="n"/>
      <c r="G4" s="31" t="n">
        <v>1</v>
      </c>
      <c r="H4" s="31" t="inlineStr">
        <is>
          <t>talent/attribute/shengming</t>
        </is>
      </c>
      <c r="I4" s="31" t="inlineStr">
        <is>
          <t>生命值</t>
        </is>
      </c>
      <c r="J4" s="31" t="inlineStr">
        <is>
          <t>生命值+5</t>
        </is>
      </c>
      <c r="K4" s="31" t="n">
        <v>1</v>
      </c>
      <c r="O4" s="31" t="inlineStr">
        <is>
          <t>[[10001,5]]</t>
        </is>
      </c>
    </row>
    <row r="5" customFormat="1" s="31">
      <c r="A5" s="29" t="n">
        <v>1000002</v>
      </c>
      <c r="B5" s="31" t="inlineStr">
        <is>
          <t>通用-天赋2</t>
        </is>
      </c>
      <c r="C5" s="31" t="n">
        <v>0</v>
      </c>
      <c r="D5" s="29" t="inlineStr">
        <is>
          <t>1000001|1000003</t>
        </is>
      </c>
      <c r="E5" s="29" t="inlineStr">
        <is>
          <t>0|515.601</t>
        </is>
      </c>
      <c r="F5" s="29" t="n"/>
      <c r="G5" s="31" t="n">
        <v>1</v>
      </c>
      <c r="H5" s="31" t="inlineStr">
        <is>
          <t>talent/attribute/shengming</t>
        </is>
      </c>
      <c r="I5" s="31" t="inlineStr">
        <is>
          <t>生命值</t>
        </is>
      </c>
      <c r="J5" s="31" t="inlineStr">
        <is>
          <t>生命值+5</t>
        </is>
      </c>
      <c r="K5" s="31" t="n">
        <v>1</v>
      </c>
      <c r="O5" s="31" t="inlineStr">
        <is>
          <t>[[10001,5]]</t>
        </is>
      </c>
    </row>
    <row r="6" customFormat="1" s="31">
      <c r="A6" s="29" t="n">
        <v>1000003</v>
      </c>
      <c r="B6" s="31" t="inlineStr">
        <is>
          <t>通用-天赋3</t>
        </is>
      </c>
      <c r="C6" s="31" t="n">
        <v>0</v>
      </c>
      <c r="D6" s="29" t="inlineStr">
        <is>
          <t>1000002|1000004|1000008|1000013|1000018|1000023</t>
        </is>
      </c>
      <c r="E6" s="29" t="inlineStr">
        <is>
          <t>0|714.659</t>
        </is>
      </c>
      <c r="F6" s="29" t="n"/>
      <c r="G6" s="31" t="n">
        <v>1</v>
      </c>
      <c r="H6" s="31" t="inlineStr">
        <is>
          <t>talent/attribute/shengming</t>
        </is>
      </c>
      <c r="I6" s="31" t="inlineStr">
        <is>
          <t>生命值</t>
        </is>
      </c>
      <c r="J6" s="31" t="inlineStr">
        <is>
          <t>生命值+5</t>
        </is>
      </c>
      <c r="K6" s="31" t="n">
        <v>1</v>
      </c>
      <c r="O6" s="31" t="inlineStr">
        <is>
          <t>[[10001,5]]</t>
        </is>
      </c>
    </row>
    <row r="7" customFormat="1" s="31">
      <c r="A7" s="29" t="n">
        <v>1000004</v>
      </c>
      <c r="B7" s="31" t="inlineStr">
        <is>
          <t>通用-天赋4</t>
        </is>
      </c>
      <c r="C7" s="31" t="n">
        <v>0</v>
      </c>
      <c r="D7" s="29" t="inlineStr">
        <is>
          <t>1000003|1000005</t>
        </is>
      </c>
      <c r="E7" s="29" t="inlineStr">
        <is>
          <t>0|915.031</t>
        </is>
      </c>
      <c r="F7" s="29" t="n"/>
      <c r="G7" s="31" t="n">
        <v>1</v>
      </c>
      <c r="H7" s="31" t="inlineStr">
        <is>
          <t>talent/attribute/shengming</t>
        </is>
      </c>
      <c r="I7" s="31" t="inlineStr">
        <is>
          <t>生命值</t>
        </is>
      </c>
      <c r="J7" s="31" t="inlineStr">
        <is>
          <t>生命值+5</t>
        </is>
      </c>
      <c r="K7" s="31" t="n">
        <v>1</v>
      </c>
      <c r="O7" s="31" t="inlineStr">
        <is>
          <t>[[10001,5]]</t>
        </is>
      </c>
    </row>
    <row r="8" customFormat="1" s="31">
      <c r="A8" s="29" t="n">
        <v>1000005</v>
      </c>
      <c r="B8" s="31" t="inlineStr">
        <is>
          <t>通用-天赋5</t>
        </is>
      </c>
      <c r="C8" s="31" t="n">
        <v>0</v>
      </c>
      <c r="D8" s="29" t="inlineStr">
        <is>
          <t>1000004|1000006</t>
        </is>
      </c>
      <c r="E8" s="29" t="inlineStr">
        <is>
          <t>0|1115.499</t>
        </is>
      </c>
      <c r="F8" s="29" t="n"/>
      <c r="G8" s="31" t="n">
        <v>1</v>
      </c>
      <c r="H8" s="31" t="inlineStr">
        <is>
          <t>talent/attribute/shengming</t>
        </is>
      </c>
      <c r="I8" s="31" t="inlineStr">
        <is>
          <t>生命值</t>
        </is>
      </c>
      <c r="J8" s="31" t="inlineStr">
        <is>
          <t>生命值+5</t>
        </is>
      </c>
      <c r="K8" s="31" t="n">
        <v>1</v>
      </c>
      <c r="O8" s="31" t="inlineStr">
        <is>
          <t>[[10001,5]]</t>
        </is>
      </c>
    </row>
    <row r="9" customFormat="1" s="31">
      <c r="A9" s="29" t="n">
        <v>1000006</v>
      </c>
      <c r="B9" s="31" t="inlineStr">
        <is>
          <t>通用-天赋6</t>
        </is>
      </c>
      <c r="C9" s="31" t="n">
        <v>0</v>
      </c>
      <c r="D9" s="29" t="inlineStr">
        <is>
          <t>1000005|1000007</t>
        </is>
      </c>
      <c r="E9" s="29" t="inlineStr">
        <is>
          <t>0|1315.561</t>
        </is>
      </c>
      <c r="F9" s="29" t="n"/>
      <c r="G9" s="31" t="n">
        <v>1</v>
      </c>
      <c r="H9" s="31" t="inlineStr">
        <is>
          <t>talent/attribute/shengming</t>
        </is>
      </c>
      <c r="I9" s="31" t="inlineStr">
        <is>
          <t>生命值</t>
        </is>
      </c>
      <c r="J9" s="31" t="inlineStr">
        <is>
          <t>生命值+5</t>
        </is>
      </c>
      <c r="K9" s="31" t="n">
        <v>1</v>
      </c>
      <c r="O9" s="31" t="inlineStr">
        <is>
          <t>[[10001,5]]</t>
        </is>
      </c>
    </row>
    <row r="10" customFormat="1" s="31">
      <c r="A10" s="29" t="n">
        <v>1000007</v>
      </c>
      <c r="B10" s="31" t="inlineStr">
        <is>
          <t>通用-天赋7</t>
        </is>
      </c>
      <c r="C10" s="31" t="n">
        <v>0</v>
      </c>
      <c r="D10" s="29" t="inlineStr">
        <is>
          <t>1000006|1000012|1000017|1000022|1000027|1000028|1000032</t>
        </is>
      </c>
      <c r="E10" s="29" t="inlineStr">
        <is>
          <t>0|1659.996</t>
        </is>
      </c>
      <c r="F10" s="29" t="n"/>
      <c r="G10" s="31" t="n">
        <v>3</v>
      </c>
      <c r="H10" s="31" t="inlineStr">
        <is>
          <t>talent/attribute/tianfu</t>
        </is>
      </c>
      <c r="I10" s="31" t="inlineStr">
        <is>
          <t>可选天赋</t>
        </is>
      </c>
      <c r="J10" s="31" t="inlineStr">
        <is>
          <t>激活一个可选天赋</t>
        </is>
      </c>
      <c r="K10" s="31" t="n">
        <v>1</v>
      </c>
    </row>
    <row r="11" customFormat="1" s="31">
      <c r="A11" s="29" t="n">
        <v>1000008</v>
      </c>
      <c r="B11" s="31" t="inlineStr">
        <is>
          <t>通用-天赋8</t>
        </is>
      </c>
      <c r="C11" s="31" t="n">
        <v>0</v>
      </c>
      <c r="D11" s="29" t="inlineStr">
        <is>
          <t>1000003|1000009</t>
        </is>
      </c>
      <c r="E11" s="29" t="inlineStr">
        <is>
          <t>153.553|654.916</t>
        </is>
      </c>
      <c r="F11" s="29" t="n"/>
      <c r="G11" s="31" t="n">
        <v>1</v>
      </c>
      <c r="H11" s="31" t="inlineStr">
        <is>
          <t>talent/attribute/bingkang</t>
        </is>
      </c>
      <c r="I11" s="31" t="inlineStr">
        <is>
          <t>冰冷抗性</t>
        </is>
      </c>
      <c r="J11" s="31" t="inlineStr">
        <is>
          <t>冰冷抗性+2%</t>
        </is>
      </c>
      <c r="K11" s="31" t="n">
        <v>1</v>
      </c>
      <c r="O11" s="31" t="inlineStr">
        <is>
          <t>[[10313,0.02]]</t>
        </is>
      </c>
    </row>
    <row r="12" customFormat="1" s="31">
      <c r="A12" s="29" t="n">
        <v>1000009</v>
      </c>
      <c r="B12" s="31" t="inlineStr">
        <is>
          <t>通用-天赋9</t>
        </is>
      </c>
      <c r="C12" s="31" t="n">
        <v>0</v>
      </c>
      <c r="D12" s="29" t="inlineStr">
        <is>
          <t>1000008|1000010</t>
        </is>
      </c>
      <c r="E12" s="29" t="inlineStr">
        <is>
          <t>153.553|861.848</t>
        </is>
      </c>
      <c r="F12" s="29" t="n"/>
      <c r="G12" s="31" t="n">
        <v>1</v>
      </c>
      <c r="H12" s="31" t="inlineStr">
        <is>
          <t>talent/attribute/bingkang</t>
        </is>
      </c>
      <c r="I12" s="31" t="inlineStr">
        <is>
          <t>冰冷抗性</t>
        </is>
      </c>
      <c r="J12" s="31" t="inlineStr">
        <is>
          <t>冰冷抗性+4%</t>
        </is>
      </c>
      <c r="K12" s="31" t="n">
        <v>1</v>
      </c>
      <c r="O12" s="31" t="inlineStr">
        <is>
          <t>[[10313,0.04]]</t>
        </is>
      </c>
    </row>
    <row r="13" customFormat="1" s="31">
      <c r="A13" s="29" t="n">
        <v>1000010</v>
      </c>
      <c r="B13" s="31" t="inlineStr">
        <is>
          <t>通用-天赋10</t>
        </is>
      </c>
      <c r="C13" s="31" t="n">
        <v>0</v>
      </c>
      <c r="D13" s="29" t="inlineStr">
        <is>
          <t>1000009|1000011</t>
        </is>
      </c>
      <c r="E13" s="29" t="inlineStr">
        <is>
          <t>153.553|1064.205</t>
        </is>
      </c>
      <c r="F13" s="29" t="n"/>
      <c r="G13" s="31" t="n">
        <v>2</v>
      </c>
      <c r="H13" s="31" t="inlineStr">
        <is>
          <t>talent/attribute/bingkang</t>
        </is>
      </c>
      <c r="I13" s="31" t="inlineStr">
        <is>
          <t>冰冷抗性</t>
        </is>
      </c>
      <c r="J13" s="31" t="inlineStr">
        <is>
          <t>冰冷抗性+10%</t>
        </is>
      </c>
      <c r="K13" s="31" t="n">
        <v>1</v>
      </c>
      <c r="O13" s="31" t="inlineStr">
        <is>
          <t>[[10313,0.1]]</t>
        </is>
      </c>
    </row>
    <row r="14" customFormat="1" s="31">
      <c r="A14" s="29" t="n">
        <v>1000011</v>
      </c>
      <c r="B14" s="31" t="inlineStr">
        <is>
          <t>通用-天赋11</t>
        </is>
      </c>
      <c r="C14" s="31" t="n">
        <v>0</v>
      </c>
      <c r="D14" s="29" t="inlineStr">
        <is>
          <t>1000010|1000012</t>
        </is>
      </c>
      <c r="E14" s="29" t="inlineStr">
        <is>
          <t>153.553|1252.904</t>
        </is>
      </c>
      <c r="F14" s="29" t="n"/>
      <c r="G14" s="31" t="n">
        <v>1</v>
      </c>
      <c r="H14" s="31" t="inlineStr">
        <is>
          <t>talent/attribute/bingkang</t>
        </is>
      </c>
      <c r="I14" s="31" t="inlineStr">
        <is>
          <t>冰冷抗性</t>
        </is>
      </c>
      <c r="J14" s="31" t="inlineStr">
        <is>
          <t>冰冷抗性+4%</t>
        </is>
      </c>
      <c r="K14" s="31" t="n">
        <v>1</v>
      </c>
      <c r="O14" s="31" t="inlineStr">
        <is>
          <t>[[10313,0.04]]</t>
        </is>
      </c>
    </row>
    <row r="15" customFormat="1" s="31">
      <c r="A15" s="29" t="n">
        <v>1000012</v>
      </c>
      <c r="B15" s="31" t="inlineStr">
        <is>
          <t>通用-天赋12</t>
        </is>
      </c>
      <c r="C15" s="31" t="n">
        <v>0</v>
      </c>
      <c r="D15" s="29" t="inlineStr">
        <is>
          <t>1000007|1000011</t>
        </is>
      </c>
      <c r="E15" s="29" t="inlineStr">
        <is>
          <t>153.553|1452.97</t>
        </is>
      </c>
      <c r="F15" s="29" t="n"/>
      <c r="G15" s="31" t="n">
        <v>1</v>
      </c>
      <c r="H15" s="31" t="inlineStr">
        <is>
          <t>talent/attribute/bingkang</t>
        </is>
      </c>
      <c r="I15" s="31" t="inlineStr">
        <is>
          <t>冰冷抗性</t>
        </is>
      </c>
      <c r="J15" s="31" t="inlineStr">
        <is>
          <t>冰冷抗性+2%</t>
        </is>
      </c>
      <c r="K15" s="31" t="n">
        <v>1</v>
      </c>
      <c r="O15" s="31" t="inlineStr">
        <is>
          <t>[[10313,0.02]]</t>
        </is>
      </c>
    </row>
    <row r="16" customFormat="1" s="31">
      <c r="A16" s="29" t="n">
        <v>1000013</v>
      </c>
      <c r="B16" s="31" t="inlineStr">
        <is>
          <t>通用-天赋13</t>
        </is>
      </c>
      <c r="C16" s="31" t="n">
        <v>0</v>
      </c>
      <c r="D16" s="29" t="inlineStr">
        <is>
          <t>1000003|1000014</t>
        </is>
      </c>
      <c r="E16" s="29" t="inlineStr">
        <is>
          <t>307.106|654.916</t>
        </is>
      </c>
      <c r="F16" s="29" t="n"/>
      <c r="G16" s="31" t="n">
        <v>1</v>
      </c>
      <c r="H16" s="31" t="inlineStr">
        <is>
          <t>talent/attribute/huokang</t>
        </is>
      </c>
      <c r="I16" s="31" t="inlineStr">
        <is>
          <t>火焰抗性</t>
        </is>
      </c>
      <c r="J16" s="31" t="inlineStr">
        <is>
          <t>火焰抗性+2%</t>
        </is>
      </c>
      <c r="K16" s="31" t="n">
        <v>1</v>
      </c>
      <c r="O16" s="31" t="inlineStr">
        <is>
          <t>[[10312,0.02]]</t>
        </is>
      </c>
    </row>
    <row r="17" customFormat="1" s="31">
      <c r="A17" s="29" t="n">
        <v>1000014</v>
      </c>
      <c r="B17" s="31" t="inlineStr">
        <is>
          <t>通用-天赋14</t>
        </is>
      </c>
      <c r="C17" s="31" t="n">
        <v>0</v>
      </c>
      <c r="D17" s="29" t="inlineStr">
        <is>
          <t>1000013|1000015</t>
        </is>
      </c>
      <c r="E17" s="29" t="inlineStr">
        <is>
          <t>307.106|861.848</t>
        </is>
      </c>
      <c r="F17" s="29" t="n"/>
      <c r="G17" s="31" t="n">
        <v>1</v>
      </c>
      <c r="H17" s="31" t="inlineStr">
        <is>
          <t>talent/attribute/huokang</t>
        </is>
      </c>
      <c r="I17" s="31" t="inlineStr">
        <is>
          <t>火焰抗性</t>
        </is>
      </c>
      <c r="J17" s="31" t="inlineStr">
        <is>
          <t>火焰抗性+4%</t>
        </is>
      </c>
      <c r="K17" s="31" t="n">
        <v>1</v>
      </c>
      <c r="O17" s="31" t="inlineStr">
        <is>
          <t>[[10312,0.04]]</t>
        </is>
      </c>
    </row>
    <row r="18" customFormat="1" s="31">
      <c r="A18" s="29" t="n">
        <v>1000015</v>
      </c>
      <c r="B18" s="31" t="inlineStr">
        <is>
          <t>通用-天赋15</t>
        </is>
      </c>
      <c r="C18" s="31" t="n">
        <v>0</v>
      </c>
      <c r="D18" s="29" t="inlineStr">
        <is>
          <t>1000014|1000016</t>
        </is>
      </c>
      <c r="E18" s="29" t="inlineStr">
        <is>
          <t>307.106|1064.205</t>
        </is>
      </c>
      <c r="F18" s="29" t="n"/>
      <c r="G18" s="31" t="n">
        <v>2</v>
      </c>
      <c r="H18" s="31" t="inlineStr">
        <is>
          <t>talent/attribute/huokang</t>
        </is>
      </c>
      <c r="I18" s="31" t="inlineStr">
        <is>
          <t>火焰抗性</t>
        </is>
      </c>
      <c r="J18" s="31" t="inlineStr">
        <is>
          <t>火焰抗性+10%</t>
        </is>
      </c>
      <c r="K18" s="31" t="n">
        <v>1</v>
      </c>
      <c r="O18" s="31" t="inlineStr">
        <is>
          <t>[[10312,0.1]]</t>
        </is>
      </c>
    </row>
    <row r="19" customFormat="1" s="31">
      <c r="A19" s="29" t="n">
        <v>1000016</v>
      </c>
      <c r="B19" s="31" t="inlineStr">
        <is>
          <t>通用-天赋16</t>
        </is>
      </c>
      <c r="C19" s="31" t="n">
        <v>0</v>
      </c>
      <c r="D19" s="29" t="inlineStr">
        <is>
          <t>1000015|1000017</t>
        </is>
      </c>
      <c r="E19" s="29" t="inlineStr">
        <is>
          <t>307.106|1252.904</t>
        </is>
      </c>
      <c r="F19" s="29" t="n"/>
      <c r="G19" s="31" t="n">
        <v>1</v>
      </c>
      <c r="H19" s="31" t="inlineStr">
        <is>
          <t>talent/attribute/huokang</t>
        </is>
      </c>
      <c r="I19" s="31" t="inlineStr">
        <is>
          <t>火焰抗性</t>
        </is>
      </c>
      <c r="J19" s="31" t="inlineStr">
        <is>
          <t>火焰抗性+4%</t>
        </is>
      </c>
      <c r="K19" s="31" t="n">
        <v>1</v>
      </c>
      <c r="O19" s="31" t="inlineStr">
        <is>
          <t>[[10312,0.04]]</t>
        </is>
      </c>
    </row>
    <row r="20" customFormat="1" s="31">
      <c r="A20" s="29" t="n">
        <v>1000017</v>
      </c>
      <c r="B20" s="31" t="inlineStr">
        <is>
          <t>通用-天赋17</t>
        </is>
      </c>
      <c r="C20" s="31" t="n">
        <v>0</v>
      </c>
      <c r="D20" s="29" t="inlineStr">
        <is>
          <t>1000007|1000016</t>
        </is>
      </c>
      <c r="E20" s="29" t="inlineStr">
        <is>
          <t>307.106|1452.97</t>
        </is>
      </c>
      <c r="F20" s="29" t="n"/>
      <c r="G20" s="31" t="n">
        <v>1</v>
      </c>
      <c r="H20" s="31" t="inlineStr">
        <is>
          <t>talent/attribute/huokang</t>
        </is>
      </c>
      <c r="I20" s="31" t="inlineStr">
        <is>
          <t>火焰抗性</t>
        </is>
      </c>
      <c r="J20" s="31" t="inlineStr">
        <is>
          <t>火焰抗性+2%</t>
        </is>
      </c>
      <c r="K20" s="31" t="n">
        <v>1</v>
      </c>
      <c r="O20" s="31" t="inlineStr">
        <is>
          <t>[[10312,0.02]]</t>
        </is>
      </c>
    </row>
    <row r="21" customFormat="1" s="31">
      <c r="A21" s="29" t="n">
        <v>1000018</v>
      </c>
      <c r="B21" s="31" t="inlineStr">
        <is>
          <t>通用-天赋18</t>
        </is>
      </c>
      <c r="C21" s="31" t="n">
        <v>0</v>
      </c>
      <c r="D21" s="29" t="inlineStr">
        <is>
          <t>1000003|1000019</t>
        </is>
      </c>
      <c r="E21" s="29" t="inlineStr">
        <is>
          <t>-153.553|654.916</t>
        </is>
      </c>
      <c r="F21" s="29" t="n"/>
      <c r="G21" s="31" t="n">
        <v>1</v>
      </c>
      <c r="H21" s="31" t="inlineStr">
        <is>
          <t>talent/attribute/diankang</t>
        </is>
      </c>
      <c r="I21" s="31" t="inlineStr">
        <is>
          <t>闪电抗性</t>
        </is>
      </c>
      <c r="J21" s="31" t="inlineStr">
        <is>
          <t>闪电抗性+2%</t>
        </is>
      </c>
      <c r="K21" s="31" t="n">
        <v>1</v>
      </c>
      <c r="O21" s="31" t="inlineStr">
        <is>
          <t>[[10314,0.02]]</t>
        </is>
      </c>
    </row>
    <row r="22" customFormat="1" s="31">
      <c r="A22" s="29" t="n">
        <v>1000019</v>
      </c>
      <c r="B22" s="31" t="inlineStr">
        <is>
          <t>通用-天赋19</t>
        </is>
      </c>
      <c r="C22" s="31" t="n">
        <v>0</v>
      </c>
      <c r="D22" s="29" t="inlineStr">
        <is>
          <t>1000018|1000020</t>
        </is>
      </c>
      <c r="E22" s="29" t="inlineStr">
        <is>
          <t>-153.553|861.848</t>
        </is>
      </c>
      <c r="F22" s="29" t="n"/>
      <c r="G22" s="31" t="n">
        <v>1</v>
      </c>
      <c r="H22" s="31" t="inlineStr">
        <is>
          <t>talent/attribute/diankang</t>
        </is>
      </c>
      <c r="I22" s="31" t="inlineStr">
        <is>
          <t>闪电抗性</t>
        </is>
      </c>
      <c r="J22" s="31" t="inlineStr">
        <is>
          <t>闪电抗性+4%</t>
        </is>
      </c>
      <c r="K22" s="31" t="n">
        <v>1</v>
      </c>
      <c r="O22" s="31" t="inlineStr">
        <is>
          <t>[[10314,0.04]]</t>
        </is>
      </c>
    </row>
    <row r="23" customFormat="1" s="31">
      <c r="A23" s="29" t="n">
        <v>1000020</v>
      </c>
      <c r="B23" s="31" t="inlineStr">
        <is>
          <t>通用-天赋20</t>
        </is>
      </c>
      <c r="C23" s="31" t="n">
        <v>0</v>
      </c>
      <c r="D23" s="29" t="inlineStr">
        <is>
          <t>1000019|1000021</t>
        </is>
      </c>
      <c r="E23" s="29" t="inlineStr">
        <is>
          <t>-153.553|1064.205</t>
        </is>
      </c>
      <c r="F23" s="29" t="n"/>
      <c r="G23" s="31" t="n">
        <v>2</v>
      </c>
      <c r="H23" s="31" t="inlineStr">
        <is>
          <t>talent/attribute/diankang</t>
        </is>
      </c>
      <c r="I23" s="31" t="inlineStr">
        <is>
          <t>闪电抗性</t>
        </is>
      </c>
      <c r="J23" s="31" t="inlineStr">
        <is>
          <t>闪电抗性+10%</t>
        </is>
      </c>
      <c r="K23" s="31" t="n">
        <v>1</v>
      </c>
      <c r="O23" s="31" t="inlineStr">
        <is>
          <t>[[10314,0.1]]</t>
        </is>
      </c>
    </row>
    <row r="24" customFormat="1" s="31">
      <c r="A24" s="29" t="n">
        <v>1000021</v>
      </c>
      <c r="B24" s="31" t="inlineStr">
        <is>
          <t>通用-天赋21</t>
        </is>
      </c>
      <c r="C24" s="31" t="n">
        <v>0</v>
      </c>
      <c r="D24" s="29" t="inlineStr">
        <is>
          <t>1000020|1000022</t>
        </is>
      </c>
      <c r="E24" s="29" t="inlineStr">
        <is>
          <t>-153.553|1252.904</t>
        </is>
      </c>
      <c r="F24" s="29" t="n"/>
      <c r="G24" s="31" t="n">
        <v>1</v>
      </c>
      <c r="H24" s="31" t="inlineStr">
        <is>
          <t>talent/attribute/diankang</t>
        </is>
      </c>
      <c r="I24" s="31" t="inlineStr">
        <is>
          <t>闪电抗性</t>
        </is>
      </c>
      <c r="J24" s="31" t="inlineStr">
        <is>
          <t>闪电抗性+4%</t>
        </is>
      </c>
      <c r="K24" s="31" t="n">
        <v>1</v>
      </c>
      <c r="O24" s="31" t="inlineStr">
        <is>
          <t>[[10314,0.04]]</t>
        </is>
      </c>
    </row>
    <row r="25" customFormat="1" s="31">
      <c r="A25" s="29" t="n">
        <v>1000022</v>
      </c>
      <c r="B25" s="31" t="inlineStr">
        <is>
          <t>通用-天赋22</t>
        </is>
      </c>
      <c r="C25" s="31" t="n">
        <v>0</v>
      </c>
      <c r="D25" s="29" t="inlineStr">
        <is>
          <t>1000007|1000021</t>
        </is>
      </c>
      <c r="E25" s="29" t="inlineStr">
        <is>
          <t>-153.553|1452.97</t>
        </is>
      </c>
      <c r="F25" s="29" t="n"/>
      <c r="G25" s="31" t="n">
        <v>1</v>
      </c>
      <c r="H25" s="31" t="inlineStr">
        <is>
          <t>talent/attribute/diankang</t>
        </is>
      </c>
      <c r="I25" s="31" t="inlineStr">
        <is>
          <t>闪电抗性</t>
        </is>
      </c>
      <c r="J25" s="31" t="inlineStr">
        <is>
          <t>闪电抗性+2%</t>
        </is>
      </c>
      <c r="K25" s="31" t="n">
        <v>1</v>
      </c>
      <c r="O25" s="31" t="inlineStr">
        <is>
          <t>[[10314,0.02]]</t>
        </is>
      </c>
    </row>
    <row r="26" customFormat="1" s="31">
      <c r="A26" s="29" t="n">
        <v>1000023</v>
      </c>
      <c r="B26" s="31" t="inlineStr">
        <is>
          <t>通用-天赋23</t>
        </is>
      </c>
      <c r="C26" s="31" t="n">
        <v>0</v>
      </c>
      <c r="D26" s="29" t="inlineStr">
        <is>
          <t>1000003|1000024</t>
        </is>
      </c>
      <c r="E26" s="29" t="inlineStr">
        <is>
          <t>-307.106|654.916</t>
        </is>
      </c>
      <c r="F26" s="29" t="n"/>
      <c r="G26" s="31" t="n">
        <v>1</v>
      </c>
      <c r="H26" s="31" t="inlineStr">
        <is>
          <t>talent/attribute/wukang</t>
        </is>
      </c>
      <c r="I26" s="31" t="inlineStr">
        <is>
          <t>物理抗性</t>
        </is>
      </c>
      <c r="J26" s="31" t="inlineStr">
        <is>
          <t>物理抗性+2%</t>
        </is>
      </c>
      <c r="K26" s="31" t="n">
        <v>1</v>
      </c>
      <c r="O26" s="31" t="inlineStr">
        <is>
          <t>[[10311,0.02]]</t>
        </is>
      </c>
    </row>
    <row r="27" customFormat="1" s="31">
      <c r="A27" s="29" t="n">
        <v>1000024</v>
      </c>
      <c r="B27" s="31" t="inlineStr">
        <is>
          <t>通用-天赋24</t>
        </is>
      </c>
      <c r="C27" s="31" t="n">
        <v>0</v>
      </c>
      <c r="D27" s="29" t="inlineStr">
        <is>
          <t>1000023|1000025</t>
        </is>
      </c>
      <c r="E27" s="29" t="inlineStr">
        <is>
          <t>-307.106|861.848</t>
        </is>
      </c>
      <c r="F27" s="29" t="n"/>
      <c r="G27" s="31" t="n">
        <v>1</v>
      </c>
      <c r="H27" s="31" t="inlineStr">
        <is>
          <t>talent/attribute/wukang</t>
        </is>
      </c>
      <c r="I27" s="31" t="inlineStr">
        <is>
          <t>物理抗性</t>
        </is>
      </c>
      <c r="J27" s="31" t="inlineStr">
        <is>
          <t>物理抗性+4%</t>
        </is>
      </c>
      <c r="K27" s="31" t="n">
        <v>1</v>
      </c>
      <c r="O27" s="31" t="inlineStr">
        <is>
          <t>[[10311,0.04]]</t>
        </is>
      </c>
    </row>
    <row r="28" customFormat="1" s="31">
      <c r="A28" s="29" t="n">
        <v>1000025</v>
      </c>
      <c r="B28" s="31" t="inlineStr">
        <is>
          <t>通用-天赋25</t>
        </is>
      </c>
      <c r="C28" s="31" t="n">
        <v>0</v>
      </c>
      <c r="D28" s="29" t="inlineStr">
        <is>
          <t>1000024|1000026</t>
        </is>
      </c>
      <c r="E28" s="29" t="inlineStr">
        <is>
          <t>-307.106|1064.205</t>
        </is>
      </c>
      <c r="F28" s="29" t="n"/>
      <c r="G28" s="31" t="n">
        <v>2</v>
      </c>
      <c r="H28" s="31" t="inlineStr">
        <is>
          <t>talent/attribute/wukang</t>
        </is>
      </c>
      <c r="I28" s="31" t="inlineStr">
        <is>
          <t>物理抗性</t>
        </is>
      </c>
      <c r="J28" s="31" t="inlineStr">
        <is>
          <t>物理抗性+10%</t>
        </is>
      </c>
      <c r="K28" s="31" t="n">
        <v>1</v>
      </c>
      <c r="O28" s="31" t="inlineStr">
        <is>
          <t>[[10311,0.1]]</t>
        </is>
      </c>
    </row>
    <row r="29" customFormat="1" s="31">
      <c r="A29" s="29" t="n">
        <v>1000026</v>
      </c>
      <c r="B29" s="31" t="inlineStr">
        <is>
          <t>通用-天赋26</t>
        </is>
      </c>
      <c r="C29" s="31" t="n">
        <v>0</v>
      </c>
      <c r="D29" s="29" t="inlineStr">
        <is>
          <t>1000025|1000027</t>
        </is>
      </c>
      <c r="E29" s="29" t="inlineStr">
        <is>
          <t>-307.106|1252.904</t>
        </is>
      </c>
      <c r="F29" s="29" t="n"/>
      <c r="G29" s="31" t="n">
        <v>1</v>
      </c>
      <c r="H29" s="31" t="inlineStr">
        <is>
          <t>talent/attribute/wukang</t>
        </is>
      </c>
      <c r="I29" s="31" t="inlineStr">
        <is>
          <t>物理抗性</t>
        </is>
      </c>
      <c r="J29" s="31" t="inlineStr">
        <is>
          <t>物理抗性+4%</t>
        </is>
      </c>
      <c r="K29" s="31" t="n">
        <v>1</v>
      </c>
      <c r="O29" s="31" t="inlineStr">
        <is>
          <t>[[10311,0.04]]</t>
        </is>
      </c>
    </row>
    <row r="30" customFormat="1" s="31">
      <c r="A30" s="29" t="n">
        <v>1000027</v>
      </c>
      <c r="B30" s="31" t="inlineStr">
        <is>
          <t>通用-天赋27</t>
        </is>
      </c>
      <c r="C30" s="31" t="n">
        <v>0</v>
      </c>
      <c r="D30" s="29" t="inlineStr">
        <is>
          <t>1000007|1000026</t>
        </is>
      </c>
      <c r="E30" s="29" t="inlineStr">
        <is>
          <t>-307.106|1452.97</t>
        </is>
      </c>
      <c r="F30" s="29" t="n"/>
      <c r="G30" s="31" t="n">
        <v>1</v>
      </c>
      <c r="H30" s="31" t="inlineStr">
        <is>
          <t>talent/attribute/wukang</t>
        </is>
      </c>
      <c r="I30" s="31" t="inlineStr">
        <is>
          <t>物理抗性</t>
        </is>
      </c>
      <c r="J30" s="31" t="inlineStr">
        <is>
          <t>物理抗性+2%</t>
        </is>
      </c>
      <c r="K30" s="31" t="n">
        <v>1</v>
      </c>
      <c r="O30" s="31" t="inlineStr">
        <is>
          <t>[[10311,0.02]]</t>
        </is>
      </c>
    </row>
    <row r="31" customFormat="1" s="31">
      <c r="A31" s="29" t="n">
        <v>1000028</v>
      </c>
      <c r="B31" s="31" t="inlineStr">
        <is>
          <t>通用-天赋28</t>
        </is>
      </c>
      <c r="C31" s="31" t="n">
        <v>0</v>
      </c>
      <c r="D31" s="29" t="inlineStr">
        <is>
          <t>1000007|1000029</t>
        </is>
      </c>
      <c r="E31" s="29" t="inlineStr">
        <is>
          <t>0|1851.145</t>
        </is>
      </c>
      <c r="F31" s="29" t="n"/>
      <c r="G31" s="31" t="n">
        <v>1</v>
      </c>
      <c r="H31" s="31" t="inlineStr">
        <is>
          <t>talent/attribute/shengming</t>
        </is>
      </c>
      <c r="I31" s="31" t="inlineStr">
        <is>
          <t>生命值</t>
        </is>
      </c>
      <c r="J31" s="31" t="inlineStr">
        <is>
          <t>生命值+5</t>
        </is>
      </c>
      <c r="K31" s="31" t="n">
        <v>1</v>
      </c>
      <c r="O31" s="31" t="inlineStr">
        <is>
          <t>[[10001,5]]</t>
        </is>
      </c>
    </row>
    <row r="32" customFormat="1" s="31">
      <c r="A32" s="29" t="n">
        <v>1000029</v>
      </c>
      <c r="B32" s="31" t="inlineStr">
        <is>
          <t>通用-天赋29</t>
        </is>
      </c>
      <c r="C32" s="31" t="n">
        <v>0</v>
      </c>
      <c r="D32" s="29" t="inlineStr">
        <is>
          <t>1000028|1000030|1000033|1000038|1000043|1000048</t>
        </is>
      </c>
      <c r="E32" s="29" t="inlineStr">
        <is>
          <t>0|2052.314</t>
        </is>
      </c>
      <c r="F32" s="29" t="n"/>
      <c r="G32" s="31" t="n">
        <v>1</v>
      </c>
      <c r="H32" s="31" t="inlineStr">
        <is>
          <t>talent/attribute/shengming</t>
        </is>
      </c>
      <c r="I32" s="31" t="inlineStr">
        <is>
          <t>生命值</t>
        </is>
      </c>
      <c r="J32" s="31" t="inlineStr">
        <is>
          <t>生命值+5</t>
        </is>
      </c>
      <c r="K32" s="31" t="n">
        <v>1</v>
      </c>
      <c r="O32" s="31" t="inlineStr">
        <is>
          <t>[[10001,5]]</t>
        </is>
      </c>
    </row>
    <row r="33" customFormat="1" s="31">
      <c r="A33" s="29" t="n">
        <v>1000030</v>
      </c>
      <c r="B33" s="31" t="inlineStr">
        <is>
          <t>通用-天赋30</t>
        </is>
      </c>
      <c r="C33" s="31" t="n">
        <v>0</v>
      </c>
      <c r="D33" s="29" t="inlineStr">
        <is>
          <t>1000029|1000031</t>
        </is>
      </c>
      <c r="E33" s="29" t="inlineStr">
        <is>
          <t>0|2250.981</t>
        </is>
      </c>
      <c r="F33" s="29" t="n"/>
      <c r="G33" s="31" t="n">
        <v>1</v>
      </c>
      <c r="H33" s="31" t="inlineStr">
        <is>
          <t>talent/attribute/shengming</t>
        </is>
      </c>
      <c r="I33" s="31" t="inlineStr">
        <is>
          <t>生命值</t>
        </is>
      </c>
      <c r="J33" s="31" t="inlineStr">
        <is>
          <t>生命值+5</t>
        </is>
      </c>
      <c r="K33" s="31" t="n">
        <v>1</v>
      </c>
      <c r="O33" s="31" t="inlineStr">
        <is>
          <t>[[10001,5]]</t>
        </is>
      </c>
    </row>
    <row r="34" customFormat="1" s="31">
      <c r="A34" s="29" t="n">
        <v>1000031</v>
      </c>
      <c r="B34" s="31" t="inlineStr">
        <is>
          <t>通用-天赋31</t>
        </is>
      </c>
      <c r="C34" s="31" t="n">
        <v>0</v>
      </c>
      <c r="D34" s="29" t="inlineStr">
        <is>
          <t>1000030|1000032</t>
        </is>
      </c>
      <c r="E34" s="29" t="inlineStr">
        <is>
          <t>0|2450.858</t>
        </is>
      </c>
      <c r="F34" s="29" t="n"/>
      <c r="G34" s="31" t="n">
        <v>1</v>
      </c>
      <c r="H34" s="31" t="inlineStr">
        <is>
          <t>talent/attribute/shengming</t>
        </is>
      </c>
      <c r="I34" s="31" t="inlineStr">
        <is>
          <t>生命值</t>
        </is>
      </c>
      <c r="J34" s="31" t="inlineStr">
        <is>
          <t>生命值+5</t>
        </is>
      </c>
      <c r="K34" s="31" t="n">
        <v>1</v>
      </c>
      <c r="O34" s="31" t="inlineStr">
        <is>
          <t>[[10001,5]]</t>
        </is>
      </c>
    </row>
    <row r="35" customFormat="1" s="31">
      <c r="A35" s="29" t="n">
        <v>1000032</v>
      </c>
      <c r="B35" s="31" t="inlineStr">
        <is>
          <t>通用-天赋32</t>
        </is>
      </c>
      <c r="C35" s="31" t="n">
        <v>0</v>
      </c>
      <c r="D35" s="29" t="inlineStr">
        <is>
          <t>1000031|1000053</t>
        </is>
      </c>
      <c r="E35" s="29" t="inlineStr">
        <is>
          <t>0|2645.472</t>
        </is>
      </c>
      <c r="F35" s="29" t="n"/>
      <c r="G35" s="31" t="n">
        <v>1</v>
      </c>
      <c r="H35" s="31" t="inlineStr">
        <is>
          <t>talent/attribute/shengming</t>
        </is>
      </c>
      <c r="I35" s="31" t="inlineStr">
        <is>
          <t>生命值</t>
        </is>
      </c>
      <c r="J35" s="31" t="inlineStr">
        <is>
          <t>生命值+5</t>
        </is>
      </c>
      <c r="K35" s="31" t="n">
        <v>1</v>
      </c>
      <c r="O35" s="31" t="inlineStr">
        <is>
          <t>[[10001,5]]</t>
        </is>
      </c>
    </row>
    <row r="36" customFormat="1" s="31">
      <c r="A36" s="29" t="n">
        <v>1000033</v>
      </c>
      <c r="B36" s="31" t="inlineStr">
        <is>
          <t>通用-天赋33</t>
        </is>
      </c>
      <c r="C36" s="31" t="n">
        <v>0</v>
      </c>
      <c r="D36" s="29" t="inlineStr">
        <is>
          <t>1000029|1000034</t>
        </is>
      </c>
      <c r="E36" s="29" t="inlineStr">
        <is>
          <t>153.553|1991.499</t>
        </is>
      </c>
      <c r="F36" s="29" t="n"/>
      <c r="G36" s="31" t="n">
        <v>1</v>
      </c>
      <c r="H36" s="31" t="inlineStr">
        <is>
          <t>talent/attribute/bingshang</t>
        </is>
      </c>
      <c r="I36" s="31" t="inlineStr">
        <is>
          <t>冰冷伤害</t>
        </is>
      </c>
      <c r="J36" s="31" t="inlineStr">
        <is>
          <t>冰冷伤害+10%</t>
        </is>
      </c>
      <c r="K36" s="31" t="n">
        <v>1</v>
      </c>
      <c r="O36" s="31" t="inlineStr">
        <is>
          <t>[[10305,0.1]]</t>
        </is>
      </c>
    </row>
    <row r="37" customFormat="1" s="31">
      <c r="A37" s="29" t="n">
        <v>1000034</v>
      </c>
      <c r="B37" s="31" t="inlineStr">
        <is>
          <t>通用-天赋34</t>
        </is>
      </c>
      <c r="C37" s="31" t="n">
        <v>0</v>
      </c>
      <c r="D37" s="29" t="inlineStr">
        <is>
          <t>1000033|1000035</t>
        </is>
      </c>
      <c r="E37" s="29" t="inlineStr">
        <is>
          <t>153.553|2188.794</t>
        </is>
      </c>
      <c r="F37" s="29" t="n"/>
      <c r="G37" s="31" t="n">
        <v>1</v>
      </c>
      <c r="H37" s="31" t="inlineStr">
        <is>
          <t>talent/attribute/bingshang</t>
        </is>
      </c>
      <c r="I37" s="31" t="inlineStr">
        <is>
          <t>冰冷伤害</t>
        </is>
      </c>
      <c r="J37" s="31" t="inlineStr">
        <is>
          <t>冰冷伤害+15%</t>
        </is>
      </c>
      <c r="K37" s="31" t="n">
        <v>1</v>
      </c>
      <c r="O37" s="31" t="inlineStr">
        <is>
          <t>[[10305,0.15]]</t>
        </is>
      </c>
    </row>
    <row r="38" customFormat="1" s="31">
      <c r="A38" s="29" t="n">
        <v>1000035</v>
      </c>
      <c r="B38" s="31" t="inlineStr">
        <is>
          <t>通用-天赋35</t>
        </is>
      </c>
      <c r="C38" s="31" t="n">
        <v>0</v>
      </c>
      <c r="D38" s="29" t="inlineStr">
        <is>
          <t>1000034|1000036</t>
        </is>
      </c>
      <c r="E38" s="29" t="inlineStr">
        <is>
          <t>153.553|2385.825</t>
        </is>
      </c>
      <c r="F38" s="29" t="n"/>
      <c r="G38" s="31" t="n">
        <v>2</v>
      </c>
      <c r="H38" s="31" t="inlineStr">
        <is>
          <t>talent/attribute/wuzhuanbing</t>
        </is>
      </c>
      <c r="I38" s="31" t="inlineStr">
        <is>
          <t>物转冰伤</t>
        </is>
      </c>
      <c r="J38" s="31" t="inlineStr">
        <is>
          <t>50%物理伤害转换为冰冷伤害</t>
        </is>
      </c>
      <c r="K38" s="31" t="n">
        <v>1</v>
      </c>
      <c r="O38" s="31" t="inlineStr">
        <is>
          <t>[[11021,0.5]]</t>
        </is>
      </c>
    </row>
    <row r="39" customFormat="1" s="31">
      <c r="A39" s="29" t="n">
        <v>1000036</v>
      </c>
      <c r="B39" s="31" t="inlineStr">
        <is>
          <t>通用-天赋36</t>
        </is>
      </c>
      <c r="C39" s="31" t="n">
        <v>0</v>
      </c>
      <c r="D39" s="29" t="inlineStr">
        <is>
          <t>1000035|1000037</t>
        </is>
      </c>
      <c r="E39" s="29" t="inlineStr">
        <is>
          <t>153.553|2581.959</t>
        </is>
      </c>
      <c r="F39" s="29" t="n"/>
      <c r="G39" s="31" t="n">
        <v>1</v>
      </c>
      <c r="H39" s="31" t="inlineStr">
        <is>
          <t>talent/attribute/bingshang</t>
        </is>
      </c>
      <c r="I39" s="31" t="inlineStr">
        <is>
          <t>冰冷伤害</t>
        </is>
      </c>
      <c r="J39" s="31" t="inlineStr">
        <is>
          <t>冰冷伤害+15%</t>
        </is>
      </c>
      <c r="K39" s="31" t="n">
        <v>1</v>
      </c>
      <c r="O39" s="31" t="inlineStr">
        <is>
          <t>[[10305,0.15]]</t>
        </is>
      </c>
    </row>
    <row r="40" customFormat="1" s="31">
      <c r="A40" s="29" t="n">
        <v>1000037</v>
      </c>
      <c r="B40" s="31" t="inlineStr">
        <is>
          <t>通用-天赋37</t>
        </is>
      </c>
      <c r="C40" s="31" t="n">
        <v>0</v>
      </c>
      <c r="D40" s="29" t="inlineStr">
        <is>
          <t>1000036|1000053</t>
        </is>
      </c>
      <c r="E40" s="29" t="inlineStr">
        <is>
          <t>153.553|2782.945</t>
        </is>
      </c>
      <c r="F40" s="29" t="n"/>
      <c r="G40" s="31" t="n">
        <v>1</v>
      </c>
      <c r="H40" s="31" t="inlineStr">
        <is>
          <t>talent/attribute/bingshang</t>
        </is>
      </c>
      <c r="I40" s="31" t="inlineStr">
        <is>
          <t>冰冷伤害</t>
        </is>
      </c>
      <c r="J40" s="31" t="inlineStr">
        <is>
          <t>冰冷伤害+10%</t>
        </is>
      </c>
      <c r="K40" s="31" t="n">
        <v>1</v>
      </c>
      <c r="O40" s="31" t="inlineStr">
        <is>
          <t>[[10305,0.1]]</t>
        </is>
      </c>
    </row>
    <row r="41" customFormat="1" s="31">
      <c r="A41" s="29" t="n">
        <v>1000038</v>
      </c>
      <c r="B41" s="31" t="inlineStr">
        <is>
          <t>通用-天赋38</t>
        </is>
      </c>
      <c r="C41" s="31" t="n">
        <v>0</v>
      </c>
      <c r="D41" s="29" t="inlineStr">
        <is>
          <t>1000029|1000039</t>
        </is>
      </c>
      <c r="E41" s="29" t="inlineStr">
        <is>
          <t>307.106|1991.499</t>
        </is>
      </c>
      <c r="F41" s="29" t="n"/>
      <c r="G41" s="31" t="n">
        <v>1</v>
      </c>
      <c r="H41" s="31" t="inlineStr">
        <is>
          <t>talent/attribute/huoshang</t>
        </is>
      </c>
      <c r="I41" s="31" t="inlineStr">
        <is>
          <t>火焰伤害</t>
        </is>
      </c>
      <c r="J41" s="31" t="inlineStr">
        <is>
          <t>火焰伤害+10%</t>
        </is>
      </c>
      <c r="K41" s="31" t="n">
        <v>1</v>
      </c>
      <c r="O41" s="31" t="inlineStr">
        <is>
          <t>[[10304,0.1]]</t>
        </is>
      </c>
    </row>
    <row r="42" customFormat="1" s="31">
      <c r="A42" s="29" t="n">
        <v>1000039</v>
      </c>
      <c r="B42" s="31" t="inlineStr">
        <is>
          <t>通用-天赋39</t>
        </is>
      </c>
      <c r="C42" s="31" t="n">
        <v>0</v>
      </c>
      <c r="D42" s="29" t="inlineStr">
        <is>
          <t>1000038|1000040</t>
        </is>
      </c>
      <c r="E42" s="29" t="inlineStr">
        <is>
          <t>307.106|2188.794</t>
        </is>
      </c>
      <c r="F42" s="29" t="n"/>
      <c r="G42" s="31" t="n">
        <v>1</v>
      </c>
      <c r="H42" s="31" t="inlineStr">
        <is>
          <t>talent/attribute/huoshang</t>
        </is>
      </c>
      <c r="I42" s="31" t="inlineStr">
        <is>
          <t>火焰伤害</t>
        </is>
      </c>
      <c r="J42" s="31" t="inlineStr">
        <is>
          <t>火焰伤害+15%</t>
        </is>
      </c>
      <c r="K42" s="31" t="n">
        <v>1</v>
      </c>
      <c r="O42" s="31" t="inlineStr">
        <is>
          <t>[[10304,0.15]]</t>
        </is>
      </c>
    </row>
    <row r="43" customFormat="1" s="31">
      <c r="A43" s="29" t="n">
        <v>1000040</v>
      </c>
      <c r="B43" s="31" t="inlineStr">
        <is>
          <t>通用-天赋40</t>
        </is>
      </c>
      <c r="C43" s="31" t="n">
        <v>0</v>
      </c>
      <c r="D43" s="29" t="inlineStr">
        <is>
          <t>1000039|1000041</t>
        </is>
      </c>
      <c r="E43" s="29" t="inlineStr">
        <is>
          <t>307.106|2385.825</t>
        </is>
      </c>
      <c r="F43" s="29" t="n"/>
      <c r="G43" s="31" t="n">
        <v>2</v>
      </c>
      <c r="H43" s="31" t="inlineStr">
        <is>
          <t>talent/attribute/wuzhuanhuo</t>
        </is>
      </c>
      <c r="I43" s="31" t="inlineStr">
        <is>
          <t>物转火伤</t>
        </is>
      </c>
      <c r="J43" s="31" t="inlineStr">
        <is>
          <t>50%物理伤害转换为火焰伤害</t>
        </is>
      </c>
      <c r="K43" s="31" t="n">
        <v>1</v>
      </c>
      <c r="O43" s="31" t="inlineStr">
        <is>
          <t>[[11022,0.5]]</t>
        </is>
      </c>
    </row>
    <row r="44" customFormat="1" s="31">
      <c r="A44" s="29" t="n">
        <v>1000041</v>
      </c>
      <c r="B44" s="31" t="inlineStr">
        <is>
          <t>通用-天赋41</t>
        </is>
      </c>
      <c r="C44" s="31" t="n">
        <v>0</v>
      </c>
      <c r="D44" s="29" t="inlineStr">
        <is>
          <t>1000040|1000042</t>
        </is>
      </c>
      <c r="E44" s="29" t="inlineStr">
        <is>
          <t>307.106|2581.959</t>
        </is>
      </c>
      <c r="F44" s="29" t="n"/>
      <c r="G44" s="31" t="n">
        <v>1</v>
      </c>
      <c r="H44" s="31" t="inlineStr">
        <is>
          <t>talent/attribute/huoshang</t>
        </is>
      </c>
      <c r="I44" s="31" t="inlineStr">
        <is>
          <t>火焰伤害</t>
        </is>
      </c>
      <c r="J44" s="31" t="inlineStr">
        <is>
          <t>火焰伤害+15%</t>
        </is>
      </c>
      <c r="K44" s="31" t="n">
        <v>1</v>
      </c>
      <c r="O44" s="31" t="inlineStr">
        <is>
          <t>[[10304,0.15]]</t>
        </is>
      </c>
    </row>
    <row r="45" customFormat="1" s="31">
      <c r="A45" s="29" t="n">
        <v>1000042</v>
      </c>
      <c r="B45" s="31" t="inlineStr">
        <is>
          <t>通用-天赋42</t>
        </is>
      </c>
      <c r="C45" s="31" t="n">
        <v>0</v>
      </c>
      <c r="D45" s="29" t="inlineStr">
        <is>
          <t>1000041|1000053</t>
        </is>
      </c>
      <c r="E45" s="29" t="inlineStr">
        <is>
          <t>307.106|2782.945</t>
        </is>
      </c>
      <c r="F45" s="29" t="n"/>
      <c r="G45" s="31" t="n">
        <v>1</v>
      </c>
      <c r="H45" s="31" t="inlineStr">
        <is>
          <t>talent/attribute/huoshang</t>
        </is>
      </c>
      <c r="I45" s="31" t="inlineStr">
        <is>
          <t>火焰伤害</t>
        </is>
      </c>
      <c r="J45" s="31" t="inlineStr">
        <is>
          <t>火焰伤害+10%</t>
        </is>
      </c>
      <c r="K45" s="31" t="n">
        <v>1</v>
      </c>
      <c r="O45" s="31" t="inlineStr">
        <is>
          <t>[[10304,0.1]]</t>
        </is>
      </c>
    </row>
    <row r="46" customFormat="1" s="31">
      <c r="A46" s="29" t="n">
        <v>1000043</v>
      </c>
      <c r="B46" s="31" t="inlineStr">
        <is>
          <t>通用-天赋43</t>
        </is>
      </c>
      <c r="C46" s="31" t="n">
        <v>0</v>
      </c>
      <c r="D46" s="29" t="inlineStr">
        <is>
          <t>1000029|1000044</t>
        </is>
      </c>
      <c r="E46" s="29" t="inlineStr">
        <is>
          <t>-153.553|1991.499</t>
        </is>
      </c>
      <c r="F46" s="29" t="n"/>
      <c r="G46" s="31" t="n">
        <v>1</v>
      </c>
      <c r="H46" s="31" t="inlineStr">
        <is>
          <t>talent/attribute/dianshang</t>
        </is>
      </c>
      <c r="I46" s="31" t="inlineStr">
        <is>
          <t>闪电伤害</t>
        </is>
      </c>
      <c r="J46" s="31" t="inlineStr">
        <is>
          <t>闪电伤害+10%</t>
        </is>
      </c>
      <c r="K46" s="31" t="n">
        <v>1</v>
      </c>
      <c r="O46" s="31" t="inlineStr">
        <is>
          <t>[[10306,0.1]]</t>
        </is>
      </c>
    </row>
    <row r="47" customFormat="1" s="31">
      <c r="A47" s="29" t="n">
        <v>1000044</v>
      </c>
      <c r="B47" s="31" t="inlineStr">
        <is>
          <t>通用-天赋44</t>
        </is>
      </c>
      <c r="C47" s="31" t="n">
        <v>0</v>
      </c>
      <c r="D47" s="29" t="inlineStr">
        <is>
          <t>1000043|1000045</t>
        </is>
      </c>
      <c r="E47" s="29" t="inlineStr">
        <is>
          <t>-153.553|2188.794</t>
        </is>
      </c>
      <c r="F47" s="29" t="n"/>
      <c r="G47" s="31" t="n">
        <v>1</v>
      </c>
      <c r="H47" s="31" t="inlineStr">
        <is>
          <t>talent/attribute/dianshang</t>
        </is>
      </c>
      <c r="I47" s="31" t="inlineStr">
        <is>
          <t>闪电伤害</t>
        </is>
      </c>
      <c r="J47" s="31" t="inlineStr">
        <is>
          <t>闪电伤害+15%</t>
        </is>
      </c>
      <c r="K47" s="31" t="n">
        <v>1</v>
      </c>
      <c r="O47" s="31" t="inlineStr">
        <is>
          <t>[[10306,0.15]]</t>
        </is>
      </c>
    </row>
    <row r="48" customFormat="1" s="31">
      <c r="A48" s="29" t="n">
        <v>1000045</v>
      </c>
      <c r="B48" s="31" t="inlineStr">
        <is>
          <t>通用-天赋45</t>
        </is>
      </c>
      <c r="C48" s="31" t="n">
        <v>0</v>
      </c>
      <c r="D48" s="29" t="inlineStr">
        <is>
          <t>1000044|1000046</t>
        </is>
      </c>
      <c r="E48" s="29" t="inlineStr">
        <is>
          <t>-153.553|2385.825</t>
        </is>
      </c>
      <c r="F48" s="29" t="n"/>
      <c r="G48" s="31" t="n">
        <v>2</v>
      </c>
      <c r="H48" s="31" t="inlineStr">
        <is>
          <t>talent/attribute/wuzhuandian</t>
        </is>
      </c>
      <c r="I48" s="31" t="inlineStr">
        <is>
          <t>物转电伤</t>
        </is>
      </c>
      <c r="J48" s="31" t="inlineStr">
        <is>
          <t>50%物理伤害转换为闪电伤害</t>
        </is>
      </c>
      <c r="K48" s="31" t="n">
        <v>1</v>
      </c>
      <c r="O48" s="31" t="inlineStr">
        <is>
          <t>[[11020,0.5]]</t>
        </is>
      </c>
    </row>
    <row r="49" customFormat="1" s="31">
      <c r="A49" s="29" t="n">
        <v>1000046</v>
      </c>
      <c r="B49" s="31" t="inlineStr">
        <is>
          <t>通用-天赋46</t>
        </is>
      </c>
      <c r="C49" s="31" t="n">
        <v>0</v>
      </c>
      <c r="D49" s="29" t="inlineStr">
        <is>
          <t>1000045|1000047</t>
        </is>
      </c>
      <c r="E49" s="29" t="inlineStr">
        <is>
          <t>-153.553|2581.959</t>
        </is>
      </c>
      <c r="F49" s="29" t="n"/>
      <c r="G49" s="31" t="n">
        <v>1</v>
      </c>
      <c r="H49" s="31" t="inlineStr">
        <is>
          <t>talent/attribute/dianshang</t>
        </is>
      </c>
      <c r="I49" s="31" t="inlineStr">
        <is>
          <t>闪电伤害</t>
        </is>
      </c>
      <c r="J49" s="31" t="inlineStr">
        <is>
          <t>闪电伤害+15%</t>
        </is>
      </c>
      <c r="K49" s="31" t="n">
        <v>1</v>
      </c>
      <c r="O49" s="31" t="inlineStr">
        <is>
          <t>[[10306,0.15]]</t>
        </is>
      </c>
    </row>
    <row r="50" customFormat="1" s="31">
      <c r="A50" s="29" t="n">
        <v>1000047</v>
      </c>
      <c r="B50" s="31" t="inlineStr">
        <is>
          <t>通用-天赋47</t>
        </is>
      </c>
      <c r="C50" s="31" t="n">
        <v>0</v>
      </c>
      <c r="D50" s="29" t="inlineStr">
        <is>
          <t>1000046|1000053</t>
        </is>
      </c>
      <c r="E50" s="29" t="inlineStr">
        <is>
          <t>-153.553|2782.945</t>
        </is>
      </c>
      <c r="F50" s="29" t="n"/>
      <c r="G50" s="31" t="n">
        <v>1</v>
      </c>
      <c r="H50" s="31" t="inlineStr">
        <is>
          <t>talent/attribute/dianshang</t>
        </is>
      </c>
      <c r="I50" s="31" t="inlineStr">
        <is>
          <t>闪电伤害</t>
        </is>
      </c>
      <c r="J50" s="31" t="inlineStr">
        <is>
          <t>闪电伤害+10%</t>
        </is>
      </c>
      <c r="K50" s="31" t="n">
        <v>1</v>
      </c>
      <c r="O50" s="31" t="inlineStr">
        <is>
          <t>[[10306,0.1]]</t>
        </is>
      </c>
    </row>
    <row r="51" customFormat="1" s="31">
      <c r="A51" s="29" t="n">
        <v>1000048</v>
      </c>
      <c r="B51" s="31" t="inlineStr">
        <is>
          <t>通用-天赋48</t>
        </is>
      </c>
      <c r="C51" s="31" t="n">
        <v>0</v>
      </c>
      <c r="D51" s="29" t="inlineStr">
        <is>
          <t>1000029|1000049</t>
        </is>
      </c>
      <c r="E51" s="29" t="inlineStr">
        <is>
          <t>-307.106|1991.499</t>
        </is>
      </c>
      <c r="F51" s="29" t="n"/>
      <c r="G51" s="31" t="n">
        <v>1</v>
      </c>
      <c r="H51" s="31" t="inlineStr">
        <is>
          <t>talent/attribute/wushang</t>
        </is>
      </c>
      <c r="I51" s="31" t="inlineStr">
        <is>
          <t>物理伤害</t>
        </is>
      </c>
      <c r="J51" s="31" t="inlineStr">
        <is>
          <t>物理伤害+10%</t>
        </is>
      </c>
      <c r="K51" s="31" t="n">
        <v>1</v>
      </c>
      <c r="O51" s="31" t="inlineStr">
        <is>
          <t>[[10303,0.1]]</t>
        </is>
      </c>
    </row>
    <row r="52" customFormat="1" s="31">
      <c r="A52" s="29" t="n">
        <v>1000049</v>
      </c>
      <c r="B52" s="31" t="inlineStr">
        <is>
          <t>通用-天赋49</t>
        </is>
      </c>
      <c r="C52" s="31" t="n">
        <v>0</v>
      </c>
      <c r="D52" s="29" t="inlineStr">
        <is>
          <t>1000048|1000050</t>
        </is>
      </c>
      <c r="E52" s="29" t="inlineStr">
        <is>
          <t>-307.106|2188.794</t>
        </is>
      </c>
      <c r="F52" s="29" t="n"/>
      <c r="G52" s="31" t="n">
        <v>1</v>
      </c>
      <c r="H52" s="31" t="inlineStr">
        <is>
          <t>talent/attribute/wushang</t>
        </is>
      </c>
      <c r="I52" s="31" t="inlineStr">
        <is>
          <t>物理伤害</t>
        </is>
      </c>
      <c r="J52" s="31" t="inlineStr">
        <is>
          <t>物理伤害+15%</t>
        </is>
      </c>
      <c r="K52" s="31" t="n">
        <v>1</v>
      </c>
      <c r="O52" s="31" t="inlineStr">
        <is>
          <t>[[10303,0.15]]</t>
        </is>
      </c>
    </row>
    <row r="53" customFormat="1" s="31">
      <c r="A53" s="29" t="n">
        <v>1000050</v>
      </c>
      <c r="B53" s="31" t="inlineStr">
        <is>
          <t>通用-天赋50</t>
        </is>
      </c>
      <c r="C53" s="31" t="n">
        <v>0</v>
      </c>
      <c r="D53" s="29" t="inlineStr">
        <is>
          <t>1000049|1000051</t>
        </is>
      </c>
      <c r="E53" s="29" t="inlineStr">
        <is>
          <t>-307.106|2385.825</t>
        </is>
      </c>
      <c r="F53" s="29" t="n"/>
      <c r="G53" s="31" t="n">
        <v>2</v>
      </c>
      <c r="H53" s="31" t="inlineStr">
        <is>
          <t>talent/attribute/ewaiwushang</t>
        </is>
      </c>
      <c r="I53" s="31" t="inlineStr">
        <is>
          <t>额外物伤</t>
        </is>
      </c>
      <c r="J53" s="31" t="inlineStr">
        <is>
          <t>额外10%物理伤害</t>
        </is>
      </c>
      <c r="K53" s="31" t="n">
        <v>1</v>
      </c>
      <c r="O53" s="31" t="inlineStr">
        <is>
          <t>[[10500,0.1]]</t>
        </is>
      </c>
    </row>
    <row r="54" customFormat="1" s="31">
      <c r="A54" s="29" t="n">
        <v>1000051</v>
      </c>
      <c r="B54" s="31" t="inlineStr">
        <is>
          <t>通用-天赋51</t>
        </is>
      </c>
      <c r="C54" s="31" t="n">
        <v>0</v>
      </c>
      <c r="D54" s="29" t="inlineStr">
        <is>
          <t>1000050|1000052</t>
        </is>
      </c>
      <c r="E54" s="29" t="inlineStr">
        <is>
          <t>-307.106|2581.959</t>
        </is>
      </c>
      <c r="F54" s="29" t="n"/>
      <c r="G54" s="31" t="n">
        <v>1</v>
      </c>
      <c r="H54" s="31" t="inlineStr">
        <is>
          <t>talent/attribute/wushang</t>
        </is>
      </c>
      <c r="I54" s="31" t="inlineStr">
        <is>
          <t>物理伤害</t>
        </is>
      </c>
      <c r="J54" s="31" t="inlineStr">
        <is>
          <t>物理伤害+15%</t>
        </is>
      </c>
      <c r="K54" s="31" t="n">
        <v>1</v>
      </c>
      <c r="O54" s="31" t="inlineStr">
        <is>
          <t>[[10303,0.15]]</t>
        </is>
      </c>
    </row>
    <row r="55" customFormat="1" s="31">
      <c r="A55" s="29" t="n">
        <v>1000052</v>
      </c>
      <c r="B55" s="31" t="inlineStr">
        <is>
          <t>通用-天赋52</t>
        </is>
      </c>
      <c r="C55" s="31" t="n">
        <v>0</v>
      </c>
      <c r="D55" s="29" t="inlineStr">
        <is>
          <t>1000051|1000053</t>
        </is>
      </c>
      <c r="E55" s="29" t="inlineStr">
        <is>
          <t>-307.106|2782.945</t>
        </is>
      </c>
      <c r="F55" s="29" t="n"/>
      <c r="G55" s="31" t="n">
        <v>1</v>
      </c>
      <c r="H55" s="31" t="inlineStr">
        <is>
          <t>talent/attribute/wushang</t>
        </is>
      </c>
      <c r="I55" s="31" t="inlineStr">
        <is>
          <t>物理伤害</t>
        </is>
      </c>
      <c r="J55" s="31" t="inlineStr">
        <is>
          <t>物理伤害+10%</t>
        </is>
      </c>
      <c r="K55" s="31" t="n">
        <v>1</v>
      </c>
      <c r="O55" s="31" t="inlineStr">
        <is>
          <t>[[10303,0.1]]</t>
        </is>
      </c>
    </row>
    <row r="56" customFormat="1" s="31">
      <c r="A56" s="29" t="n">
        <v>1000053</v>
      </c>
      <c r="B56" s="31" t="inlineStr">
        <is>
          <t>通用-天赋53</t>
        </is>
      </c>
      <c r="C56" s="31" t="n">
        <v>0</v>
      </c>
      <c r="D56" s="29" t="inlineStr">
        <is>
          <t>1000032|1000037|1000042|1000047|1000052</t>
        </is>
      </c>
      <c r="E56" s="29" t="inlineStr">
        <is>
          <t>0|2945.874</t>
        </is>
      </c>
      <c r="F56" s="29" t="n"/>
      <c r="G56" s="31" t="n">
        <v>3</v>
      </c>
      <c r="H56" s="31" t="inlineStr">
        <is>
          <t>talent/attribute/tianfu</t>
        </is>
      </c>
      <c r="I56" s="31" t="inlineStr">
        <is>
          <t>可选天赋</t>
        </is>
      </c>
      <c r="J56" s="31" t="inlineStr">
        <is>
          <t>激活一个可选天赋</t>
        </is>
      </c>
      <c r="K56" s="31" t="n">
        <v>1</v>
      </c>
    </row>
    <row r="57" customFormat="1" s="6">
      <c r="A57" s="6" t="n">
        <v>1002001</v>
      </c>
      <c r="B57" s="6" t="inlineStr">
        <is>
          <t>剑客-天赋1（旧版）</t>
        </is>
      </c>
      <c r="C57" s="6" t="n">
        <v>9</v>
      </c>
      <c r="D57" s="18" t="n">
        <v>1002002</v>
      </c>
      <c r="E57" s="18" t="inlineStr">
        <is>
          <t>0|319.773</t>
        </is>
      </c>
      <c r="F57" s="18" t="n"/>
      <c r="G57" s="6" t="n">
        <v>1</v>
      </c>
      <c r="H57" s="6" t="inlineStr">
        <is>
          <t>talent/attribute/gongshang</t>
        </is>
      </c>
      <c r="I57" s="6" t="inlineStr">
        <is>
          <t>攻击伤害</t>
        </is>
      </c>
      <c r="J57" s="6" t="inlineStr">
        <is>
          <t>攻击伤害+5%</t>
        </is>
      </c>
      <c r="K57" s="6" t="n">
        <v>1</v>
      </c>
      <c r="O57" s="6" t="inlineStr">
        <is>
          <t>[[10301,0.05]]</t>
        </is>
      </c>
    </row>
    <row r="58" customFormat="1" s="6">
      <c r="A58" s="6" t="n">
        <v>1002002</v>
      </c>
      <c r="B58" s="6" t="inlineStr">
        <is>
          <t>剑客-天赋2（旧版）</t>
        </is>
      </c>
      <c r="C58" s="6" t="n">
        <v>9</v>
      </c>
      <c r="D58" s="18" t="inlineStr">
        <is>
          <t>1002001|1002003</t>
        </is>
      </c>
      <c r="E58" s="18" t="inlineStr">
        <is>
          <t>0|515.601</t>
        </is>
      </c>
      <c r="F58" s="18" t="n"/>
      <c r="G58" s="6" t="n">
        <v>1</v>
      </c>
      <c r="H58" s="6" t="inlineStr">
        <is>
          <t>talent/attribute/gongshang</t>
        </is>
      </c>
      <c r="I58" s="6" t="inlineStr">
        <is>
          <t>攻击伤害</t>
        </is>
      </c>
      <c r="J58" s="6" t="inlineStr">
        <is>
          <t>攻击伤害+5%</t>
        </is>
      </c>
      <c r="K58" s="6" t="n">
        <v>1</v>
      </c>
      <c r="O58" s="6" t="inlineStr">
        <is>
          <t>[[10301,0.05]]</t>
        </is>
      </c>
    </row>
    <row r="59" customFormat="1" s="6">
      <c r="A59" s="6" t="n">
        <v>1002003</v>
      </c>
      <c r="B59" s="6" t="inlineStr">
        <is>
          <t>剑客-天赋3（旧版）</t>
        </is>
      </c>
      <c r="C59" s="6" t="n">
        <v>9</v>
      </c>
      <c r="D59" s="18" t="inlineStr">
        <is>
          <t>1002002|1002004|1002008|1002013|1002018|1002023</t>
        </is>
      </c>
      <c r="E59" s="18" t="inlineStr">
        <is>
          <t>0|714.659</t>
        </is>
      </c>
      <c r="F59" s="18" t="n"/>
      <c r="G59" s="6" t="n">
        <v>1</v>
      </c>
      <c r="H59" s="6" t="inlineStr">
        <is>
          <t>talent/attribute/gongshang</t>
        </is>
      </c>
      <c r="I59" s="6" t="inlineStr">
        <is>
          <t>攻击伤害</t>
        </is>
      </c>
      <c r="J59" s="6" t="inlineStr">
        <is>
          <t>攻击伤害+5%</t>
        </is>
      </c>
      <c r="K59" s="6" t="n">
        <v>1</v>
      </c>
      <c r="O59" s="6" t="inlineStr">
        <is>
          <t>[[10301,0.05]]</t>
        </is>
      </c>
    </row>
    <row r="60" customFormat="1" s="6">
      <c r="A60" s="6" t="n">
        <v>1002004</v>
      </c>
      <c r="B60" s="6" t="inlineStr">
        <is>
          <t>剑客-天赋4（旧版）</t>
        </is>
      </c>
      <c r="C60" s="6" t="n">
        <v>9</v>
      </c>
      <c r="D60" s="18" t="inlineStr">
        <is>
          <t>1002003|1002005</t>
        </is>
      </c>
      <c r="E60" s="18" t="inlineStr">
        <is>
          <t>0|915.031</t>
        </is>
      </c>
      <c r="F60" s="18" t="n"/>
      <c r="G60" s="6" t="n">
        <v>1</v>
      </c>
      <c r="H60" s="6" t="inlineStr">
        <is>
          <t>talent/attribute/gongshang</t>
        </is>
      </c>
      <c r="I60" s="6" t="inlineStr">
        <is>
          <t>攻击伤害</t>
        </is>
      </c>
      <c r="J60" s="6" t="inlineStr">
        <is>
          <t>攻击伤害+5%</t>
        </is>
      </c>
      <c r="K60" s="6" t="n">
        <v>1</v>
      </c>
      <c r="O60" s="6" t="inlineStr">
        <is>
          <t>[[10301,0.05]]</t>
        </is>
      </c>
    </row>
    <row r="61" customFormat="1" s="6">
      <c r="A61" s="6" t="n">
        <v>1002005</v>
      </c>
      <c r="B61" s="6" t="inlineStr">
        <is>
          <t>剑客-天赋5（旧版）</t>
        </is>
      </c>
      <c r="C61" s="6" t="n">
        <v>9</v>
      </c>
      <c r="D61" s="18" t="inlineStr">
        <is>
          <t>1002004|1002006</t>
        </is>
      </c>
      <c r="E61" s="18" t="inlineStr">
        <is>
          <t>0|1115.499</t>
        </is>
      </c>
      <c r="F61" s="18" t="n"/>
      <c r="G61" s="6" t="n">
        <v>1</v>
      </c>
      <c r="H61" s="6" t="inlineStr">
        <is>
          <t>talent/attribute/gongshang</t>
        </is>
      </c>
      <c r="I61" s="6" t="inlineStr">
        <is>
          <t>攻击伤害</t>
        </is>
      </c>
      <c r="J61" s="6" t="inlineStr">
        <is>
          <t>攻击伤害+5%</t>
        </is>
      </c>
      <c r="K61" s="6" t="n">
        <v>1</v>
      </c>
      <c r="O61" s="6" t="inlineStr">
        <is>
          <t>[[10301,0.05]]</t>
        </is>
      </c>
    </row>
    <row r="62" customFormat="1" s="6">
      <c r="A62" s="6" t="n">
        <v>1002006</v>
      </c>
      <c r="B62" s="6" t="inlineStr">
        <is>
          <t>剑客-天赋6（旧版）</t>
        </is>
      </c>
      <c r="C62" s="6" t="n">
        <v>9</v>
      </c>
      <c r="D62" s="18" t="inlineStr">
        <is>
          <t>1002005|1002007</t>
        </is>
      </c>
      <c r="E62" s="18" t="inlineStr">
        <is>
          <t>0|1315.561</t>
        </is>
      </c>
      <c r="F62" s="18" t="n"/>
      <c r="G62" s="6" t="n">
        <v>1</v>
      </c>
      <c r="H62" s="6" t="inlineStr">
        <is>
          <t>talent/attribute/gongshang</t>
        </is>
      </c>
      <c r="I62" s="6" t="inlineStr">
        <is>
          <t>攻击伤害</t>
        </is>
      </c>
      <c r="J62" s="6" t="inlineStr">
        <is>
          <t>攻击伤害+5%</t>
        </is>
      </c>
      <c r="K62" s="6" t="n">
        <v>1</v>
      </c>
      <c r="O62" s="6" t="inlineStr">
        <is>
          <t>[[10301,0.05]]</t>
        </is>
      </c>
    </row>
    <row r="63" customFormat="1" s="6">
      <c r="A63" s="6" t="n">
        <v>1002007</v>
      </c>
      <c r="B63" s="6" t="inlineStr">
        <is>
          <t>剑客-天赋7（旧版）</t>
        </is>
      </c>
      <c r="C63" s="6" t="n">
        <v>9</v>
      </c>
      <c r="D63" s="18" t="inlineStr">
        <is>
          <t>1002006|1002012|1002017|1002022|1002027|1002028|1002032</t>
        </is>
      </c>
      <c r="E63" s="18" t="inlineStr">
        <is>
          <t>0|1659.996</t>
        </is>
      </c>
      <c r="F63" s="18" t="n"/>
      <c r="G63" s="6" t="n">
        <v>3</v>
      </c>
      <c r="H63" s="6" t="inlineStr">
        <is>
          <t>talent/attribute/tianfu</t>
        </is>
      </c>
      <c r="I63" s="6" t="inlineStr">
        <is>
          <t>可选天赋</t>
        </is>
      </c>
      <c r="J63" s="6" t="inlineStr">
        <is>
          <t>激活一个可选天赋</t>
        </is>
      </c>
      <c r="K63" s="6" t="n">
        <v>1</v>
      </c>
    </row>
    <row r="64" customFormat="1" s="6">
      <c r="A64" s="6" t="n">
        <v>1002008</v>
      </c>
      <c r="B64" s="6" t="inlineStr">
        <is>
          <t>剑客-天赋8（旧版）</t>
        </is>
      </c>
      <c r="C64" s="6" t="n">
        <v>9</v>
      </c>
      <c r="D64" s="18" t="inlineStr">
        <is>
          <t>1002003|1002009</t>
        </is>
      </c>
      <c r="E64" s="18" t="inlineStr">
        <is>
          <t>153.553|654.916</t>
        </is>
      </c>
      <c r="F64" s="18" t="n"/>
      <c r="G64" s="6" t="n">
        <v>1</v>
      </c>
      <c r="H64" s="6" t="inlineStr">
        <is>
          <t>talent/attribute/tousheshanghai</t>
        </is>
      </c>
      <c r="I64" s="6" t="inlineStr">
        <is>
          <t>投射伤害</t>
        </is>
      </c>
      <c r="J64" s="6" t="inlineStr">
        <is>
          <t>投射物伤害+10%</t>
        </is>
      </c>
      <c r="K64" s="6" t="n">
        <v>1</v>
      </c>
      <c r="L64" s="6" t="n">
        <v>40001</v>
      </c>
    </row>
    <row r="65" customFormat="1" s="6">
      <c r="A65" s="6" t="n">
        <v>1002009</v>
      </c>
      <c r="B65" s="6" t="inlineStr">
        <is>
          <t>剑客-天赋9（旧版）</t>
        </is>
      </c>
      <c r="C65" s="6" t="n">
        <v>9</v>
      </c>
      <c r="D65" s="18" t="inlineStr">
        <is>
          <t>1002008|100201</t>
        </is>
      </c>
      <c r="E65" s="18" t="inlineStr">
        <is>
          <t>153.553|861.848</t>
        </is>
      </c>
      <c r="F65" s="18" t="n"/>
      <c r="G65" s="6" t="n">
        <v>1</v>
      </c>
      <c r="H65" s="6" t="inlineStr">
        <is>
          <t>talent/attribute/tousheshanghai</t>
        </is>
      </c>
      <c r="I65" s="6" t="inlineStr">
        <is>
          <t>投射伤害</t>
        </is>
      </c>
      <c r="J65" s="6" t="inlineStr">
        <is>
          <t>投射物伤害+15%</t>
        </is>
      </c>
      <c r="K65" s="6" t="n">
        <v>1</v>
      </c>
      <c r="L65" s="6" t="n">
        <v>40002</v>
      </c>
    </row>
    <row r="66" customFormat="1" s="6">
      <c r="A66" s="6" t="n">
        <v>1002010</v>
      </c>
      <c r="B66" s="6" t="inlineStr">
        <is>
          <t>剑客-天赋10（旧版）</t>
        </is>
      </c>
      <c r="C66" s="6" t="n">
        <v>9</v>
      </c>
      <c r="D66" s="18" t="inlineStr">
        <is>
          <t>1002009|1002011</t>
        </is>
      </c>
      <c r="E66" s="18" t="inlineStr">
        <is>
          <t>153.553|1064.205</t>
        </is>
      </c>
      <c r="F66" s="18" t="n"/>
      <c r="G66" s="6" t="n">
        <v>2</v>
      </c>
      <c r="H66" s="6" t="inlineStr">
        <is>
          <t>talent/attribute/tousheshanghai</t>
        </is>
      </c>
      <c r="I66" s="6" t="inlineStr">
        <is>
          <t>投射伤害</t>
        </is>
      </c>
      <c r="J66" s="6" t="inlineStr">
        <is>
          <t>投射物伤害+15%</t>
        </is>
      </c>
      <c r="K66" s="6" t="n">
        <v>1</v>
      </c>
      <c r="L66" s="6" t="n">
        <v>40002</v>
      </c>
    </row>
    <row r="67" customFormat="1" s="6">
      <c r="A67" s="6" t="n">
        <v>1002011</v>
      </c>
      <c r="B67" s="6" t="inlineStr">
        <is>
          <t>剑客-天赋11（旧版）</t>
        </is>
      </c>
      <c r="C67" s="6" t="n">
        <v>9</v>
      </c>
      <c r="D67" s="18" t="inlineStr">
        <is>
          <t>100201|1002012</t>
        </is>
      </c>
      <c r="E67" s="18" t="inlineStr">
        <is>
          <t>153.553|1252.904</t>
        </is>
      </c>
      <c r="F67" s="18" t="n"/>
      <c r="G67" s="6" t="n">
        <v>1</v>
      </c>
      <c r="H67" s="6" t="inlineStr">
        <is>
          <t>talent/attribute/tousheshanghai</t>
        </is>
      </c>
      <c r="I67" s="6" t="inlineStr">
        <is>
          <t>投射伤害</t>
        </is>
      </c>
      <c r="J67" s="6" t="inlineStr">
        <is>
          <t>投射物伤害+15%</t>
        </is>
      </c>
      <c r="K67" s="6" t="n">
        <v>1</v>
      </c>
      <c r="L67" s="6" t="n">
        <v>40002</v>
      </c>
    </row>
    <row r="68" customFormat="1" s="6">
      <c r="A68" s="6" t="n">
        <v>1002012</v>
      </c>
      <c r="B68" s="6" t="inlineStr">
        <is>
          <t>剑客-天赋12（旧版）</t>
        </is>
      </c>
      <c r="C68" s="6" t="n">
        <v>9</v>
      </c>
      <c r="D68" s="18" t="inlineStr">
        <is>
          <t>1002007|1002011</t>
        </is>
      </c>
      <c r="E68" s="18" t="inlineStr">
        <is>
          <t>153.553|1452.97</t>
        </is>
      </c>
      <c r="F68" s="18" t="n"/>
      <c r="G68" s="6" t="n">
        <v>1</v>
      </c>
      <c r="H68" s="6" t="inlineStr">
        <is>
          <t>talent/attribute/tousheshanghai</t>
        </is>
      </c>
      <c r="I68" s="6" t="inlineStr">
        <is>
          <t>投射伤害</t>
        </is>
      </c>
      <c r="J68" s="6" t="inlineStr">
        <is>
          <t>投射物伤害+10%</t>
        </is>
      </c>
      <c r="K68" s="6" t="n">
        <v>1</v>
      </c>
      <c r="L68" s="6" t="n">
        <v>40001</v>
      </c>
    </row>
    <row r="69" customFormat="1" s="6">
      <c r="A69" s="6" t="n">
        <v>1002013</v>
      </c>
      <c r="B69" s="6" t="inlineStr">
        <is>
          <t>剑客-天赋13（旧版）</t>
        </is>
      </c>
      <c r="C69" s="6" t="n">
        <v>9</v>
      </c>
      <c r="D69" s="18" t="inlineStr">
        <is>
          <t>1002003|1002014</t>
        </is>
      </c>
      <c r="E69" s="18" t="inlineStr">
        <is>
          <t>307.106|654.916</t>
        </is>
      </c>
      <c r="F69" s="18" t="n"/>
      <c r="G69" s="6" t="n">
        <v>1</v>
      </c>
      <c r="H69" s="6" t="inlineStr">
        <is>
          <t>talent/attribute/jinzhanshanghai</t>
        </is>
      </c>
      <c r="I69" s="6" t="inlineStr">
        <is>
          <t>近战伤害</t>
        </is>
      </c>
      <c r="J69" s="6" t="inlineStr">
        <is>
          <t>近战伤害+10%</t>
        </is>
      </c>
      <c r="K69" s="6" t="n">
        <v>1</v>
      </c>
      <c r="L69" s="6" t="n">
        <v>40003</v>
      </c>
    </row>
    <row r="70" customFormat="1" s="6">
      <c r="A70" s="6" t="n">
        <v>1002014</v>
      </c>
      <c r="B70" s="6" t="inlineStr">
        <is>
          <t>剑客-天赋14（旧版）</t>
        </is>
      </c>
      <c r="C70" s="6" t="n">
        <v>9</v>
      </c>
      <c r="D70" s="18" t="inlineStr">
        <is>
          <t>1002013|1002015</t>
        </is>
      </c>
      <c r="E70" s="18" t="inlineStr">
        <is>
          <t>307.106|861.848</t>
        </is>
      </c>
      <c r="F70" s="18" t="n"/>
      <c r="G70" s="6" t="n">
        <v>1</v>
      </c>
      <c r="H70" s="6" t="inlineStr">
        <is>
          <t>talent/attribute/jinzhanshanghai</t>
        </is>
      </c>
      <c r="I70" s="6" t="inlineStr">
        <is>
          <t>近战伤害</t>
        </is>
      </c>
      <c r="J70" s="6" t="inlineStr">
        <is>
          <t>近战伤害+15%</t>
        </is>
      </c>
      <c r="K70" s="6" t="n">
        <v>1</v>
      </c>
      <c r="L70" s="6" t="n">
        <v>40004</v>
      </c>
    </row>
    <row r="71" customFormat="1" s="6">
      <c r="A71" s="6" t="n">
        <v>1002015</v>
      </c>
      <c r="B71" s="6" t="inlineStr">
        <is>
          <t>剑客-天赋15（旧版）</t>
        </is>
      </c>
      <c r="C71" s="6" t="n">
        <v>9</v>
      </c>
      <c r="D71" s="18" t="inlineStr">
        <is>
          <t>1002014|1002016</t>
        </is>
      </c>
      <c r="E71" s="18" t="inlineStr">
        <is>
          <t>307.106|1064.205</t>
        </is>
      </c>
      <c r="F71" s="18" t="n"/>
      <c r="G71" s="6" t="n">
        <v>2</v>
      </c>
      <c r="H71" s="6" t="inlineStr">
        <is>
          <t>talent/attribute/jinzhanshanghai</t>
        </is>
      </c>
      <c r="I71" s="6" t="inlineStr">
        <is>
          <t>近战伤害</t>
        </is>
      </c>
      <c r="J71" s="6" t="inlineStr">
        <is>
          <t>近战伤害+15%</t>
        </is>
      </c>
      <c r="K71" s="6" t="n">
        <v>1</v>
      </c>
      <c r="L71" s="6" t="n">
        <v>40004</v>
      </c>
    </row>
    <row r="72" customFormat="1" s="6">
      <c r="A72" s="6" t="n">
        <v>1002016</v>
      </c>
      <c r="B72" s="6" t="inlineStr">
        <is>
          <t>剑客-天赋16（旧版）</t>
        </is>
      </c>
      <c r="C72" s="6" t="n">
        <v>9</v>
      </c>
      <c r="D72" s="18" t="inlineStr">
        <is>
          <t>1002015|1002017</t>
        </is>
      </c>
      <c r="E72" s="18" t="inlineStr">
        <is>
          <t>307.106|1252.904</t>
        </is>
      </c>
      <c r="F72" s="18" t="n"/>
      <c r="G72" s="6" t="n">
        <v>1</v>
      </c>
      <c r="H72" s="6" t="inlineStr">
        <is>
          <t>talent/attribute/jinzhanshanghai</t>
        </is>
      </c>
      <c r="I72" s="6" t="inlineStr">
        <is>
          <t>近战伤害</t>
        </is>
      </c>
      <c r="J72" s="6" t="inlineStr">
        <is>
          <t>近战伤害+15%</t>
        </is>
      </c>
      <c r="K72" s="6" t="n">
        <v>1</v>
      </c>
      <c r="L72" s="6" t="n">
        <v>40004</v>
      </c>
    </row>
    <row r="73" customFormat="1" s="6">
      <c r="A73" s="6" t="n">
        <v>1002017</v>
      </c>
      <c r="B73" s="6" t="inlineStr">
        <is>
          <t>剑客-天赋17（旧版）</t>
        </is>
      </c>
      <c r="C73" s="6" t="n">
        <v>9</v>
      </c>
      <c r="D73" s="18" t="inlineStr">
        <is>
          <t>1002007|1002016</t>
        </is>
      </c>
      <c r="E73" s="18" t="inlineStr">
        <is>
          <t>307.106|1452.97</t>
        </is>
      </c>
      <c r="F73" s="18" t="n"/>
      <c r="G73" s="6" t="n">
        <v>1</v>
      </c>
      <c r="H73" s="6" t="inlineStr">
        <is>
          <t>talent/attribute/jinzhanshanghai</t>
        </is>
      </c>
      <c r="I73" s="6" t="inlineStr">
        <is>
          <t>近战伤害</t>
        </is>
      </c>
      <c r="J73" s="6" t="inlineStr">
        <is>
          <t>近战伤害+10%</t>
        </is>
      </c>
      <c r="K73" s="6" t="n">
        <v>1</v>
      </c>
      <c r="L73" s="6" t="n">
        <v>40003</v>
      </c>
    </row>
    <row r="74" customFormat="1" s="6">
      <c r="A74" s="6" t="n">
        <v>1002018</v>
      </c>
      <c r="B74" s="6" t="inlineStr">
        <is>
          <t>剑客-天赋18（旧版）</t>
        </is>
      </c>
      <c r="C74" s="6" t="n">
        <v>9</v>
      </c>
      <c r="D74" s="18" t="inlineStr">
        <is>
          <t>1002003|1002019</t>
        </is>
      </c>
      <c r="E74" s="18" t="inlineStr">
        <is>
          <t>-153.553|654.916</t>
        </is>
      </c>
      <c r="F74" s="18" t="n"/>
      <c r="G74" s="6" t="n">
        <v>1</v>
      </c>
      <c r="H74" s="6" t="inlineStr">
        <is>
          <t>talent/attribute/yuansushanghai</t>
        </is>
      </c>
      <c r="I74" s="6" t="inlineStr">
        <is>
          <t>元素伤害</t>
        </is>
      </c>
      <c r="J74" s="6" t="inlineStr">
        <is>
          <t>元素伤害+7%</t>
        </is>
      </c>
      <c r="K74" s="6" t="n">
        <v>1</v>
      </c>
      <c r="O74" s="6" t="inlineStr">
        <is>
          <t>[[10308,0.07]]</t>
        </is>
      </c>
    </row>
    <row r="75" customFormat="1" s="6">
      <c r="A75" s="6" t="n">
        <v>1002019</v>
      </c>
      <c r="B75" s="6" t="inlineStr">
        <is>
          <t>剑客-天赋19（旧版）</t>
        </is>
      </c>
      <c r="C75" s="6" t="n">
        <v>9</v>
      </c>
      <c r="D75" s="18" t="inlineStr">
        <is>
          <t>1002018|1002020</t>
        </is>
      </c>
      <c r="E75" s="18" t="inlineStr">
        <is>
          <t>-153.553|861.848</t>
        </is>
      </c>
      <c r="F75" s="18" t="n"/>
      <c r="G75" s="6" t="n">
        <v>1</v>
      </c>
      <c r="H75" s="6" t="inlineStr">
        <is>
          <t>talent/attribute/yuansushanghai</t>
        </is>
      </c>
      <c r="I75" s="6" t="inlineStr">
        <is>
          <t>元素伤害</t>
        </is>
      </c>
      <c r="J75" s="6" t="inlineStr">
        <is>
          <t>元素伤害+10%</t>
        </is>
      </c>
      <c r="K75" s="6" t="n">
        <v>1</v>
      </c>
      <c r="O75" s="6" t="inlineStr">
        <is>
          <t>[[10308,0.1]]</t>
        </is>
      </c>
    </row>
    <row r="76" customFormat="1" s="6">
      <c r="A76" s="6" t="n">
        <v>1002020</v>
      </c>
      <c r="B76" s="6" t="inlineStr">
        <is>
          <t>剑客-天赋20（旧版）</t>
        </is>
      </c>
      <c r="C76" s="6" t="n">
        <v>9</v>
      </c>
      <c r="D76" s="18" t="inlineStr">
        <is>
          <t>1002019|1002021</t>
        </is>
      </c>
      <c r="E76" s="18" t="inlineStr">
        <is>
          <t>-153.553|1064.205</t>
        </is>
      </c>
      <c r="F76" s="18" t="n"/>
      <c r="G76" s="6" t="n">
        <v>2</v>
      </c>
      <c r="H76" s="6" t="inlineStr">
        <is>
          <t>talent/attribute/yuansushanghai</t>
        </is>
      </c>
      <c r="I76" s="6" t="inlineStr">
        <is>
          <t>元素伤害</t>
        </is>
      </c>
      <c r="J76" s="6" t="inlineStr">
        <is>
          <t>元素伤害+15%</t>
        </is>
      </c>
      <c r="K76" s="6" t="n">
        <v>1</v>
      </c>
      <c r="O76" s="6" t="inlineStr">
        <is>
          <t>[[10308,0.15]]</t>
        </is>
      </c>
    </row>
    <row r="77" customFormat="1" s="6">
      <c r="A77" s="6" t="n">
        <v>1002021</v>
      </c>
      <c r="B77" s="6" t="inlineStr">
        <is>
          <t>剑客-天赋21（旧版）</t>
        </is>
      </c>
      <c r="C77" s="6" t="n">
        <v>9</v>
      </c>
      <c r="D77" s="18" t="inlineStr">
        <is>
          <t>1002020|1002022</t>
        </is>
      </c>
      <c r="E77" s="18" t="inlineStr">
        <is>
          <t>-153.553|1252.904</t>
        </is>
      </c>
      <c r="F77" s="18" t="n"/>
      <c r="G77" s="6" t="n">
        <v>1</v>
      </c>
      <c r="H77" s="6" t="inlineStr">
        <is>
          <t>talent/attribute/yuansushanghai</t>
        </is>
      </c>
      <c r="I77" s="6" t="inlineStr">
        <is>
          <t>元素伤害</t>
        </is>
      </c>
      <c r="J77" s="6" t="inlineStr">
        <is>
          <t>元素伤害+10%</t>
        </is>
      </c>
      <c r="K77" s="6" t="n">
        <v>1</v>
      </c>
      <c r="O77" s="6" t="inlineStr">
        <is>
          <t>[[10308,0.1]]</t>
        </is>
      </c>
    </row>
    <row r="78" customFormat="1" s="6">
      <c r="A78" s="6" t="n">
        <v>1002022</v>
      </c>
      <c r="B78" s="6" t="inlineStr">
        <is>
          <t>剑客-天赋22（旧版）</t>
        </is>
      </c>
      <c r="C78" s="6" t="n">
        <v>9</v>
      </c>
      <c r="D78" s="18" t="inlineStr">
        <is>
          <t>1002007|1002021</t>
        </is>
      </c>
      <c r="E78" s="18" t="inlineStr">
        <is>
          <t>-153.553|1452.97</t>
        </is>
      </c>
      <c r="F78" s="18" t="n"/>
      <c r="G78" s="6" t="n">
        <v>1</v>
      </c>
      <c r="H78" s="6" t="inlineStr">
        <is>
          <t>talent/attribute/yuansushanghai</t>
        </is>
      </c>
      <c r="I78" s="6" t="inlineStr">
        <is>
          <t>元素伤害</t>
        </is>
      </c>
      <c r="J78" s="6" t="inlineStr">
        <is>
          <t>元素伤害+7%</t>
        </is>
      </c>
      <c r="K78" s="6" t="n">
        <v>1</v>
      </c>
      <c r="O78" s="6" t="inlineStr">
        <is>
          <t>[[10308,0.07]]</t>
        </is>
      </c>
    </row>
    <row r="79" customFormat="1" s="6">
      <c r="A79" s="6" t="n">
        <v>1002023</v>
      </c>
      <c r="B79" s="6" t="inlineStr">
        <is>
          <t>剑客-天赋23（旧版）</t>
        </is>
      </c>
      <c r="C79" s="6" t="n">
        <v>9</v>
      </c>
      <c r="D79" s="18" t="inlineStr">
        <is>
          <t>1002003|1002024</t>
        </is>
      </c>
      <c r="E79" s="18" t="inlineStr">
        <is>
          <t>-307.106|654.916</t>
        </is>
      </c>
      <c r="F79" s="18" t="n"/>
      <c r="G79" s="6" t="n">
        <v>1</v>
      </c>
      <c r="H79" s="6" t="inlineStr">
        <is>
          <t>talent/attribute/fanweishanghai</t>
        </is>
      </c>
      <c r="I79" s="6" t="inlineStr">
        <is>
          <t>范围伤害</t>
        </is>
      </c>
      <c r="J79" s="6" t="inlineStr">
        <is>
          <t>范围伤害+10%</t>
        </is>
      </c>
      <c r="K79" s="6" t="n">
        <v>1</v>
      </c>
      <c r="L79" s="6" t="n">
        <v>40005</v>
      </c>
    </row>
    <row r="80" customFormat="1" s="6">
      <c r="A80" s="6" t="n">
        <v>1002024</v>
      </c>
      <c r="B80" s="6" t="inlineStr">
        <is>
          <t>剑客-天赋24（旧版）</t>
        </is>
      </c>
      <c r="C80" s="6" t="n">
        <v>9</v>
      </c>
      <c r="D80" s="18" t="inlineStr">
        <is>
          <t>1002023|1002025</t>
        </is>
      </c>
      <c r="E80" s="18" t="inlineStr">
        <is>
          <t>-307.106|861.848</t>
        </is>
      </c>
      <c r="F80" s="18" t="n"/>
      <c r="G80" s="6" t="n">
        <v>1</v>
      </c>
      <c r="H80" s="6" t="inlineStr">
        <is>
          <t>talent/attribute/fanweishanghai</t>
        </is>
      </c>
      <c r="I80" s="6" t="inlineStr">
        <is>
          <t>范围伤害</t>
        </is>
      </c>
      <c r="J80" s="6" t="inlineStr">
        <is>
          <t>范围伤害+15%</t>
        </is>
      </c>
      <c r="K80" s="6" t="n">
        <v>1</v>
      </c>
      <c r="L80" s="6" t="n">
        <v>40006</v>
      </c>
    </row>
    <row r="81" customFormat="1" s="6">
      <c r="A81" s="6" t="n">
        <v>1002025</v>
      </c>
      <c r="B81" s="6" t="inlineStr">
        <is>
          <t>剑客-天赋25（旧版）</t>
        </is>
      </c>
      <c r="C81" s="6" t="n">
        <v>9</v>
      </c>
      <c r="D81" s="18" t="inlineStr">
        <is>
          <t>1002024|1002026</t>
        </is>
      </c>
      <c r="E81" s="18" t="inlineStr">
        <is>
          <t>-307.106|1064.205</t>
        </is>
      </c>
      <c r="F81" s="18" t="n"/>
      <c r="G81" s="6" t="n">
        <v>2</v>
      </c>
      <c r="H81" s="6" t="inlineStr">
        <is>
          <t>talent/attribute/fanweishanghai</t>
        </is>
      </c>
      <c r="I81" s="6" t="inlineStr">
        <is>
          <t>范围伤害</t>
        </is>
      </c>
      <c r="J81" s="6" t="inlineStr">
        <is>
          <t>范围伤害+15%</t>
        </is>
      </c>
      <c r="K81" s="6" t="n">
        <v>1</v>
      </c>
      <c r="L81" s="6" t="n">
        <v>40006</v>
      </c>
    </row>
    <row r="82" customFormat="1" s="6">
      <c r="A82" s="6" t="n">
        <v>1002026</v>
      </c>
      <c r="B82" s="6" t="inlineStr">
        <is>
          <t>剑客-天赋26（旧版）</t>
        </is>
      </c>
      <c r="C82" s="6" t="n">
        <v>9</v>
      </c>
      <c r="D82" s="18" t="inlineStr">
        <is>
          <t>1002025|1002027</t>
        </is>
      </c>
      <c r="E82" s="18" t="inlineStr">
        <is>
          <t>-307.106|1252.904</t>
        </is>
      </c>
      <c r="F82" s="18" t="n"/>
      <c r="G82" s="6" t="n">
        <v>1</v>
      </c>
      <c r="H82" s="6" t="inlineStr">
        <is>
          <t>talent/attribute/fanweishanghai</t>
        </is>
      </c>
      <c r="I82" s="6" t="inlineStr">
        <is>
          <t>范围伤害</t>
        </is>
      </c>
      <c r="J82" s="6" t="inlineStr">
        <is>
          <t>范围伤害+15%</t>
        </is>
      </c>
      <c r="K82" s="6" t="n">
        <v>1</v>
      </c>
      <c r="L82" s="6" t="n">
        <v>40006</v>
      </c>
    </row>
    <row r="83" customFormat="1" s="6">
      <c r="A83" s="6" t="n">
        <v>1002027</v>
      </c>
      <c r="B83" s="6" t="inlineStr">
        <is>
          <t>剑客-天赋27（旧版）</t>
        </is>
      </c>
      <c r="C83" s="6" t="n">
        <v>9</v>
      </c>
      <c r="D83" s="18" t="inlineStr">
        <is>
          <t>1002007|1002026</t>
        </is>
      </c>
      <c r="E83" s="18" t="inlineStr">
        <is>
          <t>-307.106|1452.97</t>
        </is>
      </c>
      <c r="F83" s="18" t="n"/>
      <c r="G83" s="6" t="n">
        <v>1</v>
      </c>
      <c r="H83" s="6" t="inlineStr">
        <is>
          <t>talent/attribute/fanweishanghai</t>
        </is>
      </c>
      <c r="I83" s="6" t="inlineStr">
        <is>
          <t>范围伤害</t>
        </is>
      </c>
      <c r="J83" s="6" t="inlineStr">
        <is>
          <t>范围伤害+10%</t>
        </is>
      </c>
      <c r="K83" s="6" t="n">
        <v>1</v>
      </c>
      <c r="L83" s="6" t="n">
        <v>40005</v>
      </c>
    </row>
    <row r="84" customFormat="1" s="6">
      <c r="A84" s="6" t="n">
        <v>1002028</v>
      </c>
      <c r="B84" s="6" t="inlineStr">
        <is>
          <t>剑客-天赋28（旧版）</t>
        </is>
      </c>
      <c r="C84" s="6" t="n">
        <v>9</v>
      </c>
      <c r="D84" s="18" t="inlineStr">
        <is>
          <t>1002007|1002029</t>
        </is>
      </c>
      <c r="E84" s="18" t="inlineStr">
        <is>
          <t>0|1851.145</t>
        </is>
      </c>
      <c r="F84" s="18" t="n"/>
      <c r="G84" s="6" t="n">
        <v>1</v>
      </c>
      <c r="H84" s="6" t="inlineStr">
        <is>
          <t>talent/attribute/gongsu</t>
        </is>
      </c>
      <c r="I84" s="6" t="inlineStr">
        <is>
          <t>攻击速度</t>
        </is>
      </c>
      <c r="J84" s="6" t="inlineStr">
        <is>
          <t>攻击速度+3%</t>
        </is>
      </c>
      <c r="K84" s="6" t="n">
        <v>1</v>
      </c>
      <c r="L84" s="6" t="n">
        <v>40007</v>
      </c>
    </row>
    <row r="85" customFormat="1" s="6">
      <c r="A85" s="6" t="n">
        <v>1002029</v>
      </c>
      <c r="B85" s="6" t="inlineStr">
        <is>
          <t>剑客-天赋29（旧版）</t>
        </is>
      </c>
      <c r="C85" s="6" t="n">
        <v>9</v>
      </c>
      <c r="D85" s="18" t="inlineStr">
        <is>
          <t>1002028|1002030|1002033|1002038|1002043|1002048</t>
        </is>
      </c>
      <c r="E85" s="18" t="inlineStr">
        <is>
          <t>0|2052.314</t>
        </is>
      </c>
      <c r="F85" s="18" t="n"/>
      <c r="G85" s="6" t="n">
        <v>1</v>
      </c>
      <c r="H85" s="6" t="inlineStr">
        <is>
          <t>talent/attribute/gongsu</t>
        </is>
      </c>
      <c r="I85" s="6" t="inlineStr">
        <is>
          <t>攻击速度</t>
        </is>
      </c>
      <c r="J85" s="6" t="inlineStr">
        <is>
          <t>攻击速度+3%</t>
        </is>
      </c>
      <c r="K85" s="6" t="n">
        <v>1</v>
      </c>
      <c r="L85" s="6" t="n">
        <v>40007</v>
      </c>
    </row>
    <row r="86" customFormat="1" s="6">
      <c r="A86" s="6" t="n">
        <v>1002030</v>
      </c>
      <c r="B86" s="6" t="inlineStr">
        <is>
          <t>剑客-天赋30（旧版）</t>
        </is>
      </c>
      <c r="C86" s="6" t="n">
        <v>9</v>
      </c>
      <c r="D86" s="18" t="inlineStr">
        <is>
          <t>1002029|1002031</t>
        </is>
      </c>
      <c r="E86" s="18" t="inlineStr">
        <is>
          <t>0|2250.981</t>
        </is>
      </c>
      <c r="F86" s="18" t="n"/>
      <c r="G86" s="6" t="n">
        <v>1</v>
      </c>
      <c r="H86" s="6" t="inlineStr">
        <is>
          <t>talent/attribute/gongsu</t>
        </is>
      </c>
      <c r="I86" s="6" t="inlineStr">
        <is>
          <t>攻击速度</t>
        </is>
      </c>
      <c r="J86" s="6" t="inlineStr">
        <is>
          <t>攻击速度+3%</t>
        </is>
      </c>
      <c r="K86" s="6" t="n">
        <v>1</v>
      </c>
      <c r="L86" s="6" t="n">
        <v>40007</v>
      </c>
    </row>
    <row r="87" customFormat="1" s="6">
      <c r="A87" s="6" t="n">
        <v>1002031</v>
      </c>
      <c r="B87" s="6" t="inlineStr">
        <is>
          <t>剑客-天赋31（旧版）</t>
        </is>
      </c>
      <c r="C87" s="6" t="n">
        <v>9</v>
      </c>
      <c r="D87" s="18" t="inlineStr">
        <is>
          <t>1002030|1002032</t>
        </is>
      </c>
      <c r="E87" s="18" t="inlineStr">
        <is>
          <t>0|2450.858</t>
        </is>
      </c>
      <c r="F87" s="18" t="n"/>
      <c r="G87" s="6" t="n">
        <v>1</v>
      </c>
      <c r="H87" s="6" t="inlineStr">
        <is>
          <t>talent/attribute/gongsu</t>
        </is>
      </c>
      <c r="I87" s="6" t="inlineStr">
        <is>
          <t>攻击速度</t>
        </is>
      </c>
      <c r="J87" s="6" t="inlineStr">
        <is>
          <t>攻击速度+3%</t>
        </is>
      </c>
      <c r="K87" s="6" t="n">
        <v>1</v>
      </c>
      <c r="L87" s="6" t="n">
        <v>40007</v>
      </c>
    </row>
    <row r="88" customFormat="1" s="6">
      <c r="A88" s="6" t="n">
        <v>1002032</v>
      </c>
      <c r="B88" s="6" t="inlineStr">
        <is>
          <t>剑客-天赋32（旧版）</t>
        </is>
      </c>
      <c r="C88" s="6" t="n">
        <v>9</v>
      </c>
      <c r="D88" s="18" t="inlineStr">
        <is>
          <t>1002031|1002053</t>
        </is>
      </c>
      <c r="E88" s="18" t="inlineStr">
        <is>
          <t>0|2645.472</t>
        </is>
      </c>
      <c r="F88" s="18" t="n"/>
      <c r="G88" s="6" t="n">
        <v>1</v>
      </c>
      <c r="H88" s="6" t="inlineStr">
        <is>
          <t>talent/attribute/gongsu</t>
        </is>
      </c>
      <c r="I88" s="6" t="inlineStr">
        <is>
          <t>攻击速度</t>
        </is>
      </c>
      <c r="J88" s="6" t="inlineStr">
        <is>
          <t>攻击速度+3%</t>
        </is>
      </c>
      <c r="K88" s="6" t="n">
        <v>1</v>
      </c>
      <c r="L88" s="6" t="n">
        <v>40007</v>
      </c>
    </row>
    <row r="89" customFormat="1" s="6">
      <c r="A89" s="6" t="n">
        <v>1002033</v>
      </c>
      <c r="B89" s="6" t="inlineStr">
        <is>
          <t>剑客-天赋33（旧版）</t>
        </is>
      </c>
      <c r="C89" s="6" t="n">
        <v>9</v>
      </c>
      <c r="D89" s="18" t="inlineStr">
        <is>
          <t>1002029|1002034</t>
        </is>
      </c>
      <c r="E89" s="18" t="inlineStr">
        <is>
          <t>153.553|1991.499</t>
        </is>
      </c>
      <c r="F89" s="18" t="n"/>
      <c r="G89" s="6" t="n">
        <v>1</v>
      </c>
      <c r="H89" s="6" t="inlineStr">
        <is>
          <t>talent/attribute/yisu</t>
        </is>
      </c>
      <c r="I89" s="6" t="inlineStr">
        <is>
          <t>移动速度</t>
        </is>
      </c>
      <c r="J89" s="6" t="inlineStr">
        <is>
          <t>移动速度+3%</t>
        </is>
      </c>
      <c r="K89" s="6" t="n">
        <v>1</v>
      </c>
      <c r="O89" s="6" t="inlineStr">
        <is>
          <t>[[10007,0.03]]</t>
        </is>
      </c>
    </row>
    <row r="90" customFormat="1" s="6">
      <c r="A90" s="6" t="n">
        <v>1002034</v>
      </c>
      <c r="B90" s="6" t="inlineStr">
        <is>
          <t>剑客-天赋34（旧版）</t>
        </is>
      </c>
      <c r="C90" s="6" t="n">
        <v>9</v>
      </c>
      <c r="D90" s="18" t="inlineStr">
        <is>
          <t>1002033|1002035</t>
        </is>
      </c>
      <c r="E90" s="18" t="inlineStr">
        <is>
          <t>153.553|2188.794</t>
        </is>
      </c>
      <c r="F90" s="18" t="n"/>
      <c r="G90" s="6" t="n">
        <v>1</v>
      </c>
      <c r="H90" s="6" t="inlineStr">
        <is>
          <t>talent/attribute/yisu</t>
        </is>
      </c>
      <c r="I90" s="6" t="inlineStr">
        <is>
          <t>移动速度</t>
        </is>
      </c>
      <c r="J90" s="6" t="inlineStr">
        <is>
          <t>移动速度+5%</t>
        </is>
      </c>
      <c r="K90" s="6" t="n">
        <v>1</v>
      </c>
      <c r="O90" s="6" t="inlineStr">
        <is>
          <t>[[10007,0.05]]</t>
        </is>
      </c>
    </row>
    <row r="91" customFormat="1" s="6">
      <c r="A91" s="6" t="n">
        <v>1002035</v>
      </c>
      <c r="B91" s="6" t="inlineStr">
        <is>
          <t>剑客-天赋35（旧版）</t>
        </is>
      </c>
      <c r="C91" s="6" t="n">
        <v>9</v>
      </c>
      <c r="D91" s="18" t="inlineStr">
        <is>
          <t>1002034|1002036</t>
        </is>
      </c>
      <c r="E91" s="18" t="inlineStr">
        <is>
          <t>153.553|2385.825</t>
        </is>
      </c>
      <c r="F91" s="18" t="n"/>
      <c r="G91" s="6" t="n">
        <v>2</v>
      </c>
      <c r="H91" s="6" t="inlineStr">
        <is>
          <t>talent/attribute/yisu</t>
        </is>
      </c>
      <c r="I91" s="6" t="inlineStr">
        <is>
          <t>移动速度</t>
        </is>
      </c>
      <c r="J91" s="6" t="inlineStr">
        <is>
          <t>移动速度+10%</t>
        </is>
      </c>
      <c r="K91" s="6" t="n">
        <v>1</v>
      </c>
      <c r="O91" s="6" t="inlineStr">
        <is>
          <t>[[10007,0.1]]</t>
        </is>
      </c>
    </row>
    <row r="92" customFormat="1" s="6">
      <c r="A92" s="6" t="n">
        <v>1002036</v>
      </c>
      <c r="B92" s="6" t="inlineStr">
        <is>
          <t>剑客-天赋36（旧版）</t>
        </is>
      </c>
      <c r="C92" s="6" t="n">
        <v>9</v>
      </c>
      <c r="D92" s="18" t="inlineStr">
        <is>
          <t>1002035|1002037</t>
        </is>
      </c>
      <c r="E92" s="18" t="inlineStr">
        <is>
          <t>153.553|2581.959</t>
        </is>
      </c>
      <c r="F92" s="18" t="n"/>
      <c r="G92" s="6" t="n">
        <v>1</v>
      </c>
      <c r="H92" s="6" t="inlineStr">
        <is>
          <t>talent/attribute/yisu</t>
        </is>
      </c>
      <c r="I92" s="6" t="inlineStr">
        <is>
          <t>移动速度</t>
        </is>
      </c>
      <c r="J92" s="6" t="inlineStr">
        <is>
          <t>移动速度+5%</t>
        </is>
      </c>
      <c r="K92" s="6" t="n">
        <v>1</v>
      </c>
      <c r="O92" s="6" t="inlineStr">
        <is>
          <t>[[10007,0.05]]</t>
        </is>
      </c>
    </row>
    <row r="93" customFormat="1" s="6">
      <c r="A93" s="6" t="n">
        <v>1002037</v>
      </c>
      <c r="B93" s="6" t="inlineStr">
        <is>
          <t>剑客-天赋37（旧版）</t>
        </is>
      </c>
      <c r="C93" s="6" t="n">
        <v>9</v>
      </c>
      <c r="D93" s="18" t="inlineStr">
        <is>
          <t>1002036|1002053</t>
        </is>
      </c>
      <c r="E93" s="18" t="inlineStr">
        <is>
          <t>153.553|2782.945</t>
        </is>
      </c>
      <c r="F93" s="18" t="n"/>
      <c r="G93" s="6" t="n">
        <v>1</v>
      </c>
      <c r="H93" s="6" t="inlineStr">
        <is>
          <t>talent/attribute/yisu</t>
        </is>
      </c>
      <c r="I93" s="6" t="inlineStr">
        <is>
          <t>移动速度</t>
        </is>
      </c>
      <c r="J93" s="6" t="inlineStr">
        <is>
          <t>移动速度+3%</t>
        </is>
      </c>
      <c r="K93" s="6" t="n">
        <v>1</v>
      </c>
      <c r="O93" s="6" t="inlineStr">
        <is>
          <t>[[10007,0.03]]</t>
        </is>
      </c>
    </row>
    <row r="94" customFormat="1" s="6">
      <c r="A94" s="6" t="n">
        <v>1002038</v>
      </c>
      <c r="B94" s="6" t="inlineStr">
        <is>
          <t>剑客-天赋38（旧版）</t>
        </is>
      </c>
      <c r="C94" s="6" t="n">
        <v>9</v>
      </c>
      <c r="D94" s="18" t="inlineStr">
        <is>
          <t>1002029|1002039</t>
        </is>
      </c>
      <c r="E94" s="18" t="inlineStr">
        <is>
          <t>307.106|1991.499</t>
        </is>
      </c>
      <c r="F94" s="18" t="n"/>
      <c r="G94" s="6" t="n">
        <v>1</v>
      </c>
      <c r="H94" s="6" t="inlineStr">
        <is>
          <t>talent/attribute/dongjie</t>
        </is>
      </c>
      <c r="I94" s="6" t="inlineStr">
        <is>
          <t>冻结</t>
        </is>
      </c>
      <c r="J94" s="6" t="inlineStr">
        <is>
          <t>冻结积蓄+10%</t>
        </is>
      </c>
      <c r="K94" s="6" t="n">
        <v>1</v>
      </c>
      <c r="L94" s="6" t="n">
        <v>40024</v>
      </c>
    </row>
    <row r="95" customFormat="1" s="6">
      <c r="A95" s="6" t="n">
        <v>1002039</v>
      </c>
      <c r="B95" s="6" t="inlineStr">
        <is>
          <t>剑客-天赋39（旧版）</t>
        </is>
      </c>
      <c r="C95" s="6" t="n">
        <v>9</v>
      </c>
      <c r="D95" s="18" t="inlineStr">
        <is>
          <t>1002038|1002040</t>
        </is>
      </c>
      <c r="E95" s="18" t="inlineStr">
        <is>
          <t>307.106|2188.794</t>
        </is>
      </c>
      <c r="F95" s="18" t="n"/>
      <c r="G95" s="6" t="n">
        <v>1</v>
      </c>
      <c r="H95" s="6" t="inlineStr">
        <is>
          <t>talent/attribute/dongjie</t>
        </is>
      </c>
      <c r="I95" s="6" t="inlineStr">
        <is>
          <t>冻结</t>
        </is>
      </c>
      <c r="J95" s="6" t="inlineStr">
        <is>
          <t>冻结积蓄+20%</t>
        </is>
      </c>
      <c r="K95" s="6" t="n">
        <v>1</v>
      </c>
      <c r="L95" s="6" t="n">
        <v>40025</v>
      </c>
    </row>
    <row r="96" customFormat="1" s="6">
      <c r="A96" s="6" t="n">
        <v>1002040</v>
      </c>
      <c r="B96" s="6" t="inlineStr">
        <is>
          <t>剑客-天赋40（旧版）</t>
        </is>
      </c>
      <c r="C96" s="6" t="n">
        <v>9</v>
      </c>
      <c r="D96" s="18" t="inlineStr">
        <is>
          <t>1002039|1002041</t>
        </is>
      </c>
      <c r="E96" s="18" t="inlineStr">
        <is>
          <t>307.106|2385.825</t>
        </is>
      </c>
      <c r="F96" s="18" t="n"/>
      <c r="G96" s="6" t="n">
        <v>2</v>
      </c>
      <c r="H96" s="6" t="inlineStr">
        <is>
          <t>talent/attribute/huodebingshang</t>
        </is>
      </c>
      <c r="I96" s="6" t="inlineStr">
        <is>
          <t>获得冰冷伤害</t>
        </is>
      </c>
      <c r="J96" s="6" t="inlineStr">
        <is>
          <t>获得相当于伤害5%的冰冷伤害</t>
        </is>
      </c>
      <c r="K96" s="6" t="n">
        <v>1</v>
      </c>
      <c r="O96" s="6" t="inlineStr">
        <is>
          <t>[[10502,0.05]]</t>
        </is>
      </c>
    </row>
    <row r="97" customFormat="1" s="6">
      <c r="A97" s="6" t="n">
        <v>1002041</v>
      </c>
      <c r="B97" s="6" t="inlineStr">
        <is>
          <t>剑客-天赋41（旧版）</t>
        </is>
      </c>
      <c r="C97" s="6" t="n">
        <v>9</v>
      </c>
      <c r="D97" s="18" t="inlineStr">
        <is>
          <t>1002040|1002042</t>
        </is>
      </c>
      <c r="E97" s="18" t="inlineStr">
        <is>
          <t>307.106|2581.959</t>
        </is>
      </c>
      <c r="F97" s="18" t="n"/>
      <c r="G97" s="6" t="n">
        <v>1</v>
      </c>
      <c r="H97" s="6" t="inlineStr">
        <is>
          <t>talent/attribute/dongjie</t>
        </is>
      </c>
      <c r="I97" s="6" t="inlineStr">
        <is>
          <t>冻结</t>
        </is>
      </c>
      <c r="J97" s="6" t="inlineStr">
        <is>
          <t>冻结积蓄+20%</t>
        </is>
      </c>
      <c r="K97" s="6" t="n">
        <v>1</v>
      </c>
      <c r="L97" s="6" t="n">
        <v>40025</v>
      </c>
    </row>
    <row r="98" customFormat="1" s="6">
      <c r="A98" s="6" t="n">
        <v>1002042</v>
      </c>
      <c r="B98" s="6" t="inlineStr">
        <is>
          <t>剑客-天赋42（旧版）</t>
        </is>
      </c>
      <c r="C98" s="6" t="n">
        <v>9</v>
      </c>
      <c r="D98" s="18" t="inlineStr">
        <is>
          <t>1002041|1002053</t>
        </is>
      </c>
      <c r="E98" s="18" t="inlineStr">
        <is>
          <t>307.106|2782.945</t>
        </is>
      </c>
      <c r="F98" s="18" t="n"/>
      <c r="G98" s="6" t="n">
        <v>1</v>
      </c>
      <c r="H98" s="6" t="inlineStr">
        <is>
          <t>talent/attribute/dongjie</t>
        </is>
      </c>
      <c r="I98" s="6" t="inlineStr">
        <is>
          <t>冻结</t>
        </is>
      </c>
      <c r="J98" s="6" t="inlineStr">
        <is>
          <t>冻结积蓄+10%</t>
        </is>
      </c>
      <c r="K98" s="6" t="n">
        <v>1</v>
      </c>
      <c r="L98" s="6" t="n">
        <v>40024</v>
      </c>
    </row>
    <row r="99" customFormat="1" s="6">
      <c r="A99" s="6" t="n">
        <v>1002043</v>
      </c>
      <c r="B99" s="6" t="inlineStr">
        <is>
          <t>剑客-天赋43（旧版）</t>
        </is>
      </c>
      <c r="C99" s="6" t="n">
        <v>9</v>
      </c>
      <c r="D99" s="18" t="inlineStr">
        <is>
          <t>1002029|1002044</t>
        </is>
      </c>
      <c r="E99" s="18" t="inlineStr">
        <is>
          <t>-153.553|1991.499</t>
        </is>
      </c>
      <c r="F99" s="18" t="n"/>
      <c r="G99" s="6" t="n">
        <v>1</v>
      </c>
      <c r="H99" s="6" t="inlineStr">
        <is>
          <t>talent/attribute/baoji</t>
        </is>
      </c>
      <c r="I99" s="6" t="inlineStr">
        <is>
          <t>暴击增加</t>
        </is>
      </c>
      <c r="J99" s="6" t="inlineStr">
        <is>
          <t>暴击率增加10%</t>
        </is>
      </c>
      <c r="K99" s="6" t="n">
        <v>1</v>
      </c>
      <c r="L99" s="6" t="n">
        <v>40010</v>
      </c>
    </row>
    <row r="100" customFormat="1" s="6">
      <c r="A100" s="6" t="n">
        <v>1002044</v>
      </c>
      <c r="B100" s="6" t="inlineStr">
        <is>
          <t>剑客-天赋44（旧版）</t>
        </is>
      </c>
      <c r="C100" s="6" t="n">
        <v>9</v>
      </c>
      <c r="D100" s="18" t="inlineStr">
        <is>
          <t>1002043|1002045</t>
        </is>
      </c>
      <c r="E100" s="18" t="inlineStr">
        <is>
          <t>-153.553|2188.794</t>
        </is>
      </c>
      <c r="F100" s="18" t="n"/>
      <c r="G100" s="6" t="n">
        <v>1</v>
      </c>
      <c r="H100" s="6" t="inlineStr">
        <is>
          <t>talent/attribute/baoji</t>
        </is>
      </c>
      <c r="I100" s="6" t="inlineStr">
        <is>
          <t>暴击增加</t>
        </is>
      </c>
      <c r="J100" s="6" t="inlineStr">
        <is>
          <t>暴击率增加15%</t>
        </is>
      </c>
      <c r="K100" s="6" t="n">
        <v>1</v>
      </c>
      <c r="L100" s="6" t="n">
        <v>40011</v>
      </c>
    </row>
    <row r="101" customFormat="1" s="6">
      <c r="A101" s="6" t="n">
        <v>1002045</v>
      </c>
      <c r="B101" s="6" t="inlineStr">
        <is>
          <t>剑客-天赋45（旧版）</t>
        </is>
      </c>
      <c r="C101" s="6" t="n">
        <v>9</v>
      </c>
      <c r="D101" s="18" t="inlineStr">
        <is>
          <t>1002044|1002046</t>
        </is>
      </c>
      <c r="E101" s="18" t="inlineStr">
        <is>
          <t>-153.553|2385.825</t>
        </is>
      </c>
      <c r="F101" s="18" t="n"/>
      <c r="G101" s="6" t="n">
        <v>2</v>
      </c>
      <c r="H101" s="6" t="inlineStr">
        <is>
          <t>talent/attribute/baoji</t>
        </is>
      </c>
      <c r="I101" s="6" t="inlineStr">
        <is>
          <t>暴击率</t>
        </is>
      </c>
      <c r="J101" s="6" t="inlineStr">
        <is>
          <t>暴击率+1%</t>
        </is>
      </c>
      <c r="K101" s="6" t="n">
        <v>1</v>
      </c>
      <c r="O101" s="6" t="inlineStr">
        <is>
          <t>[[10100,0.01]]</t>
        </is>
      </c>
    </row>
    <row r="102" customFormat="1" s="6">
      <c r="A102" s="6" t="n">
        <v>1002046</v>
      </c>
      <c r="B102" s="6" t="inlineStr">
        <is>
          <t>剑客-天赋46（旧版）</t>
        </is>
      </c>
      <c r="C102" s="6" t="n">
        <v>9</v>
      </c>
      <c r="D102" s="18" t="inlineStr">
        <is>
          <t>1002045|1002047</t>
        </is>
      </c>
      <c r="E102" s="18" t="inlineStr">
        <is>
          <t>-153.553|2581.959</t>
        </is>
      </c>
      <c r="F102" s="18" t="n"/>
      <c r="G102" s="6" t="n">
        <v>1</v>
      </c>
      <c r="H102" s="6" t="inlineStr">
        <is>
          <t>talent/attribute/baoji</t>
        </is>
      </c>
      <c r="I102" s="6" t="inlineStr">
        <is>
          <t>暴击增加</t>
        </is>
      </c>
      <c r="J102" s="6" t="inlineStr">
        <is>
          <t>暴击率增加15%</t>
        </is>
      </c>
      <c r="K102" s="6" t="n">
        <v>1</v>
      </c>
      <c r="L102" s="6" t="n">
        <v>40011</v>
      </c>
    </row>
    <row r="103" customFormat="1" s="6">
      <c r="A103" s="6" t="n">
        <v>1002047</v>
      </c>
      <c r="B103" s="6" t="inlineStr">
        <is>
          <t>剑客-天赋47（旧版）</t>
        </is>
      </c>
      <c r="C103" s="6" t="n">
        <v>9</v>
      </c>
      <c r="D103" s="18" t="inlineStr">
        <is>
          <t>1002046|1002053</t>
        </is>
      </c>
      <c r="E103" s="18" t="inlineStr">
        <is>
          <t>-153.553|2782.945</t>
        </is>
      </c>
      <c r="F103" s="18" t="n"/>
      <c r="G103" s="6" t="n">
        <v>1</v>
      </c>
      <c r="H103" s="6" t="inlineStr">
        <is>
          <t>talent/attribute/baoji</t>
        </is>
      </c>
      <c r="I103" s="6" t="inlineStr">
        <is>
          <t>暴击增加</t>
        </is>
      </c>
      <c r="J103" s="6" t="inlineStr">
        <is>
          <t>暴击率增加10%</t>
        </is>
      </c>
      <c r="K103" s="6" t="n">
        <v>1</v>
      </c>
      <c r="L103" s="6" t="n">
        <v>40010</v>
      </c>
    </row>
    <row r="104" customFormat="1" s="6">
      <c r="A104" s="6" t="n">
        <v>1002048</v>
      </c>
      <c r="B104" s="6" t="inlineStr">
        <is>
          <t>剑客-天赋48（旧版）</t>
        </is>
      </c>
      <c r="C104" s="6" t="n">
        <v>9</v>
      </c>
      <c r="D104" s="18" t="inlineStr">
        <is>
          <t>1002029|1002049</t>
        </is>
      </c>
      <c r="E104" s="18" t="inlineStr">
        <is>
          <t>-307.106|1991.499</t>
        </is>
      </c>
      <c r="F104" s="18" t="n"/>
      <c r="G104" s="6" t="n">
        <v>1</v>
      </c>
      <c r="H104" s="6" t="inlineStr">
        <is>
          <t>talent/attribute/baojishanghai</t>
        </is>
      </c>
      <c r="I104" s="6" t="inlineStr">
        <is>
          <t>暴伤增加</t>
        </is>
      </c>
      <c r="J104" s="6" t="inlineStr">
        <is>
          <t>暴击伤害增加10%</t>
        </is>
      </c>
      <c r="K104" s="6" t="n">
        <v>1</v>
      </c>
      <c r="L104" s="6" t="n">
        <v>40012</v>
      </c>
    </row>
    <row r="105" customFormat="1" s="6">
      <c r="A105" s="6" t="n">
        <v>1002049</v>
      </c>
      <c r="B105" s="6" t="inlineStr">
        <is>
          <t>剑客-天赋49（旧版）</t>
        </is>
      </c>
      <c r="C105" s="6" t="n">
        <v>9</v>
      </c>
      <c r="D105" s="18" t="inlineStr">
        <is>
          <t>1002048|1002050</t>
        </is>
      </c>
      <c r="E105" s="18" t="inlineStr">
        <is>
          <t>-307.106|2188.794</t>
        </is>
      </c>
      <c r="F105" s="18" t="n"/>
      <c r="G105" s="6" t="n">
        <v>1</v>
      </c>
      <c r="H105" s="6" t="inlineStr">
        <is>
          <t>talent/attribute/baojishanghai</t>
        </is>
      </c>
      <c r="I105" s="6" t="inlineStr">
        <is>
          <t>暴伤增加</t>
        </is>
      </c>
      <c r="J105" s="6" t="inlineStr">
        <is>
          <t>暴击伤害增加15%</t>
        </is>
      </c>
      <c r="K105" s="6" t="n">
        <v>1</v>
      </c>
      <c r="L105" s="6" t="n">
        <v>40013</v>
      </c>
    </row>
    <row r="106" customFormat="1" s="6">
      <c r="A106" s="6" t="n">
        <v>1002050</v>
      </c>
      <c r="B106" s="6" t="inlineStr">
        <is>
          <t>剑客-天赋50（旧版）</t>
        </is>
      </c>
      <c r="C106" s="6" t="n">
        <v>9</v>
      </c>
      <c r="D106" s="18" t="inlineStr">
        <is>
          <t>1002049|1002051</t>
        </is>
      </c>
      <c r="E106" s="18" t="inlineStr">
        <is>
          <t>-307.106|2385.825</t>
        </is>
      </c>
      <c r="F106" s="18" t="n"/>
      <c r="G106" s="6" t="n">
        <v>2</v>
      </c>
      <c r="H106" s="6" t="inlineStr">
        <is>
          <t>talent/attribute/baojishanghai</t>
        </is>
      </c>
      <c r="I106" s="6" t="inlineStr">
        <is>
          <t>暴击伤害</t>
        </is>
      </c>
      <c r="J106" s="6" t="inlineStr">
        <is>
          <t>暴击伤害+20%</t>
        </is>
      </c>
      <c r="K106" s="6" t="n">
        <v>1</v>
      </c>
      <c r="O106" s="6" t="inlineStr">
        <is>
          <t>[[10200,0.2]]</t>
        </is>
      </c>
    </row>
    <row r="107" customFormat="1" s="6">
      <c r="A107" s="6" t="n">
        <v>1002051</v>
      </c>
      <c r="B107" s="6" t="inlineStr">
        <is>
          <t>剑客-天赋51（旧版）</t>
        </is>
      </c>
      <c r="C107" s="6" t="n">
        <v>9</v>
      </c>
      <c r="D107" s="18" t="inlineStr">
        <is>
          <t>1002050|1002052</t>
        </is>
      </c>
      <c r="E107" s="18" t="inlineStr">
        <is>
          <t>-307.106|2581.959</t>
        </is>
      </c>
      <c r="F107" s="18" t="n"/>
      <c r="G107" s="6" t="n">
        <v>1</v>
      </c>
      <c r="H107" s="6" t="inlineStr">
        <is>
          <t>talent/attribute/baojishanghai</t>
        </is>
      </c>
      <c r="I107" s="6" t="inlineStr">
        <is>
          <t>暴伤增加</t>
        </is>
      </c>
      <c r="J107" s="6" t="inlineStr">
        <is>
          <t>暴击伤害增加15%</t>
        </is>
      </c>
      <c r="K107" s="6" t="n">
        <v>1</v>
      </c>
      <c r="L107" s="6" t="n">
        <v>40013</v>
      </c>
    </row>
    <row r="108" customFormat="1" s="6">
      <c r="A108" s="6" t="n">
        <v>1002052</v>
      </c>
      <c r="B108" s="6" t="inlineStr">
        <is>
          <t>剑客-天赋52（旧版）</t>
        </is>
      </c>
      <c r="C108" s="6" t="n">
        <v>9</v>
      </c>
      <c r="D108" s="18" t="inlineStr">
        <is>
          <t>1002051|1002053</t>
        </is>
      </c>
      <c r="E108" s="18" t="inlineStr">
        <is>
          <t>-307.106|2782.945</t>
        </is>
      </c>
      <c r="F108" s="18" t="n"/>
      <c r="G108" s="6" t="n">
        <v>1</v>
      </c>
      <c r="H108" s="6" t="inlineStr">
        <is>
          <t>talent/attribute/baojishanghai</t>
        </is>
      </c>
      <c r="I108" s="6" t="inlineStr">
        <is>
          <t>暴伤增加</t>
        </is>
      </c>
      <c r="J108" s="6" t="inlineStr">
        <is>
          <t>暴击伤害增加10%</t>
        </is>
      </c>
      <c r="K108" s="6" t="n">
        <v>1</v>
      </c>
      <c r="L108" s="6" t="n">
        <v>40012</v>
      </c>
    </row>
    <row r="109" customFormat="1" s="6">
      <c r="A109" s="6" t="n">
        <v>1002053</v>
      </c>
      <c r="B109" s="6" t="inlineStr">
        <is>
          <t>剑客-天赋53（旧版）</t>
        </is>
      </c>
      <c r="C109" s="6" t="n">
        <v>9</v>
      </c>
      <c r="D109" s="18" t="inlineStr">
        <is>
          <t>1002032|1002037|1002042|1002047|1002052</t>
        </is>
      </c>
      <c r="E109" s="18" t="inlineStr">
        <is>
          <t>0|2945.874</t>
        </is>
      </c>
      <c r="F109" s="18" t="n"/>
      <c r="G109" s="6" t="n">
        <v>3</v>
      </c>
      <c r="H109" s="6" t="inlineStr">
        <is>
          <t>talent/attribute/tianfu</t>
        </is>
      </c>
      <c r="I109" s="6" t="inlineStr">
        <is>
          <t>可选天赋</t>
        </is>
      </c>
      <c r="J109" s="6" t="inlineStr">
        <is>
          <t>激活一个可选天赋</t>
        </is>
      </c>
      <c r="K109" s="6" t="n">
        <v>1</v>
      </c>
    </row>
    <row r="110" ht="15.95" customFormat="1" customHeight="1" s="7">
      <c r="A110" s="7" t="n">
        <v>1003002</v>
      </c>
      <c r="B110" s="7" t="inlineStr">
        <is>
          <t>剑客1-天赋2</t>
        </is>
      </c>
      <c r="C110" s="7" t="n">
        <v>2</v>
      </c>
      <c r="D110" s="19" t="inlineStr">
        <is>
          <t>1003010|1003006|1003012</t>
        </is>
      </c>
      <c r="E110" s="19" t="inlineStr">
        <is>
          <t>240|-250</t>
        </is>
      </c>
      <c r="F110" s="19" t="n"/>
      <c r="G110" s="7" t="n">
        <v>2</v>
      </c>
      <c r="H110" s="7" t="inlineStr">
        <is>
          <t>talent/skill/kuaigong</t>
        </is>
      </c>
      <c r="I110" s="7" t="inlineStr">
        <is>
          <t>唯快不破</t>
        </is>
      </c>
      <c r="J110" s="7" t="inlineStr">
        <is>
          <t>第一个技能获得攻击速度额外提高20%</t>
        </is>
      </c>
      <c r="K110" s="7" t="n">
        <v>1</v>
      </c>
      <c r="L110" s="7" t="n">
        <v>10085</v>
      </c>
      <c r="M110" s="7" t="inlineStr">
        <is>
          <t>[[0.2]]</t>
        </is>
      </c>
    </row>
    <row r="111" ht="15.95" customFormat="1" customHeight="1" s="7">
      <c r="A111" s="7" t="n">
        <v>1003004</v>
      </c>
      <c r="B111" s="7" t="inlineStr">
        <is>
          <t>剑客1-天赋4</t>
        </is>
      </c>
      <c r="C111" s="7" t="n">
        <v>2</v>
      </c>
      <c r="D111" s="19" t="inlineStr">
        <is>
          <t>1003010</t>
        </is>
      </c>
      <c r="E111" s="19" t="inlineStr">
        <is>
          <t>0|-100</t>
        </is>
      </c>
      <c r="F111" s="19" t="n"/>
      <c r="G111" s="7" t="n">
        <v>2</v>
      </c>
      <c r="H111" s="7" t="inlineStr">
        <is>
          <t>talent/skill/kanpo</t>
        </is>
      </c>
      <c r="I111" s="7" t="inlineStr">
        <is>
          <t>我麻了</t>
        </is>
      </c>
      <c r="J111" s="7" t="inlineStr">
        <is>
          <t>对自身造成感电效果，攻击速度/施法速度提高50%</t>
        </is>
      </c>
      <c r="K111" s="7" t="n">
        <v>1</v>
      </c>
      <c r="N111" s="7" t="n">
        <v>2150000410</v>
      </c>
    </row>
    <row r="112" ht="15.95" customFormat="1" customHeight="1" s="7">
      <c r="A112" s="7" t="n">
        <v>1003006</v>
      </c>
      <c r="B112" s="7" t="inlineStr">
        <is>
          <t>剑客1-天赋6</t>
        </is>
      </c>
      <c r="C112" s="7" t="n">
        <v>2</v>
      </c>
      <c r="D112" s="19" t="inlineStr">
        <is>
          <t>1003002|1003008</t>
        </is>
      </c>
      <c r="E112" s="19" t="inlineStr">
        <is>
          <t>-240|-100</t>
        </is>
      </c>
      <c r="F112" s="19" t="n"/>
      <c r="G112" s="7" t="n">
        <v>2</v>
      </c>
      <c r="H112" s="7" t="inlineStr">
        <is>
          <t>talent/skill/liufeng</t>
        </is>
      </c>
      <c r="I112" s="7" t="inlineStr">
        <is>
          <t>速度与激情</t>
        </is>
      </c>
      <c r="J112" s="7" t="inlineStr">
        <is>
          <t>对于移动速度的增加或减少的20% 同时作用于额外攻击伤害，最多额外+30% 攻击伤害</t>
        </is>
      </c>
      <c r="K112" s="7" t="n">
        <v>1</v>
      </c>
      <c r="L112" s="7" t="n">
        <v>10089</v>
      </c>
      <c r="M112" s="7" t="inlineStr">
        <is>
          <t>[[0.2]]</t>
        </is>
      </c>
    </row>
    <row r="113" ht="15.95" customFormat="1" customHeight="1" s="7">
      <c r="A113" s="7" t="n">
        <v>1003008</v>
      </c>
      <c r="B113" s="7" t="inlineStr">
        <is>
          <t>剑客1-天赋8</t>
        </is>
      </c>
      <c r="C113" s="7" t="n">
        <v>2</v>
      </c>
      <c r="D113" s="19" t="n">
        <v>1003006</v>
      </c>
      <c r="E113" s="19" t="inlineStr">
        <is>
          <t>-240|150</t>
        </is>
      </c>
      <c r="F113" s="19" t="n"/>
      <c r="G113" s="7" t="n">
        <v>2</v>
      </c>
      <c r="H113" s="7" t="inlineStr">
        <is>
          <t>talent/skill/jihan</t>
        </is>
      </c>
      <c r="I113" s="7" t="inlineStr">
        <is>
          <t>脚底抹油</t>
        </is>
      </c>
      <c r="J113" s="7" t="inlineStr">
        <is>
          <t>移动速度增加大于100%时，受到伤害额外减少5%</t>
        </is>
      </c>
      <c r="K113" s="7" t="n">
        <v>1</v>
      </c>
      <c r="N113" s="7" t="n">
        <v>2150000430</v>
      </c>
    </row>
    <row r="114" ht="15.95" customFormat="1" customHeight="1" s="7">
      <c r="A114" s="7" t="n">
        <v>1003010</v>
      </c>
      <c r="B114" s="7" t="inlineStr">
        <is>
          <t>剑客1-天赋10</t>
        </is>
      </c>
      <c r="C114" s="7" t="n">
        <v>2</v>
      </c>
      <c r="D114" s="19" t="inlineStr">
        <is>
          <t>1003002|1003004</t>
        </is>
      </c>
      <c r="E114" s="19" t="inlineStr">
        <is>
          <t>0|150</t>
        </is>
      </c>
      <c r="F114" s="19" t="n"/>
      <c r="G114" s="7" t="n">
        <v>2</v>
      </c>
      <c r="H114" s="7" t="inlineStr">
        <is>
          <t>talent/skill/baoxue</t>
        </is>
      </c>
      <c r="I114" s="7" t="inlineStr">
        <is>
          <t>偶尔漏电</t>
        </is>
      </c>
      <c r="J114" s="7" t="inlineStr">
        <is>
          <t>攻击伤害击中时，有10%的几率触发10级[电圈]</t>
        </is>
      </c>
      <c r="K114" s="7" t="n">
        <v>1</v>
      </c>
      <c r="N114" s="7" t="n">
        <v>2150000440</v>
      </c>
    </row>
    <row r="115" ht="15.95" customFormat="1" customHeight="1" s="7">
      <c r="A115" s="7" t="n">
        <v>1003012</v>
      </c>
      <c r="B115" s="7" t="inlineStr">
        <is>
          <t>剑客1-天赋12</t>
        </is>
      </c>
      <c r="C115" s="7" t="n">
        <v>2</v>
      </c>
      <c r="D115" s="19" t="inlineStr">
        <is>
          <t>1003002|1003014</t>
        </is>
      </c>
      <c r="E115" s="19" t="inlineStr">
        <is>
          <t>240|150</t>
        </is>
      </c>
      <c r="F115" s="19" t="n"/>
      <c r="G115" s="7" t="n">
        <v>2</v>
      </c>
      <c r="H115" s="7" t="inlineStr">
        <is>
          <t>talent/skill/xinyan</t>
        </is>
      </c>
      <c r="I115" s="7" t="inlineStr">
        <is>
          <t>上头</t>
        </is>
      </c>
      <c r="J115" s="7" t="inlineStr">
        <is>
          <t>10秒内连续释放4次攻击技能时获得[心眼]状态\n[心眼]：攻击速度额外增加8%；技能范围额外增加8%，上限为3层，持续2秒</t>
        </is>
      </c>
      <c r="K115" s="7" t="n">
        <v>1</v>
      </c>
      <c r="L115" s="7" t="n"/>
      <c r="M115" s="7" t="n"/>
      <c r="N115" s="7" t="n">
        <v>2150000010</v>
      </c>
    </row>
    <row r="116" ht="15.95" customFormat="1" customHeight="1" s="7">
      <c r="A116" s="7" t="n">
        <v>1003014</v>
      </c>
      <c r="B116" s="7" t="inlineStr">
        <is>
          <t>剑客1-天赋14</t>
        </is>
      </c>
      <c r="C116" s="7" t="n">
        <v>2</v>
      </c>
      <c r="D116" s="19" t="n">
        <v>1003012</v>
      </c>
      <c r="E116" s="19" t="inlineStr">
        <is>
          <t>240|450</t>
        </is>
      </c>
      <c r="F116" s="19" t="n"/>
      <c r="G116" s="7" t="n">
        <v>2</v>
      </c>
      <c r="H116" s="7" t="inlineStr">
        <is>
          <t>talent/skill/wuxin</t>
        </is>
      </c>
      <c r="I116" s="7" t="inlineStr">
        <is>
          <t>一刀999</t>
        </is>
      </c>
      <c r="J116" s="7" t="inlineStr">
        <is>
          <t>心眼达到层数上限时，获得[巅峰]\n[巅峰]:向前斩击造成999%的攻击物理伤害，冷却时间5秒</t>
        </is>
      </c>
      <c r="K116" s="7" t="n">
        <v>1</v>
      </c>
      <c r="L116" s="7" t="n"/>
      <c r="M116" s="7" t="n"/>
      <c r="N116" s="7" t="n">
        <v>2150000020</v>
      </c>
    </row>
    <row r="117" ht="15.95" customFormat="1" customHeight="1" s="8">
      <c r="A117" s="8" t="n">
        <v>1005002</v>
      </c>
      <c r="B117" s="8" t="inlineStr">
        <is>
          <t>巫术魔典-天赋2</t>
        </is>
      </c>
      <c r="C117" s="8" t="n">
        <v>6</v>
      </c>
      <c r="D117" s="20" t="inlineStr">
        <is>
          <t>1005004|1005008|1005010</t>
        </is>
      </c>
      <c r="E117" s="20" t="inlineStr">
        <is>
          <t>0|450</t>
        </is>
      </c>
      <c r="F117" s="20" t="n"/>
      <c r="G117" s="8" t="n">
        <v>2</v>
      </c>
      <c r="H117" s="8" t="inlineStr">
        <is>
          <t>talent/skill/zhongdu07</t>
        </is>
      </c>
      <c r="I117" s="8" t="inlineStr">
        <is>
          <t>毒爆蔓延</t>
        </is>
      </c>
      <c r="J117" s="8" t="inlineStr">
        <is>
          <t>中毒目标被击败时10%几率爆炸，对半径3米内的敌人造成被击败的敌人最大生命 125% 的混沌伤害</t>
        </is>
      </c>
      <c r="K117" s="8" t="n">
        <v>1</v>
      </c>
      <c r="L117" s="8" t="n"/>
      <c r="M117" s="8" t="n"/>
      <c r="N117" s="8" t="n">
        <v>2120000040</v>
      </c>
    </row>
    <row r="118" ht="15.95" customFormat="1" customHeight="1" s="8">
      <c r="A118" s="8" t="n">
        <v>1005004</v>
      </c>
      <c r="B118" s="8" t="inlineStr">
        <is>
          <t>巫术魔典-天赋4</t>
        </is>
      </c>
      <c r="C118" s="8" t="n">
        <v>6</v>
      </c>
      <c r="D118" s="20" t="inlineStr">
        <is>
          <t>1005002|1005006|1005012|1005014</t>
        </is>
      </c>
      <c r="E118" s="20" t="inlineStr">
        <is>
          <t>0|150</t>
        </is>
      </c>
      <c r="F118" s="20" t="n"/>
      <c r="G118" s="8" t="n">
        <v>2</v>
      </c>
      <c r="H118" s="8" t="inlineStr">
        <is>
          <t>talent/skill/zhongdu03</t>
        </is>
      </c>
      <c r="I118" s="8" t="inlineStr">
        <is>
          <t>剧毒倍化</t>
        </is>
      </c>
      <c r="J118" s="8" t="inlineStr">
        <is>
          <t>中毒层数上限翻倍，中毒持续时间总降 50%</t>
        </is>
      </c>
      <c r="K118" s="8" t="n">
        <v>1</v>
      </c>
      <c r="L118" s="8" t="n">
        <v>10103</v>
      </c>
    </row>
    <row r="119" ht="15.95" customFormat="1" customHeight="1" s="8">
      <c r="A119" s="8" t="n">
        <v>1005006</v>
      </c>
      <c r="B119" s="8" t="inlineStr">
        <is>
          <t>巫术魔典-天赋6</t>
        </is>
      </c>
      <c r="C119" s="8" t="n">
        <v>6</v>
      </c>
      <c r="D119" s="20" t="n">
        <v>1005004</v>
      </c>
      <c r="E119" s="20" t="inlineStr">
        <is>
          <t>0|-250</t>
        </is>
      </c>
      <c r="F119" s="20" t="n"/>
      <c r="G119" s="8" t="n">
        <v>2</v>
      </c>
      <c r="H119" s="8" t="inlineStr">
        <is>
          <t>talent/skill/zhongdu08</t>
        </is>
      </c>
      <c r="I119" s="8" t="inlineStr">
        <is>
          <t>万伤成毒</t>
        </is>
      </c>
      <c r="J119" s="8" t="inlineStr">
        <is>
          <t>所有伤害均造成中毒</t>
        </is>
      </c>
      <c r="K119" s="8" t="n">
        <v>1</v>
      </c>
      <c r="L119" s="8" t="n">
        <v>10105</v>
      </c>
    </row>
    <row r="120" ht="15.95" customFormat="1" customHeight="1" s="8">
      <c r="A120" s="8" t="n">
        <v>1005008</v>
      </c>
      <c r="B120" s="8" t="inlineStr">
        <is>
          <t>巫术魔典-天赋8</t>
        </is>
      </c>
      <c r="C120" s="8" t="n">
        <v>6</v>
      </c>
      <c r="D120" s="20" t="n">
        <v>1005002</v>
      </c>
      <c r="E120" s="20" t="inlineStr">
        <is>
          <t>-180|150</t>
        </is>
      </c>
      <c r="F120" s="20" t="n"/>
      <c r="G120" s="8" t="n">
        <v>2</v>
      </c>
      <c r="H120" s="8" t="inlineStr">
        <is>
          <t>talent/skill/zhongdu05</t>
        </is>
      </c>
      <c r="I120" s="8" t="inlineStr">
        <is>
          <t>伤势缓冲</t>
        </is>
      </c>
      <c r="J120" s="8" t="inlineStr">
        <is>
          <t>获得30%的受伤缓冲</t>
        </is>
      </c>
      <c r="K120" s="8" t="n">
        <v>1</v>
      </c>
      <c r="L120" s="8" t="n"/>
      <c r="O120" s="8" t="inlineStr">
        <is>
          <t>[[11042,0.3]]</t>
        </is>
      </c>
    </row>
    <row r="121" ht="15.95" customFormat="1" customHeight="1" s="8">
      <c r="A121" s="8" t="n">
        <v>1005010</v>
      </c>
      <c r="B121" s="8" t="inlineStr">
        <is>
          <t>巫术魔典-天赋10</t>
        </is>
      </c>
      <c r="C121" s="8" t="n">
        <v>6</v>
      </c>
      <c r="D121" s="20" t="n">
        <v>1005002</v>
      </c>
      <c r="E121" s="20" t="inlineStr">
        <is>
          <t>180|150</t>
        </is>
      </c>
      <c r="F121" s="20" t="n"/>
      <c r="G121" s="8" t="n">
        <v>2</v>
      </c>
      <c r="H121" s="8" t="inlineStr">
        <is>
          <t>talent/skill/zhongdu06</t>
        </is>
      </c>
      <c r="I121" s="8" t="inlineStr">
        <is>
          <t>剧毒加深</t>
        </is>
      </c>
      <c r="J121" s="8" t="inlineStr">
        <is>
          <t>中毒层数上限+1</t>
        </is>
      </c>
      <c r="K121" s="8" t="n">
        <v>1</v>
      </c>
      <c r="L121" s="8" t="n"/>
      <c r="M121" s="8" t="n"/>
      <c r="O121" s="8" t="inlineStr">
        <is>
          <t>[[11046,1]]</t>
        </is>
      </c>
    </row>
    <row r="122" ht="15.95" customFormat="1" customHeight="1" s="8">
      <c r="A122" s="8" t="n">
        <v>1005012</v>
      </c>
      <c r="B122" s="8" t="inlineStr">
        <is>
          <t>巫术魔典-天赋12</t>
        </is>
      </c>
      <c r="C122" s="8" t="n">
        <v>6</v>
      </c>
      <c r="D122" s="20" t="n">
        <v>1005004</v>
      </c>
      <c r="E122" s="20" t="inlineStr">
        <is>
          <t>-260|-250</t>
        </is>
      </c>
      <c r="F122" s="20" t="n"/>
      <c r="G122" s="8" t="n">
        <v>2</v>
      </c>
      <c r="H122" s="8" t="inlineStr">
        <is>
          <t>talent/skill/zhongdu02</t>
        </is>
      </c>
      <c r="I122" s="8" t="inlineStr">
        <is>
          <t>余响复诵</t>
        </is>
      </c>
      <c r="J122" s="8" t="inlineStr">
        <is>
          <t>对中毒目标获得额外12%的元素伤害</t>
        </is>
      </c>
      <c r="K122" s="8" t="n">
        <v>1</v>
      </c>
      <c r="L122" s="8" t="n">
        <v>10281</v>
      </c>
    </row>
    <row r="123" ht="15.95" customFormat="1" customHeight="1" s="8">
      <c r="A123" s="8" t="n">
        <v>1005014</v>
      </c>
      <c r="B123" s="8" t="inlineStr">
        <is>
          <t>巫术魔典-天赋14</t>
        </is>
      </c>
      <c r="C123" s="8" t="n">
        <v>6</v>
      </c>
      <c r="D123" s="20" t="n">
        <v>1005004</v>
      </c>
      <c r="E123" s="20" t="inlineStr">
        <is>
          <t>260|-250</t>
        </is>
      </c>
      <c r="F123" s="20" t="n"/>
      <c r="G123" s="8" t="n">
        <v>2</v>
      </c>
      <c r="H123" s="8" t="inlineStr">
        <is>
          <t>talent/skill/zhongdu04</t>
        </is>
      </c>
      <c r="I123" s="8" t="inlineStr">
        <is>
          <t>毒咒侵蚀</t>
        </is>
      </c>
      <c r="J123" s="8" t="inlineStr">
        <is>
          <t>法术击中时+25%中毒几率，中毒效果额外提高40%</t>
        </is>
      </c>
      <c r="K123" s="8" t="n">
        <v>1</v>
      </c>
      <c r="L123" s="8" t="n">
        <v>10130</v>
      </c>
    </row>
    <row r="124" ht="18.95" customFormat="1" customHeight="1" s="9">
      <c r="A124" s="9" t="n">
        <v>1004002</v>
      </c>
      <c r="B124" s="9" t="inlineStr">
        <is>
          <t>幻影魔典-天赋2</t>
        </is>
      </c>
      <c r="C124" s="9" t="n">
        <v>5</v>
      </c>
      <c r="D124" s="9" t="inlineStr">
        <is>
          <t>1004004|1004012|1004014</t>
        </is>
      </c>
      <c r="E124" s="9" t="inlineStr">
        <is>
          <t>0|450</t>
        </is>
      </c>
      <c r="F124" s="9" t="n"/>
      <c r="G124" s="9" t="n">
        <v>2</v>
      </c>
      <c r="H124" s="9" t="inlineStr">
        <is>
          <t>talent/skill/huanying02</t>
        </is>
      </c>
      <c r="I124" s="9" t="inlineStr">
        <is>
          <t>幻影残响</t>
        </is>
      </c>
      <c r="J124" s="9" t="inlineStr">
        <is>
          <t>使用法术技能造成伤害后，在原地生成“幻影”，持续4秒，冷却10秒，幻影上限为1\n幻影造成原技能伤害的40%</t>
        </is>
      </c>
      <c r="K124" s="9" t="n">
        <v>1</v>
      </c>
      <c r="N124" s="9" t="n">
        <v>2120000020</v>
      </c>
    </row>
    <row r="125" ht="18.95" customFormat="1" customHeight="1" s="9">
      <c r="A125" s="9" t="n">
        <v>1004004</v>
      </c>
      <c r="B125" s="9" t="inlineStr">
        <is>
          <t>幻影魔典-天赋4</t>
        </is>
      </c>
      <c r="C125" s="9" t="n">
        <v>5</v>
      </c>
      <c r="D125" s="9" t="inlineStr">
        <is>
          <t>1004002|1004006|1004008|1004010</t>
        </is>
      </c>
      <c r="E125" s="9" t="inlineStr">
        <is>
          <t>0|230</t>
        </is>
      </c>
      <c r="F125" s="9" t="n"/>
      <c r="G125" s="9" t="n">
        <v>2</v>
      </c>
      <c r="H125" s="9" t="inlineStr">
        <is>
          <t>talent/skill/huanying03</t>
        </is>
      </c>
      <c r="I125" s="9" t="inlineStr">
        <is>
          <t>急速回流</t>
        </is>
      </c>
      <c r="J125" s="9" t="inlineStr">
        <is>
          <t>每有 +5% 冷却回复速度，+8%施法速度，上限50%</t>
        </is>
      </c>
      <c r="K125" s="9" t="n">
        <v>1</v>
      </c>
      <c r="L125" s="9" t="n">
        <v>10099</v>
      </c>
    </row>
    <row r="126" ht="18.95" customFormat="1" customHeight="1" s="9">
      <c r="A126" s="9" t="n">
        <v>1004006</v>
      </c>
      <c r="B126" s="9" t="inlineStr">
        <is>
          <t>幻影魔典-天赋6</t>
        </is>
      </c>
      <c r="C126" s="9" t="n">
        <v>5</v>
      </c>
      <c r="D126" s="9" t="n">
        <v>1004004</v>
      </c>
      <c r="E126" s="9" t="inlineStr">
        <is>
          <t>-160|-250</t>
        </is>
      </c>
      <c r="F126" s="9" t="n"/>
      <c r="G126" s="9" t="n">
        <v>2</v>
      </c>
      <c r="H126" s="9" t="inlineStr">
        <is>
          <t>talent/skill/huanying04</t>
        </is>
      </c>
      <c r="I126" s="9" t="inlineStr">
        <is>
          <t>常驻分身</t>
        </is>
      </c>
      <c r="J126" s="9" t="inlineStr">
        <is>
          <t>自身无法释放核心技能，[幻影残响]产生的幻影变更为常驻形态，且所有幻影跟随移动并释放核心技能1，幻影残响的幻影上限+1</t>
        </is>
      </c>
      <c r="K126" s="9" t="n">
        <v>1</v>
      </c>
      <c r="L126" s="9" t="inlineStr">
        <is>
          <t>10098|10134</t>
        </is>
      </c>
    </row>
    <row r="127" ht="18.95" customFormat="1" customHeight="1" s="9">
      <c r="A127" s="9" t="n">
        <v>1004008</v>
      </c>
      <c r="B127" s="9" t="inlineStr">
        <is>
          <t>幻影魔典-天赋8</t>
        </is>
      </c>
      <c r="C127" s="9" t="n">
        <v>5</v>
      </c>
      <c r="D127" s="9" t="n">
        <v>1004004</v>
      </c>
      <c r="E127" s="9" t="inlineStr">
        <is>
          <t>160|-250</t>
        </is>
      </c>
      <c r="F127" s="9" t="n"/>
      <c r="G127" s="9" t="n">
        <v>2</v>
      </c>
      <c r="H127" s="9" t="inlineStr">
        <is>
          <t>talent/skill/huanying05</t>
        </is>
      </c>
      <c r="I127" s="9" t="inlineStr">
        <is>
          <t>虚影增幅</t>
        </is>
      </c>
      <c r="J127" s="9" t="inlineStr">
        <is>
          <t>对于施法速度加成的50%同样作用于幻影的额外伤害，上限 300%</t>
        </is>
      </c>
      <c r="K127" s="9" t="n">
        <v>1</v>
      </c>
      <c r="L127" s="9" t="n">
        <v>10100</v>
      </c>
    </row>
    <row r="128" ht="18.95" customFormat="1" customHeight="1" s="9">
      <c r="A128" s="9" t="n">
        <v>1004010</v>
      </c>
      <c r="B128" s="9" t="inlineStr">
        <is>
          <t>幻影魔典-天赋10</t>
        </is>
      </c>
      <c r="C128" s="9" t="n">
        <v>5</v>
      </c>
      <c r="D128" s="9" t="n">
        <v>1004004</v>
      </c>
      <c r="E128" s="9" t="inlineStr">
        <is>
          <t>0|0</t>
        </is>
      </c>
      <c r="F128" s="9" t="n"/>
      <c r="G128" s="9" t="n">
        <v>2</v>
      </c>
      <c r="H128" s="9" t="inlineStr">
        <is>
          <t>talent/skill/huanying06</t>
        </is>
      </c>
      <c r="I128" s="9" t="inlineStr">
        <is>
          <t>幻影重重</t>
        </is>
      </c>
      <c r="J128" s="9" t="inlineStr">
        <is>
          <t>幻影数量+1</t>
        </is>
      </c>
      <c r="K128" s="9" t="n">
        <v>1</v>
      </c>
      <c r="L128" s="9" t="n">
        <v>10077</v>
      </c>
      <c r="M128" s="9" t="inlineStr">
        <is>
          <t>[[1]]</t>
        </is>
      </c>
    </row>
    <row r="129" ht="18.95" customFormat="1" customHeight="1" s="9">
      <c r="A129" s="9" t="n">
        <v>1004012</v>
      </c>
      <c r="B129" s="9" t="inlineStr">
        <is>
          <t>幻影魔典-天赋12</t>
        </is>
      </c>
      <c r="C129" s="9" t="n">
        <v>5</v>
      </c>
      <c r="D129" s="9" t="n">
        <v>1004002</v>
      </c>
      <c r="E129" s="9" t="inlineStr">
        <is>
          <t>-240|230</t>
        </is>
      </c>
      <c r="F129" s="9" t="n"/>
      <c r="G129" s="9" t="n">
        <v>2</v>
      </c>
      <c r="H129" s="9" t="inlineStr">
        <is>
          <t>talent/skill/huanying07</t>
        </is>
      </c>
      <c r="I129" s="9" t="inlineStr">
        <is>
          <t>幻影疾咏</t>
        </is>
      </c>
      <c r="J129" s="9" t="inlineStr">
        <is>
          <t>+40% “幻影”的施法速度</t>
        </is>
      </c>
      <c r="K129" s="9" t="n">
        <v>1</v>
      </c>
      <c r="L129" s="9" t="n">
        <v>10097</v>
      </c>
    </row>
    <row r="130" ht="18.95" customFormat="1" customHeight="1" s="9">
      <c r="A130" s="9" t="n">
        <v>1004014</v>
      </c>
      <c r="B130" s="9" t="inlineStr">
        <is>
          <t>幻影魔典-天赋14</t>
        </is>
      </c>
      <c r="C130" s="9" t="n">
        <v>5</v>
      </c>
      <c r="D130" s="9" t="n">
        <v>1004002</v>
      </c>
      <c r="E130" s="9" t="inlineStr">
        <is>
          <t>240|230</t>
        </is>
      </c>
      <c r="F130" s="9" t="n"/>
      <c r="G130" s="9" t="n">
        <v>2</v>
      </c>
      <c r="H130" s="9" t="inlineStr">
        <is>
          <t>talent/skill/huanying08</t>
        </is>
      </c>
      <c r="I130" s="9" t="inlineStr">
        <is>
          <t>共鸣耗魔</t>
        </is>
      </c>
      <c r="J130" s="9" t="inlineStr">
        <is>
          <t>幻影释放技能时会消耗你的魔力，其数值释放技能的魔力消耗，每次消耗技能额外增加5%你和幻影造成的伤害，上限为10层</t>
        </is>
      </c>
      <c r="K130" s="9" t="n">
        <v>1</v>
      </c>
      <c r="N130" s="9" t="n">
        <v>2120000060</v>
      </c>
    </row>
    <row r="131" ht="18.95" customFormat="1" customHeight="1" s="10">
      <c r="A131" s="21" t="n">
        <v>1006002</v>
      </c>
      <c r="B131" s="10" t="inlineStr">
        <is>
          <t>塑能法杖-天赋2</t>
        </is>
      </c>
      <c r="C131" s="10" t="n">
        <v>7</v>
      </c>
      <c r="D131" s="21" t="inlineStr">
        <is>
          <t>1006004|1006008|1006012</t>
        </is>
      </c>
      <c r="E131" s="21" t="inlineStr">
        <is>
          <t>195|-250</t>
        </is>
      </c>
      <c r="F131" s="21" t="n"/>
      <c r="G131" s="10" t="n">
        <v>2</v>
      </c>
      <c r="H131" s="10" t="inlineStr">
        <is>
          <t>talent/yuansu/yuansu02</t>
        </is>
      </c>
      <c r="I131" s="10" t="inlineStr">
        <is>
          <t>升环法术</t>
        </is>
      </c>
      <c r="J131" s="10" t="inlineStr">
        <is>
          <t>使用投射物技能时额外增加1个</t>
        </is>
      </c>
      <c r="K131" s="10" t="n">
        <v>1</v>
      </c>
      <c r="L131" s="10" t="n">
        <v>10038</v>
      </c>
      <c r="M131" s="10" t="inlineStr">
        <is>
          <t>[[1]]</t>
        </is>
      </c>
    </row>
    <row r="132" ht="18.95" customFormat="1" customHeight="1" s="10">
      <c r="A132" s="21" t="n">
        <v>1006004</v>
      </c>
      <c r="B132" s="10" t="inlineStr">
        <is>
          <t>塑能法杖-天赋4</t>
        </is>
      </c>
      <c r="C132" s="10" t="n">
        <v>7</v>
      </c>
      <c r="D132" s="21" t="inlineStr">
        <is>
          <t>1006002|1006006</t>
        </is>
      </c>
      <c r="E132" s="21" t="inlineStr">
        <is>
          <t>200|200</t>
        </is>
      </c>
      <c r="F132" s="21" t="n"/>
      <c r="G132" s="10" t="n">
        <v>2</v>
      </c>
      <c r="H132" s="10" t="inlineStr">
        <is>
          <t>talent/yuansu/yuansu03</t>
        </is>
      </c>
      <c r="I132" s="10" t="inlineStr">
        <is>
          <t>原爆点</t>
        </is>
      </c>
      <c r="J132" s="10" t="inlineStr">
        <is>
          <t>投射物飞行结束后会触发1次100%法术物理伤害的冲击波</t>
        </is>
      </c>
      <c r="K132" s="10" t="n">
        <v>1</v>
      </c>
      <c r="L132" s="10" t="n"/>
      <c r="M132" s="10" t="n"/>
      <c r="N132" s="10" t="n">
        <v>2150000130</v>
      </c>
    </row>
    <row r="133" ht="18.95" customFormat="1" customHeight="1" s="10">
      <c r="A133" s="21" t="n">
        <v>1006006</v>
      </c>
      <c r="B133" s="10" t="inlineStr">
        <is>
          <t>塑能法杖-天赋6</t>
        </is>
      </c>
      <c r="C133" s="10" t="n">
        <v>7</v>
      </c>
      <c r="D133" s="21" t="n">
        <v>1006004</v>
      </c>
      <c r="E133" s="21" t="inlineStr">
        <is>
          <t>-250|450</t>
        </is>
      </c>
      <c r="F133" s="21" t="n"/>
      <c r="G133" s="10" t="n">
        <v>2</v>
      </c>
      <c r="H133" s="10" t="inlineStr">
        <is>
          <t>talent/yuansu/yuansu01</t>
        </is>
      </c>
      <c r="I133" s="10" t="inlineStr">
        <is>
          <t>狂风</t>
        </is>
      </c>
      <c r="J133" s="10" t="inlineStr">
        <is>
          <t>移动速度加成同样作用于投射物速度加成，最多提高30%</t>
        </is>
      </c>
      <c r="K133" s="10" t="n">
        <v>1</v>
      </c>
      <c r="L133" s="10" t="n">
        <v>10110</v>
      </c>
    </row>
    <row r="134" ht="18.95" customFormat="1" customHeight="1" s="10">
      <c r="A134" s="21" t="n">
        <v>1006008</v>
      </c>
      <c r="B134" s="10" t="inlineStr">
        <is>
          <t>塑能法杖-天赋8</t>
        </is>
      </c>
      <c r="C134" s="10" t="n">
        <v>7</v>
      </c>
      <c r="D134" s="21" t="inlineStr">
        <is>
          <t>1006002|1006010</t>
        </is>
      </c>
      <c r="E134" s="21" t="inlineStr">
        <is>
          <t>60|50</t>
        </is>
      </c>
      <c r="F134" s="21" t="n"/>
      <c r="G134" s="10" t="n">
        <v>2</v>
      </c>
      <c r="H134" s="10" t="inlineStr">
        <is>
          <t>talent/yuansu/yuansu04</t>
        </is>
      </c>
      <c r="I134" s="10" t="inlineStr">
        <is>
          <t>法术迸发</t>
        </is>
      </c>
      <c r="J134" s="10" t="inlineStr">
        <is>
          <t>基础暴击率+8%</t>
        </is>
      </c>
      <c r="K134" s="10" t="n">
        <v>1</v>
      </c>
      <c r="L134" s="10" t="n"/>
      <c r="O134" s="10" t="inlineStr">
        <is>
          <t>[[10100,0.08]]</t>
        </is>
      </c>
    </row>
    <row r="135" ht="18.95" customFormat="1" customHeight="1" s="10">
      <c r="A135" s="21" t="n">
        <v>1006010</v>
      </c>
      <c r="B135" s="10" t="inlineStr">
        <is>
          <t>塑能法杖-天赋10</t>
        </is>
      </c>
      <c r="C135" s="10" t="n">
        <v>7</v>
      </c>
      <c r="D135" s="21" t="n">
        <v>1006008</v>
      </c>
      <c r="E135" s="74" t="inlineStr">
        <is>
          <t>-250|200</t>
        </is>
      </c>
      <c r="F135" s="21" t="n"/>
      <c r="G135" s="10" t="n">
        <v>2</v>
      </c>
      <c r="H135" s="10" t="inlineStr">
        <is>
          <t>talent/yuansu/yuansu05</t>
        </is>
      </c>
      <c r="I135" s="10" t="inlineStr">
        <is>
          <t>元素之子</t>
        </is>
      </c>
      <c r="J135" s="10" t="inlineStr">
        <is>
          <t>站在元素地面上时，可以获得对应元素50%的伤害</t>
        </is>
      </c>
      <c r="K135" s="10" t="n">
        <v>1</v>
      </c>
      <c r="L135" s="10" t="n">
        <v>10144</v>
      </c>
    </row>
    <row r="136" ht="18.95" customFormat="1" customHeight="1" s="10">
      <c r="A136" s="21" t="n">
        <v>1006012</v>
      </c>
      <c r="B136" s="10" t="inlineStr">
        <is>
          <t>塑能法杖-天赋12</t>
        </is>
      </c>
      <c r="C136" s="10" t="n">
        <v>7</v>
      </c>
      <c r="D136" s="21" t="inlineStr">
        <is>
          <t>1006002|1006014</t>
        </is>
      </c>
      <c r="E136" s="74" t="inlineStr">
        <is>
          <t>-75|-80</t>
        </is>
      </c>
      <c r="F136" s="21" t="n"/>
      <c r="G136" s="10" t="n">
        <v>2</v>
      </c>
      <c r="H136" s="10" t="inlineStr">
        <is>
          <t>talent/yuansu/yuansu06</t>
        </is>
      </c>
      <c r="I136" s="10" t="inlineStr">
        <is>
          <t>元素掌握</t>
        </is>
      </c>
      <c r="J136" s="10" t="inlineStr">
        <is>
          <t>敌人处于元素异常状态时，可以使敌人对该类型元素的抗性降低40%</t>
        </is>
      </c>
      <c r="K136" s="10" t="n">
        <v>1</v>
      </c>
      <c r="L136" s="10" t="n"/>
      <c r="N136" s="10" t="n">
        <v>2150000080</v>
      </c>
    </row>
    <row r="137" ht="18.95" customFormat="1" customHeight="1" s="10">
      <c r="A137" s="21" t="n">
        <v>1006014</v>
      </c>
      <c r="B137" s="10" t="inlineStr">
        <is>
          <t>塑能法杖-天赋14</t>
        </is>
      </c>
      <c r="C137" s="10" t="n">
        <v>7</v>
      </c>
      <c r="D137" s="21" t="n">
        <v>1006012</v>
      </c>
      <c r="E137" s="74" t="inlineStr">
        <is>
          <t>-250|-20</t>
        </is>
      </c>
      <c r="F137" s="21" t="n"/>
      <c r="G137" s="10" t="n">
        <v>2</v>
      </c>
      <c r="H137" s="10" t="inlineStr">
        <is>
          <t>talent/yuansu/yuansu07</t>
        </is>
      </c>
      <c r="I137" s="10" t="inlineStr">
        <is>
          <t>注能循环</t>
        </is>
      </c>
      <c r="J137" s="10" t="inlineStr">
        <is>
          <t>获得注能时，额外获得一层注能</t>
        </is>
      </c>
      <c r="K137" s="10" t="n">
        <v>1</v>
      </c>
      <c r="L137" s="10" t="n"/>
      <c r="M137" s="10" t="n"/>
      <c r="N137" s="10" t="n">
        <v>2150000060</v>
      </c>
    </row>
    <row r="138" ht="18.95" customFormat="1" customHeight="1" s="17">
      <c r="A138" s="22" t="n">
        <v>1007002</v>
      </c>
      <c r="B138" s="17" t="inlineStr">
        <is>
          <t>元素法杖-天赋2</t>
        </is>
      </c>
      <c r="C138" s="17" t="n">
        <v>4</v>
      </c>
      <c r="D138" s="22" t="inlineStr">
        <is>
          <t>1007004|1007008|1007012</t>
        </is>
      </c>
      <c r="E138" s="23" t="inlineStr">
        <is>
          <t>0|-250</t>
        </is>
      </c>
      <c r="F138" s="23" t="n"/>
      <c r="G138" s="17" t="n">
        <v>2</v>
      </c>
      <c r="H138" s="17" t="inlineStr">
        <is>
          <t>talent/zhuneng/zhuneng01</t>
        </is>
      </c>
      <c r="I138" s="17" t="inlineStr">
        <is>
          <t>注能轮转</t>
        </is>
      </c>
      <c r="J138" s="17" t="inlineStr">
        <is>
          <t>每6秒获得一层随机注能，注能的持续时间额外提高30%</t>
        </is>
      </c>
      <c r="K138" s="17" t="n">
        <v>1</v>
      </c>
      <c r="L138" s="17" t="n">
        <v>10143</v>
      </c>
      <c r="M138" s="17" t="inlineStr">
        <is>
          <t>[[0.3]]</t>
        </is>
      </c>
      <c r="N138" s="17" t="n">
        <v>2150000100</v>
      </c>
    </row>
    <row r="139" ht="18.95" customFormat="1" customHeight="1" s="17">
      <c r="A139" s="22" t="n">
        <v>1007004</v>
      </c>
      <c r="B139" s="17" t="inlineStr">
        <is>
          <t>元素法杖-天赋4</t>
        </is>
      </c>
      <c r="C139" s="17" t="n">
        <v>4</v>
      </c>
      <c r="D139" s="22" t="inlineStr">
        <is>
          <t>1007002|1007006</t>
        </is>
      </c>
      <c r="E139" s="23" t="inlineStr">
        <is>
          <t>0|0</t>
        </is>
      </c>
      <c r="F139" s="23" t="n"/>
      <c r="G139" s="17" t="n">
        <v>2</v>
      </c>
      <c r="H139" s="17" t="inlineStr">
        <is>
          <t>talent/zhuneng/zhuneng03</t>
        </is>
      </c>
      <c r="I139" s="17" t="inlineStr">
        <is>
          <t>轮转一心</t>
        </is>
      </c>
      <c r="J139" s="17" t="inlineStr">
        <is>
          <t>注能轮转的冷却时间变为3秒</t>
        </is>
      </c>
      <c r="K139" s="17" t="n">
        <v>1</v>
      </c>
      <c r="L139" s="17" t="n">
        <v>10138</v>
      </c>
    </row>
    <row r="140" ht="18.95" customFormat="1" customHeight="1" s="17">
      <c r="A140" s="22" t="n">
        <v>1007006</v>
      </c>
      <c r="B140" s="17" t="inlineStr">
        <is>
          <t>元素法杖-天赋6</t>
        </is>
      </c>
      <c r="C140" s="17" t="n">
        <v>4</v>
      </c>
      <c r="D140" s="22" t="n">
        <v>1007004</v>
      </c>
      <c r="E140" s="75" t="inlineStr">
        <is>
          <t>-42|350</t>
        </is>
      </c>
      <c r="F140" s="23" t="n"/>
      <c r="G140" s="17" t="n">
        <v>2</v>
      </c>
      <c r="H140" s="17" t="inlineStr">
        <is>
          <t>talent/zhuneng/zhuneng02</t>
        </is>
      </c>
      <c r="I140" s="17" t="inlineStr">
        <is>
          <t>注能亲和</t>
        </is>
      </c>
      <c r="J140" s="17" t="inlineStr">
        <is>
          <t>所有注能的上限层数+1</t>
        </is>
      </c>
      <c r="K140" s="17" t="n">
        <v>1</v>
      </c>
      <c r="L140" s="17" t="n">
        <v>10137</v>
      </c>
    </row>
    <row r="141" ht="18.95" customFormat="1" customHeight="1" s="17">
      <c r="A141" s="22" t="n">
        <v>1007008</v>
      </c>
      <c r="B141" s="17" t="inlineStr">
        <is>
          <t>元素法杖-天赋8</t>
        </is>
      </c>
      <c r="C141" s="17" t="n">
        <v>4</v>
      </c>
      <c r="D141" s="22" t="inlineStr">
        <is>
          <t>1007002|1007010</t>
        </is>
      </c>
      <c r="E141" s="75" t="inlineStr">
        <is>
          <t>-300|0</t>
        </is>
      </c>
      <c r="F141" s="23" t="n"/>
      <c r="G141" s="17" t="n">
        <v>2</v>
      </c>
      <c r="H141" s="17" t="inlineStr">
        <is>
          <t>talent/zhuneng/zhuneng04</t>
        </is>
      </c>
      <c r="I141" s="17" t="inlineStr">
        <is>
          <t>术法掌握</t>
        </is>
      </c>
      <c r="J141" s="17" t="inlineStr">
        <is>
          <t>技能的强化效果的冷却时间额外降低50%</t>
        </is>
      </c>
      <c r="K141" s="17" t="n">
        <v>1</v>
      </c>
      <c r="L141" s="17" t="n">
        <v>10271</v>
      </c>
      <c r="M141" s="17" t="inlineStr">
        <is>
          <t>[[1]]</t>
        </is>
      </c>
    </row>
    <row r="142" ht="18.95" customFormat="1" customHeight="1" s="17">
      <c r="A142" s="22" t="n">
        <v>1007010</v>
      </c>
      <c r="B142" s="17" t="inlineStr">
        <is>
          <t>元素法杖-天赋10</t>
        </is>
      </c>
      <c r="C142" s="17" t="n">
        <v>4</v>
      </c>
      <c r="D142" s="22" t="n">
        <v>1007008</v>
      </c>
      <c r="E142" s="75" t="inlineStr">
        <is>
          <t>-250|250</t>
        </is>
      </c>
      <c r="F142" s="23" t="n"/>
      <c r="G142" s="17" t="n">
        <v>2</v>
      </c>
      <c r="H142" s="17" t="inlineStr">
        <is>
          <t>talent/zhuneng/zhuneng05</t>
        </is>
      </c>
      <c r="I142" s="17" t="inlineStr">
        <is>
          <t>强化之力</t>
        </is>
      </c>
      <c r="J142" s="17" t="inlineStr">
        <is>
          <t>每成功触发一次强化技能，可以获得一层强化之力，提高20%的伤害，最大可以获得5层，持续6秒</t>
        </is>
      </c>
      <c r="K142" s="17" t="n">
        <v>1</v>
      </c>
      <c r="L142" s="17" t="n">
        <v>10141</v>
      </c>
    </row>
    <row r="143" ht="18.95" customFormat="1" customHeight="1" s="17">
      <c r="A143" s="22" t="n">
        <v>1007012</v>
      </c>
      <c r="B143" s="17" t="inlineStr">
        <is>
          <t>元素法杖-天赋12</t>
        </is>
      </c>
      <c r="C143" s="17" t="n">
        <v>4</v>
      </c>
      <c r="D143" s="22" t="inlineStr">
        <is>
          <t>1007002|1007014</t>
        </is>
      </c>
      <c r="E143" s="23" t="inlineStr">
        <is>
          <t>250|-150</t>
        </is>
      </c>
      <c r="F143" s="23" t="n"/>
      <c r="G143" s="17" t="n">
        <v>2</v>
      </c>
      <c r="H143" s="17" t="inlineStr">
        <is>
          <t>talent/zhuneng/zhuneng06</t>
        </is>
      </c>
      <c r="I143" s="17" t="inlineStr">
        <is>
          <t>共鸣</t>
        </is>
      </c>
      <c r="J143" s="17" t="inlineStr">
        <is>
          <t>技能所需的特定注能可以用其他类型的注能替代，只可以被一种注能替代</t>
        </is>
      </c>
      <c r="K143" s="17" t="n">
        <v>1</v>
      </c>
      <c r="L143" s="17" t="n">
        <v>10139</v>
      </c>
    </row>
    <row r="144" ht="18.95" customFormat="1" customHeight="1" s="17">
      <c r="A144" s="22" t="n">
        <v>1007014</v>
      </c>
      <c r="B144" s="17" t="inlineStr">
        <is>
          <t>元素法杖-天赋14</t>
        </is>
      </c>
      <c r="C144" s="17" t="n">
        <v>4</v>
      </c>
      <c r="D144" s="22" t="n">
        <v>1007012</v>
      </c>
      <c r="E144" s="23" t="inlineStr">
        <is>
          <t>225|225</t>
        </is>
      </c>
      <c r="F144" s="23" t="n"/>
      <c r="G144" s="17" t="n">
        <v>2</v>
      </c>
      <c r="H144" s="17" t="inlineStr">
        <is>
          <t>talent/zhuneng/zhuneng07</t>
        </is>
      </c>
      <c r="I144" s="17" t="inlineStr">
        <is>
          <t>深度聚集</t>
        </is>
      </c>
      <c r="J144" s="17" t="inlineStr">
        <is>
          <t>每拥有一种不同种类的注能，法术伤害额外提高10%，魔力回复率提高20%</t>
        </is>
      </c>
      <c r="K144" s="17" t="n">
        <v>1</v>
      </c>
      <c r="N144" s="17" t="inlineStr">
        <is>
          <t>2150000090|2150100090|2150200090|2150300090|2150400090|2150000091|2150100091|2150200091|2150300091|2150400091</t>
        </is>
      </c>
    </row>
    <row r="145" ht="28" customFormat="1" customHeight="1" s="11">
      <c r="A145" s="12" t="n">
        <v>1008002</v>
      </c>
      <c r="B145" s="11" t="inlineStr">
        <is>
          <t>冰刃-天赋2</t>
        </is>
      </c>
      <c r="C145" s="11" t="n">
        <v>3</v>
      </c>
      <c r="D145" s="11" t="inlineStr">
        <is>
          <t>1008004|1008010</t>
        </is>
      </c>
      <c r="E145" s="11" t="inlineStr">
        <is>
          <t>100|400</t>
        </is>
      </c>
      <c r="F145" s="11" t="n"/>
      <c r="G145" s="11" t="n">
        <v>2</v>
      </c>
      <c r="H145" s="11" t="inlineStr">
        <is>
          <t>talent/skill/kanpo</t>
        </is>
      </c>
      <c r="I145" s="11" t="inlineStr">
        <is>
          <t>看破</t>
        </is>
      </c>
      <c r="J145" s="24" t="inlineStr">
        <is>
          <t>基础暴击率+5%</t>
        </is>
      </c>
      <c r="K145" s="24" t="n">
        <v>1</v>
      </c>
      <c r="L145" s="11" t="n"/>
      <c r="M145" s="11" t="n"/>
      <c r="N145" s="11" t="n"/>
      <c r="O145" s="11" t="inlineStr">
        <is>
          <t>[[10100,0.05]]</t>
        </is>
      </c>
    </row>
    <row r="146" ht="28" customFormat="1" customHeight="1" s="11">
      <c r="A146" s="12" t="n">
        <v>1008004</v>
      </c>
      <c r="B146" s="11" t="inlineStr">
        <is>
          <t>冰刃-天赋4</t>
        </is>
      </c>
      <c r="C146" s="11" t="n">
        <v>3</v>
      </c>
      <c r="D146" s="11" t="inlineStr">
        <is>
          <t>1008002|1008006|1008008</t>
        </is>
      </c>
      <c r="E146" s="11" t="inlineStr">
        <is>
          <t>100|-150</t>
        </is>
      </c>
      <c r="F146" s="11" t="n"/>
      <c r="G146" s="11" t="n">
        <v>2</v>
      </c>
      <c r="H146" s="11" t="inlineStr">
        <is>
          <t>talent/skill/kuaigong</t>
        </is>
      </c>
      <c r="I146" s="11" t="inlineStr">
        <is>
          <t>刺骨寒意</t>
        </is>
      </c>
      <c r="J146" s="11" t="inlineStr">
        <is>
          <t>第一个技能的冻结积蓄值额外提高40%，冰冷伤害额外提高20%</t>
        </is>
      </c>
      <c r="K146" s="11" t="n">
        <v>1</v>
      </c>
      <c r="L146" s="11" t="inlineStr">
        <is>
          <t>10086|10126</t>
        </is>
      </c>
      <c r="M146" s="11" t="inlineStr">
        <is>
          <t>[[0.4,0.2]]</t>
        </is>
      </c>
    </row>
    <row r="147" ht="28" customFormat="1" customHeight="1" s="11">
      <c r="A147" s="12" t="n">
        <v>1008006</v>
      </c>
      <c r="B147" s="11" t="inlineStr">
        <is>
          <t>冰刃-天赋6</t>
        </is>
      </c>
      <c r="C147" s="11" t="n">
        <v>3</v>
      </c>
      <c r="D147" s="11" t="n">
        <v>1008004</v>
      </c>
      <c r="E147" s="11" t="inlineStr">
        <is>
          <t>300|-150</t>
        </is>
      </c>
      <c r="F147" s="11" t="n"/>
      <c r="G147" s="11" t="n">
        <v>2</v>
      </c>
      <c r="H147" s="11" t="inlineStr">
        <is>
          <t>talent/skill/jihan</t>
        </is>
      </c>
      <c r="I147" s="11" t="inlineStr">
        <is>
          <t>冰寒之体</t>
        </is>
      </c>
      <c r="J147" s="11" t="inlineStr">
        <is>
          <t>你的冰冷抗性基础值等同于当前闪电抗性和火焰抗性中最低的那一项(抗性基础值为-25%)</t>
        </is>
      </c>
      <c r="K147" s="11" t="n">
        <v>1</v>
      </c>
      <c r="L147" s="11" t="n">
        <v>10273</v>
      </c>
    </row>
    <row r="148" ht="28" customFormat="1" customHeight="1" s="11">
      <c r="A148" s="12" t="n">
        <v>1008008</v>
      </c>
      <c r="B148" s="11" t="inlineStr">
        <is>
          <t>冰刃-天赋8</t>
        </is>
      </c>
      <c r="C148" s="11" t="n">
        <v>3</v>
      </c>
      <c r="D148" s="11" t="n">
        <v>1008004</v>
      </c>
      <c r="E148" s="76" t="inlineStr">
        <is>
          <t>-150|-100</t>
        </is>
      </c>
      <c r="F148" s="11" t="n"/>
      <c r="G148" s="11" t="n">
        <v>2</v>
      </c>
      <c r="H148" s="11" t="inlineStr">
        <is>
          <t>talent/skill/xinyan</t>
        </is>
      </c>
      <c r="I148" s="11" t="inlineStr">
        <is>
          <t>在这停顿</t>
        </is>
      </c>
      <c r="J148" s="24" t="inlineStr">
        <is>
          <t>所有伤害均可造成冻结累积，对冻结敌人的伤害额外提高30%</t>
        </is>
      </c>
      <c r="K148" s="24" t="n">
        <v>1</v>
      </c>
      <c r="L148" s="11" t="inlineStr">
        <is>
          <t>10265|10270</t>
        </is>
      </c>
      <c r="M148" s="11" t="inlineStr">
        <is>
          <t>[[0.3]]</t>
        </is>
      </c>
    </row>
    <row r="149" ht="28" customFormat="1" customHeight="1" s="11">
      <c r="A149" s="12" t="n">
        <v>1008010</v>
      </c>
      <c r="B149" s="11" t="inlineStr">
        <is>
          <t>冰刃-天赋10</t>
        </is>
      </c>
      <c r="C149" s="11" t="n">
        <v>3</v>
      </c>
      <c r="D149" s="11" t="inlineStr">
        <is>
          <t>1008002|1008012|1008014</t>
        </is>
      </c>
      <c r="E149" s="76" t="inlineStr">
        <is>
          <t>-300|270</t>
        </is>
      </c>
      <c r="F149" s="11" t="n"/>
      <c r="G149" s="11" t="n">
        <v>2</v>
      </c>
      <c r="H149" s="11" t="inlineStr">
        <is>
          <t>talent/skill/baoxue</t>
        </is>
      </c>
      <c r="I149" s="11" t="inlineStr">
        <is>
          <t>暴血</t>
        </is>
      </c>
      <c r="J149" s="11" t="inlineStr">
        <is>
          <t>每拥有1%的暴击率，就会增加1%的攻击伤害，最多增加100%的攻击伤害</t>
        </is>
      </c>
      <c r="K149" s="11" t="n">
        <v>1</v>
      </c>
      <c r="L149" s="11" t="n">
        <v>10087</v>
      </c>
      <c r="M149" s="11" t="inlineStr">
        <is>
          <t>[[1]]</t>
        </is>
      </c>
    </row>
    <row r="150" ht="28" customFormat="1" customHeight="1" s="11">
      <c r="A150" s="12" t="n">
        <v>1008012</v>
      </c>
      <c r="B150" s="11" t="inlineStr">
        <is>
          <t>冰刃-天赋12</t>
        </is>
      </c>
      <c r="C150" s="11" t="n">
        <v>3</v>
      </c>
      <c r="D150" s="11" t="n">
        <v>1008010</v>
      </c>
      <c r="E150" s="76" t="inlineStr">
        <is>
          <t>-170|430</t>
        </is>
      </c>
      <c r="F150" s="11" t="n"/>
      <c r="G150" s="11" t="n">
        <v>2</v>
      </c>
      <c r="H150" s="11" t="inlineStr">
        <is>
          <t>talent/skill/liufeng</t>
        </is>
      </c>
      <c r="I150" s="11" t="inlineStr">
        <is>
          <t>战术</t>
        </is>
      </c>
      <c r="J150" s="11" t="inlineStr">
        <is>
          <t>对满血敌人的暴击率提高100%，对低血敌人的暴击伤害提高100%</t>
        </is>
      </c>
      <c r="K150" s="11" t="n">
        <v>1</v>
      </c>
      <c r="L150" s="11" t="inlineStr">
        <is>
          <t>10247|10248</t>
        </is>
      </c>
      <c r="M150" s="11" t="inlineStr">
        <is>
          <t>[[1],[1]]</t>
        </is>
      </c>
    </row>
    <row r="151" ht="28" customFormat="1" customHeight="1" s="12">
      <c r="A151" s="12" t="n">
        <v>1008014</v>
      </c>
      <c r="B151" s="12" t="inlineStr">
        <is>
          <t>冰刃-天赋14</t>
        </is>
      </c>
      <c r="C151" s="12" t="n">
        <v>3</v>
      </c>
      <c r="D151" s="12" t="n">
        <v>1008010</v>
      </c>
      <c r="E151" s="77" t="inlineStr">
        <is>
          <t>-300|70</t>
        </is>
      </c>
      <c r="F151" s="12" t="n"/>
      <c r="G151" s="12" t="n">
        <v>2</v>
      </c>
      <c r="H151" s="12" t="inlineStr">
        <is>
          <t>talent/skill/wuxin</t>
        </is>
      </c>
      <c r="I151" s="12" t="inlineStr">
        <is>
          <t>明目</t>
        </is>
      </c>
      <c r="J151" s="12" t="inlineStr">
        <is>
          <t>每层洞察注能可以使效果范围提高8%，攻击伤害额外提高6%，洞察注能层数上限+1</t>
        </is>
      </c>
      <c r="K151" s="12" t="n">
        <v>1</v>
      </c>
      <c r="L151" s="12" t="inlineStr">
        <is>
          <t>10150|10272</t>
        </is>
      </c>
      <c r="M151" s="12" t="inlineStr">
        <is>
          <t>[[1]]</t>
        </is>
      </c>
    </row>
    <row r="152" customFormat="1" s="31">
      <c r="A152" s="29" t="n">
        <v>1001101</v>
      </c>
      <c r="B152" s="25" t="inlineStr">
        <is>
          <t>将 X% 的物理伤害转化为火焰伤害</t>
        </is>
      </c>
      <c r="C152" s="31" t="n">
        <v>0</v>
      </c>
      <c r="D152" s="29" t="n"/>
      <c r="E152" s="29" t="n"/>
      <c r="F152" s="29" t="n">
        <v>1001</v>
      </c>
      <c r="G152" s="31" t="n">
        <v>1</v>
      </c>
      <c r="H152" s="26" t="inlineStr">
        <is>
          <t>talent/common_1/huoyanshanghai</t>
        </is>
      </c>
      <c r="I152" s="31" t="inlineStr">
        <is>
          <t>基础天赋</t>
        </is>
      </c>
      <c r="J152" s="25" t="inlineStr">
        <is>
          <t>将20%的物理伤害转化为火焰伤害</t>
        </is>
      </c>
      <c r="K152" s="25" t="n">
        <v>5</v>
      </c>
      <c r="O152" s="31" t="inlineStr">
        <is>
          <t>[[11022,0.2]]</t>
        </is>
      </c>
    </row>
    <row r="153" customFormat="1" s="31">
      <c r="A153" s="29" t="n">
        <v>1001102</v>
      </c>
      <c r="B153" s="25" t="inlineStr">
        <is>
          <t>将 X% 的物理伤害转化为冰冷伤害</t>
        </is>
      </c>
      <c r="C153" s="31" t="n">
        <v>0</v>
      </c>
      <c r="D153" s="29" t="n"/>
      <c r="E153" s="29" t="n"/>
      <c r="F153" s="29" t="n">
        <v>1001</v>
      </c>
      <c r="G153" s="31" t="n">
        <v>1</v>
      </c>
      <c r="H153" s="26" t="inlineStr">
        <is>
          <t>talent/common_1/binglengshanghai</t>
        </is>
      </c>
      <c r="I153" s="31" t="inlineStr">
        <is>
          <t>基础天赋</t>
        </is>
      </c>
      <c r="J153" s="25" t="inlineStr">
        <is>
          <t>将20%的物理伤害转化为冰冷伤害</t>
        </is>
      </c>
      <c r="K153" s="25" t="n">
        <v>5</v>
      </c>
      <c r="O153" s="31" t="inlineStr">
        <is>
          <t>[[11021,0.2]]</t>
        </is>
      </c>
    </row>
    <row r="154" customFormat="1" s="31">
      <c r="A154" s="29" t="n">
        <v>1001103</v>
      </c>
      <c r="B154" s="25" t="inlineStr">
        <is>
          <t>将 X% 的物理伤害转化为闪电伤害</t>
        </is>
      </c>
      <c r="C154" s="31" t="n">
        <v>0</v>
      </c>
      <c r="D154" s="29" t="n"/>
      <c r="E154" s="29" t="n"/>
      <c r="F154" s="29" t="n">
        <v>1001</v>
      </c>
      <c r="G154" s="31" t="n">
        <v>1</v>
      </c>
      <c r="H154" s="26" t="inlineStr">
        <is>
          <t>talent/common_1/shandianshanghai</t>
        </is>
      </c>
      <c r="I154" s="31" t="inlineStr">
        <is>
          <t>基础天赋</t>
        </is>
      </c>
      <c r="J154" s="25" t="inlineStr">
        <is>
          <t>将20%的物理伤害转化为闪电伤害</t>
        </is>
      </c>
      <c r="K154" s="25" t="n">
        <v>5</v>
      </c>
      <c r="O154" s="31" t="inlineStr">
        <is>
          <t>[[11020,0.2]]</t>
        </is>
      </c>
    </row>
    <row r="155" customFormat="1" s="31">
      <c r="A155" s="29" t="n">
        <v>1001104</v>
      </c>
      <c r="B155" s="25" t="inlineStr">
        <is>
          <t>获得额外 X 倍物理伤害</t>
        </is>
      </c>
      <c r="C155" s="31" t="n">
        <v>0</v>
      </c>
      <c r="D155" s="29" t="n"/>
      <c r="E155" s="29" t="n"/>
      <c r="F155" s="29" t="n">
        <v>1001</v>
      </c>
      <c r="G155" s="31" t="n">
        <v>1</v>
      </c>
      <c r="H155" s="26" t="inlineStr">
        <is>
          <t>talent/common_1/wulishanghai</t>
        </is>
      </c>
      <c r="I155" s="31" t="inlineStr">
        <is>
          <t>基础天赋</t>
        </is>
      </c>
      <c r="J155" s="25" t="inlineStr">
        <is>
          <t>获得额外4%物理伤害</t>
        </is>
      </c>
      <c r="K155" s="25" t="n">
        <v>7</v>
      </c>
      <c r="O155" s="31" t="inlineStr">
        <is>
          <t>[[10500,0.04]]</t>
        </is>
      </c>
    </row>
    <row r="156" customFormat="1" s="31">
      <c r="A156" s="29" t="n">
        <v>1001105</v>
      </c>
      <c r="B156" s="25" t="inlineStr">
        <is>
          <t>获得额外 X 倍火焰伤害</t>
        </is>
      </c>
      <c r="C156" s="31" t="n">
        <v>0</v>
      </c>
      <c r="D156" s="29" t="n"/>
      <c r="E156" s="29" t="n"/>
      <c r="F156" s="29" t="n">
        <v>1001</v>
      </c>
      <c r="G156" s="31" t="n">
        <v>1</v>
      </c>
      <c r="H156" s="26" t="inlineStr">
        <is>
          <t>talent/common_1/huoyanshanghai</t>
        </is>
      </c>
      <c r="I156" s="31" t="inlineStr">
        <is>
          <t>基础天赋</t>
        </is>
      </c>
      <c r="J156" s="25" t="inlineStr">
        <is>
          <t>获得额外4%火焰伤害</t>
        </is>
      </c>
      <c r="K156" s="25" t="n">
        <v>7</v>
      </c>
      <c r="O156" s="31" t="inlineStr">
        <is>
          <t>[[10501,0.04]]</t>
        </is>
      </c>
    </row>
    <row r="157" customFormat="1" s="31">
      <c r="A157" s="29" t="n">
        <v>1001106</v>
      </c>
      <c r="B157" s="25" t="inlineStr">
        <is>
          <t>获得额外 X 倍冰冷伤害</t>
        </is>
      </c>
      <c r="C157" s="31" t="n">
        <v>0</v>
      </c>
      <c r="D157" s="29" t="n"/>
      <c r="E157" s="29" t="n"/>
      <c r="F157" s="29" t="n">
        <v>1001</v>
      </c>
      <c r="G157" s="31" t="n">
        <v>1</v>
      </c>
      <c r="H157" s="26" t="inlineStr">
        <is>
          <t>talent/common_1/binglengshanghai</t>
        </is>
      </c>
      <c r="I157" s="31" t="inlineStr">
        <is>
          <t>基础天赋</t>
        </is>
      </c>
      <c r="J157" s="25" t="inlineStr">
        <is>
          <t>获得额外4%冰冷伤害</t>
        </is>
      </c>
      <c r="K157" s="25" t="n">
        <v>7</v>
      </c>
      <c r="O157" s="31" t="inlineStr">
        <is>
          <t>[[10502,0.04]]</t>
        </is>
      </c>
    </row>
    <row r="158" customFormat="1" s="31">
      <c r="A158" s="29" t="n">
        <v>1001107</v>
      </c>
      <c r="B158" s="25" t="inlineStr">
        <is>
          <t>获得额外 X 倍闪电伤害</t>
        </is>
      </c>
      <c r="C158" s="31" t="n">
        <v>0</v>
      </c>
      <c r="D158" s="29" t="n"/>
      <c r="E158" s="29" t="n"/>
      <c r="F158" s="29" t="n">
        <v>1001</v>
      </c>
      <c r="G158" s="31" t="n">
        <v>1</v>
      </c>
      <c r="H158" s="26" t="inlineStr">
        <is>
          <t>talent/common_1/shandianshanghai</t>
        </is>
      </c>
      <c r="I158" s="31" t="inlineStr">
        <is>
          <t>基础天赋</t>
        </is>
      </c>
      <c r="J158" s="25" t="inlineStr">
        <is>
          <t>获得额外4%闪电伤害</t>
        </is>
      </c>
      <c r="K158" s="25" t="n">
        <v>7</v>
      </c>
      <c r="O158" s="31" t="inlineStr">
        <is>
          <t>[[10503,0.04]]</t>
        </is>
      </c>
    </row>
    <row r="159" customFormat="1" s="31">
      <c r="A159" s="29" t="n">
        <v>1001108</v>
      </c>
      <c r="B159" s="25" t="inlineStr">
        <is>
          <t>获得额外 X 倍混沌伤害</t>
        </is>
      </c>
      <c r="C159" s="31" t="n">
        <v>0</v>
      </c>
      <c r="D159" s="29" t="n"/>
      <c r="E159" s="29" t="n"/>
      <c r="F159" s="29" t="n">
        <v>1001</v>
      </c>
      <c r="G159" s="31" t="n">
        <v>1</v>
      </c>
      <c r="H159" s="26" t="inlineStr">
        <is>
          <t>talent/common_1/hundunshanghai</t>
        </is>
      </c>
      <c r="I159" s="31" t="inlineStr">
        <is>
          <t>基础天赋</t>
        </is>
      </c>
      <c r="J159" s="25" t="inlineStr">
        <is>
          <t>获得额外4%混沌伤害</t>
        </is>
      </c>
      <c r="K159" s="25" t="n">
        <v>7</v>
      </c>
      <c r="O159" s="31" t="inlineStr">
        <is>
          <t>[[10504,0.04]]</t>
        </is>
      </c>
    </row>
    <row r="160" customFormat="1" s="31">
      <c r="A160" s="29" t="n">
        <v>1001109</v>
      </c>
      <c r="B160" s="25" t="inlineStr">
        <is>
          <t>伤害注能持续时间提高</t>
        </is>
      </c>
      <c r="C160" s="31" t="n">
        <v>0</v>
      </c>
      <c r="D160" s="29" t="n"/>
      <c r="E160" s="29" t="n"/>
      <c r="F160" s="29" t="n">
        <v>1001</v>
      </c>
      <c r="G160" s="31" t="n">
        <v>1</v>
      </c>
      <c r="H160" s="26" t="inlineStr">
        <is>
          <t>talent/common_1/chixushijian</t>
        </is>
      </c>
      <c r="I160" s="31" t="inlineStr">
        <is>
          <t>基础天赋</t>
        </is>
      </c>
      <c r="J160" s="25" t="inlineStr">
        <is>
          <t>毁灭注能持续时间提高9%</t>
        </is>
      </c>
      <c r="K160" s="25" t="n">
        <v>7</v>
      </c>
      <c r="L160" s="31" t="n">
        <v>10188</v>
      </c>
      <c r="M160" s="31" t="inlineStr">
        <is>
          <t>[[0.09]]</t>
        </is>
      </c>
    </row>
    <row r="161" customFormat="1" s="31">
      <c r="A161" s="29" t="n">
        <v>1001110</v>
      </c>
      <c r="B161" s="25" t="inlineStr">
        <is>
          <t>获得相当于最大生命 X% 的攻击力</t>
        </is>
      </c>
      <c r="C161" s="31" t="n">
        <v>0</v>
      </c>
      <c r="D161" s="29" t="n"/>
      <c r="E161" s="29" t="n"/>
      <c r="F161" s="29" t="n">
        <v>1001</v>
      </c>
      <c r="G161" s="31" t="n">
        <v>1</v>
      </c>
      <c r="H161" s="26" t="inlineStr">
        <is>
          <t>talent/common_1/gongjili</t>
        </is>
      </c>
      <c r="I161" s="31" t="inlineStr">
        <is>
          <t>基础天赋</t>
        </is>
      </c>
      <c r="J161" s="25" t="inlineStr">
        <is>
          <t>获得相当于最大生命0.5%的攻击力</t>
        </is>
      </c>
      <c r="K161" s="25" t="n">
        <v>7</v>
      </c>
      <c r="L161" s="31" t="n">
        <v>10186</v>
      </c>
      <c r="M161" s="31" t="inlineStr">
        <is>
          <t>[[0.005]]</t>
        </is>
      </c>
    </row>
    <row r="162" customFormat="1" s="31">
      <c r="A162" s="29" t="n">
        <v>1001111</v>
      </c>
      <c r="B162" s="25" t="inlineStr">
        <is>
          <t>获得相当于最大魔力 X% 的攻击力</t>
        </is>
      </c>
      <c r="C162" s="31" t="n">
        <v>0</v>
      </c>
      <c r="D162" s="29" t="n"/>
      <c r="E162" s="29" t="n"/>
      <c r="F162" s="29" t="n">
        <v>1001</v>
      </c>
      <c r="G162" s="31" t="n">
        <v>1</v>
      </c>
      <c r="H162" s="26" t="inlineStr">
        <is>
          <t>talent/common_1/gongjili</t>
        </is>
      </c>
      <c r="I162" s="31" t="inlineStr">
        <is>
          <t>基础天赋</t>
        </is>
      </c>
      <c r="J162" s="25" t="inlineStr">
        <is>
          <t>获得相当于最大魔力0.5%的攻击力</t>
        </is>
      </c>
      <c r="K162" s="25" t="n">
        <v>7</v>
      </c>
      <c r="L162" s="31" t="n">
        <v>10187</v>
      </c>
      <c r="M162" s="31" t="inlineStr">
        <is>
          <t>[[0.005]]</t>
        </is>
      </c>
    </row>
    <row r="163" customFormat="1" s="31">
      <c r="A163" s="29" t="n">
        <v>1001112</v>
      </c>
      <c r="B163" s="25" t="inlineStr">
        <is>
          <t>技能魔力消耗降低</t>
        </is>
      </c>
      <c r="C163" s="31" t="n">
        <v>0</v>
      </c>
      <c r="D163" s="29" t="n"/>
      <c r="E163" s="29" t="n"/>
      <c r="F163" s="29" t="n">
        <v>1001</v>
      </c>
      <c r="G163" s="31" t="n">
        <v>1</v>
      </c>
      <c r="H163" s="26" t="inlineStr">
        <is>
          <t>talent/common_1/gongjili</t>
        </is>
      </c>
      <c r="I163" s="31" t="inlineStr">
        <is>
          <t>基础天赋</t>
        </is>
      </c>
      <c r="J163" s="25" t="inlineStr">
        <is>
          <t>减少5点魔力消耗</t>
        </is>
      </c>
      <c r="K163" s="25" t="n">
        <v>3</v>
      </c>
      <c r="L163" s="31" t="n">
        <v>10274</v>
      </c>
      <c r="M163" s="31" t="inlineStr">
        <is>
          <t>[[-5]]</t>
        </is>
      </c>
    </row>
    <row r="164" customFormat="1" s="31">
      <c r="A164" s="29" t="n">
        <v>1001201</v>
      </c>
      <c r="B164" s="25" t="inlineStr">
        <is>
          <t>物理技能等级增加</t>
        </is>
      </c>
      <c r="C164" s="31" t="n">
        <v>0</v>
      </c>
      <c r="D164" s="29" t="n"/>
      <c r="E164" s="29" t="n"/>
      <c r="F164" s="29" t="n">
        <v>1001</v>
      </c>
      <c r="G164" s="31" t="n">
        <v>2</v>
      </c>
      <c r="H164" s="26" t="inlineStr">
        <is>
          <t>talent/common_2/jinengdengji</t>
        </is>
      </c>
      <c r="I164" s="31" t="inlineStr">
        <is>
          <t>进阶天赋</t>
        </is>
      </c>
      <c r="J164" s="31" t="inlineStr">
        <is>
          <t>物理技能等级+1</t>
        </is>
      </c>
      <c r="K164" s="31" t="n">
        <v>1</v>
      </c>
      <c r="L164" s="31" t="n">
        <v>10156</v>
      </c>
      <c r="M164" s="31" t="inlineStr">
        <is>
          <t>[[1]]</t>
        </is>
      </c>
    </row>
    <row r="165" customFormat="1" s="31">
      <c r="A165" s="29" t="n">
        <v>1001202</v>
      </c>
      <c r="B165" s="25" t="inlineStr">
        <is>
          <t>火焰技能等级增加</t>
        </is>
      </c>
      <c r="C165" s="31" t="n">
        <v>0</v>
      </c>
      <c r="D165" s="29" t="n"/>
      <c r="E165" s="29" t="n"/>
      <c r="F165" s="29" t="n">
        <v>1001</v>
      </c>
      <c r="G165" s="31" t="n">
        <v>2</v>
      </c>
      <c r="H165" s="26" t="inlineStr">
        <is>
          <t>talent/common_2/jinengdengji</t>
        </is>
      </c>
      <c r="I165" s="31" t="inlineStr">
        <is>
          <t>进阶天赋</t>
        </is>
      </c>
      <c r="J165" s="31" t="inlineStr">
        <is>
          <t>火焰技能等级+1</t>
        </is>
      </c>
      <c r="K165" s="31" t="n">
        <v>1</v>
      </c>
      <c r="L165" s="31" t="n">
        <v>10157</v>
      </c>
      <c r="M165" s="31" t="inlineStr">
        <is>
          <t>[[1]]</t>
        </is>
      </c>
    </row>
    <row r="166" customFormat="1" s="31">
      <c r="A166" s="29" t="n">
        <v>1001203</v>
      </c>
      <c r="B166" s="25" t="inlineStr">
        <is>
          <t>冰冷技能等级增加</t>
        </is>
      </c>
      <c r="C166" s="31" t="n">
        <v>0</v>
      </c>
      <c r="D166" s="29" t="n"/>
      <c r="E166" s="29" t="n"/>
      <c r="F166" s="29" t="n">
        <v>1001</v>
      </c>
      <c r="G166" s="31" t="n">
        <v>2</v>
      </c>
      <c r="H166" s="26" t="inlineStr">
        <is>
          <t>talent/common_2/jinengdengji</t>
        </is>
      </c>
      <c r="I166" s="31" t="inlineStr">
        <is>
          <t>进阶天赋</t>
        </is>
      </c>
      <c r="J166" s="31" t="inlineStr">
        <is>
          <t>冰冷技能等级+1</t>
        </is>
      </c>
      <c r="K166" s="31" t="n">
        <v>1</v>
      </c>
      <c r="L166" s="31" t="n">
        <v>10158</v>
      </c>
      <c r="M166" s="31" t="inlineStr">
        <is>
          <t>[[1]]</t>
        </is>
      </c>
    </row>
    <row r="167" customFormat="1" s="31">
      <c r="A167" s="29" t="n">
        <v>1001204</v>
      </c>
      <c r="B167" s="25" t="inlineStr">
        <is>
          <t>闪电技能等级增加</t>
        </is>
      </c>
      <c r="C167" s="31" t="n">
        <v>0</v>
      </c>
      <c r="D167" s="29" t="n"/>
      <c r="E167" s="29" t="n"/>
      <c r="F167" s="29" t="n">
        <v>1001</v>
      </c>
      <c r="G167" s="31" t="n">
        <v>2</v>
      </c>
      <c r="H167" s="26" t="inlineStr">
        <is>
          <t>talent/common_2/jinengdengji</t>
        </is>
      </c>
      <c r="I167" s="31" t="inlineStr">
        <is>
          <t>进阶天赋</t>
        </is>
      </c>
      <c r="J167" s="31" t="inlineStr">
        <is>
          <t>闪电技能等级+1</t>
        </is>
      </c>
      <c r="K167" s="31" t="n">
        <v>1</v>
      </c>
      <c r="L167" s="31" t="n">
        <v>10159</v>
      </c>
      <c r="M167" s="31" t="inlineStr">
        <is>
          <t>[[1]]</t>
        </is>
      </c>
    </row>
    <row r="168" customFormat="1" s="31">
      <c r="A168" s="29" t="n">
        <v>1001205</v>
      </c>
      <c r="B168" s="25" t="inlineStr">
        <is>
          <t>混沌技能等级增加</t>
        </is>
      </c>
      <c r="C168" s="31" t="n">
        <v>0</v>
      </c>
      <c r="D168" s="29" t="n"/>
      <c r="E168" s="29" t="n"/>
      <c r="F168" s="29" t="n">
        <v>1001</v>
      </c>
      <c r="G168" s="31" t="n">
        <v>2</v>
      </c>
      <c r="H168" s="26" t="inlineStr">
        <is>
          <t>talent/common_2/jinengdengji</t>
        </is>
      </c>
      <c r="I168" s="31" t="inlineStr">
        <is>
          <t>进阶天赋</t>
        </is>
      </c>
      <c r="J168" s="31" t="inlineStr">
        <is>
          <t>混沌技能等级+1</t>
        </is>
      </c>
      <c r="K168" s="31" t="n">
        <v>1</v>
      </c>
      <c r="L168" s="31" t="n">
        <v>10160</v>
      </c>
      <c r="M168" s="31" t="inlineStr">
        <is>
          <t>[[1]]</t>
        </is>
      </c>
    </row>
    <row r="169" customFormat="1" s="31">
      <c r="A169" s="29" t="n">
        <v>1001206</v>
      </c>
      <c r="B169" s="25" t="inlineStr">
        <is>
          <t>伤害注能上限 +1</t>
        </is>
      </c>
      <c r="C169" s="31" t="n">
        <v>0</v>
      </c>
      <c r="D169" s="29" t="n"/>
      <c r="E169" s="29" t="n"/>
      <c r="F169" s="29" t="n">
        <v>1001</v>
      </c>
      <c r="G169" s="31" t="n">
        <v>2</v>
      </c>
      <c r="H169" s="26" t="inlineStr">
        <is>
          <t>talent/common_2/wusenengliangqiu</t>
        </is>
      </c>
      <c r="I169" s="31" t="inlineStr">
        <is>
          <t>进阶天赋</t>
        </is>
      </c>
      <c r="J169" s="31" t="inlineStr">
        <is>
          <t>毁灭注能层数上限+1</t>
        </is>
      </c>
      <c r="K169" s="31" t="n">
        <v>1</v>
      </c>
      <c r="L169" s="31" t="n">
        <v>10149</v>
      </c>
      <c r="M169" s="31" t="inlineStr">
        <is>
          <t>[[1]]</t>
        </is>
      </c>
    </row>
    <row r="170" customFormat="1" s="31">
      <c r="A170" s="29" t="n">
        <v>1001207</v>
      </c>
      <c r="B170" s="25" t="inlineStr">
        <is>
          <t>造成流血时，有 20% 几率获得伤害注能</t>
        </is>
      </c>
      <c r="C170" s="31" t="n">
        <v>0</v>
      </c>
      <c r="D170" s="29" t="n"/>
      <c r="E170" s="29" t="n"/>
      <c r="F170" s="29" t="n">
        <v>1001</v>
      </c>
      <c r="G170" s="31" t="n">
        <v>2</v>
      </c>
      <c r="H170" s="26" t="inlineStr">
        <is>
          <t>talent/common_2/wusenengliangqiu</t>
        </is>
      </c>
      <c r="I170" s="31" t="inlineStr">
        <is>
          <t>进阶天赋</t>
        </is>
      </c>
      <c r="J170" s="31" t="inlineStr">
        <is>
          <t>造成流血时，有20%几率获得毁灭注能</t>
        </is>
      </c>
      <c r="K170" s="31" t="n">
        <v>1</v>
      </c>
      <c r="N170" s="31" t="n">
        <v>2150000170</v>
      </c>
    </row>
    <row r="171" customFormat="1" s="31">
      <c r="A171" s="29" t="n">
        <v>1001208</v>
      </c>
      <c r="B171" s="25" t="inlineStr">
        <is>
          <t>技能魔力消耗降低</t>
        </is>
      </c>
      <c r="C171" s="31" t="n">
        <v>0</v>
      </c>
      <c r="D171" s="29" t="n"/>
      <c r="E171" s="29" t="n"/>
      <c r="F171" s="29" t="n">
        <v>1001</v>
      </c>
      <c r="G171" s="31" t="n">
        <v>2</v>
      </c>
      <c r="H171" s="26" t="inlineStr">
        <is>
          <t>talent/common_2/binglengnengliangqiu</t>
        </is>
      </c>
      <c r="I171" s="31" t="inlineStr">
        <is>
          <t>进阶天赋</t>
        </is>
      </c>
      <c r="J171" s="25" t="inlineStr">
        <is>
          <t>减少15点魔力消耗</t>
        </is>
      </c>
      <c r="K171" s="25" t="n">
        <v>1</v>
      </c>
      <c r="L171" s="31" t="n">
        <v>10274</v>
      </c>
      <c r="M171" s="31" t="inlineStr">
        <is>
          <t>[[-15]]</t>
        </is>
      </c>
    </row>
    <row r="172" customFormat="1" s="31">
      <c r="A172" s="29" t="n">
        <v>1001301</v>
      </c>
      <c r="B172" s="25" t="inlineStr">
        <is>
          <t>使用太刀作为武器时，击败敌人获得随机 0.1 伤害倍率，上限 100 层，持续时间 5 秒</t>
        </is>
      </c>
      <c r="C172" s="31" t="n">
        <v>0</v>
      </c>
      <c r="D172" s="29" t="n"/>
      <c r="E172" s="29" t="n"/>
      <c r="F172" s="29" t="n">
        <v>1001</v>
      </c>
      <c r="G172" s="31" t="n">
        <v>3</v>
      </c>
      <c r="H172" s="26" t="inlineStr">
        <is>
          <t>talent/common_3/kuangnu</t>
        </is>
      </c>
      <c r="I172" s="31" t="inlineStr">
        <is>
          <t>狂怒</t>
        </is>
      </c>
      <c r="J172" s="31" t="inlineStr">
        <is>
          <t>击败敌人获得1%的随机额外伤害，上限100层，持续时间5秒</t>
        </is>
      </c>
      <c r="K172" s="31" t="n">
        <v>1</v>
      </c>
      <c r="N172" s="31" t="inlineStr">
        <is>
          <t>2150000240|2150100240|2150200240</t>
        </is>
      </c>
    </row>
    <row r="173" customFormat="1" s="31">
      <c r="A173" s="29" t="n">
        <v>1001302</v>
      </c>
      <c r="B173" s="25" t="inlineStr">
        <is>
          <t>使用法杖作为武器时，获得 30% 的额外元素伤害，只能造成元素伤害</t>
        </is>
      </c>
      <c r="C173" s="31" t="n">
        <v>0</v>
      </c>
      <c r="D173" s="29" t="n"/>
      <c r="E173" s="29" t="n"/>
      <c r="F173" s="29" t="n">
        <v>1001</v>
      </c>
      <c r="G173" s="31" t="n">
        <v>3</v>
      </c>
      <c r="H173" s="26" t="inlineStr">
        <is>
          <t>talent/common_3/yuansu_jingtong</t>
        </is>
      </c>
      <c r="I173" s="31" t="inlineStr">
        <is>
          <t>元素专精</t>
        </is>
      </c>
      <c r="J173" s="31" t="inlineStr">
        <is>
          <t>元素伤害额外提高35%，只能造成元素伤害</t>
        </is>
      </c>
      <c r="K173" s="31" t="n">
        <v>1</v>
      </c>
      <c r="N173" s="31" t="n">
        <v>2150000250</v>
      </c>
    </row>
    <row r="174" customFormat="1" s="31">
      <c r="A174" s="29" t="n">
        <v>1001303</v>
      </c>
      <c r="B174" s="25" t="inlineStr">
        <is>
          <t>使用魔典作为武器时，核心技能等级 +5，魔力消耗增加 20%</t>
        </is>
      </c>
      <c r="C174" s="31" t="n">
        <v>0</v>
      </c>
      <c r="D174" s="29" t="n"/>
      <c r="E174" s="29" t="n"/>
      <c r="F174" s="29" t="n">
        <v>1001</v>
      </c>
      <c r="G174" s="31" t="n">
        <v>3</v>
      </c>
      <c r="H174" s="26" t="inlineStr">
        <is>
          <t>talent/common_3/modian_jingtong</t>
        </is>
      </c>
      <c r="I174" s="31" t="inlineStr">
        <is>
          <t>通识</t>
        </is>
      </c>
      <c r="J174" s="31" t="inlineStr">
        <is>
          <t>核心技能等级+4，魔力消耗增加30%</t>
        </is>
      </c>
      <c r="K174" s="31" t="n">
        <v>1</v>
      </c>
      <c r="N174" s="31" t="n">
        <v>2150000260</v>
      </c>
    </row>
    <row r="175" customFormat="1" s="31">
      <c r="A175" s="29" t="n">
        <v>1001304</v>
      </c>
      <c r="B175" s="25" t="inlineStr">
        <is>
          <t>未装备手套时，可获得相当于当前防御力30%的攻击力</t>
        </is>
      </c>
      <c r="C175" s="31" t="n">
        <v>0</v>
      </c>
      <c r="D175" s="29" t="n"/>
      <c r="E175" s="29" t="n"/>
      <c r="F175" s="29" t="n">
        <v>1001</v>
      </c>
      <c r="G175" s="31" t="n">
        <v>3</v>
      </c>
      <c r="H175" s="26" t="inlineStr">
        <is>
          <t>talent/common_3/jinwo</t>
        </is>
      </c>
      <c r="I175" s="31" t="inlineStr">
        <is>
          <t>紧握</t>
        </is>
      </c>
      <c r="J175" s="31" t="inlineStr">
        <is>
          <t>未装备手套时，可获得相当于当前防御力15%的攻击力</t>
        </is>
      </c>
      <c r="K175" s="31" t="n">
        <v>1</v>
      </c>
      <c r="N175" s="31" t="n">
        <v>2150000420</v>
      </c>
    </row>
    <row r="176" customFormat="1" s="31">
      <c r="A176" s="29" t="n">
        <v>1001305</v>
      </c>
      <c r="B176" s="25" t="inlineStr">
        <is>
          <t>击中时，获得伤害注能，伤害注能上限 +1，3s</t>
        </is>
      </c>
      <c r="C176" s="31" t="n">
        <v>0</v>
      </c>
      <c r="D176" s="29" t="n"/>
      <c r="E176" s="29" t="n"/>
      <c r="F176" s="29" t="n">
        <v>1001</v>
      </c>
      <c r="G176" s="31" t="n">
        <v>3</v>
      </c>
      <c r="H176" s="26" t="inlineStr">
        <is>
          <t>talent/common_3/huimie_zhili</t>
        </is>
      </c>
      <c r="I176" s="31" t="inlineStr">
        <is>
          <t>毁灭之力</t>
        </is>
      </c>
      <c r="J176" s="31" t="inlineStr">
        <is>
          <t>击中时，获得毁灭注能，毁灭注能层数上限+1</t>
        </is>
      </c>
      <c r="K176" s="31" t="n">
        <v>1</v>
      </c>
      <c r="L176" s="31" t="n">
        <v>10149</v>
      </c>
      <c r="M176" s="31" t="inlineStr">
        <is>
          <t>[[1]]</t>
        </is>
      </c>
      <c r="N176" s="31" t="n">
        <v>2150000300</v>
      </c>
    </row>
    <row r="177" customFormat="1" s="31">
      <c r="A177" s="29" t="n">
        <v>1002101</v>
      </c>
      <c r="B177" s="25" t="inlineStr">
        <is>
          <t>暴击伤害增加 X</t>
        </is>
      </c>
      <c r="C177" s="31" t="n">
        <v>0</v>
      </c>
      <c r="D177" s="29" t="n"/>
      <c r="E177" s="29" t="n"/>
      <c r="F177" s="29" t="n">
        <v>1002</v>
      </c>
      <c r="G177" s="31" t="n">
        <v>1</v>
      </c>
      <c r="H177" s="26" t="inlineStr">
        <is>
          <t>talent/common_1/baojishanghai</t>
        </is>
      </c>
      <c r="I177" s="31" t="inlineStr">
        <is>
          <t>基础天赋</t>
        </is>
      </c>
      <c r="J177" s="31" t="inlineStr">
        <is>
          <t>暴击伤害增加8%</t>
        </is>
      </c>
      <c r="K177" s="31" t="n">
        <v>7</v>
      </c>
      <c r="O177" s="31" t="inlineStr">
        <is>
          <t>[[10200,0.08]]</t>
        </is>
      </c>
    </row>
    <row r="178" customFormat="1" s="31">
      <c r="A178" s="29" t="n">
        <v>1002102</v>
      </c>
      <c r="B178" s="25" t="inlineStr">
        <is>
          <t>暴击率提高 X</t>
        </is>
      </c>
      <c r="C178" s="31" t="n">
        <v>0</v>
      </c>
      <c r="D178" s="29" t="n"/>
      <c r="E178" s="29" t="n"/>
      <c r="F178" s="29" t="n">
        <v>1002</v>
      </c>
      <c r="G178" s="31" t="n">
        <v>1</v>
      </c>
      <c r="H178" s="26" t="inlineStr">
        <is>
          <t>talent/common_1/baojilv</t>
        </is>
      </c>
      <c r="I178" s="31" t="inlineStr">
        <is>
          <t>基础天赋</t>
        </is>
      </c>
      <c r="J178" s="31" t="inlineStr">
        <is>
          <t>暴击率提高15%</t>
        </is>
      </c>
      <c r="K178" s="31" t="n">
        <v>7</v>
      </c>
      <c r="L178" s="31" t="n">
        <v>10039</v>
      </c>
      <c r="M178" s="31" t="inlineStr">
        <is>
          <t>[[0.15]]</t>
        </is>
      </c>
    </row>
    <row r="179" customFormat="1" s="31">
      <c r="A179" s="29" t="n">
        <v>1002103</v>
      </c>
      <c r="B179" s="25" t="inlineStr">
        <is>
          <t>法术暴击率提高</t>
        </is>
      </c>
      <c r="C179" s="31" t="n">
        <v>0</v>
      </c>
      <c r="D179" s="29" t="n"/>
      <c r="E179" s="29" t="n"/>
      <c r="F179" s="29" t="n">
        <v>1002</v>
      </c>
      <c r="G179" s="31" t="n">
        <v>1</v>
      </c>
      <c r="H179" s="26" t="inlineStr">
        <is>
          <t>talent/common_1/baojilv</t>
        </is>
      </c>
      <c r="I179" s="31" t="inlineStr">
        <is>
          <t>基础天赋</t>
        </is>
      </c>
      <c r="J179" s="31" t="inlineStr">
        <is>
          <t>法术暴击率提高18%</t>
        </is>
      </c>
      <c r="K179" s="31" t="n">
        <v>7</v>
      </c>
      <c r="L179" s="31" t="n">
        <v>10170</v>
      </c>
      <c r="M179" s="31" t="inlineStr">
        <is>
          <t>[[0.18]]</t>
        </is>
      </c>
    </row>
    <row r="180" customFormat="1" s="31">
      <c r="A180" s="29" t="n">
        <v>1002104</v>
      </c>
      <c r="B180" s="25" t="inlineStr">
        <is>
          <t>攻击暴击率提高</t>
        </is>
      </c>
      <c r="C180" s="31" t="n">
        <v>0</v>
      </c>
      <c r="D180" s="29" t="n"/>
      <c r="E180" s="29" t="n"/>
      <c r="F180" s="29" t="n">
        <v>1002</v>
      </c>
      <c r="G180" s="31" t="n">
        <v>1</v>
      </c>
      <c r="H180" s="26" t="inlineStr">
        <is>
          <t>talent/common_1/baojilv</t>
        </is>
      </c>
      <c r="I180" s="31" t="inlineStr">
        <is>
          <t>基础天赋</t>
        </is>
      </c>
      <c r="J180" s="31" t="inlineStr">
        <is>
          <t>攻击暴击率提高18%</t>
        </is>
      </c>
      <c r="K180" s="31" t="n">
        <v>7</v>
      </c>
      <c r="L180" s="31" t="n">
        <v>10176</v>
      </c>
      <c r="M180" s="31" t="inlineStr">
        <is>
          <t>[[0.18]]</t>
        </is>
      </c>
    </row>
    <row r="181" customFormat="1" s="31">
      <c r="A181" s="29" t="n">
        <v>1002105</v>
      </c>
      <c r="B181" s="25" t="inlineStr">
        <is>
          <t>法术暴击伤害提高</t>
        </is>
      </c>
      <c r="C181" s="31" t="n">
        <v>0</v>
      </c>
      <c r="D181" s="29" t="n"/>
      <c r="E181" s="29" t="n"/>
      <c r="F181" s="29" t="n">
        <v>1002</v>
      </c>
      <c r="G181" s="31" t="n">
        <v>1</v>
      </c>
      <c r="H181" s="26" t="inlineStr">
        <is>
          <t>talent/common_1/baojishanghai</t>
        </is>
      </c>
      <c r="I181" s="31" t="inlineStr">
        <is>
          <t>基础天赋</t>
        </is>
      </c>
      <c r="J181" s="31" t="inlineStr">
        <is>
          <t>法术暴击伤害提高9%</t>
        </is>
      </c>
      <c r="K181" s="31" t="n">
        <v>7</v>
      </c>
      <c r="L181" s="31" t="n">
        <v>10083</v>
      </c>
      <c r="M181" s="31" t="inlineStr">
        <is>
          <t>[[0.09]]</t>
        </is>
      </c>
    </row>
    <row r="182" customFormat="1" s="31">
      <c r="A182" s="29" t="n">
        <v>1002106</v>
      </c>
      <c r="B182" s="25" t="inlineStr">
        <is>
          <t>攻击暴击伤害提高</t>
        </is>
      </c>
      <c r="C182" s="31" t="n">
        <v>0</v>
      </c>
      <c r="D182" s="29" t="n"/>
      <c r="E182" s="29" t="n"/>
      <c r="F182" s="29" t="n">
        <v>1002</v>
      </c>
      <c r="G182" s="31" t="n">
        <v>1</v>
      </c>
      <c r="H182" s="26" t="inlineStr">
        <is>
          <t>talent/common_1/baojishanghai</t>
        </is>
      </c>
      <c r="I182" s="31" t="inlineStr">
        <is>
          <t>基础天赋</t>
        </is>
      </c>
      <c r="J182" s="31" t="inlineStr">
        <is>
          <t>攻击暴击伤害提高9%</t>
        </is>
      </c>
      <c r="K182" s="31" t="n">
        <v>7</v>
      </c>
      <c r="L182" s="31" t="n">
        <v>10082</v>
      </c>
      <c r="M182" s="31" t="inlineStr">
        <is>
          <t>[[0.09]]</t>
        </is>
      </c>
    </row>
    <row r="183" customFormat="1" s="31">
      <c r="A183" s="29" t="n">
        <v>1002107</v>
      </c>
      <c r="B183" s="25" t="inlineStr">
        <is>
          <t>暴击造成的非伤害性异常状态效果提升 30%</t>
        </is>
      </c>
      <c r="C183" s="31" t="n">
        <v>0</v>
      </c>
      <c r="D183" s="29" t="n"/>
      <c r="E183" s="29" t="n"/>
      <c r="F183" s="29" t="n">
        <v>1002</v>
      </c>
      <c r="G183" s="31" t="n">
        <v>1</v>
      </c>
      <c r="H183" s="26" t="inlineStr">
        <is>
          <t>talent/common_1/fumianxiaoguotisheng</t>
        </is>
      </c>
      <c r="I183" s="31" t="inlineStr">
        <is>
          <t>基础天赋</t>
        </is>
      </c>
      <c r="J183" s="31" t="inlineStr">
        <is>
          <t>暴击造成的非伤害性异常状态效果提升6%</t>
        </is>
      </c>
      <c r="K183" s="31" t="n">
        <v>7</v>
      </c>
      <c r="L183" s="31" t="n">
        <v>10204</v>
      </c>
      <c r="M183" s="31" t="inlineStr">
        <is>
          <t>[[0.06]]</t>
        </is>
      </c>
    </row>
    <row r="184" customFormat="1" s="31">
      <c r="A184" s="29" t="n">
        <v>1002108</v>
      </c>
      <c r="B184" s="25" t="inlineStr">
        <is>
          <t>受到的暴击伤害降低 X</t>
        </is>
      </c>
      <c r="C184" s="31" t="n">
        <v>0</v>
      </c>
      <c r="D184" s="29" t="n"/>
      <c r="E184" s="29" t="n"/>
      <c r="F184" s="29" t="n">
        <v>1002</v>
      </c>
      <c r="G184" s="31" t="n">
        <v>1</v>
      </c>
      <c r="H184" s="26" t="inlineStr">
        <is>
          <t>talent/common_1/baoshangjianmian</t>
        </is>
      </c>
      <c r="I184" s="31" t="inlineStr">
        <is>
          <t>基础天赋</t>
        </is>
      </c>
      <c r="J184" s="31" t="inlineStr">
        <is>
          <t>受到的暴击伤害降低1.5%</t>
        </is>
      </c>
      <c r="K184" s="31" t="n">
        <v>7</v>
      </c>
      <c r="L184" s="31" t="n"/>
      <c r="M184" s="31" t="n"/>
      <c r="O184" s="31" t="inlineStr">
        <is>
          <t>[[11079,0.015]]</t>
        </is>
      </c>
    </row>
    <row r="185" customFormat="1" s="31">
      <c r="A185" s="29" t="n">
        <v>1002109</v>
      </c>
      <c r="B185" s="25" t="inlineStr">
        <is>
          <t>暴击注能持续时间增加 X</t>
        </is>
      </c>
      <c r="C185" s="31" t="n">
        <v>0</v>
      </c>
      <c r="D185" s="29" t="n"/>
      <c r="E185" s="29" t="n"/>
      <c r="F185" s="29" t="n">
        <v>1002</v>
      </c>
      <c r="G185" s="31" t="n">
        <v>1</v>
      </c>
      <c r="H185" s="26" t="inlineStr">
        <is>
          <t>talent/common_1/chixushijian</t>
        </is>
      </c>
      <c r="I185" s="31" t="inlineStr">
        <is>
          <t>基础天赋</t>
        </is>
      </c>
      <c r="J185" s="31" t="inlineStr">
        <is>
          <t>洞察注能持续时间增加9%</t>
        </is>
      </c>
      <c r="K185" s="31" t="n">
        <v>7</v>
      </c>
      <c r="L185" s="31" t="n">
        <v>10189</v>
      </c>
      <c r="M185" s="31" t="inlineStr">
        <is>
          <t>[[0.09]]</t>
        </is>
      </c>
    </row>
    <row r="186" customFormat="1" s="31">
      <c r="A186" s="29" t="n">
        <v>1002110</v>
      </c>
      <c r="B186" s="25" t="inlineStr">
        <is>
          <t>投射物暴击率对七米外的敌人提高</t>
        </is>
      </c>
      <c r="C186" s="31" t="n">
        <v>0</v>
      </c>
      <c r="D186" s="29" t="n"/>
      <c r="E186" s="29" t="n"/>
      <c r="F186" s="29" t="n">
        <v>1002</v>
      </c>
      <c r="G186" s="31" t="n">
        <v>1</v>
      </c>
      <c r="H186" s="26" t="inlineStr">
        <is>
          <t>talent/common_1/baojilv</t>
        </is>
      </c>
      <c r="I186" s="31" t="inlineStr">
        <is>
          <t>基础天赋</t>
        </is>
      </c>
      <c r="J186" s="31" t="inlineStr">
        <is>
          <t>投射物暴击率对10M外的敌人提高24%</t>
        </is>
      </c>
      <c r="K186" s="31" t="n">
        <v>7</v>
      </c>
      <c r="L186" s="31" t="n">
        <v>10227</v>
      </c>
      <c r="M186" s="31" t="inlineStr">
        <is>
          <t>[[0.24]]</t>
        </is>
      </c>
    </row>
    <row r="187" customFormat="1" s="31">
      <c r="A187" s="29" t="n">
        <v>1002111</v>
      </c>
      <c r="B187" s="31" t="inlineStr">
        <is>
          <t>近战技能在连续攻击时，暴击值提高</t>
        </is>
      </c>
      <c r="C187" s="31" t="n">
        <v>0</v>
      </c>
      <c r="D187" s="31" t="n"/>
      <c r="E187" s="31" t="n"/>
      <c r="F187" s="31" t="n">
        <v>1002</v>
      </c>
      <c r="G187" s="31" t="n">
        <v>1</v>
      </c>
      <c r="H187" s="26" t="inlineStr">
        <is>
          <t>talent/common_1/baojilv</t>
        </is>
      </c>
      <c r="I187" s="31" t="inlineStr">
        <is>
          <t>基础天赋</t>
        </is>
      </c>
      <c r="J187" s="31" t="inlineStr">
        <is>
          <t>如果你近期没有造成暴击，则暴击率提高36%（近期为4秒）</t>
        </is>
      </c>
      <c r="K187" s="31" t="n">
        <v>7</v>
      </c>
      <c r="L187" s="31" t="n">
        <v>10039</v>
      </c>
      <c r="M187" s="31" t="inlineStr">
        <is>
          <t>[[0.36]]</t>
        </is>
      </c>
      <c r="N187" s="31" t="n">
        <v>2150000520</v>
      </c>
    </row>
    <row r="188" customFormat="1" s="31">
      <c r="A188" s="29" t="n">
        <v>1002112</v>
      </c>
      <c r="B188" s="25" t="inlineStr">
        <is>
          <t>对异常状态敌人时，暴击率提高 X</t>
        </is>
      </c>
      <c r="C188" s="31" t="n">
        <v>0</v>
      </c>
      <c r="D188" s="29" t="n"/>
      <c r="E188" s="29" t="n"/>
      <c r="F188" s="29" t="n">
        <v>1002</v>
      </c>
      <c r="G188" s="31" t="n">
        <v>1</v>
      </c>
      <c r="H188" s="26" t="inlineStr">
        <is>
          <t>talent/common_1/baojilv</t>
        </is>
      </c>
      <c r="I188" s="31" t="inlineStr">
        <is>
          <t>基础天赋</t>
        </is>
      </c>
      <c r="J188" s="31" t="inlineStr">
        <is>
          <t>对异常状态敌人时，暴击率提高18%</t>
        </is>
      </c>
      <c r="K188" s="31" t="n">
        <v>7</v>
      </c>
      <c r="L188" s="31" t="n">
        <v>10196</v>
      </c>
      <c r="M188" s="31" t="inlineStr">
        <is>
          <t>[[0.18]]</t>
        </is>
      </c>
    </row>
    <row r="189" customFormat="1" s="31">
      <c r="A189" s="29" t="n">
        <v>1002201</v>
      </c>
      <c r="B189" s="25" t="inlineStr">
        <is>
          <t>暴击注能上限 +1</t>
        </is>
      </c>
      <c r="C189" s="31" t="n">
        <v>0</v>
      </c>
      <c r="D189" s="29" t="n"/>
      <c r="E189" s="29" t="n"/>
      <c r="F189" s="29" t="n">
        <v>1002</v>
      </c>
      <c r="G189" s="31" t="n">
        <v>2</v>
      </c>
      <c r="H189" s="26" t="inlineStr">
        <is>
          <t>talent/common_2/wusenengliangqiu</t>
        </is>
      </c>
      <c r="I189" s="31" t="inlineStr">
        <is>
          <t>进阶天赋</t>
        </is>
      </c>
      <c r="J189" s="31" t="inlineStr">
        <is>
          <t>洞察注能上限+1</t>
        </is>
      </c>
      <c r="K189" s="31" t="n">
        <v>1</v>
      </c>
      <c r="L189" s="31" t="n">
        <v>10150</v>
      </c>
      <c r="M189" s="31" t="inlineStr">
        <is>
          <t>[[1]]</t>
        </is>
      </c>
    </row>
    <row r="190" customFormat="1" s="31">
      <c r="A190" s="29" t="n">
        <v>1002202</v>
      </c>
      <c r="B190" s="25" t="inlineStr">
        <is>
          <t>对满血敌人的暴击伤害提高</t>
        </is>
      </c>
      <c r="C190" s="31" t="n">
        <v>0</v>
      </c>
      <c r="D190" s="29" t="n"/>
      <c r="E190" s="29" t="n"/>
      <c r="F190" s="29" t="n">
        <v>1002</v>
      </c>
      <c r="G190" s="31" t="n">
        <v>2</v>
      </c>
      <c r="H190" s="26" t="inlineStr">
        <is>
          <t>talent/common_2/baojishanghai</t>
        </is>
      </c>
      <c r="I190" s="31" t="inlineStr">
        <is>
          <t>进阶天赋</t>
        </is>
      </c>
      <c r="J190" s="31" t="inlineStr">
        <is>
          <t>对满血敌人的暴击伤害提高20%</t>
        </is>
      </c>
      <c r="K190" s="31" t="n">
        <v>1</v>
      </c>
      <c r="L190" s="31" t="n">
        <v>10194</v>
      </c>
      <c r="M190" s="31" t="inlineStr">
        <is>
          <t>[[0.2]]</t>
        </is>
      </c>
    </row>
    <row r="191" customFormat="1" s="31">
      <c r="A191" s="29" t="n">
        <v>1002203</v>
      </c>
      <c r="B191" s="25" t="inlineStr">
        <is>
          <t>造成冰冻效果时，有 20% 概率获得暴击注能</t>
        </is>
      </c>
      <c r="C191" s="31" t="n">
        <v>0</v>
      </c>
      <c r="D191" s="29" t="n"/>
      <c r="E191" s="29" t="n"/>
      <c r="F191" s="29" t="n">
        <v>1002</v>
      </c>
      <c r="G191" s="31" t="n">
        <v>2</v>
      </c>
      <c r="H191" s="26" t="inlineStr">
        <is>
          <t>talent/common_2/binglengnengliangqiu</t>
        </is>
      </c>
      <c r="I191" s="31" t="inlineStr">
        <is>
          <t>进阶天赋</t>
        </is>
      </c>
      <c r="J191" s="31" t="inlineStr">
        <is>
          <t>造成冰冻效果时，有20%概率获得洞察注能</t>
        </is>
      </c>
      <c r="K191" s="31" t="n">
        <v>1</v>
      </c>
      <c r="N191" s="31" t="n">
        <v>2150000180</v>
      </c>
    </row>
    <row r="192" customFormat="1" s="31">
      <c r="A192" s="29" t="n">
        <v>1002204</v>
      </c>
      <c r="B192" s="25" t="inlineStr">
        <is>
          <t>暴击伤害对精英敌人提高 X</t>
        </is>
      </c>
      <c r="C192" s="31" t="n">
        <v>0</v>
      </c>
      <c r="D192" s="29" t="n"/>
      <c r="E192" s="29" t="n"/>
      <c r="F192" s="29" t="n">
        <v>1002</v>
      </c>
      <c r="G192" s="31" t="n">
        <v>2</v>
      </c>
      <c r="H192" s="26" t="inlineStr">
        <is>
          <t>talent/common_2/baojishanghai</t>
        </is>
      </c>
      <c r="I192" s="31" t="inlineStr">
        <is>
          <t>进阶天赋</t>
        </is>
      </c>
      <c r="J192" s="31" t="inlineStr">
        <is>
          <t>暴击伤害对精英敌人提高10%</t>
        </is>
      </c>
      <c r="K192" s="31" t="n">
        <v>1</v>
      </c>
      <c r="L192" s="31" t="n">
        <v>10195</v>
      </c>
      <c r="M192" s="31" t="inlineStr">
        <is>
          <t>[[0.1]]</t>
        </is>
      </c>
      <c r="N192" s="31" t="n"/>
    </row>
    <row r="193" customFormat="1" s="31">
      <c r="A193" s="29" t="n">
        <v>1002205</v>
      </c>
      <c r="B193" s="25" t="inlineStr">
        <is>
          <t>攻击打出暴击时，有 5% 几率施加瘫痪</t>
        </is>
      </c>
      <c r="C193" s="31" t="n">
        <v>0</v>
      </c>
      <c r="D193" s="29" t="n"/>
      <c r="E193" s="29" t="n"/>
      <c r="F193" s="29" t="n">
        <v>1002</v>
      </c>
      <c r="G193" s="31" t="n">
        <v>2</v>
      </c>
      <c r="H193" s="26" t="inlineStr">
        <is>
          <t>talent/common_2/fumianxiaoguotisheng</t>
        </is>
      </c>
      <c r="I193" s="31" t="inlineStr">
        <is>
          <t>进阶天赋</t>
        </is>
      </c>
      <c r="J193" s="31" t="inlineStr">
        <is>
          <t>攻击打出暴击时，有5%几率施加瘫痪</t>
        </is>
      </c>
      <c r="K193" s="31" t="n">
        <v>1</v>
      </c>
      <c r="N193" s="31" t="n">
        <v>2150000200</v>
      </c>
    </row>
    <row r="194" customFormat="1" s="31">
      <c r="A194" s="29" t="n">
        <v>1002206</v>
      </c>
      <c r="B194" s="25" t="inlineStr">
        <is>
          <t>法术打出暴击时，有 5% 几率施加软弱</t>
        </is>
      </c>
      <c r="C194" s="31" t="n">
        <v>0</v>
      </c>
      <c r="D194" s="29" t="n"/>
      <c r="E194" s="29" t="n"/>
      <c r="F194" s="29" t="n">
        <v>1002</v>
      </c>
      <c r="G194" s="31" t="n">
        <v>2</v>
      </c>
      <c r="H194" s="26" t="inlineStr">
        <is>
          <t>talent/common_2/fumianxiaoguotisheng</t>
        </is>
      </c>
      <c r="I194" s="31" t="inlineStr">
        <is>
          <t>进阶天赋</t>
        </is>
      </c>
      <c r="J194" s="31" t="inlineStr">
        <is>
          <t>法术打出暴击时，有5%几率施加软弱</t>
        </is>
      </c>
      <c r="K194" s="31" t="n">
        <v>1</v>
      </c>
      <c r="N194" s="31" t="n">
        <v>2150000210</v>
      </c>
    </row>
    <row r="195" customFormat="1" s="31">
      <c r="A195" s="29" t="n">
        <v>1002301</v>
      </c>
      <c r="B195" s="25" t="inlineStr">
        <is>
          <t>暴击伤害无增伤，但伤害额外提高 50%</t>
        </is>
      </c>
      <c r="C195" s="31" t="n">
        <v>0</v>
      </c>
      <c r="D195" s="29" t="n"/>
      <c r="E195" s="29" t="n"/>
      <c r="F195" s="29" t="n">
        <v>1002</v>
      </c>
      <c r="G195" s="31" t="n">
        <v>3</v>
      </c>
      <c r="H195" s="26" t="inlineStr">
        <is>
          <t>talent/common_3/wending_gongshi</t>
        </is>
      </c>
      <c r="I195" s="31" t="inlineStr">
        <is>
          <t>稳定攻势</t>
        </is>
      </c>
      <c r="J195" s="31" t="inlineStr">
        <is>
          <t>暴击伤害无增伤，但伤害额外提高60%</t>
        </is>
      </c>
      <c r="K195" s="31" t="n">
        <v>1</v>
      </c>
      <c r="L195" s="31" t="n">
        <v>10146</v>
      </c>
      <c r="M195" s="31" t="inlineStr">
        <is>
          <t>[[0.6]]</t>
        </is>
      </c>
      <c r="O195" s="31" t="inlineStr">
        <is>
          <t>[[10200,-10]]</t>
        </is>
      </c>
    </row>
    <row r="196" customFormat="1" s="31">
      <c r="A196" s="29" t="n">
        <v>1002302</v>
      </c>
      <c r="B196" s="25" t="inlineStr">
        <is>
          <t>击中时，获得暴击注能，暴击注能上限 +1</t>
        </is>
      </c>
      <c r="C196" s="31" t="n">
        <v>0</v>
      </c>
      <c r="D196" s="29" t="n"/>
      <c r="E196" s="29" t="n"/>
      <c r="F196" s="29" t="n">
        <v>1002</v>
      </c>
      <c r="G196" s="31" t="n">
        <v>3</v>
      </c>
      <c r="H196" s="26" t="inlineStr">
        <is>
          <t>talent/common_3/dongcha_zhili</t>
        </is>
      </c>
      <c r="I196" s="31" t="inlineStr">
        <is>
          <t>洞察之力</t>
        </is>
      </c>
      <c r="J196" s="31" t="inlineStr">
        <is>
          <t>击中时，获得洞察注能，洞察注能上限+1</t>
        </is>
      </c>
      <c r="K196" s="31" t="n">
        <v>1</v>
      </c>
      <c r="L196" s="31" t="n">
        <v>10150</v>
      </c>
      <c r="M196" s="31" t="inlineStr">
        <is>
          <t>[[1]]</t>
        </is>
      </c>
      <c r="N196" s="31" t="n">
        <v>2150000310</v>
      </c>
    </row>
    <row r="197" customFormat="1" s="31">
      <c r="A197" s="29" t="n">
        <v>1002303</v>
      </c>
      <c r="B197" s="25" t="inlineStr">
        <is>
          <t>暴击时，获得增益，伤害额外提高 7%，但暴击率降低 25%，层数上限 5 层，持续时间3秒</t>
        </is>
      </c>
      <c r="C197" s="31" t="n">
        <v>0</v>
      </c>
      <c r="D197" s="29" t="n"/>
      <c r="E197" s="29" t="n"/>
      <c r="F197" s="29" t="n">
        <v>1002</v>
      </c>
      <c r="G197" s="31" t="n">
        <v>3</v>
      </c>
      <c r="H197" s="26" t="inlineStr">
        <is>
          <t>talent/common_3/shixu_menggong</t>
        </is>
      </c>
      <c r="I197" s="31" t="inlineStr">
        <is>
          <t>失序猛攻</t>
        </is>
      </c>
      <c r="J197" s="31" t="inlineStr">
        <is>
          <t>暴击时，获得增益，伤害额外提高9%，但暴击率额外降低4%，层数上限5层，持续时间3秒</t>
        </is>
      </c>
      <c r="K197" s="31" t="n">
        <v>1</v>
      </c>
      <c r="N197" s="31" t="n">
        <v>2150000350</v>
      </c>
    </row>
    <row r="198" customFormat="1" s="31">
      <c r="A198" s="29" t="n">
        <v>1002304</v>
      </c>
      <c r="B198" s="25" t="inlineStr">
        <is>
          <t>暴击幸运（一次伤害的暴击判定进行两次，两次取有利结果）</t>
        </is>
      </c>
      <c r="C198" s="31" t="n">
        <v>0</v>
      </c>
      <c r="D198" s="29" t="n"/>
      <c r="E198" s="29" t="n"/>
      <c r="F198" s="29" t="n">
        <v>1002</v>
      </c>
      <c r="G198" s="31" t="n">
        <v>3</v>
      </c>
      <c r="H198" s="26" t="inlineStr">
        <is>
          <t>talent/common_3/baoji_xingyun</t>
        </is>
      </c>
      <c r="I198" s="31" t="inlineStr">
        <is>
          <t>暴击幸运</t>
        </is>
      </c>
      <c r="J198" s="31" t="inlineStr">
        <is>
          <t>暴击幸运（一次伤害的暴击判定进行两次，两次取有利结果）</t>
        </is>
      </c>
      <c r="K198" s="31" t="n">
        <v>1</v>
      </c>
      <c r="O198" s="31" t="inlineStr">
        <is>
          <t>[[11067,1]]</t>
        </is>
      </c>
    </row>
    <row r="199" customFormat="1" s="31">
      <c r="A199" s="29" t="n">
        <v>1003101</v>
      </c>
      <c r="B199" s="25" t="inlineStr">
        <is>
          <t>攻击速度提高</t>
        </is>
      </c>
      <c r="C199" s="31" t="n">
        <v>0</v>
      </c>
      <c r="D199" s="29" t="n"/>
      <c r="E199" s="29" t="n"/>
      <c r="F199" s="29" t="n">
        <v>1003</v>
      </c>
      <c r="G199" s="31" t="n">
        <v>1</v>
      </c>
      <c r="H199" s="26" t="inlineStr">
        <is>
          <t>talent/common_1/gongjisudu</t>
        </is>
      </c>
      <c r="I199" s="31" t="inlineStr">
        <is>
          <t>基础天赋</t>
        </is>
      </c>
      <c r="J199" s="31" t="inlineStr">
        <is>
          <t>攻击速度提高3%</t>
        </is>
      </c>
      <c r="K199" s="31" t="n">
        <v>7</v>
      </c>
      <c r="O199" s="31" t="inlineStr">
        <is>
          <t>[[10034,0.03]]</t>
        </is>
      </c>
    </row>
    <row r="200" customFormat="1" s="31">
      <c r="A200" s="29" t="n">
        <v>1003102</v>
      </c>
      <c r="B200" s="25" t="inlineStr">
        <is>
          <t>施法速度提高</t>
        </is>
      </c>
      <c r="C200" s="31" t="n">
        <v>0</v>
      </c>
      <c r="D200" s="29" t="n"/>
      <c r="E200" s="29" t="n"/>
      <c r="F200" s="29" t="n">
        <v>1003</v>
      </c>
      <c r="G200" s="31" t="n">
        <v>1</v>
      </c>
      <c r="H200" s="26" t="inlineStr">
        <is>
          <t>talent/common_1/gongjisudu</t>
        </is>
      </c>
      <c r="I200" s="31" t="inlineStr">
        <is>
          <t>基础天赋</t>
        </is>
      </c>
      <c r="J200" s="31" t="inlineStr">
        <is>
          <t>施法速度提高3%</t>
        </is>
      </c>
      <c r="K200" s="31" t="n">
        <v>7</v>
      </c>
      <c r="O200" s="31" t="inlineStr">
        <is>
          <t>[[10035,0.03]]</t>
        </is>
      </c>
    </row>
    <row r="201" customFormat="1" s="31">
      <c r="A201" s="29" t="n">
        <v>1003103</v>
      </c>
      <c r="B201" s="25" t="inlineStr">
        <is>
          <t>移动速度提高</t>
        </is>
      </c>
      <c r="C201" s="31" t="n">
        <v>0</v>
      </c>
      <c r="D201" s="29" t="n"/>
      <c r="E201" s="29" t="n"/>
      <c r="F201" s="29" t="n">
        <v>1003</v>
      </c>
      <c r="G201" s="31" t="n">
        <v>1</v>
      </c>
      <c r="H201" s="26" t="inlineStr">
        <is>
          <t>talent/common_1/yidongsudu</t>
        </is>
      </c>
      <c r="I201" s="31" t="inlineStr">
        <is>
          <t>基础天赋</t>
        </is>
      </c>
      <c r="J201" s="31" t="inlineStr">
        <is>
          <t>移动速度提高2%</t>
        </is>
      </c>
      <c r="K201" s="31" t="n">
        <v>7</v>
      </c>
      <c r="O201" s="31" t="inlineStr">
        <is>
          <t>[[10007,0.02]]</t>
        </is>
      </c>
    </row>
    <row r="202" customFormat="1" s="31">
      <c r="A202" s="29" t="n">
        <v>1003104</v>
      </c>
      <c r="B202" s="25" t="inlineStr">
        <is>
          <t>投射物速度提高</t>
        </is>
      </c>
      <c r="C202" s="31" t="n">
        <v>0</v>
      </c>
      <c r="D202" s="29" t="n"/>
      <c r="E202" s="29" t="n"/>
      <c r="F202" s="29" t="n">
        <v>1003</v>
      </c>
      <c r="G202" s="31" t="n">
        <v>1</v>
      </c>
      <c r="H202" s="26" t="inlineStr">
        <is>
          <t>talent/common_1/zidanfeixingsudu</t>
        </is>
      </c>
      <c r="I202" s="31" t="inlineStr">
        <is>
          <t>基础天赋</t>
        </is>
      </c>
      <c r="J202" s="31" t="inlineStr">
        <is>
          <t>投射物速度提高6%</t>
        </is>
      </c>
      <c r="K202" s="31" t="n">
        <v>7</v>
      </c>
      <c r="O202" s="31" t="inlineStr">
        <is>
          <t>[[10033,0.06]]</t>
        </is>
      </c>
    </row>
    <row r="203" customFormat="1" s="31">
      <c r="A203" s="29" t="n">
        <v>1003105</v>
      </c>
      <c r="B203" s="25" t="inlineStr">
        <is>
          <t>生命恢复速度增加</t>
        </is>
      </c>
      <c r="C203" s="31" t="n">
        <v>0</v>
      </c>
      <c r="D203" s="29" t="n"/>
      <c r="E203" s="29" t="n"/>
      <c r="F203" s="29" t="n">
        <v>1003</v>
      </c>
      <c r="G203" s="31" t="n">
        <v>1</v>
      </c>
      <c r="H203" s="26" t="inlineStr">
        <is>
          <t>talent/common_1/zhiliaosudu</t>
        </is>
      </c>
      <c r="I203" s="31" t="inlineStr">
        <is>
          <t>基础天赋</t>
        </is>
      </c>
      <c r="J203" s="31" t="inlineStr">
        <is>
          <t>生命恢复速度增加0.2%</t>
        </is>
      </c>
      <c r="K203" s="31" t="n">
        <v>7</v>
      </c>
      <c r="O203" s="31" t="inlineStr">
        <is>
          <t>[[10004,0.002]]</t>
        </is>
      </c>
    </row>
    <row r="204" customFormat="1" s="31">
      <c r="A204" s="29" t="n">
        <v>1003106</v>
      </c>
      <c r="B204" s="25" t="inlineStr">
        <is>
          <t>魔力恢复速度增加</t>
        </is>
      </c>
      <c r="C204" s="31" t="n">
        <v>0</v>
      </c>
      <c r="D204" s="29" t="n"/>
      <c r="E204" s="29" t="n"/>
      <c r="F204" s="29" t="n">
        <v>1003</v>
      </c>
      <c r="G204" s="31" t="n">
        <v>1</v>
      </c>
      <c r="H204" s="26" t="inlineStr">
        <is>
          <t>talent/common_1/zhiliaosudu</t>
        </is>
      </c>
      <c r="I204" s="31" t="inlineStr">
        <is>
          <t>基础天赋</t>
        </is>
      </c>
      <c r="J204" s="31" t="inlineStr">
        <is>
          <t>魔力恢复速度增加0.2%</t>
        </is>
      </c>
      <c r="K204" s="31" t="n">
        <v>7</v>
      </c>
      <c r="O204" s="31" t="inlineStr">
        <is>
          <t>[[10006,0.002]]</t>
        </is>
      </c>
    </row>
    <row r="205" customFormat="1" s="31">
      <c r="A205" s="29" t="n">
        <v>1003107</v>
      </c>
      <c r="B205" s="25" t="inlineStr">
        <is>
          <t>点燃伤害结算速度提高</t>
        </is>
      </c>
      <c r="C205" s="31" t="n">
        <v>0</v>
      </c>
      <c r="D205" s="29" t="n"/>
      <c r="E205" s="29" t="n"/>
      <c r="F205" s="29" t="n">
        <v>1003</v>
      </c>
      <c r="G205" s="31" t="n">
        <v>1</v>
      </c>
      <c r="H205" s="26" t="inlineStr">
        <is>
          <t>talent/common_1/huoyanshanghai</t>
        </is>
      </c>
      <c r="I205" s="31" t="inlineStr">
        <is>
          <t>基础天赋</t>
        </is>
      </c>
      <c r="J205" s="31" t="inlineStr">
        <is>
          <t>点燃伤害结算速度提高3%</t>
        </is>
      </c>
      <c r="K205" s="31" t="n">
        <v>7</v>
      </c>
      <c r="O205" s="31" t="inlineStr">
        <is>
          <t>[[11065,0.03]]</t>
        </is>
      </c>
    </row>
    <row r="206" customFormat="1" s="31">
      <c r="A206" s="29" t="n">
        <v>1003108</v>
      </c>
      <c r="B206" s="25" t="inlineStr">
        <is>
          <t>流血伤害结算速度提高</t>
        </is>
      </c>
      <c r="C206" s="31" t="n">
        <v>0</v>
      </c>
      <c r="D206" s="29" t="n"/>
      <c r="E206" s="29" t="n"/>
      <c r="F206" s="29" t="n">
        <v>1003</v>
      </c>
      <c r="G206" s="31" t="n">
        <v>1</v>
      </c>
      <c r="H206" s="26" t="inlineStr">
        <is>
          <t>talent/common_1/chixushanghai</t>
        </is>
      </c>
      <c r="I206" s="31" t="inlineStr">
        <is>
          <t>基础天赋</t>
        </is>
      </c>
      <c r="J206" s="31" t="inlineStr">
        <is>
          <t>流血伤害结算速度提高3%</t>
        </is>
      </c>
      <c r="K206" s="31" t="n">
        <v>7</v>
      </c>
      <c r="O206" s="31" t="inlineStr">
        <is>
          <t>[[11063,0.03]]</t>
        </is>
      </c>
    </row>
    <row r="207" customFormat="1" s="31">
      <c r="A207" s="29" t="n">
        <v>1003109</v>
      </c>
      <c r="B207" s="25" t="inlineStr">
        <is>
          <t>中毒伤害结算速度提高</t>
        </is>
      </c>
      <c r="C207" s="31" t="n">
        <v>0</v>
      </c>
      <c r="D207" s="29" t="n"/>
      <c r="E207" s="29" t="n"/>
      <c r="F207" s="29" t="n">
        <v>1003</v>
      </c>
      <c r="G207" s="31" t="n">
        <v>1</v>
      </c>
      <c r="H207" s="26" t="inlineStr">
        <is>
          <t>talent/common_1/hundunshanghai</t>
        </is>
      </c>
      <c r="I207" s="31" t="inlineStr">
        <is>
          <t>基础天赋</t>
        </is>
      </c>
      <c r="J207" s="31" t="inlineStr">
        <is>
          <t>中毒伤害结算速度提高3%</t>
        </is>
      </c>
      <c r="K207" s="31" t="n">
        <v>7</v>
      </c>
      <c r="O207" s="31" t="inlineStr">
        <is>
          <t>[[11064,0.03]]</t>
        </is>
      </c>
    </row>
    <row r="208" customFormat="1" s="31">
      <c r="A208" s="29" t="n">
        <v>1003110</v>
      </c>
      <c r="B208" s="25" t="inlineStr">
        <is>
          <t>冷却回复效率提高</t>
        </is>
      </c>
      <c r="C208" s="31" t="n">
        <v>0</v>
      </c>
      <c r="D208" s="29" t="n"/>
      <c r="E208" s="29" t="n"/>
      <c r="F208" s="29" t="n">
        <v>1003</v>
      </c>
      <c r="G208" s="31" t="n">
        <v>1</v>
      </c>
      <c r="H208" s="26" t="inlineStr">
        <is>
          <t>talent/common_1/chixushijian</t>
        </is>
      </c>
      <c r="I208" s="31" t="inlineStr">
        <is>
          <t>基础天赋</t>
        </is>
      </c>
      <c r="J208" s="31" t="inlineStr">
        <is>
          <t>冷却回复效率提高3%</t>
        </is>
      </c>
      <c r="K208" s="31" t="n">
        <v>7</v>
      </c>
      <c r="O208" s="31" t="inlineStr">
        <is>
          <t>[[11037,0.03]]</t>
        </is>
      </c>
    </row>
    <row r="209" customFormat="1" s="31">
      <c r="A209" s="29" t="n">
        <v>1003111</v>
      </c>
      <c r="B209" s="25" t="inlineStr">
        <is>
          <t>速度注能持续时间提高</t>
        </is>
      </c>
      <c r="C209" s="31" t="n">
        <v>0</v>
      </c>
      <c r="D209" s="29" t="n"/>
      <c r="E209" s="29" t="n"/>
      <c r="F209" s="29" t="n">
        <v>1003</v>
      </c>
      <c r="G209" s="31" t="n">
        <v>1</v>
      </c>
      <c r="H209" s="26" t="inlineStr">
        <is>
          <t>talent/common_1/chixushijian</t>
        </is>
      </c>
      <c r="I209" s="31" t="inlineStr">
        <is>
          <t>基础天赋</t>
        </is>
      </c>
      <c r="J209" s="31" t="inlineStr">
        <is>
          <t>速度注能持续时间提高3%</t>
        </is>
      </c>
      <c r="K209" s="31" t="n">
        <v>7</v>
      </c>
      <c r="L209" s="31" t="n">
        <v>10192</v>
      </c>
      <c r="M209" s="31" t="inlineStr">
        <is>
          <t>[[0.03]]</t>
        </is>
      </c>
    </row>
    <row r="210" customFormat="1" s="31">
      <c r="A210" s="29" t="n">
        <v>1003112</v>
      </c>
      <c r="B210" s="25" t="inlineStr">
        <is>
          <t>环绕速度提高</t>
        </is>
      </c>
      <c r="C210" s="31" t="n">
        <v>0</v>
      </c>
      <c r="D210" s="29" t="n"/>
      <c r="E210" s="29" t="n"/>
      <c r="F210" s="29" t="n">
        <v>1003</v>
      </c>
      <c r="G210" s="31" t="n">
        <v>1</v>
      </c>
      <c r="H210" s="26" t="inlineStr">
        <is>
          <t>talent/common_1/gongjisudu</t>
        </is>
      </c>
      <c r="I210" s="31" t="inlineStr">
        <is>
          <t>基础天赋</t>
        </is>
      </c>
      <c r="J210" s="31" t="inlineStr">
        <is>
          <t>环绕速度提高9%</t>
        </is>
      </c>
      <c r="K210" s="31" t="n">
        <v>7</v>
      </c>
      <c r="L210" s="31" t="n">
        <v>10132</v>
      </c>
      <c r="M210" s="31" t="inlineStr">
        <is>
          <t>[[0.09]]</t>
        </is>
      </c>
    </row>
    <row r="211" customFormat="1" s="31">
      <c r="A211" s="29" t="n">
        <v>1003113</v>
      </c>
      <c r="B211" s="25" t="inlineStr">
        <is>
          <t>药剂充能速度提高</t>
        </is>
      </c>
      <c r="C211" s="31" t="n">
        <v>0</v>
      </c>
      <c r="D211" s="29" t="n"/>
      <c r="E211" s="29" t="n"/>
      <c r="F211" s="29" t="n">
        <v>1003</v>
      </c>
      <c r="G211" s="31" t="n">
        <v>1</v>
      </c>
      <c r="H211" s="26" t="inlineStr">
        <is>
          <t>talent/common_1/zhiliaosudu</t>
        </is>
      </c>
      <c r="I211" s="31" t="inlineStr">
        <is>
          <t>基础天赋</t>
        </is>
      </c>
      <c r="J211" s="31" t="inlineStr">
        <is>
          <t>药剂充能速度提高9%</t>
        </is>
      </c>
      <c r="K211" s="31" t="n">
        <v>7</v>
      </c>
      <c r="O211" s="31" t="inlineStr">
        <is>
          <t>[[11066,0.09]]</t>
        </is>
      </c>
    </row>
    <row r="212" customFormat="1" s="31">
      <c r="A212" s="29" t="n">
        <v>1003114</v>
      </c>
      <c r="B212" s="25" t="inlineStr">
        <is>
          <t>强化效果冷却回复效率提高</t>
        </is>
      </c>
      <c r="C212" s="31" t="n">
        <v>0</v>
      </c>
      <c r="D212" s="29" t="n"/>
      <c r="E212" s="29" t="n"/>
      <c r="F212" s="29" t="n">
        <v>1003</v>
      </c>
      <c r="G212" s="31" t="n">
        <v>1</v>
      </c>
      <c r="H212" s="26" t="inlineStr">
        <is>
          <t>talent/common_1/chixushijian</t>
        </is>
      </c>
      <c r="I212" s="31" t="inlineStr">
        <is>
          <t>基础天赋</t>
        </is>
      </c>
      <c r="J212" s="31" t="inlineStr">
        <is>
          <t>强化效果冷却回复效率提高9%</t>
        </is>
      </c>
      <c r="K212" s="31" t="n">
        <v>7</v>
      </c>
      <c r="O212" s="31" t="inlineStr">
        <is>
          <t>[[11076,0.09]]</t>
        </is>
      </c>
    </row>
    <row r="213" customFormat="1" s="31">
      <c r="A213" s="29" t="n">
        <v>1003201</v>
      </c>
      <c r="B213" s="25" t="inlineStr">
        <is>
          <t>速度注能上限 +1</t>
        </is>
      </c>
      <c r="C213" s="31" t="n">
        <v>0</v>
      </c>
      <c r="D213" s="29" t="n"/>
      <c r="E213" s="29" t="n"/>
      <c r="F213" s="29" t="n">
        <v>1003</v>
      </c>
      <c r="G213" s="31" t="n">
        <v>2</v>
      </c>
      <c r="H213" s="26" t="inlineStr">
        <is>
          <t>talent/common_2/wusenengliangqiu</t>
        </is>
      </c>
      <c r="I213" s="31" t="inlineStr">
        <is>
          <t>进阶天赋</t>
        </is>
      </c>
      <c r="J213" s="31" t="inlineStr">
        <is>
          <t>速度注能上限+1</t>
        </is>
      </c>
      <c r="K213" s="31" t="n">
        <v>1</v>
      </c>
      <c r="L213" s="31" t="n">
        <v>10153</v>
      </c>
      <c r="M213" s="31" t="inlineStr">
        <is>
          <t>[[1]]</t>
        </is>
      </c>
    </row>
    <row r="214" customFormat="1" s="31">
      <c r="A214" s="29" t="n">
        <v>1003202</v>
      </c>
      <c r="B214" s="25" t="inlineStr">
        <is>
          <t>造成感电效果时，有 20% 几率获得速度注能</t>
        </is>
      </c>
      <c r="C214" s="31" t="n">
        <v>0</v>
      </c>
      <c r="D214" s="29" t="n"/>
      <c r="E214" s="29" t="n"/>
      <c r="F214" s="29" t="n">
        <v>1003</v>
      </c>
      <c r="G214" s="31" t="n">
        <v>2</v>
      </c>
      <c r="H214" s="26" t="inlineStr">
        <is>
          <t>talent/common_2/shandiannengliangqiu</t>
        </is>
      </c>
      <c r="I214" s="31" t="inlineStr">
        <is>
          <t>进阶天赋</t>
        </is>
      </c>
      <c r="J214" s="31" t="inlineStr">
        <is>
          <t>造成感电效果时，有20%几率获得速度注能</t>
        </is>
      </c>
      <c r="K214" s="31" t="n">
        <v>1</v>
      </c>
      <c r="N214" s="31" t="n">
        <v>2150000190</v>
      </c>
    </row>
    <row r="215" customFormat="1" s="31">
      <c r="A215" s="29" t="n">
        <v>1003203</v>
      </c>
      <c r="B215" s="25" t="inlineStr">
        <is>
          <t>击败时，移动速度增加 1%，层数上限 20 层，持续 4 秒</t>
        </is>
      </c>
      <c r="C215" s="31" t="n">
        <v>0</v>
      </c>
      <c r="D215" s="29" t="n"/>
      <c r="E215" s="29" t="n"/>
      <c r="F215" s="29" t="n">
        <v>1003</v>
      </c>
      <c r="G215" s="31" t="n">
        <v>2</v>
      </c>
      <c r="H215" s="26" t="inlineStr">
        <is>
          <t>talent/common_2/yidongsudu</t>
        </is>
      </c>
      <c r="I215" s="31" t="inlineStr">
        <is>
          <t>进阶天赋</t>
        </is>
      </c>
      <c r="J215" s="31" t="inlineStr">
        <is>
          <t>击败时，移动速度增加1%，层数上限20层，持续4秒</t>
        </is>
      </c>
      <c r="K215" s="31" t="n">
        <v>1</v>
      </c>
      <c r="N215" s="31" t="n">
        <v>2150000340</v>
      </c>
    </row>
    <row r="216" customFormat="1" s="31">
      <c r="A216" s="29" t="n">
        <v>1003204</v>
      </c>
      <c r="B216" s="25" t="inlineStr">
        <is>
          <t>周围有精英敌人时，攻击速度提高</t>
        </is>
      </c>
      <c r="C216" s="31" t="n">
        <v>0</v>
      </c>
      <c r="D216" s="29" t="n"/>
      <c r="E216" s="29" t="n"/>
      <c r="F216" s="29" t="n">
        <v>1003</v>
      </c>
      <c r="G216" s="31" t="n">
        <v>2</v>
      </c>
      <c r="H216" s="26" t="inlineStr">
        <is>
          <t>talent/common_2/gongjisudu</t>
        </is>
      </c>
      <c r="I216" s="31" t="inlineStr">
        <is>
          <t>进阶天赋</t>
        </is>
      </c>
      <c r="J216" s="31" t="inlineStr">
        <is>
          <t>周围有精英敌人时，攻击速度提高20%</t>
        </is>
      </c>
      <c r="K216" s="31" t="n">
        <v>1</v>
      </c>
      <c r="N216" s="31" t="n">
        <v>2150000360</v>
      </c>
    </row>
    <row r="217" customFormat="1" s="31">
      <c r="A217" s="29" t="n">
        <v>1003205</v>
      </c>
      <c r="B217" s="25" t="inlineStr">
        <is>
          <t>周围有精英敌人时，施法速度提高</t>
        </is>
      </c>
      <c r="C217" s="31" t="n">
        <v>0</v>
      </c>
      <c r="D217" s="29" t="n"/>
      <c r="E217" s="29" t="n"/>
      <c r="F217" s="29" t="n">
        <v>1003</v>
      </c>
      <c r="G217" s="31" t="n">
        <v>2</v>
      </c>
      <c r="H217" s="26" t="inlineStr">
        <is>
          <t>talent/common_2/gongjisudu</t>
        </is>
      </c>
      <c r="I217" s="31" t="inlineStr">
        <is>
          <t>进阶天赋</t>
        </is>
      </c>
      <c r="J217" s="31" t="inlineStr">
        <is>
          <t>周围有精英敌人时，施法速度提高20%</t>
        </is>
      </c>
      <c r="K217" s="31" t="n">
        <v>1</v>
      </c>
      <c r="N217" s="31" t="n">
        <v>2150000370</v>
      </c>
    </row>
    <row r="218" customFormat="1" s="31">
      <c r="A218" s="29" t="n">
        <v>1003301</v>
      </c>
      <c r="B218" s="25" t="inlineStr">
        <is>
          <t>击中时，获得速度注能，速度注能上限 +1</t>
        </is>
      </c>
      <c r="C218" s="31" t="n">
        <v>0</v>
      </c>
      <c r="D218" s="29" t="n"/>
      <c r="E218" s="29" t="n"/>
      <c r="F218" s="29" t="n">
        <v>1003</v>
      </c>
      <c r="G218" s="31" t="n">
        <v>3</v>
      </c>
      <c r="H218" s="26" t="inlineStr">
        <is>
          <t>talent/common_3/xunjie_zhili</t>
        </is>
      </c>
      <c r="I218" s="31" t="inlineStr">
        <is>
          <t>迅捷之力</t>
        </is>
      </c>
      <c r="J218" s="31" t="inlineStr">
        <is>
          <t>击中时，获得速度注能，速度注能上限+1</t>
        </is>
      </c>
      <c r="K218" s="31" t="n">
        <v>1</v>
      </c>
      <c r="L218" s="31" t="n">
        <v>10153</v>
      </c>
      <c r="M218" s="31" t="inlineStr">
        <is>
          <t>[[1]]</t>
        </is>
      </c>
      <c r="N218" s="31" t="n">
        <v>2150000320</v>
      </c>
    </row>
    <row r="219" customFormat="1" s="31">
      <c r="A219" s="29" t="n">
        <v>1003302</v>
      </c>
      <c r="B219" s="25" t="inlineStr">
        <is>
          <t>移动距离大于20M 时，近战伤害额外提高 50%，持续5秒</t>
        </is>
      </c>
      <c r="C219" s="31" t="n">
        <v>0</v>
      </c>
      <c r="D219" s="29" t="n"/>
      <c r="E219" s="29" t="n"/>
      <c r="F219" s="29" t="n">
        <v>1003</v>
      </c>
      <c r="G219" s="31" t="n">
        <v>3</v>
      </c>
      <c r="H219" s="26" t="inlineStr">
        <is>
          <t>talent/common_3/reshen</t>
        </is>
      </c>
      <c r="I219" s="31" t="inlineStr">
        <is>
          <t>热身</t>
        </is>
      </c>
      <c r="J219" s="31" t="inlineStr">
        <is>
          <t>移动距离大于20M时，近战伤害额外提高30%，持续5秒</t>
        </is>
      </c>
      <c r="K219" s="31" t="n">
        <v>1</v>
      </c>
      <c r="N219" s="31" t="n">
        <v>2150000330</v>
      </c>
    </row>
    <row r="220" customFormat="1" s="31">
      <c r="A220" s="29" t="n">
        <v>1003303</v>
      </c>
      <c r="B220" s="25" t="inlineStr">
        <is>
          <t>生命恢复速度同样作用于魔力回复，魔力回复速度也同样作用于生命回复</t>
        </is>
      </c>
      <c r="C220" s="31" t="n">
        <v>0</v>
      </c>
      <c r="D220" s="29" t="n"/>
      <c r="E220" s="29" t="n"/>
      <c r="F220" s="29" t="n">
        <v>1003</v>
      </c>
      <c r="G220" s="31" t="n">
        <v>3</v>
      </c>
      <c r="H220" s="26" t="inlineStr">
        <is>
          <t>talent/common_3/moxue</t>
        </is>
      </c>
      <c r="I220" s="31" t="inlineStr">
        <is>
          <t>魔血</t>
        </is>
      </c>
      <c r="J220" s="31" t="inlineStr">
        <is>
          <t>生命恢复速度同样作用于魔力回复，魔力回复速度也同样作用于生命回复</t>
        </is>
      </c>
      <c r="K220" s="31" t="n">
        <v>1</v>
      </c>
      <c r="L220" s="31" t="n"/>
      <c r="O220" s="31" t="inlineStr">
        <is>
          <t>[[11091,1]]</t>
        </is>
      </c>
    </row>
    <row r="221" customFormat="1" s="31">
      <c r="A221" s="29" t="n">
        <v>1003304</v>
      </c>
      <c r="B221" s="31" t="inlineStr">
        <is>
          <t>你在近期每对一名敌人造成点燃、中毒、流血，攻击速度和施法速度额外提高4%，最多40%</t>
        </is>
      </c>
      <c r="C221" s="31" t="n">
        <v>0</v>
      </c>
      <c r="D221" s="29" t="n"/>
      <c r="E221" s="29" t="n"/>
      <c r="F221" s="29" t="n">
        <v>1003</v>
      </c>
      <c r="G221" s="31" t="n">
        <v>3</v>
      </c>
      <c r="H221" s="26" t="inlineStr">
        <is>
          <t>talent/common_3/kunan_xingzhe</t>
        </is>
      </c>
      <c r="I221" s="31" t="inlineStr">
        <is>
          <t>苦难行者</t>
        </is>
      </c>
      <c r="J221" s="31" t="inlineStr">
        <is>
          <t>你在近期每对一名敌人造成点燃、中毒、流血，攻击速度和施法速度额外提高4%，最多40%</t>
        </is>
      </c>
      <c r="K221" s="31" t="n">
        <v>1</v>
      </c>
      <c r="N221" s="31" t="n">
        <v>2150000400</v>
      </c>
    </row>
    <row r="222" customFormat="1" s="31">
      <c r="A222" s="29" t="n">
        <v>1004101</v>
      </c>
      <c r="B222" s="28" t="inlineStr">
        <is>
          <t>增伤盘1-1</t>
        </is>
      </c>
      <c r="C222" s="31" t="n">
        <v>0</v>
      </c>
      <c r="D222" s="29" t="n"/>
      <c r="E222" s="29" t="n"/>
      <c r="F222" s="29" t="n">
        <v>1004</v>
      </c>
      <c r="G222" s="31" t="n">
        <v>1</v>
      </c>
      <c r="H222" s="26" t="inlineStr">
        <is>
          <t>talent/common_1/gongjili</t>
        </is>
      </c>
      <c r="I222" s="31" t="inlineStr">
        <is>
          <t>基础天赋</t>
        </is>
      </c>
      <c r="J222" s="31" t="inlineStr">
        <is>
          <t>攻击伤害提高9%</t>
        </is>
      </c>
      <c r="K222" s="31" t="n">
        <v>7</v>
      </c>
      <c r="L222" s="31" t="n">
        <v>10066</v>
      </c>
      <c r="M222" s="31" t="inlineStr">
        <is>
          <t>[[0.09]]</t>
        </is>
      </c>
    </row>
    <row r="223" customFormat="1" s="31">
      <c r="A223" s="29" t="n">
        <v>1004102</v>
      </c>
      <c r="B223" s="28" t="inlineStr">
        <is>
          <t>增伤盘1-2</t>
        </is>
      </c>
      <c r="C223" s="31" t="n">
        <v>0</v>
      </c>
      <c r="D223" s="29" t="n"/>
      <c r="E223" s="29" t="n"/>
      <c r="F223" s="29" t="n">
        <v>1004</v>
      </c>
      <c r="G223" s="31" t="n">
        <v>1</v>
      </c>
      <c r="H223" s="26" t="inlineStr">
        <is>
          <t>talent/common_1/yuansushanghai</t>
        </is>
      </c>
      <c r="I223" s="31" t="inlineStr">
        <is>
          <t>基础天赋</t>
        </is>
      </c>
      <c r="J223" s="31" t="inlineStr">
        <is>
          <t>法术伤害提高9%</t>
        </is>
      </c>
      <c r="K223" s="31" t="n">
        <v>7</v>
      </c>
      <c r="L223" s="31" t="n">
        <v>10067</v>
      </c>
      <c r="M223" s="31" t="inlineStr">
        <is>
          <t>[[0.09]]</t>
        </is>
      </c>
    </row>
    <row r="224" customFormat="1" s="31">
      <c r="A224" s="29" t="n">
        <v>1004103</v>
      </c>
      <c r="B224" s="28" t="inlineStr">
        <is>
          <t>增伤盘1-3</t>
        </is>
      </c>
      <c r="C224" s="31" t="n">
        <v>0</v>
      </c>
      <c r="D224" s="29" t="n"/>
      <c r="E224" s="29" t="n"/>
      <c r="F224" s="29" t="n">
        <v>1004</v>
      </c>
      <c r="G224" s="31" t="n">
        <v>1</v>
      </c>
      <c r="H224" s="26" t="inlineStr">
        <is>
          <t>talent/common_1/wulishanghai</t>
        </is>
      </c>
      <c r="I224" s="31" t="inlineStr">
        <is>
          <t>基础天赋</t>
        </is>
      </c>
      <c r="J224" s="31" t="inlineStr">
        <is>
          <t>物理伤害提高9%</t>
        </is>
      </c>
      <c r="K224" s="31" t="n">
        <v>7</v>
      </c>
      <c r="L224" s="31" t="n"/>
      <c r="O224" s="31" t="inlineStr">
        <is>
          <t>[[10303,0.09]]</t>
        </is>
      </c>
    </row>
    <row r="225" customFormat="1" s="31">
      <c r="A225" s="29" t="n">
        <v>1004104</v>
      </c>
      <c r="B225" s="28" t="inlineStr">
        <is>
          <t>增伤盘1-4</t>
        </is>
      </c>
      <c r="C225" s="31" t="n">
        <v>0</v>
      </c>
      <c r="D225" s="29" t="n"/>
      <c r="E225" s="29" t="n"/>
      <c r="F225" s="29" t="n">
        <v>1004</v>
      </c>
      <c r="G225" s="31" t="n">
        <v>1</v>
      </c>
      <c r="H225" s="26" t="inlineStr">
        <is>
          <t>talent/common_1/huoyanshanghai</t>
        </is>
      </c>
      <c r="I225" s="31" t="inlineStr">
        <is>
          <t>基础天赋</t>
        </is>
      </c>
      <c r="J225" s="31" t="inlineStr">
        <is>
          <t>火焰伤害提高9%</t>
        </is>
      </c>
      <c r="K225" s="31" t="n">
        <v>7</v>
      </c>
      <c r="L225" s="31" t="n"/>
      <c r="O225" s="31" t="inlineStr">
        <is>
          <t>[[10304,0.09]]</t>
        </is>
      </c>
    </row>
    <row r="226" customFormat="1" s="31">
      <c r="A226" s="29" t="n">
        <v>1004105</v>
      </c>
      <c r="B226" s="28" t="inlineStr">
        <is>
          <t>增伤盘1-5</t>
        </is>
      </c>
      <c r="C226" s="31" t="n">
        <v>0</v>
      </c>
      <c r="D226" s="29" t="n"/>
      <c r="E226" s="29" t="n"/>
      <c r="F226" s="29" t="n">
        <v>1004</v>
      </c>
      <c r="G226" s="31" t="n">
        <v>1</v>
      </c>
      <c r="H226" s="26" t="inlineStr">
        <is>
          <t>talent/common_1/binglengshanghai</t>
        </is>
      </c>
      <c r="I226" s="31" t="inlineStr">
        <is>
          <t>基础天赋</t>
        </is>
      </c>
      <c r="J226" s="31" t="inlineStr">
        <is>
          <t>冰冷伤害提高9%</t>
        </is>
      </c>
      <c r="K226" s="31" t="n">
        <v>7</v>
      </c>
      <c r="L226" s="31" t="n"/>
      <c r="O226" s="31" t="inlineStr">
        <is>
          <t>[[10305,0.09]]</t>
        </is>
      </c>
    </row>
    <row r="227" customFormat="1" s="31">
      <c r="A227" s="29" t="n">
        <v>1004106</v>
      </c>
      <c r="B227" s="28" t="inlineStr">
        <is>
          <t>增伤盘1-6</t>
        </is>
      </c>
      <c r="C227" s="31" t="n">
        <v>0</v>
      </c>
      <c r="D227" s="29" t="n"/>
      <c r="E227" s="29" t="n"/>
      <c r="F227" s="29" t="n">
        <v>1004</v>
      </c>
      <c r="G227" s="31" t="n">
        <v>1</v>
      </c>
      <c r="H227" s="26" t="inlineStr">
        <is>
          <t>talent/common_1/shandianshanghai</t>
        </is>
      </c>
      <c r="I227" s="31" t="inlineStr">
        <is>
          <t>基础天赋</t>
        </is>
      </c>
      <c r="J227" s="31" t="inlineStr">
        <is>
          <t>闪电伤害提高9%</t>
        </is>
      </c>
      <c r="K227" s="31" t="n">
        <v>7</v>
      </c>
      <c r="L227" s="31" t="n"/>
      <c r="O227" s="31" t="inlineStr">
        <is>
          <t>[[10306,0.09]]</t>
        </is>
      </c>
    </row>
    <row r="228" customFormat="1" s="31">
      <c r="A228" s="29" t="n">
        <v>1004107</v>
      </c>
      <c r="B228" s="28" t="inlineStr">
        <is>
          <t>增伤盘1-7</t>
        </is>
      </c>
      <c r="C228" s="31" t="n">
        <v>0</v>
      </c>
      <c r="D228" s="29" t="n"/>
      <c r="E228" s="29" t="n"/>
      <c r="F228" s="29" t="n">
        <v>1004</v>
      </c>
      <c r="G228" s="31" t="n">
        <v>1</v>
      </c>
      <c r="H228" s="26" t="inlineStr">
        <is>
          <t>talent/common_1/hundunshanghai</t>
        </is>
      </c>
      <c r="I228" s="31" t="inlineStr">
        <is>
          <t>基础天赋</t>
        </is>
      </c>
      <c r="J228" s="31" t="inlineStr">
        <is>
          <t>混沌伤害提高9%</t>
        </is>
      </c>
      <c r="K228" s="31" t="n">
        <v>7</v>
      </c>
      <c r="L228" s="31" t="n"/>
      <c r="O228" s="31" t="inlineStr">
        <is>
          <t>[[10307,0.09]]</t>
        </is>
      </c>
    </row>
    <row r="229" customFormat="1" s="31">
      <c r="A229" s="29" t="n">
        <v>1004108</v>
      </c>
      <c r="B229" s="28" t="inlineStr">
        <is>
          <t>增伤盘1-8</t>
        </is>
      </c>
      <c r="C229" s="31" t="n">
        <v>0</v>
      </c>
      <c r="D229" s="29" t="n"/>
      <c r="E229" s="29" t="n"/>
      <c r="F229" s="29" t="n">
        <v>1004</v>
      </c>
      <c r="G229" s="31" t="n">
        <v>1</v>
      </c>
      <c r="H229" s="26" t="inlineStr">
        <is>
          <t>talent/common_1/gongjili</t>
        </is>
      </c>
      <c r="I229" s="31" t="inlineStr">
        <is>
          <t>基础天赋</t>
        </is>
      </c>
      <c r="J229" s="31" t="inlineStr">
        <is>
          <t>近战伤害提高9%</t>
        </is>
      </c>
      <c r="K229" s="31" t="n">
        <v>7</v>
      </c>
      <c r="L229" s="31" t="n">
        <v>10063</v>
      </c>
      <c r="M229" s="31" t="inlineStr">
        <is>
          <t>[[0.09]]</t>
        </is>
      </c>
    </row>
    <row r="230" customFormat="1" s="31">
      <c r="A230" s="29" t="n">
        <v>1004109</v>
      </c>
      <c r="B230" s="28" t="inlineStr">
        <is>
          <t>增伤盘1-9</t>
        </is>
      </c>
      <c r="C230" s="31" t="n">
        <v>0</v>
      </c>
      <c r="D230" s="29" t="n"/>
      <c r="E230" s="29" t="n"/>
      <c r="F230" s="29" t="n">
        <v>1004</v>
      </c>
      <c r="G230" s="31" t="n">
        <v>1</v>
      </c>
      <c r="H230" s="26" t="inlineStr">
        <is>
          <t>talent/common_1/gongjili</t>
        </is>
      </c>
      <c r="I230" s="31" t="inlineStr">
        <is>
          <t>基础天赋</t>
        </is>
      </c>
      <c r="J230" s="31" t="inlineStr">
        <is>
          <t>投射物伤害提高9%</t>
        </is>
      </c>
      <c r="K230" s="31" t="n">
        <v>7</v>
      </c>
      <c r="L230" s="31" t="n">
        <v>10064</v>
      </c>
      <c r="M230" s="31" t="inlineStr">
        <is>
          <t>[[0.09]]</t>
        </is>
      </c>
    </row>
    <row r="231" customFormat="1" s="31">
      <c r="A231" s="29" t="n">
        <v>1004110</v>
      </c>
      <c r="B231" s="28" t="inlineStr">
        <is>
          <t>增伤盘1-10</t>
        </is>
      </c>
      <c r="C231" s="31" t="n">
        <v>0</v>
      </c>
      <c r="D231" s="29" t="n"/>
      <c r="E231" s="29" t="n"/>
      <c r="F231" s="29" t="n">
        <v>1004</v>
      </c>
      <c r="G231" s="31" t="n">
        <v>1</v>
      </c>
      <c r="H231" s="26" t="inlineStr">
        <is>
          <t>talent/common_1/shanghaifanwei</t>
        </is>
      </c>
      <c r="I231" s="31" t="inlineStr">
        <is>
          <t>基础天赋</t>
        </is>
      </c>
      <c r="J231" s="31" t="inlineStr">
        <is>
          <t>范围伤害提高5%，且范围效果扩大5%</t>
        </is>
      </c>
      <c r="K231" s="31" t="n">
        <v>7</v>
      </c>
      <c r="L231" s="31" t="inlineStr">
        <is>
          <t>10032|10062</t>
        </is>
      </c>
      <c r="M231" s="31" t="inlineStr">
        <is>
          <t>[[0.05],[0.05]]</t>
        </is>
      </c>
    </row>
    <row r="232" customFormat="1" s="31">
      <c r="A232" s="29" t="n">
        <v>1004111</v>
      </c>
      <c r="B232" s="28" t="inlineStr">
        <is>
          <t>增伤盘1-11</t>
        </is>
      </c>
      <c r="C232" s="31" t="n">
        <v>0</v>
      </c>
      <c r="D232" s="29" t="n"/>
      <c r="E232" s="29" t="n"/>
      <c r="F232" s="29" t="n">
        <v>1004</v>
      </c>
      <c r="G232" s="31" t="n">
        <v>1</v>
      </c>
      <c r="H232" s="26" t="inlineStr">
        <is>
          <t>talent/common_1/chixushanghai</t>
        </is>
      </c>
      <c r="I232" s="31" t="inlineStr">
        <is>
          <t>基础天赋</t>
        </is>
      </c>
      <c r="J232" s="31" t="inlineStr">
        <is>
          <t>持续伤害提高9%</t>
        </is>
      </c>
      <c r="K232" s="31" t="n">
        <v>7</v>
      </c>
      <c r="L232" s="31" t="n">
        <v>10193</v>
      </c>
      <c r="M232" s="31" t="inlineStr">
        <is>
          <t>[[0.09]]</t>
        </is>
      </c>
    </row>
    <row r="233" customFormat="1" s="31">
      <c r="A233" s="29" t="n">
        <v>1004112</v>
      </c>
      <c r="B233" s="28" t="inlineStr">
        <is>
          <t>增伤盘1-12</t>
        </is>
      </c>
      <c r="C233" s="31" t="n">
        <v>0</v>
      </c>
      <c r="D233" s="29" t="n"/>
      <c r="E233" s="29" t="n"/>
      <c r="F233" s="29" t="n">
        <v>1004</v>
      </c>
      <c r="G233" s="31" t="n">
        <v>1</v>
      </c>
      <c r="H233" s="26" t="inlineStr">
        <is>
          <t>talent/common_1/gongjili</t>
        </is>
      </c>
      <c r="I233" s="31" t="inlineStr">
        <is>
          <t>基础天赋</t>
        </is>
      </c>
      <c r="J233" s="31" t="inlineStr">
        <is>
          <t>强化伤害提高9%</t>
        </is>
      </c>
      <c r="K233" s="31" t="n">
        <v>7</v>
      </c>
      <c r="L233" s="31" t="n">
        <v>10194</v>
      </c>
      <c r="M233" s="31" t="inlineStr">
        <is>
          <t>[[0.09]]</t>
        </is>
      </c>
    </row>
    <row r="234" customFormat="1" s="31">
      <c r="A234" s="29" t="n">
        <v>1004201</v>
      </c>
      <c r="B234" s="28" t="inlineStr">
        <is>
          <t>增伤盘2-1</t>
        </is>
      </c>
      <c r="C234" s="31" t="n">
        <v>0</v>
      </c>
      <c r="D234" s="29" t="n"/>
      <c r="E234" s="29" t="n"/>
      <c r="F234" s="29" t="n">
        <v>1004</v>
      </c>
      <c r="G234" s="31" t="n">
        <v>2</v>
      </c>
      <c r="H234" s="26" t="inlineStr">
        <is>
          <t>talent/common_2/wusenengliangqiu</t>
        </is>
      </c>
      <c r="I234" s="31" t="inlineStr">
        <is>
          <t>进阶天赋</t>
        </is>
      </c>
      <c r="J234" s="31" t="inlineStr">
        <is>
          <t>拥有注能时，伤害额外提高10%</t>
        </is>
      </c>
      <c r="K234" s="31" t="n">
        <v>1</v>
      </c>
      <c r="N234" s="31" t="n">
        <v>2150000140</v>
      </c>
    </row>
    <row r="235" customFormat="1" s="31">
      <c r="A235" s="29" t="n">
        <v>1004202</v>
      </c>
      <c r="B235" s="28" t="inlineStr">
        <is>
          <t>增伤盘2-2</t>
        </is>
      </c>
      <c r="C235" s="31" t="n">
        <v>0</v>
      </c>
      <c r="D235" s="29" t="n"/>
      <c r="E235" s="29" t="n"/>
      <c r="F235" s="29" t="n">
        <v>1004</v>
      </c>
      <c r="G235" s="31" t="n">
        <v>2</v>
      </c>
      <c r="H235" s="26" t="inlineStr">
        <is>
          <t>talent/common_2/fumianxiaoguotisheng</t>
        </is>
      </c>
      <c r="I235" s="31" t="inlineStr">
        <is>
          <t>进阶天赋</t>
        </is>
      </c>
      <c r="J235" s="31" t="inlineStr">
        <is>
          <t>击败敌人时，回复2%魔力值</t>
        </is>
      </c>
      <c r="K235" s="31" t="n">
        <v>1</v>
      </c>
      <c r="N235" s="31" t="n">
        <v>3140000020</v>
      </c>
    </row>
    <row r="236" customFormat="1" s="31">
      <c r="A236" s="29" t="n">
        <v>1004203</v>
      </c>
      <c r="B236" s="28" t="inlineStr">
        <is>
          <t>增伤盘2-3</t>
        </is>
      </c>
      <c r="C236" s="31" t="n">
        <v>0</v>
      </c>
      <c r="D236" s="29" t="n"/>
      <c r="E236" s="29" t="n"/>
      <c r="F236" s="29" t="n">
        <v>1004</v>
      </c>
      <c r="G236" s="31" t="n">
        <v>2</v>
      </c>
      <c r="H236" s="26" t="inlineStr">
        <is>
          <t>talent/common_2/yuansushanghai</t>
        </is>
      </c>
      <c r="I236" s="31" t="inlineStr">
        <is>
          <t>进阶天赋</t>
        </is>
      </c>
      <c r="J236" s="31" t="inlineStr">
        <is>
          <t>击败敌人时，回复2%生命值</t>
        </is>
      </c>
      <c r="K236" s="31" t="n">
        <v>1</v>
      </c>
      <c r="N236" s="31" t="n">
        <v>3140000030</v>
      </c>
    </row>
    <row r="237" customFormat="1" s="31">
      <c r="A237" s="29" t="n">
        <v>1004301</v>
      </c>
      <c r="B237" s="28" t="inlineStr">
        <is>
          <t>增伤盘3-1</t>
        </is>
      </c>
      <c r="C237" s="31" t="n">
        <v>0</v>
      </c>
      <c r="D237" s="29" t="n"/>
      <c r="E237" s="29" t="n"/>
      <c r="F237" s="29" t="n">
        <v>1004</v>
      </c>
      <c r="G237" s="31" t="n">
        <v>3</v>
      </c>
      <c r="H237" s="26" t="inlineStr">
        <is>
          <t>talent/common_3/wujie_gongming</t>
        </is>
      </c>
      <c r="I237" s="31" t="inlineStr">
        <is>
          <t>五捷共鸣</t>
        </is>
      </c>
      <c r="J237" s="31" t="inlineStr">
        <is>
          <t>装备「物理之捷」时，物理伤害额外提高 20%；装备「灰烬之捷」时，火焰伤害额外提高 20%；装备「寒冰之捷」时，冰冷伤害额外提高 20%；装备「闪电之捷」时，闪电伤害额外提高 20%；装备「混沌之捷」时，混沌伤害额外提高 20%</t>
        </is>
      </c>
      <c r="K237" s="31" t="n">
        <v>1</v>
      </c>
      <c r="N237" s="31" t="n">
        <v>2150000150</v>
      </c>
    </row>
    <row r="238" customFormat="1" s="31">
      <c r="A238" s="29" t="n">
        <v>1004302</v>
      </c>
      <c r="B238" s="28" t="inlineStr">
        <is>
          <t>增伤盘3-2</t>
        </is>
      </c>
      <c r="C238" s="31" t="n">
        <v>0</v>
      </c>
      <c r="D238" s="29" t="n"/>
      <c r="E238" s="29" t="n"/>
      <c r="F238" s="29" t="n">
        <v>1004</v>
      </c>
      <c r="G238" s="31" t="n">
        <v>3</v>
      </c>
      <c r="H238" s="26" t="inlineStr">
        <is>
          <t>talent/common_3/yuansu_shanbian</t>
        </is>
      </c>
      <c r="I238" s="31" t="inlineStr">
        <is>
          <t>元素嬗变</t>
        </is>
      </c>
      <c r="J238" s="31" t="inlineStr">
        <is>
          <t>造成一种元素伤害会使得，其他元素伤害获得15%额外伤害(加算），持续4秒</t>
        </is>
      </c>
      <c r="K238" s="31" t="n">
        <v>1</v>
      </c>
      <c r="N238" s="31" t="n">
        <v>2150000160</v>
      </c>
    </row>
    <row r="239" customFormat="1" s="31">
      <c r="A239" s="29" t="n">
        <v>1004303</v>
      </c>
      <c r="B239" s="28" t="inlineStr">
        <is>
          <t>增伤盘3-3</t>
        </is>
      </c>
      <c r="C239" s="31" t="n">
        <v>0</v>
      </c>
      <c r="D239" s="29" t="n"/>
      <c r="E239" s="29" t="n"/>
      <c r="F239" s="29" t="n">
        <v>1004</v>
      </c>
      <c r="G239" s="31" t="n">
        <v>3</v>
      </c>
      <c r="H239" s="26" t="inlineStr">
        <is>
          <t>talent/common_3/shijie_zhili</t>
        </is>
      </c>
      <c r="I239" s="31" t="inlineStr">
        <is>
          <t>蚀界之力</t>
        </is>
      </c>
      <c r="J239" s="31" t="inlineStr">
        <is>
          <t>混沌伤害额外增加 35%，元素抗性减少 15%</t>
        </is>
      </c>
      <c r="K239" s="31" t="n">
        <v>1</v>
      </c>
      <c r="L239" s="30" t="n">
        <v>10128</v>
      </c>
      <c r="M239" s="31" t="inlineStr">
        <is>
          <t>[[0.35]]</t>
        </is>
      </c>
      <c r="O239" s="31" t="inlineStr">
        <is>
          <t>[[10312,-0.15],[10313,-0.15],[10314,-0.15]]</t>
        </is>
      </c>
    </row>
    <row r="240" customFormat="1" s="31">
      <c r="A240" s="29" t="n">
        <v>1004304</v>
      </c>
      <c r="B240" s="28" t="inlineStr">
        <is>
          <t>增伤盘3-4</t>
        </is>
      </c>
      <c r="C240" s="31" t="n">
        <v>0</v>
      </c>
      <c r="D240" s="29" t="n"/>
      <c r="E240" s="29" t="n"/>
      <c r="F240" s="29" t="n">
        <v>1004</v>
      </c>
      <c r="G240" s="31" t="n">
        <v>3</v>
      </c>
      <c r="H240" s="26" t="inlineStr">
        <is>
          <t>talent/common_3/dunfeng_zhongshi</t>
        </is>
      </c>
      <c r="I240" s="31" t="inlineStr">
        <is>
          <t>钝锋重势</t>
        </is>
      </c>
      <c r="J240" s="31" t="inlineStr">
        <is>
          <t>物理伤害额外提高 40%，周围敌人获得 10% 的受伤缓冲</t>
        </is>
      </c>
      <c r="K240" s="31" t="n">
        <v>1</v>
      </c>
      <c r="L240" s="31" t="n">
        <v>10124</v>
      </c>
      <c r="M240" s="31" t="inlineStr">
        <is>
          <t>[[0.40]]</t>
        </is>
      </c>
      <c r="N240" s="31" t="n">
        <v>2150000270</v>
      </c>
    </row>
    <row r="241" customFormat="1" s="31">
      <c r="A241" s="29" t="n">
        <v>1005101</v>
      </c>
      <c r="B241" s="28" t="inlineStr">
        <is>
          <t>抗性盘1-1</t>
        </is>
      </c>
      <c r="C241" s="31" t="n">
        <v>0</v>
      </c>
      <c r="D241" s="29" t="n"/>
      <c r="E241" s="29" t="n"/>
      <c r="F241" s="29" t="n">
        <v>1005</v>
      </c>
      <c r="G241" s="31" t="n">
        <v>1</v>
      </c>
      <c r="H241" s="26" t="inlineStr">
        <is>
          <t>talent/common_1/wulishanghaikangxing</t>
        </is>
      </c>
      <c r="I241" s="31" t="inlineStr">
        <is>
          <t>基础天赋</t>
        </is>
      </c>
      <c r="J241" s="31" t="inlineStr">
        <is>
          <t>物理抗性增加5%</t>
        </is>
      </c>
      <c r="K241" s="31" t="n">
        <v>7</v>
      </c>
      <c r="O241" s="31" t="inlineStr">
        <is>
          <t>[[10311,0.05]]</t>
        </is>
      </c>
    </row>
    <row r="242" customFormat="1" s="31">
      <c r="A242" s="29" t="n">
        <v>1005102</v>
      </c>
      <c r="B242" s="28" t="inlineStr">
        <is>
          <t>抗性盘1-2</t>
        </is>
      </c>
      <c r="C242" s="31" t="n">
        <v>0</v>
      </c>
      <c r="D242" s="29" t="n"/>
      <c r="E242" s="29" t="n"/>
      <c r="F242" s="29" t="n">
        <v>1005</v>
      </c>
      <c r="G242" s="31" t="n">
        <v>1</v>
      </c>
      <c r="H242" s="26" t="inlineStr">
        <is>
          <t>talent/common_1/huoyanshanghaikangxing</t>
        </is>
      </c>
      <c r="I242" s="31" t="inlineStr">
        <is>
          <t>基础天赋</t>
        </is>
      </c>
      <c r="J242" s="31" t="inlineStr">
        <is>
          <t>火焰抗性增加5%</t>
        </is>
      </c>
      <c r="K242" s="31" t="n">
        <v>7</v>
      </c>
      <c r="O242" s="31" t="inlineStr">
        <is>
          <t>[[10315,0.05]]</t>
        </is>
      </c>
    </row>
    <row r="243" customFormat="1" s="31">
      <c r="A243" s="29" t="n">
        <v>1005103</v>
      </c>
      <c r="B243" s="28" t="inlineStr">
        <is>
          <t>抗性盘1-3</t>
        </is>
      </c>
      <c r="C243" s="31" t="n">
        <v>0</v>
      </c>
      <c r="D243" s="29" t="n"/>
      <c r="E243" s="29" t="n"/>
      <c r="F243" s="29" t="n">
        <v>1005</v>
      </c>
      <c r="G243" s="31" t="n">
        <v>1</v>
      </c>
      <c r="H243" s="26" t="inlineStr">
        <is>
          <t>talent/common_1/binglengshanghaikangxing</t>
        </is>
      </c>
      <c r="I243" s="31" t="inlineStr">
        <is>
          <t>基础天赋</t>
        </is>
      </c>
      <c r="J243" s="31" t="inlineStr">
        <is>
          <t>冰冷抗性增加5%</t>
        </is>
      </c>
      <c r="K243" s="31" t="n">
        <v>7</v>
      </c>
      <c r="O243" s="31" t="inlineStr">
        <is>
          <t>[[10313,0.05]]</t>
        </is>
      </c>
    </row>
    <row r="244" customFormat="1" s="31">
      <c r="A244" s="29" t="n">
        <v>1005104</v>
      </c>
      <c r="B244" s="28" t="inlineStr">
        <is>
          <t>抗性盘1-4</t>
        </is>
      </c>
      <c r="C244" s="31" t="n">
        <v>0</v>
      </c>
      <c r="D244" s="29" t="n"/>
      <c r="E244" s="29" t="n"/>
      <c r="F244" s="29" t="n">
        <v>1005</v>
      </c>
      <c r="G244" s="31" t="n">
        <v>1</v>
      </c>
      <c r="H244" s="26" t="inlineStr">
        <is>
          <t>talent/common_1/shandianshanghaikangxing</t>
        </is>
      </c>
      <c r="I244" s="31" t="inlineStr">
        <is>
          <t>基础天赋</t>
        </is>
      </c>
      <c r="J244" s="31" t="inlineStr">
        <is>
          <t>闪电抗性增加5%</t>
        </is>
      </c>
      <c r="K244" s="31" t="n">
        <v>7</v>
      </c>
      <c r="O244" s="31" t="inlineStr">
        <is>
          <t>[[10314,0.05]]</t>
        </is>
      </c>
    </row>
    <row r="245" customFormat="1" s="31">
      <c r="A245" s="29" t="n">
        <v>1005105</v>
      </c>
      <c r="B245" s="28" t="inlineStr">
        <is>
          <t>抗性盘1-5</t>
        </is>
      </c>
      <c r="C245" s="31" t="n">
        <v>0</v>
      </c>
      <c r="D245" s="29" t="n"/>
      <c r="E245" s="29" t="n"/>
      <c r="F245" s="29" t="n">
        <v>1005</v>
      </c>
      <c r="G245" s="31" t="n">
        <v>1</v>
      </c>
      <c r="H245" s="26" t="inlineStr">
        <is>
          <t>talent/common_1/hundunshanghaikangxing</t>
        </is>
      </c>
      <c r="I245" s="31" t="inlineStr">
        <is>
          <t>基础天赋</t>
        </is>
      </c>
      <c r="J245" s="31" t="inlineStr">
        <is>
          <t>混沌抗性增加5%</t>
        </is>
      </c>
      <c r="K245" s="31" t="n">
        <v>7</v>
      </c>
      <c r="O245" s="31" t="inlineStr">
        <is>
          <t>[[10315,0.05]]</t>
        </is>
      </c>
    </row>
    <row r="246" customFormat="1" s="31">
      <c r="A246" s="29" t="n">
        <v>1005106</v>
      </c>
      <c r="B246" s="28" t="inlineStr">
        <is>
          <t>抗性盘1-6</t>
        </is>
      </c>
      <c r="C246" s="31" t="n">
        <v>0</v>
      </c>
      <c r="D246" s="29" t="n"/>
      <c r="E246" s="29" t="n"/>
      <c r="F246" s="29" t="n">
        <v>1005</v>
      </c>
      <c r="G246" s="31" t="n">
        <v>1</v>
      </c>
      <c r="H246" s="26" t="inlineStr">
        <is>
          <t>talent/common_1/wulishanghaichuantou</t>
        </is>
      </c>
      <c r="I246" s="31" t="inlineStr">
        <is>
          <t>基础天赋</t>
        </is>
      </c>
      <c r="J246" s="31" t="inlineStr">
        <is>
          <t>物理抗性穿透增加1%</t>
        </is>
      </c>
      <c r="K246" s="31" t="n">
        <v>7</v>
      </c>
      <c r="O246" s="31" t="inlineStr">
        <is>
          <t>[[11048,0.01]]</t>
        </is>
      </c>
    </row>
    <row r="247" customFormat="1" s="31">
      <c r="A247" s="29" t="n">
        <v>1005107</v>
      </c>
      <c r="B247" s="28" t="inlineStr">
        <is>
          <t>抗性盘1-7</t>
        </is>
      </c>
      <c r="C247" s="31" t="n">
        <v>0</v>
      </c>
      <c r="D247" s="29" t="n"/>
      <c r="E247" s="29" t="n"/>
      <c r="F247" s="29" t="n">
        <v>1005</v>
      </c>
      <c r="G247" s="31" t="n">
        <v>1</v>
      </c>
      <c r="H247" s="26" t="inlineStr">
        <is>
          <t>talent/common_1/huoyanshanghaichuantou</t>
        </is>
      </c>
      <c r="I247" s="31" t="inlineStr">
        <is>
          <t>基础天赋</t>
        </is>
      </c>
      <c r="J247" s="31" t="inlineStr">
        <is>
          <t>火焰抗性穿透增加1%</t>
        </is>
      </c>
      <c r="K247" s="31" t="n">
        <v>7</v>
      </c>
      <c r="O247" s="31" t="inlineStr">
        <is>
          <t>[[11049,0.01]]</t>
        </is>
      </c>
    </row>
    <row r="248" customFormat="1" s="31">
      <c r="A248" s="29" t="n">
        <v>1005108</v>
      </c>
      <c r="B248" s="28" t="inlineStr">
        <is>
          <t>抗性盘1-8</t>
        </is>
      </c>
      <c r="C248" s="31" t="n">
        <v>0</v>
      </c>
      <c r="D248" s="29" t="n"/>
      <c r="E248" s="29" t="n"/>
      <c r="F248" s="29" t="n">
        <v>1005</v>
      </c>
      <c r="G248" s="31" t="n">
        <v>1</v>
      </c>
      <c r="H248" s="26" t="inlineStr">
        <is>
          <t>talent/common_1/binglengshanghaichuantou</t>
        </is>
      </c>
      <c r="I248" s="31" t="inlineStr">
        <is>
          <t>基础天赋</t>
        </is>
      </c>
      <c r="J248" s="31" t="inlineStr">
        <is>
          <t>冰冷抗性穿透增加1%</t>
        </is>
      </c>
      <c r="K248" s="31" t="n">
        <v>7</v>
      </c>
      <c r="O248" s="31" t="inlineStr">
        <is>
          <t>[[11050,0.01]]</t>
        </is>
      </c>
    </row>
    <row r="249" customFormat="1" s="31">
      <c r="A249" s="29" t="n">
        <v>1005109</v>
      </c>
      <c r="B249" s="28" t="inlineStr">
        <is>
          <t>抗性盘1-9</t>
        </is>
      </c>
      <c r="C249" s="31" t="n">
        <v>0</v>
      </c>
      <c r="D249" s="29" t="n"/>
      <c r="E249" s="29" t="n"/>
      <c r="F249" s="29" t="n">
        <v>1005</v>
      </c>
      <c r="G249" s="31" t="n">
        <v>1</v>
      </c>
      <c r="H249" s="26" t="inlineStr">
        <is>
          <t>talent/common_1/shandianshanghaichuantou</t>
        </is>
      </c>
      <c r="I249" s="31" t="inlineStr">
        <is>
          <t>基础天赋</t>
        </is>
      </c>
      <c r="J249" s="31" t="inlineStr">
        <is>
          <t>闪电抗性穿透增加1%</t>
        </is>
      </c>
      <c r="K249" s="31" t="n">
        <v>7</v>
      </c>
      <c r="O249" s="31" t="inlineStr">
        <is>
          <t>[[11051,0.01]]</t>
        </is>
      </c>
    </row>
    <row r="250" customFormat="1" s="31">
      <c r="A250" s="29" t="n">
        <v>1005110</v>
      </c>
      <c r="B250" s="28" t="inlineStr">
        <is>
          <t>抗性盘1-10</t>
        </is>
      </c>
      <c r="C250" s="31" t="n">
        <v>0</v>
      </c>
      <c r="D250" s="29" t="n"/>
      <c r="E250" s="29" t="n"/>
      <c r="F250" s="29" t="n">
        <v>1005</v>
      </c>
      <c r="G250" s="31" t="n">
        <v>1</v>
      </c>
      <c r="H250" s="26" t="inlineStr">
        <is>
          <t>talent/common_1/hundunshanghaichuantou</t>
        </is>
      </c>
      <c r="I250" s="31" t="inlineStr">
        <is>
          <t>基础天赋</t>
        </is>
      </c>
      <c r="J250" s="31" t="inlineStr">
        <is>
          <t>混沌抗性穿透增加1%</t>
        </is>
      </c>
      <c r="K250" s="31" t="n">
        <v>7</v>
      </c>
      <c r="O250" s="31" t="inlineStr">
        <is>
          <t>[[11052,0.01]]</t>
        </is>
      </c>
    </row>
    <row r="251" customFormat="1" s="31">
      <c r="A251" s="29" t="n">
        <v>1005111</v>
      </c>
      <c r="B251" s="28" t="inlineStr">
        <is>
          <t>抗性盘1-11</t>
        </is>
      </c>
      <c r="C251" s="31" t="n">
        <v>0</v>
      </c>
      <c r="D251" s="29" t="n"/>
      <c r="E251" s="29" t="n"/>
      <c r="F251" s="29" t="n">
        <v>1005</v>
      </c>
      <c r="G251" s="31" t="n">
        <v>1</v>
      </c>
      <c r="H251" s="26" t="inlineStr">
        <is>
          <t>talent/common_1/chixushijian</t>
        </is>
      </c>
      <c r="I251" s="31" t="inlineStr">
        <is>
          <t>基础天赋</t>
        </is>
      </c>
      <c r="J251" s="31" t="inlineStr">
        <is>
          <t>抗性注能持续时间提高{0}</t>
        </is>
      </c>
      <c r="K251" s="31" t="n">
        <v>7</v>
      </c>
      <c r="L251" s="31" t="n">
        <v>10190</v>
      </c>
      <c r="M251" s="31" t="inlineStr">
        <is>
          <t>[[0.3]]</t>
        </is>
      </c>
    </row>
    <row r="252" customFormat="1" s="31">
      <c r="A252" s="29" t="n">
        <v>1005201</v>
      </c>
      <c r="B252" s="28" t="inlineStr">
        <is>
          <t>抗性盘2-1</t>
        </is>
      </c>
      <c r="C252" s="31" t="n">
        <v>0</v>
      </c>
      <c r="D252" s="29" t="n"/>
      <c r="E252" s="29" t="n"/>
      <c r="F252" s="29" t="n">
        <v>1005</v>
      </c>
      <c r="G252" s="31" t="n">
        <v>2</v>
      </c>
      <c r="H252" s="26" t="inlineStr">
        <is>
          <t>talent/common_2/huoyannengliangqiu</t>
        </is>
      </c>
      <c r="I252" s="31" t="inlineStr">
        <is>
          <t>进阶天赋</t>
        </is>
      </c>
      <c r="J252" s="31" t="inlineStr">
        <is>
          <t>造成点燃时，有 20% 概率获得抗性注能</t>
        </is>
      </c>
      <c r="K252" s="31" t="n">
        <v>1</v>
      </c>
      <c r="N252" s="31" t="n">
        <v>2150000220</v>
      </c>
    </row>
    <row r="253" customFormat="1" s="31">
      <c r="A253" s="29" t="n">
        <v>1005202</v>
      </c>
      <c r="B253" s="28" t="inlineStr">
        <is>
          <t>抗性盘2-2</t>
        </is>
      </c>
      <c r="C253" s="31" t="n">
        <v>0</v>
      </c>
      <c r="D253" s="29" t="n"/>
      <c r="E253" s="29" t="n"/>
      <c r="F253" s="29" t="n">
        <v>1005</v>
      </c>
      <c r="G253" s="31" t="n">
        <v>2</v>
      </c>
      <c r="H253" s="26" t="inlineStr">
        <is>
          <t>talent/common_2/shanghaichuantou</t>
        </is>
      </c>
      <c r="I253" s="31" t="inlineStr">
        <is>
          <t>进阶天赋</t>
        </is>
      </c>
      <c r="J253" s="31" t="inlineStr">
        <is>
          <t>穿透注能上限+1</t>
        </is>
      </c>
      <c r="K253" s="31" t="n">
        <v>1</v>
      </c>
      <c r="L253" s="31" t="n">
        <v>10151</v>
      </c>
      <c r="M253" s="31" t="inlineStr">
        <is>
          <t>[[1]]</t>
        </is>
      </c>
    </row>
    <row r="254" customFormat="1" s="31">
      <c r="A254" s="29" t="n">
        <v>1005203</v>
      </c>
      <c r="B254" s="28" t="inlineStr">
        <is>
          <t>抗性盘2-3</t>
        </is>
      </c>
      <c r="C254" s="31" t="n">
        <v>0</v>
      </c>
      <c r="D254" s="29" t="n"/>
      <c r="E254" s="29" t="n"/>
      <c r="F254" s="29" t="n">
        <v>1005</v>
      </c>
      <c r="G254" s="31" t="n">
        <v>2</v>
      </c>
      <c r="H254" s="26" t="inlineStr">
        <is>
          <t>talent/common_2/wulishanghaikangxing</t>
        </is>
      </c>
      <c r="I254" s="31" t="inlineStr">
        <is>
          <t>进阶天赋</t>
        </is>
      </c>
      <c r="J254" s="31" t="inlineStr">
        <is>
          <t>物理抗性上限增加3%</t>
        </is>
      </c>
      <c r="K254" s="31" t="n">
        <v>1</v>
      </c>
      <c r="O254" s="31" t="inlineStr">
        <is>
          <t>[[11058,0.03]]</t>
        </is>
      </c>
    </row>
    <row r="255" customFormat="1" s="31">
      <c r="A255" s="29" t="n">
        <v>1005204</v>
      </c>
      <c r="B255" s="28" t="inlineStr">
        <is>
          <t>抗性盘2-4</t>
        </is>
      </c>
      <c r="C255" s="31" t="n">
        <v>0</v>
      </c>
      <c r="D255" s="29" t="n"/>
      <c r="E255" s="29" t="n"/>
      <c r="F255" s="29" t="n">
        <v>1005</v>
      </c>
      <c r="G255" s="31" t="n">
        <v>2</v>
      </c>
      <c r="H255" s="26" t="inlineStr">
        <is>
          <t>talent/common_2/huoyanshanghaikangxing</t>
        </is>
      </c>
      <c r="I255" s="31" t="inlineStr">
        <is>
          <t>进阶天赋</t>
        </is>
      </c>
      <c r="J255" s="31" t="inlineStr">
        <is>
          <t>火焰抗性上限增加3%</t>
        </is>
      </c>
      <c r="K255" s="31" t="n">
        <v>1</v>
      </c>
      <c r="O255" s="31" t="inlineStr">
        <is>
          <t>[[11059,0.03]]</t>
        </is>
      </c>
    </row>
    <row r="256" customFormat="1" s="31">
      <c r="A256" s="29" t="n">
        <v>1005205</v>
      </c>
      <c r="B256" s="28" t="inlineStr">
        <is>
          <t>抗性盘2-5</t>
        </is>
      </c>
      <c r="C256" s="31" t="n">
        <v>0</v>
      </c>
      <c r="D256" s="29" t="n"/>
      <c r="E256" s="29" t="n"/>
      <c r="F256" s="29" t="n">
        <v>1005</v>
      </c>
      <c r="G256" s="31" t="n">
        <v>2</v>
      </c>
      <c r="H256" s="26" t="inlineStr">
        <is>
          <t>talent/common_2/binglengshanghaikangxing</t>
        </is>
      </c>
      <c r="I256" s="31" t="inlineStr">
        <is>
          <t>进阶天赋</t>
        </is>
      </c>
      <c r="J256" s="31" t="inlineStr">
        <is>
          <t>冰冷抗性上限增加3%</t>
        </is>
      </c>
      <c r="K256" s="31" t="n">
        <v>1</v>
      </c>
      <c r="O256" s="31" t="inlineStr">
        <is>
          <t>[[11060,0.03]]</t>
        </is>
      </c>
    </row>
    <row r="257" customFormat="1" s="31">
      <c r="A257" s="29" t="n">
        <v>1005206</v>
      </c>
      <c r="B257" s="28" t="inlineStr">
        <is>
          <t>抗性盘2-6</t>
        </is>
      </c>
      <c r="C257" s="31" t="n">
        <v>0</v>
      </c>
      <c r="D257" s="29" t="n"/>
      <c r="E257" s="29" t="n"/>
      <c r="F257" s="29" t="n">
        <v>1005</v>
      </c>
      <c r="G257" s="31" t="n">
        <v>2</v>
      </c>
      <c r="H257" s="26" t="inlineStr">
        <is>
          <t>talent/common_2/shandianshanghaikangxing</t>
        </is>
      </c>
      <c r="I257" s="31" t="inlineStr">
        <is>
          <t>进阶天赋</t>
        </is>
      </c>
      <c r="J257" s="31" t="inlineStr">
        <is>
          <t>闪电抗性上限增加3%</t>
        </is>
      </c>
      <c r="K257" s="31" t="n">
        <v>1</v>
      </c>
      <c r="O257" s="31" t="inlineStr">
        <is>
          <t>[[11061,0.03]]</t>
        </is>
      </c>
    </row>
    <row r="258" customFormat="1" s="31">
      <c r="A258" s="29" t="n">
        <v>1005207</v>
      </c>
      <c r="B258" s="28" t="inlineStr">
        <is>
          <t>抗性盘2-7</t>
        </is>
      </c>
      <c r="C258" s="31" t="n">
        <v>0</v>
      </c>
      <c r="D258" s="29" t="n"/>
      <c r="E258" s="29" t="n"/>
      <c r="F258" s="29" t="n">
        <v>1005</v>
      </c>
      <c r="G258" s="31" t="n">
        <v>2</v>
      </c>
      <c r="H258" s="26" t="inlineStr">
        <is>
          <t>talent/common_2/hundunshanghaikangxing</t>
        </is>
      </c>
      <c r="I258" s="31" t="inlineStr">
        <is>
          <t>进阶天赋</t>
        </is>
      </c>
      <c r="J258" s="31" t="inlineStr">
        <is>
          <t>混沌抗性上限增加3%</t>
        </is>
      </c>
      <c r="K258" s="31" t="n">
        <v>1</v>
      </c>
      <c r="O258" s="31" t="inlineStr">
        <is>
          <t>[[11062,0.03]]</t>
        </is>
      </c>
    </row>
    <row r="259" customFormat="1" s="31">
      <c r="A259" s="29" t="n">
        <v>1005301</v>
      </c>
      <c r="B259" s="28" t="inlineStr">
        <is>
          <t>抗性盘3-1</t>
        </is>
      </c>
      <c r="C259" s="31" t="n">
        <v>0</v>
      </c>
      <c r="D259" s="29" t="n"/>
      <c r="E259" s="29" t="n"/>
      <c r="F259" s="29" t="n">
        <v>1005</v>
      </c>
      <c r="G259" s="31" t="n">
        <v>3</v>
      </c>
      <c r="H259" s="26" t="inlineStr">
        <is>
          <t>talent/common_3/hundun_dingxing</t>
        </is>
      </c>
      <c r="I259" s="31" t="inlineStr">
        <is>
          <t>混沌定性</t>
        </is>
      </c>
      <c r="J259" s="31" t="inlineStr">
        <is>
          <t>每有 1% 混沌抗性，+1% 元素异常状态抵抗</t>
        </is>
      </c>
      <c r="K259" s="31" t="n">
        <v>1</v>
      </c>
      <c r="L259" s="31" t="n">
        <v>10094</v>
      </c>
    </row>
    <row r="260" customFormat="1" s="31">
      <c r="A260" s="29" t="n">
        <v>1005302</v>
      </c>
      <c r="B260" s="28" t="inlineStr">
        <is>
          <t>抗性盘3-2</t>
        </is>
      </c>
      <c r="C260" s="31" t="n">
        <v>0</v>
      </c>
      <c r="D260" s="29" t="n"/>
      <c r="E260" s="29" t="n"/>
      <c r="F260" s="29" t="n">
        <v>1005</v>
      </c>
      <c r="G260" s="31" t="n">
        <v>3</v>
      </c>
      <c r="H260" s="26" t="inlineStr">
        <is>
          <t>talent/common_3/yanxi_zaisheng</t>
        </is>
      </c>
      <c r="I260" s="31" t="inlineStr">
        <is>
          <t>炎息再生</t>
        </is>
      </c>
      <c r="J260" s="31" t="inlineStr">
        <is>
          <t>每有 1% 火焰抗性总值，+2 每秒生命回复</t>
        </is>
      </c>
      <c r="K260" s="31" t="n">
        <v>1</v>
      </c>
      <c r="L260" s="31" t="n">
        <v>10207</v>
      </c>
    </row>
    <row r="261" customFormat="1" s="31">
      <c r="A261" s="29" t="n">
        <v>1005303</v>
      </c>
      <c r="B261" s="28" t="inlineStr">
        <is>
          <t>抗性盘3-3</t>
        </is>
      </c>
      <c r="C261" s="31" t="n">
        <v>0</v>
      </c>
      <c r="D261" s="29" t="n"/>
      <c r="E261" s="29" t="n"/>
      <c r="F261" s="29" t="n">
        <v>1005</v>
      </c>
      <c r="G261" s="31" t="n">
        <v>3</v>
      </c>
      <c r="H261" s="26" t="inlineStr">
        <is>
          <t>talent/common_3/yuansu_junheng</t>
        </is>
      </c>
      <c r="I261" s="31" t="inlineStr">
        <is>
          <t>元素均衡</t>
        </is>
      </c>
      <c r="J261" s="31" t="inlineStr">
        <is>
          <t>当有元素抗性相等时，获得额外受到伤害减少5%(累乘)</t>
        </is>
      </c>
      <c r="K261" s="31" t="n">
        <v>1</v>
      </c>
      <c r="N261" s="31" t="n">
        <v>2150000290</v>
      </c>
    </row>
    <row r="262" customFormat="1" s="31">
      <c r="A262" s="29" t="n">
        <v>1005304</v>
      </c>
      <c r="B262" s="28" t="inlineStr">
        <is>
          <t>抗性盘3-4</t>
        </is>
      </c>
      <c r="C262" s="31" t="n">
        <v>0</v>
      </c>
      <c r="D262" s="29" t="n"/>
      <c r="E262" s="29" t="n"/>
      <c r="F262" s="29" t="n">
        <v>1005</v>
      </c>
      <c r="G262" s="31" t="n">
        <v>3</v>
      </c>
      <c r="H262" s="26" t="inlineStr">
        <is>
          <t>talent/common_3/pojie_xushi</t>
        </is>
      </c>
      <c r="I262" s="31" t="inlineStr">
        <is>
          <t>破界蓄势</t>
        </is>
      </c>
      <c r="J262" s="31" t="inlineStr">
        <is>
          <t>击中时，获得穿透注能，抗性注能上限 +1</t>
        </is>
      </c>
      <c r="K262" s="31" t="n">
        <v>1</v>
      </c>
      <c r="L262" s="31" t="n">
        <v>10151</v>
      </c>
      <c r="M262" s="31" t="inlineStr">
        <is>
          <t>[[1]]</t>
        </is>
      </c>
      <c r="N262" s="31" t="n">
        <v>2150000280</v>
      </c>
    </row>
    <row r="263" customFormat="1" s="31">
      <c r="A263" s="29" t="n">
        <v>1006101</v>
      </c>
      <c r="B263" s="28" t="inlineStr">
        <is>
          <t>异常盘1-1</t>
        </is>
      </c>
      <c r="C263" s="31" t="n">
        <v>0</v>
      </c>
      <c r="D263" s="29" t="n"/>
      <c r="E263" s="29" t="n"/>
      <c r="F263" s="29" t="n">
        <v>1006</v>
      </c>
      <c r="G263" s="31" t="n">
        <v>1</v>
      </c>
      <c r="H263" s="26" t="inlineStr">
        <is>
          <t>talent/common_1/huoyanshanghai</t>
        </is>
      </c>
      <c r="I263" s="31" t="inlineStr">
        <is>
          <t>基础天赋</t>
        </is>
      </c>
      <c r="J263" s="31" t="inlineStr">
        <is>
          <t>点燃几率增加10%</t>
        </is>
      </c>
      <c r="K263" s="31" t="n">
        <v>7</v>
      </c>
      <c r="O263" s="31" t="inlineStr">
        <is>
          <t>[[11006,0.1]]</t>
        </is>
      </c>
    </row>
    <row r="264" customFormat="1" s="31">
      <c r="A264" s="29" t="n">
        <v>1006102</v>
      </c>
      <c r="B264" s="28" t="inlineStr">
        <is>
          <t>异常盘1-2</t>
        </is>
      </c>
      <c r="C264" s="31" t="n">
        <v>0</v>
      </c>
      <c r="D264" s="29" t="n"/>
      <c r="E264" s="29" t="n"/>
      <c r="F264" s="29" t="n">
        <v>1006</v>
      </c>
      <c r="G264" s="31" t="n">
        <v>1</v>
      </c>
      <c r="H264" s="26" t="inlineStr">
        <is>
          <t>talent/common_1/shandianshanghai</t>
        </is>
      </c>
      <c r="I264" s="31" t="inlineStr">
        <is>
          <t>基础天赋</t>
        </is>
      </c>
      <c r="J264" s="31" t="inlineStr">
        <is>
          <t>感电几率提高20%</t>
        </is>
      </c>
      <c r="K264" s="31" t="n">
        <v>7</v>
      </c>
      <c r="O264" s="31" t="inlineStr">
        <is>
          <t>[[11009,0.20]]</t>
        </is>
      </c>
    </row>
    <row r="265" customFormat="1" s="31">
      <c r="A265" s="29" t="n">
        <v>1006103</v>
      </c>
      <c r="B265" s="28" t="inlineStr">
        <is>
          <t>异常盘1-3</t>
        </is>
      </c>
      <c r="C265" s="31" t="n">
        <v>0</v>
      </c>
      <c r="D265" s="29" t="n"/>
      <c r="E265" s="29" t="n"/>
      <c r="F265" s="29" t="n">
        <v>1006</v>
      </c>
      <c r="G265" s="31" t="n">
        <v>1</v>
      </c>
      <c r="H265" s="26" t="inlineStr">
        <is>
          <t>talent/common_1/chixushanghai</t>
        </is>
      </c>
      <c r="I265" s="31" t="inlineStr">
        <is>
          <t>基础天赋</t>
        </is>
      </c>
      <c r="J265" s="31" t="inlineStr">
        <is>
          <t>流血几率增加10%</t>
        </is>
      </c>
      <c r="K265" s="31" t="n">
        <v>7</v>
      </c>
      <c r="O265" s="31" t="inlineStr">
        <is>
          <t>[[11054,0.1]]</t>
        </is>
      </c>
    </row>
    <row r="266" customFormat="1" s="31">
      <c r="A266" s="29" t="n">
        <v>1006104</v>
      </c>
      <c r="B266" s="28" t="inlineStr">
        <is>
          <t>异常盘1-4</t>
        </is>
      </c>
      <c r="C266" s="31" t="n">
        <v>0</v>
      </c>
      <c r="D266" s="29" t="n"/>
      <c r="E266" s="29" t="n"/>
      <c r="F266" s="29" t="n">
        <v>1006</v>
      </c>
      <c r="G266" s="31" t="n">
        <v>1</v>
      </c>
      <c r="H266" s="26" t="inlineStr">
        <is>
          <t>talent/common_1/hundunshanghai</t>
        </is>
      </c>
      <c r="I266" s="31" t="inlineStr">
        <is>
          <t>基础天赋</t>
        </is>
      </c>
      <c r="J266" s="31" t="inlineStr">
        <is>
          <t>中毒几率增加10%</t>
        </is>
      </c>
      <c r="K266" s="31" t="n">
        <v>7</v>
      </c>
      <c r="O266" s="31" t="inlineStr">
        <is>
          <t>[[11038,0.1]]</t>
        </is>
      </c>
    </row>
    <row r="267" customFormat="1" s="31">
      <c r="A267" s="29" t="n">
        <v>1006105</v>
      </c>
      <c r="B267" s="28" t="inlineStr">
        <is>
          <t>异常盘1-5</t>
        </is>
      </c>
      <c r="C267" s="31" t="n">
        <v>0</v>
      </c>
      <c r="D267" s="29" t="n"/>
      <c r="E267" s="29" t="n"/>
      <c r="F267" s="29" t="n">
        <v>1006</v>
      </c>
      <c r="G267" s="31" t="n">
        <v>1</v>
      </c>
      <c r="H267" s="26" t="inlineStr">
        <is>
          <t>talent/common_1/fumianxiaoguotisheng</t>
        </is>
      </c>
      <c r="I267" s="31" t="inlineStr">
        <is>
          <t>基础天赋</t>
        </is>
      </c>
      <c r="J267" s="31" t="inlineStr">
        <is>
          <t>感电效果比例提高13%</t>
        </is>
      </c>
      <c r="K267" s="31" t="n">
        <v>7</v>
      </c>
      <c r="O267" s="31" t="inlineStr">
        <is>
          <t>[[11010,0.13]]</t>
        </is>
      </c>
    </row>
    <row r="268" customFormat="1" s="31">
      <c r="A268" s="29" t="n">
        <v>1006106</v>
      </c>
      <c r="B268" s="28" t="inlineStr">
        <is>
          <t>异常盘1-6</t>
        </is>
      </c>
      <c r="C268" s="31" t="n">
        <v>0</v>
      </c>
      <c r="D268" s="29" t="n"/>
      <c r="E268" s="29" t="n"/>
      <c r="F268" s="29" t="n">
        <v>1006</v>
      </c>
      <c r="G268" s="31" t="n">
        <v>1</v>
      </c>
      <c r="H268" s="26" t="inlineStr">
        <is>
          <t>talent/common_1/fumianxiaoguotisheng</t>
        </is>
      </c>
      <c r="I268" s="31" t="inlineStr">
        <is>
          <t>基础天赋</t>
        </is>
      </c>
      <c r="J268" s="31" t="inlineStr">
        <is>
          <t>冰冻效果比例提高13%</t>
        </is>
      </c>
      <c r="K268" s="31" t="n">
        <v>7</v>
      </c>
      <c r="O268" s="31" t="inlineStr">
        <is>
          <t>[[11008,0.13]]</t>
        </is>
      </c>
    </row>
    <row r="269" customFormat="1" s="31">
      <c r="A269" s="29" t="n">
        <v>1006107</v>
      </c>
      <c r="B269" s="28" t="inlineStr">
        <is>
          <t>异常盘1-7</t>
        </is>
      </c>
      <c r="C269" s="31" t="n">
        <v>0</v>
      </c>
      <c r="D269" s="29" t="n"/>
      <c r="E269" s="29" t="n"/>
      <c r="F269" s="29" t="n">
        <v>1006</v>
      </c>
      <c r="G269" s="31" t="n">
        <v>1</v>
      </c>
      <c r="H269" s="26" t="inlineStr">
        <is>
          <t>talent/common_1/fumianxiaoguotisheng</t>
        </is>
      </c>
      <c r="I269" s="31" t="inlineStr">
        <is>
          <t>基础天赋</t>
        </is>
      </c>
      <c r="J269" s="31" t="inlineStr">
        <is>
          <t>点燃效果比例提高20%</t>
        </is>
      </c>
      <c r="K269" s="31" t="n">
        <v>7</v>
      </c>
      <c r="O269" s="31" t="inlineStr">
        <is>
          <t>[[11007,0.20]]</t>
        </is>
      </c>
    </row>
    <row r="270" customFormat="1" s="31">
      <c r="A270" s="29" t="n">
        <v>1006108</v>
      </c>
      <c r="B270" s="28" t="inlineStr">
        <is>
          <t>异常盘1-8</t>
        </is>
      </c>
      <c r="C270" s="31" t="n">
        <v>0</v>
      </c>
      <c r="D270" s="29" t="n"/>
      <c r="E270" s="29" t="n"/>
      <c r="F270" s="29" t="n">
        <v>1006</v>
      </c>
      <c r="G270" s="31" t="n">
        <v>1</v>
      </c>
      <c r="H270" s="26" t="inlineStr">
        <is>
          <t>talent/common_1/fumianxiaoguotisheng</t>
        </is>
      </c>
      <c r="I270" s="31" t="inlineStr">
        <is>
          <t>基础天赋</t>
        </is>
      </c>
      <c r="J270" s="31" t="inlineStr">
        <is>
          <t>中毒效果比例提高20%</t>
        </is>
      </c>
      <c r="K270" s="31" t="n">
        <v>7</v>
      </c>
      <c r="O270" s="31" t="inlineStr">
        <is>
          <t>[[11039,0.20]]</t>
        </is>
      </c>
    </row>
    <row r="271" customFormat="1" s="31">
      <c r="A271" s="29" t="n">
        <v>1006109</v>
      </c>
      <c r="B271" s="28" t="inlineStr">
        <is>
          <t>异常盘1-9</t>
        </is>
      </c>
      <c r="C271" s="31" t="n">
        <v>0</v>
      </c>
      <c r="D271" s="29" t="n"/>
      <c r="E271" s="29" t="n"/>
      <c r="F271" s="29" t="n">
        <v>1006</v>
      </c>
      <c r="G271" s="31" t="n">
        <v>1</v>
      </c>
      <c r="H271" s="26" t="inlineStr">
        <is>
          <t>talent/common_1/fumianxiaoguotisheng</t>
        </is>
      </c>
      <c r="I271" s="31" t="inlineStr">
        <is>
          <t>基础天赋</t>
        </is>
      </c>
      <c r="J271" s="31" t="inlineStr">
        <is>
          <t>流血效果比例提高20%</t>
        </is>
      </c>
      <c r="K271" s="31" t="n">
        <v>7</v>
      </c>
      <c r="O271" s="31" t="inlineStr">
        <is>
          <t>[[11055,0.20]]</t>
        </is>
      </c>
    </row>
    <row r="272" customFormat="1" s="31">
      <c r="A272" s="29" t="n">
        <v>1006110</v>
      </c>
      <c r="B272" s="28" t="inlineStr">
        <is>
          <t>异常盘1-10</t>
        </is>
      </c>
      <c r="C272" s="31" t="n">
        <v>0</v>
      </c>
      <c r="D272" s="29" t="n"/>
      <c r="E272" s="29" t="n"/>
      <c r="F272" s="29" t="n">
        <v>1006</v>
      </c>
      <c r="G272" s="31" t="n">
        <v>1</v>
      </c>
      <c r="H272" s="26" t="inlineStr">
        <is>
          <t>talent/common_1/chixushijian</t>
        </is>
      </c>
      <c r="I272" s="31" t="inlineStr">
        <is>
          <t>基础天赋</t>
        </is>
      </c>
      <c r="J272" s="31" t="inlineStr">
        <is>
          <t>混乱注能持续时间提高30%</t>
        </is>
      </c>
      <c r="K272" s="31" t="n">
        <v>7</v>
      </c>
      <c r="L272" s="31" t="n">
        <v>10191</v>
      </c>
      <c r="M272" s="31" t="inlineStr">
        <is>
          <t>[[0.3]]</t>
        </is>
      </c>
    </row>
    <row r="273" customFormat="1" s="31">
      <c r="A273" s="29" t="n">
        <v>1006201</v>
      </c>
      <c r="B273" s="28" t="inlineStr">
        <is>
          <t>异常盘2-1</t>
        </is>
      </c>
      <c r="C273" s="31" t="n">
        <v>0</v>
      </c>
      <c r="D273" s="29" t="n"/>
      <c r="E273" s="29" t="n"/>
      <c r="F273" s="29" t="n">
        <v>1006</v>
      </c>
      <c r="G273" s="31" t="n">
        <v>2</v>
      </c>
      <c r="H273" s="26" t="inlineStr">
        <is>
          <t>talent/common_2/hundunnengliangqiu</t>
        </is>
      </c>
      <c r="I273" s="31" t="inlineStr">
        <is>
          <t>进阶天赋</t>
        </is>
      </c>
      <c r="J273" s="31" t="inlineStr">
        <is>
          <t>造成中毒时，有 20% 几率获得混乱注能</t>
        </is>
      </c>
      <c r="K273" s="31" t="n">
        <v>1</v>
      </c>
      <c r="N273" s="31" t="n">
        <v>2150000230</v>
      </c>
    </row>
    <row r="274" customFormat="1" s="31">
      <c r="A274" s="29" t="n">
        <v>1006202</v>
      </c>
      <c r="B274" s="28" t="inlineStr">
        <is>
          <t>异常盘2-2</t>
        </is>
      </c>
      <c r="C274" s="31" t="n">
        <v>0</v>
      </c>
      <c r="D274" s="29" t="n"/>
      <c r="E274" s="29" t="n"/>
      <c r="F274" s="29" t="n">
        <v>1006</v>
      </c>
      <c r="G274" s="31" t="n">
        <v>2</v>
      </c>
      <c r="H274" s="26" t="inlineStr">
        <is>
          <t>talent/common_2/hundunnengliangqiu</t>
        </is>
      </c>
      <c r="I274" s="31" t="inlineStr">
        <is>
          <t>进阶天赋</t>
        </is>
      </c>
      <c r="J274" s="31" t="inlineStr">
        <is>
          <t>混乱注能上限 +1</t>
        </is>
      </c>
      <c r="K274" s="31" t="n">
        <v>1</v>
      </c>
      <c r="L274" s="31" t="n">
        <v>10152</v>
      </c>
      <c r="M274" s="31" t="inlineStr">
        <is>
          <t>[[1]]</t>
        </is>
      </c>
    </row>
    <row r="275" customFormat="1" s="31">
      <c r="A275" s="29" t="n">
        <v>1006203</v>
      </c>
      <c r="B275" s="28" t="inlineStr">
        <is>
          <t>异常盘2-3</t>
        </is>
      </c>
      <c r="C275" s="31" t="n">
        <v>0</v>
      </c>
      <c r="D275" s="29" t="n"/>
      <c r="E275" s="29" t="n"/>
      <c r="F275" s="29" t="n">
        <v>1006</v>
      </c>
      <c r="G275" s="31" t="n">
        <v>2</v>
      </c>
      <c r="H275" s="26" t="inlineStr">
        <is>
          <t>talent/common_2/fumianxiaoguotisheng</t>
        </is>
      </c>
      <c r="I275" s="31" t="inlineStr">
        <is>
          <t>进阶天赋</t>
        </is>
      </c>
      <c r="J275" s="31" t="inlineStr">
        <is>
          <t>每拥有 +2% 点燃、流血、中毒几率，分别 +1% 火焰伤害、流血伤害、中毒伤害</t>
        </is>
      </c>
      <c r="K275" s="31" t="n">
        <v>1</v>
      </c>
      <c r="L275" s="31" t="inlineStr">
        <is>
          <t>10222|10223|10224</t>
        </is>
      </c>
    </row>
    <row r="276" customFormat="1" s="31">
      <c r="A276" s="29" t="n">
        <v>1006204</v>
      </c>
      <c r="B276" s="28" t="inlineStr">
        <is>
          <t>异常盘2-4</t>
        </is>
      </c>
      <c r="C276" s="31" t="n">
        <v>0</v>
      </c>
      <c r="D276" s="29" t="n"/>
      <c r="E276" s="29" t="n"/>
      <c r="F276" s="29" t="n">
        <v>1006</v>
      </c>
      <c r="G276" s="31" t="n">
        <v>2</v>
      </c>
      <c r="H276" s="26" t="inlineStr">
        <is>
          <t>talent/common_2/fumianxiaoguotisheng</t>
        </is>
      </c>
      <c r="I276" s="31" t="inlineStr">
        <is>
          <t>进阶天赋</t>
        </is>
      </c>
      <c r="J276" s="31" t="inlineStr">
        <is>
          <t>瘫痪效果提高60%</t>
        </is>
      </c>
      <c r="K276" s="31" t="n">
        <v>1</v>
      </c>
      <c r="L276" s="31" t="n">
        <v>10225</v>
      </c>
    </row>
    <row r="277" customFormat="1" s="31">
      <c r="A277" s="29" t="n">
        <v>1006205</v>
      </c>
      <c r="B277" s="28" t="inlineStr">
        <is>
          <t>异常盘2-5</t>
        </is>
      </c>
      <c r="C277" s="31" t="n">
        <v>0</v>
      </c>
      <c r="D277" s="29" t="n"/>
      <c r="E277" s="29" t="n"/>
      <c r="F277" s="29" t="n">
        <v>1006</v>
      </c>
      <c r="G277" s="31" t="n">
        <v>2</v>
      </c>
      <c r="H277" s="26" t="inlineStr">
        <is>
          <t>talent/common_2/fumianxiaoguotisheng</t>
        </is>
      </c>
      <c r="I277" s="31" t="inlineStr">
        <is>
          <t>进阶天赋</t>
        </is>
      </c>
      <c r="J277" s="31" t="inlineStr">
        <is>
          <t>软弱效果提高60%</t>
        </is>
      </c>
      <c r="K277" s="31" t="n">
        <v>1</v>
      </c>
      <c r="L277" s="31" t="n">
        <v>10226</v>
      </c>
      <c r="M277" s="31" t="inlineStr">
        <is>
          <t>[[0.6]]</t>
        </is>
      </c>
    </row>
    <row r="278" customFormat="1" s="31">
      <c r="A278" s="29" t="n">
        <v>1006206</v>
      </c>
      <c r="B278" s="28" t="inlineStr">
        <is>
          <t>异常盘2-6</t>
        </is>
      </c>
      <c r="C278" s="31" t="n">
        <v>0</v>
      </c>
      <c r="D278" s="29" t="n"/>
      <c r="E278" s="29" t="n"/>
      <c r="F278" s="29" t="n">
        <v>1006</v>
      </c>
      <c r="G278" s="31" t="n">
        <v>2</v>
      </c>
      <c r="H278" s="26" t="inlineStr">
        <is>
          <t>talent/common_2/fumianxiaoguotisheng</t>
        </is>
      </c>
      <c r="I278" s="31" t="inlineStr">
        <is>
          <t>进阶天赋</t>
        </is>
      </c>
      <c r="J278" s="31" t="inlineStr">
        <is>
          <t>诅咒效果提高60%</t>
        </is>
      </c>
      <c r="K278" s="31" t="n">
        <v>1</v>
      </c>
      <c r="L278" s="31" t="n">
        <v>10236</v>
      </c>
      <c r="M278" s="31" t="inlineStr">
        <is>
          <t>[[0.6]]</t>
        </is>
      </c>
    </row>
    <row r="279" customFormat="1" s="31">
      <c r="A279" s="29" t="n">
        <v>1006301</v>
      </c>
      <c r="B279" s="28" t="inlineStr">
        <is>
          <t>异常盘3-1</t>
        </is>
      </c>
      <c r="C279" s="31" t="n">
        <v>0</v>
      </c>
      <c r="D279" s="29" t="n"/>
      <c r="E279" s="29" t="n"/>
      <c r="F279" s="29" t="n">
        <v>1006</v>
      </c>
      <c r="G279" s="31" t="n">
        <v>3</v>
      </c>
      <c r="H279" s="26" t="inlineStr">
        <is>
          <t>talent/common_3/diezhou_zhiyan</t>
        </is>
      </c>
      <c r="I279" s="31" t="inlineStr">
        <is>
          <t>叠咒之言</t>
        </is>
      </c>
      <c r="J279" s="31" t="inlineStr">
        <is>
          <t>你可以额外施加一个诅咒</t>
        </is>
      </c>
      <c r="K279" s="31" t="n">
        <v>1</v>
      </c>
      <c r="L279" s="31" t="n">
        <v>10237</v>
      </c>
      <c r="M279" s="31" t="inlineStr">
        <is>
          <t>[[0.6]]</t>
        </is>
      </c>
    </row>
    <row r="280" customFormat="1" s="31">
      <c r="A280" s="29" t="n">
        <v>1006302</v>
      </c>
      <c r="B280" s="28" t="inlineStr">
        <is>
          <t>异常盘3-2</t>
        </is>
      </c>
      <c r="C280" s="31" t="n">
        <v>0</v>
      </c>
      <c r="D280" s="29" t="n"/>
      <c r="E280" s="29" t="n"/>
      <c r="F280" s="29" t="n">
        <v>1006</v>
      </c>
      <c r="G280" s="31" t="n">
        <v>3</v>
      </c>
      <c r="H280" s="26" t="inlineStr">
        <is>
          <t>talent/common_3/luanzhou_guanzhu</t>
        </is>
      </c>
      <c r="I280" s="31" t="inlineStr">
        <is>
          <t>乱咒灌注</t>
        </is>
      </c>
      <c r="J280" s="31" t="inlineStr">
        <is>
          <t>击中时，获得混乱注能，混乱注能上限 +1</t>
        </is>
      </c>
      <c r="K280" s="31" t="n">
        <v>1</v>
      </c>
      <c r="L280" s="31" t="n">
        <v>10152</v>
      </c>
      <c r="M280" s="31" t="inlineStr">
        <is>
          <t>[[1]]</t>
        </is>
      </c>
      <c r="N280" s="31" t="n">
        <v>2150000380</v>
      </c>
    </row>
  </sheetData>
  <autoFilter ref="G1:G280"/>
  <conditionalFormatting sqref="G1">
    <cfRule type="duplicateValues" priority="3" dxfId="0"/>
  </conditionalFormatting>
  <conditionalFormatting sqref="A1:A2">
    <cfRule type="duplicateValues" priority="76" dxfId="0"/>
  </conditionalFormatting>
  <conditionalFormatting sqref="A7:A23">
    <cfRule type="duplicateValues" priority="109" dxfId="0"/>
  </conditionalFormatting>
  <conditionalFormatting sqref="B1:B2">
    <cfRule type="duplicateValues" priority="75" dxfId="0"/>
  </conditionalFormatting>
  <conditionalFormatting sqref="D1:D2">
    <cfRule type="duplicateValues" priority="9" dxfId="0"/>
  </conditionalFormatting>
  <conditionalFormatting sqref="E1:E2">
    <cfRule type="duplicateValues" priority="6" dxfId="0"/>
  </conditionalFormatting>
  <conditionalFormatting sqref="F1:F2">
    <cfRule type="duplicateValues" priority="2" dxfId="0"/>
  </conditionalFormatting>
  <conditionalFormatting sqref="N1:N2">
    <cfRule type="duplicateValues" priority="14" dxfId="0"/>
  </conditionalFormatting>
  <conditionalFormatting sqref="O1:O2">
    <cfRule type="duplicateValues" priority="13" dxfId="0"/>
  </conditionalFormatting>
  <conditionalFormatting sqref="C1 C2 G2:J2 H1:J1">
    <cfRule type="duplicateValues" priority="74" dxfId="0"/>
  </conditionalFormatting>
  <conditionalFormatting sqref="K1 K2">
    <cfRule type="duplicateValues" priority="1" dxfId="0"/>
  </conditionalFormatting>
  <conditionalFormatting sqref="L1:M2">
    <cfRule type="duplicateValues" priority="15" dxfId="0"/>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D4" sqref="D4"/>
    </sheetView>
  </sheetViews>
  <sheetFormatPr baseColWidth="8" defaultColWidth="9" defaultRowHeight="13.5"/>
  <cols>
    <col width="15.625" customWidth="1" style="78" min="2" max="2"/>
    <col width="23.875" customWidth="1" style="78" min="3" max="3"/>
    <col width="31" customWidth="1" style="78" min="4" max="4"/>
    <col width="26.375" customWidth="1" style="78" min="5" max="5"/>
    <col width="33.125" customWidth="1" style="78" min="6" max="6"/>
    <col width="23.875" customWidth="1" style="78" min="7" max="7"/>
  </cols>
  <sheetData>
    <row r="1" ht="27" customHeight="1" s="78">
      <c r="A1" s="15" t="inlineStr">
        <is>
          <t>id</t>
        </is>
      </c>
      <c r="B1" s="15" t="inlineStr">
        <is>
          <t>天赋盘名称</t>
        </is>
      </c>
      <c r="C1" s="15" t="inlineStr">
        <is>
          <t>天赋盘icon</t>
        </is>
      </c>
      <c r="D1" s="15" t="inlineStr">
        <is>
          <t>天赋盘描述</t>
        </is>
      </c>
      <c r="E1" s="15" t="inlineStr">
        <is>
          <t>进阶天赋获取所需基础天赋加点数量</t>
        </is>
      </c>
      <c r="F1" s="15" t="inlineStr">
        <is>
          <t>核心天赋获取所需进阶天赋加点数量</t>
        </is>
      </c>
      <c r="G1" s="15" t="inlineStr">
        <is>
          <t>核心天赋可点数量上限</t>
        </is>
      </c>
    </row>
    <row r="2">
      <c r="A2" s="16" t="inlineStr">
        <is>
          <t>id.p</t>
        </is>
      </c>
      <c r="B2" s="16" t="inlineStr">
        <is>
          <t>name</t>
        </is>
      </c>
      <c r="C2" s="16" t="inlineStr">
        <is>
          <t>icon</t>
        </is>
      </c>
      <c r="D2" s="16" t="inlineStr">
        <is>
          <t>desc</t>
        </is>
      </c>
      <c r="E2" s="16" t="inlineStr">
        <is>
          <t>advanceRequireBasePoint</t>
        </is>
      </c>
      <c r="F2" s="16" t="inlineStr">
        <is>
          <t>coreRequireAdvancePoint</t>
        </is>
      </c>
      <c r="G2" s="16" t="inlineStr">
        <is>
          <t>coreTalentLimit</t>
        </is>
      </c>
    </row>
    <row r="3">
      <c r="A3" s="17" t="inlineStr">
        <is>
          <t>number</t>
        </is>
      </c>
      <c r="B3" s="17" t="inlineStr">
        <is>
          <t>string</t>
        </is>
      </c>
      <c r="C3" s="17" t="inlineStr">
        <is>
          <t>string</t>
        </is>
      </c>
      <c r="D3" s="17" t="inlineStr">
        <is>
          <t>string</t>
        </is>
      </c>
      <c r="E3" s="17" t="inlineStr">
        <is>
          <t>number</t>
        </is>
      </c>
      <c r="F3" s="17" t="inlineStr">
        <is>
          <t>number</t>
        </is>
      </c>
      <c r="G3" s="17" t="inlineStr">
        <is>
          <t>number</t>
        </is>
      </c>
    </row>
    <row r="4">
      <c r="A4" s="29" t="n">
        <v>1001</v>
      </c>
      <c r="B4" s="31" t="inlineStr">
        <is>
          <t>奠基之石</t>
        </is>
      </c>
      <c r="C4" s="31" t="inlineStr">
        <is>
          <t>talent/common_0/1</t>
        </is>
      </c>
      <c r="D4" s="47" t="inlineStr">
        <is>
          <t>影响伤害的基础数值，包括武器附加的点伤、不同伤害类型之间的转换，魔力消耗，以及部分武器流派的核心加成。</t>
        </is>
      </c>
      <c r="E4" s="47" t="n">
        <v>9</v>
      </c>
      <c r="F4" s="47" t="n">
        <v>3</v>
      </c>
      <c r="G4" s="47" t="n">
        <v>1</v>
      </c>
    </row>
    <row r="5">
      <c r="A5" s="29" t="n">
        <v>1002</v>
      </c>
      <c r="B5" s="31" t="inlineStr">
        <is>
          <t>致命之眼</t>
        </is>
      </c>
      <c r="C5" s="31" t="inlineStr">
        <is>
          <t>talent/common_0/2</t>
        </is>
      </c>
      <c r="D5" s="47" t="inlineStr">
        <is>
          <t>影响暴击相关的所有属性，包括暴击率、暴击伤害，以及暴击时触发的特殊效果。</t>
        </is>
      </c>
      <c r="E5" s="47" t="n">
        <v>9</v>
      </c>
      <c r="F5" s="47" t="n">
        <v>3</v>
      </c>
      <c r="G5" s="47" t="n">
        <v>1</v>
      </c>
    </row>
    <row r="6">
      <c r="A6" s="29" t="n">
        <v>1003</v>
      </c>
      <c r="B6" s="31" t="inlineStr">
        <is>
          <t>疾风之径</t>
        </is>
      </c>
      <c r="C6" s="31" t="inlineStr">
        <is>
          <t>talent/common_0/3</t>
        </is>
      </c>
      <c r="D6" s="47" t="inlineStr">
        <is>
          <t>影响所有与“速度”相关的能力，包括攻击速度、施法速度、移动速度，以及冷却缩减和持续伤害的结算频率。</t>
        </is>
      </c>
      <c r="E6" s="47" t="n">
        <v>9</v>
      </c>
      <c r="F6" s="47" t="n">
        <v>3</v>
      </c>
      <c r="G6" s="47" t="n">
        <v>1</v>
      </c>
    </row>
    <row r="7">
      <c r="A7" s="29" t="n">
        <v>1004</v>
      </c>
      <c r="B7" s="31" t="inlineStr">
        <is>
          <t>焚炉之核</t>
        </is>
      </c>
      <c r="C7" s="31" t="inlineStr">
        <is>
          <t>talent/common_0/4</t>
        </is>
      </c>
      <c r="D7" s="47" t="inlineStr">
        <is>
          <t>提供各类伤害加成，包括对特定技能类型或特定元素伤害的提升，也包含元素之间的联动增益。</t>
        </is>
      </c>
      <c r="E7" s="47" t="n">
        <v>9</v>
      </c>
      <c r="F7" s="47" t="n">
        <v>3</v>
      </c>
      <c r="G7" s="47" t="n">
        <v>1</v>
      </c>
    </row>
    <row r="8">
      <c r="A8" s="29" t="n">
        <v>1005</v>
      </c>
      <c r="B8" s="31" t="inlineStr">
        <is>
          <t>坚毅之壁</t>
        </is>
      </c>
      <c r="C8" s="31" t="inlineStr">
        <is>
          <t>talent/common_0/5</t>
        </is>
      </c>
      <c r="D8" s="47" t="inlineStr">
        <is>
          <t>影响对元素伤害和物理伤害的防御能力，包括抗性数值、抗性穿透，以及突破抗性上限带来的额外收益。</t>
        </is>
      </c>
      <c r="E8" s="47" t="n">
        <v>9</v>
      </c>
      <c r="F8" s="47" t="n">
        <v>3</v>
      </c>
      <c r="G8" s="47" t="n">
        <v>1</v>
      </c>
    </row>
    <row r="9">
      <c r="A9" s="29" t="n">
        <v>1006</v>
      </c>
      <c r="B9" s="31" t="inlineStr">
        <is>
          <t>凋零之触</t>
        </is>
      </c>
      <c r="C9" s="31" t="inlineStr">
        <is>
          <t>talent/common_0/6</t>
        </is>
      </c>
      <c r="D9" s="47" t="inlineStr">
        <is>
          <t>影响异常状态和诅咒的施加与效果，让敌人因中毒、点燃、冰冻、感电等状态而承受更多伤害。</t>
        </is>
      </c>
      <c r="E9" s="47" t="n">
        <v>9</v>
      </c>
      <c r="F9" s="47" t="n">
        <v>3</v>
      </c>
      <c r="G9" s="47" t="n">
        <v>1</v>
      </c>
    </row>
  </sheetData>
  <conditionalFormatting sqref="A1:A2">
    <cfRule type="duplicateValues" priority="9" dxfId="0"/>
  </conditionalFormatting>
  <conditionalFormatting sqref="A7:A9">
    <cfRule type="duplicateValues" priority="3" dxfId="0"/>
  </conditionalFormatting>
  <conditionalFormatting sqref="B1:B2">
    <cfRule type="duplicateValues" priority="8" dxfId="0"/>
  </conditionalFormatting>
  <conditionalFormatting sqref="C1:C2">
    <cfRule type="duplicateValues" priority="7" dxfId="0"/>
  </conditionalFormatting>
  <conditionalFormatting sqref="D1:D2">
    <cfRule type="duplicateValues" priority="6" dxfId="0"/>
  </conditionalFormatting>
  <conditionalFormatting sqref="E1:E2">
    <cfRule type="duplicateValues" priority="5" dxfId="0"/>
  </conditionalFormatting>
  <conditionalFormatting sqref="F1:F2">
    <cfRule type="duplicateValues" priority="4" dxfId="0"/>
  </conditionalFormatting>
  <conditionalFormatting sqref="G1:G2">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4399-3040</dc:creator>
  <dcterms:created xmlns:dcterms="http://purl.org/dc/terms/" xmlns:xsi="http://www.w3.org/2001/XMLSchema-instance" xsi:type="dcterms:W3CDTF">2023-08-07T02:59:00Z</dcterms:created>
  <dcterms:modified xmlns:dcterms="http://purl.org/dc/terms/" xmlns:xsi="http://www.w3.org/2001/XMLSchema-instance" xsi:type="dcterms:W3CDTF">2026-10-08T12:18:38Z</dcterms:modified>
  <cp:lastModifiedBy>沾下酱</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B01966EB76C84A57AEACFBF72BDA4DBD_12</vt:lpwstr>
  </property>
  <property name="KSOProductBuildVer" fmtid="{D5CDD505-2E9C-101B-9397-08002B2CF9AE}" pid="3">
    <vt:lpwstr xmlns:vt="http://schemas.openxmlformats.org/officeDocument/2006/docPropsVTypes">2052-12.1.0.28505</vt:lpwstr>
  </property>
  <property name="KSOReadingLayout" fmtid="{D5CDD505-2E9C-101B-9397-08002B2CF9AE}" pid="4">
    <vt:bool xmlns:vt="http://schemas.openxmlformats.org/officeDocument/2006/docPropsVTypes">1</vt:bool>
  </property>
  <property name="CalculationRule" fmtid="{D5CDD505-2E9C-101B-9397-08002B2CF9AE}" pid="5">
    <vt:i4 xmlns:vt="http://schemas.openxmlformats.org/officeDocument/2006/docPropsVTypes">0</vt:i4>
  </property>
</Properties>
</file>