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7945" windowHeight="11805" tabRatio="828" firstSheet="2" activeTab="1"/>
  </bookViews>
  <sheets>
    <sheet name="Pet" sheetId="15" r:id="rId1"/>
    <sheet name="PetStar" sheetId="33" r:id="rId2"/>
    <sheet name="PetQuality" sheetId="28" r:id="rId3"/>
    <sheet name="PetSet" sheetId="18" r:id="rId4"/>
  </sheets>
  <externalReferences>
    <externalReference r:id="rId5"/>
  </externalReferences>
  <definedNames>
    <definedName name="_xlnm._FilterDatabase" localSheetId="0" hidden="1">Pet!$H$1:$H$31</definedName>
    <definedName name="_xlnm._FilterDatabase" localSheetId="2" hidden="1">PetQuality!#REF!</definedName>
    <definedName name="_xlnm._FilterDatabase" localSheetId="1" hidden="1">PetStar!#REF!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4399-5080</author>
  </authors>
  <commentList>
    <comment ref="D1" authorId="0">
      <text>
        <r>
          <rPr>
            <b/>
            <sz val="9"/>
            <rFont val="宋体"/>
            <charset val="134"/>
          </rPr>
          <t>3-蓝
4-紫
6-橙
8-红</t>
        </r>
        <r>
          <rPr>
            <sz val="9"/>
            <rFont val="宋体"/>
            <charset val="134"/>
          </rPr>
          <t xml:space="preserve">
</t>
        </r>
      </text>
    </comment>
  </commentList>
</comments>
</file>

<file path=xl/comments2.xml><?xml version="1.0" encoding="utf-8"?>
<comments xmlns="http://schemas.openxmlformats.org/spreadsheetml/2006/main">
  <authors>
    <author>1250c</author>
  </authors>
  <commentList>
    <comment ref="H2" authorId="0">
      <text>
        <r>
          <rPr>
            <b/>
            <sz val="9"/>
            <rFont val="宋体"/>
            <charset val="134"/>
          </rPr>
          <t>1250c:</t>
        </r>
        <r>
          <rPr>
            <sz val="9"/>
            <rFont val="宋体"/>
            <charset val="134"/>
          </rPr>
          <t xml:space="preserve">
词缀V值填入规则
默认按照顺序对词缀ID字段中的词缀依次插入数值
如词缀ID为XXX1,XXX2</t>
        </r>
      </text>
    </comment>
  </commentList>
</comments>
</file>

<file path=xl/sharedStrings.xml><?xml version="1.0" encoding="utf-8"?>
<sst xmlns="http://schemas.openxmlformats.org/spreadsheetml/2006/main" count="920" uniqueCount="408">
  <si>
    <t>魔宠id</t>
  </si>
  <si>
    <t>魔宠名称</t>
  </si>
  <si>
    <t>(nouse)备注</t>
  </si>
  <si>
    <t>品质</t>
  </si>
  <si>
    <t>(nouse)策划备注</t>
  </si>
  <si>
    <t>模型id</t>
  </si>
  <si>
    <t>魔宠列表头像</t>
  </si>
  <si>
    <t>获得背景</t>
  </si>
  <si>
    <t>获得立绘</t>
  </si>
  <si>
    <t>是否弹窗</t>
  </si>
  <si>
    <t>激活角色头像</t>
  </si>
  <si>
    <t>id.p</t>
  </si>
  <si>
    <t>name</t>
  </si>
  <si>
    <t>desc999</t>
  </si>
  <si>
    <t>quality</t>
  </si>
  <si>
    <t>monsterId</t>
  </si>
  <si>
    <t>pic</t>
  </si>
  <si>
    <t>getBg</t>
  </si>
  <si>
    <t>getPic</t>
  </si>
  <si>
    <t>getShow</t>
  </si>
  <si>
    <t>headRole</t>
  </si>
  <si>
    <t>hide</t>
  </si>
  <si>
    <t>number</t>
  </si>
  <si>
    <t>string</t>
  </si>
  <si>
    <t>雷电法王</t>
  </si>
  <si>
    <t>SR-闪电</t>
  </si>
  <si>
    <t>pet/getBg/sha</t>
  </si>
  <si>
    <t>pet/getPic/6082</t>
  </si>
  <si>
    <t>拳斗熊</t>
  </si>
  <si>
    <t>SSR-物理</t>
  </si>
  <si>
    <t>pet/getBg/huo</t>
  </si>
  <si>
    <t>pet/getPic/6022</t>
  </si>
  <si>
    <t>沙虫</t>
  </si>
  <si>
    <t>无</t>
  </si>
  <si>
    <t>炎龙</t>
  </si>
  <si>
    <t>R-火焰</t>
  </si>
  <si>
    <t>半兽人</t>
  </si>
  <si>
    <t>R-攻击</t>
  </si>
  <si>
    <t>树精</t>
  </si>
  <si>
    <t>R-近战</t>
  </si>
  <si>
    <t>旅行鼠</t>
  </si>
  <si>
    <t>R-投射物</t>
  </si>
  <si>
    <t>幽魂</t>
  </si>
  <si>
    <t>R-混沌</t>
  </si>
  <si>
    <t>蕾朵</t>
  </si>
  <si>
    <t>SSR-法术</t>
  </si>
  <si>
    <t>pet/getBg/cao</t>
  </si>
  <si>
    <t>pet/getPic/7022</t>
  </si>
  <si>
    <t>冰虫骑士</t>
  </si>
  <si>
    <t>SR-物理</t>
  </si>
  <si>
    <t>pet/getBg/bing</t>
  </si>
  <si>
    <t>pet/getPic/6012</t>
  </si>
  <si>
    <t>猫浪人</t>
  </si>
  <si>
    <t>SR-攻击</t>
  </si>
  <si>
    <t>pet/getBg/shui</t>
  </si>
  <si>
    <t>pet/getPic/6052</t>
  </si>
  <si>
    <t>射击仙人</t>
  </si>
  <si>
    <t>SR-投射物</t>
  </si>
  <si>
    <t>pet/getPic/6042</t>
  </si>
  <si>
    <t>咒术魔偶</t>
  </si>
  <si>
    <t>SR-混沌</t>
  </si>
  <si>
    <t>pet/getBg/an</t>
  </si>
  <si>
    <t>pet/getPic/6062</t>
  </si>
  <si>
    <t>剧团魔影</t>
  </si>
  <si>
    <t>SR-火焰</t>
  </si>
  <si>
    <t>pet/getPic/6092</t>
  </si>
  <si>
    <t>蜂行者</t>
  </si>
  <si>
    <t>SR-近战</t>
  </si>
  <si>
    <t>pet/getBg/lei</t>
  </si>
  <si>
    <t>pet/getPic/6032</t>
  </si>
  <si>
    <t>蔷薇法师</t>
  </si>
  <si>
    <t>SR-法术</t>
  </si>
  <si>
    <t>pet/getPic/6112</t>
  </si>
  <si>
    <t>熔炉魔灵</t>
  </si>
  <si>
    <t>SSR-火焰</t>
  </si>
  <si>
    <t>pet/getPic/7032</t>
  </si>
  <si>
    <t>雷暴元素</t>
  </si>
  <si>
    <t>SSR-闪电</t>
  </si>
  <si>
    <t>pet/getPic/7052</t>
  </si>
  <si>
    <t>麒麟</t>
  </si>
  <si>
    <t>R-闪电</t>
  </si>
  <si>
    <t>冰球</t>
  </si>
  <si>
    <t>R-冰冷</t>
  </si>
  <si>
    <t>恶魔</t>
  </si>
  <si>
    <t>R-法术</t>
  </si>
  <si>
    <t>章鱼</t>
  </si>
  <si>
    <t>R-物理</t>
  </si>
  <si>
    <t>珠泪使者</t>
  </si>
  <si>
    <t>SSR-冰冷</t>
  </si>
  <si>
    <t>pet/getPic/7012</t>
  </si>
  <si>
    <t>破冰战甲</t>
  </si>
  <si>
    <t>SSR-近战</t>
  </si>
  <si>
    <t>pet/getPic/7062</t>
  </si>
  <si>
    <t>混沌魔猿</t>
  </si>
  <si>
    <t>SSR-混沌</t>
  </si>
  <si>
    <t>pet/getPic/7042</t>
  </si>
  <si>
    <t>烈焰机甲</t>
  </si>
  <si>
    <t>SSR-投射物</t>
  </si>
  <si>
    <t>pet/getPic/7082</t>
  </si>
  <si>
    <t>利爪冰狼</t>
  </si>
  <si>
    <t>SSR-攻击</t>
  </si>
  <si>
    <t>pet/getPic/7072</t>
  </si>
  <si>
    <t>暴鲤龙</t>
  </si>
  <si>
    <t>SR-冰冷</t>
  </si>
  <si>
    <t>pet/getPic/6142</t>
  </si>
  <si>
    <t>主键id</t>
  </si>
  <si>
    <t>(nouse)策划说明</t>
  </si>
  <si>
    <t>魔宠Id</t>
  </si>
  <si>
    <t>星级</t>
  </si>
  <si>
    <t>升星消耗碎片</t>
  </si>
  <si>
    <t>描述（改程序读表）</t>
  </si>
  <si>
    <t>词缀id</t>
  </si>
  <si>
    <t>词缀值</t>
  </si>
  <si>
    <t>被动表id</t>
  </si>
  <si>
    <t>提供属性-启用加属性</t>
  </si>
  <si>
    <t>(nouse)属性1</t>
  </si>
  <si>
    <t>(nouse)属性1值</t>
  </si>
  <si>
    <t>(nouse)属性2</t>
  </si>
  <si>
    <t>(nouse)属性2值</t>
  </si>
  <si>
    <t>(nouse)属性3</t>
  </si>
  <si>
    <t>(nouse)属性3值</t>
  </si>
  <si>
    <t>(nouse)词缀1</t>
  </si>
  <si>
    <t>(nouse)词缀1值</t>
  </si>
  <si>
    <t>(nouse)词缀2</t>
  </si>
  <si>
    <t>(nouse)词缀2值</t>
  </si>
  <si>
    <t>(nouse)词缀3</t>
  </si>
  <si>
    <t>(nouse)词缀3值</t>
  </si>
  <si>
    <t>(nouse)词缀4</t>
  </si>
  <si>
    <t>(nouse)词缀4值</t>
  </si>
  <si>
    <t>(nouse)特技1</t>
  </si>
  <si>
    <t>(nouse)特技2</t>
  </si>
  <si>
    <t>(nouse)属性1id</t>
  </si>
  <si>
    <t>(nouse)属性2id</t>
  </si>
  <si>
    <t>(nouse)属性3id</t>
  </si>
  <si>
    <t>(nouse)辅助1</t>
  </si>
  <si>
    <t>(nouse)辅助2</t>
  </si>
  <si>
    <t>(nouse)辅助3</t>
  </si>
  <si>
    <t>(nouse)词缀1id</t>
  </si>
  <si>
    <t>(nouse)词缀2id</t>
  </si>
  <si>
    <t>(nouse)词缀3id</t>
  </si>
  <si>
    <t>(nouse)词缀4id</t>
  </si>
  <si>
    <t>(nouse)辅助4</t>
  </si>
  <si>
    <t>(nouse)特技1id</t>
  </si>
  <si>
    <t>(nouse)特技2id</t>
  </si>
  <si>
    <t>pet</t>
  </si>
  <si>
    <t>star</t>
  </si>
  <si>
    <t>pieceCost</t>
  </si>
  <si>
    <t>desc</t>
  </si>
  <si>
    <t>skillAffix</t>
  </si>
  <si>
    <t>affixValue</t>
  </si>
  <si>
    <t>stunt</t>
  </si>
  <si>
    <t>attr</t>
  </si>
  <si>
    <t>desc99</t>
  </si>
  <si>
    <t>desc98</t>
  </si>
  <si>
    <t>desc96</t>
  </si>
  <si>
    <t>desc95</t>
  </si>
  <si>
    <t>desc93</t>
  </si>
  <si>
    <t>desc92</t>
  </si>
  <si>
    <t>desc90</t>
  </si>
  <si>
    <t>desc89</t>
  </si>
  <si>
    <t>desc88</t>
  </si>
  <si>
    <t>desc87</t>
  </si>
  <si>
    <t>desc86</t>
  </si>
  <si>
    <t>desc85</t>
  </si>
  <si>
    <t>desc84</t>
  </si>
  <si>
    <t>desc83</t>
  </si>
  <si>
    <t>desc82</t>
  </si>
  <si>
    <t>desc81</t>
  </si>
  <si>
    <t>desc80</t>
  </si>
  <si>
    <t>desc79</t>
  </si>
  <si>
    <t>desc78</t>
  </si>
  <si>
    <t>desc77</t>
  </si>
  <si>
    <t>desc76</t>
  </si>
  <si>
    <t>desc75</t>
  </si>
  <si>
    <t>desc74</t>
  </si>
  <si>
    <t>desc73</t>
  </si>
  <si>
    <t>desc72</t>
  </si>
  <si>
    <t>desc71</t>
  </si>
  <si>
    <t>desc70</t>
  </si>
  <si>
    <t>desc69</t>
  </si>
  <si>
    <t>desc68</t>
  </si>
  <si>
    <t>desc67</t>
  </si>
  <si>
    <t>desc66</t>
  </si>
  <si>
    <t>desc65</t>
  </si>
  <si>
    <t>desc64</t>
  </si>
  <si>
    <t>object</t>
  </si>
  <si>
    <t>numberArr</t>
  </si>
  <si>
    <t>雷电法老王-星级0</t>
  </si>
  <si>
    <t>闪电伤害提高</t>
  </si>
  <si>
    <t>感电效果比例</t>
  </si>
  <si>
    <t>雷电法老王-星级1</t>
  </si>
  <si>
    <t>雷电法老王-星级2</t>
  </si>
  <si>
    <t>雷电法老王-星级3</t>
  </si>
  <si>
    <t>全局伤害提高</t>
  </si>
  <si>
    <t>雷电法老王-星级4</t>
  </si>
  <si>
    <t>雷电法老王-星级5</t>
  </si>
  <si>
    <t>拳斗熊-星级0</t>
  </si>
  <si>
    <t>物理伤害提高</t>
  </si>
  <si>
    <t>物理伤害额外提高</t>
  </si>
  <si>
    <t>拳斗熊-星级1</t>
  </si>
  <si>
    <t>流血效果比例</t>
  </si>
  <si>
    <t>拳斗熊-星级2</t>
  </si>
  <si>
    <t>拳斗熊-星级3</t>
  </si>
  <si>
    <t>物理伤害双倍伤害几率增加</t>
  </si>
  <si>
    <t>拳斗熊-星级4</t>
  </si>
  <si>
    <t>拳斗熊-星级5</t>
  </si>
  <si>
    <t>沙虫-星级0</t>
  </si>
  <si>
    <t>攻击速度提高</t>
  </si>
  <si>
    <t>0.1,0.2</t>
  </si>
  <si>
    <t>施法速度提高</t>
  </si>
  <si>
    <t>闪电伤害额外提高</t>
  </si>
  <si>
    <t>沙虫-星级1</t>
  </si>
  <si>
    <t>闪电之捷</t>
  </si>
  <si>
    <t>沙虫-星级2</t>
  </si>
  <si>
    <t>沙虫-星级3</t>
  </si>
  <si>
    <t>沙虫-星级4</t>
  </si>
  <si>
    <t>灰烬之捷</t>
  </si>
  <si>
    <t>沙虫-星级5</t>
  </si>
  <si>
    <t>小炎龙-星级0</t>
  </si>
  <si>
    <t>火焰伤害提高</t>
  </si>
  <si>
    <t>点燃效果比例</t>
  </si>
  <si>
    <t>小炎龙-星级1</t>
  </si>
  <si>
    <t>小炎龙-星级2</t>
  </si>
  <si>
    <t>小炎龙-星级3</t>
  </si>
  <si>
    <t>小炎龙-星级4</t>
  </si>
  <si>
    <t>小炎龙-星级5</t>
  </si>
  <si>
    <t>半兽人-星级0</t>
  </si>
  <si>
    <t>攻击伤害提高</t>
  </si>
  <si>
    <t>半兽人-星级1</t>
  </si>
  <si>
    <t>半兽人-星级2</t>
  </si>
  <si>
    <t>半兽人-星级3</t>
  </si>
  <si>
    <t>半兽人-星级4</t>
  </si>
  <si>
    <t>半兽人-星级5</t>
  </si>
  <si>
    <t>树精-星级0</t>
  </si>
  <si>
    <t>近战伤害提高</t>
  </si>
  <si>
    <t>近战技能范围效果提高</t>
  </si>
  <si>
    <t>树精-星级1</t>
  </si>
  <si>
    <t>树精-星级2</t>
  </si>
  <si>
    <t>树精-星级3</t>
  </si>
  <si>
    <t>树精-星级4</t>
  </si>
  <si>
    <t>树精-星级5</t>
  </si>
  <si>
    <t>旅行鼠-星级0</t>
  </si>
  <si>
    <t>投射物伤害提高</t>
  </si>
  <si>
    <t>投射物速度提高</t>
  </si>
  <si>
    <t>旅行鼠-星级1</t>
  </si>
  <si>
    <t>旅行鼠-星级2</t>
  </si>
  <si>
    <t>旅行鼠-星级3</t>
  </si>
  <si>
    <t>旅行鼠-星级4</t>
  </si>
  <si>
    <t>旅行鼠-星级5</t>
  </si>
  <si>
    <t>幽魂-星级0</t>
  </si>
  <si>
    <t>混沌伤害提高</t>
  </si>
  <si>
    <t>中毒效果比例</t>
  </si>
  <si>
    <t>幽魂-星级1</t>
  </si>
  <si>
    <t>幽魂-星级2</t>
  </si>
  <si>
    <t>幽魂-星级3</t>
  </si>
  <si>
    <t>幽魂-星级4</t>
  </si>
  <si>
    <t>幽魂-星级5</t>
  </si>
  <si>
    <t>蕾朵-星级0</t>
  </si>
  <si>
    <t>法术伤害提高</t>
  </si>
  <si>
    <t>法术伤害额外提高</t>
  </si>
  <si>
    <t>蕾朵-星级1</t>
  </si>
  <si>
    <t>蕾朵-星级2</t>
  </si>
  <si>
    <t>蕾朵-星级3</t>
  </si>
  <si>
    <t>蕾朵-星级4</t>
  </si>
  <si>
    <t>蕾朵-星级5</t>
  </si>
  <si>
    <t>宠物-攻击必定软弱</t>
  </si>
  <si>
    <t>冰虫骑士-星级0</t>
  </si>
  <si>
    <t>冰虫骑士-星级1</t>
  </si>
  <si>
    <t>冰虫骑士-星级2</t>
  </si>
  <si>
    <t>冰虫骑士-星级3</t>
  </si>
  <si>
    <t>冰虫骑士-星级4</t>
  </si>
  <si>
    <t>冰虫骑士-星级5</t>
  </si>
  <si>
    <t>猫浪人-星级0</t>
  </si>
  <si>
    <t>猫浪人-星级1</t>
  </si>
  <si>
    <t>猫浪人-星级2</t>
  </si>
  <si>
    <t>猫浪人-星级3</t>
  </si>
  <si>
    <t>猫浪人-星级4</t>
  </si>
  <si>
    <t>猫浪人-星级5</t>
  </si>
  <si>
    <t>射击仙人-星级0</t>
  </si>
  <si>
    <t>射击仙人-星级1</t>
  </si>
  <si>
    <t>射击仙人-星级2</t>
  </si>
  <si>
    <t>射击仙人-星级3</t>
  </si>
  <si>
    <t>射击仙人-星级4</t>
  </si>
  <si>
    <t>射击仙人-星级5</t>
  </si>
  <si>
    <t>咒术魔偶-星级0</t>
  </si>
  <si>
    <t>咒术魔偶-星级1</t>
  </si>
  <si>
    <t>咒术魔偶-星级2</t>
  </si>
  <si>
    <t>咒术魔偶-星级3</t>
  </si>
  <si>
    <t>咒术魔偶-星级4</t>
  </si>
  <si>
    <t>咒术魔偶-星级5</t>
  </si>
  <si>
    <t>剧团魔影-星级0</t>
  </si>
  <si>
    <t>剧团魔影-星级1</t>
  </si>
  <si>
    <t>剧团魔影-星级2</t>
  </si>
  <si>
    <t>剧团魔影-星级3</t>
  </si>
  <si>
    <t>剧团魔影-星级4</t>
  </si>
  <si>
    <t>剧团魔影-星级5</t>
  </si>
  <si>
    <t>蜂行者-星级0</t>
  </si>
  <si>
    <t>蜂行者-星级1</t>
  </si>
  <si>
    <t>蜂行者-星级2</t>
  </si>
  <si>
    <t>蜂行者-星级3</t>
  </si>
  <si>
    <t>蜂行者-星级4</t>
  </si>
  <si>
    <t>蜂行者-星级5</t>
  </si>
  <si>
    <t>蔷薇法师-星级0</t>
  </si>
  <si>
    <t>蔷薇法师-星级1</t>
  </si>
  <si>
    <t>蔷薇法师-星级2</t>
  </si>
  <si>
    <t>蔷薇法师-星级3</t>
  </si>
  <si>
    <t>蔷薇法师-星级4</t>
  </si>
  <si>
    <t>蔷薇法师-星级5</t>
  </si>
  <si>
    <t>熔炉魔灵-星级0</t>
  </si>
  <si>
    <t>火焰伤害额外提高</t>
  </si>
  <si>
    <t>熔炉魔灵-星级1</t>
  </si>
  <si>
    <t>熔炉魔灵-星级2</t>
  </si>
  <si>
    <t>熔炉魔灵-星级3</t>
  </si>
  <si>
    <t>火焰抗性穿透</t>
  </si>
  <si>
    <t>熔炉魔灵-星级4</t>
  </si>
  <si>
    <t>熔炉魔灵-星级5</t>
  </si>
  <si>
    <t>击中的火焰伤害使敌人的火焰抗性-12%，持续4秒</t>
  </si>
  <si>
    <t>雷暴元素-星级0</t>
  </si>
  <si>
    <t>雷暴元素-星级1</t>
  </si>
  <si>
    <t>雷暴元素-星级2</t>
  </si>
  <si>
    <t>雷暴元素-星级3</t>
  </si>
  <si>
    <t>闪电抗性穿透</t>
  </si>
  <si>
    <t>雷暴元素-星级4</t>
  </si>
  <si>
    <t>雷暴元素-星级5</t>
  </si>
  <si>
    <t>闪电伤害有几率附带触电累积</t>
  </si>
  <si>
    <t>麒麟-星级0</t>
  </si>
  <si>
    <t>麒麟-星级1</t>
  </si>
  <si>
    <t>麒麟-星级2</t>
  </si>
  <si>
    <t>麒麟-星级3</t>
  </si>
  <si>
    <t>麒麟-星级4</t>
  </si>
  <si>
    <t>麒麟-星级5</t>
  </si>
  <si>
    <t>冰球-星级0</t>
  </si>
  <si>
    <t>冰冷伤害提高</t>
  </si>
  <si>
    <t>冰冻效果比例</t>
  </si>
  <si>
    <t>冰球-星级1</t>
  </si>
  <si>
    <t>冰球-星级2</t>
  </si>
  <si>
    <t>冰球-星级3</t>
  </si>
  <si>
    <t>冰球-星级4</t>
  </si>
  <si>
    <t>冰球-星级5</t>
  </si>
  <si>
    <t>恶魔-星级0</t>
  </si>
  <si>
    <t>恶魔-星级1</t>
  </si>
  <si>
    <t>恶魔-星级2</t>
  </si>
  <si>
    <t>恶魔-星级3</t>
  </si>
  <si>
    <t>恶魔-星级4</t>
  </si>
  <si>
    <t>恶魔-星级5</t>
  </si>
  <si>
    <t>章鱼-星级0</t>
  </si>
  <si>
    <t>章鱼-星级1</t>
  </si>
  <si>
    <t>章鱼-星级2</t>
  </si>
  <si>
    <t>章鱼-星级3</t>
  </si>
  <si>
    <t>章鱼-星级4</t>
  </si>
  <si>
    <t>章鱼-星级5</t>
  </si>
  <si>
    <t>珠泪使者-星级0</t>
  </si>
  <si>
    <t>冰冷伤害额外提高</t>
  </si>
  <si>
    <t>珠泪使者-星级1</t>
  </si>
  <si>
    <t>珠泪使者-星级2</t>
  </si>
  <si>
    <t>珠泪使者-星级3</t>
  </si>
  <si>
    <t>冰冷抗性穿透</t>
  </si>
  <si>
    <t>珠泪使者-星级4</t>
  </si>
  <si>
    <t>珠泪使者-星级5</t>
  </si>
  <si>
    <t>冰冻效果额外提高</t>
  </si>
  <si>
    <t>破冰战甲-星级0</t>
  </si>
  <si>
    <t>近战伤害额外提高</t>
  </si>
  <si>
    <t>破冰战甲-星级1</t>
  </si>
  <si>
    <t>破冰战甲-星级2</t>
  </si>
  <si>
    <t>破冰战甲-星级3</t>
  </si>
  <si>
    <t>破冰战甲-星级4</t>
  </si>
  <si>
    <t>破冰战甲-星级5</t>
  </si>
  <si>
    <t>近战伤害每次命中获得[霸体]</t>
  </si>
  <si>
    <t>魔猿宝宝-星级0</t>
  </si>
  <si>
    <t>混沌伤害额外提高</t>
  </si>
  <si>
    <t>魔猿宝宝-星级1</t>
  </si>
  <si>
    <t>魔猿宝宝-星级2</t>
  </si>
  <si>
    <t>魔猿宝宝-星级3</t>
  </si>
  <si>
    <t>混沌抗性穿透</t>
  </si>
  <si>
    <t>魔猿宝宝-星级4</t>
  </si>
  <si>
    <t>魔猿宝宝-星级5</t>
  </si>
  <si>
    <t>混沌伤害额外提高1%，上限15层，持续4秒</t>
  </si>
  <si>
    <t>烈焰机甲-星级0</t>
  </si>
  <si>
    <t>投射物伤害额外提高</t>
  </si>
  <si>
    <t>烈焰机甲-星级1</t>
  </si>
  <si>
    <t>烈焰机甲-星级2</t>
  </si>
  <si>
    <t>烈焰机甲-星级3</t>
  </si>
  <si>
    <t>烈焰机甲-星级4</t>
  </si>
  <si>
    <t>烈焰机甲-星级5</t>
  </si>
  <si>
    <t>每3%投射物速度提供的1%投射物额外伤害，最多提供15%投射物额外伤害</t>
  </si>
  <si>
    <t>0.03,0.01</t>
  </si>
  <si>
    <t>利爪冰狼-星级0</t>
  </si>
  <si>
    <t>攻击伤害额外提高</t>
  </si>
  <si>
    <t>利爪冰狼-星级1</t>
  </si>
  <si>
    <t>利爪冰狼-星级2</t>
  </si>
  <si>
    <t>利爪冰狼-星级3</t>
  </si>
  <si>
    <t>利爪冰狼-星级4</t>
  </si>
  <si>
    <t>利爪冰狼-星级5</t>
  </si>
  <si>
    <t>宠物-攻击必定瘫痪</t>
  </si>
  <si>
    <t>暴鲤龙-星级0</t>
  </si>
  <si>
    <t>暴鲤龙-星级1</t>
  </si>
  <si>
    <t>暴鲤龙-星级2</t>
  </si>
  <si>
    <t>暴鲤龙-星级3</t>
  </si>
  <si>
    <t>暴鲤龙-星级4</t>
  </si>
  <si>
    <t>暴鲤龙-星级5</t>
  </si>
  <si>
    <t>宠物品质</t>
  </si>
  <si>
    <t>满星升星道具</t>
  </si>
  <si>
    <t>quality.p</t>
  </si>
  <si>
    <t>commonItem</t>
  </si>
  <si>
    <t>id</t>
  </si>
  <si>
    <t>(nouse)通用配置放这里</t>
  </si>
  <si>
    <t>上阵数量</t>
  </si>
  <si>
    <t>fieldNum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</si>
</sst>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11"/>
      <color indexed="8"/>
      <name val="宋体"/>
      <charset val="134"/>
    </font>
    <font>
      <sz val="10"/>
      <color indexed="8"/>
      <name val="微软雅黑"/>
      <charset val="134"/>
    </font>
    <font>
      <sz val="11"/>
      <color rgb="FFFF0000"/>
      <name val="宋体"/>
      <charset val="134"/>
      <scheme val="minor"/>
    </font>
    <font>
      <sz val="11"/>
      <name val="宋体"/>
      <charset val="134"/>
      <scheme val="minor"/>
    </font>
    <font>
      <sz val="11"/>
      <color rgb="FFFF0000"/>
      <name val="宋体"/>
      <charset val="134"/>
    </font>
    <font>
      <sz val="1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41">
    <fill>
      <patternFill patternType="none"/>
    </fill>
    <fill>
      <patternFill patternType="gray125"/>
    </fill>
    <fill>
      <patternFill patternType="solid">
        <fgColor indexed="49"/>
        <bgColor indexed="64"/>
      </patternFill>
    </fill>
    <fill>
      <patternFill patternType="solid">
        <fgColor indexed="49"/>
        <bgColor indexed="49"/>
      </patternFill>
    </fill>
    <fill>
      <patternFill patternType="solid">
        <fgColor indexed="13"/>
        <bgColor indexed="64"/>
      </patternFill>
    </fill>
    <fill>
      <patternFill patternType="solid">
        <fgColor theme="0" tint="-0.5"/>
        <bgColor indexed="64"/>
      </patternFill>
    </fill>
    <fill>
      <patternFill patternType="solid">
        <fgColor theme="6" tint="0.398968474379711"/>
        <bgColor indexed="64"/>
      </patternFill>
    </fill>
    <fill>
      <patternFill patternType="solid">
        <fgColor rgb="FFFFFF00"/>
        <bgColor indexed="64"/>
      </patternFill>
    </fill>
    <fill>
      <patternFill patternType="solid">
        <fgColor theme="3" tint="0.8"/>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2">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10"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11" borderId="4" applyNumberFormat="0" applyAlignment="0" applyProtection="0">
      <alignment vertical="center"/>
    </xf>
    <xf numFmtId="0" fontId="16" fillId="12" borderId="5" applyNumberFormat="0" applyAlignment="0" applyProtection="0">
      <alignment vertical="center"/>
    </xf>
    <xf numFmtId="0" fontId="17" fillId="12" borderId="4" applyNumberFormat="0" applyAlignment="0" applyProtection="0">
      <alignment vertical="center"/>
    </xf>
    <xf numFmtId="0" fontId="18" fillId="13"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xf numFmtId="0" fontId="24" fillId="37" borderId="0" applyNumberFormat="0" applyBorder="0" applyAlignment="0" applyProtection="0">
      <alignment vertical="center"/>
    </xf>
    <xf numFmtId="0" fontId="25" fillId="38" borderId="0" applyNumberFormat="0" applyBorder="0" applyAlignment="0" applyProtection="0">
      <alignment vertical="center"/>
    </xf>
    <xf numFmtId="0" fontId="25" fillId="39" borderId="0" applyNumberFormat="0" applyBorder="0" applyAlignment="0" applyProtection="0">
      <alignment vertical="center"/>
    </xf>
    <xf numFmtId="0" fontId="24" fillId="40" borderId="0" applyNumberFormat="0" applyBorder="0" applyAlignment="0" applyProtection="0">
      <alignment vertical="center"/>
    </xf>
    <xf numFmtId="0" fontId="1" fillId="0" borderId="0">
      <alignment vertical="center"/>
    </xf>
    <xf numFmtId="0" fontId="1" fillId="0" borderId="0">
      <alignment vertical="center"/>
    </xf>
    <xf numFmtId="0" fontId="0" fillId="0" borderId="0"/>
  </cellStyleXfs>
  <cellXfs count="28">
    <xf numFmtId="0" fontId="0" fillId="0" borderId="0" xfId="0">
      <alignment vertical="center"/>
    </xf>
    <xf numFmtId="0" fontId="1" fillId="0" borderId="0" xfId="0" applyFont="1">
      <alignment vertical="center"/>
    </xf>
    <xf numFmtId="0" fontId="2" fillId="0" borderId="0" xfId="0" applyFont="1" applyAlignment="1">
      <alignment horizontal="center" vertical="center"/>
    </xf>
    <xf numFmtId="0" fontId="1" fillId="2" borderId="0" xfId="0" applyFont="1" applyFill="1">
      <alignment vertical="center"/>
    </xf>
    <xf numFmtId="0" fontId="2" fillId="3" borderId="0" xfId="0" applyFont="1" applyFill="1" applyAlignment="1">
      <alignment horizontal="center" vertical="center"/>
    </xf>
    <xf numFmtId="0" fontId="1" fillId="4" borderId="0" xfId="0" applyFont="1" applyFill="1">
      <alignment vertical="center"/>
    </xf>
    <xf numFmtId="0" fontId="0" fillId="5" borderId="0" xfId="0" applyFill="1">
      <alignment vertical="center"/>
    </xf>
    <xf numFmtId="0" fontId="2" fillId="5" borderId="0" xfId="0" applyFont="1" applyFill="1" applyAlignment="1">
      <alignment horizontal="center" vertical="center"/>
    </xf>
    <xf numFmtId="0" fontId="2" fillId="4" borderId="0" xfId="0" applyFont="1" applyFill="1" applyAlignment="1">
      <alignment horizontal="right" vertical="center"/>
    </xf>
    <xf numFmtId="0" fontId="3" fillId="0" borderId="0" xfId="0" applyFont="1">
      <alignment vertical="center"/>
    </xf>
    <xf numFmtId="0" fontId="1" fillId="0" borderId="0" xfId="0" applyFont="1" applyFill="1" applyAlignment="1">
      <alignment horizontal="left" vertical="center" wrapText="1"/>
    </xf>
    <xf numFmtId="0" fontId="1" fillId="5" borderId="0" xfId="0" applyFont="1" applyFill="1" applyAlignment="1">
      <alignment horizontal="left" vertical="center" wrapText="1"/>
    </xf>
    <xf numFmtId="0" fontId="1" fillId="0" borderId="0" xfId="0" applyFont="1" applyFill="1" applyAlignment="1">
      <alignment horizontal="left" vertical="center"/>
    </xf>
    <xf numFmtId="0" fontId="1" fillId="6" borderId="0" xfId="0" applyFont="1" applyFill="1" applyAlignment="1">
      <alignment horizontal="left" vertical="center"/>
    </xf>
    <xf numFmtId="0" fontId="1" fillId="5" borderId="0" xfId="0" applyFont="1" applyFill="1" applyAlignment="1">
      <alignment horizontal="left" vertical="center"/>
    </xf>
    <xf numFmtId="0" fontId="1" fillId="7" borderId="0" xfId="0" applyFont="1" applyFill="1" applyAlignment="1">
      <alignment horizontal="left" vertical="center"/>
    </xf>
    <xf numFmtId="0" fontId="0" fillId="8" borderId="0" xfId="0" applyFont="1" applyFill="1" applyAlignment="1">
      <alignment horizontal="left" vertical="center"/>
    </xf>
    <xf numFmtId="0" fontId="4" fillId="0" borderId="0" xfId="0" applyFont="1">
      <alignment vertical="center"/>
    </xf>
    <xf numFmtId="0" fontId="1" fillId="8" borderId="0" xfId="0" applyFont="1" applyFill="1" applyAlignment="1">
      <alignment horizontal="left" vertical="center"/>
    </xf>
    <xf numFmtId="0" fontId="3" fillId="8" borderId="0" xfId="0" applyFont="1" applyFill="1" applyAlignment="1">
      <alignment horizontal="left" vertical="center"/>
    </xf>
    <xf numFmtId="0" fontId="5" fillId="8" borderId="0" xfId="0" applyFont="1" applyFill="1" applyAlignment="1">
      <alignment horizontal="left" vertical="center"/>
    </xf>
    <xf numFmtId="0" fontId="5" fillId="5" borderId="0" xfId="0" applyFont="1" applyFill="1" applyAlignment="1">
      <alignment horizontal="left" vertical="center"/>
    </xf>
    <xf numFmtId="0" fontId="5" fillId="0" borderId="0" xfId="0" applyFont="1">
      <alignment vertical="center"/>
    </xf>
    <xf numFmtId="0" fontId="6" fillId="0" borderId="0" xfId="0" applyFont="1">
      <alignment vertical="center"/>
    </xf>
    <xf numFmtId="0" fontId="6" fillId="2" borderId="0" xfId="0" applyFont="1" applyFill="1">
      <alignment vertical="center"/>
    </xf>
    <xf numFmtId="0" fontId="1" fillId="4" borderId="0" xfId="0" applyFont="1" applyFill="1" applyAlignment="1">
      <alignment horizontal="center" vertical="center"/>
    </xf>
    <xf numFmtId="0" fontId="6" fillId="4" borderId="0" xfId="0" applyFont="1" applyFill="1" applyAlignment="1">
      <alignment horizontal="center" vertical="center"/>
    </xf>
    <xf numFmtId="0" fontId="4" fillId="9" borderId="0" xfId="0" applyFont="1" applyFill="1">
      <alignment vertical="center"/>
    </xf>
  </cellXfs>
  <cellStyles count="5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常规 2 3" xfId="50"/>
    <cellStyle name="常规 3" xfId="51"/>
  </cellStyles>
  <dxfs count="1">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3646;&#24615;&#3492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ttributeName"/>
      <sheetName val="AutoAttribute"/>
      <sheetName val="|新旧属性ID对照"/>
      <sheetName val="ModifierDes"/>
      <sheetName val="StuntDes"/>
    </sheetNames>
    <sheetDataSet>
      <sheetData sheetId="0">
        <row r="1">
          <cell r="B1" t="str">
            <v>属性ID</v>
          </cell>
          <cell r="C1" t="str">
            <v>(nouse)策划说明</v>
          </cell>
        </row>
        <row r="2">
          <cell r="B2" t="str">
            <v>attrID</v>
          </cell>
          <cell r="C2" t="str">
            <v>desc999</v>
          </cell>
        </row>
        <row r="3">
          <cell r="B3" t="str">
            <v>number</v>
          </cell>
          <cell r="C3" t="str">
            <v>string</v>
          </cell>
        </row>
        <row r="4">
          <cell r="B4">
            <v>10000</v>
          </cell>
          <cell r="C4" t="str">
            <v>基础攻击</v>
          </cell>
        </row>
        <row r="5">
          <cell r="B5">
            <v>10001</v>
          </cell>
          <cell r="C5" t="str">
            <v>基础生命</v>
          </cell>
        </row>
        <row r="6">
          <cell r="B6">
            <v>10002</v>
          </cell>
          <cell r="C6" t="str">
            <v>基础魔力</v>
          </cell>
        </row>
        <row r="7">
          <cell r="B7">
            <v>10003</v>
          </cell>
          <cell r="C7" t="str">
            <v>生命每秒恢复</v>
          </cell>
        </row>
        <row r="8">
          <cell r="B8">
            <v>10004</v>
          </cell>
          <cell r="C8" t="str">
            <v>生命恢复速度提高</v>
          </cell>
        </row>
        <row r="9">
          <cell r="B9">
            <v>10005</v>
          </cell>
          <cell r="C9" t="str">
            <v>魔力每秒恢复</v>
          </cell>
        </row>
        <row r="10">
          <cell r="B10">
            <v>10006</v>
          </cell>
          <cell r="C10" t="str">
            <v>魔力恢复率</v>
          </cell>
        </row>
        <row r="11">
          <cell r="B11">
            <v>10007</v>
          </cell>
          <cell r="C11" t="str">
            <v>移动速度增加</v>
          </cell>
        </row>
        <row r="12">
          <cell r="B12">
            <v>10009</v>
          </cell>
          <cell r="C12" t="str">
            <v>命中率</v>
          </cell>
        </row>
        <row r="13">
          <cell r="B13">
            <v>10010</v>
          </cell>
          <cell r="C13" t="str">
            <v>闪避率</v>
          </cell>
        </row>
        <row r="14">
          <cell r="B14">
            <v>10011</v>
          </cell>
          <cell r="C14" t="str">
            <v>格挡率</v>
          </cell>
        </row>
        <row r="15">
          <cell r="B15">
            <v>10012</v>
          </cell>
          <cell r="C15" t="str">
            <v>格挡减伤率</v>
          </cell>
        </row>
        <row r="16">
          <cell r="B16">
            <v>10013</v>
          </cell>
          <cell r="C16" t="str">
            <v>攻击冷却缩减</v>
          </cell>
        </row>
        <row r="17">
          <cell r="B17">
            <v>10014</v>
          </cell>
          <cell r="C17" t="str">
            <v>法术冷却缩减</v>
          </cell>
        </row>
        <row r="18">
          <cell r="B18">
            <v>10015</v>
          </cell>
          <cell r="C18" t="str">
            <v>攻击击中回血</v>
          </cell>
        </row>
        <row r="19">
          <cell r="B19">
            <v>10016</v>
          </cell>
          <cell r="C19" t="str">
            <v>攻击击中回蓝</v>
          </cell>
        </row>
        <row r="20">
          <cell r="B20">
            <v>10017</v>
          </cell>
          <cell r="C20" t="str">
            <v>法术击中回血</v>
          </cell>
        </row>
        <row r="21">
          <cell r="B21">
            <v>10018</v>
          </cell>
          <cell r="C21" t="str">
            <v>法术击中回蓝</v>
          </cell>
        </row>
        <row r="22">
          <cell r="B22">
            <v>10019</v>
          </cell>
          <cell r="C22" t="str">
            <v>击杀回血</v>
          </cell>
        </row>
        <row r="23">
          <cell r="B23">
            <v>10020</v>
          </cell>
          <cell r="C23" t="str">
            <v>击杀回蓝</v>
          </cell>
        </row>
        <row r="24">
          <cell r="B24">
            <v>10021</v>
          </cell>
          <cell r="C24" t="str">
            <v>能量</v>
          </cell>
        </row>
        <row r="25">
          <cell r="B25">
            <v>10022</v>
          </cell>
          <cell r="C25" t="str">
            <v>怒气</v>
          </cell>
        </row>
        <row r="26">
          <cell r="B26">
            <v>10029</v>
          </cell>
          <cell r="C26" t="str">
            <v>攻击速度-老版本buff引用</v>
          </cell>
        </row>
        <row r="27">
          <cell r="B27">
            <v>10030</v>
          </cell>
          <cell r="C27" t="str">
            <v>施法速度-老版本buff引用</v>
          </cell>
        </row>
        <row r="28">
          <cell r="B28">
            <v>10033</v>
          </cell>
          <cell r="C28" t="str">
            <v>投射物速度</v>
          </cell>
        </row>
        <row r="29">
          <cell r="B29">
            <v>10034</v>
          </cell>
          <cell r="C29" t="str">
            <v>攻击速度</v>
          </cell>
        </row>
        <row r="30">
          <cell r="B30">
            <v>10035</v>
          </cell>
          <cell r="C30" t="str">
            <v>施法速度</v>
          </cell>
        </row>
        <row r="31">
          <cell r="B31">
            <v>10100</v>
          </cell>
          <cell r="C31" t="str">
            <v>基础暴击率</v>
          </cell>
        </row>
        <row r="32">
          <cell r="B32">
            <v>10101</v>
          </cell>
          <cell r="C32" t="str">
            <v>全局暴击值增加</v>
          </cell>
        </row>
        <row r="33">
          <cell r="B33">
            <v>10102</v>
          </cell>
          <cell r="C33" t="str">
            <v>攻击暴击值增加</v>
          </cell>
        </row>
        <row r="34">
          <cell r="B34">
            <v>10103</v>
          </cell>
          <cell r="C34" t="str">
            <v>法术暴击值增加</v>
          </cell>
        </row>
        <row r="35">
          <cell r="B35">
            <v>10200</v>
          </cell>
          <cell r="C35" t="str">
            <v>暴击伤害</v>
          </cell>
        </row>
        <row r="36">
          <cell r="B36">
            <v>10300</v>
          </cell>
          <cell r="C36" t="str">
            <v>全局伤害提高</v>
          </cell>
        </row>
        <row r="37">
          <cell r="B37">
            <v>10301</v>
          </cell>
          <cell r="C37" t="str">
            <v>废弃</v>
          </cell>
        </row>
        <row r="38">
          <cell r="B38">
            <v>10302</v>
          </cell>
          <cell r="C38" t="str">
            <v>废弃</v>
          </cell>
        </row>
        <row r="39">
          <cell r="B39">
            <v>10303</v>
          </cell>
          <cell r="C39" t="str">
            <v>物理伤害提高</v>
          </cell>
        </row>
        <row r="40">
          <cell r="B40">
            <v>10304</v>
          </cell>
          <cell r="C40" t="str">
            <v>火焰伤害提高</v>
          </cell>
        </row>
        <row r="41">
          <cell r="B41">
            <v>10305</v>
          </cell>
          <cell r="C41" t="str">
            <v>冰冷伤害提高</v>
          </cell>
        </row>
        <row r="42">
          <cell r="B42">
            <v>10306</v>
          </cell>
          <cell r="C42" t="str">
            <v>闪电伤害提高</v>
          </cell>
        </row>
        <row r="43">
          <cell r="B43">
            <v>10307</v>
          </cell>
          <cell r="C43" t="str">
            <v>混沌伤害提高</v>
          </cell>
        </row>
        <row r="44">
          <cell r="B44">
            <v>10308</v>
          </cell>
          <cell r="C44" t="str">
            <v>元素伤害提高</v>
          </cell>
        </row>
        <row r="45">
          <cell r="B45">
            <v>10309</v>
          </cell>
          <cell r="C45" t="str">
            <v>more伤</v>
          </cell>
        </row>
        <row r="46">
          <cell r="B46">
            <v>10310</v>
          </cell>
          <cell r="C46" t="str">
            <v>全局减伤(未开发)</v>
          </cell>
        </row>
        <row r="47">
          <cell r="B47">
            <v>10311</v>
          </cell>
          <cell r="C47" t="str">
            <v>物理抗性</v>
          </cell>
        </row>
        <row r="48">
          <cell r="B48">
            <v>10312</v>
          </cell>
          <cell r="C48" t="str">
            <v>火焰抗性</v>
          </cell>
        </row>
        <row r="49">
          <cell r="B49">
            <v>10313</v>
          </cell>
          <cell r="C49" t="str">
            <v>冰冷抗性</v>
          </cell>
        </row>
        <row r="50">
          <cell r="B50">
            <v>10314</v>
          </cell>
          <cell r="C50" t="str">
            <v>闪电抗性</v>
          </cell>
        </row>
        <row r="51">
          <cell r="B51">
            <v>10315</v>
          </cell>
          <cell r="C51" t="str">
            <v>混沌抗性</v>
          </cell>
        </row>
        <row r="52">
          <cell r="B52">
            <v>10316</v>
          </cell>
          <cell r="C52" t="str">
            <v>元素抗性</v>
          </cell>
        </row>
        <row r="53">
          <cell r="B53">
            <v>10317</v>
          </cell>
          <cell r="C53" t="str">
            <v>火焰物理抗性</v>
          </cell>
        </row>
        <row r="54">
          <cell r="B54">
            <v>10318</v>
          </cell>
          <cell r="C54" t="str">
            <v>冰冷物理抗性</v>
          </cell>
        </row>
        <row r="55">
          <cell r="B55">
            <v>10319</v>
          </cell>
          <cell r="C55" t="str">
            <v>闪电物理抗性</v>
          </cell>
        </row>
        <row r="56">
          <cell r="B56">
            <v>10320</v>
          </cell>
          <cell r="C56" t="str">
            <v>火焰混沌抗性</v>
          </cell>
        </row>
        <row r="57">
          <cell r="B57">
            <v>10321</v>
          </cell>
          <cell r="C57" t="str">
            <v>冰冷混沌抗性</v>
          </cell>
        </row>
        <row r="58">
          <cell r="B58">
            <v>10322</v>
          </cell>
          <cell r="C58" t="str">
            <v>闪电混沌抗性</v>
          </cell>
        </row>
        <row r="59">
          <cell r="B59">
            <v>10323</v>
          </cell>
          <cell r="C59" t="str">
            <v>击退抗性</v>
          </cell>
        </row>
        <row r="60">
          <cell r="B60">
            <v>10324</v>
          </cell>
          <cell r="C60" t="str">
            <v>减速抗性</v>
          </cell>
        </row>
        <row r="61">
          <cell r="B61">
            <v>10325</v>
          </cell>
          <cell r="C61" t="str">
            <v>眩晕抗性</v>
          </cell>
        </row>
        <row r="62">
          <cell r="B62">
            <v>10400</v>
          </cell>
          <cell r="C62" t="str">
            <v>投射物技能等级</v>
          </cell>
        </row>
        <row r="63">
          <cell r="B63">
            <v>10401</v>
          </cell>
          <cell r="C63" t="str">
            <v>攻击技能等级</v>
          </cell>
        </row>
        <row r="64">
          <cell r="B64">
            <v>10402</v>
          </cell>
          <cell r="C64" t="str">
            <v>法术技能等级</v>
          </cell>
        </row>
        <row r="65">
          <cell r="B65">
            <v>10403</v>
          </cell>
          <cell r="C65" t="str">
            <v>物理技能等级</v>
          </cell>
        </row>
        <row r="66">
          <cell r="B66">
            <v>10404</v>
          </cell>
          <cell r="C66" t="str">
            <v>火焰技能等级</v>
          </cell>
        </row>
        <row r="67">
          <cell r="B67">
            <v>10405</v>
          </cell>
          <cell r="C67" t="str">
            <v>冰冷技能等级</v>
          </cell>
        </row>
        <row r="68">
          <cell r="B68">
            <v>10406</v>
          </cell>
          <cell r="C68" t="str">
            <v>闪电技能等级</v>
          </cell>
        </row>
        <row r="69">
          <cell r="B69">
            <v>10407</v>
          </cell>
          <cell r="C69" t="str">
            <v>混沌技能等级</v>
          </cell>
        </row>
        <row r="70">
          <cell r="B70">
            <v>10408</v>
          </cell>
          <cell r="C70" t="str">
            <v>全技能等级</v>
          </cell>
        </row>
        <row r="71">
          <cell r="B71">
            <v>10500</v>
          </cell>
          <cell r="C71" t="str">
            <v>获得物理伤害</v>
          </cell>
        </row>
        <row r="72">
          <cell r="B72">
            <v>10501</v>
          </cell>
          <cell r="C72" t="str">
            <v>获得火焰伤害</v>
          </cell>
        </row>
        <row r="73">
          <cell r="B73">
            <v>10502</v>
          </cell>
          <cell r="C73" t="str">
            <v>获得冰冷伤害</v>
          </cell>
        </row>
        <row r="74">
          <cell r="B74">
            <v>10503</v>
          </cell>
          <cell r="C74" t="str">
            <v>获得闪电伤害</v>
          </cell>
        </row>
        <row r="75">
          <cell r="B75">
            <v>10504</v>
          </cell>
          <cell r="C75" t="str">
            <v>获得混沌伤害</v>
          </cell>
        </row>
        <row r="76">
          <cell r="B76">
            <v>10600</v>
          </cell>
          <cell r="C76" t="str">
            <v>攻击百比</v>
          </cell>
        </row>
        <row r="77">
          <cell r="B77">
            <v>10601</v>
          </cell>
          <cell r="C77" t="str">
            <v>物理攻击百比</v>
          </cell>
        </row>
        <row r="78">
          <cell r="B78">
            <v>10602</v>
          </cell>
          <cell r="C78" t="str">
            <v>火焰攻击百比</v>
          </cell>
        </row>
        <row r="79">
          <cell r="B79">
            <v>10603</v>
          </cell>
          <cell r="C79" t="str">
            <v>冰冷攻击百比</v>
          </cell>
        </row>
        <row r="80">
          <cell r="B80">
            <v>10604</v>
          </cell>
          <cell r="C80" t="str">
            <v>闪电攻击百比</v>
          </cell>
        </row>
        <row r="81">
          <cell r="B81">
            <v>10605</v>
          </cell>
          <cell r="C81" t="str">
            <v>混沌攻击百比</v>
          </cell>
        </row>
        <row r="82">
          <cell r="B82">
            <v>10606</v>
          </cell>
          <cell r="C82" t="str">
            <v>元素攻击百比</v>
          </cell>
        </row>
        <row r="83">
          <cell r="B83">
            <v>10700</v>
          </cell>
          <cell r="C83" t="str">
            <v>装备稀有度</v>
          </cell>
        </row>
        <row r="84">
          <cell r="B84">
            <v>10704</v>
          </cell>
          <cell r="C84" t="str">
            <v>经验掉落数量增加</v>
          </cell>
        </row>
        <row r="85">
          <cell r="B85">
            <v>10705</v>
          </cell>
          <cell r="C85" t="str">
            <v>重熔出现概率</v>
          </cell>
        </row>
        <row r="86">
          <cell r="B86">
            <v>10706</v>
          </cell>
          <cell r="C86" t="str">
            <v>基础等级影响掉落</v>
          </cell>
        </row>
        <row r="87">
          <cell r="B87">
            <v>10800</v>
          </cell>
          <cell r="C87" t="str">
            <v>点燃强度</v>
          </cell>
        </row>
        <row r="88">
          <cell r="B88">
            <v>10801</v>
          </cell>
          <cell r="C88" t="str">
            <v>冰缓强度</v>
          </cell>
        </row>
        <row r="89">
          <cell r="B89">
            <v>10802</v>
          </cell>
          <cell r="C89" t="str">
            <v>感电强度</v>
          </cell>
        </row>
        <row r="90">
          <cell r="B90">
            <v>10803</v>
          </cell>
          <cell r="C90" t="str">
            <v>流血强度</v>
          </cell>
        </row>
        <row r="91">
          <cell r="B91">
            <v>10804</v>
          </cell>
          <cell r="C91" t="str">
            <v>中毒强度</v>
          </cell>
        </row>
        <row r="92">
          <cell r="B92">
            <v>10805</v>
          </cell>
          <cell r="C92" t="str">
            <v>眩晕延长</v>
          </cell>
        </row>
        <row r="93">
          <cell r="B93">
            <v>10806</v>
          </cell>
          <cell r="C93" t="str">
            <v>冰冻延长</v>
          </cell>
        </row>
        <row r="94">
          <cell r="B94">
            <v>10807</v>
          </cell>
          <cell r="C94" t="str">
            <v>点燃抵抗</v>
          </cell>
        </row>
        <row r="95">
          <cell r="B95">
            <v>10808</v>
          </cell>
          <cell r="C95" t="str">
            <v>冰缓抵抗</v>
          </cell>
        </row>
        <row r="96">
          <cell r="B96">
            <v>10809</v>
          </cell>
          <cell r="C96" t="str">
            <v>感电抵抗</v>
          </cell>
        </row>
        <row r="97">
          <cell r="B97">
            <v>10810</v>
          </cell>
          <cell r="C97" t="str">
            <v>流血抵抗</v>
          </cell>
        </row>
        <row r="98">
          <cell r="B98">
            <v>10811</v>
          </cell>
          <cell r="C98" t="str">
            <v>中毒抵抗</v>
          </cell>
        </row>
        <row r="99">
          <cell r="B99">
            <v>10812</v>
          </cell>
          <cell r="C99" t="str">
            <v>眩晕缩减</v>
          </cell>
        </row>
        <row r="100">
          <cell r="B100">
            <v>10813</v>
          </cell>
          <cell r="C100" t="str">
            <v>冰冻缩减</v>
          </cell>
        </row>
        <row r="101">
          <cell r="B101">
            <v>10900</v>
          </cell>
          <cell r="C101" t="str">
            <v>降低装备穿戴等级</v>
          </cell>
        </row>
        <row r="102">
          <cell r="B102">
            <v>11001</v>
          </cell>
          <cell r="C102" t="str">
            <v>免疫点燃概率</v>
          </cell>
        </row>
        <row r="103">
          <cell r="B103">
            <v>11002</v>
          </cell>
          <cell r="C103" t="str">
            <v>免疫冰缓概率</v>
          </cell>
        </row>
        <row r="104">
          <cell r="B104">
            <v>11003</v>
          </cell>
          <cell r="C104" t="str">
            <v>免疫冰冻概率</v>
          </cell>
        </row>
        <row r="105">
          <cell r="B105">
            <v>11004</v>
          </cell>
          <cell r="C105" t="str">
            <v>免疫感电概率</v>
          </cell>
        </row>
        <row r="106">
          <cell r="B106">
            <v>11005</v>
          </cell>
          <cell r="C106" t="str">
            <v>免疫触电概率</v>
          </cell>
        </row>
        <row r="107">
          <cell r="B107">
            <v>11006</v>
          </cell>
          <cell r="C107" t="str">
            <v>点燃概率提高</v>
          </cell>
        </row>
        <row r="108">
          <cell r="B108">
            <v>11007</v>
          </cell>
          <cell r="C108" t="str">
            <v>点燃效果比例</v>
          </cell>
        </row>
        <row r="109">
          <cell r="B109">
            <v>11008</v>
          </cell>
          <cell r="C109" t="str">
            <v>冰冻效果比例</v>
          </cell>
        </row>
        <row r="110">
          <cell r="B110">
            <v>11009</v>
          </cell>
          <cell r="C110" t="str">
            <v>感电概率提高</v>
          </cell>
        </row>
        <row r="111">
          <cell r="B111">
            <v>11010</v>
          </cell>
          <cell r="C111" t="str">
            <v>感电效果比例</v>
          </cell>
        </row>
        <row r="112">
          <cell r="B112">
            <v>11011</v>
          </cell>
          <cell r="C112" t="str">
            <v>触电几率提高</v>
          </cell>
        </row>
        <row r="113">
          <cell r="B113">
            <v>11012</v>
          </cell>
          <cell r="C113" t="str">
            <v>受到点燃时间降低</v>
          </cell>
        </row>
        <row r="114">
          <cell r="B114">
            <v>11013</v>
          </cell>
          <cell r="C114" t="str">
            <v>受到冰缓时间降低</v>
          </cell>
        </row>
        <row r="115">
          <cell r="B115">
            <v>11014</v>
          </cell>
          <cell r="C115" t="str">
            <v>受到冻结时间降低</v>
          </cell>
        </row>
        <row r="116">
          <cell r="B116">
            <v>11015</v>
          </cell>
          <cell r="C116" t="str">
            <v>受到感电时间降低</v>
          </cell>
        </row>
        <row r="117">
          <cell r="B117">
            <v>11016</v>
          </cell>
          <cell r="C117" t="str">
            <v>受到触电时间降低</v>
          </cell>
        </row>
        <row r="118">
          <cell r="B118">
            <v>11017</v>
          </cell>
          <cell r="C118" t="str">
            <v>元素异常状态抵抗</v>
          </cell>
        </row>
        <row r="119">
          <cell r="B119">
            <v>11018</v>
          </cell>
          <cell r="C119" t="str">
            <v>元素异常状态阈值</v>
          </cell>
        </row>
        <row r="120">
          <cell r="B120">
            <v>11019</v>
          </cell>
          <cell r="C120" t="str">
            <v>点燃层数上限增加</v>
          </cell>
        </row>
        <row r="121">
          <cell r="B121">
            <v>11020</v>
          </cell>
          <cell r="C121" t="str">
            <v>物理伤害转化为闪电伤害</v>
          </cell>
        </row>
        <row r="122">
          <cell r="B122">
            <v>11021</v>
          </cell>
          <cell r="C122" t="str">
            <v>物理伤害转化为冰冷伤害</v>
          </cell>
        </row>
        <row r="123">
          <cell r="B123">
            <v>11022</v>
          </cell>
          <cell r="C123" t="str">
            <v>物理伤害转化为火焰伤害</v>
          </cell>
        </row>
        <row r="124">
          <cell r="B124">
            <v>11023</v>
          </cell>
          <cell r="C124" t="str">
            <v>闪电伤害转化为冰冷伤害</v>
          </cell>
        </row>
        <row r="125">
          <cell r="B125">
            <v>11024</v>
          </cell>
          <cell r="C125" t="str">
            <v>闪电伤害转化为火焰伤害</v>
          </cell>
        </row>
        <row r="126">
          <cell r="B126">
            <v>11025</v>
          </cell>
          <cell r="C126" t="str">
            <v>火焰伤害转化为冰冷伤害</v>
          </cell>
        </row>
        <row r="127">
          <cell r="B127">
            <v>11026</v>
          </cell>
          <cell r="C127" t="str">
            <v>火焰伤害转化为闪电伤害</v>
          </cell>
        </row>
        <row r="128">
          <cell r="B128">
            <v>11027</v>
          </cell>
          <cell r="C128" t="str">
            <v>冰冷伤害转换为闪电伤害</v>
          </cell>
        </row>
        <row r="129">
          <cell r="B129">
            <v>11028</v>
          </cell>
          <cell r="C129" t="str">
            <v>冰冷伤害转换为火焰伤害</v>
          </cell>
        </row>
        <row r="130">
          <cell r="B130">
            <v>11029</v>
          </cell>
          <cell r="C130" t="str">
            <v>冰冷伤害转换为混沌伤害</v>
          </cell>
        </row>
        <row r="131">
          <cell r="B131">
            <v>11030</v>
          </cell>
          <cell r="C131" t="str">
            <v>闪电伤害转换为混沌伤害</v>
          </cell>
        </row>
        <row r="132">
          <cell r="B132">
            <v>11031</v>
          </cell>
          <cell r="C132" t="str">
            <v>火焰伤害转换为混沌伤害</v>
          </cell>
        </row>
        <row r="133">
          <cell r="B133">
            <v>11032</v>
          </cell>
          <cell r="C133" t="str">
            <v>造成点燃时间比例</v>
          </cell>
        </row>
        <row r="134">
          <cell r="B134">
            <v>11033</v>
          </cell>
          <cell r="C134" t="str">
            <v>造成冰缓时间比例</v>
          </cell>
        </row>
        <row r="135">
          <cell r="B135">
            <v>11034</v>
          </cell>
          <cell r="C135" t="str">
            <v>造成冰冻时间比例</v>
          </cell>
        </row>
        <row r="136">
          <cell r="B136">
            <v>11035</v>
          </cell>
          <cell r="C136" t="str">
            <v>造成感电时间比例</v>
          </cell>
        </row>
        <row r="137">
          <cell r="B137">
            <v>11036</v>
          </cell>
          <cell r="C137" t="str">
            <v>造成触电时间比例</v>
          </cell>
        </row>
        <row r="138">
          <cell r="B138">
            <v>11037</v>
          </cell>
          <cell r="C138" t="str">
            <v>冷却回复效率</v>
          </cell>
        </row>
        <row r="139">
          <cell r="B139">
            <v>11038</v>
          </cell>
          <cell r="C139" t="str">
            <v>中毒概率</v>
          </cell>
        </row>
        <row r="140">
          <cell r="B140">
            <v>11039</v>
          </cell>
          <cell r="C140" t="str">
            <v>中毒效果比例</v>
          </cell>
        </row>
        <row r="141">
          <cell r="B141">
            <v>11040</v>
          </cell>
          <cell r="C141" t="str">
            <v>造成中毒时间比例</v>
          </cell>
        </row>
        <row r="142">
          <cell r="B142">
            <v>11041</v>
          </cell>
          <cell r="C142" t="str">
            <v>魔力消耗转生命消耗</v>
          </cell>
        </row>
        <row r="143">
          <cell r="B143">
            <v>11042</v>
          </cell>
          <cell r="C143" t="str">
            <v>受伤缓冲</v>
          </cell>
        </row>
        <row r="144">
          <cell r="B144">
            <v>11046</v>
          </cell>
          <cell r="C144" t="str">
            <v>中毒层数上限增加</v>
          </cell>
        </row>
        <row r="145">
          <cell r="B145">
            <v>11047</v>
          </cell>
          <cell r="C145" t="str">
            <v>持续伤害比例</v>
          </cell>
        </row>
        <row r="146">
          <cell r="B146">
            <v>11048</v>
          </cell>
          <cell r="C146" t="str">
            <v>物理抗性穿透</v>
          </cell>
        </row>
        <row r="147">
          <cell r="B147">
            <v>11049</v>
          </cell>
          <cell r="C147" t="str">
            <v>火焰抗性穿透</v>
          </cell>
        </row>
        <row r="148">
          <cell r="B148">
            <v>11050</v>
          </cell>
          <cell r="C148" t="str">
            <v>冰冷抗性穿透</v>
          </cell>
        </row>
        <row r="149">
          <cell r="B149">
            <v>11051</v>
          </cell>
          <cell r="C149" t="str">
            <v>闪电抗性穿透</v>
          </cell>
        </row>
        <row r="150">
          <cell r="B150">
            <v>11052</v>
          </cell>
          <cell r="C150" t="str">
            <v>混沌抗性穿透</v>
          </cell>
        </row>
        <row r="151">
          <cell r="B151">
            <v>11053</v>
          </cell>
          <cell r="C151" t="str">
            <v>流血时间比例</v>
          </cell>
        </row>
        <row r="152">
          <cell r="B152">
            <v>11054</v>
          </cell>
          <cell r="C152" t="str">
            <v>流血几率</v>
          </cell>
        </row>
        <row r="153">
          <cell r="B153">
            <v>11055</v>
          </cell>
          <cell r="C153" t="str">
            <v>流血效果比例</v>
          </cell>
        </row>
        <row r="154">
          <cell r="B154">
            <v>11056</v>
          </cell>
          <cell r="C154" t="str">
            <v>受到伤害</v>
          </cell>
        </row>
        <row r="155">
          <cell r="B155">
            <v>11057</v>
          </cell>
          <cell r="C155" t="str">
            <v>造成双倍伤害几率</v>
          </cell>
        </row>
      </sheetData>
      <sheetData sheetId="1"/>
      <sheetData sheetId="2"/>
      <sheetData sheetId="3">
        <row r="1">
          <cell r="A1" t="str">
            <v>技能</v>
          </cell>
          <cell r="B1" t="str">
            <v>名称</v>
          </cell>
        </row>
        <row r="2">
          <cell r="A2" t="str">
            <v>id.p</v>
          </cell>
          <cell r="B2" t="str">
            <v>name</v>
          </cell>
        </row>
        <row r="3">
          <cell r="A3" t="str">
            <v>number</v>
          </cell>
          <cell r="B3" t="str">
            <v>string</v>
          </cell>
        </row>
        <row r="4">
          <cell r="A4">
            <v>10031</v>
          </cell>
          <cell r="B4" t="str">
            <v>攻击速度提高</v>
          </cell>
        </row>
        <row r="5">
          <cell r="A5">
            <v>10032</v>
          </cell>
          <cell r="B5" t="str">
            <v>范围效果提高</v>
          </cell>
        </row>
        <row r="6">
          <cell r="A6">
            <v>10033</v>
          </cell>
          <cell r="B6" t="str">
            <v>冰冻效果额外提高</v>
          </cell>
        </row>
        <row r="7">
          <cell r="A7">
            <v>10034</v>
          </cell>
          <cell r="B7" t="str">
            <v>持续时间提高</v>
          </cell>
        </row>
        <row r="8">
          <cell r="A8">
            <v>10035</v>
          </cell>
          <cell r="B8" t="str">
            <v>冷却回复率额外提高</v>
          </cell>
        </row>
        <row r="9">
          <cell r="A9">
            <v>10036</v>
          </cell>
          <cell r="B9" t="str">
            <v>辅助技能-多重释放</v>
          </cell>
        </row>
        <row r="10">
          <cell r="A10">
            <v>10037</v>
          </cell>
          <cell r="B10" t="str">
            <v>辅助技能-范围集中</v>
          </cell>
        </row>
        <row r="11">
          <cell r="A11">
            <v>10038</v>
          </cell>
          <cell r="B11" t="str">
            <v>投射物数量增加</v>
          </cell>
        </row>
        <row r="12">
          <cell r="A12">
            <v>10039</v>
          </cell>
          <cell r="B12" t="str">
            <v>暴击率提高</v>
          </cell>
        </row>
        <row r="13">
          <cell r="A13">
            <v>10040</v>
          </cell>
          <cell r="B13" t="str">
            <v>辅助技能-无边能量</v>
          </cell>
        </row>
        <row r="14">
          <cell r="A14">
            <v>10041</v>
          </cell>
          <cell r="B14" t="str">
            <v>冻结时间额外提高</v>
          </cell>
        </row>
        <row r="15">
          <cell r="A15">
            <v>10042</v>
          </cell>
          <cell r="B15" t="str">
            <v>辅助技能-元素增幅</v>
          </cell>
        </row>
        <row r="16">
          <cell r="A16">
            <v>10043</v>
          </cell>
          <cell r="B16" t="str">
            <v>辅助技能-新星投射物</v>
          </cell>
        </row>
        <row r="17">
          <cell r="A17">
            <v>10044</v>
          </cell>
          <cell r="B17" t="str">
            <v>辅助技能-闪电偏转</v>
          </cell>
        </row>
        <row r="18">
          <cell r="A18">
            <v>10045</v>
          </cell>
          <cell r="B18" t="str">
            <v>辅助技能-火焰偏转</v>
          </cell>
        </row>
        <row r="19">
          <cell r="A19">
            <v>10046</v>
          </cell>
          <cell r="B19" t="str">
            <v>辅助技能-冰冷偏转</v>
          </cell>
        </row>
        <row r="20">
          <cell r="A20">
            <v>10047</v>
          </cell>
          <cell r="B20" t="str">
            <v>辅助技能-沉重挥舞</v>
          </cell>
        </row>
        <row r="21">
          <cell r="A21">
            <v>10048</v>
          </cell>
          <cell r="B21" t="str">
            <v>辅助技能-迎寒而上</v>
          </cell>
        </row>
        <row r="22">
          <cell r="A22">
            <v>10049</v>
          </cell>
          <cell r="B22" t="str">
            <v>投射物速度提高</v>
          </cell>
        </row>
        <row r="23">
          <cell r="A23">
            <v>10050</v>
          </cell>
          <cell r="B23" t="str">
            <v>施法速度提高</v>
          </cell>
        </row>
        <row r="24">
          <cell r="A24">
            <v>10051</v>
          </cell>
          <cell r="B24" t="str">
            <v>中毒几率</v>
          </cell>
        </row>
        <row r="25">
          <cell r="A25">
            <v>10052</v>
          </cell>
          <cell r="B25" t="str">
            <v>混沌伤害倍率增加</v>
          </cell>
        </row>
        <row r="26">
          <cell r="A26">
            <v>10053</v>
          </cell>
          <cell r="B26" t="str">
            <v>中毒层数上限增加</v>
          </cell>
        </row>
        <row r="27">
          <cell r="A27">
            <v>10054</v>
          </cell>
          <cell r="B27" t="str">
            <v>点燃层数上限增加</v>
          </cell>
        </row>
        <row r="28">
          <cell r="A28">
            <v>10055</v>
          </cell>
          <cell r="B28" t="str">
            <v>传奇装备——冷却转中毒时长</v>
          </cell>
        </row>
        <row r="29">
          <cell r="A29">
            <v>10056</v>
          </cell>
          <cell r="B29" t="str">
            <v>物理伤害倍率增加</v>
          </cell>
        </row>
        <row r="30">
          <cell r="A30">
            <v>10057</v>
          </cell>
          <cell r="B30" t="str">
            <v>火焰伤害倍率增加</v>
          </cell>
        </row>
        <row r="31">
          <cell r="A31">
            <v>10058</v>
          </cell>
          <cell r="B31" t="str">
            <v>冰冷伤害倍率增加</v>
          </cell>
        </row>
        <row r="32">
          <cell r="A32">
            <v>10059</v>
          </cell>
          <cell r="B32" t="str">
            <v>闪电伤害倍率增加</v>
          </cell>
        </row>
        <row r="33">
          <cell r="A33">
            <v>10060</v>
          </cell>
          <cell r="B33" t="str">
            <v>攻击暴击伤害增加</v>
          </cell>
        </row>
        <row r="34">
          <cell r="A34">
            <v>10061</v>
          </cell>
          <cell r="B34" t="str">
            <v>法术暴击伤害增加</v>
          </cell>
        </row>
        <row r="35">
          <cell r="A35">
            <v>10062</v>
          </cell>
          <cell r="B35" t="str">
            <v>范围伤害提高</v>
          </cell>
        </row>
        <row r="36">
          <cell r="A36">
            <v>10063</v>
          </cell>
          <cell r="B36" t="str">
            <v>近战伤害提高</v>
          </cell>
        </row>
        <row r="37">
          <cell r="A37">
            <v>10064</v>
          </cell>
          <cell r="B37" t="str">
            <v>投射物伤害提高</v>
          </cell>
        </row>
        <row r="38">
          <cell r="A38">
            <v>10065</v>
          </cell>
          <cell r="B38" t="str">
            <v>幻影是否耗蓝</v>
          </cell>
        </row>
        <row r="39">
          <cell r="A39">
            <v>10066</v>
          </cell>
          <cell r="B39" t="str">
            <v>攻击伤害提高</v>
          </cell>
        </row>
        <row r="40">
          <cell r="A40">
            <v>10067</v>
          </cell>
          <cell r="B40" t="str">
            <v>法术伤害提高</v>
          </cell>
        </row>
        <row r="41">
          <cell r="A41">
            <v>10068</v>
          </cell>
          <cell r="B41" t="str">
            <v>召唤物伤害增加</v>
          </cell>
        </row>
        <row r="42">
          <cell r="A42">
            <v>10069</v>
          </cell>
          <cell r="B42" t="str">
            <v>物理伤害转火焰伤害增加</v>
          </cell>
        </row>
        <row r="43">
          <cell r="A43">
            <v>10070</v>
          </cell>
          <cell r="B43" t="str">
            <v>物理伤害转冰冷伤害增加</v>
          </cell>
        </row>
        <row r="44">
          <cell r="A44">
            <v>10071</v>
          </cell>
          <cell r="B44" t="str">
            <v>物理伤害转闪电伤害增加</v>
          </cell>
        </row>
        <row r="45">
          <cell r="A45">
            <v>10072</v>
          </cell>
          <cell r="B45" t="str">
            <v>传奇装备——生命转中毒伤害</v>
          </cell>
        </row>
        <row r="46">
          <cell r="A46">
            <v>10073</v>
          </cell>
          <cell r="B46" t="str">
            <v>攻击速度额外提高</v>
          </cell>
        </row>
        <row r="47">
          <cell r="A47">
            <v>10074</v>
          </cell>
          <cell r="B47" t="str">
            <v>暴击率额外提高</v>
          </cell>
        </row>
        <row r="48">
          <cell r="A48">
            <v>10075</v>
          </cell>
          <cell r="B48" t="str">
            <v>火焰伤害转冰冷伤害增加</v>
          </cell>
        </row>
        <row r="49">
          <cell r="A49">
            <v>10076</v>
          </cell>
          <cell r="B49" t="str">
            <v>闪电伤害转冰冷伤害增加</v>
          </cell>
        </row>
        <row r="50">
          <cell r="A50">
            <v>10077</v>
          </cell>
          <cell r="B50" t="str">
            <v>幻影数量增加</v>
          </cell>
        </row>
        <row r="51">
          <cell r="A51">
            <v>10078</v>
          </cell>
          <cell r="B51" t="str">
            <v>旋风斩无cd,伤害减少1.6倍率</v>
          </cell>
        </row>
        <row r="52">
          <cell r="A52">
            <v>10079</v>
          </cell>
          <cell r="B52" t="str">
            <v>绝对暴击</v>
          </cell>
        </row>
        <row r="53">
          <cell r="A53">
            <v>10080</v>
          </cell>
          <cell r="B53" t="str">
            <v>近战技能范围效果提高</v>
          </cell>
        </row>
        <row r="54">
          <cell r="A54">
            <v>10081</v>
          </cell>
          <cell r="B54" t="str">
            <v>每秒生命回复</v>
          </cell>
        </row>
        <row r="55">
          <cell r="A55">
            <v>10082</v>
          </cell>
          <cell r="B55" t="str">
            <v>攻击暴击伤害提高</v>
          </cell>
        </row>
        <row r="56">
          <cell r="A56">
            <v>10083</v>
          </cell>
          <cell r="B56" t="str">
            <v>法术暴击伤害提高</v>
          </cell>
        </row>
        <row r="57">
          <cell r="A57">
            <v>10084</v>
          </cell>
          <cell r="B57" t="str">
            <v>全域暴击伤害提高</v>
          </cell>
        </row>
        <row r="58">
          <cell r="A58">
            <v>10085</v>
          </cell>
          <cell r="B58" t="str">
            <v>天赋--太刀-第一个技能若是攻击技能，获得额外攻击速度</v>
          </cell>
        </row>
        <row r="59">
          <cell r="A59">
            <v>10086</v>
          </cell>
          <cell r="B59" t="str">
            <v>天赋--太刀-第一个技能若是攻击技能，获得额外冰冻累积</v>
          </cell>
        </row>
        <row r="60">
          <cell r="A60">
            <v>10087</v>
          </cell>
          <cell r="B60" t="str">
            <v>天赋-太刀-暴击率转攻击伤害</v>
          </cell>
        </row>
        <row r="61">
          <cell r="A61">
            <v>10088</v>
          </cell>
          <cell r="B61" t="str">
            <v>近战伤害额外提高</v>
          </cell>
        </row>
        <row r="62">
          <cell r="A62">
            <v>10089</v>
          </cell>
          <cell r="B62" t="str">
            <v>天赋-太刀-移动速度转攻击伤害</v>
          </cell>
        </row>
        <row r="63">
          <cell r="A63">
            <v>10090</v>
          </cell>
          <cell r="B63" t="str">
            <v>闪电伤害有几率附带触电累积</v>
          </cell>
        </row>
        <row r="64">
          <cell r="A64">
            <v>10091</v>
          </cell>
          <cell r="B64" t="str">
            <v>天赋-通用-火神</v>
          </cell>
        </row>
        <row r="65">
          <cell r="A65">
            <v>10092</v>
          </cell>
          <cell r="B65" t="str">
            <v>天赋-通用-冰神</v>
          </cell>
        </row>
        <row r="66">
          <cell r="A66">
            <v>10093</v>
          </cell>
          <cell r="B66" t="str">
            <v>天赋-通用-活力</v>
          </cell>
        </row>
        <row r="67">
          <cell r="A67">
            <v>10094</v>
          </cell>
          <cell r="B67" t="str">
            <v>天赋-通用-抵抗</v>
          </cell>
        </row>
        <row r="68">
          <cell r="A68">
            <v>10095</v>
          </cell>
          <cell r="B68" t="str">
            <v>冻结效果提高</v>
          </cell>
        </row>
        <row r="69">
          <cell r="A69">
            <v>10096</v>
          </cell>
          <cell r="B69" t="str">
            <v>范围伤害额外提高</v>
          </cell>
        </row>
        <row r="70">
          <cell r="A70">
            <v>10097</v>
          </cell>
          <cell r="B70" t="str">
            <v>幻影施法比例额外提高</v>
          </cell>
        </row>
        <row r="71">
          <cell r="A71">
            <v>10098</v>
          </cell>
          <cell r="B71" t="str">
            <v>幻影跟随</v>
          </cell>
        </row>
        <row r="72">
          <cell r="A72">
            <v>10099</v>
          </cell>
          <cell r="B72" t="str">
            <v>天赋-魔典-冷却转施法速度</v>
          </cell>
        </row>
        <row r="73">
          <cell r="A73">
            <v>10100</v>
          </cell>
          <cell r="B73" t="str">
            <v>天赋-魔典-施法速度转幻影伤害</v>
          </cell>
        </row>
        <row r="74">
          <cell r="A74">
            <v>10101</v>
          </cell>
          <cell r="B74" t="str">
            <v>天赋-魔典2-回响&amp;重复几率</v>
          </cell>
        </row>
        <row r="75">
          <cell r="A75">
            <v>10102</v>
          </cell>
          <cell r="B75" t="str">
            <v>额外中毒效果</v>
          </cell>
        </row>
        <row r="76">
          <cell r="A76">
            <v>10103</v>
          </cell>
          <cell r="B76" t="str">
            <v>天赋-魔典2-中毒层数翻倍</v>
          </cell>
        </row>
        <row r="77">
          <cell r="A77">
            <v>10104</v>
          </cell>
          <cell r="B77" t="str">
            <v>受伤缓冲增加</v>
          </cell>
        </row>
        <row r="78">
          <cell r="A78">
            <v>10105</v>
          </cell>
          <cell r="B78" t="str">
            <v>天赋-魔典2-全伤害中毒</v>
          </cell>
        </row>
        <row r="79">
          <cell r="A79">
            <v>10106</v>
          </cell>
          <cell r="B79" t="str">
            <v>冷却回复率增加</v>
          </cell>
        </row>
        <row r="80">
          <cell r="A80">
            <v>10107</v>
          </cell>
          <cell r="B80" t="str">
            <v>魔力上限额外提高</v>
          </cell>
        </row>
        <row r="81">
          <cell r="A81">
            <v>10108</v>
          </cell>
          <cell r="B81" t="str">
            <v>魔力回复率额外提高</v>
          </cell>
        </row>
        <row r="82">
          <cell r="A82">
            <v>10109</v>
          </cell>
          <cell r="B82" t="str">
            <v>幻影伤害额外提高（叠加）-天赋</v>
          </cell>
        </row>
        <row r="83">
          <cell r="A83">
            <v>10110</v>
          </cell>
          <cell r="B83" t="str">
            <v>天赋-法杖-移动速度转投射物速度</v>
          </cell>
        </row>
        <row r="84">
          <cell r="A84">
            <v>10111</v>
          </cell>
          <cell r="B84" t="str">
            <v>魔力上限提高</v>
          </cell>
        </row>
        <row r="85">
          <cell r="A85">
            <v>10112</v>
          </cell>
          <cell r="B85" t="str">
            <v>专用-回响</v>
          </cell>
        </row>
        <row r="86">
          <cell r="A86">
            <v>10113</v>
          </cell>
          <cell r="B86" t="str">
            <v>专用-回响强化</v>
          </cell>
        </row>
        <row r="87">
          <cell r="A87">
            <v>10114</v>
          </cell>
          <cell r="B87" t="str">
            <v>专用-火球术强化</v>
          </cell>
        </row>
        <row r="88">
          <cell r="A88">
            <v>10116</v>
          </cell>
          <cell r="B88" t="str">
            <v>魔力回复率提高</v>
          </cell>
        </row>
        <row r="89">
          <cell r="A89">
            <v>10117</v>
          </cell>
          <cell r="B89" t="str">
            <v>魔力每秒恢复增加</v>
          </cell>
        </row>
        <row r="90">
          <cell r="A90">
            <v>10118</v>
          </cell>
          <cell r="B90" t="str">
            <v>冰冷伤害额外提高</v>
          </cell>
        </row>
        <row r="91">
          <cell r="A91">
            <v>10119</v>
          </cell>
          <cell r="B91" t="str">
            <v>专用-天赋-强效施法</v>
          </cell>
        </row>
        <row r="92">
          <cell r="A92">
            <v>10120</v>
          </cell>
          <cell r="B92" t="str">
            <v>元素伤害提高</v>
          </cell>
        </row>
        <row r="93">
          <cell r="A93">
            <v>10121</v>
          </cell>
          <cell r="B93" t="str">
            <v>元素伤害额外提高</v>
          </cell>
        </row>
        <row r="94">
          <cell r="A94">
            <v>10122</v>
          </cell>
          <cell r="B94" t="str">
            <v>幻影数量上限增加</v>
          </cell>
        </row>
        <row r="95">
          <cell r="A95">
            <v>10123</v>
          </cell>
          <cell r="B95" t="str">
            <v>幻影持续时间提高</v>
          </cell>
        </row>
        <row r="96">
          <cell r="A96">
            <v>10124</v>
          </cell>
          <cell r="B96" t="str">
            <v>物理伤害额外提高</v>
          </cell>
        </row>
        <row r="97">
          <cell r="A97">
            <v>10125</v>
          </cell>
          <cell r="B97" t="str">
            <v>火焰伤害额外提高</v>
          </cell>
        </row>
        <row r="98">
          <cell r="A98">
            <v>10126</v>
          </cell>
          <cell r="B98" t="str">
            <v>冰冷伤害额外提高</v>
          </cell>
        </row>
        <row r="99">
          <cell r="A99">
            <v>10127</v>
          </cell>
          <cell r="B99" t="str">
            <v>闪电伤害额外提高</v>
          </cell>
        </row>
        <row r="100">
          <cell r="A100">
            <v>10128</v>
          </cell>
          <cell r="B100" t="str">
            <v>混沌伤害额外提高</v>
          </cell>
        </row>
        <row r="101">
          <cell r="A101">
            <v>10129</v>
          </cell>
          <cell r="B101" t="str">
            <v>旋龙生成子弹增加</v>
          </cell>
        </row>
        <row r="102">
          <cell r="A102">
            <v>10130</v>
          </cell>
          <cell r="B102" t="str">
            <v>天赋-魔典-毒咒侵蚀</v>
          </cell>
        </row>
        <row r="103">
          <cell r="A103">
            <v>10131</v>
          </cell>
          <cell r="B103" t="str">
            <v>环绕子弹数量增加</v>
          </cell>
        </row>
        <row r="104">
          <cell r="A104">
            <v>10132</v>
          </cell>
          <cell r="B104" t="str">
            <v>环绕速度提高</v>
          </cell>
        </row>
        <row r="105">
          <cell r="A105">
            <v>10134</v>
          </cell>
          <cell r="B105" t="str">
            <v>幻影天赋-天生幻影</v>
          </cell>
        </row>
        <row r="106">
          <cell r="A106">
            <v>10135</v>
          </cell>
          <cell r="B106" t="str">
            <v>法术伤害额外提高</v>
          </cell>
        </row>
        <row r="107">
          <cell r="A107">
            <v>10136</v>
          </cell>
          <cell r="B107" t="str">
            <v>攻击伤害额外提高</v>
          </cell>
        </row>
        <row r="108">
          <cell r="A108">
            <v>10137</v>
          </cell>
          <cell r="B108" t="str">
            <v>天赋-法杖-注能亲和</v>
          </cell>
        </row>
        <row r="109">
          <cell r="A109">
            <v>10138</v>
          </cell>
          <cell r="B109" t="str">
            <v>天赋-法杖-轮转一心</v>
          </cell>
        </row>
        <row r="110">
          <cell r="A110">
            <v>10139</v>
          </cell>
          <cell r="B110" t="str">
            <v>天赋-法杖-共鸣</v>
          </cell>
        </row>
        <row r="111">
          <cell r="A111">
            <v>10140</v>
          </cell>
          <cell r="B111" t="str">
            <v>强化技能伤害提高</v>
          </cell>
        </row>
        <row r="112">
          <cell r="A112">
            <v>10141</v>
          </cell>
          <cell r="B112" t="str">
            <v>天赋-法杖-强化之力</v>
          </cell>
        </row>
        <row r="113">
          <cell r="A113">
            <v>10142</v>
          </cell>
          <cell r="B113" t="str">
            <v>注能持续时间提高</v>
          </cell>
        </row>
        <row r="114">
          <cell r="A114">
            <v>10143</v>
          </cell>
          <cell r="B114" t="str">
            <v>注能持续时间额外提高</v>
          </cell>
        </row>
        <row r="115">
          <cell r="A115">
            <v>10144</v>
          </cell>
          <cell r="B115" t="str">
            <v>天赋-法杖-元素之子</v>
          </cell>
        </row>
        <row r="116">
          <cell r="A116">
            <v>10145</v>
          </cell>
          <cell r="B116" t="str">
            <v>天赋-法杖-原爆点</v>
          </cell>
        </row>
        <row r="117">
          <cell r="A117">
            <v>10146</v>
          </cell>
          <cell r="B117" t="str">
            <v>全局伤害额外提高</v>
          </cell>
        </row>
        <row r="118">
          <cell r="A118">
            <v>10147</v>
          </cell>
          <cell r="B118" t="str">
            <v>投射物速度额外提高</v>
          </cell>
        </row>
        <row r="119">
          <cell r="A119">
            <v>10148</v>
          </cell>
          <cell r="B119" t="str">
            <v>闪电浸染</v>
          </cell>
        </row>
        <row r="120">
          <cell r="A120">
            <v>10149</v>
          </cell>
          <cell r="B120" t="str">
            <v>毁灭注能层数增加</v>
          </cell>
        </row>
        <row r="121">
          <cell r="A121">
            <v>10150</v>
          </cell>
          <cell r="B121" t="str">
            <v>洞察注能层数增加</v>
          </cell>
        </row>
        <row r="122">
          <cell r="A122">
            <v>10151</v>
          </cell>
          <cell r="B122" t="str">
            <v>坚韧注能层数增加</v>
          </cell>
        </row>
        <row r="123">
          <cell r="A123">
            <v>10152</v>
          </cell>
          <cell r="B123" t="str">
            <v>缓冲注能层数增加</v>
          </cell>
        </row>
        <row r="124">
          <cell r="A124">
            <v>10153</v>
          </cell>
          <cell r="B124" t="str">
            <v>迅捷注能层数增加</v>
          </cell>
        </row>
        <row r="125">
          <cell r="A125">
            <v>10154</v>
          </cell>
          <cell r="B125" t="str">
            <v>火焰浸染</v>
          </cell>
        </row>
        <row r="126">
          <cell r="A126">
            <v>10155</v>
          </cell>
          <cell r="B126" t="str">
            <v>冰冷浸染</v>
          </cell>
        </row>
        <row r="127">
          <cell r="A127">
            <v>10156</v>
          </cell>
          <cell r="B127" t="str">
            <v>物理技能等级增加</v>
          </cell>
        </row>
        <row r="128">
          <cell r="A128">
            <v>10157</v>
          </cell>
          <cell r="B128" t="str">
            <v>火焰技能等级增加</v>
          </cell>
        </row>
        <row r="129">
          <cell r="A129">
            <v>10158</v>
          </cell>
          <cell r="B129" t="str">
            <v>冰冷技能等级增加</v>
          </cell>
        </row>
        <row r="130">
          <cell r="A130">
            <v>10159</v>
          </cell>
          <cell r="B130" t="str">
            <v>闪电技能等级增加</v>
          </cell>
        </row>
        <row r="131">
          <cell r="A131">
            <v>10160</v>
          </cell>
          <cell r="B131" t="str">
            <v>混沌技能等级增加</v>
          </cell>
        </row>
        <row r="132">
          <cell r="A132">
            <v>10161</v>
          </cell>
          <cell r="B132" t="str">
            <v>攻击技能等级增加</v>
          </cell>
        </row>
        <row r="133">
          <cell r="A133">
            <v>10162</v>
          </cell>
          <cell r="B133" t="str">
            <v>法术技能等级增加</v>
          </cell>
        </row>
        <row r="134">
          <cell r="A134">
            <v>10167</v>
          </cell>
          <cell r="B134" t="str">
            <v>每3%投射物速度提供的1%投射物额外伤害，最多提供15%投射物额外伤害</v>
          </cell>
        </row>
        <row r="135">
          <cell r="A135">
            <v>10168</v>
          </cell>
          <cell r="B135" t="str">
            <v>投射物速度转全局伤害</v>
          </cell>
        </row>
        <row r="136">
          <cell r="A136">
            <v>10169</v>
          </cell>
          <cell r="B136" t="str">
            <v>投射物伤害额外提高</v>
          </cell>
        </row>
        <row r="137">
          <cell r="A137">
            <v>10170</v>
          </cell>
          <cell r="B137" t="str">
            <v>法术暴击率提高</v>
          </cell>
        </row>
        <row r="138">
          <cell r="A138">
            <v>10171</v>
          </cell>
          <cell r="B138" t="str">
            <v>法术暴击率额外提高</v>
          </cell>
        </row>
        <row r="139">
          <cell r="A139">
            <v>10172</v>
          </cell>
          <cell r="B139" t="str">
            <v>近战暴击率提高</v>
          </cell>
        </row>
        <row r="140">
          <cell r="A140">
            <v>10173</v>
          </cell>
          <cell r="B140" t="str">
            <v>近战暴击率额外提高</v>
          </cell>
        </row>
        <row r="141">
          <cell r="A141">
            <v>10174</v>
          </cell>
          <cell r="B141" t="str">
            <v>投射物暴击率提高</v>
          </cell>
        </row>
        <row r="142">
          <cell r="A142">
            <v>10175</v>
          </cell>
          <cell r="B142" t="str">
            <v>投射物暴击率额外提高</v>
          </cell>
        </row>
        <row r="143">
          <cell r="A143">
            <v>10176</v>
          </cell>
          <cell r="B143" t="str">
            <v>攻击暴击率提高</v>
          </cell>
        </row>
        <row r="144">
          <cell r="A144">
            <v>10177</v>
          </cell>
          <cell r="B144" t="str">
            <v>攻击暴击率额外提高</v>
          </cell>
        </row>
        <row r="145">
          <cell r="A145">
            <v>10178</v>
          </cell>
          <cell r="B145" t="str">
            <v>物理伤害双倍伤害几率增加</v>
          </cell>
        </row>
        <row r="146">
          <cell r="A146">
            <v>10179</v>
          </cell>
          <cell r="B146" t="str">
            <v>受到攻击伤害提高</v>
          </cell>
        </row>
        <row r="147">
          <cell r="A147">
            <v>10180</v>
          </cell>
          <cell r="B147" t="str">
            <v>受到法术伤害提高</v>
          </cell>
        </row>
      </sheetData>
      <sheetData sheetId="4">
        <row r="1">
          <cell r="A1" t="str">
            <v>词缀ID</v>
          </cell>
          <cell r="B1" t="str">
            <v>名称</v>
          </cell>
        </row>
        <row r="2">
          <cell r="A2" t="str">
            <v>id.p</v>
          </cell>
          <cell r="B2" t="str">
            <v>name</v>
          </cell>
        </row>
        <row r="3">
          <cell r="A3" t="str">
            <v>number</v>
          </cell>
          <cell r="B3" t="str">
            <v>string</v>
          </cell>
        </row>
        <row r="4">
          <cell r="A4">
            <v>2110000010</v>
          </cell>
          <cell r="B4" t="str">
            <v>闪电之捷</v>
          </cell>
        </row>
        <row r="5">
          <cell r="A5">
            <v>2110000011</v>
          </cell>
          <cell r="B5" t="str">
            <v>激活时，非捷技能攻击击中并击败感电敌人会使后续的攻击击中释放出闪电，对周围所有的敌人造成攻击伤害</v>
          </cell>
        </row>
        <row r="6">
          <cell r="A6">
            <v>2110000012</v>
          </cell>
          <cell r="B6" t="str">
            <v>激活时，非捷技能攻击击中并击败感电敌人会使后续的攻击击中释放出闪电，对周围所有的敌人造成攻击伤害</v>
          </cell>
        </row>
        <row r="7">
          <cell r="A7">
            <v>2110000020</v>
          </cell>
          <cell r="B7" t="str">
            <v>灰烬之捷</v>
          </cell>
        </row>
        <row r="8">
          <cell r="A8">
            <v>2110000021</v>
          </cell>
          <cell r="B8" t="str">
            <v>激活时，受到你的非捷技能攻击造成的火焰伤害击杀时有几率的敌人会产生爆炸，并根据敌人生命值上限对周围的敌人造成伤害</v>
          </cell>
        </row>
        <row r="9">
          <cell r="A9">
            <v>2110000030</v>
          </cell>
          <cell r="B9" t="str">
            <v>冰霜之捷</v>
          </cell>
        </row>
        <row r="10">
          <cell r="A10">
            <v>2110000031</v>
          </cell>
          <cell r="B10" t="str">
            <v>激活时，非捷技能攻击击中一名冰冻敌人并击杀时会产生冰霜爆炸，对周围的敌人造成攻击伤害。</v>
          </cell>
        </row>
        <row r="11">
          <cell r="A11">
            <v>2110000040</v>
          </cell>
          <cell r="B11" t="str">
            <v>攻击冻结中的敌人时会出现残影重击范围内的敌人</v>
          </cell>
        </row>
        <row r="12">
          <cell r="A12">
            <v>2114000020</v>
          </cell>
          <cell r="B12" t="str">
            <v>激活时，移动速度增加50%</v>
          </cell>
        </row>
        <row r="13">
          <cell r="A13">
            <v>2120000010</v>
          </cell>
          <cell r="B13" t="str">
            <v>向移动方向闪现，并在原地留下一个幻影。幻影不可移动，不可攻击，在持续时间内持续释放技能1，幻影的上限为3</v>
          </cell>
        </row>
        <row r="14">
          <cell r="A14">
            <v>2120000011</v>
          </cell>
          <cell r="B14" t="str">
            <v>向移动方向闪现，并在原地留下一个幻影。幻影不可移动，不可攻击，在持续时间内持续释放技能1，幻影的上限为1</v>
          </cell>
        </row>
        <row r="15">
          <cell r="A15">
            <v>2120000020</v>
          </cell>
          <cell r="B15" t="str">
            <v>使用法术技能造成伤害后，在原地生成“幻影”，持续4秒，冷却10秒，幻影上限为1</v>
          </cell>
        </row>
        <row r="16">
          <cell r="A16">
            <v>2120000030</v>
          </cell>
          <cell r="B16" t="str">
            <v>激活时，造成暴击时会产生获取层数，满40层后会释放大地之怒，产生冰霜爆炸对范围内敌人造成伤害</v>
          </cell>
        </row>
        <row r="17">
          <cell r="A17">
            <v>2120000040</v>
          </cell>
          <cell r="B17" t="str">
            <v>魔典-中毒爆炸</v>
          </cell>
        </row>
        <row r="18">
          <cell r="A18">
            <v>2120000060</v>
          </cell>
          <cell r="B18" t="str">
            <v>幻影释放技能时会消耗你的魔力，其数值释放技能的魔力消耗，每次消耗技能额外增加5%你和幻影造成的伤害，上限为10层</v>
          </cell>
        </row>
        <row r="19">
          <cell r="A19">
            <v>2120000080</v>
          </cell>
          <cell r="B19" t="str">
            <v>激活时，击败中毒的敌人会将其中毒效果扩散给周围的其他敌人，并有几率使他们缓速</v>
          </cell>
        </row>
        <row r="20">
          <cell r="A20">
            <v>2140000020</v>
          </cell>
          <cell r="B20" t="str">
            <v>激活时，移动速度增加50%</v>
          </cell>
        </row>
        <row r="21">
          <cell r="A21">
            <v>2140000030</v>
          </cell>
          <cell r="B21" t="str">
            <v>被辅助技能冻结敌人时，获得30%的额外冰冷伤害，持续6秒</v>
          </cell>
        </row>
        <row r="22">
          <cell r="A22">
            <v>2140000040</v>
          </cell>
          <cell r="B22" t="str">
            <v>激活时，投射物数量+2，投射物速度增加40%</v>
          </cell>
        </row>
        <row r="23">
          <cell r="A23">
            <v>2140000050</v>
          </cell>
          <cell r="B23" t="str">
            <v>激活时，范围技能范围增加25%，范围技能伤害额外增加25%</v>
          </cell>
        </row>
        <row r="24">
          <cell r="A24">
            <v>2140000060</v>
          </cell>
          <cell r="B24" t="str">
            <v>激活时，近战技能获得暴击几率增加70%，额外25%近战伤害增加</v>
          </cell>
        </row>
        <row r="25">
          <cell r="A25">
            <v>2140000070</v>
          </cell>
          <cell r="B25" t="str">
            <v>激活时，每秒回复75点生命值</v>
          </cell>
        </row>
        <row r="26">
          <cell r="A26">
            <v>2140000080</v>
          </cell>
          <cell r="B26" t="str">
            <v>每4秒对周围4米的敌人释放元素脉冲，降低范围内敌人30%的元素抗性，持续4秒</v>
          </cell>
        </row>
        <row r="27">
          <cell r="A27">
            <v>2140000110</v>
          </cell>
          <cell r="B27" t="str">
            <v>对敌人造成暴击时有10%的概率获得一层毁灭注能</v>
          </cell>
        </row>
        <row r="28">
          <cell r="A28">
            <v>2140000140</v>
          </cell>
          <cell r="B28" t="str">
            <v>魔力每次消耗30%的魔力时，就可以获得一层毁灭注能</v>
          </cell>
        </row>
        <row r="29">
          <cell r="A29">
            <v>2140000150</v>
          </cell>
          <cell r="B29" t="str">
            <v>宠物-攻击必定瘫痪</v>
          </cell>
        </row>
        <row r="30">
          <cell r="A30">
            <v>2140000160</v>
          </cell>
          <cell r="B30" t="str">
            <v>宠物-攻击必定瘫痪</v>
          </cell>
        </row>
        <row r="31">
          <cell r="A31">
            <v>2140000170</v>
          </cell>
          <cell r="B31" t="str">
            <v>混沌伤害额外提高1%，上限15层，持续4秒</v>
          </cell>
        </row>
        <row r="32">
          <cell r="A32">
            <v>2140000180</v>
          </cell>
          <cell r="B32" t="str">
            <v>宠物-攻击必定软弱</v>
          </cell>
        </row>
        <row r="33">
          <cell r="A33">
            <v>2150000010</v>
          </cell>
          <cell r="B33" t="str">
            <v>10秒内连续释放4次攻击技能时获得[心眼]状态\n[心眼]：攻击速度额外增加8%；技能范围额外增加8%，上限为3层，持续2秒</v>
          </cell>
        </row>
        <row r="34">
          <cell r="A34">
            <v>2150000020</v>
          </cell>
          <cell r="B34" t="str">
            <v>心眼到法屋数上限时，获得[巅峰]\n[巅峰]:向前斩击造成500%的攻击物理伤害，冷却时间5秒</v>
          </cell>
        </row>
        <row r="35">
          <cell r="A35">
            <v>2150000060</v>
          </cell>
          <cell r="B35" t="str">
            <v>每获得一层注能时，可以额外获得一层注能</v>
          </cell>
        </row>
        <row r="36">
          <cell r="A36">
            <v>2150000070</v>
          </cell>
          <cell r="B36" t="str">
            <v>每缺少25%的魔力，法术伤害提升20%，魔力恢复率提高20%</v>
          </cell>
        </row>
        <row r="37">
          <cell r="A37">
            <v>2150000080</v>
          </cell>
          <cell r="B37" t="str">
            <v>敌人处于元素异常状态时，可以使敌人对该类型元素的抗性降低40%</v>
          </cell>
        </row>
        <row r="38">
          <cell r="A38">
            <v>2150000090</v>
          </cell>
          <cell r="B38" t="str">
            <v>每拥有一种不同种类的注能，法术伤害总增10%，魔力回复率提高20%。</v>
          </cell>
        </row>
        <row r="39">
          <cell r="A39">
            <v>2150000091</v>
          </cell>
          <cell r="B39" t="str">
            <v>每拥有一种不同种类的注能，法术伤害总增10%，魔力回复率提高20%。</v>
          </cell>
        </row>
        <row r="40">
          <cell r="A40">
            <v>2150000100</v>
          </cell>
          <cell r="B40" t="str">
            <v>每6秒获得一层随机注能，注能的持续时间降低20%</v>
          </cell>
        </row>
        <row r="41">
          <cell r="A41">
            <v>2150000110</v>
          </cell>
          <cell r="B41" t="str">
            <v>每成功触发一次强化技能，可以获得一层强化之力，提高20%的伤害，最大可以获得5层，持续6秒</v>
          </cell>
        </row>
        <row r="42">
          <cell r="A42">
            <v>2150100060</v>
          </cell>
          <cell r="B42" t="str">
            <v>每获得一层注能时，可以额外获得一层注能</v>
          </cell>
        </row>
        <row r="43">
          <cell r="A43">
            <v>2150100070</v>
          </cell>
          <cell r="B43" t="str">
            <v>每缺少25%的魔力，法术伤害提升20%，魔力恢复率提高20%</v>
          </cell>
        </row>
        <row r="44">
          <cell r="A44">
            <v>2150100080</v>
          </cell>
          <cell r="B44" t="str">
            <v>敌人处于元素异常状态时，可以使敌人对该类型元素的抗性降低40%</v>
          </cell>
        </row>
        <row r="45">
          <cell r="A45">
            <v>2150100090</v>
          </cell>
          <cell r="B45" t="str">
            <v>每拥有一种不同种类的注能，法术伤害总增10%，魔力回复率提高20%。</v>
          </cell>
        </row>
        <row r="46">
          <cell r="A46">
            <v>2150100091</v>
          </cell>
          <cell r="B46" t="str">
            <v>每拥有一种不同种类的注能，法术伤害总增10%，魔力回复率提高20%。</v>
          </cell>
        </row>
        <row r="47">
          <cell r="A47">
            <v>2150200060</v>
          </cell>
          <cell r="B47" t="str">
            <v>每获得一层注能时，可以额外获得一层注能</v>
          </cell>
        </row>
        <row r="48">
          <cell r="A48">
            <v>2150200070</v>
          </cell>
          <cell r="B48" t="str">
            <v>每缺少25%的魔力，法术伤害提升20%，魔力恢复率提高20%</v>
          </cell>
        </row>
        <row r="49">
          <cell r="A49">
            <v>2150200080</v>
          </cell>
          <cell r="B49" t="str">
            <v>敌人处于元素异常状态时，可以使敌人对该类型元素的抗性降低40%</v>
          </cell>
        </row>
        <row r="50">
          <cell r="A50">
            <v>2150200090</v>
          </cell>
          <cell r="B50" t="str">
            <v>每拥有一种不同种类的注能，法术伤害总增10%，魔力回复率提高20%。</v>
          </cell>
        </row>
        <row r="51">
          <cell r="A51">
            <v>2150200091</v>
          </cell>
          <cell r="B51" t="str">
            <v>每拥有一种不同种类的注能，法术伤害总增10%，魔力回复率提高20%。</v>
          </cell>
        </row>
        <row r="52">
          <cell r="A52">
            <v>2150300060</v>
          </cell>
          <cell r="B52" t="str">
            <v>每获得一层注能时，可以额外获得一层注能</v>
          </cell>
        </row>
        <row r="53">
          <cell r="A53">
            <v>2150300070</v>
          </cell>
          <cell r="B53" t="str">
            <v>每缺少25%的魔力，法术伤害提升20%，魔力恢复率提高20%</v>
          </cell>
        </row>
        <row r="54">
          <cell r="A54">
            <v>2150300090</v>
          </cell>
          <cell r="B54" t="str">
            <v>每拥有一种不同种类的注能，法术伤害总增10%，魔力回复率提高20%。</v>
          </cell>
        </row>
        <row r="55">
          <cell r="A55">
            <v>2150300091</v>
          </cell>
          <cell r="B55" t="str">
            <v>每拥有一种不同种类的注能，法术伤害总增10%，魔力回复率提高20%。</v>
          </cell>
        </row>
        <row r="56">
          <cell r="A56">
            <v>2150400060</v>
          </cell>
          <cell r="B56" t="str">
            <v>每获得一层注能时，可以额外获得一层注能</v>
          </cell>
        </row>
        <row r="57">
          <cell r="A57">
            <v>2150400090</v>
          </cell>
          <cell r="B57" t="str">
            <v>每拥有一种不同种类的注能，法术伤害总增10%，魔力回复率提高20%。</v>
          </cell>
        </row>
        <row r="58">
          <cell r="A58">
            <v>2150400091</v>
          </cell>
          <cell r="B58" t="str">
            <v>每拥有一种不同种类的注能，法术伤害总增10%，魔力回复率提高20%。</v>
          </cell>
        </row>
        <row r="59">
          <cell r="A59">
            <v>2340000010</v>
          </cell>
          <cell r="B59" t="str">
            <v>击败冰结的敌人，回复位移技能的15%当前冷却时间</v>
          </cell>
        </row>
        <row r="60">
          <cell r="A60">
            <v>2340000020</v>
          </cell>
          <cell r="B60" t="str">
            <v>衣服暗金词缀</v>
          </cell>
        </row>
        <row r="61">
          <cell r="A61">
            <v>2340000030</v>
          </cell>
          <cell r="B61" t="str">
            <v>衣服暗金词缀</v>
          </cell>
        </row>
        <row r="62">
          <cell r="A62">
            <v>2340000040</v>
          </cell>
          <cell r="B62" t="str">
            <v>每隔5秒在脚下生成一片火焰地面，造成相当于生命值上限10%的点燃伤害</v>
          </cell>
        </row>
        <row r="63">
          <cell r="A63">
            <v>2340000050</v>
          </cell>
          <cell r="B63" t="str">
            <v>每移动20米可以获得一层毁灭注能</v>
          </cell>
        </row>
        <row r="64">
          <cell r="A64">
            <v>2340000080</v>
          </cell>
          <cell r="B64" t="str">
            <v>周围敌人受到生命值上限1%的点燃强度的点燃</v>
          </cell>
        </row>
        <row r="65">
          <cell r="A65">
            <v>3140000020</v>
          </cell>
          <cell r="B65" t="str">
            <v>击中时,回复2点魔力</v>
          </cell>
        </row>
        <row r="66">
          <cell r="A66">
            <v>3140000030</v>
          </cell>
          <cell r="B66" t="str">
            <v>击中时,回复5点生命</v>
          </cell>
        </row>
        <row r="67">
          <cell r="A67">
            <v>3140000040</v>
          </cell>
          <cell r="B67" t="str">
            <v>被辅助技能，击中中毒目标时，每层中毒效果伤害总增5%，上限5-8层</v>
          </cell>
        </row>
        <row r="68">
          <cell r="A68">
            <v>2140000100</v>
          </cell>
          <cell r="B68" t="str">
            <v>击中的火焰伤害使敌人的火焰抗性-12%，持续4秒</v>
          </cell>
        </row>
      </sheetData>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1"/>
  <sheetViews>
    <sheetView zoomScale="85" zoomScaleNormal="85" workbookViewId="0">
      <pane xSplit="2" ySplit="3" topLeftCell="C4" activePane="bottomRight" state="frozen"/>
      <selection/>
      <selection pane="topRight"/>
      <selection pane="bottomLeft"/>
      <selection pane="bottomRight" activeCell="O17" sqref="O17"/>
    </sheetView>
  </sheetViews>
  <sheetFormatPr defaultColWidth="9" defaultRowHeight="13.5"/>
  <cols>
    <col min="1" max="1" width="7.5" customWidth="1"/>
    <col min="2" max="2" width="10.5833333333333" customWidth="1"/>
    <col min="3" max="3" width="12.375" hidden="1" customWidth="1"/>
    <col min="4" max="4" width="8.375" customWidth="1"/>
    <col min="5" max="5" width="14.4083333333333" customWidth="1"/>
    <col min="6" max="6" width="9.26666666666667" customWidth="1"/>
    <col min="7" max="9" width="16" style="17" customWidth="1"/>
    <col min="10" max="10" width="8.375" style="17" customWidth="1"/>
    <col min="11" max="11" width="16" style="17" customWidth="1"/>
  </cols>
  <sheetData>
    <row r="1" ht="27" spans="1:12">
      <c r="A1" s="1" t="s">
        <v>0</v>
      </c>
      <c r="B1" s="1" t="s">
        <v>1</v>
      </c>
      <c r="C1" s="1" t="s">
        <v>2</v>
      </c>
      <c r="D1" s="22" t="s">
        <v>3</v>
      </c>
      <c r="E1" s="10" t="s">
        <v>4</v>
      </c>
      <c r="F1" s="1" t="s">
        <v>5</v>
      </c>
      <c r="G1" s="23" t="s">
        <v>6</v>
      </c>
      <c r="H1" s="23" t="s">
        <v>7</v>
      </c>
      <c r="I1" s="23" t="s">
        <v>8</v>
      </c>
      <c r="J1" s="23" t="s">
        <v>9</v>
      </c>
      <c r="K1" t="s">
        <v>10</v>
      </c>
      <c r="L1" s="23" t="s">
        <v>9</v>
      </c>
    </row>
    <row r="2" spans="1:12">
      <c r="A2" s="3" t="s">
        <v>11</v>
      </c>
      <c r="B2" s="3" t="s">
        <v>12</v>
      </c>
      <c r="C2" s="3" t="s">
        <v>13</v>
      </c>
      <c r="D2" s="3" t="s">
        <v>14</v>
      </c>
      <c r="E2" s="13" t="s">
        <v>13</v>
      </c>
      <c r="F2" s="3" t="s">
        <v>15</v>
      </c>
      <c r="G2" s="24" t="s">
        <v>16</v>
      </c>
      <c r="H2" s="24" t="s">
        <v>17</v>
      </c>
      <c r="I2" s="24" t="s">
        <v>18</v>
      </c>
      <c r="J2" s="24" t="s">
        <v>19</v>
      </c>
      <c r="K2" s="3" t="s">
        <v>20</v>
      </c>
      <c r="L2" s="24" t="s">
        <v>21</v>
      </c>
    </row>
    <row r="3" spans="1:12">
      <c r="A3" s="25" t="s">
        <v>22</v>
      </c>
      <c r="B3" s="25" t="s">
        <v>23</v>
      </c>
      <c r="C3" s="25" t="s">
        <v>23</v>
      </c>
      <c r="D3" s="25" t="s">
        <v>22</v>
      </c>
      <c r="E3" s="15" t="s">
        <v>23</v>
      </c>
      <c r="F3" s="25" t="s">
        <v>22</v>
      </c>
      <c r="G3" s="26" t="s">
        <v>23</v>
      </c>
      <c r="H3" s="26" t="s">
        <v>23</v>
      </c>
      <c r="I3" s="26" t="s">
        <v>23</v>
      </c>
      <c r="J3" s="26" t="s">
        <v>22</v>
      </c>
      <c r="K3" s="5" t="s">
        <v>22</v>
      </c>
      <c r="L3" s="26" t="s">
        <v>22</v>
      </c>
    </row>
    <row r="4" s="17" customFormat="1" spans="1:12">
      <c r="A4" s="17">
        <v>6082</v>
      </c>
      <c r="B4" s="17" t="s">
        <v>24</v>
      </c>
      <c r="C4" s="17"/>
      <c r="D4" s="17">
        <v>5</v>
      </c>
      <c r="E4" s="17" t="s">
        <v>25</v>
      </c>
      <c r="F4" s="17">
        <v>6082</v>
      </c>
      <c r="G4" s="27" t="str">
        <f t="shared" ref="G4:G31" si="0">"pet/"&amp;G$2&amp;"/"&amp;F4</f>
        <v>pet/pic/6082</v>
      </c>
      <c r="H4" s="27" t="s">
        <v>26</v>
      </c>
      <c r="I4" s="27" t="s">
        <v>27</v>
      </c>
      <c r="J4" s="27">
        <f>IF(D4=8,1,0)</f>
        <v>0</v>
      </c>
      <c r="K4" s="17">
        <v>51200</v>
      </c>
      <c r="L4" s="27">
        <v>0</v>
      </c>
    </row>
    <row r="5" s="17" customFormat="1" spans="1:12">
      <c r="A5" s="17">
        <v>6022</v>
      </c>
      <c r="B5" s="17" t="s">
        <v>28</v>
      </c>
      <c r="C5" s="17"/>
      <c r="D5" s="17">
        <v>8</v>
      </c>
      <c r="E5" s="17" t="s">
        <v>29</v>
      </c>
      <c r="F5" s="17">
        <v>6022</v>
      </c>
      <c r="G5" s="27" t="str">
        <f t="shared" si="0"/>
        <v>pet/pic/6022</v>
      </c>
      <c r="H5" s="27" t="s">
        <v>30</v>
      </c>
      <c r="I5" s="27" t="s">
        <v>31</v>
      </c>
      <c r="J5" s="27">
        <f t="shared" ref="J5:J31" si="1">IF(D5=8,1,0)</f>
        <v>1</v>
      </c>
      <c r="K5" s="17">
        <v>51201</v>
      </c>
      <c r="L5" s="27">
        <v>0</v>
      </c>
    </row>
    <row r="6" s="17" customFormat="1" spans="1:12">
      <c r="A6" s="17">
        <v>5030</v>
      </c>
      <c r="B6" s="17" t="s">
        <v>32</v>
      </c>
      <c r="C6" s="17"/>
      <c r="D6" s="17">
        <v>5</v>
      </c>
      <c r="E6" s="17" t="s">
        <v>33</v>
      </c>
      <c r="F6" s="17">
        <v>5030</v>
      </c>
      <c r="G6" s="27" t="str">
        <f t="shared" si="0"/>
        <v>pet/pic/5030</v>
      </c>
      <c r="H6" s="27"/>
      <c r="I6" s="27"/>
      <c r="J6" s="27">
        <f t="shared" si="1"/>
        <v>0</v>
      </c>
      <c r="K6" s="17">
        <v>51202</v>
      </c>
      <c r="L6" s="27">
        <v>1</v>
      </c>
    </row>
    <row r="7" s="17" customFormat="1" spans="1:12">
      <c r="A7" s="17">
        <v>5040</v>
      </c>
      <c r="B7" s="17" t="s">
        <v>34</v>
      </c>
      <c r="C7" s="17"/>
      <c r="D7" s="17">
        <v>4</v>
      </c>
      <c r="E7" s="17" t="s">
        <v>35</v>
      </c>
      <c r="F7" s="17">
        <v>5040</v>
      </c>
      <c r="G7" s="27" t="str">
        <f t="shared" si="0"/>
        <v>pet/pic/5040</v>
      </c>
      <c r="H7" s="27"/>
      <c r="I7" s="27"/>
      <c r="J7" s="27">
        <f t="shared" si="1"/>
        <v>0</v>
      </c>
      <c r="K7" s="17">
        <v>51203</v>
      </c>
      <c r="L7" s="27">
        <v>0</v>
      </c>
    </row>
    <row r="8" s="17" customFormat="1" spans="1:12">
      <c r="A8" s="17">
        <v>5050</v>
      </c>
      <c r="B8" s="17" t="s">
        <v>36</v>
      </c>
      <c r="C8" s="17"/>
      <c r="D8" s="17">
        <v>4</v>
      </c>
      <c r="E8" s="17" t="s">
        <v>37</v>
      </c>
      <c r="F8" s="17">
        <v>5050</v>
      </c>
      <c r="G8" s="27" t="str">
        <f t="shared" si="0"/>
        <v>pet/pic/5050</v>
      </c>
      <c r="H8" s="27"/>
      <c r="I8" s="27"/>
      <c r="J8" s="27">
        <f t="shared" si="1"/>
        <v>0</v>
      </c>
      <c r="K8" s="17">
        <v>51204</v>
      </c>
      <c r="L8" s="27">
        <v>0</v>
      </c>
    </row>
    <row r="9" s="17" customFormat="1" spans="1:12">
      <c r="A9" s="17">
        <v>5010</v>
      </c>
      <c r="B9" s="17" t="s">
        <v>38</v>
      </c>
      <c r="C9" s="17"/>
      <c r="D9" s="17">
        <v>4</v>
      </c>
      <c r="E9" s="17" t="s">
        <v>39</v>
      </c>
      <c r="F9" s="17">
        <v>5010</v>
      </c>
      <c r="G9" s="27" t="str">
        <f t="shared" si="0"/>
        <v>pet/pic/5010</v>
      </c>
      <c r="H9" s="27"/>
      <c r="I9" s="27"/>
      <c r="J9" s="27">
        <f t="shared" si="1"/>
        <v>0</v>
      </c>
      <c r="K9" s="17">
        <v>51205</v>
      </c>
      <c r="L9" s="27">
        <v>0</v>
      </c>
    </row>
    <row r="10" s="17" customFormat="1" spans="1:12">
      <c r="A10" s="17">
        <v>5020</v>
      </c>
      <c r="B10" s="17" t="s">
        <v>40</v>
      </c>
      <c r="C10" s="17"/>
      <c r="D10" s="17">
        <v>4</v>
      </c>
      <c r="E10" s="17" t="s">
        <v>41</v>
      </c>
      <c r="F10" s="17">
        <v>5020</v>
      </c>
      <c r="G10" s="27" t="str">
        <f t="shared" si="0"/>
        <v>pet/pic/5020</v>
      </c>
      <c r="H10" s="27"/>
      <c r="I10" s="27"/>
      <c r="J10" s="27">
        <f t="shared" si="1"/>
        <v>0</v>
      </c>
      <c r="K10" s="17">
        <v>51206</v>
      </c>
      <c r="L10" s="27">
        <v>0</v>
      </c>
    </row>
    <row r="11" s="17" customFormat="1" spans="1:12">
      <c r="A11" s="17">
        <v>5060</v>
      </c>
      <c r="B11" s="17" t="s">
        <v>42</v>
      </c>
      <c r="C11" s="17"/>
      <c r="D11" s="17">
        <v>4</v>
      </c>
      <c r="E11" s="17" t="s">
        <v>43</v>
      </c>
      <c r="F11" s="17">
        <v>5060</v>
      </c>
      <c r="G11" s="27" t="str">
        <f t="shared" si="0"/>
        <v>pet/pic/5060</v>
      </c>
      <c r="H11" s="27"/>
      <c r="I11" s="27"/>
      <c r="J11" s="27">
        <f t="shared" si="1"/>
        <v>0</v>
      </c>
      <c r="K11" s="17">
        <v>51207</v>
      </c>
      <c r="L11" s="27">
        <v>0</v>
      </c>
    </row>
    <row r="12" s="17" customFormat="1" spans="1:12">
      <c r="A12" s="17">
        <v>7022</v>
      </c>
      <c r="B12" s="17" t="s">
        <v>44</v>
      </c>
      <c r="C12" s="17"/>
      <c r="D12" s="17">
        <v>8</v>
      </c>
      <c r="E12" s="17" t="s">
        <v>45</v>
      </c>
      <c r="F12" s="17">
        <v>7022</v>
      </c>
      <c r="G12" s="27" t="str">
        <f t="shared" si="0"/>
        <v>pet/pic/7022</v>
      </c>
      <c r="H12" s="27" t="s">
        <v>46</v>
      </c>
      <c r="I12" s="27" t="s">
        <v>47</v>
      </c>
      <c r="J12" s="27">
        <f t="shared" si="1"/>
        <v>1</v>
      </c>
      <c r="K12" s="17">
        <v>51208</v>
      </c>
      <c r="L12" s="27">
        <v>0</v>
      </c>
    </row>
    <row r="13" s="17" customFormat="1" spans="1:12">
      <c r="A13" s="17">
        <v>6012</v>
      </c>
      <c r="B13" s="17" t="s">
        <v>48</v>
      </c>
      <c r="C13" s="17"/>
      <c r="D13" s="17">
        <v>5</v>
      </c>
      <c r="E13" s="17" t="s">
        <v>49</v>
      </c>
      <c r="F13" s="17">
        <v>6012</v>
      </c>
      <c r="G13" s="27" t="str">
        <f t="shared" si="0"/>
        <v>pet/pic/6012</v>
      </c>
      <c r="H13" s="27" t="s">
        <v>50</v>
      </c>
      <c r="I13" s="27" t="s">
        <v>51</v>
      </c>
      <c r="J13" s="27">
        <f t="shared" si="1"/>
        <v>0</v>
      </c>
      <c r="K13" s="17">
        <v>51209</v>
      </c>
      <c r="L13" s="27">
        <v>0</v>
      </c>
    </row>
    <row r="14" s="17" customFormat="1" spans="1:12">
      <c r="A14" s="17">
        <v>6052</v>
      </c>
      <c r="B14" s="17" t="s">
        <v>52</v>
      </c>
      <c r="C14" s="17"/>
      <c r="D14" s="17">
        <v>5</v>
      </c>
      <c r="E14" s="17" t="s">
        <v>53</v>
      </c>
      <c r="F14" s="17">
        <v>6052</v>
      </c>
      <c r="G14" s="27" t="str">
        <f t="shared" si="0"/>
        <v>pet/pic/6052</v>
      </c>
      <c r="H14" s="27" t="s">
        <v>54</v>
      </c>
      <c r="I14" s="27" t="s">
        <v>55</v>
      </c>
      <c r="J14" s="27">
        <f t="shared" si="1"/>
        <v>0</v>
      </c>
      <c r="K14" s="17">
        <v>51210</v>
      </c>
      <c r="L14" s="27">
        <v>0</v>
      </c>
    </row>
    <row r="15" s="17" customFormat="1" spans="1:12">
      <c r="A15" s="17">
        <v>6042</v>
      </c>
      <c r="B15" s="17" t="s">
        <v>56</v>
      </c>
      <c r="C15" s="17"/>
      <c r="D15" s="17">
        <v>5</v>
      </c>
      <c r="E15" s="17" t="s">
        <v>57</v>
      </c>
      <c r="F15" s="17">
        <v>6042</v>
      </c>
      <c r="G15" s="27" t="str">
        <f t="shared" si="0"/>
        <v>pet/pic/6042</v>
      </c>
      <c r="H15" s="27" t="s">
        <v>26</v>
      </c>
      <c r="I15" s="27" t="s">
        <v>58</v>
      </c>
      <c r="J15" s="27">
        <f t="shared" si="1"/>
        <v>0</v>
      </c>
      <c r="K15" s="17">
        <v>51211</v>
      </c>
      <c r="L15" s="27">
        <v>0</v>
      </c>
    </row>
    <row r="16" s="17" customFormat="1" spans="1:12">
      <c r="A16" s="17">
        <v>6062</v>
      </c>
      <c r="B16" s="17" t="s">
        <v>59</v>
      </c>
      <c r="C16" s="17"/>
      <c r="D16" s="17">
        <v>5</v>
      </c>
      <c r="E16" s="17" t="s">
        <v>60</v>
      </c>
      <c r="F16" s="17">
        <v>6062</v>
      </c>
      <c r="G16" s="27" t="str">
        <f t="shared" si="0"/>
        <v>pet/pic/6062</v>
      </c>
      <c r="H16" s="27" t="s">
        <v>61</v>
      </c>
      <c r="I16" s="27" t="s">
        <v>62</v>
      </c>
      <c r="J16" s="27">
        <f t="shared" si="1"/>
        <v>0</v>
      </c>
      <c r="K16" s="17">
        <v>51212</v>
      </c>
      <c r="L16" s="27">
        <v>0</v>
      </c>
    </row>
    <row r="17" s="17" customFormat="1" spans="1:12">
      <c r="A17" s="17">
        <v>6092</v>
      </c>
      <c r="B17" s="17" t="s">
        <v>63</v>
      </c>
      <c r="C17" s="17"/>
      <c r="D17" s="17">
        <v>5</v>
      </c>
      <c r="E17" s="17" t="s">
        <v>64</v>
      </c>
      <c r="F17" s="17">
        <v>6092</v>
      </c>
      <c r="G17" s="27" t="str">
        <f t="shared" si="0"/>
        <v>pet/pic/6092</v>
      </c>
      <c r="H17" s="27" t="s">
        <v>61</v>
      </c>
      <c r="I17" s="27" t="s">
        <v>65</v>
      </c>
      <c r="J17" s="27">
        <f t="shared" si="1"/>
        <v>0</v>
      </c>
      <c r="K17" s="17">
        <v>51213</v>
      </c>
      <c r="L17" s="27">
        <v>0</v>
      </c>
    </row>
    <row r="18" s="17" customFormat="1" spans="1:12">
      <c r="A18" s="17">
        <v>6032</v>
      </c>
      <c r="B18" s="17" t="s">
        <v>66</v>
      </c>
      <c r="C18" s="17"/>
      <c r="D18" s="17">
        <v>5</v>
      </c>
      <c r="E18" s="17" t="s">
        <v>67</v>
      </c>
      <c r="F18" s="17">
        <v>6032</v>
      </c>
      <c r="G18" s="27" t="str">
        <f t="shared" si="0"/>
        <v>pet/pic/6032</v>
      </c>
      <c r="H18" s="27" t="s">
        <v>68</v>
      </c>
      <c r="I18" s="27" t="s">
        <v>69</v>
      </c>
      <c r="J18" s="27">
        <f t="shared" si="1"/>
        <v>0</v>
      </c>
      <c r="K18" s="17">
        <v>51214</v>
      </c>
      <c r="L18" s="27">
        <v>0</v>
      </c>
    </row>
    <row r="19" s="17" customFormat="1" spans="1:12">
      <c r="A19" s="17">
        <v>6112</v>
      </c>
      <c r="B19" s="17" t="s">
        <v>70</v>
      </c>
      <c r="C19" s="17"/>
      <c r="D19" s="17">
        <v>5</v>
      </c>
      <c r="E19" s="17" t="s">
        <v>71</v>
      </c>
      <c r="F19" s="17">
        <v>6112</v>
      </c>
      <c r="G19" s="27" t="str">
        <f t="shared" si="0"/>
        <v>pet/pic/6112</v>
      </c>
      <c r="H19" s="27" t="s">
        <v>46</v>
      </c>
      <c r="I19" s="27" t="s">
        <v>72</v>
      </c>
      <c r="J19" s="27">
        <f t="shared" si="1"/>
        <v>0</v>
      </c>
      <c r="K19" s="17">
        <v>51215</v>
      </c>
      <c r="L19" s="27">
        <v>0</v>
      </c>
    </row>
    <row r="20" s="17" customFormat="1" spans="1:12">
      <c r="A20" s="17">
        <v>7032</v>
      </c>
      <c r="B20" s="17" t="s">
        <v>73</v>
      </c>
      <c r="C20" s="17"/>
      <c r="D20" s="17">
        <v>8</v>
      </c>
      <c r="E20" s="17" t="s">
        <v>74</v>
      </c>
      <c r="F20" s="17">
        <v>7032</v>
      </c>
      <c r="G20" s="27" t="str">
        <f t="shared" si="0"/>
        <v>pet/pic/7032</v>
      </c>
      <c r="H20" s="27" t="s">
        <v>30</v>
      </c>
      <c r="I20" s="27" t="s">
        <v>75</v>
      </c>
      <c r="J20" s="27">
        <f t="shared" si="1"/>
        <v>1</v>
      </c>
      <c r="K20" s="17">
        <v>51216</v>
      </c>
      <c r="L20" s="27">
        <v>0</v>
      </c>
    </row>
    <row r="21" s="17" customFormat="1" spans="1:12">
      <c r="A21" s="17">
        <v>7052</v>
      </c>
      <c r="B21" s="17" t="s">
        <v>76</v>
      </c>
      <c r="C21" s="17"/>
      <c r="D21" s="17">
        <v>8</v>
      </c>
      <c r="E21" s="17" t="s">
        <v>77</v>
      </c>
      <c r="F21" s="17">
        <v>7052</v>
      </c>
      <c r="G21" s="27" t="str">
        <f t="shared" si="0"/>
        <v>pet/pic/7052</v>
      </c>
      <c r="H21" s="27" t="s">
        <v>26</v>
      </c>
      <c r="I21" s="27" t="s">
        <v>78</v>
      </c>
      <c r="J21" s="27">
        <f t="shared" si="1"/>
        <v>1</v>
      </c>
      <c r="K21" s="17">
        <v>51217</v>
      </c>
      <c r="L21" s="27">
        <v>0</v>
      </c>
    </row>
    <row r="22" s="17" customFormat="1" spans="1:12">
      <c r="A22" s="17">
        <v>5070</v>
      </c>
      <c r="B22" s="17" t="s">
        <v>79</v>
      </c>
      <c r="C22" s="17"/>
      <c r="D22" s="17">
        <v>4</v>
      </c>
      <c r="E22" s="17" t="s">
        <v>80</v>
      </c>
      <c r="F22" s="17">
        <v>5070</v>
      </c>
      <c r="G22" s="27" t="str">
        <f t="shared" si="0"/>
        <v>pet/pic/5070</v>
      </c>
      <c r="H22" s="27"/>
      <c r="I22" s="27"/>
      <c r="J22" s="27">
        <f t="shared" si="1"/>
        <v>0</v>
      </c>
      <c r="K22" s="17">
        <v>51218</v>
      </c>
      <c r="L22" s="27">
        <v>0</v>
      </c>
    </row>
    <row r="23" s="17" customFormat="1" spans="1:12">
      <c r="A23" s="17">
        <v>5080</v>
      </c>
      <c r="B23" s="17" t="s">
        <v>81</v>
      </c>
      <c r="C23" s="17"/>
      <c r="D23" s="17">
        <v>4</v>
      </c>
      <c r="E23" s="17" t="s">
        <v>82</v>
      </c>
      <c r="F23" s="17">
        <v>5080</v>
      </c>
      <c r="G23" s="27" t="str">
        <f t="shared" si="0"/>
        <v>pet/pic/5080</v>
      </c>
      <c r="H23" s="27"/>
      <c r="I23" s="27"/>
      <c r="J23" s="27">
        <f t="shared" si="1"/>
        <v>0</v>
      </c>
      <c r="K23" s="17">
        <v>51219</v>
      </c>
      <c r="L23" s="27">
        <v>0</v>
      </c>
    </row>
    <row r="24" s="17" customFormat="1" spans="1:12">
      <c r="A24" s="17">
        <v>5090</v>
      </c>
      <c r="B24" s="17" t="s">
        <v>83</v>
      </c>
      <c r="C24" s="17"/>
      <c r="D24" s="17">
        <v>4</v>
      </c>
      <c r="E24" s="17" t="s">
        <v>84</v>
      </c>
      <c r="F24" s="17">
        <v>5090</v>
      </c>
      <c r="G24" s="27" t="str">
        <f t="shared" si="0"/>
        <v>pet/pic/5090</v>
      </c>
      <c r="H24" s="27"/>
      <c r="I24" s="27"/>
      <c r="J24" s="27">
        <f t="shared" si="1"/>
        <v>0</v>
      </c>
      <c r="K24" s="17">
        <v>51220</v>
      </c>
      <c r="L24" s="27">
        <v>0</v>
      </c>
    </row>
    <row r="25" s="17" customFormat="1" spans="1:12">
      <c r="A25" s="17">
        <v>5100</v>
      </c>
      <c r="B25" s="17" t="s">
        <v>85</v>
      </c>
      <c r="C25" s="17"/>
      <c r="D25" s="17">
        <v>4</v>
      </c>
      <c r="E25" s="17" t="s">
        <v>86</v>
      </c>
      <c r="F25" s="17">
        <v>5100</v>
      </c>
      <c r="G25" s="27" t="str">
        <f t="shared" si="0"/>
        <v>pet/pic/5100</v>
      </c>
      <c r="H25" s="27"/>
      <c r="I25" s="27"/>
      <c r="J25" s="27">
        <f t="shared" si="1"/>
        <v>0</v>
      </c>
      <c r="K25" s="17">
        <v>51221</v>
      </c>
      <c r="L25" s="27">
        <v>0</v>
      </c>
    </row>
    <row r="26" s="17" customFormat="1" spans="1:12">
      <c r="A26" s="17">
        <v>7012</v>
      </c>
      <c r="B26" s="17" t="s">
        <v>87</v>
      </c>
      <c r="C26" s="17"/>
      <c r="D26" s="17">
        <v>8</v>
      </c>
      <c r="E26" s="17" t="s">
        <v>88</v>
      </c>
      <c r="F26" s="17">
        <v>7012</v>
      </c>
      <c r="G26" s="27" t="str">
        <f t="shared" si="0"/>
        <v>pet/pic/7012</v>
      </c>
      <c r="H26" s="27" t="s">
        <v>54</v>
      </c>
      <c r="I26" s="27" t="s">
        <v>89</v>
      </c>
      <c r="J26" s="27">
        <f t="shared" si="1"/>
        <v>1</v>
      </c>
      <c r="K26">
        <v>51222</v>
      </c>
      <c r="L26" s="27">
        <v>0</v>
      </c>
    </row>
    <row r="27" s="17" customFormat="1" spans="1:12">
      <c r="A27" s="17">
        <v>7062</v>
      </c>
      <c r="B27" s="17" t="s">
        <v>90</v>
      </c>
      <c r="C27" s="17"/>
      <c r="D27" s="17">
        <v>8</v>
      </c>
      <c r="E27" s="17" t="s">
        <v>91</v>
      </c>
      <c r="F27" s="17">
        <v>7062</v>
      </c>
      <c r="G27" s="27" t="str">
        <f t="shared" si="0"/>
        <v>pet/pic/7062</v>
      </c>
      <c r="H27" s="27" t="s">
        <v>50</v>
      </c>
      <c r="I27" s="27" t="s">
        <v>92</v>
      </c>
      <c r="J27" s="27">
        <f t="shared" si="1"/>
        <v>1</v>
      </c>
      <c r="K27" s="17">
        <v>51223</v>
      </c>
      <c r="L27" s="27">
        <v>0</v>
      </c>
    </row>
    <row r="28" s="17" customFormat="1" spans="1:12">
      <c r="A28" s="17">
        <v>7042</v>
      </c>
      <c r="B28" s="17" t="s">
        <v>93</v>
      </c>
      <c r="C28" s="17"/>
      <c r="D28" s="17">
        <v>8</v>
      </c>
      <c r="E28" s="17" t="s">
        <v>94</v>
      </c>
      <c r="F28" s="17">
        <v>7042</v>
      </c>
      <c r="G28" s="27" t="str">
        <f t="shared" si="0"/>
        <v>pet/pic/7042</v>
      </c>
      <c r="H28" s="27" t="s">
        <v>61</v>
      </c>
      <c r="I28" s="27" t="s">
        <v>95</v>
      </c>
      <c r="J28" s="27">
        <f t="shared" si="1"/>
        <v>1</v>
      </c>
      <c r="K28">
        <v>51224</v>
      </c>
      <c r="L28" s="27">
        <v>0</v>
      </c>
    </row>
    <row r="29" s="17" customFormat="1" spans="1:12">
      <c r="A29" s="17">
        <v>7082</v>
      </c>
      <c r="B29" s="17" t="s">
        <v>96</v>
      </c>
      <c r="C29" s="17"/>
      <c r="D29" s="17">
        <v>8</v>
      </c>
      <c r="E29" s="17" t="s">
        <v>97</v>
      </c>
      <c r="F29" s="17">
        <v>7082</v>
      </c>
      <c r="G29" s="27" t="str">
        <f t="shared" si="0"/>
        <v>pet/pic/7082</v>
      </c>
      <c r="H29" s="27" t="s">
        <v>30</v>
      </c>
      <c r="I29" s="27" t="s">
        <v>98</v>
      </c>
      <c r="J29" s="27">
        <f t="shared" si="1"/>
        <v>1</v>
      </c>
      <c r="K29" s="17">
        <v>51225</v>
      </c>
      <c r="L29" s="27">
        <v>0</v>
      </c>
    </row>
    <row r="30" s="17" customFormat="1" spans="1:12">
      <c r="A30" s="17">
        <v>7072</v>
      </c>
      <c r="B30" s="17" t="s">
        <v>99</v>
      </c>
      <c r="C30" s="17"/>
      <c r="D30" s="17">
        <v>8</v>
      </c>
      <c r="E30" s="17" t="s">
        <v>100</v>
      </c>
      <c r="F30" s="17">
        <v>7072</v>
      </c>
      <c r="G30" s="27" t="str">
        <f t="shared" si="0"/>
        <v>pet/pic/7072</v>
      </c>
      <c r="H30" s="27" t="s">
        <v>50</v>
      </c>
      <c r="I30" s="27" t="s">
        <v>101</v>
      </c>
      <c r="J30" s="27">
        <f t="shared" si="1"/>
        <v>1</v>
      </c>
      <c r="K30">
        <v>51226</v>
      </c>
      <c r="L30" s="27">
        <v>0</v>
      </c>
    </row>
    <row r="31" s="17" customFormat="1" spans="1:12">
      <c r="A31" s="17">
        <v>6142</v>
      </c>
      <c r="B31" s="17" t="s">
        <v>102</v>
      </c>
      <c r="C31" s="17"/>
      <c r="D31" s="17">
        <v>5</v>
      </c>
      <c r="E31" s="17" t="s">
        <v>103</v>
      </c>
      <c r="F31" s="17">
        <v>6142</v>
      </c>
      <c r="G31" s="27" t="str">
        <f t="shared" si="0"/>
        <v>pet/pic/6142</v>
      </c>
      <c r="H31" s="27" t="s">
        <v>50</v>
      </c>
      <c r="I31" s="27" t="s">
        <v>104</v>
      </c>
      <c r="J31" s="27">
        <f t="shared" si="1"/>
        <v>0</v>
      </c>
      <c r="K31" s="17">
        <v>51227</v>
      </c>
      <c r="L31" s="27">
        <v>0</v>
      </c>
    </row>
  </sheetData>
  <autoFilter xmlns:etc="http://www.wps.cn/officeDocument/2017/etCustomData" ref="H1:H31" etc:filterBottomFollowUsedRange="0">
    <extLst/>
  </autoFilter>
  <conditionalFormatting sqref="E1:E2">
    <cfRule type="duplicateValues" dxfId="0" priority="1"/>
  </conditionalFormatting>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Q171"/>
  <sheetViews>
    <sheetView tabSelected="1" zoomScale="80" zoomScaleNormal="80" topLeftCell="J5" workbookViewId="0">
      <selection activeCell="R67" sqref="R67"/>
    </sheetView>
  </sheetViews>
  <sheetFormatPr defaultColWidth="9" defaultRowHeight="13.5"/>
  <cols>
    <col min="1" max="1" width="7.5" customWidth="1"/>
    <col min="2" max="2" width="20.625" customWidth="1"/>
    <col min="5" max="5" width="12.375" customWidth="1"/>
    <col min="6" max="6" width="17.5" style="6" customWidth="1"/>
    <col min="7" max="7" width="19.5" customWidth="1"/>
    <col min="8" max="8" width="22.875" customWidth="1"/>
    <col min="9" max="9" width="15.875" customWidth="1"/>
    <col min="10" max="10" width="42.25" customWidth="1"/>
    <col min="11" max="11" width="15.125" customWidth="1"/>
    <col min="12" max="13" width="15" customWidth="1"/>
    <col min="14" max="14" width="12.75" customWidth="1"/>
    <col min="15" max="15" width="10.125" customWidth="1"/>
    <col min="16" max="16" width="9.25" customWidth="1"/>
    <col min="17" max="17" width="8" customWidth="1"/>
    <col min="18" max="18" width="9.25" customWidth="1"/>
    <col min="19" max="20" width="8.75" customWidth="1"/>
    <col min="21" max="21" width="8.5" customWidth="1"/>
    <col min="22" max="22" width="8.75" customWidth="1"/>
    <col min="23" max="23" width="8.5" customWidth="1"/>
    <col min="24" max="24" width="8.75" customWidth="1"/>
    <col min="25" max="25" width="8.5" customWidth="1"/>
    <col min="26" max="26" width="12.625" customWidth="1"/>
    <col min="27" max="27" width="10.375" customWidth="1"/>
    <col min="28" max="29" width="9.375" customWidth="1"/>
    <col min="30" max="30" width="9.25" customWidth="1"/>
    <col min="31" max="31" width="10.875" customWidth="1"/>
    <col min="33" max="33" width="8.25" customWidth="1"/>
    <col min="34" max="34" width="9.25" customWidth="1"/>
    <col min="35" max="37" width="8.25" customWidth="1"/>
    <col min="38" max="38" width="10.875" customWidth="1"/>
    <col min="42" max="42" width="12.625" customWidth="1"/>
    <col min="43" max="43" width="12.5" customWidth="1"/>
  </cols>
  <sheetData>
    <row r="1" ht="27" spans="1:43">
      <c r="A1" s="10" t="s">
        <v>105</v>
      </c>
      <c r="B1" s="10" t="s">
        <v>106</v>
      </c>
      <c r="C1" s="10" t="s">
        <v>107</v>
      </c>
      <c r="D1" s="10" t="s">
        <v>108</v>
      </c>
      <c r="E1" s="10" t="s">
        <v>109</v>
      </c>
      <c r="F1" s="11" t="s">
        <v>110</v>
      </c>
      <c r="G1" s="10" t="s">
        <v>111</v>
      </c>
      <c r="H1" s="10" t="s">
        <v>112</v>
      </c>
      <c r="I1" s="10" t="s">
        <v>113</v>
      </c>
      <c r="J1" s="12" t="s">
        <v>114</v>
      </c>
      <c r="K1" s="10" t="s">
        <v>4</v>
      </c>
      <c r="L1" s="10" t="s">
        <v>115</v>
      </c>
      <c r="M1" s="10" t="s">
        <v>116</v>
      </c>
      <c r="N1" s="10" t="s">
        <v>117</v>
      </c>
      <c r="O1" s="10" t="s">
        <v>118</v>
      </c>
      <c r="P1" s="10" t="s">
        <v>119</v>
      </c>
      <c r="Q1" s="10" t="s">
        <v>120</v>
      </c>
      <c r="R1" s="10" t="s">
        <v>121</v>
      </c>
      <c r="S1" s="10" t="s">
        <v>122</v>
      </c>
      <c r="T1" s="10" t="s">
        <v>123</v>
      </c>
      <c r="U1" s="10" t="s">
        <v>124</v>
      </c>
      <c r="V1" s="10" t="s">
        <v>125</v>
      </c>
      <c r="W1" s="10" t="s">
        <v>126</v>
      </c>
      <c r="X1" s="10" t="s">
        <v>127</v>
      </c>
      <c r="Y1" s="10" t="s">
        <v>128</v>
      </c>
      <c r="Z1" s="10" t="s">
        <v>129</v>
      </c>
      <c r="AA1" s="10" t="s">
        <v>130</v>
      </c>
      <c r="AB1" s="10" t="s">
        <v>131</v>
      </c>
      <c r="AC1" s="10" t="s">
        <v>132</v>
      </c>
      <c r="AD1" s="10" t="s">
        <v>133</v>
      </c>
      <c r="AE1" s="10" t="s">
        <v>134</v>
      </c>
      <c r="AF1" s="10" t="s">
        <v>135</v>
      </c>
      <c r="AG1" s="10" t="s">
        <v>136</v>
      </c>
      <c r="AH1" s="10" t="s">
        <v>137</v>
      </c>
      <c r="AI1" s="10" t="s">
        <v>138</v>
      </c>
      <c r="AJ1" s="10" t="s">
        <v>139</v>
      </c>
      <c r="AK1" s="10" t="s">
        <v>140</v>
      </c>
      <c r="AL1" s="10" t="s">
        <v>134</v>
      </c>
      <c r="AM1" s="10" t="s">
        <v>135</v>
      </c>
      <c r="AN1" s="10" t="s">
        <v>136</v>
      </c>
      <c r="AO1" s="10" t="s">
        <v>141</v>
      </c>
      <c r="AP1" s="10" t="s">
        <v>142</v>
      </c>
      <c r="AQ1" s="10" t="s">
        <v>143</v>
      </c>
    </row>
    <row r="2" spans="1:43">
      <c r="A2" s="13" t="s">
        <v>11</v>
      </c>
      <c r="B2" s="13" t="s">
        <v>13</v>
      </c>
      <c r="C2" s="13" t="s">
        <v>144</v>
      </c>
      <c r="D2" s="13" t="s">
        <v>145</v>
      </c>
      <c r="E2" s="13" t="s">
        <v>146</v>
      </c>
      <c r="F2" s="14" t="s">
        <v>147</v>
      </c>
      <c r="G2" s="13" t="s">
        <v>148</v>
      </c>
      <c r="H2" s="13" t="s">
        <v>149</v>
      </c>
      <c r="I2" s="13" t="s">
        <v>150</v>
      </c>
      <c r="J2" s="13" t="s">
        <v>151</v>
      </c>
      <c r="K2" s="13" t="s">
        <v>152</v>
      </c>
      <c r="L2" s="13" t="s">
        <v>153</v>
      </c>
      <c r="M2" s="13" t="s">
        <v>154</v>
      </c>
      <c r="N2" s="13" t="s">
        <v>155</v>
      </c>
      <c r="O2" s="13" t="s">
        <v>156</v>
      </c>
      <c r="P2" s="13" t="s">
        <v>157</v>
      </c>
      <c r="Q2" s="13" t="s">
        <v>158</v>
      </c>
      <c r="R2" s="13" t="s">
        <v>159</v>
      </c>
      <c r="S2" s="13" t="s">
        <v>160</v>
      </c>
      <c r="T2" s="13" t="s">
        <v>161</v>
      </c>
      <c r="U2" s="13" t="s">
        <v>162</v>
      </c>
      <c r="V2" s="13" t="s">
        <v>163</v>
      </c>
      <c r="W2" s="13" t="s">
        <v>164</v>
      </c>
      <c r="X2" s="13" t="s">
        <v>165</v>
      </c>
      <c r="Y2" s="13" t="s">
        <v>166</v>
      </c>
      <c r="Z2" s="13" t="s">
        <v>167</v>
      </c>
      <c r="AA2" s="13" t="s">
        <v>168</v>
      </c>
      <c r="AB2" s="13" t="s">
        <v>169</v>
      </c>
      <c r="AC2" s="13" t="s">
        <v>170</v>
      </c>
      <c r="AD2" s="13" t="s">
        <v>171</v>
      </c>
      <c r="AE2" s="13" t="s">
        <v>172</v>
      </c>
      <c r="AF2" s="13" t="s">
        <v>173</v>
      </c>
      <c r="AG2" s="13" t="s">
        <v>174</v>
      </c>
      <c r="AH2" s="13" t="s">
        <v>175</v>
      </c>
      <c r="AI2" s="13" t="s">
        <v>176</v>
      </c>
      <c r="AJ2" s="13" t="s">
        <v>177</v>
      </c>
      <c r="AK2" s="13" t="s">
        <v>178</v>
      </c>
      <c r="AL2" s="13" t="s">
        <v>179</v>
      </c>
      <c r="AM2" s="13" t="s">
        <v>180</v>
      </c>
      <c r="AN2" s="13" t="s">
        <v>181</v>
      </c>
      <c r="AO2" s="13" t="s">
        <v>182</v>
      </c>
      <c r="AP2" s="13" t="s">
        <v>183</v>
      </c>
      <c r="AQ2" s="13" t="s">
        <v>184</v>
      </c>
    </row>
    <row r="3" spans="1:43">
      <c r="A3" s="15" t="s">
        <v>22</v>
      </c>
      <c r="B3" s="15" t="s">
        <v>23</v>
      </c>
      <c r="C3" s="15" t="s">
        <v>22</v>
      </c>
      <c r="D3" s="15" t="s">
        <v>22</v>
      </c>
      <c r="E3" s="15" t="s">
        <v>185</v>
      </c>
      <c r="F3" s="14" t="s">
        <v>23</v>
      </c>
      <c r="G3" s="15" t="s">
        <v>186</v>
      </c>
      <c r="H3" s="15" t="s">
        <v>185</v>
      </c>
      <c r="I3" s="15" t="s">
        <v>186</v>
      </c>
      <c r="J3" s="15" t="s">
        <v>185</v>
      </c>
      <c r="K3" s="15" t="s">
        <v>23</v>
      </c>
      <c r="L3" s="15" t="s">
        <v>23</v>
      </c>
      <c r="M3" s="15" t="s">
        <v>23</v>
      </c>
      <c r="N3" s="15" t="s">
        <v>23</v>
      </c>
      <c r="O3" s="15" t="s">
        <v>23</v>
      </c>
      <c r="P3" s="15" t="s">
        <v>23</v>
      </c>
      <c r="Q3" s="15" t="s">
        <v>23</v>
      </c>
      <c r="R3" s="15" t="s">
        <v>23</v>
      </c>
      <c r="S3" s="15" t="s">
        <v>23</v>
      </c>
      <c r="T3" s="15" t="s">
        <v>23</v>
      </c>
      <c r="U3" s="15" t="s">
        <v>23</v>
      </c>
      <c r="V3" s="15" t="s">
        <v>23</v>
      </c>
      <c r="W3" s="15" t="s">
        <v>23</v>
      </c>
      <c r="X3" s="15" t="s">
        <v>23</v>
      </c>
      <c r="Y3" s="15" t="s">
        <v>23</v>
      </c>
      <c r="Z3" s="15" t="s">
        <v>23</v>
      </c>
      <c r="AA3" s="15" t="s">
        <v>23</v>
      </c>
      <c r="AB3" s="15" t="s">
        <v>23</v>
      </c>
      <c r="AC3" s="15" t="s">
        <v>23</v>
      </c>
      <c r="AD3" s="15" t="s">
        <v>23</v>
      </c>
      <c r="AE3" s="15" t="s">
        <v>23</v>
      </c>
      <c r="AF3" s="15" t="s">
        <v>23</v>
      </c>
      <c r="AG3" s="15" t="s">
        <v>23</v>
      </c>
      <c r="AH3" s="15" t="s">
        <v>23</v>
      </c>
      <c r="AI3" s="15" t="s">
        <v>23</v>
      </c>
      <c r="AJ3" s="15" t="s">
        <v>23</v>
      </c>
      <c r="AK3" s="15" t="s">
        <v>23</v>
      </c>
      <c r="AL3" s="15" t="s">
        <v>23</v>
      </c>
      <c r="AM3" s="15" t="s">
        <v>23</v>
      </c>
      <c r="AN3" s="15" t="s">
        <v>23</v>
      </c>
      <c r="AO3" s="15" t="s">
        <v>23</v>
      </c>
      <c r="AP3" s="15" t="s">
        <v>23</v>
      </c>
      <c r="AQ3" s="15" t="s">
        <v>23</v>
      </c>
    </row>
    <row r="4" spans="1:43">
      <c r="A4" s="16">
        <f>C4*10+D4</f>
        <v>60820</v>
      </c>
      <c r="B4" s="17" t="s">
        <v>187</v>
      </c>
      <c r="C4" s="17">
        <v>6082</v>
      </c>
      <c r="D4" s="18">
        <v>0</v>
      </c>
      <c r="E4" s="18" t="str">
        <f>"[["&amp;C4+10000&amp;",1]]"</f>
        <v>[[16082,1]]</v>
      </c>
      <c r="F4" s="14"/>
      <c r="G4" s="18" t="str">
        <f>_xlfn.TEXTJOIN("|",TRUE,AH4:AJ4)</f>
        <v/>
      </c>
      <c r="H4" s="18" t="str">
        <f>IF(R4="","",_xlfn.CONCAT("[",_xlfn.TEXTJOIN(",",TRUE,AL4:AO4),"]"))</f>
        <v/>
      </c>
      <c r="I4" s="18" t="str">
        <f>_xlfn.TEXTJOIN("|",TRUE,AP4:AQ4)</f>
        <v/>
      </c>
      <c r="J4" s="18" t="str">
        <f t="shared" ref="J4:J9" si="0">IF(AB4="","",_xlfn.CONCAT("[",_xlfn.TEXTJOIN(",",TRUE,AE4:AG4),"]"))</f>
        <v>[[10306,0.1],[11010,0.1]]</v>
      </c>
      <c r="K4" t="str">
        <f>_xlfn.XLOOKUP(C4,Pet!A:A,Pet!E:E)</f>
        <v>SR-闪电</v>
      </c>
      <c r="L4" t="s">
        <v>188</v>
      </c>
      <c r="M4">
        <v>0.1</v>
      </c>
      <c r="N4" t="s">
        <v>189</v>
      </c>
      <c r="O4">
        <v>0.1</v>
      </c>
      <c r="AB4">
        <f>IFERROR(IF(L4&lt;&gt;"",_xlfn.XLOOKUP(L4,[1]AttributeName!$C:$C,[1]AttributeName!$B:$B,""),""),"")</f>
        <v>10306</v>
      </c>
      <c r="AC4">
        <f>IFERROR(IF(N4&lt;&gt;"",_xlfn.XLOOKUP(N4,[1]AttributeName!$C:$C,[1]AttributeName!$B:$B,""),""),"")</f>
        <v>11010</v>
      </c>
      <c r="AD4" t="str">
        <f>IFERROR(IF(P4&lt;&gt;"",_xlfn.XLOOKUP(P4,[1]AttributeName!$C:$C,[1]AttributeName!$B:$B,""),""),"")</f>
        <v/>
      </c>
      <c r="AE4" t="str">
        <f t="shared" ref="AE4:AE9" si="1">IF(AB4="","",_xlfn.CONCAT("[",AB4,",",M4,"]"))</f>
        <v>[10306,0.1]</v>
      </c>
      <c r="AF4" t="str">
        <f>IF(AC4="","",_xlfn.CONCAT("[",AC4,",",O4,"]"))</f>
        <v>[11010,0.1]</v>
      </c>
      <c r="AG4" t="str">
        <f>IF(AD4="","",_xlfn.CONCAT("[",AD4,",",Q4,"]"))</f>
        <v/>
      </c>
      <c r="AH4" t="str">
        <f>IFERROR(IF(R4&lt;&gt;"",_xlfn.XLOOKUP(R4,[1]ModifierDes!$B:$B,[1]ModifierDes!$A:$A,""),""),"")</f>
        <v/>
      </c>
      <c r="AI4" t="str">
        <f>IFERROR(IF(T4&lt;&gt;"",_xlfn.XLOOKUP(T4,[1]ModifierDes!$B:$B,[1]ModifierDes!$A:$A,""),""),"")</f>
        <v/>
      </c>
      <c r="AJ4" t="str">
        <f>IFERROR(IF(V4&lt;&gt;"",_xlfn.XLOOKUP(V4,[1]ModifierDes!$B:$B,[1]ModifierDes!$A:$A,""),""),"")</f>
        <v/>
      </c>
      <c r="AK4" t="str">
        <f>IFERROR(IF(X4&lt;&gt;"",_xlfn.XLOOKUP(X4,[1]ModifierDes!$B:$B,[1]ModifierDes!$A:$A,""),""),"")</f>
        <v/>
      </c>
      <c r="AL4" t="str">
        <f t="shared" ref="AL4:AL9" si="2">IF(S4="","",_xlfn.CONCAT("[",S4,"]"))</f>
        <v/>
      </c>
      <c r="AM4" t="str">
        <f t="shared" ref="AM4:AM9" si="3">IF(U4="","",_xlfn.CONCAT("[",U4,"]"))</f>
        <v/>
      </c>
      <c r="AN4" t="str">
        <f t="shared" ref="AN4:AN9" si="4">IF(W4="","",_xlfn.CONCAT("[",W4,"]"))</f>
        <v/>
      </c>
      <c r="AO4" t="str">
        <f>IF(Y4="","",_xlfn.CONCAT("[",Y4,"]"))</f>
        <v/>
      </c>
      <c r="AP4" t="str">
        <f>IFERROR(IF(Z4&lt;&gt;"",_xlfn.XLOOKUP(Z4,[1]StuntDes!$B:$B,[1]StuntDes!$A:$A,""),""),"")</f>
        <v/>
      </c>
      <c r="AQ4" t="str">
        <f>IFERROR(IF(AA4&lt;&gt;"",_xlfn.XLOOKUP(AA4,[1]StuntDes!$B:$B,[1]StuntDes!$A:$A,""),""),"")</f>
        <v/>
      </c>
    </row>
    <row r="5" spans="1:43">
      <c r="A5" s="16">
        <f t="shared" ref="A5:A36" si="5">C5*10+D5</f>
        <v>60821</v>
      </c>
      <c r="B5" s="17" t="s">
        <v>190</v>
      </c>
      <c r="C5" s="17">
        <v>6082</v>
      </c>
      <c r="D5" s="18">
        <v>1</v>
      </c>
      <c r="E5" s="18" t="str">
        <f t="shared" ref="E5:E14" si="6">"[["&amp;C5+10000&amp;",1]]"</f>
        <v>[[16082,1]]</v>
      </c>
      <c r="F5" s="14"/>
      <c r="G5" s="18" t="str">
        <f t="shared" ref="G4:G9" si="7">_xlfn.TEXTJOIN("|",TRUE,AH5:AJ5)</f>
        <v/>
      </c>
      <c r="H5" s="18" t="str">
        <f t="shared" ref="H5:H36" si="8">IF(R5="","",_xlfn.CONCAT("[",_xlfn.TEXTJOIN(",",TRUE,AL5:AO5),"]"))</f>
        <v/>
      </c>
      <c r="I5" s="18" t="str">
        <f t="shared" ref="I5:I14" si="9">_xlfn.TEXTJOIN("|",TRUE,AP5:AQ5)</f>
        <v/>
      </c>
      <c r="J5" s="18" t="str">
        <f t="shared" si="0"/>
        <v>[[10306,0.25],[11010,0.1]]</v>
      </c>
      <c r="K5" t="str">
        <f>_xlfn.XLOOKUP(C5,Pet!A:A,Pet!E:E)</f>
        <v>SR-闪电</v>
      </c>
      <c r="L5" t="s">
        <v>188</v>
      </c>
      <c r="M5">
        <v>0.25</v>
      </c>
      <c r="N5" t="s">
        <v>189</v>
      </c>
      <c r="O5">
        <v>0.1</v>
      </c>
      <c r="AB5">
        <f>IFERROR(IF(L5&lt;&gt;"",_xlfn.XLOOKUP(L5,[1]AttributeName!$C:$C,[1]AttributeName!$B:$B,""),""),"")</f>
        <v>10306</v>
      </c>
      <c r="AC5">
        <f>IFERROR(IF(N5&lt;&gt;"",_xlfn.XLOOKUP(N5,[1]AttributeName!$C:$C,[1]AttributeName!$B:$B,""),""),"")</f>
        <v>11010</v>
      </c>
      <c r="AD5" t="str">
        <f>IFERROR(IF(P5&lt;&gt;"",_xlfn.XLOOKUP(P5,[1]AttributeName!$C:$C,[1]AttributeName!$B:$B,""),""),"")</f>
        <v/>
      </c>
      <c r="AE5" t="str">
        <f t="shared" si="1"/>
        <v>[10306,0.25]</v>
      </c>
      <c r="AF5" t="str">
        <f t="shared" ref="AF5:AF13" si="10">IF(AC5="","",_xlfn.CONCAT("[",AC5,",",O5,"]"))</f>
        <v>[11010,0.1]</v>
      </c>
      <c r="AG5" t="str">
        <f t="shared" ref="AG5:AG13" si="11">IF(AD5="","",_xlfn.CONCAT("[",AD5,",",Q5,"]"))</f>
        <v/>
      </c>
      <c r="AH5" t="str">
        <f>IFERROR(IF(R5&lt;&gt;"",_xlfn.XLOOKUP(R5,[1]ModifierDes!$B:$B,[1]ModifierDes!$A:$A,""),""),"")</f>
        <v/>
      </c>
      <c r="AI5" t="str">
        <f>IFERROR(IF(T5&lt;&gt;"",_xlfn.XLOOKUP(T5,[1]ModifierDes!$B:$B,[1]ModifierDes!$A:$A,""),""),"")</f>
        <v/>
      </c>
      <c r="AJ5" t="str">
        <f>IFERROR(IF(V5&lt;&gt;"",_xlfn.XLOOKUP(V5,[1]ModifierDes!$B:$B,[1]ModifierDes!$A:$A,""),""),"")</f>
        <v/>
      </c>
      <c r="AK5" t="str">
        <f>IFERROR(IF(X5&lt;&gt;"",_xlfn.XLOOKUP(X5,[1]ModifierDes!$B:$B,[1]ModifierDes!$A:$A,""),""),"")</f>
        <v/>
      </c>
      <c r="AL5" t="str">
        <f t="shared" si="2"/>
        <v/>
      </c>
      <c r="AM5" t="str">
        <f t="shared" si="3"/>
        <v/>
      </c>
      <c r="AN5" t="str">
        <f t="shared" si="4"/>
        <v/>
      </c>
      <c r="AO5" t="str">
        <f t="shared" ref="AO5:AO36" si="12">IF(Y5="","",_xlfn.CONCAT("[",Y5,"]"))</f>
        <v/>
      </c>
      <c r="AP5" t="str">
        <f>IFERROR(IF(Z5&lt;&gt;"",_xlfn.XLOOKUP(Z5,[1]StuntDes!$B:$B,[1]StuntDes!$A:$A,""),""),"")</f>
        <v/>
      </c>
      <c r="AQ5" t="str">
        <f>IFERROR(IF(AA5&lt;&gt;"",_xlfn.XLOOKUP(AA5,[1]StuntDes!$B:$B,[1]StuntDes!$A:$A,""),""),"")</f>
        <v/>
      </c>
    </row>
    <row r="6" spans="1:43">
      <c r="A6" s="16">
        <f t="shared" si="5"/>
        <v>60822</v>
      </c>
      <c r="B6" s="17" t="s">
        <v>191</v>
      </c>
      <c r="C6" s="17">
        <v>6082</v>
      </c>
      <c r="D6" s="18">
        <v>2</v>
      </c>
      <c r="E6" s="18" t="str">
        <f t="shared" si="6"/>
        <v>[[16082,1]]</v>
      </c>
      <c r="F6" s="14"/>
      <c r="G6" s="18" t="str">
        <f t="shared" si="7"/>
        <v/>
      </c>
      <c r="H6" s="18" t="str">
        <f t="shared" si="8"/>
        <v/>
      </c>
      <c r="I6" s="18" t="str">
        <f t="shared" si="9"/>
        <v/>
      </c>
      <c r="J6" s="18" t="str">
        <f t="shared" si="0"/>
        <v>[[10306,0.25],[11010,0.3]]</v>
      </c>
      <c r="K6" t="str">
        <f>_xlfn.XLOOKUP(C6,Pet!A:A,Pet!E:E)</f>
        <v>SR-闪电</v>
      </c>
      <c r="L6" t="s">
        <v>188</v>
      </c>
      <c r="M6">
        <v>0.25</v>
      </c>
      <c r="N6" t="s">
        <v>189</v>
      </c>
      <c r="O6">
        <v>0.3</v>
      </c>
      <c r="AB6">
        <f>IFERROR(IF(L6&lt;&gt;"",_xlfn.XLOOKUP(L6,[1]AttributeName!$C:$C,[1]AttributeName!$B:$B,""),""),"")</f>
        <v>10306</v>
      </c>
      <c r="AC6">
        <f>IFERROR(IF(N6&lt;&gt;"",_xlfn.XLOOKUP(N6,[1]AttributeName!$C:$C,[1]AttributeName!$B:$B,""),""),"")</f>
        <v>11010</v>
      </c>
      <c r="AD6" t="str">
        <f>IFERROR(IF(P6&lt;&gt;"",_xlfn.XLOOKUP(P6,[1]AttributeName!$C:$C,[1]AttributeName!$B:$B,""),""),"")</f>
        <v/>
      </c>
      <c r="AE6" t="str">
        <f t="shared" si="1"/>
        <v>[10306,0.25]</v>
      </c>
      <c r="AF6" t="str">
        <f t="shared" si="10"/>
        <v>[11010,0.3]</v>
      </c>
      <c r="AG6" t="str">
        <f t="shared" si="11"/>
        <v/>
      </c>
      <c r="AH6" t="str">
        <f>IFERROR(IF(R6&lt;&gt;"",_xlfn.XLOOKUP(R6,[1]ModifierDes!$B:$B,[1]ModifierDes!$A:$A,""),""),"")</f>
        <v/>
      </c>
      <c r="AI6" t="str">
        <f>IFERROR(IF(T6&lt;&gt;"",_xlfn.XLOOKUP(T6,[1]ModifierDes!$B:$B,[1]ModifierDes!$A:$A,""),""),"")</f>
        <v/>
      </c>
      <c r="AJ6" t="str">
        <f>IFERROR(IF(V6&lt;&gt;"",_xlfn.XLOOKUP(V6,[1]ModifierDes!$B:$B,[1]ModifierDes!$A:$A,""),""),"")</f>
        <v/>
      </c>
      <c r="AK6" t="str">
        <f>IFERROR(IF(X6&lt;&gt;"",_xlfn.XLOOKUP(X6,[1]ModifierDes!$B:$B,[1]ModifierDes!$A:$A,""),""),"")</f>
        <v/>
      </c>
      <c r="AL6" t="str">
        <f t="shared" si="2"/>
        <v/>
      </c>
      <c r="AM6" t="str">
        <f t="shared" si="3"/>
        <v/>
      </c>
      <c r="AN6" t="str">
        <f t="shared" si="4"/>
        <v/>
      </c>
      <c r="AO6" t="str">
        <f t="shared" si="12"/>
        <v/>
      </c>
      <c r="AP6" t="str">
        <f>IFERROR(IF(Z6&lt;&gt;"",_xlfn.XLOOKUP(Z6,[1]StuntDes!$B:$B,[1]StuntDes!$A:$A,""),""),"")</f>
        <v/>
      </c>
      <c r="AQ6" t="str">
        <f>IFERROR(IF(AA6&lt;&gt;"",_xlfn.XLOOKUP(AA6,[1]StuntDes!$B:$B,[1]StuntDes!$A:$A,""),""),"")</f>
        <v/>
      </c>
    </row>
    <row r="7" spans="1:43">
      <c r="A7" s="16">
        <f t="shared" si="5"/>
        <v>60823</v>
      </c>
      <c r="B7" s="17" t="s">
        <v>192</v>
      </c>
      <c r="C7" s="17">
        <v>6082</v>
      </c>
      <c r="D7" s="18">
        <v>3</v>
      </c>
      <c r="E7" s="18" t="str">
        <f t="shared" si="6"/>
        <v>[[16082,1]]</v>
      </c>
      <c r="F7" s="14"/>
      <c r="G7" s="18" t="str">
        <f t="shared" si="7"/>
        <v/>
      </c>
      <c r="H7" s="18" t="str">
        <f t="shared" si="8"/>
        <v/>
      </c>
      <c r="I7" s="18" t="str">
        <f t="shared" si="9"/>
        <v/>
      </c>
      <c r="J7" s="18" t="str">
        <f t="shared" si="0"/>
        <v>[[10306,0.25],[11010,0.3],[10300,0.12]]</v>
      </c>
      <c r="K7" t="str">
        <f>_xlfn.XLOOKUP(C7,Pet!A:A,Pet!E:E)</f>
        <v>SR-闪电</v>
      </c>
      <c r="L7" t="s">
        <v>188</v>
      </c>
      <c r="M7">
        <v>0.25</v>
      </c>
      <c r="N7" t="s">
        <v>189</v>
      </c>
      <c r="O7">
        <v>0.3</v>
      </c>
      <c r="P7" t="s">
        <v>193</v>
      </c>
      <c r="Q7">
        <v>0.12</v>
      </c>
      <c r="AB7">
        <f>IFERROR(IF(L7&lt;&gt;"",_xlfn.XLOOKUP(L7,[1]AttributeName!$C:$C,[1]AttributeName!$B:$B,""),""),"")</f>
        <v>10306</v>
      </c>
      <c r="AC7">
        <f>IFERROR(IF(N7&lt;&gt;"",_xlfn.XLOOKUP(N7,[1]AttributeName!$C:$C,[1]AttributeName!$B:$B,""),""),"")</f>
        <v>11010</v>
      </c>
      <c r="AD7">
        <f>IFERROR(IF(P7&lt;&gt;"",_xlfn.XLOOKUP(P7,[1]AttributeName!$C:$C,[1]AttributeName!$B:$B,""),""),"")</f>
        <v>10300</v>
      </c>
      <c r="AE7" t="str">
        <f t="shared" si="1"/>
        <v>[10306,0.25]</v>
      </c>
      <c r="AF7" t="str">
        <f t="shared" si="10"/>
        <v>[11010,0.3]</v>
      </c>
      <c r="AG7" t="str">
        <f t="shared" si="11"/>
        <v>[10300,0.12]</v>
      </c>
      <c r="AH7" t="str">
        <f>IFERROR(IF(R7&lt;&gt;"",_xlfn.XLOOKUP(R7,[1]ModifierDes!$B:$B,[1]ModifierDes!$A:$A,""),""),"")</f>
        <v/>
      </c>
      <c r="AI7" t="str">
        <f>IFERROR(IF(T7&lt;&gt;"",_xlfn.XLOOKUP(T7,[1]ModifierDes!$B:$B,[1]ModifierDes!$A:$A,""),""),"")</f>
        <v/>
      </c>
      <c r="AJ7" t="str">
        <f>IFERROR(IF(V7&lt;&gt;"",_xlfn.XLOOKUP(V7,[1]ModifierDes!$B:$B,[1]ModifierDes!$A:$A,""),""),"")</f>
        <v/>
      </c>
      <c r="AK7" t="str">
        <f>IFERROR(IF(X7&lt;&gt;"",_xlfn.XLOOKUP(X7,[1]ModifierDes!$B:$B,[1]ModifierDes!$A:$A,""),""),"")</f>
        <v/>
      </c>
      <c r="AL7" t="str">
        <f t="shared" si="2"/>
        <v/>
      </c>
      <c r="AM7" t="str">
        <f t="shared" si="3"/>
        <v/>
      </c>
      <c r="AN7" t="str">
        <f t="shared" si="4"/>
        <v/>
      </c>
      <c r="AO7" t="str">
        <f t="shared" si="12"/>
        <v/>
      </c>
      <c r="AP7" t="str">
        <f>IFERROR(IF(Z7&lt;&gt;"",_xlfn.XLOOKUP(Z7,[1]StuntDes!$B:$B,[1]StuntDes!$A:$A,""),""),"")</f>
        <v/>
      </c>
      <c r="AQ7" t="str">
        <f>IFERROR(IF(AA7&lt;&gt;"",_xlfn.XLOOKUP(AA7,[1]StuntDes!$B:$B,[1]StuntDes!$A:$A,""),""),"")</f>
        <v/>
      </c>
    </row>
    <row r="8" spans="1:43">
      <c r="A8" s="16">
        <f t="shared" si="5"/>
        <v>60824</v>
      </c>
      <c r="B8" s="17" t="s">
        <v>194</v>
      </c>
      <c r="C8" s="17">
        <v>6082</v>
      </c>
      <c r="D8" s="18">
        <v>4</v>
      </c>
      <c r="E8" s="18" t="str">
        <f t="shared" si="6"/>
        <v>[[16082,1]]</v>
      </c>
      <c r="F8" s="14"/>
      <c r="G8" s="18" t="str">
        <f t="shared" si="7"/>
        <v/>
      </c>
      <c r="H8" s="18" t="str">
        <f t="shared" si="8"/>
        <v/>
      </c>
      <c r="I8" s="18" t="str">
        <f t="shared" si="9"/>
        <v/>
      </c>
      <c r="J8" s="18" t="str">
        <f t="shared" si="0"/>
        <v>[[10306,0.39],[11010,0.3],[10300,0.12]]</v>
      </c>
      <c r="K8" t="str">
        <f>_xlfn.XLOOKUP(C8,Pet!A:A,Pet!E:E)</f>
        <v>SR-闪电</v>
      </c>
      <c r="L8" t="s">
        <v>188</v>
      </c>
      <c r="M8">
        <v>0.39</v>
      </c>
      <c r="N8" t="s">
        <v>189</v>
      </c>
      <c r="O8">
        <v>0.3</v>
      </c>
      <c r="P8" t="s">
        <v>193</v>
      </c>
      <c r="Q8">
        <v>0.12</v>
      </c>
      <c r="AB8">
        <f>IFERROR(IF(L8&lt;&gt;"",_xlfn.XLOOKUP(L8,[1]AttributeName!$C:$C,[1]AttributeName!$B:$B,""),""),"")</f>
        <v>10306</v>
      </c>
      <c r="AC8">
        <f>IFERROR(IF(N8&lt;&gt;"",_xlfn.XLOOKUP(N8,[1]AttributeName!$C:$C,[1]AttributeName!$B:$B,""),""),"")</f>
        <v>11010</v>
      </c>
      <c r="AD8">
        <f>IFERROR(IF(P8&lt;&gt;"",_xlfn.XLOOKUP(P8,[1]AttributeName!$C:$C,[1]AttributeName!$B:$B,""),""),"")</f>
        <v>10300</v>
      </c>
      <c r="AE8" t="str">
        <f t="shared" si="1"/>
        <v>[10306,0.39]</v>
      </c>
      <c r="AF8" t="str">
        <f t="shared" si="10"/>
        <v>[11010,0.3]</v>
      </c>
      <c r="AG8" t="str">
        <f t="shared" si="11"/>
        <v>[10300,0.12]</v>
      </c>
      <c r="AH8" t="str">
        <f>IFERROR(IF(R8&lt;&gt;"",_xlfn.XLOOKUP(R8,[1]ModifierDes!$B:$B,[1]ModifierDes!$A:$A,""),""),"")</f>
        <v/>
      </c>
      <c r="AI8" t="str">
        <f>IFERROR(IF(T8&lt;&gt;"",_xlfn.XLOOKUP(T8,[1]ModifierDes!$B:$B,[1]ModifierDes!$A:$A,""),""),"")</f>
        <v/>
      </c>
      <c r="AJ8" t="str">
        <f>IFERROR(IF(V8&lt;&gt;"",_xlfn.XLOOKUP(V8,[1]ModifierDes!$B:$B,[1]ModifierDes!$A:$A,""),""),"")</f>
        <v/>
      </c>
      <c r="AK8" t="str">
        <f>IFERROR(IF(X8&lt;&gt;"",_xlfn.XLOOKUP(X8,[1]ModifierDes!$B:$B,[1]ModifierDes!$A:$A,""),""),"")</f>
        <v/>
      </c>
      <c r="AL8" t="str">
        <f t="shared" si="2"/>
        <v/>
      </c>
      <c r="AM8" t="str">
        <f t="shared" si="3"/>
        <v/>
      </c>
      <c r="AN8" t="str">
        <f t="shared" si="4"/>
        <v/>
      </c>
      <c r="AO8" t="str">
        <f t="shared" si="12"/>
        <v/>
      </c>
      <c r="AP8" t="str">
        <f>IFERROR(IF(Z8&lt;&gt;"",_xlfn.XLOOKUP(Z8,[1]StuntDes!$B:$B,[1]StuntDes!$A:$A,""),""),"")</f>
        <v/>
      </c>
      <c r="AQ8" t="str">
        <f>IFERROR(IF(AA8&lt;&gt;"",_xlfn.XLOOKUP(AA8,[1]StuntDes!$B:$B,[1]StuntDes!$A:$A,""),""),"")</f>
        <v/>
      </c>
    </row>
    <row r="9" spans="1:43">
      <c r="A9" s="16">
        <f t="shared" si="5"/>
        <v>60825</v>
      </c>
      <c r="B9" s="17" t="s">
        <v>195</v>
      </c>
      <c r="C9" s="17">
        <v>6082</v>
      </c>
      <c r="D9" s="18">
        <v>5</v>
      </c>
      <c r="E9" s="18"/>
      <c r="F9" s="14"/>
      <c r="G9" s="18" t="str">
        <f t="shared" si="7"/>
        <v/>
      </c>
      <c r="H9" s="18" t="str">
        <f t="shared" si="8"/>
        <v/>
      </c>
      <c r="I9" s="18" t="str">
        <f t="shared" si="9"/>
        <v/>
      </c>
      <c r="J9" s="18" t="str">
        <f t="shared" si="0"/>
        <v>[[10306,0.39],[11010,0.62],[10300,0.12]]</v>
      </c>
      <c r="K9" t="str">
        <f>_xlfn.XLOOKUP(C9,Pet!A:A,Pet!E:E)</f>
        <v>SR-闪电</v>
      </c>
      <c r="L9" t="s">
        <v>188</v>
      </c>
      <c r="M9">
        <v>0.39</v>
      </c>
      <c r="N9" t="s">
        <v>189</v>
      </c>
      <c r="O9">
        <v>0.62</v>
      </c>
      <c r="P9" t="s">
        <v>193</v>
      </c>
      <c r="Q9">
        <v>0.12</v>
      </c>
      <c r="AB9">
        <f>IFERROR(IF(L9&lt;&gt;"",_xlfn.XLOOKUP(L9,[1]AttributeName!$C:$C,[1]AttributeName!$B:$B,""),""),"")</f>
        <v>10306</v>
      </c>
      <c r="AC9">
        <f>IFERROR(IF(N9&lt;&gt;"",_xlfn.XLOOKUP(N9,[1]AttributeName!$C:$C,[1]AttributeName!$B:$B,""),""),"")</f>
        <v>11010</v>
      </c>
      <c r="AD9">
        <f>IFERROR(IF(P9&lt;&gt;"",_xlfn.XLOOKUP(P9,[1]AttributeName!$C:$C,[1]AttributeName!$B:$B,""),""),"")</f>
        <v>10300</v>
      </c>
      <c r="AE9" t="str">
        <f t="shared" si="1"/>
        <v>[10306,0.39]</v>
      </c>
      <c r="AF9" t="str">
        <f t="shared" si="10"/>
        <v>[11010,0.62]</v>
      </c>
      <c r="AG9" t="str">
        <f t="shared" si="11"/>
        <v>[10300,0.12]</v>
      </c>
      <c r="AH9" t="str">
        <f>IFERROR(IF(R9&lt;&gt;"",_xlfn.XLOOKUP(R9,[1]ModifierDes!$B:$B,[1]ModifierDes!$A:$A,""),""),"")</f>
        <v/>
      </c>
      <c r="AI9" t="str">
        <f>IFERROR(IF(T9&lt;&gt;"",_xlfn.XLOOKUP(T9,[1]ModifierDes!$B:$B,[1]ModifierDes!$A:$A,""),""),"")</f>
        <v/>
      </c>
      <c r="AJ9" t="str">
        <f>IFERROR(IF(V9&lt;&gt;"",_xlfn.XLOOKUP(V9,[1]ModifierDes!$B:$B,[1]ModifierDes!$A:$A,""),""),"")</f>
        <v/>
      </c>
      <c r="AK9" t="str">
        <f>IFERROR(IF(X9&lt;&gt;"",_xlfn.XLOOKUP(X9,[1]ModifierDes!$B:$B,[1]ModifierDes!$A:$A,""),""),"")</f>
        <v/>
      </c>
      <c r="AL9" t="str">
        <f t="shared" si="2"/>
        <v/>
      </c>
      <c r="AM9" t="str">
        <f t="shared" si="3"/>
        <v/>
      </c>
      <c r="AN9" t="str">
        <f t="shared" si="4"/>
        <v/>
      </c>
      <c r="AO9" t="str">
        <f t="shared" si="12"/>
        <v/>
      </c>
      <c r="AP9" t="str">
        <f>IFERROR(IF(Z9&lt;&gt;"",_xlfn.XLOOKUP(Z9,[1]StuntDes!$B:$B,[1]StuntDes!$A:$A,""),""),"")</f>
        <v/>
      </c>
      <c r="AQ9" t="str">
        <f>IFERROR(IF(AA9&lt;&gt;"",_xlfn.XLOOKUP(AA9,[1]StuntDes!$B:$B,[1]StuntDes!$A:$A,""),""),"")</f>
        <v/>
      </c>
    </row>
    <row r="10" spans="1:43">
      <c r="A10" s="16">
        <f t="shared" si="5"/>
        <v>60220</v>
      </c>
      <c r="B10" s="17" t="s">
        <v>196</v>
      </c>
      <c r="C10" s="17">
        <v>6022</v>
      </c>
      <c r="D10" s="18">
        <v>0</v>
      </c>
      <c r="E10" s="18" t="str">
        <f t="shared" si="6"/>
        <v>[[16022,1]]</v>
      </c>
      <c r="F10" s="14"/>
      <c r="G10" s="18" t="str">
        <f t="shared" ref="G10:G41" si="13">_xlfn.TEXTJOIN("|",TRUE,AH10:AJ10)</f>
        <v>10124</v>
      </c>
      <c r="H10" s="18" t="str">
        <f t="shared" si="8"/>
        <v>[[0.1]]</v>
      </c>
      <c r="I10" s="18" t="str">
        <f t="shared" ref="I10:I41" si="14">_xlfn.TEXTJOIN("|",TRUE,AP10:AQ10)</f>
        <v/>
      </c>
      <c r="J10" s="18" t="str">
        <f t="shared" ref="J10:J41" si="15">IF(AB10="","",_xlfn.CONCAT("[",_xlfn.TEXTJOIN(",",TRUE,AE10:AG10),"]"))</f>
        <v>[[10303,0.05]]</v>
      </c>
      <c r="K10" t="str">
        <f>_xlfn.XLOOKUP(C10,Pet!A:A,Pet!E:E)</f>
        <v>SSR-物理</v>
      </c>
      <c r="L10" t="s">
        <v>197</v>
      </c>
      <c r="M10">
        <v>0.05</v>
      </c>
      <c r="R10" t="s">
        <v>198</v>
      </c>
      <c r="S10">
        <v>0.1</v>
      </c>
      <c r="AB10">
        <f>IFERROR(IF(L10&lt;&gt;"",_xlfn.XLOOKUP(L10,[1]AttributeName!$C:$C,[1]AttributeName!$B:$B,""),""),"")</f>
        <v>10303</v>
      </c>
      <c r="AC10" t="str">
        <f>IFERROR(IF(N10&lt;&gt;"",_xlfn.XLOOKUP(N10,[1]AttributeName!$C:$C,[1]AttributeName!$B:$B,""),""),"")</f>
        <v/>
      </c>
      <c r="AD10" t="str">
        <f>IFERROR(IF(P10&lt;&gt;"",_xlfn.XLOOKUP(P10,[1]AttributeName!$C:$C,[1]AttributeName!$B:$B,""),""),"")</f>
        <v/>
      </c>
      <c r="AE10" t="str">
        <f t="shared" ref="AE10:AE41" si="16">IF(AB10="","",_xlfn.CONCAT("[",AB10,",",M10,"]"))</f>
        <v>[10303,0.05]</v>
      </c>
      <c r="AF10" t="str">
        <f t="shared" si="10"/>
        <v/>
      </c>
      <c r="AG10" t="str">
        <f t="shared" si="11"/>
        <v/>
      </c>
      <c r="AH10">
        <f>IFERROR(IF(R10&lt;&gt;"",_xlfn.XLOOKUP(R10,[1]ModifierDes!$B:$B,[1]ModifierDes!$A:$A,""),""),"")</f>
        <v>10124</v>
      </c>
      <c r="AI10" t="str">
        <f>IFERROR(IF(T10&lt;&gt;"",_xlfn.XLOOKUP(T10,[1]ModifierDes!$B:$B,[1]ModifierDes!$A:$A,""),""),"")</f>
        <v/>
      </c>
      <c r="AJ10" t="str">
        <f>IFERROR(IF(V10&lt;&gt;"",_xlfn.XLOOKUP(V10,[1]ModifierDes!$B:$B,[1]ModifierDes!$A:$A,""),""),"")</f>
        <v/>
      </c>
      <c r="AK10" t="str">
        <f>IFERROR(IF(X10&lt;&gt;"",_xlfn.XLOOKUP(X10,[1]ModifierDes!$B:$B,[1]ModifierDes!$A:$A,""),""),"")</f>
        <v/>
      </c>
      <c r="AL10" t="str">
        <f t="shared" ref="AL10:AL41" si="17">IF(S10="","",_xlfn.CONCAT("[",S10,"]"))</f>
        <v>[0.1]</v>
      </c>
      <c r="AM10" t="str">
        <f t="shared" ref="AM10:AM41" si="18">IF(U10="","",_xlfn.CONCAT("[",U10,"]"))</f>
        <v/>
      </c>
      <c r="AN10" t="str">
        <f t="shared" ref="AN10:AN41" si="19">IF(W10="","",_xlfn.CONCAT("[",W10,"]"))</f>
        <v/>
      </c>
      <c r="AO10" t="str">
        <f t="shared" si="12"/>
        <v/>
      </c>
      <c r="AP10" t="str">
        <f>IFERROR(IF(Z10&lt;&gt;"",_xlfn.XLOOKUP(Z10,[1]StuntDes!$B:$B,[1]StuntDes!$A:$A,""),""),"")</f>
        <v/>
      </c>
      <c r="AQ10" t="str">
        <f>IFERROR(IF(AA10&lt;&gt;"",_xlfn.XLOOKUP(AA10,[1]StuntDes!$B:$B,[1]StuntDes!$A:$A,""),""),"")</f>
        <v/>
      </c>
    </row>
    <row r="11" spans="1:43">
      <c r="A11" s="16">
        <f t="shared" si="5"/>
        <v>60221</v>
      </c>
      <c r="B11" s="17" t="s">
        <v>199</v>
      </c>
      <c r="C11" s="17">
        <v>6022</v>
      </c>
      <c r="D11" s="18">
        <v>1</v>
      </c>
      <c r="E11" s="18" t="str">
        <f t="shared" si="6"/>
        <v>[[16022,1]]</v>
      </c>
      <c r="F11" s="14"/>
      <c r="G11" s="18" t="str">
        <f t="shared" si="13"/>
        <v>10124</v>
      </c>
      <c r="H11" s="18" t="str">
        <f t="shared" si="8"/>
        <v>[[0.15]]</v>
      </c>
      <c r="I11" s="18" t="str">
        <f t="shared" si="14"/>
        <v/>
      </c>
      <c r="J11" s="18" t="str">
        <f t="shared" si="15"/>
        <v>[[10303,0.05],[11055,0.1]]</v>
      </c>
      <c r="K11" t="str">
        <f>_xlfn.XLOOKUP(C11,Pet!A:A,Pet!E:E)</f>
        <v>SSR-物理</v>
      </c>
      <c r="L11" t="s">
        <v>197</v>
      </c>
      <c r="M11">
        <v>0.05</v>
      </c>
      <c r="N11" t="s">
        <v>200</v>
      </c>
      <c r="O11">
        <v>0.1</v>
      </c>
      <c r="R11" t="s">
        <v>198</v>
      </c>
      <c r="S11">
        <v>0.15</v>
      </c>
      <c r="AB11">
        <f>IFERROR(IF(L11&lt;&gt;"",_xlfn.XLOOKUP(L11,[1]AttributeName!$C:$C,[1]AttributeName!$B:$B,""),""),"")</f>
        <v>10303</v>
      </c>
      <c r="AC11">
        <f>IFERROR(IF(N11&lt;&gt;"",_xlfn.XLOOKUP(N11,[1]AttributeName!$C:$C,[1]AttributeName!$B:$B,""),""),"")</f>
        <v>11055</v>
      </c>
      <c r="AD11" t="str">
        <f>IFERROR(IF(P11&lt;&gt;"",_xlfn.XLOOKUP(P11,[1]AttributeName!$C:$C,[1]AttributeName!$B:$B,""),""),"")</f>
        <v/>
      </c>
      <c r="AE11" t="str">
        <f t="shared" si="16"/>
        <v>[10303,0.05]</v>
      </c>
      <c r="AF11" t="str">
        <f t="shared" si="10"/>
        <v>[11055,0.1]</v>
      </c>
      <c r="AG11" t="str">
        <f t="shared" si="11"/>
        <v/>
      </c>
      <c r="AH11">
        <f>IFERROR(IF(R11&lt;&gt;"",_xlfn.XLOOKUP(R11,[1]ModifierDes!$B:$B,[1]ModifierDes!$A:$A,""),""),"")</f>
        <v>10124</v>
      </c>
      <c r="AI11" t="str">
        <f>IFERROR(IF(T11&lt;&gt;"",_xlfn.XLOOKUP(T11,[1]ModifierDes!$B:$B,[1]ModifierDes!$A:$A,""),""),"")</f>
        <v/>
      </c>
      <c r="AJ11" t="str">
        <f>IFERROR(IF(V11&lt;&gt;"",_xlfn.XLOOKUP(V11,[1]ModifierDes!$B:$B,[1]ModifierDes!$A:$A,""),""),"")</f>
        <v/>
      </c>
      <c r="AK11" t="str">
        <f>IFERROR(IF(X11&lt;&gt;"",_xlfn.XLOOKUP(X11,[1]ModifierDes!$B:$B,[1]ModifierDes!$A:$A,""),""),"")</f>
        <v/>
      </c>
      <c r="AL11" t="str">
        <f t="shared" si="17"/>
        <v>[0.15]</v>
      </c>
      <c r="AM11" t="str">
        <f t="shared" si="18"/>
        <v/>
      </c>
      <c r="AN11" t="str">
        <f t="shared" si="19"/>
        <v/>
      </c>
      <c r="AO11" t="str">
        <f t="shared" si="12"/>
        <v/>
      </c>
      <c r="AP11" t="str">
        <f>IFERROR(IF(Z11&lt;&gt;"",_xlfn.XLOOKUP(Z11,[1]StuntDes!$B:$B,[1]StuntDes!$A:$A,""),""),"")</f>
        <v/>
      </c>
      <c r="AQ11" t="str">
        <f>IFERROR(IF(AA11&lt;&gt;"",_xlfn.XLOOKUP(AA11,[1]StuntDes!$B:$B,[1]StuntDes!$A:$A,""),""),"")</f>
        <v/>
      </c>
    </row>
    <row r="12" spans="1:43">
      <c r="A12" s="16">
        <f t="shared" si="5"/>
        <v>60222</v>
      </c>
      <c r="B12" s="17" t="s">
        <v>201</v>
      </c>
      <c r="C12" s="17">
        <v>6022</v>
      </c>
      <c r="D12" s="18">
        <v>2</v>
      </c>
      <c r="E12" s="18" t="str">
        <f t="shared" si="6"/>
        <v>[[16022,1]]</v>
      </c>
      <c r="F12" s="14"/>
      <c r="G12" s="18" t="str">
        <f t="shared" si="13"/>
        <v>10124</v>
      </c>
      <c r="H12" s="18" t="str">
        <f t="shared" si="8"/>
        <v>[[0.2]]</v>
      </c>
      <c r="I12" s="18" t="str">
        <f t="shared" si="14"/>
        <v/>
      </c>
      <c r="J12" s="18" t="str">
        <f t="shared" si="15"/>
        <v>[[10303,0.1],[11055,0.1]]</v>
      </c>
      <c r="K12" t="str">
        <f>_xlfn.XLOOKUP(C12,Pet!A:A,Pet!E:E)</f>
        <v>SSR-物理</v>
      </c>
      <c r="L12" t="s">
        <v>197</v>
      </c>
      <c r="M12">
        <v>0.1</v>
      </c>
      <c r="N12" t="s">
        <v>200</v>
      </c>
      <c r="O12">
        <v>0.1</v>
      </c>
      <c r="R12" t="s">
        <v>198</v>
      </c>
      <c r="S12">
        <v>0.2</v>
      </c>
      <c r="AB12">
        <f>IFERROR(IF(L12&lt;&gt;"",_xlfn.XLOOKUP(L12,[1]AttributeName!$C:$C,[1]AttributeName!$B:$B,""),""),"")</f>
        <v>10303</v>
      </c>
      <c r="AC12">
        <f>IFERROR(IF(N12&lt;&gt;"",_xlfn.XLOOKUP(N12,[1]AttributeName!$C:$C,[1]AttributeName!$B:$B,""),""),"")</f>
        <v>11055</v>
      </c>
      <c r="AD12" t="str">
        <f>IFERROR(IF(P12&lt;&gt;"",_xlfn.XLOOKUP(P12,[1]AttributeName!$C:$C,[1]AttributeName!$B:$B,""),""),"")</f>
        <v/>
      </c>
      <c r="AE12" t="str">
        <f t="shared" si="16"/>
        <v>[10303,0.1]</v>
      </c>
      <c r="AF12" t="str">
        <f t="shared" si="10"/>
        <v>[11055,0.1]</v>
      </c>
      <c r="AG12" t="str">
        <f t="shared" si="11"/>
        <v/>
      </c>
      <c r="AH12">
        <f>IFERROR(IF(R12&lt;&gt;"",_xlfn.XLOOKUP(R12,[1]ModifierDes!$B:$B,[1]ModifierDes!$A:$A,""),""),"")</f>
        <v>10124</v>
      </c>
      <c r="AI12" t="str">
        <f>IFERROR(IF(T12&lt;&gt;"",_xlfn.XLOOKUP(T12,[1]ModifierDes!$B:$B,[1]ModifierDes!$A:$A,""),""),"")</f>
        <v/>
      </c>
      <c r="AJ12" t="str">
        <f>IFERROR(IF(V12&lt;&gt;"",_xlfn.XLOOKUP(V12,[1]ModifierDes!$B:$B,[1]ModifierDes!$A:$A,""),""),"")</f>
        <v/>
      </c>
      <c r="AK12" t="str">
        <f>IFERROR(IF(X12&lt;&gt;"",_xlfn.XLOOKUP(X12,[1]ModifierDes!$B:$B,[1]ModifierDes!$A:$A,""),""),"")</f>
        <v/>
      </c>
      <c r="AL12" t="str">
        <f t="shared" si="17"/>
        <v>[0.2]</v>
      </c>
      <c r="AM12" t="str">
        <f t="shared" si="18"/>
        <v/>
      </c>
      <c r="AN12" t="str">
        <f t="shared" si="19"/>
        <v/>
      </c>
      <c r="AO12" t="str">
        <f t="shared" si="12"/>
        <v/>
      </c>
      <c r="AP12" t="str">
        <f>IFERROR(IF(Z12&lt;&gt;"",_xlfn.XLOOKUP(Z12,[1]StuntDes!$B:$B,[1]StuntDes!$A:$A,""),""),"")</f>
        <v/>
      </c>
      <c r="AQ12" t="str">
        <f>IFERROR(IF(AA12&lt;&gt;"",_xlfn.XLOOKUP(AA12,[1]StuntDes!$B:$B,[1]StuntDes!$A:$A,""),""),"")</f>
        <v/>
      </c>
    </row>
    <row r="13" spans="1:43">
      <c r="A13" s="16">
        <f t="shared" si="5"/>
        <v>60223</v>
      </c>
      <c r="B13" s="17" t="s">
        <v>202</v>
      </c>
      <c r="C13" s="17">
        <v>6022</v>
      </c>
      <c r="D13" s="18">
        <v>3</v>
      </c>
      <c r="E13" s="18" t="str">
        <f t="shared" si="6"/>
        <v>[[16022,1]]</v>
      </c>
      <c r="F13" s="14"/>
      <c r="G13" s="18" t="str">
        <f t="shared" si="13"/>
        <v>10124|10178</v>
      </c>
      <c r="H13" s="18" t="str">
        <f t="shared" si="8"/>
        <v>[[0.2],[0.07]]</v>
      </c>
      <c r="I13" s="18" t="str">
        <f t="shared" si="14"/>
        <v/>
      </c>
      <c r="J13" s="18" t="str">
        <f t="shared" si="15"/>
        <v>[[10303,0.1],[11055,0.2]]</v>
      </c>
      <c r="K13" t="str">
        <f>_xlfn.XLOOKUP(C13,Pet!A:A,Pet!E:E)</f>
        <v>SSR-物理</v>
      </c>
      <c r="L13" t="s">
        <v>197</v>
      </c>
      <c r="M13">
        <v>0.1</v>
      </c>
      <c r="N13" t="s">
        <v>200</v>
      </c>
      <c r="O13">
        <v>0.2</v>
      </c>
      <c r="R13" t="s">
        <v>198</v>
      </c>
      <c r="S13">
        <v>0.2</v>
      </c>
      <c r="T13" t="s">
        <v>203</v>
      </c>
      <c r="U13">
        <v>0.07</v>
      </c>
      <c r="AB13">
        <f>IFERROR(IF(L13&lt;&gt;"",_xlfn.XLOOKUP(L13,[1]AttributeName!$C:$C,[1]AttributeName!$B:$B,""),""),"")</f>
        <v>10303</v>
      </c>
      <c r="AC13">
        <f>IFERROR(IF(N13&lt;&gt;"",_xlfn.XLOOKUP(N13,[1]AttributeName!$C:$C,[1]AttributeName!$B:$B,""),""),"")</f>
        <v>11055</v>
      </c>
      <c r="AD13" t="str">
        <f>IFERROR(IF(P13&lt;&gt;"",_xlfn.XLOOKUP(P13,[1]AttributeName!$C:$C,[1]AttributeName!$B:$B,""),""),"")</f>
        <v/>
      </c>
      <c r="AE13" t="str">
        <f t="shared" si="16"/>
        <v>[10303,0.1]</v>
      </c>
      <c r="AF13" t="str">
        <f t="shared" si="10"/>
        <v>[11055,0.2]</v>
      </c>
      <c r="AG13" t="str">
        <f t="shared" si="11"/>
        <v/>
      </c>
      <c r="AH13">
        <f>IFERROR(IF(R13&lt;&gt;"",_xlfn.XLOOKUP(R13,[1]ModifierDes!$B:$B,[1]ModifierDes!$A:$A,""),""),"")</f>
        <v>10124</v>
      </c>
      <c r="AI13">
        <f>IFERROR(IF(T13&lt;&gt;"",_xlfn.XLOOKUP(T13,[1]ModifierDes!$B:$B,[1]ModifierDes!$A:$A,""),""),"")</f>
        <v>10178</v>
      </c>
      <c r="AJ13" t="str">
        <f>IFERROR(IF(V13&lt;&gt;"",_xlfn.XLOOKUP(V13,[1]ModifierDes!$B:$B,[1]ModifierDes!$A:$A,""),""),"")</f>
        <v/>
      </c>
      <c r="AK13" t="str">
        <f>IFERROR(IF(X13&lt;&gt;"",_xlfn.XLOOKUP(X13,[1]ModifierDes!$B:$B,[1]ModifierDes!$A:$A,""),""),"")</f>
        <v/>
      </c>
      <c r="AL13" t="str">
        <f t="shared" si="17"/>
        <v>[0.2]</v>
      </c>
      <c r="AM13" t="str">
        <f t="shared" si="18"/>
        <v>[0.07]</v>
      </c>
      <c r="AN13" t="str">
        <f t="shared" si="19"/>
        <v/>
      </c>
      <c r="AO13" t="str">
        <f t="shared" si="12"/>
        <v/>
      </c>
      <c r="AP13" t="str">
        <f>IFERROR(IF(Z13&lt;&gt;"",_xlfn.XLOOKUP(Z13,[1]StuntDes!$B:$B,[1]StuntDes!$A:$A,""),""),"")</f>
        <v/>
      </c>
      <c r="AQ13" t="str">
        <f>IFERROR(IF(AA13&lt;&gt;"",_xlfn.XLOOKUP(AA13,[1]StuntDes!$B:$B,[1]StuntDes!$A:$A,""),""),"")</f>
        <v/>
      </c>
    </row>
    <row r="14" spans="1:43">
      <c r="A14" s="16">
        <f t="shared" si="5"/>
        <v>60224</v>
      </c>
      <c r="B14" s="17" t="s">
        <v>204</v>
      </c>
      <c r="C14" s="17">
        <v>6022</v>
      </c>
      <c r="D14" s="18">
        <v>4</v>
      </c>
      <c r="E14" s="18" t="str">
        <f t="shared" si="6"/>
        <v>[[16022,1]]</v>
      </c>
      <c r="F14" s="14"/>
      <c r="G14" s="18" t="str">
        <f t="shared" si="13"/>
        <v>10124</v>
      </c>
      <c r="H14" s="18" t="str">
        <f t="shared" si="8"/>
        <v>[[0.28]]</v>
      </c>
      <c r="I14" s="18" t="str">
        <f t="shared" si="14"/>
        <v/>
      </c>
      <c r="J14" s="18" t="str">
        <f t="shared" si="15"/>
        <v>[[10303,0.15],[11055,0.2]]</v>
      </c>
      <c r="K14" t="str">
        <f>_xlfn.XLOOKUP(C14,Pet!A:A,Pet!E:E)</f>
        <v>SSR-物理</v>
      </c>
      <c r="L14" t="s">
        <v>197</v>
      </c>
      <c r="M14">
        <v>0.15</v>
      </c>
      <c r="N14" t="s">
        <v>200</v>
      </c>
      <c r="O14">
        <v>0.2</v>
      </c>
      <c r="R14" t="s">
        <v>198</v>
      </c>
      <c r="S14">
        <v>0.28</v>
      </c>
      <c r="AB14">
        <f>IFERROR(IF(L14&lt;&gt;"",_xlfn.XLOOKUP(L14,[1]AttributeName!$C:$C,[1]AttributeName!$B:$B,""),""),"")</f>
        <v>10303</v>
      </c>
      <c r="AC14">
        <f>IFERROR(IF(N14&lt;&gt;"",_xlfn.XLOOKUP(N14,[1]AttributeName!$C:$C,[1]AttributeName!$B:$B,""),""),"")</f>
        <v>11055</v>
      </c>
      <c r="AD14" t="str">
        <f>IFERROR(IF(P14&lt;&gt;"",_xlfn.XLOOKUP(P14,[1]AttributeName!$C:$C,[1]AttributeName!$B:$B,""),""),"")</f>
        <v/>
      </c>
      <c r="AE14" t="str">
        <f t="shared" si="16"/>
        <v>[10303,0.15]</v>
      </c>
      <c r="AF14" t="str">
        <f t="shared" ref="AF14:AF45" si="20">IF(AC14="","",_xlfn.CONCAT("[",AC14,",",O14,"]"))</f>
        <v>[11055,0.2]</v>
      </c>
      <c r="AG14" t="str">
        <f t="shared" ref="AG14:AG45" si="21">IF(AD14="","",_xlfn.CONCAT("[",AD14,",",Q14,"]"))</f>
        <v/>
      </c>
      <c r="AH14">
        <f>IFERROR(IF(R14&lt;&gt;"",_xlfn.XLOOKUP(R14,[1]ModifierDes!$B:$B,[1]ModifierDes!$A:$A,""),""),"")</f>
        <v>10124</v>
      </c>
      <c r="AI14" t="str">
        <f>IFERROR(IF(T14&lt;&gt;"",_xlfn.XLOOKUP(T14,[1]ModifierDes!$B:$B,[1]ModifierDes!$A:$A,""),""),"")</f>
        <v/>
      </c>
      <c r="AJ14" t="str">
        <f>IFERROR(IF(V14&lt;&gt;"",_xlfn.XLOOKUP(V14,[1]ModifierDes!$B:$B,[1]ModifierDes!$A:$A,""),""),"")</f>
        <v/>
      </c>
      <c r="AK14" t="str">
        <f>IFERROR(IF(X14&lt;&gt;"",_xlfn.XLOOKUP(X14,[1]ModifierDes!$B:$B,[1]ModifierDes!$A:$A,""),""),"")</f>
        <v/>
      </c>
      <c r="AL14" t="str">
        <f t="shared" si="17"/>
        <v>[0.28]</v>
      </c>
      <c r="AM14" t="str">
        <f t="shared" si="18"/>
        <v/>
      </c>
      <c r="AN14" t="str">
        <f t="shared" si="19"/>
        <v/>
      </c>
      <c r="AO14" t="str">
        <f t="shared" si="12"/>
        <v/>
      </c>
      <c r="AP14" t="str">
        <f>IFERROR(IF(Z14&lt;&gt;"",_xlfn.XLOOKUP(Z14,[1]StuntDes!$B:$B,[1]StuntDes!$A:$A,""),""),"")</f>
        <v/>
      </c>
      <c r="AQ14" t="str">
        <f>IFERROR(IF(AA14&lt;&gt;"",_xlfn.XLOOKUP(AA14,[1]StuntDes!$B:$B,[1]StuntDes!$A:$A,""),""),"")</f>
        <v/>
      </c>
    </row>
    <row r="15" spans="1:43">
      <c r="A15" s="16">
        <f t="shared" si="5"/>
        <v>60225</v>
      </c>
      <c r="B15" s="17" t="s">
        <v>205</v>
      </c>
      <c r="C15" s="17">
        <v>6022</v>
      </c>
      <c r="D15" s="18">
        <v>5</v>
      </c>
      <c r="E15" s="18"/>
      <c r="F15" s="14"/>
      <c r="G15" s="18" t="str">
        <f t="shared" si="13"/>
        <v>10124|10178</v>
      </c>
      <c r="H15" s="18" t="str">
        <f t="shared" si="8"/>
        <v>[[0.28],[0.2]]</v>
      </c>
      <c r="I15" s="18" t="str">
        <f t="shared" si="14"/>
        <v/>
      </c>
      <c r="J15" s="18" t="str">
        <f t="shared" si="15"/>
        <v>[[10303,0.15],[11055,0.3]]</v>
      </c>
      <c r="K15" t="str">
        <f>_xlfn.XLOOKUP(C15,Pet!A:A,Pet!E:E)</f>
        <v>SSR-物理</v>
      </c>
      <c r="L15" t="s">
        <v>197</v>
      </c>
      <c r="M15">
        <v>0.15</v>
      </c>
      <c r="N15" t="s">
        <v>200</v>
      </c>
      <c r="O15">
        <v>0.3</v>
      </c>
      <c r="R15" t="s">
        <v>198</v>
      </c>
      <c r="S15">
        <v>0.28</v>
      </c>
      <c r="T15" t="s">
        <v>203</v>
      </c>
      <c r="U15">
        <v>0.2</v>
      </c>
      <c r="AB15">
        <f>IFERROR(IF(L15&lt;&gt;"",_xlfn.XLOOKUP(L15,[1]AttributeName!$C:$C,[1]AttributeName!$B:$B,""),""),"")</f>
        <v>10303</v>
      </c>
      <c r="AC15">
        <f>IFERROR(IF(N15&lt;&gt;"",_xlfn.XLOOKUP(N15,[1]AttributeName!$C:$C,[1]AttributeName!$B:$B,""),""),"")</f>
        <v>11055</v>
      </c>
      <c r="AD15" t="str">
        <f>IFERROR(IF(P15&lt;&gt;"",_xlfn.XLOOKUP(P15,[1]AttributeName!$C:$C,[1]AttributeName!$B:$B,""),""),"")</f>
        <v/>
      </c>
      <c r="AE15" t="str">
        <f t="shared" si="16"/>
        <v>[10303,0.15]</v>
      </c>
      <c r="AF15" t="str">
        <f t="shared" si="20"/>
        <v>[11055,0.3]</v>
      </c>
      <c r="AG15" t="str">
        <f t="shared" si="21"/>
        <v/>
      </c>
      <c r="AH15">
        <f>IFERROR(IF(R15&lt;&gt;"",_xlfn.XLOOKUP(R15,[1]ModifierDes!$B:$B,[1]ModifierDes!$A:$A,""),""),"")</f>
        <v>10124</v>
      </c>
      <c r="AI15">
        <f>IFERROR(IF(T15&lt;&gt;"",_xlfn.XLOOKUP(T15,[1]ModifierDes!$B:$B,[1]ModifierDes!$A:$A,""),""),"")</f>
        <v>10178</v>
      </c>
      <c r="AJ15" t="str">
        <f>IFERROR(IF(V15&lt;&gt;"",_xlfn.XLOOKUP(V15,[1]ModifierDes!$B:$B,[1]ModifierDes!$A:$A,""),""),"")</f>
        <v/>
      </c>
      <c r="AK15" t="str">
        <f>IFERROR(IF(X15&lt;&gt;"",_xlfn.XLOOKUP(X15,[1]ModifierDes!$B:$B,[1]ModifierDes!$A:$A,""),""),"")</f>
        <v/>
      </c>
      <c r="AL15" t="str">
        <f t="shared" si="17"/>
        <v>[0.28]</v>
      </c>
      <c r="AM15" t="str">
        <f t="shared" si="18"/>
        <v>[0.2]</v>
      </c>
      <c r="AN15" t="str">
        <f t="shared" si="19"/>
        <v/>
      </c>
      <c r="AO15" t="str">
        <f t="shared" si="12"/>
        <v/>
      </c>
      <c r="AP15" t="str">
        <f>IFERROR(IF(Z15&lt;&gt;"",_xlfn.XLOOKUP(Z15,[1]StuntDes!$B:$B,[1]StuntDes!$A:$A,""),""),"")</f>
        <v/>
      </c>
      <c r="AQ15" t="str">
        <f>IFERROR(IF(AA15&lt;&gt;"",_xlfn.XLOOKUP(AA15,[1]StuntDes!$B:$B,[1]StuntDes!$A:$A,""),""),"")</f>
        <v/>
      </c>
    </row>
    <row r="16" spans="1:43">
      <c r="A16" s="16">
        <f t="shared" si="5"/>
        <v>50300</v>
      </c>
      <c r="B16" s="17" t="s">
        <v>206</v>
      </c>
      <c r="C16" s="17">
        <v>5030</v>
      </c>
      <c r="D16" s="18">
        <v>0</v>
      </c>
      <c r="E16" s="18" t="str">
        <f t="shared" ref="E16:E20" si="22">"[["&amp;C16+10000&amp;",1]]"</f>
        <v>[[15030,1]]</v>
      </c>
      <c r="F16" s="14"/>
      <c r="G16" s="18" t="str">
        <f t="shared" si="13"/>
        <v>10031|10050|10127</v>
      </c>
      <c r="H16" s="18" t="str">
        <f t="shared" si="8"/>
        <v>[[0.1,0.2],[0.3],[0.5]]</v>
      </c>
      <c r="I16" s="18" t="str">
        <f t="shared" si="14"/>
        <v/>
      </c>
      <c r="J16" s="18" t="str">
        <f t="shared" si="15"/>
        <v>[[10306,0.05],[11010,0.1]]</v>
      </c>
      <c r="K16" t="str">
        <f>_xlfn.XLOOKUP(C16,Pet!A:A,Pet!E:E)</f>
        <v>无</v>
      </c>
      <c r="L16" t="s">
        <v>188</v>
      </c>
      <c r="M16">
        <v>0.05</v>
      </c>
      <c r="N16" t="s">
        <v>189</v>
      </c>
      <c r="O16">
        <v>0.1</v>
      </c>
      <c r="R16" t="s">
        <v>207</v>
      </c>
      <c r="S16" t="s">
        <v>208</v>
      </c>
      <c r="T16" t="s">
        <v>209</v>
      </c>
      <c r="U16">
        <v>0.3</v>
      </c>
      <c r="V16" t="s">
        <v>210</v>
      </c>
      <c r="W16">
        <v>0.5</v>
      </c>
      <c r="AB16">
        <f>IFERROR(IF(L16&lt;&gt;"",_xlfn.XLOOKUP(L16,[1]AttributeName!$C:$C,[1]AttributeName!$B:$B,""),""),"")</f>
        <v>10306</v>
      </c>
      <c r="AC16">
        <f>IFERROR(IF(N16&lt;&gt;"",_xlfn.XLOOKUP(N16,[1]AttributeName!$C:$C,[1]AttributeName!$B:$B,""),""),"")</f>
        <v>11010</v>
      </c>
      <c r="AD16" t="str">
        <f>IFERROR(IF(P16&lt;&gt;"",_xlfn.XLOOKUP(P16,[1]AttributeName!$C:$C,[1]AttributeName!$B:$B,""),""),"")</f>
        <v/>
      </c>
      <c r="AE16" t="str">
        <f t="shared" si="16"/>
        <v>[10306,0.05]</v>
      </c>
      <c r="AF16" t="str">
        <f t="shared" si="20"/>
        <v>[11010,0.1]</v>
      </c>
      <c r="AG16" t="str">
        <f t="shared" si="21"/>
        <v/>
      </c>
      <c r="AH16">
        <f>IFERROR(IF(R16&lt;&gt;"",_xlfn.XLOOKUP(R16,[1]ModifierDes!$B:$B,[1]ModifierDes!$A:$A,""),""),"")</f>
        <v>10031</v>
      </c>
      <c r="AI16">
        <f>IFERROR(IF(T16&lt;&gt;"",_xlfn.XLOOKUP(T16,[1]ModifierDes!$B:$B,[1]ModifierDes!$A:$A,""),""),"")</f>
        <v>10050</v>
      </c>
      <c r="AJ16">
        <f>IFERROR(IF(V16&lt;&gt;"",_xlfn.XLOOKUP(V16,[1]ModifierDes!$B:$B,[1]ModifierDes!$A:$A,""),""),"")</f>
        <v>10127</v>
      </c>
      <c r="AK16" t="str">
        <f>IFERROR(IF(X16&lt;&gt;"",_xlfn.XLOOKUP(X16,[1]ModifierDes!$B:$B,[1]ModifierDes!$A:$A,""),""),"")</f>
        <v/>
      </c>
      <c r="AL16" t="str">
        <f t="shared" si="17"/>
        <v>[0.1,0.2]</v>
      </c>
      <c r="AM16" t="str">
        <f t="shared" si="18"/>
        <v>[0.3]</v>
      </c>
      <c r="AN16" t="str">
        <f t="shared" si="19"/>
        <v>[0.5]</v>
      </c>
      <c r="AO16" t="str">
        <f t="shared" si="12"/>
        <v/>
      </c>
      <c r="AP16" t="str">
        <f>IFERROR(IF(Z16&lt;&gt;"",_xlfn.XLOOKUP(Z16,[1]StuntDes!$B:$B,[1]StuntDes!$A:$A,""),""),"")</f>
        <v/>
      </c>
      <c r="AQ16" t="str">
        <f>IFERROR(IF(AA16&lt;&gt;"",_xlfn.XLOOKUP(AA16,[1]StuntDes!$B:$B,[1]StuntDes!$A:$A,""),""),"")</f>
        <v/>
      </c>
    </row>
    <row r="17" spans="1:43">
      <c r="A17" s="16">
        <f t="shared" si="5"/>
        <v>50301</v>
      </c>
      <c r="B17" s="17" t="s">
        <v>211</v>
      </c>
      <c r="C17" s="17">
        <v>5030</v>
      </c>
      <c r="D17" s="18">
        <v>1</v>
      </c>
      <c r="E17" s="18" t="str">
        <f t="shared" si="22"/>
        <v>[[15030,1]]</v>
      </c>
      <c r="F17" s="14"/>
      <c r="G17" s="18" t="str">
        <f t="shared" si="13"/>
        <v>10031|10050|10127</v>
      </c>
      <c r="H17" s="18" t="str">
        <f t="shared" si="8"/>
        <v>[[0.1,0.2],[0.3],[0.5]]</v>
      </c>
      <c r="I17" s="18" t="str">
        <f t="shared" si="14"/>
        <v>2110000010</v>
      </c>
      <c r="J17" s="18" t="str">
        <f t="shared" si="15"/>
        <v>[[10306,0.05],[11010,0.1]]</v>
      </c>
      <c r="K17" t="str">
        <f>_xlfn.XLOOKUP(C17,Pet!A:A,Pet!E:E)</f>
        <v>无</v>
      </c>
      <c r="L17" t="s">
        <v>188</v>
      </c>
      <c r="M17">
        <v>0.05</v>
      </c>
      <c r="N17" t="s">
        <v>189</v>
      </c>
      <c r="O17">
        <v>0.1</v>
      </c>
      <c r="R17" t="s">
        <v>207</v>
      </c>
      <c r="S17" t="s">
        <v>208</v>
      </c>
      <c r="T17" t="s">
        <v>209</v>
      </c>
      <c r="U17">
        <v>0.3</v>
      </c>
      <c r="V17" t="s">
        <v>210</v>
      </c>
      <c r="W17">
        <v>0.5</v>
      </c>
      <c r="Z17" t="s">
        <v>212</v>
      </c>
      <c r="AB17">
        <f>IFERROR(IF(L17&lt;&gt;"",_xlfn.XLOOKUP(L17,[1]AttributeName!$C:$C,[1]AttributeName!$B:$B,""),""),"")</f>
        <v>10306</v>
      </c>
      <c r="AC17">
        <f>IFERROR(IF(N17&lt;&gt;"",_xlfn.XLOOKUP(N17,[1]AttributeName!$C:$C,[1]AttributeName!$B:$B,""),""),"")</f>
        <v>11010</v>
      </c>
      <c r="AD17" t="str">
        <f>IFERROR(IF(P17&lt;&gt;"",_xlfn.XLOOKUP(P17,[1]AttributeName!$C:$C,[1]AttributeName!$B:$B,""),""),"")</f>
        <v/>
      </c>
      <c r="AE17" t="str">
        <f t="shared" si="16"/>
        <v>[10306,0.05]</v>
      </c>
      <c r="AF17" t="str">
        <f t="shared" si="20"/>
        <v>[11010,0.1]</v>
      </c>
      <c r="AG17" t="str">
        <f t="shared" si="21"/>
        <v/>
      </c>
      <c r="AH17">
        <f>IFERROR(IF(R17&lt;&gt;"",_xlfn.XLOOKUP(R17,[1]ModifierDes!$B:$B,[1]ModifierDes!$A:$A,""),""),"")</f>
        <v>10031</v>
      </c>
      <c r="AI17">
        <f>IFERROR(IF(T17&lt;&gt;"",_xlfn.XLOOKUP(T17,[1]ModifierDes!$B:$B,[1]ModifierDes!$A:$A,""),""),"")</f>
        <v>10050</v>
      </c>
      <c r="AJ17">
        <f>IFERROR(IF(V17&lt;&gt;"",_xlfn.XLOOKUP(V17,[1]ModifierDes!$B:$B,[1]ModifierDes!$A:$A,""),""),"")</f>
        <v>10127</v>
      </c>
      <c r="AK17" t="str">
        <f>IFERROR(IF(X17&lt;&gt;"",_xlfn.XLOOKUP(X17,[1]ModifierDes!$B:$B,[1]ModifierDes!$A:$A,""),""),"")</f>
        <v/>
      </c>
      <c r="AL17" t="str">
        <f t="shared" si="17"/>
        <v>[0.1,0.2]</v>
      </c>
      <c r="AM17" t="str">
        <f t="shared" si="18"/>
        <v>[0.3]</v>
      </c>
      <c r="AN17" t="str">
        <f t="shared" si="19"/>
        <v>[0.5]</v>
      </c>
      <c r="AO17" t="str">
        <f t="shared" si="12"/>
        <v/>
      </c>
      <c r="AP17">
        <f>IFERROR(IF(Z17&lt;&gt;"",_xlfn.XLOOKUP(Z17,[1]StuntDes!$B:$B,[1]StuntDes!$A:$A,""),""),"")</f>
        <v>2110000010</v>
      </c>
      <c r="AQ17" t="str">
        <f>IFERROR(IF(AA17&lt;&gt;"",_xlfn.XLOOKUP(AA17,[1]StuntDes!$B:$B,[1]StuntDes!$A:$A,""),""),"")</f>
        <v/>
      </c>
    </row>
    <row r="18" spans="1:43">
      <c r="A18" s="16">
        <f t="shared" si="5"/>
        <v>50302</v>
      </c>
      <c r="B18" s="17" t="s">
        <v>213</v>
      </c>
      <c r="C18" s="17">
        <v>5030</v>
      </c>
      <c r="D18" s="18">
        <v>2</v>
      </c>
      <c r="E18" s="18" t="str">
        <f t="shared" si="22"/>
        <v>[[15030,1]]</v>
      </c>
      <c r="F18" s="14"/>
      <c r="G18" s="18" t="str">
        <f t="shared" si="13"/>
        <v>10031|10050|10127</v>
      </c>
      <c r="H18" s="18" t="str">
        <f t="shared" si="8"/>
        <v>[[0.1,0.2],[0.3],[0.5]]</v>
      </c>
      <c r="I18" s="18" t="str">
        <f t="shared" si="14"/>
        <v>2110000010</v>
      </c>
      <c r="J18" s="18" t="str">
        <f t="shared" si="15"/>
        <v>[[10306,0.05],[11010,0.1]]</v>
      </c>
      <c r="K18" t="str">
        <f>_xlfn.XLOOKUP(C18,Pet!A:A,Pet!E:E)</f>
        <v>无</v>
      </c>
      <c r="L18" t="s">
        <v>188</v>
      </c>
      <c r="M18">
        <v>0.05</v>
      </c>
      <c r="N18" t="s">
        <v>189</v>
      </c>
      <c r="O18">
        <v>0.1</v>
      </c>
      <c r="R18" t="s">
        <v>207</v>
      </c>
      <c r="S18" t="s">
        <v>208</v>
      </c>
      <c r="T18" t="s">
        <v>209</v>
      </c>
      <c r="U18">
        <v>0.3</v>
      </c>
      <c r="V18" t="s">
        <v>210</v>
      </c>
      <c r="W18">
        <v>0.5</v>
      </c>
      <c r="Z18" t="s">
        <v>212</v>
      </c>
      <c r="AB18">
        <f>IFERROR(IF(L18&lt;&gt;"",_xlfn.XLOOKUP(L18,[1]AttributeName!$C:$C,[1]AttributeName!$B:$B,""),""),"")</f>
        <v>10306</v>
      </c>
      <c r="AC18">
        <f>IFERROR(IF(N18&lt;&gt;"",_xlfn.XLOOKUP(N18,[1]AttributeName!$C:$C,[1]AttributeName!$B:$B,""),""),"")</f>
        <v>11010</v>
      </c>
      <c r="AD18" t="str">
        <f>IFERROR(IF(P18&lt;&gt;"",_xlfn.XLOOKUP(P18,[1]AttributeName!$C:$C,[1]AttributeName!$B:$B,""),""),"")</f>
        <v/>
      </c>
      <c r="AE18" t="str">
        <f t="shared" si="16"/>
        <v>[10306,0.05]</v>
      </c>
      <c r="AF18" t="str">
        <f t="shared" si="20"/>
        <v>[11010,0.1]</v>
      </c>
      <c r="AG18" t="str">
        <f t="shared" si="21"/>
        <v/>
      </c>
      <c r="AH18">
        <f>IFERROR(IF(R18&lt;&gt;"",_xlfn.XLOOKUP(R18,[1]ModifierDes!$B:$B,[1]ModifierDes!$A:$A,""),""),"")</f>
        <v>10031</v>
      </c>
      <c r="AI18">
        <f>IFERROR(IF(T18&lt;&gt;"",_xlfn.XLOOKUP(T18,[1]ModifierDes!$B:$B,[1]ModifierDes!$A:$A,""),""),"")</f>
        <v>10050</v>
      </c>
      <c r="AJ18">
        <f>IFERROR(IF(V18&lt;&gt;"",_xlfn.XLOOKUP(V18,[1]ModifierDes!$B:$B,[1]ModifierDes!$A:$A,""),""),"")</f>
        <v>10127</v>
      </c>
      <c r="AK18" t="str">
        <f>IFERROR(IF(X18&lt;&gt;"",_xlfn.XLOOKUP(X18,[1]ModifierDes!$B:$B,[1]ModifierDes!$A:$A,""),""),"")</f>
        <v/>
      </c>
      <c r="AL18" t="str">
        <f t="shared" si="17"/>
        <v>[0.1,0.2]</v>
      </c>
      <c r="AM18" t="str">
        <f t="shared" si="18"/>
        <v>[0.3]</v>
      </c>
      <c r="AN18" t="str">
        <f t="shared" si="19"/>
        <v>[0.5]</v>
      </c>
      <c r="AO18" t="str">
        <f t="shared" si="12"/>
        <v/>
      </c>
      <c r="AP18">
        <f>IFERROR(IF(Z18&lt;&gt;"",_xlfn.XLOOKUP(Z18,[1]StuntDes!$B:$B,[1]StuntDes!$A:$A,""),""),"")</f>
        <v>2110000010</v>
      </c>
      <c r="AQ18" t="str">
        <f>IFERROR(IF(AA18&lt;&gt;"",_xlfn.XLOOKUP(AA18,[1]StuntDes!$B:$B,[1]StuntDes!$A:$A,""),""),"")</f>
        <v/>
      </c>
    </row>
    <row r="19" spans="1:43">
      <c r="A19" s="16">
        <f t="shared" si="5"/>
        <v>50303</v>
      </c>
      <c r="B19" s="17" t="s">
        <v>214</v>
      </c>
      <c r="C19" s="17">
        <v>5030</v>
      </c>
      <c r="D19" s="18">
        <v>3</v>
      </c>
      <c r="E19" s="18" t="str">
        <f t="shared" si="22"/>
        <v>[[15030,1]]</v>
      </c>
      <c r="F19" s="14"/>
      <c r="G19" s="18" t="str">
        <f t="shared" si="13"/>
        <v>10031|10050|10127</v>
      </c>
      <c r="H19" s="18" t="str">
        <f t="shared" si="8"/>
        <v>[[0.1,0.2],[0.3],[0.5]]</v>
      </c>
      <c r="I19" s="18" t="str">
        <f t="shared" si="14"/>
        <v>2110000010</v>
      </c>
      <c r="J19" s="18" t="str">
        <f t="shared" si="15"/>
        <v>[[10306,0.05],[11010,0.1]]</v>
      </c>
      <c r="K19" t="str">
        <f>_xlfn.XLOOKUP(C19,Pet!A:A,Pet!E:E)</f>
        <v>无</v>
      </c>
      <c r="L19" t="s">
        <v>188</v>
      </c>
      <c r="M19">
        <v>0.05</v>
      </c>
      <c r="N19" t="s">
        <v>189</v>
      </c>
      <c r="O19">
        <v>0.1</v>
      </c>
      <c r="R19" t="s">
        <v>207</v>
      </c>
      <c r="S19" t="s">
        <v>208</v>
      </c>
      <c r="T19" t="s">
        <v>209</v>
      </c>
      <c r="U19">
        <v>0.3</v>
      </c>
      <c r="V19" t="s">
        <v>210</v>
      </c>
      <c r="W19">
        <v>0.5</v>
      </c>
      <c r="Z19" t="s">
        <v>212</v>
      </c>
      <c r="AB19">
        <f>IFERROR(IF(L19&lt;&gt;"",_xlfn.XLOOKUP(L19,[1]AttributeName!$C:$C,[1]AttributeName!$B:$B,""),""),"")</f>
        <v>10306</v>
      </c>
      <c r="AC19">
        <f>IFERROR(IF(N19&lt;&gt;"",_xlfn.XLOOKUP(N19,[1]AttributeName!$C:$C,[1]AttributeName!$B:$B,""),""),"")</f>
        <v>11010</v>
      </c>
      <c r="AD19" t="str">
        <f>IFERROR(IF(P19&lt;&gt;"",_xlfn.XLOOKUP(P19,[1]AttributeName!$C:$C,[1]AttributeName!$B:$B,""),""),"")</f>
        <v/>
      </c>
      <c r="AE19" t="str">
        <f t="shared" si="16"/>
        <v>[10306,0.05]</v>
      </c>
      <c r="AF19" t="str">
        <f t="shared" si="20"/>
        <v>[11010,0.1]</v>
      </c>
      <c r="AG19" t="str">
        <f t="shared" si="21"/>
        <v/>
      </c>
      <c r="AH19">
        <f>IFERROR(IF(R19&lt;&gt;"",_xlfn.XLOOKUP(R19,[1]ModifierDes!$B:$B,[1]ModifierDes!$A:$A,""),""),"")</f>
        <v>10031</v>
      </c>
      <c r="AI19">
        <f>IFERROR(IF(T19&lt;&gt;"",_xlfn.XLOOKUP(T19,[1]ModifierDes!$B:$B,[1]ModifierDes!$A:$A,""),""),"")</f>
        <v>10050</v>
      </c>
      <c r="AJ19">
        <f>IFERROR(IF(V19&lt;&gt;"",_xlfn.XLOOKUP(V19,[1]ModifierDes!$B:$B,[1]ModifierDes!$A:$A,""),""),"")</f>
        <v>10127</v>
      </c>
      <c r="AK19" t="str">
        <f>IFERROR(IF(X19&lt;&gt;"",_xlfn.XLOOKUP(X19,[1]ModifierDes!$B:$B,[1]ModifierDes!$A:$A,""),""),"")</f>
        <v/>
      </c>
      <c r="AL19" t="str">
        <f t="shared" si="17"/>
        <v>[0.1,0.2]</v>
      </c>
      <c r="AM19" t="str">
        <f t="shared" si="18"/>
        <v>[0.3]</v>
      </c>
      <c r="AN19" t="str">
        <f t="shared" si="19"/>
        <v>[0.5]</v>
      </c>
      <c r="AO19" t="str">
        <f t="shared" si="12"/>
        <v/>
      </c>
      <c r="AP19">
        <f>IFERROR(IF(Z19&lt;&gt;"",_xlfn.XLOOKUP(Z19,[1]StuntDes!$B:$B,[1]StuntDes!$A:$A,""),""),"")</f>
        <v>2110000010</v>
      </c>
      <c r="AQ19" t="str">
        <f>IFERROR(IF(AA19&lt;&gt;"",_xlfn.XLOOKUP(AA19,[1]StuntDes!$B:$B,[1]StuntDes!$A:$A,""),""),"")</f>
        <v/>
      </c>
    </row>
    <row r="20" spans="1:43">
      <c r="A20" s="16">
        <f t="shared" si="5"/>
        <v>50304</v>
      </c>
      <c r="B20" s="17" t="s">
        <v>215</v>
      </c>
      <c r="C20" s="17">
        <v>5030</v>
      </c>
      <c r="D20" s="18">
        <v>4</v>
      </c>
      <c r="E20" s="18" t="str">
        <f t="shared" si="22"/>
        <v>[[15030,1]]</v>
      </c>
      <c r="F20" s="14"/>
      <c r="G20" s="18" t="str">
        <f t="shared" si="13"/>
        <v>10031|10050|10127</v>
      </c>
      <c r="H20" s="18" t="str">
        <f t="shared" si="8"/>
        <v>[[0.1,0.2],[0.3],[0.5]]</v>
      </c>
      <c r="I20" s="18" t="str">
        <f t="shared" si="14"/>
        <v>2110000010|2110000020</v>
      </c>
      <c r="J20" s="18" t="str">
        <f t="shared" si="15"/>
        <v>[[10306,0.05],[11010,0.1]]</v>
      </c>
      <c r="K20" t="str">
        <f>_xlfn.XLOOKUP(C20,Pet!A:A,Pet!E:E)</f>
        <v>无</v>
      </c>
      <c r="L20" t="s">
        <v>188</v>
      </c>
      <c r="M20">
        <v>0.05</v>
      </c>
      <c r="N20" t="s">
        <v>189</v>
      </c>
      <c r="O20">
        <v>0.1</v>
      </c>
      <c r="R20" t="s">
        <v>207</v>
      </c>
      <c r="S20" t="s">
        <v>208</v>
      </c>
      <c r="T20" t="s">
        <v>209</v>
      </c>
      <c r="U20">
        <v>0.3</v>
      </c>
      <c r="V20" t="s">
        <v>210</v>
      </c>
      <c r="W20">
        <v>0.5</v>
      </c>
      <c r="Z20" t="s">
        <v>212</v>
      </c>
      <c r="AA20" t="s">
        <v>216</v>
      </c>
      <c r="AB20">
        <f>IFERROR(IF(L20&lt;&gt;"",_xlfn.XLOOKUP(L20,[1]AttributeName!$C:$C,[1]AttributeName!$B:$B,""),""),"")</f>
        <v>10306</v>
      </c>
      <c r="AC20">
        <f>IFERROR(IF(N20&lt;&gt;"",_xlfn.XLOOKUP(N20,[1]AttributeName!$C:$C,[1]AttributeName!$B:$B,""),""),"")</f>
        <v>11010</v>
      </c>
      <c r="AD20" t="str">
        <f>IFERROR(IF(P20&lt;&gt;"",_xlfn.XLOOKUP(P20,[1]AttributeName!$C:$C,[1]AttributeName!$B:$B,""),""),"")</f>
        <v/>
      </c>
      <c r="AE20" t="str">
        <f t="shared" si="16"/>
        <v>[10306,0.05]</v>
      </c>
      <c r="AF20" t="str">
        <f t="shared" si="20"/>
        <v>[11010,0.1]</v>
      </c>
      <c r="AG20" t="str">
        <f t="shared" si="21"/>
        <v/>
      </c>
      <c r="AH20">
        <f>IFERROR(IF(R20&lt;&gt;"",_xlfn.XLOOKUP(R20,[1]ModifierDes!$B:$B,[1]ModifierDes!$A:$A,""),""),"")</f>
        <v>10031</v>
      </c>
      <c r="AI20">
        <f>IFERROR(IF(T20&lt;&gt;"",_xlfn.XLOOKUP(T20,[1]ModifierDes!$B:$B,[1]ModifierDes!$A:$A,""),""),"")</f>
        <v>10050</v>
      </c>
      <c r="AJ20">
        <f>IFERROR(IF(V20&lt;&gt;"",_xlfn.XLOOKUP(V20,[1]ModifierDes!$B:$B,[1]ModifierDes!$A:$A,""),""),"")</f>
        <v>10127</v>
      </c>
      <c r="AK20" t="str">
        <f>IFERROR(IF(X20&lt;&gt;"",_xlfn.XLOOKUP(X20,[1]ModifierDes!$B:$B,[1]ModifierDes!$A:$A,""),""),"")</f>
        <v/>
      </c>
      <c r="AL20" t="str">
        <f t="shared" si="17"/>
        <v>[0.1,0.2]</v>
      </c>
      <c r="AM20" t="str">
        <f t="shared" si="18"/>
        <v>[0.3]</v>
      </c>
      <c r="AN20" t="str">
        <f t="shared" si="19"/>
        <v>[0.5]</v>
      </c>
      <c r="AO20" t="str">
        <f t="shared" si="12"/>
        <v/>
      </c>
      <c r="AP20">
        <f>IFERROR(IF(Z20&lt;&gt;"",_xlfn.XLOOKUP(Z20,[1]StuntDes!$B:$B,[1]StuntDes!$A:$A,""),""),"")</f>
        <v>2110000010</v>
      </c>
      <c r="AQ20">
        <f>IFERROR(IF(AA20&lt;&gt;"",_xlfn.XLOOKUP(AA20,[1]StuntDes!$B:$B,[1]StuntDes!$A:$A,""),""),"")</f>
        <v>2110000020</v>
      </c>
    </row>
    <row r="21" spans="1:43">
      <c r="A21" s="16">
        <f t="shared" si="5"/>
        <v>50305</v>
      </c>
      <c r="B21" s="17" t="s">
        <v>217</v>
      </c>
      <c r="C21" s="17">
        <v>5030</v>
      </c>
      <c r="D21" s="18">
        <v>5</v>
      </c>
      <c r="E21" s="18"/>
      <c r="F21" s="14"/>
      <c r="G21" s="18" t="str">
        <f t="shared" si="13"/>
        <v>10031|10050|10127</v>
      </c>
      <c r="H21" s="18" t="str">
        <f t="shared" si="8"/>
        <v>[[0.1,0.2],[0.3],[0.5]]</v>
      </c>
      <c r="I21" s="18" t="str">
        <f t="shared" si="14"/>
        <v>2110000010|2110000020</v>
      </c>
      <c r="J21" s="18" t="str">
        <f t="shared" si="15"/>
        <v>[[10306,0.05],[11010,0.1]]</v>
      </c>
      <c r="K21" t="str">
        <f>_xlfn.XLOOKUP(C21,Pet!A:A,Pet!E:E)</f>
        <v>无</v>
      </c>
      <c r="L21" t="s">
        <v>188</v>
      </c>
      <c r="M21">
        <v>0.05</v>
      </c>
      <c r="N21" t="s">
        <v>189</v>
      </c>
      <c r="O21">
        <v>0.1</v>
      </c>
      <c r="R21" t="s">
        <v>207</v>
      </c>
      <c r="S21" t="s">
        <v>208</v>
      </c>
      <c r="T21" t="s">
        <v>209</v>
      </c>
      <c r="U21">
        <v>0.3</v>
      </c>
      <c r="V21" t="s">
        <v>210</v>
      </c>
      <c r="W21">
        <v>0.5</v>
      </c>
      <c r="Z21" t="s">
        <v>212</v>
      </c>
      <c r="AA21" t="s">
        <v>216</v>
      </c>
      <c r="AB21">
        <f>IFERROR(IF(L21&lt;&gt;"",_xlfn.XLOOKUP(L21,[1]AttributeName!$C:$C,[1]AttributeName!$B:$B,""),""),"")</f>
        <v>10306</v>
      </c>
      <c r="AC21">
        <f>IFERROR(IF(N21&lt;&gt;"",_xlfn.XLOOKUP(N21,[1]AttributeName!$C:$C,[1]AttributeName!$B:$B,""),""),"")</f>
        <v>11010</v>
      </c>
      <c r="AD21" t="str">
        <f>IFERROR(IF(P21&lt;&gt;"",_xlfn.XLOOKUP(P21,[1]AttributeName!$C:$C,[1]AttributeName!$B:$B,""),""),"")</f>
        <v/>
      </c>
      <c r="AE21" t="str">
        <f t="shared" si="16"/>
        <v>[10306,0.05]</v>
      </c>
      <c r="AF21" t="str">
        <f t="shared" si="20"/>
        <v>[11010,0.1]</v>
      </c>
      <c r="AG21" t="str">
        <f t="shared" si="21"/>
        <v/>
      </c>
      <c r="AH21">
        <f>IFERROR(IF(R21&lt;&gt;"",_xlfn.XLOOKUP(R21,[1]ModifierDes!$B:$B,[1]ModifierDes!$A:$A,""),""),"")</f>
        <v>10031</v>
      </c>
      <c r="AI21">
        <f>IFERROR(IF(T21&lt;&gt;"",_xlfn.XLOOKUP(T21,[1]ModifierDes!$B:$B,[1]ModifierDes!$A:$A,""),""),"")</f>
        <v>10050</v>
      </c>
      <c r="AJ21">
        <f>IFERROR(IF(V21&lt;&gt;"",_xlfn.XLOOKUP(V21,[1]ModifierDes!$B:$B,[1]ModifierDes!$A:$A,""),""),"")</f>
        <v>10127</v>
      </c>
      <c r="AK21" t="str">
        <f>IFERROR(IF(X21&lt;&gt;"",_xlfn.XLOOKUP(X21,[1]ModifierDes!$B:$B,[1]ModifierDes!$A:$A,""),""),"")</f>
        <v/>
      </c>
      <c r="AL21" t="str">
        <f t="shared" si="17"/>
        <v>[0.1,0.2]</v>
      </c>
      <c r="AM21" t="str">
        <f t="shared" si="18"/>
        <v>[0.3]</v>
      </c>
      <c r="AN21" t="str">
        <f t="shared" si="19"/>
        <v>[0.5]</v>
      </c>
      <c r="AO21" t="str">
        <f t="shared" si="12"/>
        <v/>
      </c>
      <c r="AP21">
        <f>IFERROR(IF(Z21&lt;&gt;"",_xlfn.XLOOKUP(Z21,[1]StuntDes!$B:$B,[1]StuntDes!$A:$A,""),""),"")</f>
        <v>2110000010</v>
      </c>
      <c r="AQ21">
        <f>IFERROR(IF(AA21&lt;&gt;"",_xlfn.XLOOKUP(AA21,[1]StuntDes!$B:$B,[1]StuntDes!$A:$A,""),""),"")</f>
        <v>2110000020</v>
      </c>
    </row>
    <row r="22" spans="1:43">
      <c r="A22" s="16">
        <f t="shared" si="5"/>
        <v>50400</v>
      </c>
      <c r="B22" s="17" t="s">
        <v>218</v>
      </c>
      <c r="C22" s="17">
        <v>5040</v>
      </c>
      <c r="D22" s="18">
        <v>0</v>
      </c>
      <c r="E22" s="18" t="str">
        <f t="shared" ref="E22:E26" si="23">"[["&amp;C22+10000&amp;",1]]"</f>
        <v>[[15040,1]]</v>
      </c>
      <c r="F22" s="14"/>
      <c r="G22" s="18" t="str">
        <f t="shared" si="13"/>
        <v/>
      </c>
      <c r="H22" s="18" t="str">
        <f t="shared" si="8"/>
        <v/>
      </c>
      <c r="I22" s="18" t="str">
        <f t="shared" si="14"/>
        <v/>
      </c>
      <c r="J22" s="18" t="str">
        <f t="shared" si="15"/>
        <v>[[10304,0.08],[11007,0.04]]</v>
      </c>
      <c r="K22" t="str">
        <f>_xlfn.XLOOKUP(C22,Pet!A:A,Pet!E:E)</f>
        <v>R-火焰</v>
      </c>
      <c r="L22" t="s">
        <v>219</v>
      </c>
      <c r="M22">
        <v>0.08</v>
      </c>
      <c r="N22" t="s">
        <v>220</v>
      </c>
      <c r="O22">
        <v>0.04</v>
      </c>
      <c r="AB22">
        <f>IFERROR(IF(L22&lt;&gt;"",_xlfn.XLOOKUP(L22,[1]AttributeName!$C:$C,[1]AttributeName!$B:$B,""),""),"")</f>
        <v>10304</v>
      </c>
      <c r="AC22">
        <f>IFERROR(IF(N22&lt;&gt;"",_xlfn.XLOOKUP(N22,[1]AttributeName!$C:$C,[1]AttributeName!$B:$B,""),""),"")</f>
        <v>11007</v>
      </c>
      <c r="AD22" t="str">
        <f>IFERROR(IF(P22&lt;&gt;"",_xlfn.XLOOKUP(P22,[1]AttributeName!$C:$C,[1]AttributeName!$B:$B,""),""),"")</f>
        <v/>
      </c>
      <c r="AE22" t="str">
        <f t="shared" si="16"/>
        <v>[10304,0.08]</v>
      </c>
      <c r="AF22" t="str">
        <f t="shared" si="20"/>
        <v>[11007,0.04]</v>
      </c>
      <c r="AG22" t="str">
        <f t="shared" si="21"/>
        <v/>
      </c>
      <c r="AH22" t="str">
        <f>IFERROR(IF(R22&lt;&gt;"",_xlfn.XLOOKUP(R22,[1]ModifierDes!$B:$B,[1]ModifierDes!$A:$A,""),""),"")</f>
        <v/>
      </c>
      <c r="AI22" t="str">
        <f>IFERROR(IF(T22&lt;&gt;"",_xlfn.XLOOKUP(T22,[1]ModifierDes!$B:$B,[1]ModifierDes!$A:$A,""),""),"")</f>
        <v/>
      </c>
      <c r="AJ22" t="str">
        <f>IFERROR(IF(V22&lt;&gt;"",_xlfn.XLOOKUP(V22,[1]ModifierDes!$B:$B,[1]ModifierDes!$A:$A,""),""),"")</f>
        <v/>
      </c>
      <c r="AK22" t="str">
        <f>IFERROR(IF(X22&lt;&gt;"",_xlfn.XLOOKUP(X22,[1]ModifierDes!$B:$B,[1]ModifierDes!$A:$A,""),""),"")</f>
        <v/>
      </c>
      <c r="AL22" t="str">
        <f t="shared" si="17"/>
        <v/>
      </c>
      <c r="AM22" t="str">
        <f t="shared" si="18"/>
        <v/>
      </c>
      <c r="AN22" t="str">
        <f t="shared" si="19"/>
        <v/>
      </c>
      <c r="AO22" t="str">
        <f t="shared" si="12"/>
        <v/>
      </c>
      <c r="AP22" t="str">
        <f>IFERROR(IF(Z22&lt;&gt;"",_xlfn.XLOOKUP(Z22,[1]StuntDes!$B:$B,[1]StuntDes!$A:$A,""),""),"")</f>
        <v/>
      </c>
      <c r="AQ22" t="str">
        <f>IFERROR(IF(AA22&lt;&gt;"",_xlfn.XLOOKUP(AA22,[1]StuntDes!$B:$B,[1]StuntDes!$A:$A,""),""),"")</f>
        <v/>
      </c>
    </row>
    <row r="23" spans="1:43">
      <c r="A23" s="16">
        <f t="shared" si="5"/>
        <v>50401</v>
      </c>
      <c r="B23" s="17" t="s">
        <v>221</v>
      </c>
      <c r="C23" s="17">
        <v>5040</v>
      </c>
      <c r="D23" s="18">
        <v>1</v>
      </c>
      <c r="E23" s="18" t="str">
        <f t="shared" si="23"/>
        <v>[[15040,1]]</v>
      </c>
      <c r="F23" s="14"/>
      <c r="G23" s="18" t="str">
        <f t="shared" si="13"/>
        <v/>
      </c>
      <c r="H23" s="18" t="str">
        <f t="shared" si="8"/>
        <v/>
      </c>
      <c r="I23" s="18" t="str">
        <f t="shared" si="14"/>
        <v/>
      </c>
      <c r="J23" s="18" t="str">
        <f t="shared" si="15"/>
        <v>[[10304,0.13],[11007,0.04]]</v>
      </c>
      <c r="K23" t="str">
        <f>_xlfn.XLOOKUP(C23,Pet!A:A,Pet!E:E)</f>
        <v>R-火焰</v>
      </c>
      <c r="L23" t="s">
        <v>219</v>
      </c>
      <c r="M23">
        <v>0.13</v>
      </c>
      <c r="N23" t="s">
        <v>220</v>
      </c>
      <c r="O23">
        <v>0.04</v>
      </c>
      <c r="AB23">
        <f>IFERROR(IF(L23&lt;&gt;"",_xlfn.XLOOKUP(L23,[1]AttributeName!$C:$C,[1]AttributeName!$B:$B,""),""),"")</f>
        <v>10304</v>
      </c>
      <c r="AC23">
        <f>IFERROR(IF(N23&lt;&gt;"",_xlfn.XLOOKUP(N23,[1]AttributeName!$C:$C,[1]AttributeName!$B:$B,""),""),"")</f>
        <v>11007</v>
      </c>
      <c r="AD23" t="str">
        <f>IFERROR(IF(P23&lt;&gt;"",_xlfn.XLOOKUP(P23,[1]AttributeName!$C:$C,[1]AttributeName!$B:$B,""),""),"")</f>
        <v/>
      </c>
      <c r="AE23" t="str">
        <f t="shared" si="16"/>
        <v>[10304,0.13]</v>
      </c>
      <c r="AF23" t="str">
        <f t="shared" si="20"/>
        <v>[11007,0.04]</v>
      </c>
      <c r="AG23" t="str">
        <f t="shared" si="21"/>
        <v/>
      </c>
      <c r="AH23" t="str">
        <f>IFERROR(IF(R23&lt;&gt;"",_xlfn.XLOOKUP(R23,[1]ModifierDes!$B:$B,[1]ModifierDes!$A:$A,""),""),"")</f>
        <v/>
      </c>
      <c r="AI23" t="str">
        <f>IFERROR(IF(T23&lt;&gt;"",_xlfn.XLOOKUP(T23,[1]ModifierDes!$B:$B,[1]ModifierDes!$A:$A,""),""),"")</f>
        <v/>
      </c>
      <c r="AJ23" t="str">
        <f>IFERROR(IF(V23&lt;&gt;"",_xlfn.XLOOKUP(V23,[1]ModifierDes!$B:$B,[1]ModifierDes!$A:$A,""),""),"")</f>
        <v/>
      </c>
      <c r="AK23" t="str">
        <f>IFERROR(IF(X23&lt;&gt;"",_xlfn.XLOOKUP(X23,[1]ModifierDes!$B:$B,[1]ModifierDes!$A:$A,""),""),"")</f>
        <v/>
      </c>
      <c r="AL23" t="str">
        <f t="shared" si="17"/>
        <v/>
      </c>
      <c r="AM23" t="str">
        <f t="shared" si="18"/>
        <v/>
      </c>
      <c r="AN23" t="str">
        <f t="shared" si="19"/>
        <v/>
      </c>
      <c r="AO23" t="str">
        <f t="shared" si="12"/>
        <v/>
      </c>
      <c r="AP23" t="str">
        <f>IFERROR(IF(Z23&lt;&gt;"",_xlfn.XLOOKUP(Z23,[1]StuntDes!$B:$B,[1]StuntDes!$A:$A,""),""),"")</f>
        <v/>
      </c>
      <c r="AQ23" t="str">
        <f>IFERROR(IF(AA23&lt;&gt;"",_xlfn.XLOOKUP(AA23,[1]StuntDes!$B:$B,[1]StuntDes!$A:$A,""),""),"")</f>
        <v/>
      </c>
    </row>
    <row r="24" spans="1:43">
      <c r="A24" s="16">
        <f t="shared" si="5"/>
        <v>50402</v>
      </c>
      <c r="B24" s="17" t="s">
        <v>222</v>
      </c>
      <c r="C24" s="17">
        <v>5040</v>
      </c>
      <c r="D24" s="18">
        <v>2</v>
      </c>
      <c r="E24" s="18" t="str">
        <f t="shared" si="23"/>
        <v>[[15040,1]]</v>
      </c>
      <c r="F24" s="14"/>
      <c r="G24" s="18" t="str">
        <f t="shared" si="13"/>
        <v/>
      </c>
      <c r="H24" s="18" t="str">
        <f t="shared" si="8"/>
        <v/>
      </c>
      <c r="I24" s="18" t="str">
        <f t="shared" si="14"/>
        <v/>
      </c>
      <c r="J24" s="18" t="str">
        <f t="shared" si="15"/>
        <v>[[10304,0.13],[11007,0.14]]</v>
      </c>
      <c r="K24" t="str">
        <f>_xlfn.XLOOKUP(C24,Pet!A:A,Pet!E:E)</f>
        <v>R-火焰</v>
      </c>
      <c r="L24" t="s">
        <v>219</v>
      </c>
      <c r="M24">
        <v>0.13</v>
      </c>
      <c r="N24" t="s">
        <v>220</v>
      </c>
      <c r="O24">
        <v>0.14</v>
      </c>
      <c r="AB24">
        <f>IFERROR(IF(L24&lt;&gt;"",_xlfn.XLOOKUP(L24,[1]AttributeName!$C:$C,[1]AttributeName!$B:$B,""),""),"")</f>
        <v>10304</v>
      </c>
      <c r="AC24">
        <f>IFERROR(IF(N24&lt;&gt;"",_xlfn.XLOOKUP(N24,[1]AttributeName!$C:$C,[1]AttributeName!$B:$B,""),""),"")</f>
        <v>11007</v>
      </c>
      <c r="AD24" t="str">
        <f>IFERROR(IF(P24&lt;&gt;"",_xlfn.XLOOKUP(P24,[1]AttributeName!$C:$C,[1]AttributeName!$B:$B,""),""),"")</f>
        <v/>
      </c>
      <c r="AE24" t="str">
        <f t="shared" si="16"/>
        <v>[10304,0.13]</v>
      </c>
      <c r="AF24" t="str">
        <f t="shared" si="20"/>
        <v>[11007,0.14]</v>
      </c>
      <c r="AG24" t="str">
        <f t="shared" si="21"/>
        <v/>
      </c>
      <c r="AH24" t="str">
        <f>IFERROR(IF(R24&lt;&gt;"",_xlfn.XLOOKUP(R24,[1]ModifierDes!$B:$B,[1]ModifierDes!$A:$A,""),""),"")</f>
        <v/>
      </c>
      <c r="AI24" t="str">
        <f>IFERROR(IF(T24&lt;&gt;"",_xlfn.XLOOKUP(T24,[1]ModifierDes!$B:$B,[1]ModifierDes!$A:$A,""),""),"")</f>
        <v/>
      </c>
      <c r="AJ24" t="str">
        <f>IFERROR(IF(V24&lt;&gt;"",_xlfn.XLOOKUP(V24,[1]ModifierDes!$B:$B,[1]ModifierDes!$A:$A,""),""),"")</f>
        <v/>
      </c>
      <c r="AK24" t="str">
        <f>IFERROR(IF(X24&lt;&gt;"",_xlfn.XLOOKUP(X24,[1]ModifierDes!$B:$B,[1]ModifierDes!$A:$A,""),""),"")</f>
        <v/>
      </c>
      <c r="AL24" t="str">
        <f t="shared" si="17"/>
        <v/>
      </c>
      <c r="AM24" t="str">
        <f t="shared" si="18"/>
        <v/>
      </c>
      <c r="AN24" t="str">
        <f t="shared" si="19"/>
        <v/>
      </c>
      <c r="AO24" t="str">
        <f t="shared" si="12"/>
        <v/>
      </c>
      <c r="AP24" t="str">
        <f>IFERROR(IF(Z24&lt;&gt;"",_xlfn.XLOOKUP(Z24,[1]StuntDes!$B:$B,[1]StuntDes!$A:$A,""),""),"")</f>
        <v/>
      </c>
      <c r="AQ24" t="str">
        <f>IFERROR(IF(AA24&lt;&gt;"",_xlfn.XLOOKUP(AA24,[1]StuntDes!$B:$B,[1]StuntDes!$A:$A,""),""),"")</f>
        <v/>
      </c>
    </row>
    <row r="25" spans="1:43">
      <c r="A25" s="16">
        <f t="shared" si="5"/>
        <v>50403</v>
      </c>
      <c r="B25" s="17" t="s">
        <v>223</v>
      </c>
      <c r="C25" s="17">
        <v>5040</v>
      </c>
      <c r="D25" s="18">
        <v>3</v>
      </c>
      <c r="E25" s="18" t="str">
        <f t="shared" si="23"/>
        <v>[[15040,1]]</v>
      </c>
      <c r="F25" s="14"/>
      <c r="G25" s="18" t="str">
        <f t="shared" si="13"/>
        <v/>
      </c>
      <c r="H25" s="18" t="str">
        <f t="shared" si="8"/>
        <v/>
      </c>
      <c r="I25" s="18" t="str">
        <f t="shared" si="14"/>
        <v/>
      </c>
      <c r="J25" s="18" t="str">
        <f t="shared" si="15"/>
        <v>[[10304,0.13],[11007,0.14],[10300,0.1]]</v>
      </c>
      <c r="K25" t="str">
        <f>_xlfn.XLOOKUP(C25,Pet!A:A,Pet!E:E)</f>
        <v>R-火焰</v>
      </c>
      <c r="L25" t="s">
        <v>219</v>
      </c>
      <c r="M25">
        <v>0.13</v>
      </c>
      <c r="N25" t="s">
        <v>220</v>
      </c>
      <c r="O25">
        <v>0.14</v>
      </c>
      <c r="P25" t="s">
        <v>193</v>
      </c>
      <c r="Q25">
        <v>0.1</v>
      </c>
      <c r="AB25">
        <f>IFERROR(IF(L25&lt;&gt;"",_xlfn.XLOOKUP(L25,[1]AttributeName!$C:$C,[1]AttributeName!$B:$B,""),""),"")</f>
        <v>10304</v>
      </c>
      <c r="AC25">
        <f>IFERROR(IF(N25&lt;&gt;"",_xlfn.XLOOKUP(N25,[1]AttributeName!$C:$C,[1]AttributeName!$B:$B,""),""),"")</f>
        <v>11007</v>
      </c>
      <c r="AD25">
        <f>IFERROR(IF(P25&lt;&gt;"",_xlfn.XLOOKUP(P25,[1]AttributeName!$C:$C,[1]AttributeName!$B:$B,""),""),"")</f>
        <v>10300</v>
      </c>
      <c r="AE25" t="str">
        <f t="shared" si="16"/>
        <v>[10304,0.13]</v>
      </c>
      <c r="AF25" t="str">
        <f t="shared" si="20"/>
        <v>[11007,0.14]</v>
      </c>
      <c r="AG25" t="str">
        <f t="shared" si="21"/>
        <v>[10300,0.1]</v>
      </c>
      <c r="AH25" t="str">
        <f>IFERROR(IF(R25&lt;&gt;"",_xlfn.XLOOKUP(R25,[1]ModifierDes!$B:$B,[1]ModifierDes!$A:$A,""),""),"")</f>
        <v/>
      </c>
      <c r="AI25" t="str">
        <f>IFERROR(IF(T25&lt;&gt;"",_xlfn.XLOOKUP(T25,[1]ModifierDes!$B:$B,[1]ModifierDes!$A:$A,""),""),"")</f>
        <v/>
      </c>
      <c r="AJ25" t="str">
        <f>IFERROR(IF(V25&lt;&gt;"",_xlfn.XLOOKUP(V25,[1]ModifierDes!$B:$B,[1]ModifierDes!$A:$A,""),""),"")</f>
        <v/>
      </c>
      <c r="AK25" t="str">
        <f>IFERROR(IF(X25&lt;&gt;"",_xlfn.XLOOKUP(X25,[1]ModifierDes!$B:$B,[1]ModifierDes!$A:$A,""),""),"")</f>
        <v/>
      </c>
      <c r="AL25" t="str">
        <f t="shared" si="17"/>
        <v/>
      </c>
      <c r="AM25" t="str">
        <f t="shared" si="18"/>
        <v/>
      </c>
      <c r="AN25" t="str">
        <f t="shared" si="19"/>
        <v/>
      </c>
      <c r="AO25" t="str">
        <f t="shared" si="12"/>
        <v/>
      </c>
      <c r="AP25" t="str">
        <f>IFERROR(IF(Z25&lt;&gt;"",_xlfn.XLOOKUP(Z25,[1]StuntDes!$B:$B,[1]StuntDes!$A:$A,""),""),"")</f>
        <v/>
      </c>
      <c r="AQ25" t="str">
        <f>IFERROR(IF(AA25&lt;&gt;"",_xlfn.XLOOKUP(AA25,[1]StuntDes!$B:$B,[1]StuntDes!$A:$A,""),""),"")</f>
        <v/>
      </c>
    </row>
    <row r="26" spans="1:43">
      <c r="A26" s="16">
        <f t="shared" si="5"/>
        <v>50404</v>
      </c>
      <c r="B26" s="17" t="s">
        <v>224</v>
      </c>
      <c r="C26" s="17">
        <v>5040</v>
      </c>
      <c r="D26" s="18">
        <v>4</v>
      </c>
      <c r="E26" s="18" t="str">
        <f t="shared" si="23"/>
        <v>[[15040,1]]</v>
      </c>
      <c r="F26" s="14"/>
      <c r="G26" s="18" t="str">
        <f t="shared" si="13"/>
        <v/>
      </c>
      <c r="H26" s="18" t="str">
        <f t="shared" si="8"/>
        <v/>
      </c>
      <c r="I26" s="18" t="str">
        <f t="shared" si="14"/>
        <v/>
      </c>
      <c r="J26" s="18" t="str">
        <f t="shared" si="15"/>
        <v>[[10304,0.22],[11007,0.14],[10300,0.1]]</v>
      </c>
      <c r="K26" t="str">
        <f>_xlfn.XLOOKUP(C26,Pet!A:A,Pet!E:E)</f>
        <v>R-火焰</v>
      </c>
      <c r="L26" t="s">
        <v>219</v>
      </c>
      <c r="M26">
        <v>0.22</v>
      </c>
      <c r="N26" t="s">
        <v>220</v>
      </c>
      <c r="O26">
        <v>0.14</v>
      </c>
      <c r="P26" t="s">
        <v>193</v>
      </c>
      <c r="Q26">
        <v>0.1</v>
      </c>
      <c r="AB26">
        <f>IFERROR(IF(L26&lt;&gt;"",_xlfn.XLOOKUP(L26,[1]AttributeName!$C:$C,[1]AttributeName!$B:$B,""),""),"")</f>
        <v>10304</v>
      </c>
      <c r="AC26">
        <f>IFERROR(IF(N26&lt;&gt;"",_xlfn.XLOOKUP(N26,[1]AttributeName!$C:$C,[1]AttributeName!$B:$B,""),""),"")</f>
        <v>11007</v>
      </c>
      <c r="AD26">
        <f>IFERROR(IF(P26&lt;&gt;"",_xlfn.XLOOKUP(P26,[1]AttributeName!$C:$C,[1]AttributeName!$B:$B,""),""),"")</f>
        <v>10300</v>
      </c>
      <c r="AE26" t="str">
        <f t="shared" si="16"/>
        <v>[10304,0.22]</v>
      </c>
      <c r="AF26" t="str">
        <f t="shared" si="20"/>
        <v>[11007,0.14]</v>
      </c>
      <c r="AG26" t="str">
        <f t="shared" si="21"/>
        <v>[10300,0.1]</v>
      </c>
      <c r="AH26" t="str">
        <f>IFERROR(IF(R26&lt;&gt;"",_xlfn.XLOOKUP(R26,[1]ModifierDes!$B:$B,[1]ModifierDes!$A:$A,""),""),"")</f>
        <v/>
      </c>
      <c r="AI26" t="str">
        <f>IFERROR(IF(T26&lt;&gt;"",_xlfn.XLOOKUP(T26,[1]ModifierDes!$B:$B,[1]ModifierDes!$A:$A,""),""),"")</f>
        <v/>
      </c>
      <c r="AJ26" t="str">
        <f>IFERROR(IF(V26&lt;&gt;"",_xlfn.XLOOKUP(V26,[1]ModifierDes!$B:$B,[1]ModifierDes!$A:$A,""),""),"")</f>
        <v/>
      </c>
      <c r="AK26" t="str">
        <f>IFERROR(IF(X26&lt;&gt;"",_xlfn.XLOOKUP(X26,[1]ModifierDes!$B:$B,[1]ModifierDes!$A:$A,""),""),"")</f>
        <v/>
      </c>
      <c r="AL26" t="str">
        <f t="shared" si="17"/>
        <v/>
      </c>
      <c r="AM26" t="str">
        <f t="shared" si="18"/>
        <v/>
      </c>
      <c r="AN26" t="str">
        <f t="shared" si="19"/>
        <v/>
      </c>
      <c r="AO26" t="str">
        <f t="shared" si="12"/>
        <v/>
      </c>
      <c r="AP26" t="str">
        <f>IFERROR(IF(Z26&lt;&gt;"",_xlfn.XLOOKUP(Z26,[1]StuntDes!$B:$B,[1]StuntDes!$A:$A,""),""),"")</f>
        <v/>
      </c>
      <c r="AQ26" t="str">
        <f>IFERROR(IF(AA26&lt;&gt;"",_xlfn.XLOOKUP(AA26,[1]StuntDes!$B:$B,[1]StuntDes!$A:$A,""),""),"")</f>
        <v/>
      </c>
    </row>
    <row r="27" spans="1:43">
      <c r="A27" s="16">
        <f t="shared" si="5"/>
        <v>50405</v>
      </c>
      <c r="B27" s="17" t="s">
        <v>225</v>
      </c>
      <c r="C27" s="17">
        <v>5040</v>
      </c>
      <c r="D27" s="18">
        <v>5</v>
      </c>
      <c r="E27" s="18"/>
      <c r="F27" s="14"/>
      <c r="G27" s="18" t="str">
        <f t="shared" si="13"/>
        <v/>
      </c>
      <c r="H27" s="18" t="str">
        <f t="shared" si="8"/>
        <v/>
      </c>
      <c r="I27" s="18" t="str">
        <f t="shared" si="14"/>
        <v/>
      </c>
      <c r="J27" s="18" t="str">
        <f t="shared" si="15"/>
        <v>[[10304,0.22],[11007,0.36],[10300,0.1]]</v>
      </c>
      <c r="K27" t="str">
        <f>_xlfn.XLOOKUP(C27,Pet!A:A,Pet!E:E)</f>
        <v>R-火焰</v>
      </c>
      <c r="L27" t="s">
        <v>219</v>
      </c>
      <c r="M27">
        <v>0.22</v>
      </c>
      <c r="N27" t="s">
        <v>220</v>
      </c>
      <c r="O27">
        <v>0.36</v>
      </c>
      <c r="P27" t="s">
        <v>193</v>
      </c>
      <c r="Q27">
        <v>0.1</v>
      </c>
      <c r="AB27">
        <f>IFERROR(IF(L27&lt;&gt;"",_xlfn.XLOOKUP(L27,[1]AttributeName!$C:$C,[1]AttributeName!$B:$B,""),""),"")</f>
        <v>10304</v>
      </c>
      <c r="AC27">
        <f>IFERROR(IF(N27&lt;&gt;"",_xlfn.XLOOKUP(N27,[1]AttributeName!$C:$C,[1]AttributeName!$B:$B,""),""),"")</f>
        <v>11007</v>
      </c>
      <c r="AD27">
        <f>IFERROR(IF(P27&lt;&gt;"",_xlfn.XLOOKUP(P27,[1]AttributeName!$C:$C,[1]AttributeName!$B:$B,""),""),"")</f>
        <v>10300</v>
      </c>
      <c r="AE27" t="str">
        <f t="shared" si="16"/>
        <v>[10304,0.22]</v>
      </c>
      <c r="AF27" t="str">
        <f t="shared" si="20"/>
        <v>[11007,0.36]</v>
      </c>
      <c r="AG27" t="str">
        <f t="shared" si="21"/>
        <v>[10300,0.1]</v>
      </c>
      <c r="AH27" t="str">
        <f>IFERROR(IF(R27&lt;&gt;"",_xlfn.XLOOKUP(R27,[1]ModifierDes!$B:$B,[1]ModifierDes!$A:$A,""),""),"")</f>
        <v/>
      </c>
      <c r="AI27" t="str">
        <f>IFERROR(IF(T27&lt;&gt;"",_xlfn.XLOOKUP(T27,[1]ModifierDes!$B:$B,[1]ModifierDes!$A:$A,""),""),"")</f>
        <v/>
      </c>
      <c r="AJ27" t="str">
        <f>IFERROR(IF(V27&lt;&gt;"",_xlfn.XLOOKUP(V27,[1]ModifierDes!$B:$B,[1]ModifierDes!$A:$A,""),""),"")</f>
        <v/>
      </c>
      <c r="AK27" t="str">
        <f>IFERROR(IF(X27&lt;&gt;"",_xlfn.XLOOKUP(X27,[1]ModifierDes!$B:$B,[1]ModifierDes!$A:$A,""),""),"")</f>
        <v/>
      </c>
      <c r="AL27" t="str">
        <f t="shared" si="17"/>
        <v/>
      </c>
      <c r="AM27" t="str">
        <f t="shared" si="18"/>
        <v/>
      </c>
      <c r="AN27" t="str">
        <f t="shared" si="19"/>
        <v/>
      </c>
      <c r="AO27" t="str">
        <f t="shared" si="12"/>
        <v/>
      </c>
      <c r="AP27" t="str">
        <f>IFERROR(IF(Z27&lt;&gt;"",_xlfn.XLOOKUP(Z27,[1]StuntDes!$B:$B,[1]StuntDes!$A:$A,""),""),"")</f>
        <v/>
      </c>
      <c r="AQ27" t="str">
        <f>IFERROR(IF(AA27&lt;&gt;"",_xlfn.XLOOKUP(AA27,[1]StuntDes!$B:$B,[1]StuntDes!$A:$A,""),""),"")</f>
        <v/>
      </c>
    </row>
    <row r="28" spans="1:43">
      <c r="A28" s="16">
        <f t="shared" si="5"/>
        <v>50500</v>
      </c>
      <c r="B28" s="17" t="s">
        <v>226</v>
      </c>
      <c r="C28" s="17">
        <v>5050</v>
      </c>
      <c r="D28" s="18">
        <v>0</v>
      </c>
      <c r="E28" s="18" t="str">
        <f t="shared" ref="E28:E32" si="24">"[["&amp;C28+10000&amp;",1]]"</f>
        <v>[[15050,1]]</v>
      </c>
      <c r="F28" s="14"/>
      <c r="G28" s="18" t="str">
        <f t="shared" si="13"/>
        <v>10066|10031</v>
      </c>
      <c r="H28" s="18" t="str">
        <f t="shared" si="8"/>
        <v>[[0.07],[0.01]]</v>
      </c>
      <c r="I28" s="18" t="str">
        <f t="shared" si="14"/>
        <v/>
      </c>
      <c r="J28" s="18" t="str">
        <f t="shared" si="15"/>
        <v/>
      </c>
      <c r="K28" t="str">
        <f>_xlfn.XLOOKUP(C28,Pet!A:A,Pet!E:E)</f>
        <v>R-攻击</v>
      </c>
      <c r="R28" t="s">
        <v>227</v>
      </c>
      <c r="S28">
        <v>0.07</v>
      </c>
      <c r="T28" t="s">
        <v>207</v>
      </c>
      <c r="U28">
        <v>0.01</v>
      </c>
      <c r="AB28" t="str">
        <f>IFERROR(IF(L28&lt;&gt;"",_xlfn.XLOOKUP(L28,[1]AttributeName!$C:$C,[1]AttributeName!$B:$B,""),""),"")</f>
        <v/>
      </c>
      <c r="AC28" t="str">
        <f>IFERROR(IF(N28&lt;&gt;"",_xlfn.XLOOKUP(N28,[1]AttributeName!$C:$C,[1]AttributeName!$B:$B,""),""),"")</f>
        <v/>
      </c>
      <c r="AD28" t="str">
        <f>IFERROR(IF(P28&lt;&gt;"",_xlfn.XLOOKUP(P28,[1]AttributeName!$C:$C,[1]AttributeName!$B:$B,""),""),"")</f>
        <v/>
      </c>
      <c r="AE28" t="str">
        <f t="shared" si="16"/>
        <v/>
      </c>
      <c r="AF28" t="str">
        <f t="shared" si="20"/>
        <v/>
      </c>
      <c r="AG28" t="str">
        <f t="shared" si="21"/>
        <v/>
      </c>
      <c r="AH28">
        <f>IFERROR(IF(R28&lt;&gt;"",_xlfn.XLOOKUP(R28,[1]ModifierDes!$B:$B,[1]ModifierDes!$A:$A,""),""),"")</f>
        <v>10066</v>
      </c>
      <c r="AI28">
        <f>IFERROR(IF(T28&lt;&gt;"",_xlfn.XLOOKUP(T28,[1]ModifierDes!$B:$B,[1]ModifierDes!$A:$A,""),""),"")</f>
        <v>10031</v>
      </c>
      <c r="AJ28" t="str">
        <f>IFERROR(IF(V28&lt;&gt;"",_xlfn.XLOOKUP(V28,[1]ModifierDes!$B:$B,[1]ModifierDes!$A:$A,""),""),"")</f>
        <v/>
      </c>
      <c r="AK28" t="str">
        <f>IFERROR(IF(X28&lt;&gt;"",_xlfn.XLOOKUP(X28,[1]ModifierDes!$B:$B,[1]ModifierDes!$A:$A,""),""),"")</f>
        <v/>
      </c>
      <c r="AL28" t="str">
        <f t="shared" si="17"/>
        <v>[0.07]</v>
      </c>
      <c r="AM28" t="str">
        <f t="shared" si="18"/>
        <v>[0.01]</v>
      </c>
      <c r="AN28" t="str">
        <f t="shared" si="19"/>
        <v/>
      </c>
      <c r="AO28" t="str">
        <f t="shared" si="12"/>
        <v/>
      </c>
      <c r="AP28" t="str">
        <f>IFERROR(IF(Z28&lt;&gt;"",_xlfn.XLOOKUP(Z28,[1]StuntDes!$B:$B,[1]StuntDes!$A:$A,""),""),"")</f>
        <v/>
      </c>
      <c r="AQ28" t="str">
        <f>IFERROR(IF(AA28&lt;&gt;"",_xlfn.XLOOKUP(AA28,[1]StuntDes!$B:$B,[1]StuntDes!$A:$A,""),""),"")</f>
        <v/>
      </c>
    </row>
    <row r="29" spans="1:43">
      <c r="A29" s="16">
        <f t="shared" si="5"/>
        <v>50501</v>
      </c>
      <c r="B29" s="17" t="s">
        <v>228</v>
      </c>
      <c r="C29" s="17">
        <v>5050</v>
      </c>
      <c r="D29" s="18">
        <v>1</v>
      </c>
      <c r="E29" s="18" t="str">
        <f t="shared" si="24"/>
        <v>[[15050,1]]</v>
      </c>
      <c r="F29" s="14"/>
      <c r="G29" s="18" t="str">
        <f t="shared" si="13"/>
        <v>10066|10031</v>
      </c>
      <c r="H29" s="18" t="str">
        <f t="shared" si="8"/>
        <v>[[0.11],[0.01]]</v>
      </c>
      <c r="I29" s="18" t="str">
        <f t="shared" si="14"/>
        <v/>
      </c>
      <c r="J29" s="18" t="str">
        <f t="shared" si="15"/>
        <v/>
      </c>
      <c r="K29" t="str">
        <f>_xlfn.XLOOKUP(C29,Pet!A:A,Pet!E:E)</f>
        <v>R-攻击</v>
      </c>
      <c r="R29" t="s">
        <v>227</v>
      </c>
      <c r="S29">
        <v>0.11</v>
      </c>
      <c r="T29" t="s">
        <v>207</v>
      </c>
      <c r="U29">
        <v>0.01</v>
      </c>
      <c r="AB29" t="str">
        <f>IFERROR(IF(L29&lt;&gt;"",_xlfn.XLOOKUP(L29,[1]AttributeName!$C:$C,[1]AttributeName!$B:$B,""),""),"")</f>
        <v/>
      </c>
      <c r="AC29" t="str">
        <f>IFERROR(IF(N29&lt;&gt;"",_xlfn.XLOOKUP(N29,[1]AttributeName!$C:$C,[1]AttributeName!$B:$B,""),""),"")</f>
        <v/>
      </c>
      <c r="AD29" t="str">
        <f>IFERROR(IF(P29&lt;&gt;"",_xlfn.XLOOKUP(P29,[1]AttributeName!$C:$C,[1]AttributeName!$B:$B,""),""),"")</f>
        <v/>
      </c>
      <c r="AE29" t="str">
        <f t="shared" si="16"/>
        <v/>
      </c>
      <c r="AF29" t="str">
        <f t="shared" si="20"/>
        <v/>
      </c>
      <c r="AG29" t="str">
        <f t="shared" si="21"/>
        <v/>
      </c>
      <c r="AH29">
        <f>IFERROR(IF(R29&lt;&gt;"",_xlfn.XLOOKUP(R29,[1]ModifierDes!$B:$B,[1]ModifierDes!$A:$A,""),""),"")</f>
        <v>10066</v>
      </c>
      <c r="AI29">
        <f>IFERROR(IF(T29&lt;&gt;"",_xlfn.XLOOKUP(T29,[1]ModifierDes!$B:$B,[1]ModifierDes!$A:$A,""),""),"")</f>
        <v>10031</v>
      </c>
      <c r="AJ29" t="str">
        <f>IFERROR(IF(V29&lt;&gt;"",_xlfn.XLOOKUP(V29,[1]ModifierDes!$B:$B,[1]ModifierDes!$A:$A,""),""),"")</f>
        <v/>
      </c>
      <c r="AK29" t="str">
        <f>IFERROR(IF(X29&lt;&gt;"",_xlfn.XLOOKUP(X29,[1]ModifierDes!$B:$B,[1]ModifierDes!$A:$A,""),""),"")</f>
        <v/>
      </c>
      <c r="AL29" t="str">
        <f t="shared" si="17"/>
        <v>[0.11]</v>
      </c>
      <c r="AM29" t="str">
        <f t="shared" si="18"/>
        <v>[0.01]</v>
      </c>
      <c r="AN29" t="str">
        <f t="shared" si="19"/>
        <v/>
      </c>
      <c r="AO29" t="str">
        <f t="shared" si="12"/>
        <v/>
      </c>
      <c r="AP29" t="str">
        <f>IFERROR(IF(Z29&lt;&gt;"",_xlfn.XLOOKUP(Z29,[1]StuntDes!$B:$B,[1]StuntDes!$A:$A,""),""),"")</f>
        <v/>
      </c>
      <c r="AQ29" t="str">
        <f>IFERROR(IF(AA29&lt;&gt;"",_xlfn.XLOOKUP(AA29,[1]StuntDes!$B:$B,[1]StuntDes!$A:$A,""),""),"")</f>
        <v/>
      </c>
    </row>
    <row r="30" spans="1:43">
      <c r="A30" s="16">
        <f t="shared" si="5"/>
        <v>50502</v>
      </c>
      <c r="B30" s="17" t="s">
        <v>229</v>
      </c>
      <c r="C30" s="17">
        <v>5050</v>
      </c>
      <c r="D30" s="18">
        <v>2</v>
      </c>
      <c r="E30" s="18" t="str">
        <f t="shared" si="24"/>
        <v>[[15050,1]]</v>
      </c>
      <c r="F30" s="14"/>
      <c r="G30" s="18" t="str">
        <f t="shared" si="13"/>
        <v>10066|10031</v>
      </c>
      <c r="H30" s="18" t="str">
        <f t="shared" si="8"/>
        <v>[[0.11],[0.03]]</v>
      </c>
      <c r="I30" s="18" t="str">
        <f t="shared" si="14"/>
        <v/>
      </c>
      <c r="J30" s="18" t="str">
        <f t="shared" si="15"/>
        <v/>
      </c>
      <c r="K30" t="str">
        <f>_xlfn.XLOOKUP(C30,Pet!A:A,Pet!E:E)</f>
        <v>R-攻击</v>
      </c>
      <c r="R30" t="s">
        <v>227</v>
      </c>
      <c r="S30">
        <v>0.11</v>
      </c>
      <c r="T30" t="s">
        <v>207</v>
      </c>
      <c r="U30">
        <v>0.03</v>
      </c>
      <c r="AB30" t="str">
        <f>IFERROR(IF(L30&lt;&gt;"",_xlfn.XLOOKUP(L30,[1]AttributeName!$C:$C,[1]AttributeName!$B:$B,""),""),"")</f>
        <v/>
      </c>
      <c r="AC30" t="str">
        <f>IFERROR(IF(N30&lt;&gt;"",_xlfn.XLOOKUP(N30,[1]AttributeName!$C:$C,[1]AttributeName!$B:$B,""),""),"")</f>
        <v/>
      </c>
      <c r="AD30" t="str">
        <f>IFERROR(IF(P30&lt;&gt;"",_xlfn.XLOOKUP(P30,[1]AttributeName!$C:$C,[1]AttributeName!$B:$B,""),""),"")</f>
        <v/>
      </c>
      <c r="AE30" t="str">
        <f t="shared" si="16"/>
        <v/>
      </c>
      <c r="AF30" t="str">
        <f t="shared" si="20"/>
        <v/>
      </c>
      <c r="AG30" t="str">
        <f t="shared" si="21"/>
        <v/>
      </c>
      <c r="AH30">
        <f>IFERROR(IF(R30&lt;&gt;"",_xlfn.XLOOKUP(R30,[1]ModifierDes!$B:$B,[1]ModifierDes!$A:$A,""),""),"")</f>
        <v>10066</v>
      </c>
      <c r="AI30">
        <f>IFERROR(IF(T30&lt;&gt;"",_xlfn.XLOOKUP(T30,[1]ModifierDes!$B:$B,[1]ModifierDes!$A:$A,""),""),"")</f>
        <v>10031</v>
      </c>
      <c r="AJ30" t="str">
        <f>IFERROR(IF(V30&lt;&gt;"",_xlfn.XLOOKUP(V30,[1]ModifierDes!$B:$B,[1]ModifierDes!$A:$A,""),""),"")</f>
        <v/>
      </c>
      <c r="AK30" t="str">
        <f>IFERROR(IF(X30&lt;&gt;"",_xlfn.XLOOKUP(X30,[1]ModifierDes!$B:$B,[1]ModifierDes!$A:$A,""),""),"")</f>
        <v/>
      </c>
      <c r="AL30" t="str">
        <f t="shared" si="17"/>
        <v>[0.11]</v>
      </c>
      <c r="AM30" t="str">
        <f t="shared" si="18"/>
        <v>[0.03]</v>
      </c>
      <c r="AN30" t="str">
        <f t="shared" si="19"/>
        <v/>
      </c>
      <c r="AO30" t="str">
        <f t="shared" si="12"/>
        <v/>
      </c>
      <c r="AP30" t="str">
        <f>IFERROR(IF(Z30&lt;&gt;"",_xlfn.XLOOKUP(Z30,[1]StuntDes!$B:$B,[1]StuntDes!$A:$A,""),""),"")</f>
        <v/>
      </c>
      <c r="AQ30" t="str">
        <f>IFERROR(IF(AA30&lt;&gt;"",_xlfn.XLOOKUP(AA30,[1]StuntDes!$B:$B,[1]StuntDes!$A:$A,""),""),"")</f>
        <v/>
      </c>
    </row>
    <row r="31" spans="1:43">
      <c r="A31" s="16">
        <f t="shared" si="5"/>
        <v>50503</v>
      </c>
      <c r="B31" s="17" t="s">
        <v>230</v>
      </c>
      <c r="C31" s="17">
        <v>5050</v>
      </c>
      <c r="D31" s="18">
        <v>3</v>
      </c>
      <c r="E31" s="18" t="str">
        <f t="shared" si="24"/>
        <v>[[15050,1]]</v>
      </c>
      <c r="F31" s="14"/>
      <c r="G31" s="18" t="str">
        <f t="shared" si="13"/>
        <v>10066|10031</v>
      </c>
      <c r="H31" s="18" t="str">
        <f t="shared" si="8"/>
        <v>[[0.11],[0.03]]</v>
      </c>
      <c r="I31" s="18" t="str">
        <f t="shared" si="14"/>
        <v/>
      </c>
      <c r="J31" s="18" t="str">
        <f t="shared" si="15"/>
        <v>[[10300,0.07]]</v>
      </c>
      <c r="K31" t="str">
        <f>_xlfn.XLOOKUP(C31,Pet!A:A,Pet!E:E)</f>
        <v>R-攻击</v>
      </c>
      <c r="L31" t="s">
        <v>193</v>
      </c>
      <c r="M31">
        <v>0.07</v>
      </c>
      <c r="R31" t="s">
        <v>227</v>
      </c>
      <c r="S31">
        <v>0.11</v>
      </c>
      <c r="T31" t="s">
        <v>207</v>
      </c>
      <c r="U31">
        <v>0.03</v>
      </c>
      <c r="AB31">
        <f>IFERROR(IF(L31&lt;&gt;"",_xlfn.XLOOKUP(L31,[1]AttributeName!$C:$C,[1]AttributeName!$B:$B,""),""),"")</f>
        <v>10300</v>
      </c>
      <c r="AC31" t="str">
        <f>IFERROR(IF(N31&lt;&gt;"",_xlfn.XLOOKUP(N31,[1]AttributeName!$C:$C,[1]AttributeName!$B:$B,""),""),"")</f>
        <v/>
      </c>
      <c r="AD31" t="str">
        <f>IFERROR(IF(P31&lt;&gt;"",_xlfn.XLOOKUP(P31,[1]AttributeName!$C:$C,[1]AttributeName!$B:$B,""),""),"")</f>
        <v/>
      </c>
      <c r="AE31" t="str">
        <f t="shared" si="16"/>
        <v>[10300,0.07]</v>
      </c>
      <c r="AF31" t="str">
        <f t="shared" si="20"/>
        <v/>
      </c>
      <c r="AG31" t="str">
        <f t="shared" si="21"/>
        <v/>
      </c>
      <c r="AH31">
        <f>IFERROR(IF(R31&lt;&gt;"",_xlfn.XLOOKUP(R31,[1]ModifierDes!$B:$B,[1]ModifierDes!$A:$A,""),""),"")</f>
        <v>10066</v>
      </c>
      <c r="AI31">
        <f>IFERROR(IF(T31&lt;&gt;"",_xlfn.XLOOKUP(T31,[1]ModifierDes!$B:$B,[1]ModifierDes!$A:$A,""),""),"")</f>
        <v>10031</v>
      </c>
      <c r="AJ31" t="str">
        <f>IFERROR(IF(V31&lt;&gt;"",_xlfn.XLOOKUP(V31,[1]ModifierDes!$B:$B,[1]ModifierDes!$A:$A,""),""),"")</f>
        <v/>
      </c>
      <c r="AK31" t="str">
        <f>IFERROR(IF(X31&lt;&gt;"",_xlfn.XLOOKUP(X31,[1]ModifierDes!$B:$B,[1]ModifierDes!$A:$A,""),""),"")</f>
        <v/>
      </c>
      <c r="AL31" t="str">
        <f t="shared" si="17"/>
        <v>[0.11]</v>
      </c>
      <c r="AM31" t="str">
        <f t="shared" si="18"/>
        <v>[0.03]</v>
      </c>
      <c r="AN31" t="str">
        <f t="shared" si="19"/>
        <v/>
      </c>
      <c r="AO31" t="str">
        <f t="shared" si="12"/>
        <v/>
      </c>
      <c r="AP31" t="str">
        <f>IFERROR(IF(Z31&lt;&gt;"",_xlfn.XLOOKUP(Z31,[1]StuntDes!$B:$B,[1]StuntDes!$A:$A,""),""),"")</f>
        <v/>
      </c>
      <c r="AQ31" t="str">
        <f>IFERROR(IF(AA31&lt;&gt;"",_xlfn.XLOOKUP(AA31,[1]StuntDes!$B:$B,[1]StuntDes!$A:$A,""),""),"")</f>
        <v/>
      </c>
    </row>
    <row r="32" spans="1:43">
      <c r="A32" s="16">
        <f t="shared" si="5"/>
        <v>50504</v>
      </c>
      <c r="B32" s="17" t="s">
        <v>231</v>
      </c>
      <c r="C32" s="17">
        <v>5050</v>
      </c>
      <c r="D32" s="18">
        <v>4</v>
      </c>
      <c r="E32" s="18" t="str">
        <f t="shared" si="24"/>
        <v>[[15050,1]]</v>
      </c>
      <c r="F32" s="14"/>
      <c r="G32" s="18" t="str">
        <f t="shared" si="13"/>
        <v>10066|10031</v>
      </c>
      <c r="H32" s="18" t="str">
        <f t="shared" si="8"/>
        <v>[[0.2],[0.03]]</v>
      </c>
      <c r="I32" s="18" t="str">
        <f t="shared" si="14"/>
        <v/>
      </c>
      <c r="J32" s="18" t="str">
        <f t="shared" si="15"/>
        <v>[[10300,0.07]]</v>
      </c>
      <c r="K32" t="str">
        <f>_xlfn.XLOOKUP(C32,Pet!A:A,Pet!E:E)</f>
        <v>R-攻击</v>
      </c>
      <c r="L32" t="s">
        <v>193</v>
      </c>
      <c r="M32">
        <v>0.07</v>
      </c>
      <c r="R32" t="s">
        <v>227</v>
      </c>
      <c r="S32">
        <v>0.2</v>
      </c>
      <c r="T32" t="s">
        <v>207</v>
      </c>
      <c r="U32">
        <v>0.03</v>
      </c>
      <c r="AB32">
        <f>IFERROR(IF(L32&lt;&gt;"",_xlfn.XLOOKUP(L32,[1]AttributeName!$C:$C,[1]AttributeName!$B:$B,""),""),"")</f>
        <v>10300</v>
      </c>
      <c r="AC32" t="str">
        <f>IFERROR(IF(N32&lt;&gt;"",_xlfn.XLOOKUP(N32,[1]AttributeName!$C:$C,[1]AttributeName!$B:$B,""),""),"")</f>
        <v/>
      </c>
      <c r="AD32" t="str">
        <f>IFERROR(IF(P32&lt;&gt;"",_xlfn.XLOOKUP(P32,[1]AttributeName!$C:$C,[1]AttributeName!$B:$B,""),""),"")</f>
        <v/>
      </c>
      <c r="AE32" t="str">
        <f t="shared" si="16"/>
        <v>[10300,0.07]</v>
      </c>
      <c r="AF32" t="str">
        <f t="shared" si="20"/>
        <v/>
      </c>
      <c r="AG32" t="str">
        <f t="shared" si="21"/>
        <v/>
      </c>
      <c r="AH32">
        <f>IFERROR(IF(R32&lt;&gt;"",_xlfn.XLOOKUP(R32,[1]ModifierDes!$B:$B,[1]ModifierDes!$A:$A,""),""),"")</f>
        <v>10066</v>
      </c>
      <c r="AI32">
        <f>IFERROR(IF(T32&lt;&gt;"",_xlfn.XLOOKUP(T32,[1]ModifierDes!$B:$B,[1]ModifierDes!$A:$A,""),""),"")</f>
        <v>10031</v>
      </c>
      <c r="AJ32" t="str">
        <f>IFERROR(IF(V32&lt;&gt;"",_xlfn.XLOOKUP(V32,[1]ModifierDes!$B:$B,[1]ModifierDes!$A:$A,""),""),"")</f>
        <v/>
      </c>
      <c r="AK32" t="str">
        <f>IFERROR(IF(X32&lt;&gt;"",_xlfn.XLOOKUP(X32,[1]ModifierDes!$B:$B,[1]ModifierDes!$A:$A,""),""),"")</f>
        <v/>
      </c>
      <c r="AL32" t="str">
        <f t="shared" si="17"/>
        <v>[0.2]</v>
      </c>
      <c r="AM32" t="str">
        <f t="shared" si="18"/>
        <v>[0.03]</v>
      </c>
      <c r="AN32" t="str">
        <f t="shared" si="19"/>
        <v/>
      </c>
      <c r="AO32" t="str">
        <f t="shared" si="12"/>
        <v/>
      </c>
      <c r="AP32" t="str">
        <f>IFERROR(IF(Z32&lt;&gt;"",_xlfn.XLOOKUP(Z32,[1]StuntDes!$B:$B,[1]StuntDes!$A:$A,""),""),"")</f>
        <v/>
      </c>
      <c r="AQ32" t="str">
        <f>IFERROR(IF(AA32&lt;&gt;"",_xlfn.XLOOKUP(AA32,[1]StuntDes!$B:$B,[1]StuntDes!$A:$A,""),""),"")</f>
        <v/>
      </c>
    </row>
    <row r="33" spans="1:43">
      <c r="A33" s="16">
        <f t="shared" si="5"/>
        <v>50505</v>
      </c>
      <c r="B33" s="17" t="s">
        <v>232</v>
      </c>
      <c r="C33" s="17">
        <v>5050</v>
      </c>
      <c r="D33" s="18">
        <v>5</v>
      </c>
      <c r="E33" s="18"/>
      <c r="F33" s="14"/>
      <c r="G33" s="18" t="str">
        <f t="shared" si="13"/>
        <v>10066|10031</v>
      </c>
      <c r="H33" s="18" t="str">
        <f t="shared" si="8"/>
        <v>[[0.2],[0.06]]</v>
      </c>
      <c r="I33" s="18" t="str">
        <f t="shared" si="14"/>
        <v/>
      </c>
      <c r="J33" s="18" t="str">
        <f t="shared" si="15"/>
        <v>[[10300,0.07]]</v>
      </c>
      <c r="K33" t="str">
        <f>_xlfn.XLOOKUP(C33,Pet!A:A,Pet!E:E)</f>
        <v>R-攻击</v>
      </c>
      <c r="L33" t="s">
        <v>193</v>
      </c>
      <c r="M33">
        <v>0.07</v>
      </c>
      <c r="R33" t="s">
        <v>227</v>
      </c>
      <c r="S33">
        <v>0.2</v>
      </c>
      <c r="T33" t="s">
        <v>207</v>
      </c>
      <c r="U33">
        <v>0.06</v>
      </c>
      <c r="AB33">
        <f>IFERROR(IF(L33&lt;&gt;"",_xlfn.XLOOKUP(L33,[1]AttributeName!$C:$C,[1]AttributeName!$B:$B,""),""),"")</f>
        <v>10300</v>
      </c>
      <c r="AC33" t="str">
        <f>IFERROR(IF(N33&lt;&gt;"",_xlfn.XLOOKUP(N33,[1]AttributeName!$C:$C,[1]AttributeName!$B:$B,""),""),"")</f>
        <v/>
      </c>
      <c r="AD33" t="str">
        <f>IFERROR(IF(P33&lt;&gt;"",_xlfn.XLOOKUP(P33,[1]AttributeName!$C:$C,[1]AttributeName!$B:$B,""),""),"")</f>
        <v/>
      </c>
      <c r="AE33" t="str">
        <f t="shared" si="16"/>
        <v>[10300,0.07]</v>
      </c>
      <c r="AF33" t="str">
        <f t="shared" si="20"/>
        <v/>
      </c>
      <c r="AG33" t="str">
        <f t="shared" si="21"/>
        <v/>
      </c>
      <c r="AH33">
        <f>IFERROR(IF(R33&lt;&gt;"",_xlfn.XLOOKUP(R33,[1]ModifierDes!$B:$B,[1]ModifierDes!$A:$A,""),""),"")</f>
        <v>10066</v>
      </c>
      <c r="AI33">
        <f>IFERROR(IF(T33&lt;&gt;"",_xlfn.XLOOKUP(T33,[1]ModifierDes!$B:$B,[1]ModifierDes!$A:$A,""),""),"")</f>
        <v>10031</v>
      </c>
      <c r="AJ33" t="str">
        <f>IFERROR(IF(V33&lt;&gt;"",_xlfn.XLOOKUP(V33,[1]ModifierDes!$B:$B,[1]ModifierDes!$A:$A,""),""),"")</f>
        <v/>
      </c>
      <c r="AK33" t="str">
        <f>IFERROR(IF(X33&lt;&gt;"",_xlfn.XLOOKUP(X33,[1]ModifierDes!$B:$B,[1]ModifierDes!$A:$A,""),""),"")</f>
        <v/>
      </c>
      <c r="AL33" t="str">
        <f t="shared" si="17"/>
        <v>[0.2]</v>
      </c>
      <c r="AM33" t="str">
        <f t="shared" si="18"/>
        <v>[0.06]</v>
      </c>
      <c r="AN33" t="str">
        <f t="shared" si="19"/>
        <v/>
      </c>
      <c r="AO33" t="str">
        <f t="shared" si="12"/>
        <v/>
      </c>
      <c r="AP33" t="str">
        <f>IFERROR(IF(Z33&lt;&gt;"",_xlfn.XLOOKUP(Z33,[1]StuntDes!$B:$B,[1]StuntDes!$A:$A,""),""),"")</f>
        <v/>
      </c>
      <c r="AQ33" t="str">
        <f>IFERROR(IF(AA33&lt;&gt;"",_xlfn.XLOOKUP(AA33,[1]StuntDes!$B:$B,[1]StuntDes!$A:$A,""),""),"")</f>
        <v/>
      </c>
    </row>
    <row r="34" spans="1:43">
      <c r="A34" s="16">
        <f t="shared" si="5"/>
        <v>50100</v>
      </c>
      <c r="B34" s="17" t="s">
        <v>233</v>
      </c>
      <c r="C34" s="17">
        <v>5010</v>
      </c>
      <c r="D34" s="18">
        <v>0</v>
      </c>
      <c r="E34" s="18" t="str">
        <f t="shared" ref="E34:E38" si="25">"[["&amp;C34+10000&amp;",1]]"</f>
        <v>[[15010,1]]</v>
      </c>
      <c r="F34" s="14"/>
      <c r="G34" s="18" t="str">
        <f t="shared" si="13"/>
        <v>10063|10080</v>
      </c>
      <c r="H34" s="18" t="str">
        <f t="shared" si="8"/>
        <v>[[0.07],[0.02]]</v>
      </c>
      <c r="I34" s="18" t="str">
        <f t="shared" si="14"/>
        <v/>
      </c>
      <c r="J34" s="18" t="str">
        <f t="shared" si="15"/>
        <v/>
      </c>
      <c r="K34" t="str">
        <f>_xlfn.XLOOKUP(C34,Pet!A:A,Pet!E:E)</f>
        <v>R-近战</v>
      </c>
      <c r="R34" t="s">
        <v>234</v>
      </c>
      <c r="S34">
        <v>0.07</v>
      </c>
      <c r="T34" t="s">
        <v>235</v>
      </c>
      <c r="U34">
        <v>0.02</v>
      </c>
      <c r="AB34" t="str">
        <f>IFERROR(IF(L34&lt;&gt;"",_xlfn.XLOOKUP(L34,[1]AttributeName!$C:$C,[1]AttributeName!$B:$B,""),""),"")</f>
        <v/>
      </c>
      <c r="AC34" t="str">
        <f>IFERROR(IF(N34&lt;&gt;"",_xlfn.XLOOKUP(N34,[1]AttributeName!$C:$C,[1]AttributeName!$B:$B,""),""),"")</f>
        <v/>
      </c>
      <c r="AD34" t="str">
        <f>IFERROR(IF(P34&lt;&gt;"",_xlfn.XLOOKUP(P34,[1]AttributeName!$C:$C,[1]AttributeName!$B:$B,""),""),"")</f>
        <v/>
      </c>
      <c r="AE34" t="str">
        <f t="shared" si="16"/>
        <v/>
      </c>
      <c r="AF34" t="str">
        <f t="shared" si="20"/>
        <v/>
      </c>
      <c r="AG34" t="str">
        <f t="shared" si="21"/>
        <v/>
      </c>
      <c r="AH34">
        <f>IFERROR(IF(R34&lt;&gt;"",_xlfn.XLOOKUP(R34,[1]ModifierDes!$B:$B,[1]ModifierDes!$A:$A,""),""),"")</f>
        <v>10063</v>
      </c>
      <c r="AI34">
        <f>IFERROR(IF(T34&lt;&gt;"",_xlfn.XLOOKUP(T34,[1]ModifierDes!$B:$B,[1]ModifierDes!$A:$A,""),""),"")</f>
        <v>10080</v>
      </c>
      <c r="AJ34" t="str">
        <f>IFERROR(IF(V34&lt;&gt;"",_xlfn.XLOOKUP(V34,[1]ModifierDes!$B:$B,[1]ModifierDes!$A:$A,""),""),"")</f>
        <v/>
      </c>
      <c r="AK34" t="str">
        <f>IFERROR(IF(X34&lt;&gt;"",_xlfn.XLOOKUP(X34,[1]ModifierDes!$B:$B,[1]ModifierDes!$A:$A,""),""),"")</f>
        <v/>
      </c>
      <c r="AL34" t="str">
        <f t="shared" si="17"/>
        <v>[0.07]</v>
      </c>
      <c r="AM34" t="str">
        <f t="shared" si="18"/>
        <v>[0.02]</v>
      </c>
      <c r="AN34" t="str">
        <f t="shared" si="19"/>
        <v/>
      </c>
      <c r="AO34" t="str">
        <f t="shared" si="12"/>
        <v/>
      </c>
      <c r="AP34" t="str">
        <f>IFERROR(IF(Z34&lt;&gt;"",_xlfn.XLOOKUP(Z34,[1]StuntDes!$B:$B,[1]StuntDes!$A:$A,""),""),"")</f>
        <v/>
      </c>
      <c r="AQ34" t="str">
        <f>IFERROR(IF(AA34&lt;&gt;"",_xlfn.XLOOKUP(AA34,[1]StuntDes!$B:$B,[1]StuntDes!$A:$A,""),""),"")</f>
        <v/>
      </c>
    </row>
    <row r="35" spans="1:43">
      <c r="A35" s="16">
        <f t="shared" si="5"/>
        <v>50101</v>
      </c>
      <c r="B35" s="17" t="s">
        <v>236</v>
      </c>
      <c r="C35" s="17">
        <v>5010</v>
      </c>
      <c r="D35" s="18">
        <v>1</v>
      </c>
      <c r="E35" s="18" t="str">
        <f t="shared" si="25"/>
        <v>[[15010,1]]</v>
      </c>
      <c r="F35" s="14"/>
      <c r="G35" s="18" t="str">
        <f t="shared" si="13"/>
        <v>10063|10080</v>
      </c>
      <c r="H35" s="18" t="str">
        <f t="shared" si="8"/>
        <v>[[0.11],[0.02]]</v>
      </c>
      <c r="I35" s="18" t="str">
        <f t="shared" si="14"/>
        <v/>
      </c>
      <c r="J35" s="18" t="str">
        <f t="shared" si="15"/>
        <v/>
      </c>
      <c r="K35" t="str">
        <f>_xlfn.XLOOKUP(C35,Pet!A:A,Pet!E:E)</f>
        <v>R-近战</v>
      </c>
      <c r="R35" t="s">
        <v>234</v>
      </c>
      <c r="S35">
        <v>0.11</v>
      </c>
      <c r="T35" t="s">
        <v>235</v>
      </c>
      <c r="U35">
        <v>0.02</v>
      </c>
      <c r="AB35" t="str">
        <f>IFERROR(IF(L35&lt;&gt;"",_xlfn.XLOOKUP(L35,[1]AttributeName!$C:$C,[1]AttributeName!$B:$B,""),""),"")</f>
        <v/>
      </c>
      <c r="AC35" t="str">
        <f>IFERROR(IF(N35&lt;&gt;"",_xlfn.XLOOKUP(N35,[1]AttributeName!$C:$C,[1]AttributeName!$B:$B,""),""),"")</f>
        <v/>
      </c>
      <c r="AD35" t="str">
        <f>IFERROR(IF(P35&lt;&gt;"",_xlfn.XLOOKUP(P35,[1]AttributeName!$C:$C,[1]AttributeName!$B:$B,""),""),"")</f>
        <v/>
      </c>
      <c r="AE35" t="str">
        <f t="shared" si="16"/>
        <v/>
      </c>
      <c r="AF35" t="str">
        <f t="shared" si="20"/>
        <v/>
      </c>
      <c r="AG35" t="str">
        <f t="shared" si="21"/>
        <v/>
      </c>
      <c r="AH35">
        <f>IFERROR(IF(R35&lt;&gt;"",_xlfn.XLOOKUP(R35,[1]ModifierDes!$B:$B,[1]ModifierDes!$A:$A,""),""),"")</f>
        <v>10063</v>
      </c>
      <c r="AI35">
        <f>IFERROR(IF(T35&lt;&gt;"",_xlfn.XLOOKUP(T35,[1]ModifierDes!$B:$B,[1]ModifierDes!$A:$A,""),""),"")</f>
        <v>10080</v>
      </c>
      <c r="AJ35" t="str">
        <f>IFERROR(IF(V35&lt;&gt;"",_xlfn.XLOOKUP(V35,[1]ModifierDes!$B:$B,[1]ModifierDes!$A:$A,""),""),"")</f>
        <v/>
      </c>
      <c r="AK35" t="str">
        <f>IFERROR(IF(X35&lt;&gt;"",_xlfn.XLOOKUP(X35,[1]ModifierDes!$B:$B,[1]ModifierDes!$A:$A,""),""),"")</f>
        <v/>
      </c>
      <c r="AL35" t="str">
        <f t="shared" si="17"/>
        <v>[0.11]</v>
      </c>
      <c r="AM35" t="str">
        <f t="shared" si="18"/>
        <v>[0.02]</v>
      </c>
      <c r="AN35" t="str">
        <f t="shared" si="19"/>
        <v/>
      </c>
      <c r="AO35" t="str">
        <f t="shared" si="12"/>
        <v/>
      </c>
      <c r="AP35" t="str">
        <f>IFERROR(IF(Z35&lt;&gt;"",_xlfn.XLOOKUP(Z35,[1]StuntDes!$B:$B,[1]StuntDes!$A:$A,""),""),"")</f>
        <v/>
      </c>
      <c r="AQ35" t="str">
        <f>IFERROR(IF(AA35&lt;&gt;"",_xlfn.XLOOKUP(AA35,[1]StuntDes!$B:$B,[1]StuntDes!$A:$A,""),""),"")</f>
        <v/>
      </c>
    </row>
    <row r="36" spans="1:43">
      <c r="A36" s="16">
        <f t="shared" si="5"/>
        <v>50102</v>
      </c>
      <c r="B36" s="17" t="s">
        <v>237</v>
      </c>
      <c r="C36" s="17">
        <v>5010</v>
      </c>
      <c r="D36" s="18">
        <v>2</v>
      </c>
      <c r="E36" s="18" t="str">
        <f t="shared" si="25"/>
        <v>[[15010,1]]</v>
      </c>
      <c r="F36" s="14"/>
      <c r="G36" s="18" t="str">
        <f t="shared" si="13"/>
        <v>10063|10080</v>
      </c>
      <c r="H36" s="18" t="str">
        <f t="shared" si="8"/>
        <v>[[0.11],[0.06]]</v>
      </c>
      <c r="I36" s="18" t="str">
        <f t="shared" si="14"/>
        <v/>
      </c>
      <c r="J36" s="18" t="str">
        <f t="shared" si="15"/>
        <v/>
      </c>
      <c r="K36" t="str">
        <f>_xlfn.XLOOKUP(C36,Pet!A:A,Pet!E:E)</f>
        <v>R-近战</v>
      </c>
      <c r="R36" t="s">
        <v>234</v>
      </c>
      <c r="S36">
        <v>0.11</v>
      </c>
      <c r="T36" t="s">
        <v>235</v>
      </c>
      <c r="U36">
        <v>0.06</v>
      </c>
      <c r="AB36" t="str">
        <f>IFERROR(IF(L36&lt;&gt;"",_xlfn.XLOOKUP(L36,[1]AttributeName!$C:$C,[1]AttributeName!$B:$B,""),""),"")</f>
        <v/>
      </c>
      <c r="AC36" t="str">
        <f>IFERROR(IF(N36&lt;&gt;"",_xlfn.XLOOKUP(N36,[1]AttributeName!$C:$C,[1]AttributeName!$B:$B,""),""),"")</f>
        <v/>
      </c>
      <c r="AD36" t="str">
        <f>IFERROR(IF(P36&lt;&gt;"",_xlfn.XLOOKUP(P36,[1]AttributeName!$C:$C,[1]AttributeName!$B:$B,""),""),"")</f>
        <v/>
      </c>
      <c r="AE36" t="str">
        <f t="shared" si="16"/>
        <v/>
      </c>
      <c r="AF36" t="str">
        <f t="shared" si="20"/>
        <v/>
      </c>
      <c r="AG36" t="str">
        <f t="shared" si="21"/>
        <v/>
      </c>
      <c r="AH36">
        <f>IFERROR(IF(R36&lt;&gt;"",_xlfn.XLOOKUP(R36,[1]ModifierDes!$B:$B,[1]ModifierDes!$A:$A,""),""),"")</f>
        <v>10063</v>
      </c>
      <c r="AI36">
        <f>IFERROR(IF(T36&lt;&gt;"",_xlfn.XLOOKUP(T36,[1]ModifierDes!$B:$B,[1]ModifierDes!$A:$A,""),""),"")</f>
        <v>10080</v>
      </c>
      <c r="AJ36" t="str">
        <f>IFERROR(IF(V36&lt;&gt;"",_xlfn.XLOOKUP(V36,[1]ModifierDes!$B:$B,[1]ModifierDes!$A:$A,""),""),"")</f>
        <v/>
      </c>
      <c r="AK36" t="str">
        <f>IFERROR(IF(X36&lt;&gt;"",_xlfn.XLOOKUP(X36,[1]ModifierDes!$B:$B,[1]ModifierDes!$A:$A,""),""),"")</f>
        <v/>
      </c>
      <c r="AL36" t="str">
        <f t="shared" si="17"/>
        <v>[0.11]</v>
      </c>
      <c r="AM36" t="str">
        <f t="shared" si="18"/>
        <v>[0.06]</v>
      </c>
      <c r="AN36" t="str">
        <f t="shared" si="19"/>
        <v/>
      </c>
      <c r="AO36" t="str">
        <f t="shared" si="12"/>
        <v/>
      </c>
      <c r="AP36" t="str">
        <f>IFERROR(IF(Z36&lt;&gt;"",_xlfn.XLOOKUP(Z36,[1]StuntDes!$B:$B,[1]StuntDes!$A:$A,""),""),"")</f>
        <v/>
      </c>
      <c r="AQ36" t="str">
        <f>IFERROR(IF(AA36&lt;&gt;"",_xlfn.XLOOKUP(AA36,[1]StuntDes!$B:$B,[1]StuntDes!$A:$A,""),""),"")</f>
        <v/>
      </c>
    </row>
    <row r="37" spans="1:43">
      <c r="A37" s="16">
        <f t="shared" ref="A37:A100" si="26">C37*10+D37</f>
        <v>50103</v>
      </c>
      <c r="B37" s="17" t="s">
        <v>238</v>
      </c>
      <c r="C37" s="17">
        <v>5010</v>
      </c>
      <c r="D37" s="18">
        <v>3</v>
      </c>
      <c r="E37" s="18" t="str">
        <f t="shared" si="25"/>
        <v>[[15010,1]]</v>
      </c>
      <c r="F37" s="14"/>
      <c r="G37" s="18" t="str">
        <f t="shared" si="13"/>
        <v>10063|10080</v>
      </c>
      <c r="H37" s="18" t="str">
        <f t="shared" ref="H37:H68" si="27">IF(R37="","",_xlfn.CONCAT("[",_xlfn.TEXTJOIN(",",TRUE,AL37:AO37),"]"))</f>
        <v>[[0.11],[0.06]]</v>
      </c>
      <c r="I37" s="18" t="str">
        <f t="shared" si="14"/>
        <v/>
      </c>
      <c r="J37" s="18" t="str">
        <f t="shared" si="15"/>
        <v>[[10300,0.07]]</v>
      </c>
      <c r="K37" t="str">
        <f>_xlfn.XLOOKUP(C37,Pet!A:A,Pet!E:E)</f>
        <v>R-近战</v>
      </c>
      <c r="L37" t="s">
        <v>193</v>
      </c>
      <c r="M37">
        <v>0.07</v>
      </c>
      <c r="R37" t="s">
        <v>234</v>
      </c>
      <c r="S37">
        <v>0.11</v>
      </c>
      <c r="T37" t="s">
        <v>235</v>
      </c>
      <c r="U37">
        <v>0.06</v>
      </c>
      <c r="AB37">
        <f>IFERROR(IF(L37&lt;&gt;"",_xlfn.XLOOKUP(L37,[1]AttributeName!$C:$C,[1]AttributeName!$B:$B,""),""),"")</f>
        <v>10300</v>
      </c>
      <c r="AC37" t="str">
        <f>IFERROR(IF(N37&lt;&gt;"",_xlfn.XLOOKUP(N37,[1]AttributeName!$C:$C,[1]AttributeName!$B:$B,""),""),"")</f>
        <v/>
      </c>
      <c r="AD37" t="str">
        <f>IFERROR(IF(P37&lt;&gt;"",_xlfn.XLOOKUP(P37,[1]AttributeName!$C:$C,[1]AttributeName!$B:$B,""),""),"")</f>
        <v/>
      </c>
      <c r="AE37" t="str">
        <f t="shared" si="16"/>
        <v>[10300,0.07]</v>
      </c>
      <c r="AF37" t="str">
        <f t="shared" si="20"/>
        <v/>
      </c>
      <c r="AG37" t="str">
        <f t="shared" si="21"/>
        <v/>
      </c>
      <c r="AH37">
        <f>IFERROR(IF(R37&lt;&gt;"",_xlfn.XLOOKUP(R37,[1]ModifierDes!$B:$B,[1]ModifierDes!$A:$A,""),""),"")</f>
        <v>10063</v>
      </c>
      <c r="AI37">
        <f>IFERROR(IF(T37&lt;&gt;"",_xlfn.XLOOKUP(T37,[1]ModifierDes!$B:$B,[1]ModifierDes!$A:$A,""),""),"")</f>
        <v>10080</v>
      </c>
      <c r="AJ37" t="str">
        <f>IFERROR(IF(V37&lt;&gt;"",_xlfn.XLOOKUP(V37,[1]ModifierDes!$B:$B,[1]ModifierDes!$A:$A,""),""),"")</f>
        <v/>
      </c>
      <c r="AK37" t="str">
        <f>IFERROR(IF(X37&lt;&gt;"",_xlfn.XLOOKUP(X37,[1]ModifierDes!$B:$B,[1]ModifierDes!$A:$A,""),""),"")</f>
        <v/>
      </c>
      <c r="AL37" t="str">
        <f t="shared" si="17"/>
        <v>[0.11]</v>
      </c>
      <c r="AM37" t="str">
        <f t="shared" si="18"/>
        <v>[0.06]</v>
      </c>
      <c r="AN37" t="str">
        <f t="shared" si="19"/>
        <v/>
      </c>
      <c r="AO37" t="str">
        <f t="shared" ref="AO37:AO68" si="28">IF(Y37="","",_xlfn.CONCAT("[",Y37,"]"))</f>
        <v/>
      </c>
      <c r="AP37" t="str">
        <f>IFERROR(IF(Z37&lt;&gt;"",_xlfn.XLOOKUP(Z37,[1]StuntDes!$B:$B,[1]StuntDes!$A:$A,""),""),"")</f>
        <v/>
      </c>
      <c r="AQ37" t="str">
        <f>IFERROR(IF(AA37&lt;&gt;"",_xlfn.XLOOKUP(AA37,[1]StuntDes!$B:$B,[1]StuntDes!$A:$A,""),""),"")</f>
        <v/>
      </c>
    </row>
    <row r="38" spans="1:43">
      <c r="A38" s="16">
        <f t="shared" si="26"/>
        <v>50104</v>
      </c>
      <c r="B38" s="17" t="s">
        <v>239</v>
      </c>
      <c r="C38" s="17">
        <v>5010</v>
      </c>
      <c r="D38" s="18">
        <v>4</v>
      </c>
      <c r="E38" s="18" t="str">
        <f t="shared" si="25"/>
        <v>[[15010,1]]</v>
      </c>
      <c r="F38" s="14"/>
      <c r="G38" s="18" t="str">
        <f t="shared" si="13"/>
        <v>10063|10080</v>
      </c>
      <c r="H38" s="18" t="str">
        <f t="shared" si="27"/>
        <v>[[0.2],[0.06]]</v>
      </c>
      <c r="I38" s="18" t="str">
        <f t="shared" si="14"/>
        <v/>
      </c>
      <c r="J38" s="18" t="str">
        <f t="shared" si="15"/>
        <v>[[10300,0.07]]</v>
      </c>
      <c r="K38" t="str">
        <f>_xlfn.XLOOKUP(C38,Pet!A:A,Pet!E:E)</f>
        <v>R-近战</v>
      </c>
      <c r="L38" t="s">
        <v>193</v>
      </c>
      <c r="M38">
        <v>0.07</v>
      </c>
      <c r="R38" t="s">
        <v>234</v>
      </c>
      <c r="S38">
        <v>0.2</v>
      </c>
      <c r="T38" t="s">
        <v>235</v>
      </c>
      <c r="U38">
        <v>0.06</v>
      </c>
      <c r="AB38">
        <f>IFERROR(IF(L38&lt;&gt;"",_xlfn.XLOOKUP(L38,[1]AttributeName!$C:$C,[1]AttributeName!$B:$B,""),""),"")</f>
        <v>10300</v>
      </c>
      <c r="AC38" t="str">
        <f>IFERROR(IF(N38&lt;&gt;"",_xlfn.XLOOKUP(N38,[1]AttributeName!$C:$C,[1]AttributeName!$B:$B,""),""),"")</f>
        <v/>
      </c>
      <c r="AD38" t="str">
        <f>IFERROR(IF(P38&lt;&gt;"",_xlfn.XLOOKUP(P38,[1]AttributeName!$C:$C,[1]AttributeName!$B:$B,""),""),"")</f>
        <v/>
      </c>
      <c r="AE38" t="str">
        <f t="shared" si="16"/>
        <v>[10300,0.07]</v>
      </c>
      <c r="AF38" t="str">
        <f t="shared" si="20"/>
        <v/>
      </c>
      <c r="AG38" t="str">
        <f t="shared" si="21"/>
        <v/>
      </c>
      <c r="AH38">
        <f>IFERROR(IF(R38&lt;&gt;"",_xlfn.XLOOKUP(R38,[1]ModifierDes!$B:$B,[1]ModifierDes!$A:$A,""),""),"")</f>
        <v>10063</v>
      </c>
      <c r="AI38">
        <f>IFERROR(IF(T38&lt;&gt;"",_xlfn.XLOOKUP(T38,[1]ModifierDes!$B:$B,[1]ModifierDes!$A:$A,""),""),"")</f>
        <v>10080</v>
      </c>
      <c r="AJ38" t="str">
        <f>IFERROR(IF(V38&lt;&gt;"",_xlfn.XLOOKUP(V38,[1]ModifierDes!$B:$B,[1]ModifierDes!$A:$A,""),""),"")</f>
        <v/>
      </c>
      <c r="AK38" t="str">
        <f>IFERROR(IF(X38&lt;&gt;"",_xlfn.XLOOKUP(X38,[1]ModifierDes!$B:$B,[1]ModifierDes!$A:$A,""),""),"")</f>
        <v/>
      </c>
      <c r="AL38" t="str">
        <f t="shared" si="17"/>
        <v>[0.2]</v>
      </c>
      <c r="AM38" t="str">
        <f t="shared" si="18"/>
        <v>[0.06]</v>
      </c>
      <c r="AN38" t="str">
        <f t="shared" si="19"/>
        <v/>
      </c>
      <c r="AO38" t="str">
        <f t="shared" si="28"/>
        <v/>
      </c>
      <c r="AP38" t="str">
        <f>IFERROR(IF(Z38&lt;&gt;"",_xlfn.XLOOKUP(Z38,[1]StuntDes!$B:$B,[1]StuntDes!$A:$A,""),""),"")</f>
        <v/>
      </c>
      <c r="AQ38" t="str">
        <f>IFERROR(IF(AA38&lt;&gt;"",_xlfn.XLOOKUP(AA38,[1]StuntDes!$B:$B,[1]StuntDes!$A:$A,""),""),"")</f>
        <v/>
      </c>
    </row>
    <row r="39" spans="1:43">
      <c r="A39" s="16">
        <f t="shared" si="26"/>
        <v>50105</v>
      </c>
      <c r="B39" s="17" t="s">
        <v>240</v>
      </c>
      <c r="C39" s="17">
        <v>5010</v>
      </c>
      <c r="D39" s="18">
        <v>5</v>
      </c>
      <c r="E39" s="18"/>
      <c r="F39" s="14"/>
      <c r="G39" s="18" t="str">
        <f t="shared" si="13"/>
        <v>10063|10080</v>
      </c>
      <c r="H39" s="18" t="str">
        <f t="shared" si="27"/>
        <v>[[0.2],[0.12]]</v>
      </c>
      <c r="I39" s="18" t="str">
        <f t="shared" si="14"/>
        <v/>
      </c>
      <c r="J39" s="18" t="str">
        <f t="shared" si="15"/>
        <v>[[10300,0.07]]</v>
      </c>
      <c r="K39" t="str">
        <f>_xlfn.XLOOKUP(C39,Pet!A:A,Pet!E:E)</f>
        <v>R-近战</v>
      </c>
      <c r="L39" t="s">
        <v>193</v>
      </c>
      <c r="M39">
        <v>0.07</v>
      </c>
      <c r="R39" t="s">
        <v>234</v>
      </c>
      <c r="S39">
        <v>0.2</v>
      </c>
      <c r="T39" t="s">
        <v>235</v>
      </c>
      <c r="U39">
        <v>0.12</v>
      </c>
      <c r="AB39">
        <f>IFERROR(IF(L39&lt;&gt;"",_xlfn.XLOOKUP(L39,[1]AttributeName!$C:$C,[1]AttributeName!$B:$B,""),""),"")</f>
        <v>10300</v>
      </c>
      <c r="AC39" t="str">
        <f>IFERROR(IF(N39&lt;&gt;"",_xlfn.XLOOKUP(N39,[1]AttributeName!$C:$C,[1]AttributeName!$B:$B,""),""),"")</f>
        <v/>
      </c>
      <c r="AD39" t="str">
        <f>IFERROR(IF(P39&lt;&gt;"",_xlfn.XLOOKUP(P39,[1]AttributeName!$C:$C,[1]AttributeName!$B:$B,""),""),"")</f>
        <v/>
      </c>
      <c r="AE39" t="str">
        <f t="shared" si="16"/>
        <v>[10300,0.07]</v>
      </c>
      <c r="AF39" t="str">
        <f t="shared" si="20"/>
        <v/>
      </c>
      <c r="AG39" t="str">
        <f t="shared" si="21"/>
        <v/>
      </c>
      <c r="AH39">
        <f>IFERROR(IF(R39&lt;&gt;"",_xlfn.XLOOKUP(R39,[1]ModifierDes!$B:$B,[1]ModifierDes!$A:$A,""),""),"")</f>
        <v>10063</v>
      </c>
      <c r="AI39">
        <f>IFERROR(IF(T39&lt;&gt;"",_xlfn.XLOOKUP(T39,[1]ModifierDes!$B:$B,[1]ModifierDes!$A:$A,""),""),"")</f>
        <v>10080</v>
      </c>
      <c r="AJ39" t="str">
        <f>IFERROR(IF(V39&lt;&gt;"",_xlfn.XLOOKUP(V39,[1]ModifierDes!$B:$B,[1]ModifierDes!$A:$A,""),""),"")</f>
        <v/>
      </c>
      <c r="AK39" t="str">
        <f>IFERROR(IF(X39&lt;&gt;"",_xlfn.XLOOKUP(X39,[1]ModifierDes!$B:$B,[1]ModifierDes!$A:$A,""),""),"")</f>
        <v/>
      </c>
      <c r="AL39" t="str">
        <f t="shared" si="17"/>
        <v>[0.2]</v>
      </c>
      <c r="AM39" t="str">
        <f t="shared" si="18"/>
        <v>[0.12]</v>
      </c>
      <c r="AN39" t="str">
        <f t="shared" si="19"/>
        <v/>
      </c>
      <c r="AO39" t="str">
        <f t="shared" si="28"/>
        <v/>
      </c>
      <c r="AP39" t="str">
        <f>IFERROR(IF(Z39&lt;&gt;"",_xlfn.XLOOKUP(Z39,[1]StuntDes!$B:$B,[1]StuntDes!$A:$A,""),""),"")</f>
        <v/>
      </c>
      <c r="AQ39" t="str">
        <f>IFERROR(IF(AA39&lt;&gt;"",_xlfn.XLOOKUP(AA39,[1]StuntDes!$B:$B,[1]StuntDes!$A:$A,""),""),"")</f>
        <v/>
      </c>
    </row>
    <row r="40" spans="1:43">
      <c r="A40" s="16">
        <f t="shared" si="26"/>
        <v>50200</v>
      </c>
      <c r="B40" s="17" t="s">
        <v>241</v>
      </c>
      <c r="C40" s="17">
        <v>5020</v>
      </c>
      <c r="D40" s="18">
        <v>0</v>
      </c>
      <c r="E40" s="18" t="str">
        <f t="shared" ref="E40:E44" si="29">"[["&amp;C40+10000&amp;",1]]"</f>
        <v>[[15020,1]]</v>
      </c>
      <c r="F40" s="14"/>
      <c r="G40" s="18" t="str">
        <f t="shared" si="13"/>
        <v>10064|10049</v>
      </c>
      <c r="H40" s="18" t="str">
        <f t="shared" si="27"/>
        <v>[[0.07],[0.02]]</v>
      </c>
      <c r="I40" s="18" t="str">
        <f t="shared" si="14"/>
        <v/>
      </c>
      <c r="J40" s="18" t="str">
        <f t="shared" si="15"/>
        <v/>
      </c>
      <c r="K40" t="str">
        <f>_xlfn.XLOOKUP(C40,Pet!A:A,Pet!E:E)</f>
        <v>R-投射物</v>
      </c>
      <c r="R40" t="s">
        <v>242</v>
      </c>
      <c r="S40">
        <v>0.07</v>
      </c>
      <c r="T40" t="s">
        <v>243</v>
      </c>
      <c r="U40">
        <v>0.02</v>
      </c>
      <c r="AB40" t="str">
        <f>IFERROR(IF(L40&lt;&gt;"",_xlfn.XLOOKUP(L40,[1]AttributeName!$C:$C,[1]AttributeName!$B:$B,""),""),"")</f>
        <v/>
      </c>
      <c r="AC40" t="str">
        <f>IFERROR(IF(N40&lt;&gt;"",_xlfn.XLOOKUP(N40,[1]AttributeName!$C:$C,[1]AttributeName!$B:$B,""),""),"")</f>
        <v/>
      </c>
      <c r="AD40" t="str">
        <f>IFERROR(IF(P40&lt;&gt;"",_xlfn.XLOOKUP(P40,[1]AttributeName!$C:$C,[1]AttributeName!$B:$B,""),""),"")</f>
        <v/>
      </c>
      <c r="AE40" t="str">
        <f t="shared" si="16"/>
        <v/>
      </c>
      <c r="AF40" t="str">
        <f t="shared" si="20"/>
        <v/>
      </c>
      <c r="AG40" t="str">
        <f t="shared" si="21"/>
        <v/>
      </c>
      <c r="AH40">
        <f>IFERROR(IF(R40&lt;&gt;"",_xlfn.XLOOKUP(R40,[1]ModifierDes!$B:$B,[1]ModifierDes!$A:$A,""),""),"")</f>
        <v>10064</v>
      </c>
      <c r="AI40">
        <f>IFERROR(IF(T40&lt;&gt;"",_xlfn.XLOOKUP(T40,[1]ModifierDes!$B:$B,[1]ModifierDes!$A:$A,""),""),"")</f>
        <v>10049</v>
      </c>
      <c r="AJ40" t="str">
        <f>IFERROR(IF(V40&lt;&gt;"",_xlfn.XLOOKUP(V40,[1]ModifierDes!$B:$B,[1]ModifierDes!$A:$A,""),""),"")</f>
        <v/>
      </c>
      <c r="AK40" t="str">
        <f>IFERROR(IF(X40&lt;&gt;"",_xlfn.XLOOKUP(X40,[1]ModifierDes!$B:$B,[1]ModifierDes!$A:$A,""),""),"")</f>
        <v/>
      </c>
      <c r="AL40" t="str">
        <f t="shared" si="17"/>
        <v>[0.07]</v>
      </c>
      <c r="AM40" t="str">
        <f t="shared" si="18"/>
        <v>[0.02]</v>
      </c>
      <c r="AN40" t="str">
        <f t="shared" si="19"/>
        <v/>
      </c>
      <c r="AO40" t="str">
        <f t="shared" si="28"/>
        <v/>
      </c>
      <c r="AP40" t="str">
        <f>IFERROR(IF(Z40&lt;&gt;"",_xlfn.XLOOKUP(Z40,[1]StuntDes!$B:$B,[1]StuntDes!$A:$A,""),""),"")</f>
        <v/>
      </c>
      <c r="AQ40" t="str">
        <f>IFERROR(IF(AA40&lt;&gt;"",_xlfn.XLOOKUP(AA40,[1]StuntDes!$B:$B,[1]StuntDes!$A:$A,""),""),"")</f>
        <v/>
      </c>
    </row>
    <row r="41" spans="1:43">
      <c r="A41" s="16">
        <f t="shared" si="26"/>
        <v>50201</v>
      </c>
      <c r="B41" s="17" t="s">
        <v>244</v>
      </c>
      <c r="C41" s="17">
        <v>5020</v>
      </c>
      <c r="D41" s="18">
        <v>1</v>
      </c>
      <c r="E41" s="18" t="str">
        <f t="shared" si="29"/>
        <v>[[15020,1]]</v>
      </c>
      <c r="F41" s="14"/>
      <c r="G41" s="18" t="str">
        <f t="shared" si="13"/>
        <v>10064|10049</v>
      </c>
      <c r="H41" s="18" t="str">
        <f t="shared" si="27"/>
        <v>[[0.11],[0.02]]</v>
      </c>
      <c r="I41" s="18" t="str">
        <f t="shared" si="14"/>
        <v/>
      </c>
      <c r="J41" s="18" t="str">
        <f t="shared" si="15"/>
        <v/>
      </c>
      <c r="K41" t="str">
        <f>_xlfn.XLOOKUP(C41,Pet!A:A,Pet!E:E)</f>
        <v>R-投射物</v>
      </c>
      <c r="R41" t="s">
        <v>242</v>
      </c>
      <c r="S41">
        <v>0.11</v>
      </c>
      <c r="T41" t="s">
        <v>243</v>
      </c>
      <c r="U41">
        <v>0.02</v>
      </c>
      <c r="AB41" t="str">
        <f>IFERROR(IF(L41&lt;&gt;"",_xlfn.XLOOKUP(L41,[1]AttributeName!$C:$C,[1]AttributeName!$B:$B,""),""),"")</f>
        <v/>
      </c>
      <c r="AC41" t="str">
        <f>IFERROR(IF(N41&lt;&gt;"",_xlfn.XLOOKUP(N41,[1]AttributeName!$C:$C,[1]AttributeName!$B:$B,""),""),"")</f>
        <v/>
      </c>
      <c r="AD41" t="str">
        <f>IFERROR(IF(P41&lt;&gt;"",_xlfn.XLOOKUP(P41,[1]AttributeName!$C:$C,[1]AttributeName!$B:$B,""),""),"")</f>
        <v/>
      </c>
      <c r="AE41" t="str">
        <f t="shared" si="16"/>
        <v/>
      </c>
      <c r="AF41" t="str">
        <f t="shared" si="20"/>
        <v/>
      </c>
      <c r="AG41" t="str">
        <f t="shared" si="21"/>
        <v/>
      </c>
      <c r="AH41">
        <f>IFERROR(IF(R41&lt;&gt;"",_xlfn.XLOOKUP(R41,[1]ModifierDes!$B:$B,[1]ModifierDes!$A:$A,""),""),"")</f>
        <v>10064</v>
      </c>
      <c r="AI41">
        <f>IFERROR(IF(T41&lt;&gt;"",_xlfn.XLOOKUP(T41,[1]ModifierDes!$B:$B,[1]ModifierDes!$A:$A,""),""),"")</f>
        <v>10049</v>
      </c>
      <c r="AJ41" t="str">
        <f>IFERROR(IF(V41&lt;&gt;"",_xlfn.XLOOKUP(V41,[1]ModifierDes!$B:$B,[1]ModifierDes!$A:$A,""),""),"")</f>
        <v/>
      </c>
      <c r="AK41" t="str">
        <f>IFERROR(IF(X41&lt;&gt;"",_xlfn.XLOOKUP(X41,[1]ModifierDes!$B:$B,[1]ModifierDes!$A:$A,""),""),"")</f>
        <v/>
      </c>
      <c r="AL41" t="str">
        <f t="shared" si="17"/>
        <v>[0.11]</v>
      </c>
      <c r="AM41" t="str">
        <f t="shared" si="18"/>
        <v>[0.02]</v>
      </c>
      <c r="AN41" t="str">
        <f t="shared" si="19"/>
        <v/>
      </c>
      <c r="AO41" t="str">
        <f t="shared" si="28"/>
        <v/>
      </c>
      <c r="AP41" t="str">
        <f>IFERROR(IF(Z41&lt;&gt;"",_xlfn.XLOOKUP(Z41,[1]StuntDes!$B:$B,[1]StuntDes!$A:$A,""),""),"")</f>
        <v/>
      </c>
      <c r="AQ41" t="str">
        <f>IFERROR(IF(AA41&lt;&gt;"",_xlfn.XLOOKUP(AA41,[1]StuntDes!$B:$B,[1]StuntDes!$A:$A,""),""),"")</f>
        <v/>
      </c>
    </row>
    <row r="42" spans="1:43">
      <c r="A42" s="16">
        <f t="shared" si="26"/>
        <v>50202</v>
      </c>
      <c r="B42" s="17" t="s">
        <v>245</v>
      </c>
      <c r="C42" s="17">
        <v>5020</v>
      </c>
      <c r="D42" s="18">
        <v>2</v>
      </c>
      <c r="E42" s="18" t="str">
        <f t="shared" si="29"/>
        <v>[[15020,1]]</v>
      </c>
      <c r="F42" s="14"/>
      <c r="G42" s="18" t="str">
        <f t="shared" ref="G42:G73" si="30">_xlfn.TEXTJOIN("|",TRUE,AH42:AJ42)</f>
        <v>10064|10049</v>
      </c>
      <c r="H42" s="18" t="str">
        <f t="shared" si="27"/>
        <v>[[0.11],[0.06]]</v>
      </c>
      <c r="I42" s="18" t="str">
        <f t="shared" ref="I42:I73" si="31">_xlfn.TEXTJOIN("|",TRUE,AP42:AQ42)</f>
        <v/>
      </c>
      <c r="J42" s="18" t="str">
        <f t="shared" ref="J42:J73" si="32">IF(AB42="","",_xlfn.CONCAT("[",_xlfn.TEXTJOIN(",",TRUE,AE42:AG42),"]"))</f>
        <v/>
      </c>
      <c r="K42" t="str">
        <f>_xlfn.XLOOKUP(C42,Pet!A:A,Pet!E:E)</f>
        <v>R-投射物</v>
      </c>
      <c r="R42" t="s">
        <v>242</v>
      </c>
      <c r="S42">
        <v>0.11</v>
      </c>
      <c r="T42" t="s">
        <v>243</v>
      </c>
      <c r="U42">
        <v>0.06</v>
      </c>
      <c r="AB42" t="str">
        <f>IFERROR(IF(L42&lt;&gt;"",_xlfn.XLOOKUP(L42,[1]AttributeName!$C:$C,[1]AttributeName!$B:$B,""),""),"")</f>
        <v/>
      </c>
      <c r="AC42" t="str">
        <f>IFERROR(IF(N42&lt;&gt;"",_xlfn.XLOOKUP(N42,[1]AttributeName!$C:$C,[1]AttributeName!$B:$B,""),""),"")</f>
        <v/>
      </c>
      <c r="AD42" t="str">
        <f>IFERROR(IF(P42&lt;&gt;"",_xlfn.XLOOKUP(P42,[1]AttributeName!$C:$C,[1]AttributeName!$B:$B,""),""),"")</f>
        <v/>
      </c>
      <c r="AE42" t="str">
        <f t="shared" ref="AE42:AE73" si="33">IF(AB42="","",_xlfn.CONCAT("[",AB42,",",M42,"]"))</f>
        <v/>
      </c>
      <c r="AF42" t="str">
        <f t="shared" si="20"/>
        <v/>
      </c>
      <c r="AG42" t="str">
        <f t="shared" si="21"/>
        <v/>
      </c>
      <c r="AH42">
        <f>IFERROR(IF(R42&lt;&gt;"",_xlfn.XLOOKUP(R42,[1]ModifierDes!$B:$B,[1]ModifierDes!$A:$A,""),""),"")</f>
        <v>10064</v>
      </c>
      <c r="AI42">
        <f>IFERROR(IF(T42&lt;&gt;"",_xlfn.XLOOKUP(T42,[1]ModifierDes!$B:$B,[1]ModifierDes!$A:$A,""),""),"")</f>
        <v>10049</v>
      </c>
      <c r="AJ42" t="str">
        <f>IFERROR(IF(V42&lt;&gt;"",_xlfn.XLOOKUP(V42,[1]ModifierDes!$B:$B,[1]ModifierDes!$A:$A,""),""),"")</f>
        <v/>
      </c>
      <c r="AK42" t="str">
        <f>IFERROR(IF(X42&lt;&gt;"",_xlfn.XLOOKUP(X42,[1]ModifierDes!$B:$B,[1]ModifierDes!$A:$A,""),""),"")</f>
        <v/>
      </c>
      <c r="AL42" t="str">
        <f t="shared" ref="AL42:AL73" si="34">IF(S42="","",_xlfn.CONCAT("[",S42,"]"))</f>
        <v>[0.11]</v>
      </c>
      <c r="AM42" t="str">
        <f t="shared" ref="AM42:AM73" si="35">IF(U42="","",_xlfn.CONCAT("[",U42,"]"))</f>
        <v>[0.06]</v>
      </c>
      <c r="AN42" t="str">
        <f t="shared" ref="AN42:AN73" si="36">IF(W42="","",_xlfn.CONCAT("[",W42,"]"))</f>
        <v/>
      </c>
      <c r="AO42" t="str">
        <f t="shared" si="28"/>
        <v/>
      </c>
      <c r="AP42" t="str">
        <f>IFERROR(IF(Z42&lt;&gt;"",_xlfn.XLOOKUP(Z42,[1]StuntDes!$B:$B,[1]StuntDes!$A:$A,""),""),"")</f>
        <v/>
      </c>
      <c r="AQ42" t="str">
        <f>IFERROR(IF(AA42&lt;&gt;"",_xlfn.XLOOKUP(AA42,[1]StuntDes!$B:$B,[1]StuntDes!$A:$A,""),""),"")</f>
        <v/>
      </c>
    </row>
    <row r="43" spans="1:43">
      <c r="A43" s="16">
        <f t="shared" si="26"/>
        <v>50203</v>
      </c>
      <c r="B43" s="17" t="s">
        <v>246</v>
      </c>
      <c r="C43" s="17">
        <v>5020</v>
      </c>
      <c r="D43" s="18">
        <v>3</v>
      </c>
      <c r="E43" s="18" t="str">
        <f t="shared" si="29"/>
        <v>[[15020,1]]</v>
      </c>
      <c r="F43" s="14"/>
      <c r="G43" s="18" t="str">
        <f t="shared" si="30"/>
        <v>10064|10049</v>
      </c>
      <c r="H43" s="18" t="str">
        <f t="shared" si="27"/>
        <v>[[0.11],[0.06]]</v>
      </c>
      <c r="I43" s="18" t="str">
        <f t="shared" si="31"/>
        <v/>
      </c>
      <c r="J43" s="18" t="str">
        <f t="shared" si="32"/>
        <v>[[10300,0.07]]</v>
      </c>
      <c r="K43" t="str">
        <f>_xlfn.XLOOKUP(C43,Pet!A:A,Pet!E:E)</f>
        <v>R-投射物</v>
      </c>
      <c r="L43" t="s">
        <v>193</v>
      </c>
      <c r="M43">
        <v>0.07</v>
      </c>
      <c r="R43" t="s">
        <v>242</v>
      </c>
      <c r="S43">
        <v>0.11</v>
      </c>
      <c r="T43" t="s">
        <v>243</v>
      </c>
      <c r="U43">
        <v>0.06</v>
      </c>
      <c r="AB43">
        <f>IFERROR(IF(L43&lt;&gt;"",_xlfn.XLOOKUP(L43,[1]AttributeName!$C:$C,[1]AttributeName!$B:$B,""),""),"")</f>
        <v>10300</v>
      </c>
      <c r="AC43" t="str">
        <f>IFERROR(IF(N43&lt;&gt;"",_xlfn.XLOOKUP(N43,[1]AttributeName!$C:$C,[1]AttributeName!$B:$B,""),""),"")</f>
        <v/>
      </c>
      <c r="AD43" t="str">
        <f>IFERROR(IF(P43&lt;&gt;"",_xlfn.XLOOKUP(P43,[1]AttributeName!$C:$C,[1]AttributeName!$B:$B,""),""),"")</f>
        <v/>
      </c>
      <c r="AE43" t="str">
        <f t="shared" si="33"/>
        <v>[10300,0.07]</v>
      </c>
      <c r="AF43" t="str">
        <f t="shared" si="20"/>
        <v/>
      </c>
      <c r="AG43" t="str">
        <f t="shared" si="21"/>
        <v/>
      </c>
      <c r="AH43">
        <f>IFERROR(IF(R43&lt;&gt;"",_xlfn.XLOOKUP(R43,[1]ModifierDes!$B:$B,[1]ModifierDes!$A:$A,""),""),"")</f>
        <v>10064</v>
      </c>
      <c r="AI43">
        <f>IFERROR(IF(T43&lt;&gt;"",_xlfn.XLOOKUP(T43,[1]ModifierDes!$B:$B,[1]ModifierDes!$A:$A,""),""),"")</f>
        <v>10049</v>
      </c>
      <c r="AJ43" t="str">
        <f>IFERROR(IF(V43&lt;&gt;"",_xlfn.XLOOKUP(V43,[1]ModifierDes!$B:$B,[1]ModifierDes!$A:$A,""),""),"")</f>
        <v/>
      </c>
      <c r="AK43" t="str">
        <f>IFERROR(IF(X43&lt;&gt;"",_xlfn.XLOOKUP(X43,[1]ModifierDes!$B:$B,[1]ModifierDes!$A:$A,""),""),"")</f>
        <v/>
      </c>
      <c r="AL43" t="str">
        <f t="shared" si="34"/>
        <v>[0.11]</v>
      </c>
      <c r="AM43" t="str">
        <f t="shared" si="35"/>
        <v>[0.06]</v>
      </c>
      <c r="AN43" t="str">
        <f t="shared" si="36"/>
        <v/>
      </c>
      <c r="AO43" t="str">
        <f t="shared" si="28"/>
        <v/>
      </c>
      <c r="AP43" t="str">
        <f>IFERROR(IF(Z43&lt;&gt;"",_xlfn.XLOOKUP(Z43,[1]StuntDes!$B:$B,[1]StuntDes!$A:$A,""),""),"")</f>
        <v/>
      </c>
      <c r="AQ43" t="str">
        <f>IFERROR(IF(AA43&lt;&gt;"",_xlfn.XLOOKUP(AA43,[1]StuntDes!$B:$B,[1]StuntDes!$A:$A,""),""),"")</f>
        <v/>
      </c>
    </row>
    <row r="44" spans="1:43">
      <c r="A44" s="16">
        <f t="shared" si="26"/>
        <v>50204</v>
      </c>
      <c r="B44" s="17" t="s">
        <v>247</v>
      </c>
      <c r="C44" s="17">
        <v>5020</v>
      </c>
      <c r="D44" s="18">
        <v>4</v>
      </c>
      <c r="E44" s="18" t="str">
        <f t="shared" si="29"/>
        <v>[[15020,1]]</v>
      </c>
      <c r="F44" s="14"/>
      <c r="G44" s="18" t="str">
        <f t="shared" si="30"/>
        <v>10064|10049</v>
      </c>
      <c r="H44" s="18" t="str">
        <f t="shared" si="27"/>
        <v>[[0.2],[0.06]]</v>
      </c>
      <c r="I44" s="18" t="str">
        <f t="shared" si="31"/>
        <v/>
      </c>
      <c r="J44" s="18" t="str">
        <f t="shared" si="32"/>
        <v>[[10300,0.07]]</v>
      </c>
      <c r="K44" t="str">
        <f>_xlfn.XLOOKUP(C44,Pet!A:A,Pet!E:E)</f>
        <v>R-投射物</v>
      </c>
      <c r="L44" t="s">
        <v>193</v>
      </c>
      <c r="M44">
        <v>0.07</v>
      </c>
      <c r="R44" t="s">
        <v>242</v>
      </c>
      <c r="S44">
        <v>0.2</v>
      </c>
      <c r="T44" t="s">
        <v>243</v>
      </c>
      <c r="U44">
        <v>0.06</v>
      </c>
      <c r="AB44">
        <f>IFERROR(IF(L44&lt;&gt;"",_xlfn.XLOOKUP(L44,[1]AttributeName!$C:$C,[1]AttributeName!$B:$B,""),""),"")</f>
        <v>10300</v>
      </c>
      <c r="AC44" t="str">
        <f>IFERROR(IF(N44&lt;&gt;"",_xlfn.XLOOKUP(N44,[1]AttributeName!$C:$C,[1]AttributeName!$B:$B,""),""),"")</f>
        <v/>
      </c>
      <c r="AD44" t="str">
        <f>IFERROR(IF(P44&lt;&gt;"",_xlfn.XLOOKUP(P44,[1]AttributeName!$C:$C,[1]AttributeName!$B:$B,""),""),"")</f>
        <v/>
      </c>
      <c r="AE44" t="str">
        <f t="shared" si="33"/>
        <v>[10300,0.07]</v>
      </c>
      <c r="AF44" t="str">
        <f t="shared" si="20"/>
        <v/>
      </c>
      <c r="AG44" t="str">
        <f t="shared" si="21"/>
        <v/>
      </c>
      <c r="AH44">
        <f>IFERROR(IF(R44&lt;&gt;"",_xlfn.XLOOKUP(R44,[1]ModifierDes!$B:$B,[1]ModifierDes!$A:$A,""),""),"")</f>
        <v>10064</v>
      </c>
      <c r="AI44">
        <f>IFERROR(IF(T44&lt;&gt;"",_xlfn.XLOOKUP(T44,[1]ModifierDes!$B:$B,[1]ModifierDes!$A:$A,""),""),"")</f>
        <v>10049</v>
      </c>
      <c r="AJ44" t="str">
        <f>IFERROR(IF(V44&lt;&gt;"",_xlfn.XLOOKUP(V44,[1]ModifierDes!$B:$B,[1]ModifierDes!$A:$A,""),""),"")</f>
        <v/>
      </c>
      <c r="AK44" t="str">
        <f>IFERROR(IF(X44&lt;&gt;"",_xlfn.XLOOKUP(X44,[1]ModifierDes!$B:$B,[1]ModifierDes!$A:$A,""),""),"")</f>
        <v/>
      </c>
      <c r="AL44" t="str">
        <f t="shared" si="34"/>
        <v>[0.2]</v>
      </c>
      <c r="AM44" t="str">
        <f t="shared" si="35"/>
        <v>[0.06]</v>
      </c>
      <c r="AN44" t="str">
        <f t="shared" si="36"/>
        <v/>
      </c>
      <c r="AO44" t="str">
        <f t="shared" si="28"/>
        <v/>
      </c>
      <c r="AP44" t="str">
        <f>IFERROR(IF(Z44&lt;&gt;"",_xlfn.XLOOKUP(Z44,[1]StuntDes!$B:$B,[1]StuntDes!$A:$A,""),""),"")</f>
        <v/>
      </c>
      <c r="AQ44" t="str">
        <f>IFERROR(IF(AA44&lt;&gt;"",_xlfn.XLOOKUP(AA44,[1]StuntDes!$B:$B,[1]StuntDes!$A:$A,""),""),"")</f>
        <v/>
      </c>
    </row>
    <row r="45" spans="1:43">
      <c r="A45" s="16">
        <f t="shared" si="26"/>
        <v>50205</v>
      </c>
      <c r="B45" s="17" t="s">
        <v>248</v>
      </c>
      <c r="C45" s="17">
        <v>5020</v>
      </c>
      <c r="D45" s="18">
        <v>5</v>
      </c>
      <c r="E45" s="18"/>
      <c r="F45" s="14"/>
      <c r="G45" s="18" t="str">
        <f t="shared" si="30"/>
        <v>10064|10049</v>
      </c>
      <c r="H45" s="18" t="str">
        <f t="shared" si="27"/>
        <v>[[0.2],[0.12]]</v>
      </c>
      <c r="I45" s="18" t="str">
        <f t="shared" si="31"/>
        <v/>
      </c>
      <c r="J45" s="18" t="str">
        <f t="shared" si="32"/>
        <v>[[10300,0.07]]</v>
      </c>
      <c r="K45" t="str">
        <f>_xlfn.XLOOKUP(C45,Pet!A:A,Pet!E:E)</f>
        <v>R-投射物</v>
      </c>
      <c r="L45" t="s">
        <v>193</v>
      </c>
      <c r="M45">
        <v>0.07</v>
      </c>
      <c r="R45" t="s">
        <v>242</v>
      </c>
      <c r="S45">
        <v>0.2</v>
      </c>
      <c r="T45" t="s">
        <v>243</v>
      </c>
      <c r="U45">
        <v>0.12</v>
      </c>
      <c r="AB45">
        <f>IFERROR(IF(L45&lt;&gt;"",_xlfn.XLOOKUP(L45,[1]AttributeName!$C:$C,[1]AttributeName!$B:$B,""),""),"")</f>
        <v>10300</v>
      </c>
      <c r="AC45" t="str">
        <f>IFERROR(IF(N45&lt;&gt;"",_xlfn.XLOOKUP(N45,[1]AttributeName!$C:$C,[1]AttributeName!$B:$B,""),""),"")</f>
        <v/>
      </c>
      <c r="AD45" t="str">
        <f>IFERROR(IF(P45&lt;&gt;"",_xlfn.XLOOKUP(P45,[1]AttributeName!$C:$C,[1]AttributeName!$B:$B,""),""),"")</f>
        <v/>
      </c>
      <c r="AE45" t="str">
        <f t="shared" si="33"/>
        <v>[10300,0.07]</v>
      </c>
      <c r="AF45" t="str">
        <f t="shared" si="20"/>
        <v/>
      </c>
      <c r="AG45" t="str">
        <f t="shared" si="21"/>
        <v/>
      </c>
      <c r="AH45">
        <f>IFERROR(IF(R45&lt;&gt;"",_xlfn.XLOOKUP(R45,[1]ModifierDes!$B:$B,[1]ModifierDes!$A:$A,""),""),"")</f>
        <v>10064</v>
      </c>
      <c r="AI45">
        <f>IFERROR(IF(T45&lt;&gt;"",_xlfn.XLOOKUP(T45,[1]ModifierDes!$B:$B,[1]ModifierDes!$A:$A,""),""),"")</f>
        <v>10049</v>
      </c>
      <c r="AJ45" t="str">
        <f>IFERROR(IF(V45&lt;&gt;"",_xlfn.XLOOKUP(V45,[1]ModifierDes!$B:$B,[1]ModifierDes!$A:$A,""),""),"")</f>
        <v/>
      </c>
      <c r="AK45" t="str">
        <f>IFERROR(IF(X45&lt;&gt;"",_xlfn.XLOOKUP(X45,[1]ModifierDes!$B:$B,[1]ModifierDes!$A:$A,""),""),"")</f>
        <v/>
      </c>
      <c r="AL45" t="str">
        <f t="shared" si="34"/>
        <v>[0.2]</v>
      </c>
      <c r="AM45" t="str">
        <f t="shared" si="35"/>
        <v>[0.12]</v>
      </c>
      <c r="AN45" t="str">
        <f t="shared" si="36"/>
        <v/>
      </c>
      <c r="AO45" t="str">
        <f t="shared" si="28"/>
        <v/>
      </c>
      <c r="AP45" t="str">
        <f>IFERROR(IF(Z45&lt;&gt;"",_xlfn.XLOOKUP(Z45,[1]StuntDes!$B:$B,[1]StuntDes!$A:$A,""),""),"")</f>
        <v/>
      </c>
      <c r="AQ45" t="str">
        <f>IFERROR(IF(AA45&lt;&gt;"",_xlfn.XLOOKUP(AA45,[1]StuntDes!$B:$B,[1]StuntDes!$A:$A,""),""),"")</f>
        <v/>
      </c>
    </row>
    <row r="46" spans="1:43">
      <c r="A46" s="16">
        <f t="shared" si="26"/>
        <v>50600</v>
      </c>
      <c r="B46" s="17" t="s">
        <v>249</v>
      </c>
      <c r="C46" s="17">
        <v>5060</v>
      </c>
      <c r="D46" s="18">
        <v>0</v>
      </c>
      <c r="E46" s="18" t="str">
        <f t="shared" ref="E46:E50" si="37">"[["&amp;C46+10000&amp;",1]]"</f>
        <v>[[15060,1]]</v>
      </c>
      <c r="F46" s="14"/>
      <c r="G46" s="18" t="str">
        <f t="shared" si="30"/>
        <v/>
      </c>
      <c r="H46" s="18" t="str">
        <f t="shared" si="27"/>
        <v/>
      </c>
      <c r="I46" s="18" t="str">
        <f t="shared" si="31"/>
        <v/>
      </c>
      <c r="J46" s="18" t="str">
        <f t="shared" si="32"/>
        <v>[[10307,0.08],[11039,0.04]]</v>
      </c>
      <c r="K46" t="str">
        <f>_xlfn.XLOOKUP(C46,Pet!A:A,Pet!E:E)</f>
        <v>R-混沌</v>
      </c>
      <c r="L46" t="s">
        <v>250</v>
      </c>
      <c r="M46">
        <v>0.08</v>
      </c>
      <c r="N46" t="s">
        <v>251</v>
      </c>
      <c r="O46">
        <v>0.04</v>
      </c>
      <c r="AB46">
        <f>IFERROR(IF(L46&lt;&gt;"",_xlfn.XLOOKUP(L46,[1]AttributeName!$C:$C,[1]AttributeName!$B:$B,""),""),"")</f>
        <v>10307</v>
      </c>
      <c r="AC46">
        <f>IFERROR(IF(N46&lt;&gt;"",_xlfn.XLOOKUP(N46,[1]AttributeName!$C:$C,[1]AttributeName!$B:$B,""),""),"")</f>
        <v>11039</v>
      </c>
      <c r="AD46" t="str">
        <f>IFERROR(IF(P46&lt;&gt;"",_xlfn.XLOOKUP(P46,[1]AttributeName!$C:$C,[1]AttributeName!$B:$B,""),""),"")</f>
        <v/>
      </c>
      <c r="AE46" t="str">
        <f t="shared" si="33"/>
        <v>[10307,0.08]</v>
      </c>
      <c r="AF46" t="str">
        <f t="shared" ref="AF46:AF77" si="38">IF(AC46="","",_xlfn.CONCAT("[",AC46,",",O46,"]"))</f>
        <v>[11039,0.04]</v>
      </c>
      <c r="AG46" t="str">
        <f t="shared" ref="AG46:AG77" si="39">IF(AD46="","",_xlfn.CONCAT("[",AD46,",",Q46,"]"))</f>
        <v/>
      </c>
      <c r="AH46" t="str">
        <f>IFERROR(IF(R46&lt;&gt;"",_xlfn.XLOOKUP(R46,[1]ModifierDes!$B:$B,[1]ModifierDes!$A:$A,""),""),"")</f>
        <v/>
      </c>
      <c r="AI46" t="str">
        <f>IFERROR(IF(T46&lt;&gt;"",_xlfn.XLOOKUP(T46,[1]ModifierDes!$B:$B,[1]ModifierDes!$A:$A,""),""),"")</f>
        <v/>
      </c>
      <c r="AJ46" t="str">
        <f>IFERROR(IF(V46&lt;&gt;"",_xlfn.XLOOKUP(V46,[1]ModifierDes!$B:$B,[1]ModifierDes!$A:$A,""),""),"")</f>
        <v/>
      </c>
      <c r="AK46" t="str">
        <f>IFERROR(IF(X46&lt;&gt;"",_xlfn.XLOOKUP(X46,[1]ModifierDes!$B:$B,[1]ModifierDes!$A:$A,""),""),"")</f>
        <v/>
      </c>
      <c r="AL46" t="str">
        <f t="shared" si="34"/>
        <v/>
      </c>
      <c r="AM46" t="str">
        <f t="shared" si="35"/>
        <v/>
      </c>
      <c r="AN46" t="str">
        <f t="shared" si="36"/>
        <v/>
      </c>
      <c r="AO46" t="str">
        <f t="shared" si="28"/>
        <v/>
      </c>
      <c r="AP46" t="str">
        <f>IFERROR(IF(Z46&lt;&gt;"",_xlfn.XLOOKUP(Z46,[1]StuntDes!$B:$B,[1]StuntDes!$A:$A,""),""),"")</f>
        <v/>
      </c>
      <c r="AQ46" t="str">
        <f>IFERROR(IF(AA46&lt;&gt;"",_xlfn.XLOOKUP(AA46,[1]StuntDes!$B:$B,[1]StuntDes!$A:$A,""),""),"")</f>
        <v/>
      </c>
    </row>
    <row r="47" spans="1:43">
      <c r="A47" s="16">
        <f t="shared" si="26"/>
        <v>50601</v>
      </c>
      <c r="B47" s="17" t="s">
        <v>252</v>
      </c>
      <c r="C47" s="17">
        <v>5060</v>
      </c>
      <c r="D47" s="18">
        <v>1</v>
      </c>
      <c r="E47" s="18" t="str">
        <f t="shared" si="37"/>
        <v>[[15060,1]]</v>
      </c>
      <c r="F47" s="14"/>
      <c r="G47" s="18" t="str">
        <f t="shared" si="30"/>
        <v/>
      </c>
      <c r="H47" s="18" t="str">
        <f t="shared" si="27"/>
        <v/>
      </c>
      <c r="I47" s="18" t="str">
        <f t="shared" si="31"/>
        <v/>
      </c>
      <c r="J47" s="18" t="str">
        <f t="shared" si="32"/>
        <v>[[10307,0.13],[11039,0.04]]</v>
      </c>
      <c r="K47" t="str">
        <f>_xlfn.XLOOKUP(C47,Pet!A:A,Pet!E:E)</f>
        <v>R-混沌</v>
      </c>
      <c r="L47" t="s">
        <v>250</v>
      </c>
      <c r="M47">
        <v>0.13</v>
      </c>
      <c r="N47" t="s">
        <v>251</v>
      </c>
      <c r="O47">
        <v>0.04</v>
      </c>
      <c r="AB47">
        <f>IFERROR(IF(L47&lt;&gt;"",_xlfn.XLOOKUP(L47,[1]AttributeName!$C:$C,[1]AttributeName!$B:$B,""),""),"")</f>
        <v>10307</v>
      </c>
      <c r="AC47">
        <f>IFERROR(IF(N47&lt;&gt;"",_xlfn.XLOOKUP(N47,[1]AttributeName!$C:$C,[1]AttributeName!$B:$B,""),""),"")</f>
        <v>11039</v>
      </c>
      <c r="AD47" t="str">
        <f>IFERROR(IF(P47&lt;&gt;"",_xlfn.XLOOKUP(P47,[1]AttributeName!$C:$C,[1]AttributeName!$B:$B,""),""),"")</f>
        <v/>
      </c>
      <c r="AE47" t="str">
        <f t="shared" si="33"/>
        <v>[10307,0.13]</v>
      </c>
      <c r="AF47" t="str">
        <f t="shared" si="38"/>
        <v>[11039,0.04]</v>
      </c>
      <c r="AG47" t="str">
        <f t="shared" si="39"/>
        <v/>
      </c>
      <c r="AH47" t="str">
        <f>IFERROR(IF(R47&lt;&gt;"",_xlfn.XLOOKUP(R47,[1]ModifierDes!$B:$B,[1]ModifierDes!$A:$A,""),""),"")</f>
        <v/>
      </c>
      <c r="AI47" t="str">
        <f>IFERROR(IF(T47&lt;&gt;"",_xlfn.XLOOKUP(T47,[1]ModifierDes!$B:$B,[1]ModifierDes!$A:$A,""),""),"")</f>
        <v/>
      </c>
      <c r="AJ47" t="str">
        <f>IFERROR(IF(V47&lt;&gt;"",_xlfn.XLOOKUP(V47,[1]ModifierDes!$B:$B,[1]ModifierDes!$A:$A,""),""),"")</f>
        <v/>
      </c>
      <c r="AK47" t="str">
        <f>IFERROR(IF(X47&lt;&gt;"",_xlfn.XLOOKUP(X47,[1]ModifierDes!$B:$B,[1]ModifierDes!$A:$A,""),""),"")</f>
        <v/>
      </c>
      <c r="AL47" t="str">
        <f t="shared" si="34"/>
        <v/>
      </c>
      <c r="AM47" t="str">
        <f t="shared" si="35"/>
        <v/>
      </c>
      <c r="AN47" t="str">
        <f t="shared" si="36"/>
        <v/>
      </c>
      <c r="AO47" t="str">
        <f t="shared" si="28"/>
        <v/>
      </c>
      <c r="AP47" t="str">
        <f>IFERROR(IF(Z47&lt;&gt;"",_xlfn.XLOOKUP(Z47,[1]StuntDes!$B:$B,[1]StuntDes!$A:$A,""),""),"")</f>
        <v/>
      </c>
      <c r="AQ47" t="str">
        <f>IFERROR(IF(AA47&lt;&gt;"",_xlfn.XLOOKUP(AA47,[1]StuntDes!$B:$B,[1]StuntDes!$A:$A,""),""),"")</f>
        <v/>
      </c>
    </row>
    <row r="48" spans="1:43">
      <c r="A48" s="16">
        <f t="shared" si="26"/>
        <v>50602</v>
      </c>
      <c r="B48" s="17" t="s">
        <v>253</v>
      </c>
      <c r="C48" s="17">
        <v>5060</v>
      </c>
      <c r="D48" s="18">
        <v>2</v>
      </c>
      <c r="E48" s="18" t="str">
        <f t="shared" si="37"/>
        <v>[[15060,1]]</v>
      </c>
      <c r="F48" s="14"/>
      <c r="G48" s="18" t="str">
        <f t="shared" si="30"/>
        <v/>
      </c>
      <c r="H48" s="18" t="str">
        <f t="shared" si="27"/>
        <v/>
      </c>
      <c r="I48" s="18" t="str">
        <f t="shared" si="31"/>
        <v/>
      </c>
      <c r="J48" s="18" t="str">
        <f t="shared" si="32"/>
        <v>[[10307,0.13],[11039,0.14]]</v>
      </c>
      <c r="K48" t="str">
        <f>_xlfn.XLOOKUP(C48,Pet!A:A,Pet!E:E)</f>
        <v>R-混沌</v>
      </c>
      <c r="L48" t="s">
        <v>250</v>
      </c>
      <c r="M48">
        <v>0.13</v>
      </c>
      <c r="N48" t="s">
        <v>251</v>
      </c>
      <c r="O48">
        <v>0.14</v>
      </c>
      <c r="AB48">
        <f>IFERROR(IF(L48&lt;&gt;"",_xlfn.XLOOKUP(L48,[1]AttributeName!$C:$C,[1]AttributeName!$B:$B,""),""),"")</f>
        <v>10307</v>
      </c>
      <c r="AC48">
        <f>IFERROR(IF(N48&lt;&gt;"",_xlfn.XLOOKUP(N48,[1]AttributeName!$C:$C,[1]AttributeName!$B:$B,""),""),"")</f>
        <v>11039</v>
      </c>
      <c r="AD48" t="str">
        <f>IFERROR(IF(P48&lt;&gt;"",_xlfn.XLOOKUP(P48,[1]AttributeName!$C:$C,[1]AttributeName!$B:$B,""),""),"")</f>
        <v/>
      </c>
      <c r="AE48" t="str">
        <f t="shared" si="33"/>
        <v>[10307,0.13]</v>
      </c>
      <c r="AF48" t="str">
        <f t="shared" si="38"/>
        <v>[11039,0.14]</v>
      </c>
      <c r="AG48" t="str">
        <f t="shared" si="39"/>
        <v/>
      </c>
      <c r="AH48" t="str">
        <f>IFERROR(IF(R48&lt;&gt;"",_xlfn.XLOOKUP(R48,[1]ModifierDes!$B:$B,[1]ModifierDes!$A:$A,""),""),"")</f>
        <v/>
      </c>
      <c r="AI48" t="str">
        <f>IFERROR(IF(T48&lt;&gt;"",_xlfn.XLOOKUP(T48,[1]ModifierDes!$B:$B,[1]ModifierDes!$A:$A,""),""),"")</f>
        <v/>
      </c>
      <c r="AJ48" t="str">
        <f>IFERROR(IF(V48&lt;&gt;"",_xlfn.XLOOKUP(V48,[1]ModifierDes!$B:$B,[1]ModifierDes!$A:$A,""),""),"")</f>
        <v/>
      </c>
      <c r="AK48" t="str">
        <f>IFERROR(IF(X48&lt;&gt;"",_xlfn.XLOOKUP(X48,[1]ModifierDes!$B:$B,[1]ModifierDes!$A:$A,""),""),"")</f>
        <v/>
      </c>
      <c r="AL48" t="str">
        <f t="shared" si="34"/>
        <v/>
      </c>
      <c r="AM48" t="str">
        <f t="shared" si="35"/>
        <v/>
      </c>
      <c r="AN48" t="str">
        <f t="shared" si="36"/>
        <v/>
      </c>
      <c r="AO48" t="str">
        <f t="shared" si="28"/>
        <v/>
      </c>
      <c r="AP48" t="str">
        <f>IFERROR(IF(Z48&lt;&gt;"",_xlfn.XLOOKUP(Z48,[1]StuntDes!$B:$B,[1]StuntDes!$A:$A,""),""),"")</f>
        <v/>
      </c>
      <c r="AQ48" t="str">
        <f>IFERROR(IF(AA48&lt;&gt;"",_xlfn.XLOOKUP(AA48,[1]StuntDes!$B:$B,[1]StuntDes!$A:$A,""),""),"")</f>
        <v/>
      </c>
    </row>
    <row r="49" spans="1:43">
      <c r="A49" s="16">
        <f t="shared" si="26"/>
        <v>50603</v>
      </c>
      <c r="B49" s="17" t="s">
        <v>254</v>
      </c>
      <c r="C49" s="17">
        <v>5060</v>
      </c>
      <c r="D49" s="18">
        <v>3</v>
      </c>
      <c r="E49" s="18" t="str">
        <f t="shared" si="37"/>
        <v>[[15060,1]]</v>
      </c>
      <c r="F49" s="14"/>
      <c r="G49" s="18" t="str">
        <f t="shared" si="30"/>
        <v/>
      </c>
      <c r="H49" s="18" t="str">
        <f t="shared" si="27"/>
        <v/>
      </c>
      <c r="I49" s="18" t="str">
        <f t="shared" si="31"/>
        <v/>
      </c>
      <c r="J49" s="18" t="str">
        <f t="shared" si="32"/>
        <v>[[10307,0.13],[11039,0.14],[10300,0.1]]</v>
      </c>
      <c r="K49" t="str">
        <f>_xlfn.XLOOKUP(C49,Pet!A:A,Pet!E:E)</f>
        <v>R-混沌</v>
      </c>
      <c r="L49" t="s">
        <v>250</v>
      </c>
      <c r="M49">
        <v>0.13</v>
      </c>
      <c r="N49" t="s">
        <v>251</v>
      </c>
      <c r="O49">
        <v>0.14</v>
      </c>
      <c r="P49" t="s">
        <v>193</v>
      </c>
      <c r="Q49">
        <v>0.1</v>
      </c>
      <c r="AB49">
        <f>IFERROR(IF(L49&lt;&gt;"",_xlfn.XLOOKUP(L49,[1]AttributeName!$C:$C,[1]AttributeName!$B:$B,""),""),"")</f>
        <v>10307</v>
      </c>
      <c r="AC49">
        <f>IFERROR(IF(N49&lt;&gt;"",_xlfn.XLOOKUP(N49,[1]AttributeName!$C:$C,[1]AttributeName!$B:$B,""),""),"")</f>
        <v>11039</v>
      </c>
      <c r="AD49">
        <f>IFERROR(IF(P49&lt;&gt;"",_xlfn.XLOOKUP(P49,[1]AttributeName!$C:$C,[1]AttributeName!$B:$B,""),""),"")</f>
        <v>10300</v>
      </c>
      <c r="AE49" t="str">
        <f t="shared" si="33"/>
        <v>[10307,0.13]</v>
      </c>
      <c r="AF49" t="str">
        <f t="shared" si="38"/>
        <v>[11039,0.14]</v>
      </c>
      <c r="AG49" t="str">
        <f t="shared" si="39"/>
        <v>[10300,0.1]</v>
      </c>
      <c r="AH49" t="str">
        <f>IFERROR(IF(R49&lt;&gt;"",_xlfn.XLOOKUP(R49,[1]ModifierDes!$B:$B,[1]ModifierDes!$A:$A,""),""),"")</f>
        <v/>
      </c>
      <c r="AI49" t="str">
        <f>IFERROR(IF(T49&lt;&gt;"",_xlfn.XLOOKUP(T49,[1]ModifierDes!$B:$B,[1]ModifierDes!$A:$A,""),""),"")</f>
        <v/>
      </c>
      <c r="AJ49" t="str">
        <f>IFERROR(IF(V49&lt;&gt;"",_xlfn.XLOOKUP(V49,[1]ModifierDes!$B:$B,[1]ModifierDes!$A:$A,""),""),"")</f>
        <v/>
      </c>
      <c r="AK49" t="str">
        <f>IFERROR(IF(X49&lt;&gt;"",_xlfn.XLOOKUP(X49,[1]ModifierDes!$B:$B,[1]ModifierDes!$A:$A,""),""),"")</f>
        <v/>
      </c>
      <c r="AL49" t="str">
        <f t="shared" si="34"/>
        <v/>
      </c>
      <c r="AM49" t="str">
        <f t="shared" si="35"/>
        <v/>
      </c>
      <c r="AN49" t="str">
        <f t="shared" si="36"/>
        <v/>
      </c>
      <c r="AO49" t="str">
        <f t="shared" si="28"/>
        <v/>
      </c>
      <c r="AP49" t="str">
        <f>IFERROR(IF(Z49&lt;&gt;"",_xlfn.XLOOKUP(Z49,[1]StuntDes!$B:$B,[1]StuntDes!$A:$A,""),""),"")</f>
        <v/>
      </c>
      <c r="AQ49" t="str">
        <f>IFERROR(IF(AA49&lt;&gt;"",_xlfn.XLOOKUP(AA49,[1]StuntDes!$B:$B,[1]StuntDes!$A:$A,""),""),"")</f>
        <v/>
      </c>
    </row>
    <row r="50" spans="1:43">
      <c r="A50" s="16">
        <f t="shared" si="26"/>
        <v>50604</v>
      </c>
      <c r="B50" s="17" t="s">
        <v>255</v>
      </c>
      <c r="C50" s="17">
        <v>5060</v>
      </c>
      <c r="D50" s="18">
        <v>4</v>
      </c>
      <c r="E50" s="18" t="str">
        <f t="shared" si="37"/>
        <v>[[15060,1]]</v>
      </c>
      <c r="F50" s="14"/>
      <c r="G50" s="18" t="str">
        <f t="shared" si="30"/>
        <v/>
      </c>
      <c r="H50" s="18" t="str">
        <f t="shared" si="27"/>
        <v/>
      </c>
      <c r="I50" s="18" t="str">
        <f t="shared" si="31"/>
        <v/>
      </c>
      <c r="J50" s="18" t="str">
        <f t="shared" si="32"/>
        <v>[[10307,0.22],[11039,0.14],[10300,0.1]]</v>
      </c>
      <c r="K50" t="str">
        <f>_xlfn.XLOOKUP(C50,Pet!A:A,Pet!E:E)</f>
        <v>R-混沌</v>
      </c>
      <c r="L50" t="s">
        <v>250</v>
      </c>
      <c r="M50">
        <v>0.22</v>
      </c>
      <c r="N50" t="s">
        <v>251</v>
      </c>
      <c r="O50">
        <v>0.14</v>
      </c>
      <c r="P50" t="s">
        <v>193</v>
      </c>
      <c r="Q50">
        <v>0.1</v>
      </c>
      <c r="AB50">
        <f>IFERROR(IF(L50&lt;&gt;"",_xlfn.XLOOKUP(L50,[1]AttributeName!$C:$C,[1]AttributeName!$B:$B,""),""),"")</f>
        <v>10307</v>
      </c>
      <c r="AC50">
        <f>IFERROR(IF(N50&lt;&gt;"",_xlfn.XLOOKUP(N50,[1]AttributeName!$C:$C,[1]AttributeName!$B:$B,""),""),"")</f>
        <v>11039</v>
      </c>
      <c r="AD50">
        <f>IFERROR(IF(P50&lt;&gt;"",_xlfn.XLOOKUP(P50,[1]AttributeName!$C:$C,[1]AttributeName!$B:$B,""),""),"")</f>
        <v>10300</v>
      </c>
      <c r="AE50" t="str">
        <f t="shared" si="33"/>
        <v>[10307,0.22]</v>
      </c>
      <c r="AF50" t="str">
        <f t="shared" si="38"/>
        <v>[11039,0.14]</v>
      </c>
      <c r="AG50" t="str">
        <f t="shared" si="39"/>
        <v>[10300,0.1]</v>
      </c>
      <c r="AH50" t="str">
        <f>IFERROR(IF(R50&lt;&gt;"",_xlfn.XLOOKUP(R50,[1]ModifierDes!$B:$B,[1]ModifierDes!$A:$A,""),""),"")</f>
        <v/>
      </c>
      <c r="AI50" t="str">
        <f>IFERROR(IF(T50&lt;&gt;"",_xlfn.XLOOKUP(T50,[1]ModifierDes!$B:$B,[1]ModifierDes!$A:$A,""),""),"")</f>
        <v/>
      </c>
      <c r="AJ50" t="str">
        <f>IFERROR(IF(V50&lt;&gt;"",_xlfn.XLOOKUP(V50,[1]ModifierDes!$B:$B,[1]ModifierDes!$A:$A,""),""),"")</f>
        <v/>
      </c>
      <c r="AK50" t="str">
        <f>IFERROR(IF(X50&lt;&gt;"",_xlfn.XLOOKUP(X50,[1]ModifierDes!$B:$B,[1]ModifierDes!$A:$A,""),""),"")</f>
        <v/>
      </c>
      <c r="AL50" t="str">
        <f t="shared" si="34"/>
        <v/>
      </c>
      <c r="AM50" t="str">
        <f t="shared" si="35"/>
        <v/>
      </c>
      <c r="AN50" t="str">
        <f t="shared" si="36"/>
        <v/>
      </c>
      <c r="AO50" t="str">
        <f t="shared" si="28"/>
        <v/>
      </c>
      <c r="AP50" t="str">
        <f>IFERROR(IF(Z50&lt;&gt;"",_xlfn.XLOOKUP(Z50,[1]StuntDes!$B:$B,[1]StuntDes!$A:$A,""),""),"")</f>
        <v/>
      </c>
      <c r="AQ50" t="str">
        <f>IFERROR(IF(AA50&lt;&gt;"",_xlfn.XLOOKUP(AA50,[1]StuntDes!$B:$B,[1]StuntDes!$A:$A,""),""),"")</f>
        <v/>
      </c>
    </row>
    <row r="51" spans="1:43">
      <c r="A51" s="16">
        <f t="shared" si="26"/>
        <v>50605</v>
      </c>
      <c r="B51" s="17" t="s">
        <v>256</v>
      </c>
      <c r="C51" s="17">
        <v>5060</v>
      </c>
      <c r="D51" s="18">
        <v>5</v>
      </c>
      <c r="E51" s="18"/>
      <c r="F51" s="14"/>
      <c r="G51" s="18" t="str">
        <f t="shared" si="30"/>
        <v/>
      </c>
      <c r="H51" s="18" t="str">
        <f t="shared" si="27"/>
        <v/>
      </c>
      <c r="I51" s="18" t="str">
        <f t="shared" si="31"/>
        <v/>
      </c>
      <c r="J51" s="18" t="str">
        <f t="shared" si="32"/>
        <v>[[10307,0.22],[11039,0.36],[10300,0.1]]</v>
      </c>
      <c r="K51" t="str">
        <f>_xlfn.XLOOKUP(C51,Pet!A:A,Pet!E:E)</f>
        <v>R-混沌</v>
      </c>
      <c r="L51" t="s">
        <v>250</v>
      </c>
      <c r="M51">
        <v>0.22</v>
      </c>
      <c r="N51" t="s">
        <v>251</v>
      </c>
      <c r="O51">
        <v>0.36</v>
      </c>
      <c r="P51" t="s">
        <v>193</v>
      </c>
      <c r="Q51">
        <v>0.1</v>
      </c>
      <c r="AB51">
        <f>IFERROR(IF(L51&lt;&gt;"",_xlfn.XLOOKUP(L51,[1]AttributeName!$C:$C,[1]AttributeName!$B:$B,""),""),"")</f>
        <v>10307</v>
      </c>
      <c r="AC51">
        <f>IFERROR(IF(N51&lt;&gt;"",_xlfn.XLOOKUP(N51,[1]AttributeName!$C:$C,[1]AttributeName!$B:$B,""),""),"")</f>
        <v>11039</v>
      </c>
      <c r="AD51">
        <f>IFERROR(IF(P51&lt;&gt;"",_xlfn.XLOOKUP(P51,[1]AttributeName!$C:$C,[1]AttributeName!$B:$B,""),""),"")</f>
        <v>10300</v>
      </c>
      <c r="AE51" t="str">
        <f t="shared" si="33"/>
        <v>[10307,0.22]</v>
      </c>
      <c r="AF51" t="str">
        <f t="shared" si="38"/>
        <v>[11039,0.36]</v>
      </c>
      <c r="AG51" t="str">
        <f t="shared" si="39"/>
        <v>[10300,0.1]</v>
      </c>
      <c r="AH51" t="str">
        <f>IFERROR(IF(R51&lt;&gt;"",_xlfn.XLOOKUP(R51,[1]ModifierDes!$B:$B,[1]ModifierDes!$A:$A,""),""),"")</f>
        <v/>
      </c>
      <c r="AI51" t="str">
        <f>IFERROR(IF(T51&lt;&gt;"",_xlfn.XLOOKUP(T51,[1]ModifierDes!$B:$B,[1]ModifierDes!$A:$A,""),""),"")</f>
        <v/>
      </c>
      <c r="AJ51" t="str">
        <f>IFERROR(IF(V51&lt;&gt;"",_xlfn.XLOOKUP(V51,[1]ModifierDes!$B:$B,[1]ModifierDes!$A:$A,""),""),"")</f>
        <v/>
      </c>
      <c r="AK51" t="str">
        <f>IFERROR(IF(X51&lt;&gt;"",_xlfn.XLOOKUP(X51,[1]ModifierDes!$B:$B,[1]ModifierDes!$A:$A,""),""),"")</f>
        <v/>
      </c>
      <c r="AL51" t="str">
        <f t="shared" si="34"/>
        <v/>
      </c>
      <c r="AM51" t="str">
        <f t="shared" si="35"/>
        <v/>
      </c>
      <c r="AN51" t="str">
        <f t="shared" si="36"/>
        <v/>
      </c>
      <c r="AO51" t="str">
        <f t="shared" si="28"/>
        <v/>
      </c>
      <c r="AP51" t="str">
        <f>IFERROR(IF(Z51&lt;&gt;"",_xlfn.XLOOKUP(Z51,[1]StuntDes!$B:$B,[1]StuntDes!$A:$A,""),""),"")</f>
        <v/>
      </c>
      <c r="AQ51" t="str">
        <f>IFERROR(IF(AA51&lt;&gt;"",_xlfn.XLOOKUP(AA51,[1]StuntDes!$B:$B,[1]StuntDes!$A:$A,""),""),"")</f>
        <v/>
      </c>
    </row>
    <row r="52" spans="1:43">
      <c r="A52" s="16">
        <f t="shared" si="26"/>
        <v>70220</v>
      </c>
      <c r="B52" s="17" t="s">
        <v>257</v>
      </c>
      <c r="C52" s="17">
        <v>7022</v>
      </c>
      <c r="D52" s="18">
        <v>0</v>
      </c>
      <c r="E52" s="18" t="str">
        <f t="shared" ref="E52:E56" si="40">"[["&amp;C52+10000&amp;",1]]"</f>
        <v>[[17022,1]]</v>
      </c>
      <c r="F52" s="14"/>
      <c r="G52" s="18" t="str">
        <f t="shared" si="30"/>
        <v>10067|10135</v>
      </c>
      <c r="H52" s="18" t="str">
        <f t="shared" si="27"/>
        <v>[[0.05],[0.1]]</v>
      </c>
      <c r="I52" s="18" t="str">
        <f t="shared" si="31"/>
        <v/>
      </c>
      <c r="J52" s="18" t="str">
        <f t="shared" si="32"/>
        <v/>
      </c>
      <c r="K52" t="str">
        <f>_xlfn.XLOOKUP(C52,Pet!A:A,Pet!E:E)</f>
        <v>SSR-法术</v>
      </c>
      <c r="R52" t="s">
        <v>258</v>
      </c>
      <c r="S52">
        <v>0.05</v>
      </c>
      <c r="V52" t="s">
        <v>259</v>
      </c>
      <c r="W52">
        <v>0.1</v>
      </c>
      <c r="AB52" t="str">
        <f>IFERROR(IF(L52&lt;&gt;"",_xlfn.XLOOKUP(L52,[1]AttributeName!$C:$C,[1]AttributeName!$B:$B,""),""),"")</f>
        <v/>
      </c>
      <c r="AC52" t="str">
        <f>IFERROR(IF(N52&lt;&gt;"",_xlfn.XLOOKUP(N52,[1]AttributeName!$C:$C,[1]AttributeName!$B:$B,""),""),"")</f>
        <v/>
      </c>
      <c r="AD52" t="str">
        <f>IFERROR(IF(P52&lt;&gt;"",_xlfn.XLOOKUP(P52,[1]AttributeName!$C:$C,[1]AttributeName!$B:$B,""),""),"")</f>
        <v/>
      </c>
      <c r="AE52" t="str">
        <f t="shared" si="33"/>
        <v/>
      </c>
      <c r="AF52" t="str">
        <f t="shared" si="38"/>
        <v/>
      </c>
      <c r="AG52" t="str">
        <f t="shared" si="39"/>
        <v/>
      </c>
      <c r="AH52">
        <f>IFERROR(IF(R52&lt;&gt;"",_xlfn.XLOOKUP(R52,[1]ModifierDes!$B:$B,[1]ModifierDes!$A:$A,""),""),"")</f>
        <v>10067</v>
      </c>
      <c r="AI52" t="str">
        <f>IFERROR(IF(T52&lt;&gt;"",_xlfn.XLOOKUP(T52,[1]ModifierDes!$B:$B,[1]ModifierDes!$A:$A,""),""),"")</f>
        <v/>
      </c>
      <c r="AJ52">
        <f>IFERROR(IF(V52&lt;&gt;"",_xlfn.XLOOKUP(V52,[1]ModifierDes!$B:$B,[1]ModifierDes!$A:$A,""),""),"")</f>
        <v>10135</v>
      </c>
      <c r="AK52" t="str">
        <f>IFERROR(IF(X52&lt;&gt;"",_xlfn.XLOOKUP(X52,[1]ModifierDes!$B:$B,[1]ModifierDes!$A:$A,""),""),"")</f>
        <v/>
      </c>
      <c r="AL52" t="str">
        <f t="shared" si="34"/>
        <v>[0.05]</v>
      </c>
      <c r="AM52" t="str">
        <f t="shared" si="35"/>
        <v/>
      </c>
      <c r="AN52" t="str">
        <f t="shared" si="36"/>
        <v>[0.1]</v>
      </c>
      <c r="AO52" t="str">
        <f t="shared" si="28"/>
        <v/>
      </c>
      <c r="AP52" t="str">
        <f>IFERROR(IF(Z52&lt;&gt;"",_xlfn.XLOOKUP(Z52,[1]StuntDes!$B:$B,[1]StuntDes!$A:$A,""),""),"")</f>
        <v/>
      </c>
      <c r="AQ52" t="str">
        <f>IFERROR(IF(AA52&lt;&gt;"",_xlfn.XLOOKUP(AA52,[1]StuntDes!$B:$B,[1]StuntDes!$A:$A,""),""),"")</f>
        <v/>
      </c>
    </row>
    <row r="53" spans="1:43">
      <c r="A53" s="16">
        <f t="shared" si="26"/>
        <v>70221</v>
      </c>
      <c r="B53" s="17" t="s">
        <v>260</v>
      </c>
      <c r="C53" s="17">
        <v>7022</v>
      </c>
      <c r="D53" s="18">
        <v>1</v>
      </c>
      <c r="E53" s="18" t="str">
        <f t="shared" si="40"/>
        <v>[[17022,1]]</v>
      </c>
      <c r="F53" s="14"/>
      <c r="G53" s="18" t="str">
        <f t="shared" si="30"/>
        <v>10067|10135</v>
      </c>
      <c r="H53" s="18" t="str">
        <f t="shared" si="27"/>
        <v>[[0.1],[0.15]]</v>
      </c>
      <c r="I53" s="18" t="str">
        <f t="shared" si="31"/>
        <v/>
      </c>
      <c r="J53" s="18" t="str">
        <f t="shared" si="32"/>
        <v/>
      </c>
      <c r="K53" t="str">
        <f>_xlfn.XLOOKUP(C53,Pet!A:A,Pet!E:E)</f>
        <v>SSR-法术</v>
      </c>
      <c r="R53" t="s">
        <v>258</v>
      </c>
      <c r="S53">
        <v>0.1</v>
      </c>
      <c r="V53" t="s">
        <v>259</v>
      </c>
      <c r="W53">
        <v>0.15</v>
      </c>
      <c r="AB53" t="str">
        <f>IFERROR(IF(L53&lt;&gt;"",_xlfn.XLOOKUP(L53,[1]AttributeName!$C:$C,[1]AttributeName!$B:$B,""),""),"")</f>
        <v/>
      </c>
      <c r="AC53" t="str">
        <f>IFERROR(IF(N53&lt;&gt;"",_xlfn.XLOOKUP(N53,[1]AttributeName!$C:$C,[1]AttributeName!$B:$B,""),""),"")</f>
        <v/>
      </c>
      <c r="AD53" t="str">
        <f>IFERROR(IF(P53&lt;&gt;"",_xlfn.XLOOKUP(P53,[1]AttributeName!$C:$C,[1]AttributeName!$B:$B,""),""),"")</f>
        <v/>
      </c>
      <c r="AE53" t="str">
        <f t="shared" si="33"/>
        <v/>
      </c>
      <c r="AF53" t="str">
        <f t="shared" si="38"/>
        <v/>
      </c>
      <c r="AG53" t="str">
        <f t="shared" si="39"/>
        <v/>
      </c>
      <c r="AH53">
        <f>IFERROR(IF(R53&lt;&gt;"",_xlfn.XLOOKUP(R53,[1]ModifierDes!$B:$B,[1]ModifierDes!$A:$A,""),""),"")</f>
        <v>10067</v>
      </c>
      <c r="AI53" t="str">
        <f>IFERROR(IF(T53&lt;&gt;"",_xlfn.XLOOKUP(T53,[1]ModifierDes!$B:$B,[1]ModifierDes!$A:$A,""),""),"")</f>
        <v/>
      </c>
      <c r="AJ53">
        <f>IFERROR(IF(V53&lt;&gt;"",_xlfn.XLOOKUP(V53,[1]ModifierDes!$B:$B,[1]ModifierDes!$A:$A,""),""),"")</f>
        <v>10135</v>
      </c>
      <c r="AK53" t="str">
        <f>IFERROR(IF(X53&lt;&gt;"",_xlfn.XLOOKUP(X53,[1]ModifierDes!$B:$B,[1]ModifierDes!$A:$A,""),""),"")</f>
        <v/>
      </c>
      <c r="AL53" t="str">
        <f t="shared" si="34"/>
        <v>[0.1]</v>
      </c>
      <c r="AM53" t="str">
        <f t="shared" si="35"/>
        <v/>
      </c>
      <c r="AN53" t="str">
        <f t="shared" si="36"/>
        <v>[0.15]</v>
      </c>
      <c r="AO53" t="str">
        <f t="shared" si="28"/>
        <v/>
      </c>
      <c r="AP53" t="str">
        <f>IFERROR(IF(Z53&lt;&gt;"",_xlfn.XLOOKUP(Z53,[1]StuntDes!$B:$B,[1]StuntDes!$A:$A,""),""),"")</f>
        <v/>
      </c>
      <c r="AQ53" t="str">
        <f>IFERROR(IF(AA53&lt;&gt;"",_xlfn.XLOOKUP(AA53,[1]StuntDes!$B:$B,[1]StuntDes!$A:$A,""),""),"")</f>
        <v/>
      </c>
    </row>
    <row r="54" spans="1:43">
      <c r="A54" s="16">
        <f t="shared" si="26"/>
        <v>70222</v>
      </c>
      <c r="B54" s="17" t="s">
        <v>261</v>
      </c>
      <c r="C54" s="17">
        <v>7022</v>
      </c>
      <c r="D54" s="18">
        <v>2</v>
      </c>
      <c r="E54" s="18" t="str">
        <f t="shared" si="40"/>
        <v>[[17022,1]]</v>
      </c>
      <c r="F54" s="14"/>
      <c r="G54" s="18" t="str">
        <f t="shared" si="30"/>
        <v>10067|10135</v>
      </c>
      <c r="H54" s="18" t="str">
        <f t="shared" si="27"/>
        <v>[[0.15],[0.2]]</v>
      </c>
      <c r="I54" s="18" t="str">
        <f t="shared" si="31"/>
        <v/>
      </c>
      <c r="J54" s="18" t="str">
        <f t="shared" si="32"/>
        <v/>
      </c>
      <c r="K54" t="str">
        <f>_xlfn.XLOOKUP(C54,Pet!A:A,Pet!E:E)</f>
        <v>SSR-法术</v>
      </c>
      <c r="R54" t="s">
        <v>258</v>
      </c>
      <c r="S54">
        <v>0.15</v>
      </c>
      <c r="V54" t="s">
        <v>259</v>
      </c>
      <c r="W54">
        <v>0.2</v>
      </c>
      <c r="AB54" t="str">
        <f>IFERROR(IF(L54&lt;&gt;"",_xlfn.XLOOKUP(L54,[1]AttributeName!$C:$C,[1]AttributeName!$B:$B,""),""),"")</f>
        <v/>
      </c>
      <c r="AC54" t="str">
        <f>IFERROR(IF(N54&lt;&gt;"",_xlfn.XLOOKUP(N54,[1]AttributeName!$C:$C,[1]AttributeName!$B:$B,""),""),"")</f>
        <v/>
      </c>
      <c r="AD54" t="str">
        <f>IFERROR(IF(P54&lt;&gt;"",_xlfn.XLOOKUP(P54,[1]AttributeName!$C:$C,[1]AttributeName!$B:$B,""),""),"")</f>
        <v/>
      </c>
      <c r="AE54" t="str">
        <f t="shared" si="33"/>
        <v/>
      </c>
      <c r="AF54" t="str">
        <f t="shared" si="38"/>
        <v/>
      </c>
      <c r="AG54" t="str">
        <f t="shared" si="39"/>
        <v/>
      </c>
      <c r="AH54">
        <f>IFERROR(IF(R54&lt;&gt;"",_xlfn.XLOOKUP(R54,[1]ModifierDes!$B:$B,[1]ModifierDes!$A:$A,""),""),"")</f>
        <v>10067</v>
      </c>
      <c r="AI54" t="str">
        <f>IFERROR(IF(T54&lt;&gt;"",_xlfn.XLOOKUP(T54,[1]ModifierDes!$B:$B,[1]ModifierDes!$A:$A,""),""),"")</f>
        <v/>
      </c>
      <c r="AJ54">
        <f>IFERROR(IF(V54&lt;&gt;"",_xlfn.XLOOKUP(V54,[1]ModifierDes!$B:$B,[1]ModifierDes!$A:$A,""),""),"")</f>
        <v>10135</v>
      </c>
      <c r="AK54" t="str">
        <f>IFERROR(IF(X54&lt;&gt;"",_xlfn.XLOOKUP(X54,[1]ModifierDes!$B:$B,[1]ModifierDes!$A:$A,""),""),"")</f>
        <v/>
      </c>
      <c r="AL54" t="str">
        <f t="shared" si="34"/>
        <v>[0.15]</v>
      </c>
      <c r="AM54" t="str">
        <f t="shared" si="35"/>
        <v/>
      </c>
      <c r="AN54" t="str">
        <f t="shared" si="36"/>
        <v>[0.2]</v>
      </c>
      <c r="AO54" t="str">
        <f t="shared" si="28"/>
        <v/>
      </c>
      <c r="AP54" t="str">
        <f>IFERROR(IF(Z54&lt;&gt;"",_xlfn.XLOOKUP(Z54,[1]StuntDes!$B:$B,[1]StuntDes!$A:$A,""),""),"")</f>
        <v/>
      </c>
      <c r="AQ54" t="str">
        <f>IFERROR(IF(AA54&lt;&gt;"",_xlfn.XLOOKUP(AA54,[1]StuntDes!$B:$B,[1]StuntDes!$A:$A,""),""),"")</f>
        <v/>
      </c>
    </row>
    <row r="55" spans="1:43">
      <c r="A55" s="16">
        <f t="shared" si="26"/>
        <v>70223</v>
      </c>
      <c r="B55" s="17" t="s">
        <v>262</v>
      </c>
      <c r="C55" s="17">
        <v>7022</v>
      </c>
      <c r="D55" s="18">
        <v>3</v>
      </c>
      <c r="E55" s="18" t="str">
        <f t="shared" si="40"/>
        <v>[[17022,1]]</v>
      </c>
      <c r="F55" s="14"/>
      <c r="G55" s="18" t="str">
        <f t="shared" si="30"/>
        <v>10067|10050|10135</v>
      </c>
      <c r="H55" s="18" t="str">
        <f t="shared" si="27"/>
        <v>[[0.15],[0.04],[0.25]]</v>
      </c>
      <c r="I55" s="18" t="str">
        <f t="shared" si="31"/>
        <v/>
      </c>
      <c r="J55" s="18" t="str">
        <f t="shared" si="32"/>
        <v/>
      </c>
      <c r="K55" t="str">
        <f>_xlfn.XLOOKUP(C55,Pet!A:A,Pet!E:E)</f>
        <v>SSR-法术</v>
      </c>
      <c r="R55" t="s">
        <v>258</v>
      </c>
      <c r="S55">
        <v>0.15</v>
      </c>
      <c r="T55" t="s">
        <v>209</v>
      </c>
      <c r="U55">
        <v>0.04</v>
      </c>
      <c r="V55" t="s">
        <v>259</v>
      </c>
      <c r="W55">
        <v>0.25</v>
      </c>
      <c r="AB55" t="str">
        <f>IFERROR(IF(L55&lt;&gt;"",_xlfn.XLOOKUP(L55,[1]AttributeName!$C:$C,[1]AttributeName!$B:$B,""),""),"")</f>
        <v/>
      </c>
      <c r="AC55" t="str">
        <f>IFERROR(IF(N55&lt;&gt;"",_xlfn.XLOOKUP(N55,[1]AttributeName!$C:$C,[1]AttributeName!$B:$B,""),""),"")</f>
        <v/>
      </c>
      <c r="AD55" t="str">
        <f>IFERROR(IF(P55&lt;&gt;"",_xlfn.XLOOKUP(P55,[1]AttributeName!$C:$C,[1]AttributeName!$B:$B,""),""),"")</f>
        <v/>
      </c>
      <c r="AE55" t="str">
        <f t="shared" si="33"/>
        <v/>
      </c>
      <c r="AF55" t="str">
        <f t="shared" si="38"/>
        <v/>
      </c>
      <c r="AG55" t="str">
        <f t="shared" si="39"/>
        <v/>
      </c>
      <c r="AH55">
        <f>IFERROR(IF(R55&lt;&gt;"",_xlfn.XLOOKUP(R55,[1]ModifierDes!$B:$B,[1]ModifierDes!$A:$A,""),""),"")</f>
        <v>10067</v>
      </c>
      <c r="AI55">
        <f>IFERROR(IF(T55&lt;&gt;"",_xlfn.XLOOKUP(T55,[1]ModifierDes!$B:$B,[1]ModifierDes!$A:$A,""),""),"")</f>
        <v>10050</v>
      </c>
      <c r="AJ55">
        <f>IFERROR(IF(V55&lt;&gt;"",_xlfn.XLOOKUP(V55,[1]ModifierDes!$B:$B,[1]ModifierDes!$A:$A,""),""),"")</f>
        <v>10135</v>
      </c>
      <c r="AK55" t="str">
        <f>IFERROR(IF(X55&lt;&gt;"",_xlfn.XLOOKUP(X55,[1]ModifierDes!$B:$B,[1]ModifierDes!$A:$A,""),""),"")</f>
        <v/>
      </c>
      <c r="AL55" t="str">
        <f t="shared" si="34"/>
        <v>[0.15]</v>
      </c>
      <c r="AM55" t="str">
        <f t="shared" si="35"/>
        <v>[0.04]</v>
      </c>
      <c r="AN55" t="str">
        <f t="shared" si="36"/>
        <v>[0.25]</v>
      </c>
      <c r="AO55" t="str">
        <f t="shared" si="28"/>
        <v/>
      </c>
      <c r="AP55" t="str">
        <f>IFERROR(IF(Z55&lt;&gt;"",_xlfn.XLOOKUP(Z55,[1]StuntDes!$B:$B,[1]StuntDes!$A:$A,""),""),"")</f>
        <v/>
      </c>
      <c r="AQ55" t="str">
        <f>IFERROR(IF(AA55&lt;&gt;"",_xlfn.XLOOKUP(AA55,[1]StuntDes!$B:$B,[1]StuntDes!$A:$A,""),""),"")</f>
        <v/>
      </c>
    </row>
    <row r="56" spans="1:43">
      <c r="A56" s="16">
        <f t="shared" si="26"/>
        <v>70224</v>
      </c>
      <c r="B56" s="17" t="s">
        <v>263</v>
      </c>
      <c r="C56" s="17">
        <v>7022</v>
      </c>
      <c r="D56" s="18">
        <v>4</v>
      </c>
      <c r="E56" s="18" t="str">
        <f t="shared" si="40"/>
        <v>[[17022,1]]</v>
      </c>
      <c r="F56" s="14"/>
      <c r="G56" s="18" t="str">
        <f t="shared" si="30"/>
        <v>10067|10050|10135</v>
      </c>
      <c r="H56" s="18" t="str">
        <f t="shared" si="27"/>
        <v>[[0.2],[0.04],[0.3]]</v>
      </c>
      <c r="I56" s="18" t="str">
        <f t="shared" si="31"/>
        <v/>
      </c>
      <c r="J56" s="18" t="str">
        <f t="shared" si="32"/>
        <v/>
      </c>
      <c r="K56" t="str">
        <f>_xlfn.XLOOKUP(C56,Pet!A:A,Pet!E:E)</f>
        <v>SSR-法术</v>
      </c>
      <c r="R56" t="s">
        <v>258</v>
      </c>
      <c r="S56">
        <v>0.2</v>
      </c>
      <c r="T56" t="s">
        <v>209</v>
      </c>
      <c r="U56">
        <v>0.04</v>
      </c>
      <c r="V56" t="s">
        <v>259</v>
      </c>
      <c r="W56">
        <v>0.3</v>
      </c>
      <c r="AB56" t="str">
        <f>IFERROR(IF(L56&lt;&gt;"",_xlfn.XLOOKUP(L56,[1]AttributeName!$C:$C,[1]AttributeName!$B:$B,""),""),"")</f>
        <v/>
      </c>
      <c r="AC56" t="str">
        <f>IFERROR(IF(N56&lt;&gt;"",_xlfn.XLOOKUP(N56,[1]AttributeName!$C:$C,[1]AttributeName!$B:$B,""),""),"")</f>
        <v/>
      </c>
      <c r="AD56" t="str">
        <f>IFERROR(IF(P56&lt;&gt;"",_xlfn.XLOOKUP(P56,[1]AttributeName!$C:$C,[1]AttributeName!$B:$B,""),""),"")</f>
        <v/>
      </c>
      <c r="AE56" t="str">
        <f t="shared" si="33"/>
        <v/>
      </c>
      <c r="AF56" t="str">
        <f t="shared" si="38"/>
        <v/>
      </c>
      <c r="AG56" t="str">
        <f t="shared" si="39"/>
        <v/>
      </c>
      <c r="AH56">
        <f>IFERROR(IF(R56&lt;&gt;"",_xlfn.XLOOKUP(R56,[1]ModifierDes!$B:$B,[1]ModifierDes!$A:$A,""),""),"")</f>
        <v>10067</v>
      </c>
      <c r="AI56">
        <f>IFERROR(IF(T56&lt;&gt;"",_xlfn.XLOOKUP(T56,[1]ModifierDes!$B:$B,[1]ModifierDes!$A:$A,""),""),"")</f>
        <v>10050</v>
      </c>
      <c r="AJ56">
        <f>IFERROR(IF(V56&lt;&gt;"",_xlfn.XLOOKUP(V56,[1]ModifierDes!$B:$B,[1]ModifierDes!$A:$A,""),""),"")</f>
        <v>10135</v>
      </c>
      <c r="AK56" t="str">
        <f>IFERROR(IF(X56&lt;&gt;"",_xlfn.XLOOKUP(X56,[1]ModifierDes!$B:$B,[1]ModifierDes!$A:$A,""),""),"")</f>
        <v/>
      </c>
      <c r="AL56" t="str">
        <f t="shared" si="34"/>
        <v>[0.2]</v>
      </c>
      <c r="AM56" t="str">
        <f t="shared" si="35"/>
        <v>[0.04]</v>
      </c>
      <c r="AN56" t="str">
        <f t="shared" si="36"/>
        <v>[0.3]</v>
      </c>
      <c r="AO56" t="str">
        <f t="shared" si="28"/>
        <v/>
      </c>
      <c r="AP56" t="str">
        <f>IFERROR(IF(Z56&lt;&gt;"",_xlfn.XLOOKUP(Z56,[1]StuntDes!$B:$B,[1]StuntDes!$A:$A,""),""),"")</f>
        <v/>
      </c>
      <c r="AQ56" t="str">
        <f>IFERROR(IF(AA56&lt;&gt;"",_xlfn.XLOOKUP(AA56,[1]StuntDes!$B:$B,[1]StuntDes!$A:$A,""),""),"")</f>
        <v/>
      </c>
    </row>
    <row r="57" spans="1:43">
      <c r="A57" s="16">
        <f t="shared" si="26"/>
        <v>70225</v>
      </c>
      <c r="B57" s="17" t="s">
        <v>264</v>
      </c>
      <c r="C57" s="17">
        <v>7022</v>
      </c>
      <c r="D57" s="18">
        <v>5</v>
      </c>
      <c r="E57" s="18"/>
      <c r="F57" s="14"/>
      <c r="G57" s="18" t="str">
        <f t="shared" si="30"/>
        <v>10067|10050|10135</v>
      </c>
      <c r="H57" s="18" t="str">
        <f t="shared" si="27"/>
        <v>[[0.2],[0.1],[0.3]]</v>
      </c>
      <c r="I57" s="18" t="str">
        <f t="shared" si="31"/>
        <v>2140000180</v>
      </c>
      <c r="J57" s="18" t="str">
        <f t="shared" si="32"/>
        <v/>
      </c>
      <c r="K57" t="str">
        <f>_xlfn.XLOOKUP(C57,Pet!A:A,Pet!E:E)</f>
        <v>SSR-法术</v>
      </c>
      <c r="R57" t="s">
        <v>258</v>
      </c>
      <c r="S57">
        <v>0.2</v>
      </c>
      <c r="T57" t="s">
        <v>209</v>
      </c>
      <c r="U57">
        <v>0.1</v>
      </c>
      <c r="V57" t="s">
        <v>259</v>
      </c>
      <c r="W57">
        <v>0.3</v>
      </c>
      <c r="Z57" t="s">
        <v>265</v>
      </c>
      <c r="AB57" t="str">
        <f>IFERROR(IF(L57&lt;&gt;"",_xlfn.XLOOKUP(L57,[1]AttributeName!$C:$C,[1]AttributeName!$B:$B,""),""),"")</f>
        <v/>
      </c>
      <c r="AC57" t="str">
        <f>IFERROR(IF(N57&lt;&gt;"",_xlfn.XLOOKUP(N57,[1]AttributeName!$C:$C,[1]AttributeName!$B:$B,""),""),"")</f>
        <v/>
      </c>
      <c r="AD57" t="str">
        <f>IFERROR(IF(P57&lt;&gt;"",_xlfn.XLOOKUP(P57,[1]AttributeName!$C:$C,[1]AttributeName!$B:$B,""),""),"")</f>
        <v/>
      </c>
      <c r="AE57" t="str">
        <f t="shared" si="33"/>
        <v/>
      </c>
      <c r="AF57" t="str">
        <f t="shared" si="38"/>
        <v/>
      </c>
      <c r="AG57" t="str">
        <f t="shared" si="39"/>
        <v/>
      </c>
      <c r="AH57">
        <f>IFERROR(IF(R57&lt;&gt;"",_xlfn.XLOOKUP(R57,[1]ModifierDes!$B:$B,[1]ModifierDes!$A:$A,""),""),"")</f>
        <v>10067</v>
      </c>
      <c r="AI57">
        <f>IFERROR(IF(T57&lt;&gt;"",_xlfn.XLOOKUP(T57,[1]ModifierDes!$B:$B,[1]ModifierDes!$A:$A,""),""),"")</f>
        <v>10050</v>
      </c>
      <c r="AJ57">
        <f>IFERROR(IF(V57&lt;&gt;"",_xlfn.XLOOKUP(V57,[1]ModifierDes!$B:$B,[1]ModifierDes!$A:$A,""),""),"")</f>
        <v>10135</v>
      </c>
      <c r="AK57" t="str">
        <f>IFERROR(IF(X57&lt;&gt;"",_xlfn.XLOOKUP(X57,[1]ModifierDes!$B:$B,[1]ModifierDes!$A:$A,""),""),"")</f>
        <v/>
      </c>
      <c r="AL57" t="str">
        <f t="shared" si="34"/>
        <v>[0.2]</v>
      </c>
      <c r="AM57" t="str">
        <f t="shared" si="35"/>
        <v>[0.1]</v>
      </c>
      <c r="AN57" t="str">
        <f t="shared" si="36"/>
        <v>[0.3]</v>
      </c>
      <c r="AO57" t="str">
        <f t="shared" si="28"/>
        <v/>
      </c>
      <c r="AP57">
        <f>IFERROR(IF(Z57&lt;&gt;"",_xlfn.XLOOKUP(Z57,[1]StuntDes!$B:$B,[1]StuntDes!$A:$A,""),""),"")</f>
        <v>2140000180</v>
      </c>
      <c r="AQ57" t="str">
        <f>IFERROR(IF(AA57&lt;&gt;"",_xlfn.XLOOKUP(AA57,[1]StuntDes!$B:$B,[1]StuntDes!$A:$A,""),""),"")</f>
        <v/>
      </c>
    </row>
    <row r="58" spans="1:43">
      <c r="A58" s="16">
        <f t="shared" si="26"/>
        <v>60120</v>
      </c>
      <c r="B58" s="17" t="s">
        <v>266</v>
      </c>
      <c r="C58" s="17">
        <v>6012</v>
      </c>
      <c r="D58" s="18">
        <v>0</v>
      </c>
      <c r="E58" s="18" t="str">
        <f t="shared" ref="E58:E62" si="41">"[["&amp;C58+10000&amp;",1]]"</f>
        <v>[[16012,1]]</v>
      </c>
      <c r="F58" s="14"/>
      <c r="G58" s="18" t="str">
        <f t="shared" si="30"/>
        <v/>
      </c>
      <c r="H58" s="18" t="str">
        <f t="shared" si="27"/>
        <v/>
      </c>
      <c r="I58" s="18" t="str">
        <f t="shared" si="31"/>
        <v/>
      </c>
      <c r="J58" s="18" t="str">
        <f t="shared" si="32"/>
        <v>[[10303,0.1],[11055,0.1]]</v>
      </c>
      <c r="K58" t="str">
        <f>_xlfn.XLOOKUP(C58,Pet!A:A,Pet!E:E)</f>
        <v>SR-物理</v>
      </c>
      <c r="L58" t="s">
        <v>197</v>
      </c>
      <c r="M58">
        <v>0.1</v>
      </c>
      <c r="N58" t="s">
        <v>200</v>
      </c>
      <c r="O58">
        <v>0.1</v>
      </c>
      <c r="AB58">
        <f>IFERROR(IF(L58&lt;&gt;"",_xlfn.XLOOKUP(L58,[1]AttributeName!$C:$C,[1]AttributeName!$B:$B,""),""),"")</f>
        <v>10303</v>
      </c>
      <c r="AC58">
        <f>IFERROR(IF(N58&lt;&gt;"",_xlfn.XLOOKUP(N58,[1]AttributeName!$C:$C,[1]AttributeName!$B:$B,""),""),"")</f>
        <v>11055</v>
      </c>
      <c r="AD58" t="str">
        <f>IFERROR(IF(P58&lt;&gt;"",_xlfn.XLOOKUP(P58,[1]AttributeName!$C:$C,[1]AttributeName!$B:$B,""),""),"")</f>
        <v/>
      </c>
      <c r="AE58" t="str">
        <f t="shared" si="33"/>
        <v>[10303,0.1]</v>
      </c>
      <c r="AF58" t="str">
        <f t="shared" si="38"/>
        <v>[11055,0.1]</v>
      </c>
      <c r="AG58" t="str">
        <f t="shared" si="39"/>
        <v/>
      </c>
      <c r="AH58" t="str">
        <f>IFERROR(IF(R58&lt;&gt;"",_xlfn.XLOOKUP(R58,[1]ModifierDes!$B:$B,[1]ModifierDes!$A:$A,""),""),"")</f>
        <v/>
      </c>
      <c r="AI58" t="str">
        <f>IFERROR(IF(T58&lt;&gt;"",_xlfn.XLOOKUP(T58,[1]ModifierDes!$B:$B,[1]ModifierDes!$A:$A,""),""),"")</f>
        <v/>
      </c>
      <c r="AJ58" t="str">
        <f>IFERROR(IF(V58&lt;&gt;"",_xlfn.XLOOKUP(V58,[1]ModifierDes!$B:$B,[1]ModifierDes!$A:$A,""),""),"")</f>
        <v/>
      </c>
      <c r="AK58" t="str">
        <f>IFERROR(IF(X58&lt;&gt;"",_xlfn.XLOOKUP(X58,[1]ModifierDes!$B:$B,[1]ModifierDes!$A:$A,""),""),"")</f>
        <v/>
      </c>
      <c r="AL58" t="str">
        <f t="shared" si="34"/>
        <v/>
      </c>
      <c r="AM58" t="str">
        <f t="shared" si="35"/>
        <v/>
      </c>
      <c r="AN58" t="str">
        <f t="shared" si="36"/>
        <v/>
      </c>
      <c r="AO58" t="str">
        <f t="shared" si="28"/>
        <v/>
      </c>
      <c r="AP58" t="str">
        <f>IFERROR(IF(Z58&lt;&gt;"",_xlfn.XLOOKUP(Z58,[1]StuntDes!$B:$B,[1]StuntDes!$A:$A,""),""),"")</f>
        <v/>
      </c>
      <c r="AQ58" t="str">
        <f>IFERROR(IF(AA58&lt;&gt;"",_xlfn.XLOOKUP(AA58,[1]StuntDes!$B:$B,[1]StuntDes!$A:$A,""),""),"")</f>
        <v/>
      </c>
    </row>
    <row r="59" spans="1:43">
      <c r="A59" s="16">
        <f t="shared" si="26"/>
        <v>60121</v>
      </c>
      <c r="B59" s="17" t="s">
        <v>267</v>
      </c>
      <c r="C59" s="17">
        <v>6012</v>
      </c>
      <c r="D59" s="18">
        <v>1</v>
      </c>
      <c r="E59" s="18" t="str">
        <f t="shared" si="41"/>
        <v>[[16012,1]]</v>
      </c>
      <c r="F59" s="14"/>
      <c r="G59" s="18" t="str">
        <f t="shared" si="30"/>
        <v/>
      </c>
      <c r="H59" s="18" t="str">
        <f t="shared" si="27"/>
        <v/>
      </c>
      <c r="I59" s="18" t="str">
        <f t="shared" si="31"/>
        <v/>
      </c>
      <c r="J59" s="18" t="str">
        <f t="shared" si="32"/>
        <v>[[10303,0.25],[11055,0.1]]</v>
      </c>
      <c r="K59" t="str">
        <f>_xlfn.XLOOKUP(C59,Pet!A:A,Pet!E:E)</f>
        <v>SR-物理</v>
      </c>
      <c r="L59" t="s">
        <v>197</v>
      </c>
      <c r="M59">
        <v>0.25</v>
      </c>
      <c r="N59" t="s">
        <v>200</v>
      </c>
      <c r="O59">
        <v>0.1</v>
      </c>
      <c r="AB59">
        <f>IFERROR(IF(L59&lt;&gt;"",_xlfn.XLOOKUP(L59,[1]AttributeName!$C:$C,[1]AttributeName!$B:$B,""),""),"")</f>
        <v>10303</v>
      </c>
      <c r="AC59">
        <f>IFERROR(IF(N59&lt;&gt;"",_xlfn.XLOOKUP(N59,[1]AttributeName!$C:$C,[1]AttributeName!$B:$B,""),""),"")</f>
        <v>11055</v>
      </c>
      <c r="AD59" t="str">
        <f>IFERROR(IF(P59&lt;&gt;"",_xlfn.XLOOKUP(P59,[1]AttributeName!$C:$C,[1]AttributeName!$B:$B,""),""),"")</f>
        <v/>
      </c>
      <c r="AE59" t="str">
        <f t="shared" si="33"/>
        <v>[10303,0.25]</v>
      </c>
      <c r="AF59" t="str">
        <f t="shared" si="38"/>
        <v>[11055,0.1]</v>
      </c>
      <c r="AG59" t="str">
        <f t="shared" si="39"/>
        <v/>
      </c>
      <c r="AH59" t="str">
        <f>IFERROR(IF(R59&lt;&gt;"",_xlfn.XLOOKUP(R59,[1]ModifierDes!$B:$B,[1]ModifierDes!$A:$A,""),""),"")</f>
        <v/>
      </c>
      <c r="AI59" t="str">
        <f>IFERROR(IF(T59&lt;&gt;"",_xlfn.XLOOKUP(T59,[1]ModifierDes!$B:$B,[1]ModifierDes!$A:$A,""),""),"")</f>
        <v/>
      </c>
      <c r="AJ59" t="str">
        <f>IFERROR(IF(V59&lt;&gt;"",_xlfn.XLOOKUP(V59,[1]ModifierDes!$B:$B,[1]ModifierDes!$A:$A,""),""),"")</f>
        <v/>
      </c>
      <c r="AK59" t="str">
        <f>IFERROR(IF(X59&lt;&gt;"",_xlfn.XLOOKUP(X59,[1]ModifierDes!$B:$B,[1]ModifierDes!$A:$A,""),""),"")</f>
        <v/>
      </c>
      <c r="AL59" t="str">
        <f t="shared" si="34"/>
        <v/>
      </c>
      <c r="AM59" t="str">
        <f t="shared" si="35"/>
        <v/>
      </c>
      <c r="AN59" t="str">
        <f t="shared" si="36"/>
        <v/>
      </c>
      <c r="AO59" t="str">
        <f t="shared" si="28"/>
        <v/>
      </c>
      <c r="AP59" t="str">
        <f>IFERROR(IF(Z59&lt;&gt;"",_xlfn.XLOOKUP(Z59,[1]StuntDes!$B:$B,[1]StuntDes!$A:$A,""),""),"")</f>
        <v/>
      </c>
      <c r="AQ59" t="str">
        <f>IFERROR(IF(AA59&lt;&gt;"",_xlfn.XLOOKUP(AA59,[1]StuntDes!$B:$B,[1]StuntDes!$A:$A,""),""),"")</f>
        <v/>
      </c>
    </row>
    <row r="60" spans="1:43">
      <c r="A60" s="16">
        <f t="shared" si="26"/>
        <v>60122</v>
      </c>
      <c r="B60" s="17" t="s">
        <v>268</v>
      </c>
      <c r="C60" s="17">
        <v>6012</v>
      </c>
      <c r="D60" s="18">
        <v>2</v>
      </c>
      <c r="E60" s="18" t="str">
        <f t="shared" si="41"/>
        <v>[[16012,1]]</v>
      </c>
      <c r="F60" s="14"/>
      <c r="G60" s="18" t="str">
        <f t="shared" si="30"/>
        <v/>
      </c>
      <c r="H60" s="18" t="str">
        <f t="shared" si="27"/>
        <v/>
      </c>
      <c r="I60" s="18" t="str">
        <f t="shared" si="31"/>
        <v/>
      </c>
      <c r="J60" s="18" t="str">
        <f t="shared" si="32"/>
        <v>[[10303,0.25],[11055,0.3]]</v>
      </c>
      <c r="K60" t="str">
        <f>_xlfn.XLOOKUP(C60,Pet!A:A,Pet!E:E)</f>
        <v>SR-物理</v>
      </c>
      <c r="L60" t="s">
        <v>197</v>
      </c>
      <c r="M60">
        <v>0.25</v>
      </c>
      <c r="N60" t="s">
        <v>200</v>
      </c>
      <c r="O60">
        <v>0.3</v>
      </c>
      <c r="AB60">
        <f>IFERROR(IF(L60&lt;&gt;"",_xlfn.XLOOKUP(L60,[1]AttributeName!$C:$C,[1]AttributeName!$B:$B,""),""),"")</f>
        <v>10303</v>
      </c>
      <c r="AC60">
        <f>IFERROR(IF(N60&lt;&gt;"",_xlfn.XLOOKUP(N60,[1]AttributeName!$C:$C,[1]AttributeName!$B:$B,""),""),"")</f>
        <v>11055</v>
      </c>
      <c r="AD60" t="str">
        <f>IFERROR(IF(P60&lt;&gt;"",_xlfn.XLOOKUP(P60,[1]AttributeName!$C:$C,[1]AttributeName!$B:$B,""),""),"")</f>
        <v/>
      </c>
      <c r="AE60" t="str">
        <f t="shared" si="33"/>
        <v>[10303,0.25]</v>
      </c>
      <c r="AF60" t="str">
        <f t="shared" si="38"/>
        <v>[11055,0.3]</v>
      </c>
      <c r="AG60" t="str">
        <f t="shared" si="39"/>
        <v/>
      </c>
      <c r="AH60" t="str">
        <f>IFERROR(IF(R60&lt;&gt;"",_xlfn.XLOOKUP(R60,[1]ModifierDes!$B:$B,[1]ModifierDes!$A:$A,""),""),"")</f>
        <v/>
      </c>
      <c r="AI60" t="str">
        <f>IFERROR(IF(T60&lt;&gt;"",_xlfn.XLOOKUP(T60,[1]ModifierDes!$B:$B,[1]ModifierDes!$A:$A,""),""),"")</f>
        <v/>
      </c>
      <c r="AJ60" t="str">
        <f>IFERROR(IF(V60&lt;&gt;"",_xlfn.XLOOKUP(V60,[1]ModifierDes!$B:$B,[1]ModifierDes!$A:$A,""),""),"")</f>
        <v/>
      </c>
      <c r="AK60" t="str">
        <f>IFERROR(IF(X60&lt;&gt;"",_xlfn.XLOOKUP(X60,[1]ModifierDes!$B:$B,[1]ModifierDes!$A:$A,""),""),"")</f>
        <v/>
      </c>
      <c r="AL60" t="str">
        <f t="shared" si="34"/>
        <v/>
      </c>
      <c r="AM60" t="str">
        <f t="shared" si="35"/>
        <v/>
      </c>
      <c r="AN60" t="str">
        <f t="shared" si="36"/>
        <v/>
      </c>
      <c r="AO60" t="str">
        <f t="shared" si="28"/>
        <v/>
      </c>
      <c r="AP60" t="str">
        <f>IFERROR(IF(Z60&lt;&gt;"",_xlfn.XLOOKUP(Z60,[1]StuntDes!$B:$B,[1]StuntDes!$A:$A,""),""),"")</f>
        <v/>
      </c>
      <c r="AQ60" t="str">
        <f>IFERROR(IF(AA60&lt;&gt;"",_xlfn.XLOOKUP(AA60,[1]StuntDes!$B:$B,[1]StuntDes!$A:$A,""),""),"")</f>
        <v/>
      </c>
    </row>
    <row r="61" spans="1:43">
      <c r="A61" s="16">
        <f t="shared" si="26"/>
        <v>60123</v>
      </c>
      <c r="B61" s="17" t="s">
        <v>269</v>
      </c>
      <c r="C61" s="17">
        <v>6012</v>
      </c>
      <c r="D61" s="18">
        <v>3</v>
      </c>
      <c r="E61" s="18" t="str">
        <f t="shared" si="41"/>
        <v>[[16012,1]]</v>
      </c>
      <c r="F61" s="14"/>
      <c r="G61" s="18" t="str">
        <f t="shared" si="30"/>
        <v/>
      </c>
      <c r="H61" s="18" t="str">
        <f t="shared" si="27"/>
        <v/>
      </c>
      <c r="I61" s="18" t="str">
        <f t="shared" si="31"/>
        <v/>
      </c>
      <c r="J61" s="18" t="str">
        <f t="shared" si="32"/>
        <v>[[10303,0.25],[11055,0.3],[10300,0.12]]</v>
      </c>
      <c r="K61" t="str">
        <f>_xlfn.XLOOKUP(C61,Pet!A:A,Pet!E:E)</f>
        <v>SR-物理</v>
      </c>
      <c r="L61" t="s">
        <v>197</v>
      </c>
      <c r="M61">
        <v>0.25</v>
      </c>
      <c r="N61" t="s">
        <v>200</v>
      </c>
      <c r="O61">
        <v>0.3</v>
      </c>
      <c r="P61" t="s">
        <v>193</v>
      </c>
      <c r="Q61">
        <v>0.12</v>
      </c>
      <c r="AB61">
        <f>IFERROR(IF(L61&lt;&gt;"",_xlfn.XLOOKUP(L61,[1]AttributeName!$C:$C,[1]AttributeName!$B:$B,""),""),"")</f>
        <v>10303</v>
      </c>
      <c r="AC61">
        <f>IFERROR(IF(N61&lt;&gt;"",_xlfn.XLOOKUP(N61,[1]AttributeName!$C:$C,[1]AttributeName!$B:$B,""),""),"")</f>
        <v>11055</v>
      </c>
      <c r="AD61">
        <f>IFERROR(IF(P61&lt;&gt;"",_xlfn.XLOOKUP(P61,[1]AttributeName!$C:$C,[1]AttributeName!$B:$B,""),""),"")</f>
        <v>10300</v>
      </c>
      <c r="AE61" t="str">
        <f t="shared" si="33"/>
        <v>[10303,0.25]</v>
      </c>
      <c r="AF61" t="str">
        <f t="shared" si="38"/>
        <v>[11055,0.3]</v>
      </c>
      <c r="AG61" t="str">
        <f t="shared" si="39"/>
        <v>[10300,0.12]</v>
      </c>
      <c r="AH61" t="str">
        <f>IFERROR(IF(R61&lt;&gt;"",_xlfn.XLOOKUP(R61,[1]ModifierDes!$B:$B,[1]ModifierDes!$A:$A,""),""),"")</f>
        <v/>
      </c>
      <c r="AI61" t="str">
        <f>IFERROR(IF(T61&lt;&gt;"",_xlfn.XLOOKUP(T61,[1]ModifierDes!$B:$B,[1]ModifierDes!$A:$A,""),""),"")</f>
        <v/>
      </c>
      <c r="AJ61" t="str">
        <f>IFERROR(IF(V61&lt;&gt;"",_xlfn.XLOOKUP(V61,[1]ModifierDes!$B:$B,[1]ModifierDes!$A:$A,""),""),"")</f>
        <v/>
      </c>
      <c r="AK61" t="str">
        <f>IFERROR(IF(X61&lt;&gt;"",_xlfn.XLOOKUP(X61,[1]ModifierDes!$B:$B,[1]ModifierDes!$A:$A,""),""),"")</f>
        <v/>
      </c>
      <c r="AL61" t="str">
        <f t="shared" si="34"/>
        <v/>
      </c>
      <c r="AM61" t="str">
        <f t="shared" si="35"/>
        <v/>
      </c>
      <c r="AN61" t="str">
        <f t="shared" si="36"/>
        <v/>
      </c>
      <c r="AO61" t="str">
        <f t="shared" si="28"/>
        <v/>
      </c>
      <c r="AP61" t="str">
        <f>IFERROR(IF(Z61&lt;&gt;"",_xlfn.XLOOKUP(Z61,[1]StuntDes!$B:$B,[1]StuntDes!$A:$A,""),""),"")</f>
        <v/>
      </c>
      <c r="AQ61" t="str">
        <f>IFERROR(IF(AA61&lt;&gt;"",_xlfn.XLOOKUP(AA61,[1]StuntDes!$B:$B,[1]StuntDes!$A:$A,""),""),"")</f>
        <v/>
      </c>
    </row>
    <row r="62" spans="1:43">
      <c r="A62" s="16">
        <f t="shared" si="26"/>
        <v>60124</v>
      </c>
      <c r="B62" s="17" t="s">
        <v>270</v>
      </c>
      <c r="C62" s="17">
        <v>6012</v>
      </c>
      <c r="D62" s="18">
        <v>4</v>
      </c>
      <c r="E62" s="18" t="str">
        <f t="shared" si="41"/>
        <v>[[16012,1]]</v>
      </c>
      <c r="F62" s="14"/>
      <c r="G62" s="18" t="str">
        <f t="shared" si="30"/>
        <v/>
      </c>
      <c r="H62" s="18" t="str">
        <f t="shared" si="27"/>
        <v/>
      </c>
      <c r="I62" s="18" t="str">
        <f t="shared" si="31"/>
        <v/>
      </c>
      <c r="J62" s="18" t="str">
        <f t="shared" si="32"/>
        <v>[[10303,0.39],[11055,0.3],[10300,0.12]]</v>
      </c>
      <c r="K62" t="str">
        <f>_xlfn.XLOOKUP(C62,Pet!A:A,Pet!E:E)</f>
        <v>SR-物理</v>
      </c>
      <c r="L62" t="s">
        <v>197</v>
      </c>
      <c r="M62">
        <v>0.39</v>
      </c>
      <c r="N62" t="s">
        <v>200</v>
      </c>
      <c r="O62">
        <v>0.3</v>
      </c>
      <c r="P62" t="s">
        <v>193</v>
      </c>
      <c r="Q62">
        <v>0.12</v>
      </c>
      <c r="AB62">
        <f>IFERROR(IF(L62&lt;&gt;"",_xlfn.XLOOKUP(L62,[1]AttributeName!$C:$C,[1]AttributeName!$B:$B,""),""),"")</f>
        <v>10303</v>
      </c>
      <c r="AC62">
        <f>IFERROR(IF(N62&lt;&gt;"",_xlfn.XLOOKUP(N62,[1]AttributeName!$C:$C,[1]AttributeName!$B:$B,""),""),"")</f>
        <v>11055</v>
      </c>
      <c r="AD62">
        <f>IFERROR(IF(P62&lt;&gt;"",_xlfn.XLOOKUP(P62,[1]AttributeName!$C:$C,[1]AttributeName!$B:$B,""),""),"")</f>
        <v>10300</v>
      </c>
      <c r="AE62" t="str">
        <f t="shared" si="33"/>
        <v>[10303,0.39]</v>
      </c>
      <c r="AF62" t="str">
        <f t="shared" si="38"/>
        <v>[11055,0.3]</v>
      </c>
      <c r="AG62" t="str">
        <f t="shared" si="39"/>
        <v>[10300,0.12]</v>
      </c>
      <c r="AH62" t="str">
        <f>IFERROR(IF(R62&lt;&gt;"",_xlfn.XLOOKUP(R62,[1]ModifierDes!$B:$B,[1]ModifierDes!$A:$A,""),""),"")</f>
        <v/>
      </c>
      <c r="AI62" t="str">
        <f>IFERROR(IF(T62&lt;&gt;"",_xlfn.XLOOKUP(T62,[1]ModifierDes!$B:$B,[1]ModifierDes!$A:$A,""),""),"")</f>
        <v/>
      </c>
      <c r="AJ62" t="str">
        <f>IFERROR(IF(V62&lt;&gt;"",_xlfn.XLOOKUP(V62,[1]ModifierDes!$B:$B,[1]ModifierDes!$A:$A,""),""),"")</f>
        <v/>
      </c>
      <c r="AK62" t="str">
        <f>IFERROR(IF(X62&lt;&gt;"",_xlfn.XLOOKUP(X62,[1]ModifierDes!$B:$B,[1]ModifierDes!$A:$A,""),""),"")</f>
        <v/>
      </c>
      <c r="AL62" t="str">
        <f t="shared" si="34"/>
        <v/>
      </c>
      <c r="AM62" t="str">
        <f t="shared" si="35"/>
        <v/>
      </c>
      <c r="AN62" t="str">
        <f t="shared" si="36"/>
        <v/>
      </c>
      <c r="AO62" t="str">
        <f t="shared" si="28"/>
        <v/>
      </c>
      <c r="AP62" t="str">
        <f>IFERROR(IF(Z62&lt;&gt;"",_xlfn.XLOOKUP(Z62,[1]StuntDes!$B:$B,[1]StuntDes!$A:$A,""),""),"")</f>
        <v/>
      </c>
      <c r="AQ62" t="str">
        <f>IFERROR(IF(AA62&lt;&gt;"",_xlfn.XLOOKUP(AA62,[1]StuntDes!$B:$B,[1]StuntDes!$A:$A,""),""),"")</f>
        <v/>
      </c>
    </row>
    <row r="63" spans="1:43">
      <c r="A63" s="16">
        <f t="shared" si="26"/>
        <v>60125</v>
      </c>
      <c r="B63" s="17" t="s">
        <v>271</v>
      </c>
      <c r="C63" s="17">
        <v>6012</v>
      </c>
      <c r="D63" s="18">
        <v>5</v>
      </c>
      <c r="E63" s="18"/>
      <c r="F63" s="14"/>
      <c r="G63" s="18" t="str">
        <f t="shared" si="30"/>
        <v/>
      </c>
      <c r="H63" s="18" t="str">
        <f t="shared" si="27"/>
        <v/>
      </c>
      <c r="I63" s="18" t="str">
        <f t="shared" si="31"/>
        <v/>
      </c>
      <c r="J63" s="18" t="str">
        <f t="shared" si="32"/>
        <v>[[10303,0.39],[11055,0.62],[10300,0.12]]</v>
      </c>
      <c r="K63" t="str">
        <f>_xlfn.XLOOKUP(C63,Pet!A:A,Pet!E:E)</f>
        <v>SR-物理</v>
      </c>
      <c r="L63" t="s">
        <v>197</v>
      </c>
      <c r="M63">
        <v>0.39</v>
      </c>
      <c r="N63" t="s">
        <v>200</v>
      </c>
      <c r="O63">
        <v>0.62</v>
      </c>
      <c r="P63" t="s">
        <v>193</v>
      </c>
      <c r="Q63">
        <v>0.12</v>
      </c>
      <c r="AB63">
        <f>IFERROR(IF(L63&lt;&gt;"",_xlfn.XLOOKUP(L63,[1]AttributeName!$C:$C,[1]AttributeName!$B:$B,""),""),"")</f>
        <v>10303</v>
      </c>
      <c r="AC63">
        <f>IFERROR(IF(N63&lt;&gt;"",_xlfn.XLOOKUP(N63,[1]AttributeName!$C:$C,[1]AttributeName!$B:$B,""),""),"")</f>
        <v>11055</v>
      </c>
      <c r="AD63">
        <f>IFERROR(IF(P63&lt;&gt;"",_xlfn.XLOOKUP(P63,[1]AttributeName!$C:$C,[1]AttributeName!$B:$B,""),""),"")</f>
        <v>10300</v>
      </c>
      <c r="AE63" t="str">
        <f t="shared" si="33"/>
        <v>[10303,0.39]</v>
      </c>
      <c r="AF63" t="str">
        <f t="shared" si="38"/>
        <v>[11055,0.62]</v>
      </c>
      <c r="AG63" t="str">
        <f t="shared" si="39"/>
        <v>[10300,0.12]</v>
      </c>
      <c r="AH63" t="str">
        <f>IFERROR(IF(R63&lt;&gt;"",_xlfn.XLOOKUP(R63,[1]ModifierDes!$B:$B,[1]ModifierDes!$A:$A,""),""),"")</f>
        <v/>
      </c>
      <c r="AI63" t="str">
        <f>IFERROR(IF(T63&lt;&gt;"",_xlfn.XLOOKUP(T63,[1]ModifierDes!$B:$B,[1]ModifierDes!$A:$A,""),""),"")</f>
        <v/>
      </c>
      <c r="AJ63" t="str">
        <f>IFERROR(IF(V63&lt;&gt;"",_xlfn.XLOOKUP(V63,[1]ModifierDes!$B:$B,[1]ModifierDes!$A:$A,""),""),"")</f>
        <v/>
      </c>
      <c r="AK63" t="str">
        <f>IFERROR(IF(X63&lt;&gt;"",_xlfn.XLOOKUP(X63,[1]ModifierDes!$B:$B,[1]ModifierDes!$A:$A,""),""),"")</f>
        <v/>
      </c>
      <c r="AL63" t="str">
        <f t="shared" si="34"/>
        <v/>
      </c>
      <c r="AM63" t="str">
        <f t="shared" si="35"/>
        <v/>
      </c>
      <c r="AN63" t="str">
        <f t="shared" si="36"/>
        <v/>
      </c>
      <c r="AO63" t="str">
        <f t="shared" si="28"/>
        <v/>
      </c>
      <c r="AP63" t="str">
        <f>IFERROR(IF(Z63&lt;&gt;"",_xlfn.XLOOKUP(Z63,[1]StuntDes!$B:$B,[1]StuntDes!$A:$A,""),""),"")</f>
        <v/>
      </c>
      <c r="AQ63" t="str">
        <f>IFERROR(IF(AA63&lt;&gt;"",_xlfn.XLOOKUP(AA63,[1]StuntDes!$B:$B,[1]StuntDes!$A:$A,""),""),"")</f>
        <v/>
      </c>
    </row>
    <row r="64" spans="1:43">
      <c r="A64" s="16">
        <f t="shared" si="26"/>
        <v>60520</v>
      </c>
      <c r="B64" s="17" t="s">
        <v>272</v>
      </c>
      <c r="C64" s="17">
        <v>6052</v>
      </c>
      <c r="D64" s="18">
        <v>0</v>
      </c>
      <c r="E64" s="18" t="str">
        <f t="shared" ref="E64:E68" si="42">"[["&amp;C64+10000&amp;",1]]"</f>
        <v>[[16052,1]]</v>
      </c>
      <c r="F64" s="14"/>
      <c r="G64" s="18" t="str">
        <f t="shared" si="30"/>
        <v>10066|10031</v>
      </c>
      <c r="H64" s="18" t="str">
        <f t="shared" si="27"/>
        <v>[[0.09],[0.02]]</v>
      </c>
      <c r="I64" s="18" t="str">
        <f t="shared" si="31"/>
        <v/>
      </c>
      <c r="J64" s="18" t="str">
        <f t="shared" si="32"/>
        <v/>
      </c>
      <c r="K64" t="str">
        <f>_xlfn.XLOOKUP(C64,Pet!A:A,Pet!E:E)</f>
        <v>SR-攻击</v>
      </c>
      <c r="R64" t="s">
        <v>227</v>
      </c>
      <c r="S64">
        <v>0.09</v>
      </c>
      <c r="T64" t="s">
        <v>207</v>
      </c>
      <c r="U64">
        <v>0.02</v>
      </c>
      <c r="AB64" t="str">
        <f>IFERROR(IF(L64&lt;&gt;"",_xlfn.XLOOKUP(L64,[1]AttributeName!$C:$C,[1]AttributeName!$B:$B,""),""),"")</f>
        <v/>
      </c>
      <c r="AC64" t="str">
        <f>IFERROR(IF(N64&lt;&gt;"",_xlfn.XLOOKUP(N64,[1]AttributeName!$C:$C,[1]AttributeName!$B:$B,""),""),"")</f>
        <v/>
      </c>
      <c r="AD64" t="str">
        <f>IFERROR(IF(P64&lt;&gt;"",_xlfn.XLOOKUP(P64,[1]AttributeName!$C:$C,[1]AttributeName!$B:$B,""),""),"")</f>
        <v/>
      </c>
      <c r="AE64" t="str">
        <f t="shared" si="33"/>
        <v/>
      </c>
      <c r="AF64" t="str">
        <f t="shared" si="38"/>
        <v/>
      </c>
      <c r="AG64" t="str">
        <f t="shared" si="39"/>
        <v/>
      </c>
      <c r="AH64">
        <f>IFERROR(IF(R64&lt;&gt;"",_xlfn.XLOOKUP(R64,[1]ModifierDes!$B:$B,[1]ModifierDes!$A:$A,""),""),"")</f>
        <v>10066</v>
      </c>
      <c r="AI64">
        <f>IFERROR(IF(T64&lt;&gt;"",_xlfn.XLOOKUP(T64,[1]ModifierDes!$B:$B,[1]ModifierDes!$A:$A,""),""),"")</f>
        <v>10031</v>
      </c>
      <c r="AJ64" t="str">
        <f>IFERROR(IF(V64&lt;&gt;"",_xlfn.XLOOKUP(V64,[1]ModifierDes!$B:$B,[1]ModifierDes!$A:$A,""),""),"")</f>
        <v/>
      </c>
      <c r="AK64" t="str">
        <f>IFERROR(IF(X64&lt;&gt;"",_xlfn.XLOOKUP(X64,[1]ModifierDes!$B:$B,[1]ModifierDes!$A:$A,""),""),"")</f>
        <v/>
      </c>
      <c r="AL64" t="str">
        <f t="shared" si="34"/>
        <v>[0.09]</v>
      </c>
      <c r="AM64" t="str">
        <f t="shared" si="35"/>
        <v>[0.02]</v>
      </c>
      <c r="AN64" t="str">
        <f t="shared" si="36"/>
        <v/>
      </c>
      <c r="AO64" t="str">
        <f t="shared" si="28"/>
        <v/>
      </c>
      <c r="AP64" t="str">
        <f>IFERROR(IF(Z64&lt;&gt;"",_xlfn.XLOOKUP(Z64,[1]StuntDes!$B:$B,[1]StuntDes!$A:$A,""),""),"")</f>
        <v/>
      </c>
      <c r="AQ64" t="str">
        <f>IFERROR(IF(AA64&lt;&gt;"",_xlfn.XLOOKUP(AA64,[1]StuntDes!$B:$B,[1]StuntDes!$A:$A,""),""),"")</f>
        <v/>
      </c>
    </row>
    <row r="65" spans="1:43">
      <c r="A65" s="16">
        <f t="shared" si="26"/>
        <v>60521</v>
      </c>
      <c r="B65" s="17" t="s">
        <v>273</v>
      </c>
      <c r="C65" s="17">
        <v>6052</v>
      </c>
      <c r="D65" s="18">
        <v>1</v>
      </c>
      <c r="E65" s="18" t="str">
        <f t="shared" si="42"/>
        <v>[[16052,1]]</v>
      </c>
      <c r="F65" s="14"/>
      <c r="G65" s="18" t="str">
        <f t="shared" si="30"/>
        <v>10066|10031</v>
      </c>
      <c r="H65" s="18" t="str">
        <f t="shared" si="27"/>
        <v>[[0.17],[0.02]]</v>
      </c>
      <c r="I65" s="18" t="str">
        <f t="shared" si="31"/>
        <v/>
      </c>
      <c r="J65" s="18" t="str">
        <f t="shared" si="32"/>
        <v/>
      </c>
      <c r="K65" t="str">
        <f>_xlfn.XLOOKUP(C65,Pet!A:A,Pet!E:E)</f>
        <v>SR-攻击</v>
      </c>
      <c r="R65" t="s">
        <v>227</v>
      </c>
      <c r="S65">
        <v>0.17</v>
      </c>
      <c r="T65" t="s">
        <v>207</v>
      </c>
      <c r="U65">
        <v>0.02</v>
      </c>
      <c r="AB65" t="str">
        <f>IFERROR(IF(L65&lt;&gt;"",_xlfn.XLOOKUP(L65,[1]AttributeName!$C:$C,[1]AttributeName!$B:$B,""),""),"")</f>
        <v/>
      </c>
      <c r="AC65" t="str">
        <f>IFERROR(IF(N65&lt;&gt;"",_xlfn.XLOOKUP(N65,[1]AttributeName!$C:$C,[1]AttributeName!$B:$B,""),""),"")</f>
        <v/>
      </c>
      <c r="AD65" t="str">
        <f>IFERROR(IF(P65&lt;&gt;"",_xlfn.XLOOKUP(P65,[1]AttributeName!$C:$C,[1]AttributeName!$B:$B,""),""),"")</f>
        <v/>
      </c>
      <c r="AE65" t="str">
        <f t="shared" si="33"/>
        <v/>
      </c>
      <c r="AF65" t="str">
        <f t="shared" si="38"/>
        <v/>
      </c>
      <c r="AG65" t="str">
        <f t="shared" si="39"/>
        <v/>
      </c>
      <c r="AH65">
        <f>IFERROR(IF(R65&lt;&gt;"",_xlfn.XLOOKUP(R65,[1]ModifierDes!$B:$B,[1]ModifierDes!$A:$A,""),""),"")</f>
        <v>10066</v>
      </c>
      <c r="AI65">
        <f>IFERROR(IF(T65&lt;&gt;"",_xlfn.XLOOKUP(T65,[1]ModifierDes!$B:$B,[1]ModifierDes!$A:$A,""),""),"")</f>
        <v>10031</v>
      </c>
      <c r="AJ65" t="str">
        <f>IFERROR(IF(V65&lt;&gt;"",_xlfn.XLOOKUP(V65,[1]ModifierDes!$B:$B,[1]ModifierDes!$A:$A,""),""),"")</f>
        <v/>
      </c>
      <c r="AK65" t="str">
        <f>IFERROR(IF(X65&lt;&gt;"",_xlfn.XLOOKUP(X65,[1]ModifierDes!$B:$B,[1]ModifierDes!$A:$A,""),""),"")</f>
        <v/>
      </c>
      <c r="AL65" t="str">
        <f t="shared" si="34"/>
        <v>[0.17]</v>
      </c>
      <c r="AM65" t="str">
        <f t="shared" si="35"/>
        <v>[0.02]</v>
      </c>
      <c r="AN65" t="str">
        <f t="shared" si="36"/>
        <v/>
      </c>
      <c r="AO65" t="str">
        <f t="shared" si="28"/>
        <v/>
      </c>
      <c r="AP65" t="str">
        <f>IFERROR(IF(Z65&lt;&gt;"",_xlfn.XLOOKUP(Z65,[1]StuntDes!$B:$B,[1]StuntDes!$A:$A,""),""),"")</f>
        <v/>
      </c>
      <c r="AQ65" t="str">
        <f>IFERROR(IF(AA65&lt;&gt;"",_xlfn.XLOOKUP(AA65,[1]StuntDes!$B:$B,[1]StuntDes!$A:$A,""),""),"")</f>
        <v/>
      </c>
    </row>
    <row r="66" spans="1:43">
      <c r="A66" s="16">
        <f t="shared" si="26"/>
        <v>60522</v>
      </c>
      <c r="B66" s="17" t="s">
        <v>274</v>
      </c>
      <c r="C66" s="17">
        <v>6052</v>
      </c>
      <c r="D66" s="18">
        <v>2</v>
      </c>
      <c r="E66" s="18" t="str">
        <f t="shared" si="42"/>
        <v>[[16052,1]]</v>
      </c>
      <c r="F66" s="14"/>
      <c r="G66" s="18" t="str">
        <f t="shared" si="30"/>
        <v>10066|10031</v>
      </c>
      <c r="H66" s="18" t="str">
        <f t="shared" si="27"/>
        <v>[[0.17],[0.06]]</v>
      </c>
      <c r="I66" s="18" t="str">
        <f t="shared" si="31"/>
        <v/>
      </c>
      <c r="J66" s="18" t="str">
        <f t="shared" si="32"/>
        <v/>
      </c>
      <c r="K66" t="str">
        <f>_xlfn.XLOOKUP(C66,Pet!A:A,Pet!E:E)</f>
        <v>SR-攻击</v>
      </c>
      <c r="R66" t="s">
        <v>227</v>
      </c>
      <c r="S66">
        <v>0.17</v>
      </c>
      <c r="T66" t="s">
        <v>207</v>
      </c>
      <c r="U66">
        <v>0.06</v>
      </c>
      <c r="AB66" t="str">
        <f>IFERROR(IF(L66&lt;&gt;"",_xlfn.XLOOKUP(L66,[1]AttributeName!$C:$C,[1]AttributeName!$B:$B,""),""),"")</f>
        <v/>
      </c>
      <c r="AC66" t="str">
        <f>IFERROR(IF(N66&lt;&gt;"",_xlfn.XLOOKUP(N66,[1]AttributeName!$C:$C,[1]AttributeName!$B:$B,""),""),"")</f>
        <v/>
      </c>
      <c r="AD66" t="str">
        <f>IFERROR(IF(P66&lt;&gt;"",_xlfn.XLOOKUP(P66,[1]AttributeName!$C:$C,[1]AttributeName!$B:$B,""),""),"")</f>
        <v/>
      </c>
      <c r="AE66" t="str">
        <f t="shared" si="33"/>
        <v/>
      </c>
      <c r="AF66" t="str">
        <f t="shared" si="38"/>
        <v/>
      </c>
      <c r="AG66" t="str">
        <f t="shared" si="39"/>
        <v/>
      </c>
      <c r="AH66">
        <f>IFERROR(IF(R66&lt;&gt;"",_xlfn.XLOOKUP(R66,[1]ModifierDes!$B:$B,[1]ModifierDes!$A:$A,""),""),"")</f>
        <v>10066</v>
      </c>
      <c r="AI66">
        <f>IFERROR(IF(T66&lt;&gt;"",_xlfn.XLOOKUP(T66,[1]ModifierDes!$B:$B,[1]ModifierDes!$A:$A,""),""),"")</f>
        <v>10031</v>
      </c>
      <c r="AJ66" t="str">
        <f>IFERROR(IF(V66&lt;&gt;"",_xlfn.XLOOKUP(V66,[1]ModifierDes!$B:$B,[1]ModifierDes!$A:$A,""),""),"")</f>
        <v/>
      </c>
      <c r="AK66" t="str">
        <f>IFERROR(IF(X66&lt;&gt;"",_xlfn.XLOOKUP(X66,[1]ModifierDes!$B:$B,[1]ModifierDes!$A:$A,""),""),"")</f>
        <v/>
      </c>
      <c r="AL66" t="str">
        <f t="shared" si="34"/>
        <v>[0.17]</v>
      </c>
      <c r="AM66" t="str">
        <f t="shared" si="35"/>
        <v>[0.06]</v>
      </c>
      <c r="AN66" t="str">
        <f t="shared" si="36"/>
        <v/>
      </c>
      <c r="AO66" t="str">
        <f t="shared" si="28"/>
        <v/>
      </c>
      <c r="AP66" t="str">
        <f>IFERROR(IF(Z66&lt;&gt;"",_xlfn.XLOOKUP(Z66,[1]StuntDes!$B:$B,[1]StuntDes!$A:$A,""),""),"")</f>
        <v/>
      </c>
      <c r="AQ66" t="str">
        <f>IFERROR(IF(AA66&lt;&gt;"",_xlfn.XLOOKUP(AA66,[1]StuntDes!$B:$B,[1]StuntDes!$A:$A,""),""),"")</f>
        <v/>
      </c>
    </row>
    <row r="67" spans="1:43">
      <c r="A67" s="16">
        <f t="shared" si="26"/>
        <v>60523</v>
      </c>
      <c r="B67" s="17" t="s">
        <v>275</v>
      </c>
      <c r="C67" s="17">
        <v>6052</v>
      </c>
      <c r="D67" s="18">
        <v>3</v>
      </c>
      <c r="E67" s="18" t="str">
        <f t="shared" si="42"/>
        <v>[[16052,1]]</v>
      </c>
      <c r="F67" s="14"/>
      <c r="G67" s="18" t="str">
        <f t="shared" si="30"/>
        <v>10066|10031</v>
      </c>
      <c r="H67" s="18" t="str">
        <f t="shared" si="27"/>
        <v>[[0.17],[0.06]]</v>
      </c>
      <c r="I67" s="18" t="str">
        <f t="shared" si="31"/>
        <v/>
      </c>
      <c r="J67" s="18" t="str">
        <f t="shared" si="32"/>
        <v>[[10300,0.12]]</v>
      </c>
      <c r="K67" t="str">
        <f>_xlfn.XLOOKUP(C67,Pet!A:A,Pet!E:E)</f>
        <v>SR-攻击</v>
      </c>
      <c r="L67" t="s">
        <v>193</v>
      </c>
      <c r="M67">
        <v>0.12</v>
      </c>
      <c r="R67" t="s">
        <v>227</v>
      </c>
      <c r="S67">
        <v>0.17</v>
      </c>
      <c r="T67" t="s">
        <v>207</v>
      </c>
      <c r="U67">
        <v>0.06</v>
      </c>
      <c r="AB67">
        <f>IFERROR(IF(L67&lt;&gt;"",_xlfn.XLOOKUP(L67,[1]AttributeName!$C:$C,[1]AttributeName!$B:$B,""),""),"")</f>
        <v>10300</v>
      </c>
      <c r="AC67" t="str">
        <f>IFERROR(IF(N67&lt;&gt;"",_xlfn.XLOOKUP(N67,[1]AttributeName!$C:$C,[1]AttributeName!$B:$B,""),""),"")</f>
        <v/>
      </c>
      <c r="AD67" t="str">
        <f>IFERROR(IF(P67&lt;&gt;"",_xlfn.XLOOKUP(P67,[1]AttributeName!$C:$C,[1]AttributeName!$B:$B,""),""),"")</f>
        <v/>
      </c>
      <c r="AE67" t="str">
        <f t="shared" si="33"/>
        <v>[10300,0.12]</v>
      </c>
      <c r="AF67" t="str">
        <f t="shared" si="38"/>
        <v/>
      </c>
      <c r="AG67" t="str">
        <f t="shared" si="39"/>
        <v/>
      </c>
      <c r="AH67">
        <f>IFERROR(IF(R67&lt;&gt;"",_xlfn.XLOOKUP(R67,[1]ModifierDes!$B:$B,[1]ModifierDes!$A:$A,""),""),"")</f>
        <v>10066</v>
      </c>
      <c r="AI67">
        <f>IFERROR(IF(T67&lt;&gt;"",_xlfn.XLOOKUP(T67,[1]ModifierDes!$B:$B,[1]ModifierDes!$A:$A,""),""),"")</f>
        <v>10031</v>
      </c>
      <c r="AJ67" t="str">
        <f>IFERROR(IF(V67&lt;&gt;"",_xlfn.XLOOKUP(V67,[1]ModifierDes!$B:$B,[1]ModifierDes!$A:$A,""),""),"")</f>
        <v/>
      </c>
      <c r="AK67" t="str">
        <f>IFERROR(IF(X67&lt;&gt;"",_xlfn.XLOOKUP(X67,[1]ModifierDes!$B:$B,[1]ModifierDes!$A:$A,""),""),"")</f>
        <v/>
      </c>
      <c r="AL67" t="str">
        <f t="shared" si="34"/>
        <v>[0.17]</v>
      </c>
      <c r="AM67" t="str">
        <f t="shared" si="35"/>
        <v>[0.06]</v>
      </c>
      <c r="AN67" t="str">
        <f t="shared" si="36"/>
        <v/>
      </c>
      <c r="AO67" t="str">
        <f t="shared" si="28"/>
        <v/>
      </c>
      <c r="AP67" t="str">
        <f>IFERROR(IF(Z67&lt;&gt;"",_xlfn.XLOOKUP(Z67,[1]StuntDes!$B:$B,[1]StuntDes!$A:$A,""),""),"")</f>
        <v/>
      </c>
      <c r="AQ67" t="str">
        <f>IFERROR(IF(AA67&lt;&gt;"",_xlfn.XLOOKUP(AA67,[1]StuntDes!$B:$B,[1]StuntDes!$A:$A,""),""),"")</f>
        <v/>
      </c>
    </row>
    <row r="68" spans="1:43">
      <c r="A68" s="16">
        <f t="shared" si="26"/>
        <v>60524</v>
      </c>
      <c r="B68" s="17" t="s">
        <v>276</v>
      </c>
      <c r="C68" s="17">
        <v>6052</v>
      </c>
      <c r="D68" s="18">
        <v>4</v>
      </c>
      <c r="E68" s="18" t="str">
        <f t="shared" si="42"/>
        <v>[[16052,1]]</v>
      </c>
      <c r="F68" s="14"/>
      <c r="G68" s="18" t="str">
        <f t="shared" si="30"/>
        <v>10066|10031</v>
      </c>
      <c r="H68" s="18" t="str">
        <f t="shared" si="27"/>
        <v>[[0.32],[0.06]]</v>
      </c>
      <c r="I68" s="18" t="str">
        <f t="shared" si="31"/>
        <v/>
      </c>
      <c r="J68" s="18" t="str">
        <f t="shared" si="32"/>
        <v>[[10300,0.12]]</v>
      </c>
      <c r="K68" t="str">
        <f>_xlfn.XLOOKUP(C68,Pet!A:A,Pet!E:E)</f>
        <v>SR-攻击</v>
      </c>
      <c r="L68" t="s">
        <v>193</v>
      </c>
      <c r="M68">
        <v>0.12</v>
      </c>
      <c r="R68" t="s">
        <v>227</v>
      </c>
      <c r="S68">
        <v>0.32</v>
      </c>
      <c r="T68" t="s">
        <v>207</v>
      </c>
      <c r="U68">
        <v>0.06</v>
      </c>
      <c r="AB68">
        <f>IFERROR(IF(L68&lt;&gt;"",_xlfn.XLOOKUP(L68,[1]AttributeName!$C:$C,[1]AttributeName!$B:$B,""),""),"")</f>
        <v>10300</v>
      </c>
      <c r="AC68" t="str">
        <f>IFERROR(IF(N68&lt;&gt;"",_xlfn.XLOOKUP(N68,[1]AttributeName!$C:$C,[1]AttributeName!$B:$B,""),""),"")</f>
        <v/>
      </c>
      <c r="AD68" t="str">
        <f>IFERROR(IF(P68&lt;&gt;"",_xlfn.XLOOKUP(P68,[1]AttributeName!$C:$C,[1]AttributeName!$B:$B,""),""),"")</f>
        <v/>
      </c>
      <c r="AE68" t="str">
        <f t="shared" si="33"/>
        <v>[10300,0.12]</v>
      </c>
      <c r="AF68" t="str">
        <f t="shared" si="38"/>
        <v/>
      </c>
      <c r="AG68" t="str">
        <f t="shared" si="39"/>
        <v/>
      </c>
      <c r="AH68">
        <f>IFERROR(IF(R68&lt;&gt;"",_xlfn.XLOOKUP(R68,[1]ModifierDes!$B:$B,[1]ModifierDes!$A:$A,""),""),"")</f>
        <v>10066</v>
      </c>
      <c r="AI68">
        <f>IFERROR(IF(T68&lt;&gt;"",_xlfn.XLOOKUP(T68,[1]ModifierDes!$B:$B,[1]ModifierDes!$A:$A,""),""),"")</f>
        <v>10031</v>
      </c>
      <c r="AJ68" t="str">
        <f>IFERROR(IF(V68&lt;&gt;"",_xlfn.XLOOKUP(V68,[1]ModifierDes!$B:$B,[1]ModifierDes!$A:$A,""),""),"")</f>
        <v/>
      </c>
      <c r="AK68" t="str">
        <f>IFERROR(IF(X68&lt;&gt;"",_xlfn.XLOOKUP(X68,[1]ModifierDes!$B:$B,[1]ModifierDes!$A:$A,""),""),"")</f>
        <v/>
      </c>
      <c r="AL68" t="str">
        <f t="shared" si="34"/>
        <v>[0.32]</v>
      </c>
      <c r="AM68" t="str">
        <f t="shared" si="35"/>
        <v>[0.06]</v>
      </c>
      <c r="AN68" t="str">
        <f t="shared" si="36"/>
        <v/>
      </c>
      <c r="AO68" t="str">
        <f t="shared" si="28"/>
        <v/>
      </c>
      <c r="AP68" t="str">
        <f>IFERROR(IF(Z68&lt;&gt;"",_xlfn.XLOOKUP(Z68,[1]StuntDes!$B:$B,[1]StuntDes!$A:$A,""),""),"")</f>
        <v/>
      </c>
      <c r="AQ68" t="str">
        <f>IFERROR(IF(AA68&lt;&gt;"",_xlfn.XLOOKUP(AA68,[1]StuntDes!$B:$B,[1]StuntDes!$A:$A,""),""),"")</f>
        <v/>
      </c>
    </row>
    <row r="69" s="9" customFormat="1" spans="1:43">
      <c r="A69" s="19">
        <f t="shared" si="26"/>
        <v>60525</v>
      </c>
      <c r="B69" s="9" t="s">
        <v>277</v>
      </c>
      <c r="C69" s="9">
        <v>6052</v>
      </c>
      <c r="D69" s="20">
        <v>5</v>
      </c>
      <c r="E69" s="20"/>
      <c r="F69" s="21"/>
      <c r="G69" s="18" t="str">
        <f t="shared" si="30"/>
        <v>10066|10031</v>
      </c>
      <c r="H69" s="18" t="str">
        <f t="shared" ref="H69:H100" si="43">IF(R69="","",_xlfn.CONCAT("[",_xlfn.TEXTJOIN(",",TRUE,AL69:AO69),"]"))</f>
        <v>[[0.32],[0.11]]</v>
      </c>
      <c r="I69" s="18" t="str">
        <f t="shared" si="31"/>
        <v/>
      </c>
      <c r="J69" s="18" t="str">
        <f t="shared" si="32"/>
        <v>[[10300,0.12]]</v>
      </c>
      <c r="K69" t="str">
        <f>_xlfn.XLOOKUP(C69,Pet!A:A,Pet!E:E)</f>
        <v>SR-攻击</v>
      </c>
      <c r="L69" t="s">
        <v>193</v>
      </c>
      <c r="M69">
        <v>0.12</v>
      </c>
      <c r="N69"/>
      <c r="O69"/>
      <c r="P69"/>
      <c r="Q69"/>
      <c r="R69" t="s">
        <v>227</v>
      </c>
      <c r="S69">
        <v>0.32</v>
      </c>
      <c r="T69" t="s">
        <v>207</v>
      </c>
      <c r="U69">
        <v>0.11</v>
      </c>
      <c r="V69"/>
      <c r="W69"/>
      <c r="X69"/>
      <c r="Y69"/>
      <c r="Z69"/>
      <c r="AA69"/>
      <c r="AB69">
        <f>IFERROR(IF(L69&lt;&gt;"",_xlfn.XLOOKUP(L69,[1]AttributeName!$C:$C,[1]AttributeName!$B:$B,""),""),"")</f>
        <v>10300</v>
      </c>
      <c r="AC69" t="str">
        <f>IFERROR(IF(N69&lt;&gt;"",_xlfn.XLOOKUP(N69,[1]AttributeName!$C:$C,[1]AttributeName!$B:$B,""),""),"")</f>
        <v/>
      </c>
      <c r="AD69" t="str">
        <f>IFERROR(IF(P69&lt;&gt;"",_xlfn.XLOOKUP(P69,[1]AttributeName!$C:$C,[1]AttributeName!$B:$B,""),""),"")</f>
        <v/>
      </c>
      <c r="AE69" t="str">
        <f t="shared" si="33"/>
        <v>[10300,0.12]</v>
      </c>
      <c r="AF69" t="str">
        <f t="shared" si="38"/>
        <v/>
      </c>
      <c r="AG69" t="str">
        <f t="shared" si="39"/>
        <v/>
      </c>
      <c r="AH69">
        <f>IFERROR(IF(R69&lt;&gt;"",_xlfn.XLOOKUP(R69,[1]ModifierDes!$B:$B,[1]ModifierDes!$A:$A,""),""),"")</f>
        <v>10066</v>
      </c>
      <c r="AI69">
        <f>IFERROR(IF(T69&lt;&gt;"",_xlfn.XLOOKUP(T69,[1]ModifierDes!$B:$B,[1]ModifierDes!$A:$A,""),""),"")</f>
        <v>10031</v>
      </c>
      <c r="AJ69" t="str">
        <f>IFERROR(IF(V69&lt;&gt;"",_xlfn.XLOOKUP(V69,[1]ModifierDes!$B:$B,[1]ModifierDes!$A:$A,""),""),"")</f>
        <v/>
      </c>
      <c r="AK69" t="str">
        <f>IFERROR(IF(X69&lt;&gt;"",_xlfn.XLOOKUP(X69,[1]ModifierDes!$B:$B,[1]ModifierDes!$A:$A,""),""),"")</f>
        <v/>
      </c>
      <c r="AL69" t="str">
        <f t="shared" si="34"/>
        <v>[0.32]</v>
      </c>
      <c r="AM69" t="str">
        <f t="shared" si="35"/>
        <v>[0.11]</v>
      </c>
      <c r="AN69" t="str">
        <f t="shared" si="36"/>
        <v/>
      </c>
      <c r="AO69" t="str">
        <f t="shared" ref="AO69:AO100" si="44">IF(Y69="","",_xlfn.CONCAT("[",Y69,"]"))</f>
        <v/>
      </c>
      <c r="AP69" t="str">
        <f>IFERROR(IF(Z69&lt;&gt;"",_xlfn.XLOOKUP(Z69,[1]StuntDes!$B:$B,[1]StuntDes!$A:$A,""),""),"")</f>
        <v/>
      </c>
      <c r="AQ69" t="str">
        <f>IFERROR(IF(AA69&lt;&gt;"",_xlfn.XLOOKUP(AA69,[1]StuntDes!$B:$B,[1]StuntDes!$A:$A,""),""),"")</f>
        <v/>
      </c>
    </row>
    <row r="70" spans="1:43">
      <c r="A70" s="16">
        <f t="shared" si="26"/>
        <v>60420</v>
      </c>
      <c r="B70" s="17" t="s">
        <v>278</v>
      </c>
      <c r="C70" s="17">
        <v>6042</v>
      </c>
      <c r="D70" s="18">
        <v>0</v>
      </c>
      <c r="E70" s="18" t="str">
        <f t="shared" ref="E70:E74" si="45">"[["&amp;C70+10000&amp;",1]]"</f>
        <v>[[16042,1]]</v>
      </c>
      <c r="F70" s="14"/>
      <c r="G70" s="18" t="str">
        <f t="shared" si="30"/>
        <v>10064|10049</v>
      </c>
      <c r="H70" s="18" t="str">
        <f t="shared" si="43"/>
        <v>[[0.09],[0.04]]</v>
      </c>
      <c r="I70" s="18" t="str">
        <f t="shared" si="31"/>
        <v/>
      </c>
      <c r="J70" s="18" t="str">
        <f t="shared" si="32"/>
        <v/>
      </c>
      <c r="K70" t="str">
        <f>_xlfn.XLOOKUP(C70,Pet!A:A,Pet!E:E)</f>
        <v>SR-投射物</v>
      </c>
      <c r="R70" t="s">
        <v>242</v>
      </c>
      <c r="S70">
        <v>0.09</v>
      </c>
      <c r="T70" t="s">
        <v>243</v>
      </c>
      <c r="U70">
        <v>0.04</v>
      </c>
      <c r="AB70" t="str">
        <f>IFERROR(IF(L70&lt;&gt;"",_xlfn.XLOOKUP(L70,[1]AttributeName!$C:$C,[1]AttributeName!$B:$B,""),""),"")</f>
        <v/>
      </c>
      <c r="AC70" t="str">
        <f>IFERROR(IF(N70&lt;&gt;"",_xlfn.XLOOKUP(N70,[1]AttributeName!$C:$C,[1]AttributeName!$B:$B,""),""),"")</f>
        <v/>
      </c>
      <c r="AD70" t="str">
        <f>IFERROR(IF(P70&lt;&gt;"",_xlfn.XLOOKUP(P70,[1]AttributeName!$C:$C,[1]AttributeName!$B:$B,""),""),"")</f>
        <v/>
      </c>
      <c r="AE70" t="str">
        <f t="shared" si="33"/>
        <v/>
      </c>
      <c r="AF70" t="str">
        <f t="shared" si="38"/>
        <v/>
      </c>
      <c r="AG70" t="str">
        <f t="shared" si="39"/>
        <v/>
      </c>
      <c r="AH70">
        <f>IFERROR(IF(R70&lt;&gt;"",_xlfn.XLOOKUP(R70,[1]ModifierDes!$B:$B,[1]ModifierDes!$A:$A,""),""),"")</f>
        <v>10064</v>
      </c>
      <c r="AI70">
        <f>IFERROR(IF(T70&lt;&gt;"",_xlfn.XLOOKUP(T70,[1]ModifierDes!$B:$B,[1]ModifierDes!$A:$A,""),""),"")</f>
        <v>10049</v>
      </c>
      <c r="AJ70" t="str">
        <f>IFERROR(IF(V70&lt;&gt;"",_xlfn.XLOOKUP(V70,[1]ModifierDes!$B:$B,[1]ModifierDes!$A:$A,""),""),"")</f>
        <v/>
      </c>
      <c r="AK70" t="str">
        <f>IFERROR(IF(X70&lt;&gt;"",_xlfn.XLOOKUP(X70,[1]ModifierDes!$B:$B,[1]ModifierDes!$A:$A,""),""),"")</f>
        <v/>
      </c>
      <c r="AL70" t="str">
        <f t="shared" si="34"/>
        <v>[0.09]</v>
      </c>
      <c r="AM70" t="str">
        <f t="shared" si="35"/>
        <v>[0.04]</v>
      </c>
      <c r="AN70" t="str">
        <f t="shared" si="36"/>
        <v/>
      </c>
      <c r="AO70" t="str">
        <f t="shared" si="44"/>
        <v/>
      </c>
      <c r="AP70" t="str">
        <f>IFERROR(IF(Z70&lt;&gt;"",_xlfn.XLOOKUP(Z70,[1]StuntDes!$B:$B,[1]StuntDes!$A:$A,""),""),"")</f>
        <v/>
      </c>
      <c r="AQ70" t="str">
        <f>IFERROR(IF(AA70&lt;&gt;"",_xlfn.XLOOKUP(AA70,[1]StuntDes!$B:$B,[1]StuntDes!$A:$A,""),""),"")</f>
        <v/>
      </c>
    </row>
    <row r="71" spans="1:43">
      <c r="A71" s="16">
        <f t="shared" si="26"/>
        <v>60421</v>
      </c>
      <c r="B71" s="17" t="s">
        <v>279</v>
      </c>
      <c r="C71" s="17">
        <v>6042</v>
      </c>
      <c r="D71" s="18">
        <v>1</v>
      </c>
      <c r="E71" s="18" t="str">
        <f t="shared" si="45"/>
        <v>[[16042,1]]</v>
      </c>
      <c r="F71" s="14"/>
      <c r="G71" s="18" t="str">
        <f t="shared" si="30"/>
        <v>10064|10049</v>
      </c>
      <c r="H71" s="18" t="str">
        <f t="shared" si="43"/>
        <v>[[0.17],[0.04]]</v>
      </c>
      <c r="I71" s="18" t="str">
        <f t="shared" si="31"/>
        <v/>
      </c>
      <c r="J71" s="18" t="str">
        <f t="shared" si="32"/>
        <v/>
      </c>
      <c r="K71" t="str">
        <f>_xlfn.XLOOKUP(C71,Pet!A:A,Pet!E:E)</f>
        <v>SR-投射物</v>
      </c>
      <c r="R71" t="s">
        <v>242</v>
      </c>
      <c r="S71">
        <v>0.17</v>
      </c>
      <c r="T71" t="s">
        <v>243</v>
      </c>
      <c r="U71">
        <v>0.04</v>
      </c>
      <c r="AB71" t="str">
        <f>IFERROR(IF(L71&lt;&gt;"",_xlfn.XLOOKUP(L71,[1]AttributeName!$C:$C,[1]AttributeName!$B:$B,""),""),"")</f>
        <v/>
      </c>
      <c r="AC71" t="str">
        <f>IFERROR(IF(N71&lt;&gt;"",_xlfn.XLOOKUP(N71,[1]AttributeName!$C:$C,[1]AttributeName!$B:$B,""),""),"")</f>
        <v/>
      </c>
      <c r="AD71" t="str">
        <f>IFERROR(IF(P71&lt;&gt;"",_xlfn.XLOOKUP(P71,[1]AttributeName!$C:$C,[1]AttributeName!$B:$B,""),""),"")</f>
        <v/>
      </c>
      <c r="AE71" t="str">
        <f t="shared" si="33"/>
        <v/>
      </c>
      <c r="AF71" t="str">
        <f t="shared" si="38"/>
        <v/>
      </c>
      <c r="AG71" t="str">
        <f t="shared" si="39"/>
        <v/>
      </c>
      <c r="AH71">
        <f>IFERROR(IF(R71&lt;&gt;"",_xlfn.XLOOKUP(R71,[1]ModifierDes!$B:$B,[1]ModifierDes!$A:$A,""),""),"")</f>
        <v>10064</v>
      </c>
      <c r="AI71">
        <f>IFERROR(IF(T71&lt;&gt;"",_xlfn.XLOOKUP(T71,[1]ModifierDes!$B:$B,[1]ModifierDes!$A:$A,""),""),"")</f>
        <v>10049</v>
      </c>
      <c r="AJ71" t="str">
        <f>IFERROR(IF(V71&lt;&gt;"",_xlfn.XLOOKUP(V71,[1]ModifierDes!$B:$B,[1]ModifierDes!$A:$A,""),""),"")</f>
        <v/>
      </c>
      <c r="AK71" t="str">
        <f>IFERROR(IF(X71&lt;&gt;"",_xlfn.XLOOKUP(X71,[1]ModifierDes!$B:$B,[1]ModifierDes!$A:$A,""),""),"")</f>
        <v/>
      </c>
      <c r="AL71" t="str">
        <f t="shared" si="34"/>
        <v>[0.17]</v>
      </c>
      <c r="AM71" t="str">
        <f t="shared" si="35"/>
        <v>[0.04]</v>
      </c>
      <c r="AN71" t="str">
        <f t="shared" si="36"/>
        <v/>
      </c>
      <c r="AO71" t="str">
        <f t="shared" si="44"/>
        <v/>
      </c>
      <c r="AP71" t="str">
        <f>IFERROR(IF(Z71&lt;&gt;"",_xlfn.XLOOKUP(Z71,[1]StuntDes!$B:$B,[1]StuntDes!$A:$A,""),""),"")</f>
        <v/>
      </c>
      <c r="AQ71" t="str">
        <f>IFERROR(IF(AA71&lt;&gt;"",_xlfn.XLOOKUP(AA71,[1]StuntDes!$B:$B,[1]StuntDes!$A:$A,""),""),"")</f>
        <v/>
      </c>
    </row>
    <row r="72" spans="1:43">
      <c r="A72" s="16">
        <f t="shared" si="26"/>
        <v>60422</v>
      </c>
      <c r="B72" s="17" t="s">
        <v>280</v>
      </c>
      <c r="C72" s="17">
        <v>6042</v>
      </c>
      <c r="D72" s="18">
        <v>2</v>
      </c>
      <c r="E72" s="18" t="str">
        <f t="shared" si="45"/>
        <v>[[16042,1]]</v>
      </c>
      <c r="F72" s="14"/>
      <c r="G72" s="18" t="str">
        <f t="shared" si="30"/>
        <v>10064|10049</v>
      </c>
      <c r="H72" s="18" t="str">
        <f t="shared" si="43"/>
        <v>[[0.17],[0.12]]</v>
      </c>
      <c r="I72" s="18" t="str">
        <f t="shared" si="31"/>
        <v/>
      </c>
      <c r="J72" s="18" t="str">
        <f t="shared" si="32"/>
        <v/>
      </c>
      <c r="K72" t="str">
        <f>_xlfn.XLOOKUP(C72,Pet!A:A,Pet!E:E)</f>
        <v>SR-投射物</v>
      </c>
      <c r="R72" t="s">
        <v>242</v>
      </c>
      <c r="S72">
        <v>0.17</v>
      </c>
      <c r="T72" t="s">
        <v>243</v>
      </c>
      <c r="U72">
        <v>0.12</v>
      </c>
      <c r="AB72" t="str">
        <f>IFERROR(IF(L72&lt;&gt;"",_xlfn.XLOOKUP(L72,[1]AttributeName!$C:$C,[1]AttributeName!$B:$B,""),""),"")</f>
        <v/>
      </c>
      <c r="AC72" t="str">
        <f>IFERROR(IF(N72&lt;&gt;"",_xlfn.XLOOKUP(N72,[1]AttributeName!$C:$C,[1]AttributeName!$B:$B,""),""),"")</f>
        <v/>
      </c>
      <c r="AD72" t="str">
        <f>IFERROR(IF(P72&lt;&gt;"",_xlfn.XLOOKUP(P72,[1]AttributeName!$C:$C,[1]AttributeName!$B:$B,""),""),"")</f>
        <v/>
      </c>
      <c r="AE72" t="str">
        <f t="shared" si="33"/>
        <v/>
      </c>
      <c r="AF72" t="str">
        <f t="shared" si="38"/>
        <v/>
      </c>
      <c r="AG72" t="str">
        <f t="shared" si="39"/>
        <v/>
      </c>
      <c r="AH72">
        <f>IFERROR(IF(R72&lt;&gt;"",_xlfn.XLOOKUP(R72,[1]ModifierDes!$B:$B,[1]ModifierDes!$A:$A,""),""),"")</f>
        <v>10064</v>
      </c>
      <c r="AI72">
        <f>IFERROR(IF(T72&lt;&gt;"",_xlfn.XLOOKUP(T72,[1]ModifierDes!$B:$B,[1]ModifierDes!$A:$A,""),""),"")</f>
        <v>10049</v>
      </c>
      <c r="AJ72" t="str">
        <f>IFERROR(IF(V72&lt;&gt;"",_xlfn.XLOOKUP(V72,[1]ModifierDes!$B:$B,[1]ModifierDes!$A:$A,""),""),"")</f>
        <v/>
      </c>
      <c r="AK72" t="str">
        <f>IFERROR(IF(X72&lt;&gt;"",_xlfn.XLOOKUP(X72,[1]ModifierDes!$B:$B,[1]ModifierDes!$A:$A,""),""),"")</f>
        <v/>
      </c>
      <c r="AL72" t="str">
        <f t="shared" si="34"/>
        <v>[0.17]</v>
      </c>
      <c r="AM72" t="str">
        <f t="shared" si="35"/>
        <v>[0.12]</v>
      </c>
      <c r="AN72" t="str">
        <f t="shared" si="36"/>
        <v/>
      </c>
      <c r="AO72" t="str">
        <f t="shared" si="44"/>
        <v/>
      </c>
      <c r="AP72" t="str">
        <f>IFERROR(IF(Z72&lt;&gt;"",_xlfn.XLOOKUP(Z72,[1]StuntDes!$B:$B,[1]StuntDes!$A:$A,""),""),"")</f>
        <v/>
      </c>
      <c r="AQ72" t="str">
        <f>IFERROR(IF(AA72&lt;&gt;"",_xlfn.XLOOKUP(AA72,[1]StuntDes!$B:$B,[1]StuntDes!$A:$A,""),""),"")</f>
        <v/>
      </c>
    </row>
    <row r="73" spans="1:43">
      <c r="A73" s="16">
        <f t="shared" si="26"/>
        <v>60423</v>
      </c>
      <c r="B73" s="17" t="s">
        <v>281</v>
      </c>
      <c r="C73" s="17">
        <v>6042</v>
      </c>
      <c r="D73" s="18">
        <v>3</v>
      </c>
      <c r="E73" s="18" t="str">
        <f t="shared" si="45"/>
        <v>[[16042,1]]</v>
      </c>
      <c r="F73" s="14"/>
      <c r="G73" s="18" t="str">
        <f t="shared" si="30"/>
        <v>10064|10049</v>
      </c>
      <c r="H73" s="18" t="str">
        <f t="shared" si="43"/>
        <v>[[0.17],[0.12]]</v>
      </c>
      <c r="I73" s="18" t="str">
        <f t="shared" si="31"/>
        <v/>
      </c>
      <c r="J73" s="18" t="str">
        <f t="shared" si="32"/>
        <v>[[10300,0.12]]</v>
      </c>
      <c r="K73" t="str">
        <f>_xlfn.XLOOKUP(C73,Pet!A:A,Pet!E:E)</f>
        <v>SR-投射物</v>
      </c>
      <c r="L73" t="s">
        <v>193</v>
      </c>
      <c r="M73">
        <v>0.12</v>
      </c>
      <c r="R73" t="s">
        <v>242</v>
      </c>
      <c r="S73">
        <v>0.17</v>
      </c>
      <c r="T73" t="s">
        <v>243</v>
      </c>
      <c r="U73">
        <v>0.12</v>
      </c>
      <c r="AB73">
        <f>IFERROR(IF(L73&lt;&gt;"",_xlfn.XLOOKUP(L73,[1]AttributeName!$C:$C,[1]AttributeName!$B:$B,""),""),"")</f>
        <v>10300</v>
      </c>
      <c r="AC73" t="str">
        <f>IFERROR(IF(N73&lt;&gt;"",_xlfn.XLOOKUP(N73,[1]AttributeName!$C:$C,[1]AttributeName!$B:$B,""),""),"")</f>
        <v/>
      </c>
      <c r="AD73" t="str">
        <f>IFERROR(IF(P73&lt;&gt;"",_xlfn.XLOOKUP(P73,[1]AttributeName!$C:$C,[1]AttributeName!$B:$B,""),""),"")</f>
        <v/>
      </c>
      <c r="AE73" t="str">
        <f t="shared" si="33"/>
        <v>[10300,0.12]</v>
      </c>
      <c r="AF73" t="str">
        <f t="shared" si="38"/>
        <v/>
      </c>
      <c r="AG73" t="str">
        <f t="shared" si="39"/>
        <v/>
      </c>
      <c r="AH73">
        <f>IFERROR(IF(R73&lt;&gt;"",_xlfn.XLOOKUP(R73,[1]ModifierDes!$B:$B,[1]ModifierDes!$A:$A,""),""),"")</f>
        <v>10064</v>
      </c>
      <c r="AI73">
        <f>IFERROR(IF(T73&lt;&gt;"",_xlfn.XLOOKUP(T73,[1]ModifierDes!$B:$B,[1]ModifierDes!$A:$A,""),""),"")</f>
        <v>10049</v>
      </c>
      <c r="AJ73" t="str">
        <f>IFERROR(IF(V73&lt;&gt;"",_xlfn.XLOOKUP(V73,[1]ModifierDes!$B:$B,[1]ModifierDes!$A:$A,""),""),"")</f>
        <v/>
      </c>
      <c r="AK73" t="str">
        <f>IFERROR(IF(X73&lt;&gt;"",_xlfn.XLOOKUP(X73,[1]ModifierDes!$B:$B,[1]ModifierDes!$A:$A,""),""),"")</f>
        <v/>
      </c>
      <c r="AL73" t="str">
        <f t="shared" si="34"/>
        <v>[0.17]</v>
      </c>
      <c r="AM73" t="str">
        <f t="shared" si="35"/>
        <v>[0.12]</v>
      </c>
      <c r="AN73" t="str">
        <f t="shared" si="36"/>
        <v/>
      </c>
      <c r="AO73" t="str">
        <f t="shared" si="44"/>
        <v/>
      </c>
      <c r="AP73" t="str">
        <f>IFERROR(IF(Z73&lt;&gt;"",_xlfn.XLOOKUP(Z73,[1]StuntDes!$B:$B,[1]StuntDes!$A:$A,""),""),"")</f>
        <v/>
      </c>
      <c r="AQ73" t="str">
        <f>IFERROR(IF(AA73&lt;&gt;"",_xlfn.XLOOKUP(AA73,[1]StuntDes!$B:$B,[1]StuntDes!$A:$A,""),""),"")</f>
        <v/>
      </c>
    </row>
    <row r="74" spans="1:43">
      <c r="A74" s="16">
        <f t="shared" si="26"/>
        <v>60424</v>
      </c>
      <c r="B74" s="17" t="s">
        <v>282</v>
      </c>
      <c r="C74" s="17">
        <v>6042</v>
      </c>
      <c r="D74" s="18">
        <v>4</v>
      </c>
      <c r="E74" s="18" t="str">
        <f t="shared" si="45"/>
        <v>[[16042,1]]</v>
      </c>
      <c r="F74" s="14"/>
      <c r="G74" s="18" t="str">
        <f t="shared" ref="G74:G105" si="46">_xlfn.TEXTJOIN("|",TRUE,AH74:AJ74)</f>
        <v>10064|10049</v>
      </c>
      <c r="H74" s="18" t="str">
        <f t="shared" si="43"/>
        <v>[[0.32],[0.12]]</v>
      </c>
      <c r="I74" s="18" t="str">
        <f t="shared" ref="I74:I105" si="47">_xlfn.TEXTJOIN("|",TRUE,AP74:AQ74)</f>
        <v/>
      </c>
      <c r="J74" s="18" t="str">
        <f t="shared" ref="J74:J105" si="48">IF(AB74="","",_xlfn.CONCAT("[",_xlfn.TEXTJOIN(",",TRUE,AE74:AG74),"]"))</f>
        <v>[[10300,0.12]]</v>
      </c>
      <c r="K74" t="str">
        <f>_xlfn.XLOOKUP(C74,Pet!A:A,Pet!E:E)</f>
        <v>SR-投射物</v>
      </c>
      <c r="L74" t="s">
        <v>193</v>
      </c>
      <c r="M74">
        <v>0.12</v>
      </c>
      <c r="R74" t="s">
        <v>242</v>
      </c>
      <c r="S74">
        <v>0.32</v>
      </c>
      <c r="T74" t="s">
        <v>243</v>
      </c>
      <c r="U74">
        <v>0.12</v>
      </c>
      <c r="AB74">
        <f>IFERROR(IF(L74&lt;&gt;"",_xlfn.XLOOKUP(L74,[1]AttributeName!$C:$C,[1]AttributeName!$B:$B,""),""),"")</f>
        <v>10300</v>
      </c>
      <c r="AC74" t="str">
        <f>IFERROR(IF(N74&lt;&gt;"",_xlfn.XLOOKUP(N74,[1]AttributeName!$C:$C,[1]AttributeName!$B:$B,""),""),"")</f>
        <v/>
      </c>
      <c r="AD74" t="str">
        <f>IFERROR(IF(P74&lt;&gt;"",_xlfn.XLOOKUP(P74,[1]AttributeName!$C:$C,[1]AttributeName!$B:$B,""),""),"")</f>
        <v/>
      </c>
      <c r="AE74" t="str">
        <f t="shared" ref="AE74:AE105" si="49">IF(AB74="","",_xlfn.CONCAT("[",AB74,",",M74,"]"))</f>
        <v>[10300,0.12]</v>
      </c>
      <c r="AF74" t="str">
        <f t="shared" si="38"/>
        <v/>
      </c>
      <c r="AG74" t="str">
        <f t="shared" si="39"/>
        <v/>
      </c>
      <c r="AH74">
        <f>IFERROR(IF(R74&lt;&gt;"",_xlfn.XLOOKUP(R74,[1]ModifierDes!$B:$B,[1]ModifierDes!$A:$A,""),""),"")</f>
        <v>10064</v>
      </c>
      <c r="AI74">
        <f>IFERROR(IF(T74&lt;&gt;"",_xlfn.XLOOKUP(T74,[1]ModifierDes!$B:$B,[1]ModifierDes!$A:$A,""),""),"")</f>
        <v>10049</v>
      </c>
      <c r="AJ74" t="str">
        <f>IFERROR(IF(V74&lt;&gt;"",_xlfn.XLOOKUP(V74,[1]ModifierDes!$B:$B,[1]ModifierDes!$A:$A,""),""),"")</f>
        <v/>
      </c>
      <c r="AK74" t="str">
        <f>IFERROR(IF(X74&lt;&gt;"",_xlfn.XLOOKUP(X74,[1]ModifierDes!$B:$B,[1]ModifierDes!$A:$A,""),""),"")</f>
        <v/>
      </c>
      <c r="AL74" t="str">
        <f t="shared" ref="AL74:AL105" si="50">IF(S74="","",_xlfn.CONCAT("[",S74,"]"))</f>
        <v>[0.32]</v>
      </c>
      <c r="AM74" t="str">
        <f t="shared" ref="AM74:AM105" si="51">IF(U74="","",_xlfn.CONCAT("[",U74,"]"))</f>
        <v>[0.12]</v>
      </c>
      <c r="AN74" t="str">
        <f t="shared" ref="AN74:AN105" si="52">IF(W74="","",_xlfn.CONCAT("[",W74,"]"))</f>
        <v/>
      </c>
      <c r="AO74" t="str">
        <f t="shared" si="44"/>
        <v/>
      </c>
      <c r="AP74" t="str">
        <f>IFERROR(IF(Z74&lt;&gt;"",_xlfn.XLOOKUP(Z74,[1]StuntDes!$B:$B,[1]StuntDes!$A:$A,""),""),"")</f>
        <v/>
      </c>
      <c r="AQ74" t="str">
        <f>IFERROR(IF(AA74&lt;&gt;"",_xlfn.XLOOKUP(AA74,[1]StuntDes!$B:$B,[1]StuntDes!$A:$A,""),""),"")</f>
        <v/>
      </c>
    </row>
    <row r="75" spans="1:43">
      <c r="A75" s="16">
        <f t="shared" si="26"/>
        <v>60425</v>
      </c>
      <c r="B75" s="17" t="s">
        <v>283</v>
      </c>
      <c r="C75" s="17">
        <v>6042</v>
      </c>
      <c r="D75" s="18">
        <v>5</v>
      </c>
      <c r="E75" s="18"/>
      <c r="F75" s="14"/>
      <c r="G75" s="18" t="str">
        <f t="shared" si="46"/>
        <v>10064|10049</v>
      </c>
      <c r="H75" s="18" t="str">
        <f t="shared" si="43"/>
        <v>[[0.32],[0.22]]</v>
      </c>
      <c r="I75" s="18" t="str">
        <f t="shared" si="47"/>
        <v/>
      </c>
      <c r="J75" s="18" t="str">
        <f t="shared" si="48"/>
        <v>[[10300,0.12]]</v>
      </c>
      <c r="K75" t="str">
        <f>_xlfn.XLOOKUP(C75,Pet!A:A,Pet!E:E)</f>
        <v>SR-投射物</v>
      </c>
      <c r="L75" t="s">
        <v>193</v>
      </c>
      <c r="M75">
        <v>0.12</v>
      </c>
      <c r="R75" t="s">
        <v>242</v>
      </c>
      <c r="S75">
        <v>0.32</v>
      </c>
      <c r="T75" t="s">
        <v>243</v>
      </c>
      <c r="U75">
        <v>0.22</v>
      </c>
      <c r="AB75">
        <f>IFERROR(IF(L75&lt;&gt;"",_xlfn.XLOOKUP(L75,[1]AttributeName!$C:$C,[1]AttributeName!$B:$B,""),""),"")</f>
        <v>10300</v>
      </c>
      <c r="AC75" t="str">
        <f>IFERROR(IF(N75&lt;&gt;"",_xlfn.XLOOKUP(N75,[1]AttributeName!$C:$C,[1]AttributeName!$B:$B,""),""),"")</f>
        <v/>
      </c>
      <c r="AD75" t="str">
        <f>IFERROR(IF(P75&lt;&gt;"",_xlfn.XLOOKUP(P75,[1]AttributeName!$C:$C,[1]AttributeName!$B:$B,""),""),"")</f>
        <v/>
      </c>
      <c r="AE75" t="str">
        <f t="shared" si="49"/>
        <v>[10300,0.12]</v>
      </c>
      <c r="AF75" t="str">
        <f t="shared" si="38"/>
        <v/>
      </c>
      <c r="AG75" t="str">
        <f t="shared" si="39"/>
        <v/>
      </c>
      <c r="AH75">
        <f>IFERROR(IF(R75&lt;&gt;"",_xlfn.XLOOKUP(R75,[1]ModifierDes!$B:$B,[1]ModifierDes!$A:$A,""),""),"")</f>
        <v>10064</v>
      </c>
      <c r="AI75">
        <f>IFERROR(IF(T75&lt;&gt;"",_xlfn.XLOOKUP(T75,[1]ModifierDes!$B:$B,[1]ModifierDes!$A:$A,""),""),"")</f>
        <v>10049</v>
      </c>
      <c r="AJ75" t="str">
        <f>IFERROR(IF(V75&lt;&gt;"",_xlfn.XLOOKUP(V75,[1]ModifierDes!$B:$B,[1]ModifierDes!$A:$A,""),""),"")</f>
        <v/>
      </c>
      <c r="AK75" t="str">
        <f>IFERROR(IF(X75&lt;&gt;"",_xlfn.XLOOKUP(X75,[1]ModifierDes!$B:$B,[1]ModifierDes!$A:$A,""),""),"")</f>
        <v/>
      </c>
      <c r="AL75" t="str">
        <f t="shared" si="50"/>
        <v>[0.32]</v>
      </c>
      <c r="AM75" t="str">
        <f t="shared" si="51"/>
        <v>[0.22]</v>
      </c>
      <c r="AN75" t="str">
        <f t="shared" si="52"/>
        <v/>
      </c>
      <c r="AO75" t="str">
        <f t="shared" si="44"/>
        <v/>
      </c>
      <c r="AP75" t="str">
        <f>IFERROR(IF(Z75&lt;&gt;"",_xlfn.XLOOKUP(Z75,[1]StuntDes!$B:$B,[1]StuntDes!$A:$A,""),""),"")</f>
        <v/>
      </c>
      <c r="AQ75" t="str">
        <f>IFERROR(IF(AA75&lt;&gt;"",_xlfn.XLOOKUP(AA75,[1]StuntDes!$B:$B,[1]StuntDes!$A:$A,""),""),"")</f>
        <v/>
      </c>
    </row>
    <row r="76" spans="1:43">
      <c r="A76" s="16">
        <f t="shared" si="26"/>
        <v>60620</v>
      </c>
      <c r="B76" s="17" t="s">
        <v>284</v>
      </c>
      <c r="C76" s="17">
        <v>6062</v>
      </c>
      <c r="D76" s="18">
        <v>0</v>
      </c>
      <c r="E76" s="18" t="str">
        <f t="shared" ref="E76:E80" si="53">"[["&amp;C76+10000&amp;",1]]"</f>
        <v>[[16062,1]]</v>
      </c>
      <c r="F76" s="14"/>
      <c r="G76" s="18" t="str">
        <f t="shared" si="46"/>
        <v/>
      </c>
      <c r="H76" s="18" t="str">
        <f t="shared" si="43"/>
        <v/>
      </c>
      <c r="I76" s="18" t="str">
        <f t="shared" si="47"/>
        <v/>
      </c>
      <c r="J76" s="18" t="str">
        <f t="shared" si="48"/>
        <v>[[10307,0.1],[11039,0.1]]</v>
      </c>
      <c r="K76" t="str">
        <f>_xlfn.XLOOKUP(C76,Pet!A:A,Pet!E:E)</f>
        <v>SR-混沌</v>
      </c>
      <c r="L76" t="s">
        <v>250</v>
      </c>
      <c r="M76">
        <v>0.1</v>
      </c>
      <c r="N76" t="s">
        <v>251</v>
      </c>
      <c r="O76">
        <v>0.1</v>
      </c>
      <c r="AB76">
        <f>IFERROR(IF(L76&lt;&gt;"",_xlfn.XLOOKUP(L76,[1]AttributeName!$C:$C,[1]AttributeName!$B:$B,""),""),"")</f>
        <v>10307</v>
      </c>
      <c r="AC76">
        <f>IFERROR(IF(N76&lt;&gt;"",_xlfn.XLOOKUP(N76,[1]AttributeName!$C:$C,[1]AttributeName!$B:$B,""),""),"")</f>
        <v>11039</v>
      </c>
      <c r="AD76" t="str">
        <f>IFERROR(IF(P76&lt;&gt;"",_xlfn.XLOOKUP(P76,[1]AttributeName!$C:$C,[1]AttributeName!$B:$B,""),""),"")</f>
        <v/>
      </c>
      <c r="AE76" t="str">
        <f t="shared" si="49"/>
        <v>[10307,0.1]</v>
      </c>
      <c r="AF76" t="str">
        <f t="shared" si="38"/>
        <v>[11039,0.1]</v>
      </c>
      <c r="AG76" t="str">
        <f t="shared" si="39"/>
        <v/>
      </c>
      <c r="AH76" t="str">
        <f>IFERROR(IF(R76&lt;&gt;"",_xlfn.XLOOKUP(R76,[1]ModifierDes!$B:$B,[1]ModifierDes!$A:$A,""),""),"")</f>
        <v/>
      </c>
      <c r="AI76" t="str">
        <f>IFERROR(IF(T76&lt;&gt;"",_xlfn.XLOOKUP(T76,[1]ModifierDes!$B:$B,[1]ModifierDes!$A:$A,""),""),"")</f>
        <v/>
      </c>
      <c r="AJ76" t="str">
        <f>IFERROR(IF(V76&lt;&gt;"",_xlfn.XLOOKUP(V76,[1]ModifierDes!$B:$B,[1]ModifierDes!$A:$A,""),""),"")</f>
        <v/>
      </c>
      <c r="AK76" t="str">
        <f>IFERROR(IF(X76&lt;&gt;"",_xlfn.XLOOKUP(X76,[1]ModifierDes!$B:$B,[1]ModifierDes!$A:$A,""),""),"")</f>
        <v/>
      </c>
      <c r="AL76" t="str">
        <f t="shared" si="50"/>
        <v/>
      </c>
      <c r="AM76" t="str">
        <f t="shared" si="51"/>
        <v/>
      </c>
      <c r="AN76" t="str">
        <f t="shared" si="52"/>
        <v/>
      </c>
      <c r="AO76" t="str">
        <f t="shared" si="44"/>
        <v/>
      </c>
      <c r="AP76" t="str">
        <f>IFERROR(IF(Z76&lt;&gt;"",_xlfn.XLOOKUP(Z76,[1]StuntDes!$B:$B,[1]StuntDes!$A:$A,""),""),"")</f>
        <v/>
      </c>
      <c r="AQ76" t="str">
        <f>IFERROR(IF(AA76&lt;&gt;"",_xlfn.XLOOKUP(AA76,[1]StuntDes!$B:$B,[1]StuntDes!$A:$A,""),""),"")</f>
        <v/>
      </c>
    </row>
    <row r="77" spans="1:43">
      <c r="A77" s="16">
        <f t="shared" si="26"/>
        <v>60621</v>
      </c>
      <c r="B77" s="17" t="s">
        <v>285</v>
      </c>
      <c r="C77" s="17">
        <v>6062</v>
      </c>
      <c r="D77" s="18">
        <v>1</v>
      </c>
      <c r="E77" s="18" t="str">
        <f t="shared" si="53"/>
        <v>[[16062,1]]</v>
      </c>
      <c r="F77" s="14"/>
      <c r="G77" s="18" t="str">
        <f t="shared" si="46"/>
        <v/>
      </c>
      <c r="H77" s="18" t="str">
        <f t="shared" si="43"/>
        <v/>
      </c>
      <c r="I77" s="18" t="str">
        <f t="shared" si="47"/>
        <v/>
      </c>
      <c r="J77" s="18" t="str">
        <f t="shared" si="48"/>
        <v>[[10307,0.25],[11039,0.1]]</v>
      </c>
      <c r="K77" t="str">
        <f>_xlfn.XLOOKUP(C77,Pet!A:A,Pet!E:E)</f>
        <v>SR-混沌</v>
      </c>
      <c r="L77" t="s">
        <v>250</v>
      </c>
      <c r="M77">
        <v>0.25</v>
      </c>
      <c r="N77" t="s">
        <v>251</v>
      </c>
      <c r="O77">
        <v>0.1</v>
      </c>
      <c r="AB77">
        <f>IFERROR(IF(L77&lt;&gt;"",_xlfn.XLOOKUP(L77,[1]AttributeName!$C:$C,[1]AttributeName!$B:$B,""),""),"")</f>
        <v>10307</v>
      </c>
      <c r="AC77">
        <f>IFERROR(IF(N77&lt;&gt;"",_xlfn.XLOOKUP(N77,[1]AttributeName!$C:$C,[1]AttributeName!$B:$B,""),""),"")</f>
        <v>11039</v>
      </c>
      <c r="AD77" t="str">
        <f>IFERROR(IF(P77&lt;&gt;"",_xlfn.XLOOKUP(P77,[1]AttributeName!$C:$C,[1]AttributeName!$B:$B,""),""),"")</f>
        <v/>
      </c>
      <c r="AE77" t="str">
        <f t="shared" si="49"/>
        <v>[10307,0.25]</v>
      </c>
      <c r="AF77" t="str">
        <f t="shared" si="38"/>
        <v>[11039,0.1]</v>
      </c>
      <c r="AG77" t="str">
        <f t="shared" si="39"/>
        <v/>
      </c>
      <c r="AH77" t="str">
        <f>IFERROR(IF(R77&lt;&gt;"",_xlfn.XLOOKUP(R77,[1]ModifierDes!$B:$B,[1]ModifierDes!$A:$A,""),""),"")</f>
        <v/>
      </c>
      <c r="AI77" t="str">
        <f>IFERROR(IF(T77&lt;&gt;"",_xlfn.XLOOKUP(T77,[1]ModifierDes!$B:$B,[1]ModifierDes!$A:$A,""),""),"")</f>
        <v/>
      </c>
      <c r="AJ77" t="str">
        <f>IFERROR(IF(V77&lt;&gt;"",_xlfn.XLOOKUP(V77,[1]ModifierDes!$B:$B,[1]ModifierDes!$A:$A,""),""),"")</f>
        <v/>
      </c>
      <c r="AK77" t="str">
        <f>IFERROR(IF(X77&lt;&gt;"",_xlfn.XLOOKUP(X77,[1]ModifierDes!$B:$B,[1]ModifierDes!$A:$A,""),""),"")</f>
        <v/>
      </c>
      <c r="AL77" t="str">
        <f t="shared" si="50"/>
        <v/>
      </c>
      <c r="AM77" t="str">
        <f t="shared" si="51"/>
        <v/>
      </c>
      <c r="AN77" t="str">
        <f t="shared" si="52"/>
        <v/>
      </c>
      <c r="AO77" t="str">
        <f t="shared" si="44"/>
        <v/>
      </c>
      <c r="AP77" t="str">
        <f>IFERROR(IF(Z77&lt;&gt;"",_xlfn.XLOOKUP(Z77,[1]StuntDes!$B:$B,[1]StuntDes!$A:$A,""),""),"")</f>
        <v/>
      </c>
      <c r="AQ77" t="str">
        <f>IFERROR(IF(AA77&lt;&gt;"",_xlfn.XLOOKUP(AA77,[1]StuntDes!$B:$B,[1]StuntDes!$A:$A,""),""),"")</f>
        <v/>
      </c>
    </row>
    <row r="78" spans="1:43">
      <c r="A78" s="16">
        <f t="shared" si="26"/>
        <v>60622</v>
      </c>
      <c r="B78" s="17" t="s">
        <v>286</v>
      </c>
      <c r="C78" s="17">
        <v>6062</v>
      </c>
      <c r="D78" s="18">
        <v>2</v>
      </c>
      <c r="E78" s="18" t="str">
        <f t="shared" si="53"/>
        <v>[[16062,1]]</v>
      </c>
      <c r="F78" s="14"/>
      <c r="G78" s="18" t="str">
        <f t="shared" si="46"/>
        <v/>
      </c>
      <c r="H78" s="18" t="str">
        <f t="shared" si="43"/>
        <v/>
      </c>
      <c r="I78" s="18" t="str">
        <f t="shared" si="47"/>
        <v/>
      </c>
      <c r="J78" s="18" t="str">
        <f t="shared" si="48"/>
        <v>[[10307,0.25],[11039,0.3]]</v>
      </c>
      <c r="K78" t="str">
        <f>_xlfn.XLOOKUP(C78,Pet!A:A,Pet!E:E)</f>
        <v>SR-混沌</v>
      </c>
      <c r="L78" t="s">
        <v>250</v>
      </c>
      <c r="M78">
        <v>0.25</v>
      </c>
      <c r="N78" t="s">
        <v>251</v>
      </c>
      <c r="O78">
        <v>0.3</v>
      </c>
      <c r="AB78">
        <f>IFERROR(IF(L78&lt;&gt;"",_xlfn.XLOOKUP(L78,[1]AttributeName!$C:$C,[1]AttributeName!$B:$B,""),""),"")</f>
        <v>10307</v>
      </c>
      <c r="AC78">
        <f>IFERROR(IF(N78&lt;&gt;"",_xlfn.XLOOKUP(N78,[1]AttributeName!$C:$C,[1]AttributeName!$B:$B,""),""),"")</f>
        <v>11039</v>
      </c>
      <c r="AD78" t="str">
        <f>IFERROR(IF(P78&lt;&gt;"",_xlfn.XLOOKUP(P78,[1]AttributeName!$C:$C,[1]AttributeName!$B:$B,""),""),"")</f>
        <v/>
      </c>
      <c r="AE78" t="str">
        <f t="shared" si="49"/>
        <v>[10307,0.25]</v>
      </c>
      <c r="AF78" t="str">
        <f t="shared" ref="AF78:AF109" si="54">IF(AC78="","",_xlfn.CONCAT("[",AC78,",",O78,"]"))</f>
        <v>[11039,0.3]</v>
      </c>
      <c r="AG78" t="str">
        <f t="shared" ref="AG78:AG109" si="55">IF(AD78="","",_xlfn.CONCAT("[",AD78,",",Q78,"]"))</f>
        <v/>
      </c>
      <c r="AH78" t="str">
        <f>IFERROR(IF(R78&lt;&gt;"",_xlfn.XLOOKUP(R78,[1]ModifierDes!$B:$B,[1]ModifierDes!$A:$A,""),""),"")</f>
        <v/>
      </c>
      <c r="AI78" t="str">
        <f>IFERROR(IF(T78&lt;&gt;"",_xlfn.XLOOKUP(T78,[1]ModifierDes!$B:$B,[1]ModifierDes!$A:$A,""),""),"")</f>
        <v/>
      </c>
      <c r="AJ78" t="str">
        <f>IFERROR(IF(V78&lt;&gt;"",_xlfn.XLOOKUP(V78,[1]ModifierDes!$B:$B,[1]ModifierDes!$A:$A,""),""),"")</f>
        <v/>
      </c>
      <c r="AK78" t="str">
        <f>IFERROR(IF(X78&lt;&gt;"",_xlfn.XLOOKUP(X78,[1]ModifierDes!$B:$B,[1]ModifierDes!$A:$A,""),""),"")</f>
        <v/>
      </c>
      <c r="AL78" t="str">
        <f t="shared" si="50"/>
        <v/>
      </c>
      <c r="AM78" t="str">
        <f t="shared" si="51"/>
        <v/>
      </c>
      <c r="AN78" t="str">
        <f t="shared" si="52"/>
        <v/>
      </c>
      <c r="AO78" t="str">
        <f t="shared" si="44"/>
        <v/>
      </c>
      <c r="AP78" t="str">
        <f>IFERROR(IF(Z78&lt;&gt;"",_xlfn.XLOOKUP(Z78,[1]StuntDes!$B:$B,[1]StuntDes!$A:$A,""),""),"")</f>
        <v/>
      </c>
      <c r="AQ78" t="str">
        <f>IFERROR(IF(AA78&lt;&gt;"",_xlfn.XLOOKUP(AA78,[1]StuntDes!$B:$B,[1]StuntDes!$A:$A,""),""),"")</f>
        <v/>
      </c>
    </row>
    <row r="79" spans="1:43">
      <c r="A79" s="16">
        <f t="shared" si="26"/>
        <v>60623</v>
      </c>
      <c r="B79" s="17" t="s">
        <v>287</v>
      </c>
      <c r="C79" s="17">
        <v>6062</v>
      </c>
      <c r="D79" s="18">
        <v>3</v>
      </c>
      <c r="E79" s="18" t="str">
        <f t="shared" si="53"/>
        <v>[[16062,1]]</v>
      </c>
      <c r="F79" s="14"/>
      <c r="G79" s="18" t="str">
        <f t="shared" si="46"/>
        <v/>
      </c>
      <c r="H79" s="18" t="str">
        <f t="shared" si="43"/>
        <v/>
      </c>
      <c r="I79" s="18" t="str">
        <f t="shared" si="47"/>
        <v/>
      </c>
      <c r="J79" s="18" t="str">
        <f t="shared" si="48"/>
        <v>[[10307,0.25],[11039,0.3],[10300,0.12]]</v>
      </c>
      <c r="K79" t="str">
        <f>_xlfn.XLOOKUP(C79,Pet!A:A,Pet!E:E)</f>
        <v>SR-混沌</v>
      </c>
      <c r="L79" t="s">
        <v>250</v>
      </c>
      <c r="M79">
        <v>0.25</v>
      </c>
      <c r="N79" t="s">
        <v>251</v>
      </c>
      <c r="O79">
        <v>0.3</v>
      </c>
      <c r="P79" t="s">
        <v>193</v>
      </c>
      <c r="Q79">
        <v>0.12</v>
      </c>
      <c r="AB79">
        <f>IFERROR(IF(L79&lt;&gt;"",_xlfn.XLOOKUP(L79,[1]AttributeName!$C:$C,[1]AttributeName!$B:$B,""),""),"")</f>
        <v>10307</v>
      </c>
      <c r="AC79">
        <f>IFERROR(IF(N79&lt;&gt;"",_xlfn.XLOOKUP(N79,[1]AttributeName!$C:$C,[1]AttributeName!$B:$B,""),""),"")</f>
        <v>11039</v>
      </c>
      <c r="AD79">
        <f>IFERROR(IF(P79&lt;&gt;"",_xlfn.XLOOKUP(P79,[1]AttributeName!$C:$C,[1]AttributeName!$B:$B,""),""),"")</f>
        <v>10300</v>
      </c>
      <c r="AE79" t="str">
        <f t="shared" si="49"/>
        <v>[10307,0.25]</v>
      </c>
      <c r="AF79" t="str">
        <f t="shared" si="54"/>
        <v>[11039,0.3]</v>
      </c>
      <c r="AG79" t="str">
        <f t="shared" si="55"/>
        <v>[10300,0.12]</v>
      </c>
      <c r="AH79" t="str">
        <f>IFERROR(IF(R79&lt;&gt;"",_xlfn.XLOOKUP(R79,[1]ModifierDes!$B:$B,[1]ModifierDes!$A:$A,""),""),"")</f>
        <v/>
      </c>
      <c r="AI79" t="str">
        <f>IFERROR(IF(T79&lt;&gt;"",_xlfn.XLOOKUP(T79,[1]ModifierDes!$B:$B,[1]ModifierDes!$A:$A,""),""),"")</f>
        <v/>
      </c>
      <c r="AJ79" t="str">
        <f>IFERROR(IF(V79&lt;&gt;"",_xlfn.XLOOKUP(V79,[1]ModifierDes!$B:$B,[1]ModifierDes!$A:$A,""),""),"")</f>
        <v/>
      </c>
      <c r="AK79" t="str">
        <f>IFERROR(IF(X79&lt;&gt;"",_xlfn.XLOOKUP(X79,[1]ModifierDes!$B:$B,[1]ModifierDes!$A:$A,""),""),"")</f>
        <v/>
      </c>
      <c r="AL79" t="str">
        <f t="shared" si="50"/>
        <v/>
      </c>
      <c r="AM79" t="str">
        <f t="shared" si="51"/>
        <v/>
      </c>
      <c r="AN79" t="str">
        <f t="shared" si="52"/>
        <v/>
      </c>
      <c r="AO79" t="str">
        <f t="shared" si="44"/>
        <v/>
      </c>
      <c r="AP79" t="str">
        <f>IFERROR(IF(Z79&lt;&gt;"",_xlfn.XLOOKUP(Z79,[1]StuntDes!$B:$B,[1]StuntDes!$A:$A,""),""),"")</f>
        <v/>
      </c>
      <c r="AQ79" t="str">
        <f>IFERROR(IF(AA79&lt;&gt;"",_xlfn.XLOOKUP(AA79,[1]StuntDes!$B:$B,[1]StuntDes!$A:$A,""),""),"")</f>
        <v/>
      </c>
    </row>
    <row r="80" spans="1:43">
      <c r="A80" s="16">
        <f t="shared" si="26"/>
        <v>60624</v>
      </c>
      <c r="B80" s="17" t="s">
        <v>288</v>
      </c>
      <c r="C80" s="17">
        <v>6062</v>
      </c>
      <c r="D80" s="18">
        <v>4</v>
      </c>
      <c r="E80" s="18" t="str">
        <f t="shared" si="53"/>
        <v>[[16062,1]]</v>
      </c>
      <c r="F80" s="14"/>
      <c r="G80" s="18" t="str">
        <f t="shared" si="46"/>
        <v/>
      </c>
      <c r="H80" s="18" t="str">
        <f t="shared" si="43"/>
        <v/>
      </c>
      <c r="I80" s="18" t="str">
        <f t="shared" si="47"/>
        <v/>
      </c>
      <c r="J80" s="18" t="str">
        <f t="shared" si="48"/>
        <v>[[10307,0.39],[11039,0.3],[10300,0.12]]</v>
      </c>
      <c r="K80" t="str">
        <f>_xlfn.XLOOKUP(C80,Pet!A:A,Pet!E:E)</f>
        <v>SR-混沌</v>
      </c>
      <c r="L80" t="s">
        <v>250</v>
      </c>
      <c r="M80">
        <v>0.39</v>
      </c>
      <c r="N80" t="s">
        <v>251</v>
      </c>
      <c r="O80">
        <v>0.3</v>
      </c>
      <c r="P80" t="s">
        <v>193</v>
      </c>
      <c r="Q80">
        <v>0.12</v>
      </c>
      <c r="AB80">
        <f>IFERROR(IF(L80&lt;&gt;"",_xlfn.XLOOKUP(L80,[1]AttributeName!$C:$C,[1]AttributeName!$B:$B,""),""),"")</f>
        <v>10307</v>
      </c>
      <c r="AC80">
        <f>IFERROR(IF(N80&lt;&gt;"",_xlfn.XLOOKUP(N80,[1]AttributeName!$C:$C,[1]AttributeName!$B:$B,""),""),"")</f>
        <v>11039</v>
      </c>
      <c r="AD80">
        <f>IFERROR(IF(P80&lt;&gt;"",_xlfn.XLOOKUP(P80,[1]AttributeName!$C:$C,[1]AttributeName!$B:$B,""),""),"")</f>
        <v>10300</v>
      </c>
      <c r="AE80" t="str">
        <f t="shared" si="49"/>
        <v>[10307,0.39]</v>
      </c>
      <c r="AF80" t="str">
        <f t="shared" si="54"/>
        <v>[11039,0.3]</v>
      </c>
      <c r="AG80" t="str">
        <f t="shared" si="55"/>
        <v>[10300,0.12]</v>
      </c>
      <c r="AH80" t="str">
        <f>IFERROR(IF(R80&lt;&gt;"",_xlfn.XLOOKUP(R80,[1]ModifierDes!$B:$B,[1]ModifierDes!$A:$A,""),""),"")</f>
        <v/>
      </c>
      <c r="AI80" t="str">
        <f>IFERROR(IF(T80&lt;&gt;"",_xlfn.XLOOKUP(T80,[1]ModifierDes!$B:$B,[1]ModifierDes!$A:$A,""),""),"")</f>
        <v/>
      </c>
      <c r="AJ80" t="str">
        <f>IFERROR(IF(V80&lt;&gt;"",_xlfn.XLOOKUP(V80,[1]ModifierDes!$B:$B,[1]ModifierDes!$A:$A,""),""),"")</f>
        <v/>
      </c>
      <c r="AK80" t="str">
        <f>IFERROR(IF(X80&lt;&gt;"",_xlfn.XLOOKUP(X80,[1]ModifierDes!$B:$B,[1]ModifierDes!$A:$A,""),""),"")</f>
        <v/>
      </c>
      <c r="AL80" t="str">
        <f t="shared" si="50"/>
        <v/>
      </c>
      <c r="AM80" t="str">
        <f t="shared" si="51"/>
        <v/>
      </c>
      <c r="AN80" t="str">
        <f t="shared" si="52"/>
        <v/>
      </c>
      <c r="AO80" t="str">
        <f t="shared" si="44"/>
        <v/>
      </c>
      <c r="AP80" t="str">
        <f>IFERROR(IF(Z80&lt;&gt;"",_xlfn.XLOOKUP(Z80,[1]StuntDes!$B:$B,[1]StuntDes!$A:$A,""),""),"")</f>
        <v/>
      </c>
      <c r="AQ80" t="str">
        <f>IFERROR(IF(AA80&lt;&gt;"",_xlfn.XLOOKUP(AA80,[1]StuntDes!$B:$B,[1]StuntDes!$A:$A,""),""),"")</f>
        <v/>
      </c>
    </row>
    <row r="81" spans="1:43">
      <c r="A81" s="16">
        <f t="shared" si="26"/>
        <v>60625</v>
      </c>
      <c r="B81" s="17" t="s">
        <v>289</v>
      </c>
      <c r="C81" s="17">
        <v>6062</v>
      </c>
      <c r="D81" s="18">
        <v>5</v>
      </c>
      <c r="E81" s="18"/>
      <c r="F81" s="14"/>
      <c r="G81" s="18" t="str">
        <f t="shared" si="46"/>
        <v/>
      </c>
      <c r="H81" s="18" t="str">
        <f t="shared" si="43"/>
        <v/>
      </c>
      <c r="I81" s="18" t="str">
        <f t="shared" si="47"/>
        <v/>
      </c>
      <c r="J81" s="18" t="str">
        <f t="shared" si="48"/>
        <v>[[10307,0.39],[11039,0.62],[10300,0.12]]</v>
      </c>
      <c r="K81" t="str">
        <f>_xlfn.XLOOKUP(C81,Pet!A:A,Pet!E:E)</f>
        <v>SR-混沌</v>
      </c>
      <c r="L81" t="s">
        <v>250</v>
      </c>
      <c r="M81">
        <v>0.39</v>
      </c>
      <c r="N81" t="s">
        <v>251</v>
      </c>
      <c r="O81">
        <v>0.62</v>
      </c>
      <c r="P81" t="s">
        <v>193</v>
      </c>
      <c r="Q81">
        <v>0.12</v>
      </c>
      <c r="AB81">
        <f>IFERROR(IF(L81&lt;&gt;"",_xlfn.XLOOKUP(L81,[1]AttributeName!$C:$C,[1]AttributeName!$B:$B,""),""),"")</f>
        <v>10307</v>
      </c>
      <c r="AC81">
        <f>IFERROR(IF(N81&lt;&gt;"",_xlfn.XLOOKUP(N81,[1]AttributeName!$C:$C,[1]AttributeName!$B:$B,""),""),"")</f>
        <v>11039</v>
      </c>
      <c r="AD81">
        <f>IFERROR(IF(P81&lt;&gt;"",_xlfn.XLOOKUP(P81,[1]AttributeName!$C:$C,[1]AttributeName!$B:$B,""),""),"")</f>
        <v>10300</v>
      </c>
      <c r="AE81" t="str">
        <f t="shared" si="49"/>
        <v>[10307,0.39]</v>
      </c>
      <c r="AF81" t="str">
        <f t="shared" si="54"/>
        <v>[11039,0.62]</v>
      </c>
      <c r="AG81" t="str">
        <f t="shared" si="55"/>
        <v>[10300,0.12]</v>
      </c>
      <c r="AH81" t="str">
        <f>IFERROR(IF(R81&lt;&gt;"",_xlfn.XLOOKUP(R81,[1]ModifierDes!$B:$B,[1]ModifierDes!$A:$A,""),""),"")</f>
        <v/>
      </c>
      <c r="AI81" t="str">
        <f>IFERROR(IF(T81&lt;&gt;"",_xlfn.XLOOKUP(T81,[1]ModifierDes!$B:$B,[1]ModifierDes!$A:$A,""),""),"")</f>
        <v/>
      </c>
      <c r="AJ81" t="str">
        <f>IFERROR(IF(V81&lt;&gt;"",_xlfn.XLOOKUP(V81,[1]ModifierDes!$B:$B,[1]ModifierDes!$A:$A,""),""),"")</f>
        <v/>
      </c>
      <c r="AK81" t="str">
        <f>IFERROR(IF(X81&lt;&gt;"",_xlfn.XLOOKUP(X81,[1]ModifierDes!$B:$B,[1]ModifierDes!$A:$A,""),""),"")</f>
        <v/>
      </c>
      <c r="AL81" t="str">
        <f t="shared" si="50"/>
        <v/>
      </c>
      <c r="AM81" t="str">
        <f t="shared" si="51"/>
        <v/>
      </c>
      <c r="AN81" t="str">
        <f t="shared" si="52"/>
        <v/>
      </c>
      <c r="AO81" t="str">
        <f t="shared" si="44"/>
        <v/>
      </c>
      <c r="AP81" t="str">
        <f>IFERROR(IF(Z81&lt;&gt;"",_xlfn.XLOOKUP(Z81,[1]StuntDes!$B:$B,[1]StuntDes!$A:$A,""),""),"")</f>
        <v/>
      </c>
      <c r="AQ81" t="str">
        <f>IFERROR(IF(AA81&lt;&gt;"",_xlfn.XLOOKUP(AA81,[1]StuntDes!$B:$B,[1]StuntDes!$A:$A,""),""),"")</f>
        <v/>
      </c>
    </row>
    <row r="82" spans="1:43">
      <c r="A82" s="16">
        <f t="shared" si="26"/>
        <v>60920</v>
      </c>
      <c r="B82" s="17" t="s">
        <v>290</v>
      </c>
      <c r="C82" s="17">
        <v>6092</v>
      </c>
      <c r="D82" s="18">
        <v>0</v>
      </c>
      <c r="E82" s="18" t="str">
        <f t="shared" ref="E82:E86" si="56">"[["&amp;C82+10000&amp;",1]]"</f>
        <v>[[16092,1]]</v>
      </c>
      <c r="F82" s="14"/>
      <c r="G82" s="18" t="str">
        <f t="shared" si="46"/>
        <v/>
      </c>
      <c r="H82" s="18" t="str">
        <f t="shared" si="43"/>
        <v/>
      </c>
      <c r="I82" s="18" t="str">
        <f t="shared" si="47"/>
        <v/>
      </c>
      <c r="J82" s="18" t="str">
        <f t="shared" si="48"/>
        <v>[[10304,0.1],[11007,0.1]]</v>
      </c>
      <c r="K82" t="str">
        <f>_xlfn.XLOOKUP(C82,Pet!A:A,Pet!E:E)</f>
        <v>SR-火焰</v>
      </c>
      <c r="L82" t="s">
        <v>219</v>
      </c>
      <c r="M82">
        <v>0.1</v>
      </c>
      <c r="N82" t="s">
        <v>220</v>
      </c>
      <c r="O82">
        <v>0.1</v>
      </c>
      <c r="AB82">
        <f>IFERROR(IF(L82&lt;&gt;"",_xlfn.XLOOKUP(L82,[1]AttributeName!$C:$C,[1]AttributeName!$B:$B,""),""),"")</f>
        <v>10304</v>
      </c>
      <c r="AC82">
        <f>IFERROR(IF(N82&lt;&gt;"",_xlfn.XLOOKUP(N82,[1]AttributeName!$C:$C,[1]AttributeName!$B:$B,""),""),"")</f>
        <v>11007</v>
      </c>
      <c r="AD82" t="str">
        <f>IFERROR(IF(P82&lt;&gt;"",_xlfn.XLOOKUP(P82,[1]AttributeName!$C:$C,[1]AttributeName!$B:$B,""),""),"")</f>
        <v/>
      </c>
      <c r="AE82" t="str">
        <f t="shared" si="49"/>
        <v>[10304,0.1]</v>
      </c>
      <c r="AF82" t="str">
        <f t="shared" si="54"/>
        <v>[11007,0.1]</v>
      </c>
      <c r="AG82" t="str">
        <f t="shared" si="55"/>
        <v/>
      </c>
      <c r="AH82" t="str">
        <f>IFERROR(IF(R82&lt;&gt;"",_xlfn.XLOOKUP(R82,[1]ModifierDes!$B:$B,[1]ModifierDes!$A:$A,""),""),"")</f>
        <v/>
      </c>
      <c r="AI82" t="str">
        <f>IFERROR(IF(T82&lt;&gt;"",_xlfn.XLOOKUP(T82,[1]ModifierDes!$B:$B,[1]ModifierDes!$A:$A,""),""),"")</f>
        <v/>
      </c>
      <c r="AJ82" t="str">
        <f>IFERROR(IF(V82&lt;&gt;"",_xlfn.XLOOKUP(V82,[1]ModifierDes!$B:$B,[1]ModifierDes!$A:$A,""),""),"")</f>
        <v/>
      </c>
      <c r="AK82" t="str">
        <f>IFERROR(IF(X82&lt;&gt;"",_xlfn.XLOOKUP(X82,[1]ModifierDes!$B:$B,[1]ModifierDes!$A:$A,""),""),"")</f>
        <v/>
      </c>
      <c r="AL82" t="str">
        <f t="shared" si="50"/>
        <v/>
      </c>
      <c r="AM82" t="str">
        <f t="shared" si="51"/>
        <v/>
      </c>
      <c r="AN82" t="str">
        <f t="shared" si="52"/>
        <v/>
      </c>
      <c r="AO82" t="str">
        <f t="shared" si="44"/>
        <v/>
      </c>
      <c r="AP82" t="str">
        <f>IFERROR(IF(Z82&lt;&gt;"",_xlfn.XLOOKUP(Z82,[1]StuntDes!$B:$B,[1]StuntDes!$A:$A,""),""),"")</f>
        <v/>
      </c>
      <c r="AQ82" t="str">
        <f>IFERROR(IF(AA82&lt;&gt;"",_xlfn.XLOOKUP(AA82,[1]StuntDes!$B:$B,[1]StuntDes!$A:$A,""),""),"")</f>
        <v/>
      </c>
    </row>
    <row r="83" spans="1:43">
      <c r="A83" s="16">
        <f t="shared" si="26"/>
        <v>60921</v>
      </c>
      <c r="B83" s="17" t="s">
        <v>291</v>
      </c>
      <c r="C83" s="17">
        <v>6092</v>
      </c>
      <c r="D83" s="18">
        <v>1</v>
      </c>
      <c r="E83" s="18" t="str">
        <f t="shared" si="56"/>
        <v>[[16092,1]]</v>
      </c>
      <c r="F83" s="14"/>
      <c r="G83" s="18" t="str">
        <f t="shared" si="46"/>
        <v/>
      </c>
      <c r="H83" s="18" t="str">
        <f t="shared" si="43"/>
        <v/>
      </c>
      <c r="I83" s="18" t="str">
        <f t="shared" si="47"/>
        <v/>
      </c>
      <c r="J83" s="18" t="str">
        <f t="shared" si="48"/>
        <v>[[10304,0.25],[11007,0.1]]</v>
      </c>
      <c r="K83" t="str">
        <f>_xlfn.XLOOKUP(C83,Pet!A:A,Pet!E:E)</f>
        <v>SR-火焰</v>
      </c>
      <c r="L83" t="s">
        <v>219</v>
      </c>
      <c r="M83">
        <v>0.25</v>
      </c>
      <c r="N83" t="s">
        <v>220</v>
      </c>
      <c r="O83">
        <v>0.1</v>
      </c>
      <c r="AB83">
        <f>IFERROR(IF(L83&lt;&gt;"",_xlfn.XLOOKUP(L83,[1]AttributeName!$C:$C,[1]AttributeName!$B:$B,""),""),"")</f>
        <v>10304</v>
      </c>
      <c r="AC83">
        <f>IFERROR(IF(N83&lt;&gt;"",_xlfn.XLOOKUP(N83,[1]AttributeName!$C:$C,[1]AttributeName!$B:$B,""),""),"")</f>
        <v>11007</v>
      </c>
      <c r="AD83" t="str">
        <f>IFERROR(IF(P83&lt;&gt;"",_xlfn.XLOOKUP(P83,[1]AttributeName!$C:$C,[1]AttributeName!$B:$B,""),""),"")</f>
        <v/>
      </c>
      <c r="AE83" t="str">
        <f t="shared" si="49"/>
        <v>[10304,0.25]</v>
      </c>
      <c r="AF83" t="str">
        <f t="shared" si="54"/>
        <v>[11007,0.1]</v>
      </c>
      <c r="AG83" t="str">
        <f t="shared" si="55"/>
        <v/>
      </c>
      <c r="AH83" t="str">
        <f>IFERROR(IF(R83&lt;&gt;"",_xlfn.XLOOKUP(R83,[1]ModifierDes!$B:$B,[1]ModifierDes!$A:$A,""),""),"")</f>
        <v/>
      </c>
      <c r="AI83" t="str">
        <f>IFERROR(IF(T83&lt;&gt;"",_xlfn.XLOOKUP(T83,[1]ModifierDes!$B:$B,[1]ModifierDes!$A:$A,""),""),"")</f>
        <v/>
      </c>
      <c r="AJ83" t="str">
        <f>IFERROR(IF(V83&lt;&gt;"",_xlfn.XLOOKUP(V83,[1]ModifierDes!$B:$B,[1]ModifierDes!$A:$A,""),""),"")</f>
        <v/>
      </c>
      <c r="AK83" t="str">
        <f>IFERROR(IF(X83&lt;&gt;"",_xlfn.XLOOKUP(X83,[1]ModifierDes!$B:$B,[1]ModifierDes!$A:$A,""),""),"")</f>
        <v/>
      </c>
      <c r="AL83" t="str">
        <f t="shared" si="50"/>
        <v/>
      </c>
      <c r="AM83" t="str">
        <f t="shared" si="51"/>
        <v/>
      </c>
      <c r="AN83" t="str">
        <f t="shared" si="52"/>
        <v/>
      </c>
      <c r="AO83" t="str">
        <f t="shared" si="44"/>
        <v/>
      </c>
      <c r="AP83" t="str">
        <f>IFERROR(IF(Z83&lt;&gt;"",_xlfn.XLOOKUP(Z83,[1]StuntDes!$B:$B,[1]StuntDes!$A:$A,""),""),"")</f>
        <v/>
      </c>
      <c r="AQ83" t="str">
        <f>IFERROR(IF(AA83&lt;&gt;"",_xlfn.XLOOKUP(AA83,[1]StuntDes!$B:$B,[1]StuntDes!$A:$A,""),""),"")</f>
        <v/>
      </c>
    </row>
    <row r="84" spans="1:43">
      <c r="A84" s="16">
        <f t="shared" si="26"/>
        <v>60922</v>
      </c>
      <c r="B84" s="17" t="s">
        <v>292</v>
      </c>
      <c r="C84" s="17">
        <v>6092</v>
      </c>
      <c r="D84" s="18">
        <v>2</v>
      </c>
      <c r="E84" s="18" t="str">
        <f t="shared" si="56"/>
        <v>[[16092,1]]</v>
      </c>
      <c r="F84" s="14"/>
      <c r="G84" s="18" t="str">
        <f t="shared" si="46"/>
        <v/>
      </c>
      <c r="H84" s="18" t="str">
        <f t="shared" si="43"/>
        <v/>
      </c>
      <c r="I84" s="18" t="str">
        <f t="shared" si="47"/>
        <v/>
      </c>
      <c r="J84" s="18" t="str">
        <f t="shared" si="48"/>
        <v>[[10304,0.25],[11007,0.3]]</v>
      </c>
      <c r="K84" t="str">
        <f>_xlfn.XLOOKUP(C84,Pet!A:A,Pet!E:E)</f>
        <v>SR-火焰</v>
      </c>
      <c r="L84" t="s">
        <v>219</v>
      </c>
      <c r="M84">
        <v>0.25</v>
      </c>
      <c r="N84" t="s">
        <v>220</v>
      </c>
      <c r="O84">
        <v>0.3</v>
      </c>
      <c r="AB84">
        <f>IFERROR(IF(L84&lt;&gt;"",_xlfn.XLOOKUP(L84,[1]AttributeName!$C:$C,[1]AttributeName!$B:$B,""),""),"")</f>
        <v>10304</v>
      </c>
      <c r="AC84">
        <f>IFERROR(IF(N84&lt;&gt;"",_xlfn.XLOOKUP(N84,[1]AttributeName!$C:$C,[1]AttributeName!$B:$B,""),""),"")</f>
        <v>11007</v>
      </c>
      <c r="AD84" t="str">
        <f>IFERROR(IF(P84&lt;&gt;"",_xlfn.XLOOKUP(P84,[1]AttributeName!$C:$C,[1]AttributeName!$B:$B,""),""),"")</f>
        <v/>
      </c>
      <c r="AE84" t="str">
        <f t="shared" si="49"/>
        <v>[10304,0.25]</v>
      </c>
      <c r="AF84" t="str">
        <f t="shared" si="54"/>
        <v>[11007,0.3]</v>
      </c>
      <c r="AG84" t="str">
        <f t="shared" si="55"/>
        <v/>
      </c>
      <c r="AH84" t="str">
        <f>IFERROR(IF(R84&lt;&gt;"",_xlfn.XLOOKUP(R84,[1]ModifierDes!$B:$B,[1]ModifierDes!$A:$A,""),""),"")</f>
        <v/>
      </c>
      <c r="AI84" t="str">
        <f>IFERROR(IF(T84&lt;&gt;"",_xlfn.XLOOKUP(T84,[1]ModifierDes!$B:$B,[1]ModifierDes!$A:$A,""),""),"")</f>
        <v/>
      </c>
      <c r="AJ84" t="str">
        <f>IFERROR(IF(V84&lt;&gt;"",_xlfn.XLOOKUP(V84,[1]ModifierDes!$B:$B,[1]ModifierDes!$A:$A,""),""),"")</f>
        <v/>
      </c>
      <c r="AK84" t="str">
        <f>IFERROR(IF(X84&lt;&gt;"",_xlfn.XLOOKUP(X84,[1]ModifierDes!$B:$B,[1]ModifierDes!$A:$A,""),""),"")</f>
        <v/>
      </c>
      <c r="AL84" t="str">
        <f t="shared" si="50"/>
        <v/>
      </c>
      <c r="AM84" t="str">
        <f t="shared" si="51"/>
        <v/>
      </c>
      <c r="AN84" t="str">
        <f t="shared" si="52"/>
        <v/>
      </c>
      <c r="AO84" t="str">
        <f t="shared" si="44"/>
        <v/>
      </c>
      <c r="AP84" t="str">
        <f>IFERROR(IF(Z84&lt;&gt;"",_xlfn.XLOOKUP(Z84,[1]StuntDes!$B:$B,[1]StuntDes!$A:$A,""),""),"")</f>
        <v/>
      </c>
      <c r="AQ84" t="str">
        <f>IFERROR(IF(AA84&lt;&gt;"",_xlfn.XLOOKUP(AA84,[1]StuntDes!$B:$B,[1]StuntDes!$A:$A,""),""),"")</f>
        <v/>
      </c>
    </row>
    <row r="85" spans="1:43">
      <c r="A85" s="16">
        <f t="shared" si="26"/>
        <v>60923</v>
      </c>
      <c r="B85" s="17" t="s">
        <v>293</v>
      </c>
      <c r="C85" s="17">
        <v>6092</v>
      </c>
      <c r="D85" s="18">
        <v>3</v>
      </c>
      <c r="E85" s="18" t="str">
        <f t="shared" si="56"/>
        <v>[[16092,1]]</v>
      </c>
      <c r="F85" s="14"/>
      <c r="G85" s="18" t="str">
        <f t="shared" si="46"/>
        <v/>
      </c>
      <c r="H85" s="18" t="str">
        <f t="shared" si="43"/>
        <v/>
      </c>
      <c r="I85" s="18" t="str">
        <f t="shared" si="47"/>
        <v/>
      </c>
      <c r="J85" s="18" t="str">
        <f t="shared" si="48"/>
        <v>[[10304,0.25],[11007,0.3],[10300,0.12]]</v>
      </c>
      <c r="K85" t="str">
        <f>_xlfn.XLOOKUP(C85,Pet!A:A,Pet!E:E)</f>
        <v>SR-火焰</v>
      </c>
      <c r="L85" t="s">
        <v>219</v>
      </c>
      <c r="M85">
        <v>0.25</v>
      </c>
      <c r="N85" t="s">
        <v>220</v>
      </c>
      <c r="O85">
        <v>0.3</v>
      </c>
      <c r="P85" t="s">
        <v>193</v>
      </c>
      <c r="Q85">
        <v>0.12</v>
      </c>
      <c r="AB85">
        <f>IFERROR(IF(L85&lt;&gt;"",_xlfn.XLOOKUP(L85,[1]AttributeName!$C:$C,[1]AttributeName!$B:$B,""),""),"")</f>
        <v>10304</v>
      </c>
      <c r="AC85">
        <f>IFERROR(IF(N85&lt;&gt;"",_xlfn.XLOOKUP(N85,[1]AttributeName!$C:$C,[1]AttributeName!$B:$B,""),""),"")</f>
        <v>11007</v>
      </c>
      <c r="AD85">
        <f>IFERROR(IF(P85&lt;&gt;"",_xlfn.XLOOKUP(P85,[1]AttributeName!$C:$C,[1]AttributeName!$B:$B,""),""),"")</f>
        <v>10300</v>
      </c>
      <c r="AE85" t="str">
        <f t="shared" si="49"/>
        <v>[10304,0.25]</v>
      </c>
      <c r="AF85" t="str">
        <f t="shared" si="54"/>
        <v>[11007,0.3]</v>
      </c>
      <c r="AG85" t="str">
        <f t="shared" si="55"/>
        <v>[10300,0.12]</v>
      </c>
      <c r="AH85" t="str">
        <f>IFERROR(IF(R85&lt;&gt;"",_xlfn.XLOOKUP(R85,[1]ModifierDes!$B:$B,[1]ModifierDes!$A:$A,""),""),"")</f>
        <v/>
      </c>
      <c r="AI85" t="str">
        <f>IFERROR(IF(T85&lt;&gt;"",_xlfn.XLOOKUP(T85,[1]ModifierDes!$B:$B,[1]ModifierDes!$A:$A,""),""),"")</f>
        <v/>
      </c>
      <c r="AJ85" t="str">
        <f>IFERROR(IF(V85&lt;&gt;"",_xlfn.XLOOKUP(V85,[1]ModifierDes!$B:$B,[1]ModifierDes!$A:$A,""),""),"")</f>
        <v/>
      </c>
      <c r="AK85" t="str">
        <f>IFERROR(IF(X85&lt;&gt;"",_xlfn.XLOOKUP(X85,[1]ModifierDes!$B:$B,[1]ModifierDes!$A:$A,""),""),"")</f>
        <v/>
      </c>
      <c r="AL85" t="str">
        <f t="shared" si="50"/>
        <v/>
      </c>
      <c r="AM85" t="str">
        <f t="shared" si="51"/>
        <v/>
      </c>
      <c r="AN85" t="str">
        <f t="shared" si="52"/>
        <v/>
      </c>
      <c r="AO85" t="str">
        <f t="shared" si="44"/>
        <v/>
      </c>
      <c r="AP85" t="str">
        <f>IFERROR(IF(Z85&lt;&gt;"",_xlfn.XLOOKUP(Z85,[1]StuntDes!$B:$B,[1]StuntDes!$A:$A,""),""),"")</f>
        <v/>
      </c>
      <c r="AQ85" t="str">
        <f>IFERROR(IF(AA85&lt;&gt;"",_xlfn.XLOOKUP(AA85,[1]StuntDes!$B:$B,[1]StuntDes!$A:$A,""),""),"")</f>
        <v/>
      </c>
    </row>
    <row r="86" spans="1:43">
      <c r="A86" s="16">
        <f t="shared" si="26"/>
        <v>60924</v>
      </c>
      <c r="B86" s="17" t="s">
        <v>294</v>
      </c>
      <c r="C86" s="17">
        <v>6092</v>
      </c>
      <c r="D86" s="18">
        <v>4</v>
      </c>
      <c r="E86" s="18" t="str">
        <f t="shared" si="56"/>
        <v>[[16092,1]]</v>
      </c>
      <c r="F86" s="14"/>
      <c r="G86" s="18" t="str">
        <f t="shared" si="46"/>
        <v/>
      </c>
      <c r="H86" s="18" t="str">
        <f t="shared" si="43"/>
        <v/>
      </c>
      <c r="I86" s="18" t="str">
        <f t="shared" si="47"/>
        <v/>
      </c>
      <c r="J86" s="18" t="str">
        <f t="shared" si="48"/>
        <v>[[10304,0.39],[11007,0.3],[10300,0.12]]</v>
      </c>
      <c r="K86" t="str">
        <f>_xlfn.XLOOKUP(C86,Pet!A:A,Pet!E:E)</f>
        <v>SR-火焰</v>
      </c>
      <c r="L86" t="s">
        <v>219</v>
      </c>
      <c r="M86">
        <v>0.39</v>
      </c>
      <c r="N86" t="s">
        <v>220</v>
      </c>
      <c r="O86">
        <v>0.3</v>
      </c>
      <c r="P86" t="s">
        <v>193</v>
      </c>
      <c r="Q86">
        <v>0.12</v>
      </c>
      <c r="AB86">
        <f>IFERROR(IF(L86&lt;&gt;"",_xlfn.XLOOKUP(L86,[1]AttributeName!$C:$C,[1]AttributeName!$B:$B,""),""),"")</f>
        <v>10304</v>
      </c>
      <c r="AC86">
        <f>IFERROR(IF(N86&lt;&gt;"",_xlfn.XLOOKUP(N86,[1]AttributeName!$C:$C,[1]AttributeName!$B:$B,""),""),"")</f>
        <v>11007</v>
      </c>
      <c r="AD86">
        <f>IFERROR(IF(P86&lt;&gt;"",_xlfn.XLOOKUP(P86,[1]AttributeName!$C:$C,[1]AttributeName!$B:$B,""),""),"")</f>
        <v>10300</v>
      </c>
      <c r="AE86" t="str">
        <f t="shared" si="49"/>
        <v>[10304,0.39]</v>
      </c>
      <c r="AF86" t="str">
        <f t="shared" si="54"/>
        <v>[11007,0.3]</v>
      </c>
      <c r="AG86" t="str">
        <f t="shared" si="55"/>
        <v>[10300,0.12]</v>
      </c>
      <c r="AH86" t="str">
        <f>IFERROR(IF(R86&lt;&gt;"",_xlfn.XLOOKUP(R86,[1]ModifierDes!$B:$B,[1]ModifierDes!$A:$A,""),""),"")</f>
        <v/>
      </c>
      <c r="AI86" t="str">
        <f>IFERROR(IF(T86&lt;&gt;"",_xlfn.XLOOKUP(T86,[1]ModifierDes!$B:$B,[1]ModifierDes!$A:$A,""),""),"")</f>
        <v/>
      </c>
      <c r="AJ86" t="str">
        <f>IFERROR(IF(V86&lt;&gt;"",_xlfn.XLOOKUP(V86,[1]ModifierDes!$B:$B,[1]ModifierDes!$A:$A,""),""),"")</f>
        <v/>
      </c>
      <c r="AK86" t="str">
        <f>IFERROR(IF(X86&lt;&gt;"",_xlfn.XLOOKUP(X86,[1]ModifierDes!$B:$B,[1]ModifierDes!$A:$A,""),""),"")</f>
        <v/>
      </c>
      <c r="AL86" t="str">
        <f t="shared" si="50"/>
        <v/>
      </c>
      <c r="AM86" t="str">
        <f t="shared" si="51"/>
        <v/>
      </c>
      <c r="AN86" t="str">
        <f t="shared" si="52"/>
        <v/>
      </c>
      <c r="AO86" t="str">
        <f t="shared" si="44"/>
        <v/>
      </c>
      <c r="AP86" t="str">
        <f>IFERROR(IF(Z86&lt;&gt;"",_xlfn.XLOOKUP(Z86,[1]StuntDes!$B:$B,[1]StuntDes!$A:$A,""),""),"")</f>
        <v/>
      </c>
      <c r="AQ86" t="str">
        <f>IFERROR(IF(AA86&lt;&gt;"",_xlfn.XLOOKUP(AA86,[1]StuntDes!$B:$B,[1]StuntDes!$A:$A,""),""),"")</f>
        <v/>
      </c>
    </row>
    <row r="87" spans="1:43">
      <c r="A87" s="16">
        <f t="shared" si="26"/>
        <v>60925</v>
      </c>
      <c r="B87" s="17" t="s">
        <v>295</v>
      </c>
      <c r="C87" s="17">
        <v>6092</v>
      </c>
      <c r="D87" s="18">
        <v>5</v>
      </c>
      <c r="E87" s="18"/>
      <c r="F87" s="14"/>
      <c r="G87" s="18" t="str">
        <f t="shared" si="46"/>
        <v/>
      </c>
      <c r="H87" s="18" t="str">
        <f t="shared" si="43"/>
        <v/>
      </c>
      <c r="I87" s="18" t="str">
        <f t="shared" si="47"/>
        <v/>
      </c>
      <c r="J87" s="18" t="str">
        <f t="shared" si="48"/>
        <v>[[10304,0.39],[11007,0.62],[10300,0.12]]</v>
      </c>
      <c r="K87" t="str">
        <f>_xlfn.XLOOKUP(C87,Pet!A:A,Pet!E:E)</f>
        <v>SR-火焰</v>
      </c>
      <c r="L87" t="s">
        <v>219</v>
      </c>
      <c r="M87">
        <v>0.39</v>
      </c>
      <c r="N87" t="s">
        <v>220</v>
      </c>
      <c r="O87">
        <v>0.62</v>
      </c>
      <c r="P87" t="s">
        <v>193</v>
      </c>
      <c r="Q87">
        <v>0.12</v>
      </c>
      <c r="AB87">
        <f>IFERROR(IF(L87&lt;&gt;"",_xlfn.XLOOKUP(L87,[1]AttributeName!$C:$C,[1]AttributeName!$B:$B,""),""),"")</f>
        <v>10304</v>
      </c>
      <c r="AC87">
        <f>IFERROR(IF(N87&lt;&gt;"",_xlfn.XLOOKUP(N87,[1]AttributeName!$C:$C,[1]AttributeName!$B:$B,""),""),"")</f>
        <v>11007</v>
      </c>
      <c r="AD87">
        <f>IFERROR(IF(P87&lt;&gt;"",_xlfn.XLOOKUP(P87,[1]AttributeName!$C:$C,[1]AttributeName!$B:$B,""),""),"")</f>
        <v>10300</v>
      </c>
      <c r="AE87" t="str">
        <f t="shared" si="49"/>
        <v>[10304,0.39]</v>
      </c>
      <c r="AF87" t="str">
        <f t="shared" si="54"/>
        <v>[11007,0.62]</v>
      </c>
      <c r="AG87" t="str">
        <f t="shared" si="55"/>
        <v>[10300,0.12]</v>
      </c>
      <c r="AH87" t="str">
        <f>IFERROR(IF(R87&lt;&gt;"",_xlfn.XLOOKUP(R87,[1]ModifierDes!$B:$B,[1]ModifierDes!$A:$A,""),""),"")</f>
        <v/>
      </c>
      <c r="AI87" t="str">
        <f>IFERROR(IF(T87&lt;&gt;"",_xlfn.XLOOKUP(T87,[1]ModifierDes!$B:$B,[1]ModifierDes!$A:$A,""),""),"")</f>
        <v/>
      </c>
      <c r="AJ87" t="str">
        <f>IFERROR(IF(V87&lt;&gt;"",_xlfn.XLOOKUP(V87,[1]ModifierDes!$B:$B,[1]ModifierDes!$A:$A,""),""),"")</f>
        <v/>
      </c>
      <c r="AK87" t="str">
        <f>IFERROR(IF(X87&lt;&gt;"",_xlfn.XLOOKUP(X87,[1]ModifierDes!$B:$B,[1]ModifierDes!$A:$A,""),""),"")</f>
        <v/>
      </c>
      <c r="AL87" t="str">
        <f t="shared" si="50"/>
        <v/>
      </c>
      <c r="AM87" t="str">
        <f t="shared" si="51"/>
        <v/>
      </c>
      <c r="AN87" t="str">
        <f t="shared" si="52"/>
        <v/>
      </c>
      <c r="AO87" t="str">
        <f t="shared" si="44"/>
        <v/>
      </c>
      <c r="AP87" t="str">
        <f>IFERROR(IF(Z87&lt;&gt;"",_xlfn.XLOOKUP(Z87,[1]StuntDes!$B:$B,[1]StuntDes!$A:$A,""),""),"")</f>
        <v/>
      </c>
      <c r="AQ87" t="str">
        <f>IFERROR(IF(AA87&lt;&gt;"",_xlfn.XLOOKUP(AA87,[1]StuntDes!$B:$B,[1]StuntDes!$A:$A,""),""),"")</f>
        <v/>
      </c>
    </row>
    <row r="88" spans="1:43">
      <c r="A88" s="16">
        <f t="shared" si="26"/>
        <v>60320</v>
      </c>
      <c r="B88" s="17" t="s">
        <v>296</v>
      </c>
      <c r="C88" s="17">
        <v>6032</v>
      </c>
      <c r="D88" s="18">
        <v>0</v>
      </c>
      <c r="E88" s="18" t="str">
        <f t="shared" ref="E88:E92" si="57">"[["&amp;C88+10000&amp;",1]]"</f>
        <v>[[16032,1]]</v>
      </c>
      <c r="F88" s="14"/>
      <c r="G88" s="18" t="str">
        <f t="shared" si="46"/>
        <v>10063|10080</v>
      </c>
      <c r="H88" s="18" t="str">
        <f t="shared" si="43"/>
        <v>[[0.09],[0.04]]</v>
      </c>
      <c r="I88" s="18" t="str">
        <f t="shared" si="47"/>
        <v/>
      </c>
      <c r="J88" s="18" t="str">
        <f t="shared" si="48"/>
        <v/>
      </c>
      <c r="K88" t="str">
        <f>_xlfn.XLOOKUP(C88,Pet!A:A,Pet!E:E)</f>
        <v>SR-近战</v>
      </c>
      <c r="R88" t="s">
        <v>234</v>
      </c>
      <c r="S88">
        <v>0.09</v>
      </c>
      <c r="T88" t="s">
        <v>235</v>
      </c>
      <c r="U88">
        <v>0.04</v>
      </c>
      <c r="AB88" t="str">
        <f>IFERROR(IF(L88&lt;&gt;"",_xlfn.XLOOKUP(L88,[1]AttributeName!$C:$C,[1]AttributeName!$B:$B,""),""),"")</f>
        <v/>
      </c>
      <c r="AC88" t="str">
        <f>IFERROR(IF(N88&lt;&gt;"",_xlfn.XLOOKUP(N88,[1]AttributeName!$C:$C,[1]AttributeName!$B:$B,""),""),"")</f>
        <v/>
      </c>
      <c r="AD88" t="str">
        <f>IFERROR(IF(P88&lt;&gt;"",_xlfn.XLOOKUP(P88,[1]AttributeName!$C:$C,[1]AttributeName!$B:$B,""),""),"")</f>
        <v/>
      </c>
      <c r="AE88" t="str">
        <f t="shared" si="49"/>
        <v/>
      </c>
      <c r="AF88" t="str">
        <f t="shared" si="54"/>
        <v/>
      </c>
      <c r="AG88" t="str">
        <f t="shared" si="55"/>
        <v/>
      </c>
      <c r="AH88">
        <f>IFERROR(IF(R88&lt;&gt;"",_xlfn.XLOOKUP(R88,[1]ModifierDes!$B:$B,[1]ModifierDes!$A:$A,""),""),"")</f>
        <v>10063</v>
      </c>
      <c r="AI88">
        <f>IFERROR(IF(T88&lt;&gt;"",_xlfn.XLOOKUP(T88,[1]ModifierDes!$B:$B,[1]ModifierDes!$A:$A,""),""),"")</f>
        <v>10080</v>
      </c>
      <c r="AJ88" t="str">
        <f>IFERROR(IF(V88&lt;&gt;"",_xlfn.XLOOKUP(V88,[1]ModifierDes!$B:$B,[1]ModifierDes!$A:$A,""),""),"")</f>
        <v/>
      </c>
      <c r="AK88" t="str">
        <f>IFERROR(IF(X88&lt;&gt;"",_xlfn.XLOOKUP(X88,[1]ModifierDes!$B:$B,[1]ModifierDes!$A:$A,""),""),"")</f>
        <v/>
      </c>
      <c r="AL88" t="str">
        <f t="shared" si="50"/>
        <v>[0.09]</v>
      </c>
      <c r="AM88" t="str">
        <f t="shared" si="51"/>
        <v>[0.04]</v>
      </c>
      <c r="AN88" t="str">
        <f t="shared" si="52"/>
        <v/>
      </c>
      <c r="AO88" t="str">
        <f t="shared" si="44"/>
        <v/>
      </c>
      <c r="AP88" t="str">
        <f>IFERROR(IF(Z88&lt;&gt;"",_xlfn.XLOOKUP(Z88,[1]StuntDes!$B:$B,[1]StuntDes!$A:$A,""),""),"")</f>
        <v/>
      </c>
      <c r="AQ88" t="str">
        <f>IFERROR(IF(AA88&lt;&gt;"",_xlfn.XLOOKUP(AA88,[1]StuntDes!$B:$B,[1]StuntDes!$A:$A,""),""),"")</f>
        <v/>
      </c>
    </row>
    <row r="89" spans="1:43">
      <c r="A89" s="16">
        <f t="shared" si="26"/>
        <v>60321</v>
      </c>
      <c r="B89" s="17" t="s">
        <v>297</v>
      </c>
      <c r="C89" s="17">
        <v>6032</v>
      </c>
      <c r="D89" s="18">
        <v>1</v>
      </c>
      <c r="E89" s="18" t="str">
        <f t="shared" si="57"/>
        <v>[[16032,1]]</v>
      </c>
      <c r="F89" s="14"/>
      <c r="G89" s="18" t="str">
        <f t="shared" si="46"/>
        <v>10063|10080</v>
      </c>
      <c r="H89" s="18" t="str">
        <f t="shared" si="43"/>
        <v>[[0.17],[0.04]]</v>
      </c>
      <c r="I89" s="18" t="str">
        <f t="shared" si="47"/>
        <v/>
      </c>
      <c r="J89" s="18" t="str">
        <f t="shared" si="48"/>
        <v/>
      </c>
      <c r="K89" t="str">
        <f>_xlfn.XLOOKUP(C89,Pet!A:A,Pet!E:E)</f>
        <v>SR-近战</v>
      </c>
      <c r="R89" t="s">
        <v>234</v>
      </c>
      <c r="S89">
        <v>0.17</v>
      </c>
      <c r="T89" t="s">
        <v>235</v>
      </c>
      <c r="U89">
        <v>0.04</v>
      </c>
      <c r="AB89" t="str">
        <f>IFERROR(IF(L89&lt;&gt;"",_xlfn.XLOOKUP(L89,[1]AttributeName!$C:$C,[1]AttributeName!$B:$B,""),""),"")</f>
        <v/>
      </c>
      <c r="AC89" t="str">
        <f>IFERROR(IF(N89&lt;&gt;"",_xlfn.XLOOKUP(N89,[1]AttributeName!$C:$C,[1]AttributeName!$B:$B,""),""),"")</f>
        <v/>
      </c>
      <c r="AD89" t="str">
        <f>IFERROR(IF(P89&lt;&gt;"",_xlfn.XLOOKUP(P89,[1]AttributeName!$C:$C,[1]AttributeName!$B:$B,""),""),"")</f>
        <v/>
      </c>
      <c r="AE89" t="str">
        <f t="shared" si="49"/>
        <v/>
      </c>
      <c r="AF89" t="str">
        <f t="shared" si="54"/>
        <v/>
      </c>
      <c r="AG89" t="str">
        <f t="shared" si="55"/>
        <v/>
      </c>
      <c r="AH89">
        <f>IFERROR(IF(R89&lt;&gt;"",_xlfn.XLOOKUP(R89,[1]ModifierDes!$B:$B,[1]ModifierDes!$A:$A,""),""),"")</f>
        <v>10063</v>
      </c>
      <c r="AI89">
        <f>IFERROR(IF(T89&lt;&gt;"",_xlfn.XLOOKUP(T89,[1]ModifierDes!$B:$B,[1]ModifierDes!$A:$A,""),""),"")</f>
        <v>10080</v>
      </c>
      <c r="AJ89" t="str">
        <f>IFERROR(IF(V89&lt;&gt;"",_xlfn.XLOOKUP(V89,[1]ModifierDes!$B:$B,[1]ModifierDes!$A:$A,""),""),"")</f>
        <v/>
      </c>
      <c r="AK89" t="str">
        <f>IFERROR(IF(X89&lt;&gt;"",_xlfn.XLOOKUP(X89,[1]ModifierDes!$B:$B,[1]ModifierDes!$A:$A,""),""),"")</f>
        <v/>
      </c>
      <c r="AL89" t="str">
        <f t="shared" si="50"/>
        <v>[0.17]</v>
      </c>
      <c r="AM89" t="str">
        <f t="shared" si="51"/>
        <v>[0.04]</v>
      </c>
      <c r="AN89" t="str">
        <f t="shared" si="52"/>
        <v/>
      </c>
      <c r="AO89" t="str">
        <f t="shared" si="44"/>
        <v/>
      </c>
      <c r="AP89" t="str">
        <f>IFERROR(IF(Z89&lt;&gt;"",_xlfn.XLOOKUP(Z89,[1]StuntDes!$B:$B,[1]StuntDes!$A:$A,""),""),"")</f>
        <v/>
      </c>
      <c r="AQ89" t="str">
        <f>IFERROR(IF(AA89&lt;&gt;"",_xlfn.XLOOKUP(AA89,[1]StuntDes!$B:$B,[1]StuntDes!$A:$A,""),""),"")</f>
        <v/>
      </c>
    </row>
    <row r="90" spans="1:43">
      <c r="A90" s="16">
        <f t="shared" si="26"/>
        <v>60322</v>
      </c>
      <c r="B90" s="17" t="s">
        <v>298</v>
      </c>
      <c r="C90" s="17">
        <v>6032</v>
      </c>
      <c r="D90" s="18">
        <v>2</v>
      </c>
      <c r="E90" s="18" t="str">
        <f t="shared" si="57"/>
        <v>[[16032,1]]</v>
      </c>
      <c r="F90" s="14"/>
      <c r="G90" s="18" t="str">
        <f t="shared" si="46"/>
        <v>10063|10080</v>
      </c>
      <c r="H90" s="18" t="str">
        <f t="shared" si="43"/>
        <v>[[0.17],[0.12]]</v>
      </c>
      <c r="I90" s="18" t="str">
        <f t="shared" si="47"/>
        <v/>
      </c>
      <c r="J90" s="18" t="str">
        <f t="shared" si="48"/>
        <v/>
      </c>
      <c r="K90" t="str">
        <f>_xlfn.XLOOKUP(C90,Pet!A:A,Pet!E:E)</f>
        <v>SR-近战</v>
      </c>
      <c r="R90" t="s">
        <v>234</v>
      </c>
      <c r="S90">
        <v>0.17</v>
      </c>
      <c r="T90" t="s">
        <v>235</v>
      </c>
      <c r="U90">
        <v>0.12</v>
      </c>
      <c r="AB90" t="str">
        <f>IFERROR(IF(L90&lt;&gt;"",_xlfn.XLOOKUP(L90,[1]AttributeName!$C:$C,[1]AttributeName!$B:$B,""),""),"")</f>
        <v/>
      </c>
      <c r="AC90" t="str">
        <f>IFERROR(IF(N90&lt;&gt;"",_xlfn.XLOOKUP(N90,[1]AttributeName!$C:$C,[1]AttributeName!$B:$B,""),""),"")</f>
        <v/>
      </c>
      <c r="AD90" t="str">
        <f>IFERROR(IF(P90&lt;&gt;"",_xlfn.XLOOKUP(P90,[1]AttributeName!$C:$C,[1]AttributeName!$B:$B,""),""),"")</f>
        <v/>
      </c>
      <c r="AE90" t="str">
        <f t="shared" si="49"/>
        <v/>
      </c>
      <c r="AF90" t="str">
        <f t="shared" si="54"/>
        <v/>
      </c>
      <c r="AG90" t="str">
        <f t="shared" si="55"/>
        <v/>
      </c>
      <c r="AH90">
        <f>IFERROR(IF(R90&lt;&gt;"",_xlfn.XLOOKUP(R90,[1]ModifierDes!$B:$B,[1]ModifierDes!$A:$A,""),""),"")</f>
        <v>10063</v>
      </c>
      <c r="AI90">
        <f>IFERROR(IF(T90&lt;&gt;"",_xlfn.XLOOKUP(T90,[1]ModifierDes!$B:$B,[1]ModifierDes!$A:$A,""),""),"")</f>
        <v>10080</v>
      </c>
      <c r="AJ90" t="str">
        <f>IFERROR(IF(V90&lt;&gt;"",_xlfn.XLOOKUP(V90,[1]ModifierDes!$B:$B,[1]ModifierDes!$A:$A,""),""),"")</f>
        <v/>
      </c>
      <c r="AK90" t="str">
        <f>IFERROR(IF(X90&lt;&gt;"",_xlfn.XLOOKUP(X90,[1]ModifierDes!$B:$B,[1]ModifierDes!$A:$A,""),""),"")</f>
        <v/>
      </c>
      <c r="AL90" t="str">
        <f t="shared" si="50"/>
        <v>[0.17]</v>
      </c>
      <c r="AM90" t="str">
        <f t="shared" si="51"/>
        <v>[0.12]</v>
      </c>
      <c r="AN90" t="str">
        <f t="shared" si="52"/>
        <v/>
      </c>
      <c r="AO90" t="str">
        <f t="shared" si="44"/>
        <v/>
      </c>
      <c r="AP90" t="str">
        <f>IFERROR(IF(Z90&lt;&gt;"",_xlfn.XLOOKUP(Z90,[1]StuntDes!$B:$B,[1]StuntDes!$A:$A,""),""),"")</f>
        <v/>
      </c>
      <c r="AQ90" t="str">
        <f>IFERROR(IF(AA90&lt;&gt;"",_xlfn.XLOOKUP(AA90,[1]StuntDes!$B:$B,[1]StuntDes!$A:$A,""),""),"")</f>
        <v/>
      </c>
    </row>
    <row r="91" spans="1:43">
      <c r="A91" s="16">
        <f t="shared" si="26"/>
        <v>60323</v>
      </c>
      <c r="B91" s="17" t="s">
        <v>299</v>
      </c>
      <c r="C91" s="17">
        <v>6032</v>
      </c>
      <c r="D91" s="18">
        <v>3</v>
      </c>
      <c r="E91" s="18" t="str">
        <f t="shared" si="57"/>
        <v>[[16032,1]]</v>
      </c>
      <c r="F91" s="14"/>
      <c r="G91" s="18" t="str">
        <f t="shared" si="46"/>
        <v>10063|10080</v>
      </c>
      <c r="H91" s="18" t="str">
        <f t="shared" si="43"/>
        <v>[[0.17],[0.12]]</v>
      </c>
      <c r="I91" s="18" t="str">
        <f t="shared" si="47"/>
        <v/>
      </c>
      <c r="J91" s="18" t="str">
        <f t="shared" si="48"/>
        <v>[[10300,0.12]]</v>
      </c>
      <c r="K91" t="str">
        <f>_xlfn.XLOOKUP(C91,Pet!A:A,Pet!E:E)</f>
        <v>SR-近战</v>
      </c>
      <c r="L91" t="s">
        <v>193</v>
      </c>
      <c r="M91">
        <v>0.12</v>
      </c>
      <c r="R91" t="s">
        <v>234</v>
      </c>
      <c r="S91">
        <v>0.17</v>
      </c>
      <c r="T91" t="s">
        <v>235</v>
      </c>
      <c r="U91">
        <v>0.12</v>
      </c>
      <c r="AB91">
        <f>IFERROR(IF(L91&lt;&gt;"",_xlfn.XLOOKUP(L91,[1]AttributeName!$C:$C,[1]AttributeName!$B:$B,""),""),"")</f>
        <v>10300</v>
      </c>
      <c r="AC91" t="str">
        <f>IFERROR(IF(N91&lt;&gt;"",_xlfn.XLOOKUP(N91,[1]AttributeName!$C:$C,[1]AttributeName!$B:$B,""),""),"")</f>
        <v/>
      </c>
      <c r="AD91" t="str">
        <f>IFERROR(IF(P91&lt;&gt;"",_xlfn.XLOOKUP(P91,[1]AttributeName!$C:$C,[1]AttributeName!$B:$B,""),""),"")</f>
        <v/>
      </c>
      <c r="AE91" t="str">
        <f t="shared" si="49"/>
        <v>[10300,0.12]</v>
      </c>
      <c r="AF91" t="str">
        <f t="shared" si="54"/>
        <v/>
      </c>
      <c r="AG91" t="str">
        <f t="shared" si="55"/>
        <v/>
      </c>
      <c r="AH91">
        <f>IFERROR(IF(R91&lt;&gt;"",_xlfn.XLOOKUP(R91,[1]ModifierDes!$B:$B,[1]ModifierDes!$A:$A,""),""),"")</f>
        <v>10063</v>
      </c>
      <c r="AI91">
        <f>IFERROR(IF(T91&lt;&gt;"",_xlfn.XLOOKUP(T91,[1]ModifierDes!$B:$B,[1]ModifierDes!$A:$A,""),""),"")</f>
        <v>10080</v>
      </c>
      <c r="AJ91" t="str">
        <f>IFERROR(IF(V91&lt;&gt;"",_xlfn.XLOOKUP(V91,[1]ModifierDes!$B:$B,[1]ModifierDes!$A:$A,""),""),"")</f>
        <v/>
      </c>
      <c r="AK91" t="str">
        <f>IFERROR(IF(X91&lt;&gt;"",_xlfn.XLOOKUP(X91,[1]ModifierDes!$B:$B,[1]ModifierDes!$A:$A,""),""),"")</f>
        <v/>
      </c>
      <c r="AL91" t="str">
        <f t="shared" si="50"/>
        <v>[0.17]</v>
      </c>
      <c r="AM91" t="str">
        <f t="shared" si="51"/>
        <v>[0.12]</v>
      </c>
      <c r="AN91" t="str">
        <f t="shared" si="52"/>
        <v/>
      </c>
      <c r="AO91" t="str">
        <f t="shared" si="44"/>
        <v/>
      </c>
      <c r="AP91" t="str">
        <f>IFERROR(IF(Z91&lt;&gt;"",_xlfn.XLOOKUP(Z91,[1]StuntDes!$B:$B,[1]StuntDes!$A:$A,""),""),"")</f>
        <v/>
      </c>
      <c r="AQ91" t="str">
        <f>IFERROR(IF(AA91&lt;&gt;"",_xlfn.XLOOKUP(AA91,[1]StuntDes!$B:$B,[1]StuntDes!$A:$A,""),""),"")</f>
        <v/>
      </c>
    </row>
    <row r="92" spans="1:43">
      <c r="A92" s="16">
        <f t="shared" si="26"/>
        <v>60324</v>
      </c>
      <c r="B92" s="17" t="s">
        <v>300</v>
      </c>
      <c r="C92" s="17">
        <v>6032</v>
      </c>
      <c r="D92" s="18">
        <v>4</v>
      </c>
      <c r="E92" s="18" t="str">
        <f t="shared" si="57"/>
        <v>[[16032,1]]</v>
      </c>
      <c r="F92" s="14"/>
      <c r="G92" s="18" t="str">
        <f t="shared" si="46"/>
        <v>10063|10080</v>
      </c>
      <c r="H92" s="18" t="str">
        <f t="shared" si="43"/>
        <v>[[0.32],[0.12]]</v>
      </c>
      <c r="I92" s="18" t="str">
        <f t="shared" si="47"/>
        <v/>
      </c>
      <c r="J92" s="18" t="str">
        <f t="shared" si="48"/>
        <v>[[10300,0.12]]</v>
      </c>
      <c r="K92" t="str">
        <f>_xlfn.XLOOKUP(C92,Pet!A:A,Pet!E:E)</f>
        <v>SR-近战</v>
      </c>
      <c r="L92" t="s">
        <v>193</v>
      </c>
      <c r="M92">
        <v>0.12</v>
      </c>
      <c r="R92" t="s">
        <v>234</v>
      </c>
      <c r="S92">
        <v>0.32</v>
      </c>
      <c r="T92" t="s">
        <v>235</v>
      </c>
      <c r="U92">
        <v>0.12</v>
      </c>
      <c r="AB92">
        <f>IFERROR(IF(L92&lt;&gt;"",_xlfn.XLOOKUP(L92,[1]AttributeName!$C:$C,[1]AttributeName!$B:$B,""),""),"")</f>
        <v>10300</v>
      </c>
      <c r="AC92" t="str">
        <f>IFERROR(IF(N92&lt;&gt;"",_xlfn.XLOOKUP(N92,[1]AttributeName!$C:$C,[1]AttributeName!$B:$B,""),""),"")</f>
        <v/>
      </c>
      <c r="AD92" t="str">
        <f>IFERROR(IF(P92&lt;&gt;"",_xlfn.XLOOKUP(P92,[1]AttributeName!$C:$C,[1]AttributeName!$B:$B,""),""),"")</f>
        <v/>
      </c>
      <c r="AE92" t="str">
        <f t="shared" si="49"/>
        <v>[10300,0.12]</v>
      </c>
      <c r="AF92" t="str">
        <f t="shared" si="54"/>
        <v/>
      </c>
      <c r="AG92" t="str">
        <f t="shared" si="55"/>
        <v/>
      </c>
      <c r="AH92">
        <f>IFERROR(IF(R92&lt;&gt;"",_xlfn.XLOOKUP(R92,[1]ModifierDes!$B:$B,[1]ModifierDes!$A:$A,""),""),"")</f>
        <v>10063</v>
      </c>
      <c r="AI92">
        <f>IFERROR(IF(T92&lt;&gt;"",_xlfn.XLOOKUP(T92,[1]ModifierDes!$B:$B,[1]ModifierDes!$A:$A,""),""),"")</f>
        <v>10080</v>
      </c>
      <c r="AJ92" t="str">
        <f>IFERROR(IF(V92&lt;&gt;"",_xlfn.XLOOKUP(V92,[1]ModifierDes!$B:$B,[1]ModifierDes!$A:$A,""),""),"")</f>
        <v/>
      </c>
      <c r="AK92" t="str">
        <f>IFERROR(IF(X92&lt;&gt;"",_xlfn.XLOOKUP(X92,[1]ModifierDes!$B:$B,[1]ModifierDes!$A:$A,""),""),"")</f>
        <v/>
      </c>
      <c r="AL92" t="str">
        <f t="shared" si="50"/>
        <v>[0.32]</v>
      </c>
      <c r="AM92" t="str">
        <f t="shared" si="51"/>
        <v>[0.12]</v>
      </c>
      <c r="AN92" t="str">
        <f t="shared" si="52"/>
        <v/>
      </c>
      <c r="AO92" t="str">
        <f t="shared" si="44"/>
        <v/>
      </c>
      <c r="AP92" t="str">
        <f>IFERROR(IF(Z92&lt;&gt;"",_xlfn.XLOOKUP(Z92,[1]StuntDes!$B:$B,[1]StuntDes!$A:$A,""),""),"")</f>
        <v/>
      </c>
      <c r="AQ92" t="str">
        <f>IFERROR(IF(AA92&lt;&gt;"",_xlfn.XLOOKUP(AA92,[1]StuntDes!$B:$B,[1]StuntDes!$A:$A,""),""),"")</f>
        <v/>
      </c>
    </row>
    <row r="93" spans="1:43">
      <c r="A93" s="16">
        <f t="shared" si="26"/>
        <v>60325</v>
      </c>
      <c r="B93" s="17" t="s">
        <v>301</v>
      </c>
      <c r="C93" s="17">
        <v>6032</v>
      </c>
      <c r="D93" s="18">
        <v>5</v>
      </c>
      <c r="E93" s="18"/>
      <c r="F93" s="14"/>
      <c r="G93" s="18" t="str">
        <f t="shared" si="46"/>
        <v>10063|10080</v>
      </c>
      <c r="H93" s="18" t="str">
        <f t="shared" si="43"/>
        <v>[[0.32],[0.22]]</v>
      </c>
      <c r="I93" s="18" t="str">
        <f t="shared" si="47"/>
        <v/>
      </c>
      <c r="J93" s="18" t="str">
        <f t="shared" si="48"/>
        <v>[[10300,0.12]]</v>
      </c>
      <c r="K93" t="str">
        <f>_xlfn.XLOOKUP(C93,Pet!A:A,Pet!E:E)</f>
        <v>SR-近战</v>
      </c>
      <c r="L93" t="s">
        <v>193</v>
      </c>
      <c r="M93">
        <v>0.12</v>
      </c>
      <c r="R93" t="s">
        <v>234</v>
      </c>
      <c r="S93">
        <v>0.32</v>
      </c>
      <c r="T93" t="s">
        <v>235</v>
      </c>
      <c r="U93">
        <v>0.22</v>
      </c>
      <c r="AB93">
        <f>IFERROR(IF(L93&lt;&gt;"",_xlfn.XLOOKUP(L93,[1]AttributeName!$C:$C,[1]AttributeName!$B:$B,""),""),"")</f>
        <v>10300</v>
      </c>
      <c r="AC93" t="str">
        <f>IFERROR(IF(N93&lt;&gt;"",_xlfn.XLOOKUP(N93,[1]AttributeName!$C:$C,[1]AttributeName!$B:$B,""),""),"")</f>
        <v/>
      </c>
      <c r="AD93" t="str">
        <f>IFERROR(IF(P93&lt;&gt;"",_xlfn.XLOOKUP(P93,[1]AttributeName!$C:$C,[1]AttributeName!$B:$B,""),""),"")</f>
        <v/>
      </c>
      <c r="AE93" t="str">
        <f t="shared" si="49"/>
        <v>[10300,0.12]</v>
      </c>
      <c r="AF93" t="str">
        <f t="shared" si="54"/>
        <v/>
      </c>
      <c r="AG93" t="str">
        <f t="shared" si="55"/>
        <v/>
      </c>
      <c r="AH93">
        <f>IFERROR(IF(R93&lt;&gt;"",_xlfn.XLOOKUP(R93,[1]ModifierDes!$B:$B,[1]ModifierDes!$A:$A,""),""),"")</f>
        <v>10063</v>
      </c>
      <c r="AI93">
        <f>IFERROR(IF(T93&lt;&gt;"",_xlfn.XLOOKUP(T93,[1]ModifierDes!$B:$B,[1]ModifierDes!$A:$A,""),""),"")</f>
        <v>10080</v>
      </c>
      <c r="AJ93" t="str">
        <f>IFERROR(IF(V93&lt;&gt;"",_xlfn.XLOOKUP(V93,[1]ModifierDes!$B:$B,[1]ModifierDes!$A:$A,""),""),"")</f>
        <v/>
      </c>
      <c r="AK93" t="str">
        <f>IFERROR(IF(X93&lt;&gt;"",_xlfn.XLOOKUP(X93,[1]ModifierDes!$B:$B,[1]ModifierDes!$A:$A,""),""),"")</f>
        <v/>
      </c>
      <c r="AL93" t="str">
        <f t="shared" si="50"/>
        <v>[0.32]</v>
      </c>
      <c r="AM93" t="str">
        <f t="shared" si="51"/>
        <v>[0.22]</v>
      </c>
      <c r="AN93" t="str">
        <f t="shared" si="52"/>
        <v/>
      </c>
      <c r="AO93" t="str">
        <f t="shared" si="44"/>
        <v/>
      </c>
      <c r="AP93" t="str">
        <f>IFERROR(IF(Z93&lt;&gt;"",_xlfn.XLOOKUP(Z93,[1]StuntDes!$B:$B,[1]StuntDes!$A:$A,""),""),"")</f>
        <v/>
      </c>
      <c r="AQ93" t="str">
        <f>IFERROR(IF(AA93&lt;&gt;"",_xlfn.XLOOKUP(AA93,[1]StuntDes!$B:$B,[1]StuntDes!$A:$A,""),""),"")</f>
        <v/>
      </c>
    </row>
    <row r="94" spans="1:43">
      <c r="A94" s="16">
        <f t="shared" si="26"/>
        <v>61120</v>
      </c>
      <c r="B94" s="17" t="s">
        <v>302</v>
      </c>
      <c r="C94" s="17">
        <v>6112</v>
      </c>
      <c r="D94" s="18">
        <v>0</v>
      </c>
      <c r="E94" s="18" t="str">
        <f t="shared" ref="E94:E98" si="58">"[["&amp;C94+10000&amp;",1]]"</f>
        <v>[[16112,1]]</v>
      </c>
      <c r="F94" s="14"/>
      <c r="G94" s="18" t="str">
        <f t="shared" si="46"/>
        <v>10067|10050</v>
      </c>
      <c r="H94" s="18" t="str">
        <f t="shared" si="43"/>
        <v>[[0.09],[0.02]]</v>
      </c>
      <c r="I94" s="18" t="str">
        <f t="shared" si="47"/>
        <v/>
      </c>
      <c r="J94" s="18" t="str">
        <f t="shared" si="48"/>
        <v/>
      </c>
      <c r="K94" t="str">
        <f>_xlfn.XLOOKUP(C94,Pet!A:A,Pet!E:E)</f>
        <v>SR-法术</v>
      </c>
      <c r="R94" t="s">
        <v>258</v>
      </c>
      <c r="S94">
        <v>0.09</v>
      </c>
      <c r="T94" t="s">
        <v>209</v>
      </c>
      <c r="U94">
        <v>0.02</v>
      </c>
      <c r="AB94" t="str">
        <f>IFERROR(IF(L94&lt;&gt;"",_xlfn.XLOOKUP(L94,[1]AttributeName!$C:$C,[1]AttributeName!$B:$B,""),""),"")</f>
        <v/>
      </c>
      <c r="AC94" t="str">
        <f>IFERROR(IF(N94&lt;&gt;"",_xlfn.XLOOKUP(N94,[1]AttributeName!$C:$C,[1]AttributeName!$B:$B,""),""),"")</f>
        <v/>
      </c>
      <c r="AD94" t="str">
        <f>IFERROR(IF(P94&lt;&gt;"",_xlfn.XLOOKUP(P94,[1]AttributeName!$C:$C,[1]AttributeName!$B:$B,""),""),"")</f>
        <v/>
      </c>
      <c r="AE94" t="str">
        <f t="shared" si="49"/>
        <v/>
      </c>
      <c r="AF94" t="str">
        <f t="shared" si="54"/>
        <v/>
      </c>
      <c r="AG94" t="str">
        <f t="shared" si="55"/>
        <v/>
      </c>
      <c r="AH94">
        <f>IFERROR(IF(R94&lt;&gt;"",_xlfn.XLOOKUP(R94,[1]ModifierDes!$B:$B,[1]ModifierDes!$A:$A,""),""),"")</f>
        <v>10067</v>
      </c>
      <c r="AI94">
        <f>IFERROR(IF(T94&lt;&gt;"",_xlfn.XLOOKUP(T94,[1]ModifierDes!$B:$B,[1]ModifierDes!$A:$A,""),""),"")</f>
        <v>10050</v>
      </c>
      <c r="AJ94" t="str">
        <f>IFERROR(IF(V94&lt;&gt;"",_xlfn.XLOOKUP(V94,[1]ModifierDes!$B:$B,[1]ModifierDes!$A:$A,""),""),"")</f>
        <v/>
      </c>
      <c r="AK94" t="str">
        <f>IFERROR(IF(X94&lt;&gt;"",_xlfn.XLOOKUP(X94,[1]ModifierDes!$B:$B,[1]ModifierDes!$A:$A,""),""),"")</f>
        <v/>
      </c>
      <c r="AL94" t="str">
        <f t="shared" si="50"/>
        <v>[0.09]</v>
      </c>
      <c r="AM94" t="str">
        <f t="shared" si="51"/>
        <v>[0.02]</v>
      </c>
      <c r="AN94" t="str">
        <f t="shared" si="52"/>
        <v/>
      </c>
      <c r="AO94" t="str">
        <f t="shared" si="44"/>
        <v/>
      </c>
      <c r="AP94" t="str">
        <f>IFERROR(IF(Z94&lt;&gt;"",_xlfn.XLOOKUP(Z94,[1]StuntDes!$B:$B,[1]StuntDes!$A:$A,""),""),"")</f>
        <v/>
      </c>
      <c r="AQ94" t="str">
        <f>IFERROR(IF(AA94&lt;&gt;"",_xlfn.XLOOKUP(AA94,[1]StuntDes!$B:$B,[1]StuntDes!$A:$A,""),""),"")</f>
        <v/>
      </c>
    </row>
    <row r="95" spans="1:43">
      <c r="A95" s="16">
        <f t="shared" si="26"/>
        <v>61121</v>
      </c>
      <c r="B95" s="17" t="s">
        <v>303</v>
      </c>
      <c r="C95" s="17">
        <v>6112</v>
      </c>
      <c r="D95" s="18">
        <v>1</v>
      </c>
      <c r="E95" s="18" t="str">
        <f t="shared" si="58"/>
        <v>[[16112,1]]</v>
      </c>
      <c r="F95" s="14"/>
      <c r="G95" s="18" t="str">
        <f t="shared" si="46"/>
        <v>10067|10050</v>
      </c>
      <c r="H95" s="18" t="str">
        <f t="shared" si="43"/>
        <v>[[0.17],[0.02]]</v>
      </c>
      <c r="I95" s="18" t="str">
        <f t="shared" si="47"/>
        <v/>
      </c>
      <c r="J95" s="18" t="str">
        <f t="shared" si="48"/>
        <v/>
      </c>
      <c r="K95" t="str">
        <f>_xlfn.XLOOKUP(C95,Pet!A:A,Pet!E:E)</f>
        <v>SR-法术</v>
      </c>
      <c r="R95" t="s">
        <v>258</v>
      </c>
      <c r="S95">
        <v>0.17</v>
      </c>
      <c r="T95" t="s">
        <v>209</v>
      </c>
      <c r="U95">
        <v>0.02</v>
      </c>
      <c r="AB95" t="str">
        <f>IFERROR(IF(L95&lt;&gt;"",_xlfn.XLOOKUP(L95,[1]AttributeName!$C:$C,[1]AttributeName!$B:$B,""),""),"")</f>
        <v/>
      </c>
      <c r="AC95" t="str">
        <f>IFERROR(IF(N95&lt;&gt;"",_xlfn.XLOOKUP(N95,[1]AttributeName!$C:$C,[1]AttributeName!$B:$B,""),""),"")</f>
        <v/>
      </c>
      <c r="AD95" t="str">
        <f>IFERROR(IF(P95&lt;&gt;"",_xlfn.XLOOKUP(P95,[1]AttributeName!$C:$C,[1]AttributeName!$B:$B,""),""),"")</f>
        <v/>
      </c>
      <c r="AE95" t="str">
        <f t="shared" si="49"/>
        <v/>
      </c>
      <c r="AF95" t="str">
        <f t="shared" si="54"/>
        <v/>
      </c>
      <c r="AG95" t="str">
        <f t="shared" si="55"/>
        <v/>
      </c>
      <c r="AH95">
        <f>IFERROR(IF(R95&lt;&gt;"",_xlfn.XLOOKUP(R95,[1]ModifierDes!$B:$B,[1]ModifierDes!$A:$A,""),""),"")</f>
        <v>10067</v>
      </c>
      <c r="AI95">
        <f>IFERROR(IF(T95&lt;&gt;"",_xlfn.XLOOKUP(T95,[1]ModifierDes!$B:$B,[1]ModifierDes!$A:$A,""),""),"")</f>
        <v>10050</v>
      </c>
      <c r="AJ95" t="str">
        <f>IFERROR(IF(V95&lt;&gt;"",_xlfn.XLOOKUP(V95,[1]ModifierDes!$B:$B,[1]ModifierDes!$A:$A,""),""),"")</f>
        <v/>
      </c>
      <c r="AK95" t="str">
        <f>IFERROR(IF(X95&lt;&gt;"",_xlfn.XLOOKUP(X95,[1]ModifierDes!$B:$B,[1]ModifierDes!$A:$A,""),""),"")</f>
        <v/>
      </c>
      <c r="AL95" t="str">
        <f t="shared" si="50"/>
        <v>[0.17]</v>
      </c>
      <c r="AM95" t="str">
        <f t="shared" si="51"/>
        <v>[0.02]</v>
      </c>
      <c r="AN95" t="str">
        <f t="shared" si="52"/>
        <v/>
      </c>
      <c r="AO95" t="str">
        <f t="shared" si="44"/>
        <v/>
      </c>
      <c r="AP95" t="str">
        <f>IFERROR(IF(Z95&lt;&gt;"",_xlfn.XLOOKUP(Z95,[1]StuntDes!$B:$B,[1]StuntDes!$A:$A,""),""),"")</f>
        <v/>
      </c>
      <c r="AQ95" t="str">
        <f>IFERROR(IF(AA95&lt;&gt;"",_xlfn.XLOOKUP(AA95,[1]StuntDes!$B:$B,[1]StuntDes!$A:$A,""),""),"")</f>
        <v/>
      </c>
    </row>
    <row r="96" spans="1:43">
      <c r="A96" s="16">
        <f t="shared" si="26"/>
        <v>61122</v>
      </c>
      <c r="B96" s="17" t="s">
        <v>304</v>
      </c>
      <c r="C96" s="17">
        <v>6112</v>
      </c>
      <c r="D96" s="18">
        <v>2</v>
      </c>
      <c r="E96" s="18" t="str">
        <f t="shared" si="58"/>
        <v>[[16112,1]]</v>
      </c>
      <c r="F96" s="14"/>
      <c r="G96" s="18" t="str">
        <f t="shared" si="46"/>
        <v>10067|10050</v>
      </c>
      <c r="H96" s="18" t="str">
        <f t="shared" si="43"/>
        <v>[[0.17],[0.06]]</v>
      </c>
      <c r="I96" s="18" t="str">
        <f t="shared" si="47"/>
        <v/>
      </c>
      <c r="J96" s="18" t="str">
        <f t="shared" si="48"/>
        <v/>
      </c>
      <c r="K96" t="str">
        <f>_xlfn.XLOOKUP(C96,Pet!A:A,Pet!E:E)</f>
        <v>SR-法术</v>
      </c>
      <c r="R96" t="s">
        <v>258</v>
      </c>
      <c r="S96">
        <v>0.17</v>
      </c>
      <c r="T96" t="s">
        <v>209</v>
      </c>
      <c r="U96">
        <v>0.06</v>
      </c>
      <c r="AB96" t="str">
        <f>IFERROR(IF(L96&lt;&gt;"",_xlfn.XLOOKUP(L96,[1]AttributeName!$C:$C,[1]AttributeName!$B:$B,""),""),"")</f>
        <v/>
      </c>
      <c r="AC96" t="str">
        <f>IFERROR(IF(N96&lt;&gt;"",_xlfn.XLOOKUP(N96,[1]AttributeName!$C:$C,[1]AttributeName!$B:$B,""),""),"")</f>
        <v/>
      </c>
      <c r="AD96" t="str">
        <f>IFERROR(IF(P96&lt;&gt;"",_xlfn.XLOOKUP(P96,[1]AttributeName!$C:$C,[1]AttributeName!$B:$B,""),""),"")</f>
        <v/>
      </c>
      <c r="AE96" t="str">
        <f t="shared" si="49"/>
        <v/>
      </c>
      <c r="AF96" t="str">
        <f t="shared" si="54"/>
        <v/>
      </c>
      <c r="AG96" t="str">
        <f t="shared" si="55"/>
        <v/>
      </c>
      <c r="AH96">
        <f>IFERROR(IF(R96&lt;&gt;"",_xlfn.XLOOKUP(R96,[1]ModifierDes!$B:$B,[1]ModifierDes!$A:$A,""),""),"")</f>
        <v>10067</v>
      </c>
      <c r="AI96">
        <f>IFERROR(IF(T96&lt;&gt;"",_xlfn.XLOOKUP(T96,[1]ModifierDes!$B:$B,[1]ModifierDes!$A:$A,""),""),"")</f>
        <v>10050</v>
      </c>
      <c r="AJ96" t="str">
        <f>IFERROR(IF(V96&lt;&gt;"",_xlfn.XLOOKUP(V96,[1]ModifierDes!$B:$B,[1]ModifierDes!$A:$A,""),""),"")</f>
        <v/>
      </c>
      <c r="AK96" t="str">
        <f>IFERROR(IF(X96&lt;&gt;"",_xlfn.XLOOKUP(X96,[1]ModifierDes!$B:$B,[1]ModifierDes!$A:$A,""),""),"")</f>
        <v/>
      </c>
      <c r="AL96" t="str">
        <f t="shared" si="50"/>
        <v>[0.17]</v>
      </c>
      <c r="AM96" t="str">
        <f t="shared" si="51"/>
        <v>[0.06]</v>
      </c>
      <c r="AN96" t="str">
        <f t="shared" si="52"/>
        <v/>
      </c>
      <c r="AO96" t="str">
        <f t="shared" si="44"/>
        <v/>
      </c>
      <c r="AP96" t="str">
        <f>IFERROR(IF(Z96&lt;&gt;"",_xlfn.XLOOKUP(Z96,[1]StuntDes!$B:$B,[1]StuntDes!$A:$A,""),""),"")</f>
        <v/>
      </c>
      <c r="AQ96" t="str">
        <f>IFERROR(IF(AA96&lt;&gt;"",_xlfn.XLOOKUP(AA96,[1]StuntDes!$B:$B,[1]StuntDes!$A:$A,""),""),"")</f>
        <v/>
      </c>
    </row>
    <row r="97" spans="1:43">
      <c r="A97" s="16">
        <f t="shared" si="26"/>
        <v>61123</v>
      </c>
      <c r="B97" s="17" t="s">
        <v>305</v>
      </c>
      <c r="C97" s="17">
        <v>6112</v>
      </c>
      <c r="D97" s="18">
        <v>3</v>
      </c>
      <c r="E97" s="18" t="str">
        <f t="shared" si="58"/>
        <v>[[16112,1]]</v>
      </c>
      <c r="F97" s="14"/>
      <c r="G97" s="18" t="str">
        <f t="shared" si="46"/>
        <v>10067|10050</v>
      </c>
      <c r="H97" s="18" t="str">
        <f t="shared" si="43"/>
        <v>[[0.17],[0.06]]</v>
      </c>
      <c r="I97" s="18" t="str">
        <f t="shared" si="47"/>
        <v/>
      </c>
      <c r="J97" s="18" t="str">
        <f t="shared" si="48"/>
        <v>[[10300,0.12]]</v>
      </c>
      <c r="K97" t="str">
        <f>_xlfn.XLOOKUP(C97,Pet!A:A,Pet!E:E)</f>
        <v>SR-法术</v>
      </c>
      <c r="L97" t="s">
        <v>193</v>
      </c>
      <c r="M97">
        <v>0.12</v>
      </c>
      <c r="R97" t="s">
        <v>258</v>
      </c>
      <c r="S97">
        <v>0.17</v>
      </c>
      <c r="T97" t="s">
        <v>209</v>
      </c>
      <c r="U97">
        <v>0.06</v>
      </c>
      <c r="AB97">
        <f>IFERROR(IF(L97&lt;&gt;"",_xlfn.XLOOKUP(L97,[1]AttributeName!$C:$C,[1]AttributeName!$B:$B,""),""),"")</f>
        <v>10300</v>
      </c>
      <c r="AC97" t="str">
        <f>IFERROR(IF(N97&lt;&gt;"",_xlfn.XLOOKUP(N97,[1]AttributeName!$C:$C,[1]AttributeName!$B:$B,""),""),"")</f>
        <v/>
      </c>
      <c r="AD97" t="str">
        <f>IFERROR(IF(P97&lt;&gt;"",_xlfn.XLOOKUP(P97,[1]AttributeName!$C:$C,[1]AttributeName!$B:$B,""),""),"")</f>
        <v/>
      </c>
      <c r="AE97" t="str">
        <f t="shared" si="49"/>
        <v>[10300,0.12]</v>
      </c>
      <c r="AF97" t="str">
        <f t="shared" si="54"/>
        <v/>
      </c>
      <c r="AG97" t="str">
        <f t="shared" si="55"/>
        <v/>
      </c>
      <c r="AH97">
        <f>IFERROR(IF(R97&lt;&gt;"",_xlfn.XLOOKUP(R97,[1]ModifierDes!$B:$B,[1]ModifierDes!$A:$A,""),""),"")</f>
        <v>10067</v>
      </c>
      <c r="AI97">
        <f>IFERROR(IF(T97&lt;&gt;"",_xlfn.XLOOKUP(T97,[1]ModifierDes!$B:$B,[1]ModifierDes!$A:$A,""),""),"")</f>
        <v>10050</v>
      </c>
      <c r="AJ97" t="str">
        <f>IFERROR(IF(V97&lt;&gt;"",_xlfn.XLOOKUP(V97,[1]ModifierDes!$B:$B,[1]ModifierDes!$A:$A,""),""),"")</f>
        <v/>
      </c>
      <c r="AK97" t="str">
        <f>IFERROR(IF(X97&lt;&gt;"",_xlfn.XLOOKUP(X97,[1]ModifierDes!$B:$B,[1]ModifierDes!$A:$A,""),""),"")</f>
        <v/>
      </c>
      <c r="AL97" t="str">
        <f t="shared" si="50"/>
        <v>[0.17]</v>
      </c>
      <c r="AM97" t="str">
        <f t="shared" si="51"/>
        <v>[0.06]</v>
      </c>
      <c r="AN97" t="str">
        <f t="shared" si="52"/>
        <v/>
      </c>
      <c r="AO97" t="str">
        <f t="shared" si="44"/>
        <v/>
      </c>
      <c r="AP97" t="str">
        <f>IFERROR(IF(Z97&lt;&gt;"",_xlfn.XLOOKUP(Z97,[1]StuntDes!$B:$B,[1]StuntDes!$A:$A,""),""),"")</f>
        <v/>
      </c>
      <c r="AQ97" t="str">
        <f>IFERROR(IF(AA97&lt;&gt;"",_xlfn.XLOOKUP(AA97,[1]StuntDes!$B:$B,[1]StuntDes!$A:$A,""),""),"")</f>
        <v/>
      </c>
    </row>
    <row r="98" spans="1:43">
      <c r="A98" s="16">
        <f t="shared" si="26"/>
        <v>61124</v>
      </c>
      <c r="B98" s="17" t="s">
        <v>306</v>
      </c>
      <c r="C98" s="17">
        <v>6112</v>
      </c>
      <c r="D98" s="18">
        <v>4</v>
      </c>
      <c r="E98" s="18" t="str">
        <f t="shared" si="58"/>
        <v>[[16112,1]]</v>
      </c>
      <c r="F98" s="14"/>
      <c r="G98" s="18" t="str">
        <f t="shared" si="46"/>
        <v>10067|10050</v>
      </c>
      <c r="H98" s="18" t="str">
        <f t="shared" si="43"/>
        <v>[[0.32],[0.06]]</v>
      </c>
      <c r="I98" s="18" t="str">
        <f t="shared" si="47"/>
        <v/>
      </c>
      <c r="J98" s="18" t="str">
        <f t="shared" si="48"/>
        <v>[[10300,0.12]]</v>
      </c>
      <c r="K98" t="str">
        <f>_xlfn.XLOOKUP(C98,Pet!A:A,Pet!E:E)</f>
        <v>SR-法术</v>
      </c>
      <c r="L98" t="s">
        <v>193</v>
      </c>
      <c r="M98">
        <v>0.12</v>
      </c>
      <c r="R98" t="s">
        <v>258</v>
      </c>
      <c r="S98">
        <v>0.32</v>
      </c>
      <c r="T98" t="s">
        <v>209</v>
      </c>
      <c r="U98">
        <v>0.06</v>
      </c>
      <c r="AB98">
        <f>IFERROR(IF(L98&lt;&gt;"",_xlfn.XLOOKUP(L98,[1]AttributeName!$C:$C,[1]AttributeName!$B:$B,""),""),"")</f>
        <v>10300</v>
      </c>
      <c r="AC98" t="str">
        <f>IFERROR(IF(N98&lt;&gt;"",_xlfn.XLOOKUP(N98,[1]AttributeName!$C:$C,[1]AttributeName!$B:$B,""),""),"")</f>
        <v/>
      </c>
      <c r="AD98" t="str">
        <f>IFERROR(IF(P98&lt;&gt;"",_xlfn.XLOOKUP(P98,[1]AttributeName!$C:$C,[1]AttributeName!$B:$B,""),""),"")</f>
        <v/>
      </c>
      <c r="AE98" t="str">
        <f t="shared" si="49"/>
        <v>[10300,0.12]</v>
      </c>
      <c r="AF98" t="str">
        <f t="shared" si="54"/>
        <v/>
      </c>
      <c r="AG98" t="str">
        <f t="shared" si="55"/>
        <v/>
      </c>
      <c r="AH98">
        <f>IFERROR(IF(R98&lt;&gt;"",_xlfn.XLOOKUP(R98,[1]ModifierDes!$B:$B,[1]ModifierDes!$A:$A,""),""),"")</f>
        <v>10067</v>
      </c>
      <c r="AI98">
        <f>IFERROR(IF(T98&lt;&gt;"",_xlfn.XLOOKUP(T98,[1]ModifierDes!$B:$B,[1]ModifierDes!$A:$A,""),""),"")</f>
        <v>10050</v>
      </c>
      <c r="AJ98" t="str">
        <f>IFERROR(IF(V98&lt;&gt;"",_xlfn.XLOOKUP(V98,[1]ModifierDes!$B:$B,[1]ModifierDes!$A:$A,""),""),"")</f>
        <v/>
      </c>
      <c r="AK98" t="str">
        <f>IFERROR(IF(X98&lt;&gt;"",_xlfn.XLOOKUP(X98,[1]ModifierDes!$B:$B,[1]ModifierDes!$A:$A,""),""),"")</f>
        <v/>
      </c>
      <c r="AL98" t="str">
        <f t="shared" si="50"/>
        <v>[0.32]</v>
      </c>
      <c r="AM98" t="str">
        <f t="shared" si="51"/>
        <v>[0.06]</v>
      </c>
      <c r="AN98" t="str">
        <f t="shared" si="52"/>
        <v/>
      </c>
      <c r="AO98" t="str">
        <f t="shared" si="44"/>
        <v/>
      </c>
      <c r="AP98" t="str">
        <f>IFERROR(IF(Z98&lt;&gt;"",_xlfn.XLOOKUP(Z98,[1]StuntDes!$B:$B,[1]StuntDes!$A:$A,""),""),"")</f>
        <v/>
      </c>
      <c r="AQ98" t="str">
        <f>IFERROR(IF(AA98&lt;&gt;"",_xlfn.XLOOKUP(AA98,[1]StuntDes!$B:$B,[1]StuntDes!$A:$A,""),""),"")</f>
        <v/>
      </c>
    </row>
    <row r="99" spans="1:43">
      <c r="A99" s="16">
        <f t="shared" si="26"/>
        <v>61125</v>
      </c>
      <c r="B99" s="17" t="s">
        <v>307</v>
      </c>
      <c r="C99" s="17">
        <v>6112</v>
      </c>
      <c r="D99" s="18">
        <v>5</v>
      </c>
      <c r="E99" s="18"/>
      <c r="F99" s="14"/>
      <c r="G99" s="18" t="str">
        <f t="shared" si="46"/>
        <v>10067|10050</v>
      </c>
      <c r="H99" s="18" t="str">
        <f t="shared" si="43"/>
        <v>[[0.32],[0.11]]</v>
      </c>
      <c r="I99" s="18" t="str">
        <f t="shared" si="47"/>
        <v/>
      </c>
      <c r="J99" s="18" t="str">
        <f t="shared" si="48"/>
        <v>[[10300,0.12]]</v>
      </c>
      <c r="K99" t="str">
        <f>_xlfn.XLOOKUP(C99,Pet!A:A,Pet!E:E)</f>
        <v>SR-法术</v>
      </c>
      <c r="L99" t="s">
        <v>193</v>
      </c>
      <c r="M99">
        <v>0.12</v>
      </c>
      <c r="R99" t="s">
        <v>258</v>
      </c>
      <c r="S99">
        <v>0.32</v>
      </c>
      <c r="T99" t="s">
        <v>209</v>
      </c>
      <c r="U99">
        <v>0.11</v>
      </c>
      <c r="AB99">
        <f>IFERROR(IF(L99&lt;&gt;"",_xlfn.XLOOKUP(L99,[1]AttributeName!$C:$C,[1]AttributeName!$B:$B,""),""),"")</f>
        <v>10300</v>
      </c>
      <c r="AC99" t="str">
        <f>IFERROR(IF(N99&lt;&gt;"",_xlfn.XLOOKUP(N99,[1]AttributeName!$C:$C,[1]AttributeName!$B:$B,""),""),"")</f>
        <v/>
      </c>
      <c r="AD99" t="str">
        <f>IFERROR(IF(P99&lt;&gt;"",_xlfn.XLOOKUP(P99,[1]AttributeName!$C:$C,[1]AttributeName!$B:$B,""),""),"")</f>
        <v/>
      </c>
      <c r="AE99" t="str">
        <f t="shared" si="49"/>
        <v>[10300,0.12]</v>
      </c>
      <c r="AF99" t="str">
        <f t="shared" si="54"/>
        <v/>
      </c>
      <c r="AG99" t="str">
        <f t="shared" si="55"/>
        <v/>
      </c>
      <c r="AH99">
        <f>IFERROR(IF(R99&lt;&gt;"",_xlfn.XLOOKUP(R99,[1]ModifierDes!$B:$B,[1]ModifierDes!$A:$A,""),""),"")</f>
        <v>10067</v>
      </c>
      <c r="AI99">
        <f>IFERROR(IF(T99&lt;&gt;"",_xlfn.XLOOKUP(T99,[1]ModifierDes!$B:$B,[1]ModifierDes!$A:$A,""),""),"")</f>
        <v>10050</v>
      </c>
      <c r="AJ99" t="str">
        <f>IFERROR(IF(V99&lt;&gt;"",_xlfn.XLOOKUP(V99,[1]ModifierDes!$B:$B,[1]ModifierDes!$A:$A,""),""),"")</f>
        <v/>
      </c>
      <c r="AK99" t="str">
        <f>IFERROR(IF(X99&lt;&gt;"",_xlfn.XLOOKUP(X99,[1]ModifierDes!$B:$B,[1]ModifierDes!$A:$A,""),""),"")</f>
        <v/>
      </c>
      <c r="AL99" t="str">
        <f t="shared" si="50"/>
        <v>[0.32]</v>
      </c>
      <c r="AM99" t="str">
        <f t="shared" si="51"/>
        <v>[0.11]</v>
      </c>
      <c r="AN99" t="str">
        <f t="shared" si="52"/>
        <v/>
      </c>
      <c r="AO99" t="str">
        <f t="shared" si="44"/>
        <v/>
      </c>
      <c r="AP99" t="str">
        <f>IFERROR(IF(Z99&lt;&gt;"",_xlfn.XLOOKUP(Z99,[1]StuntDes!$B:$B,[1]StuntDes!$A:$A,""),""),"")</f>
        <v/>
      </c>
      <c r="AQ99" t="str">
        <f>IFERROR(IF(AA99&lt;&gt;"",_xlfn.XLOOKUP(AA99,[1]StuntDes!$B:$B,[1]StuntDes!$A:$A,""),""),"")</f>
        <v/>
      </c>
    </row>
    <row r="100" spans="1:43">
      <c r="A100" s="16">
        <f t="shared" si="26"/>
        <v>70320</v>
      </c>
      <c r="B100" s="17" t="s">
        <v>308</v>
      </c>
      <c r="C100" s="17">
        <v>7032</v>
      </c>
      <c r="D100" s="18">
        <v>0</v>
      </c>
      <c r="E100" s="18" t="str">
        <f t="shared" ref="E100:E104" si="59">"[["&amp;C100+10000&amp;",1]]"</f>
        <v>[[17032,1]]</v>
      </c>
      <c r="F100" s="14"/>
      <c r="G100" s="18" t="str">
        <f t="shared" si="46"/>
        <v>10125</v>
      </c>
      <c r="H100" s="18" t="str">
        <f t="shared" si="43"/>
        <v>[[0.1]]</v>
      </c>
      <c r="I100" s="18" t="str">
        <f t="shared" si="47"/>
        <v/>
      </c>
      <c r="J100" s="18" t="str">
        <f t="shared" si="48"/>
        <v>[[10304,0.05]]</v>
      </c>
      <c r="K100" t="str">
        <f>_xlfn.XLOOKUP(C100,Pet!A:A,Pet!E:E)</f>
        <v>SSR-火焰</v>
      </c>
      <c r="L100" t="s">
        <v>219</v>
      </c>
      <c r="M100">
        <v>0.05</v>
      </c>
      <c r="R100" t="s">
        <v>309</v>
      </c>
      <c r="S100">
        <v>0.1</v>
      </c>
      <c r="AB100">
        <f>IFERROR(IF(L100&lt;&gt;"",_xlfn.XLOOKUP(L100,[1]AttributeName!$C:$C,[1]AttributeName!$B:$B,""),""),"")</f>
        <v>10304</v>
      </c>
      <c r="AC100" t="str">
        <f>IFERROR(IF(N100&lt;&gt;"",_xlfn.XLOOKUP(N100,[1]AttributeName!$C:$C,[1]AttributeName!$B:$B,""),""),"")</f>
        <v/>
      </c>
      <c r="AD100" t="str">
        <f>IFERROR(IF(P100&lt;&gt;"",_xlfn.XLOOKUP(P100,[1]AttributeName!$C:$C,[1]AttributeName!$B:$B,""),""),"")</f>
        <v/>
      </c>
      <c r="AE100" t="str">
        <f t="shared" si="49"/>
        <v>[10304,0.05]</v>
      </c>
      <c r="AF100" t="str">
        <f t="shared" si="54"/>
        <v/>
      </c>
      <c r="AG100" t="str">
        <f t="shared" si="55"/>
        <v/>
      </c>
      <c r="AH100">
        <f>IFERROR(IF(R100&lt;&gt;"",_xlfn.XLOOKUP(R100,[1]ModifierDes!$B:$B,[1]ModifierDes!$A:$A,""),""),"")</f>
        <v>10125</v>
      </c>
      <c r="AI100" t="str">
        <f>IFERROR(IF(T100&lt;&gt;"",_xlfn.XLOOKUP(T100,[1]ModifierDes!$B:$B,[1]ModifierDes!$A:$A,""),""),"")</f>
        <v/>
      </c>
      <c r="AJ100" t="str">
        <f>IFERROR(IF(V100&lt;&gt;"",_xlfn.XLOOKUP(V100,[1]ModifierDes!$B:$B,[1]ModifierDes!$A:$A,""),""),"")</f>
        <v/>
      </c>
      <c r="AK100" t="str">
        <f>IFERROR(IF(X100&lt;&gt;"",_xlfn.XLOOKUP(X100,[1]ModifierDes!$B:$B,[1]ModifierDes!$A:$A,""),""),"")</f>
        <v/>
      </c>
      <c r="AL100" t="str">
        <f t="shared" si="50"/>
        <v>[0.1]</v>
      </c>
      <c r="AM100" t="str">
        <f t="shared" si="51"/>
        <v/>
      </c>
      <c r="AN100" t="str">
        <f t="shared" si="52"/>
        <v/>
      </c>
      <c r="AO100" t="str">
        <f t="shared" si="44"/>
        <v/>
      </c>
      <c r="AP100" t="str">
        <f>IFERROR(IF(Z100&lt;&gt;"",_xlfn.XLOOKUP(Z100,[1]StuntDes!$B:$B,[1]StuntDes!$A:$A,""),""),"")</f>
        <v/>
      </c>
      <c r="AQ100" t="str">
        <f>IFERROR(IF(AA100&lt;&gt;"",_xlfn.XLOOKUP(AA100,[1]StuntDes!$B:$B,[1]StuntDes!$A:$A,""),""),"")</f>
        <v/>
      </c>
    </row>
    <row r="101" spans="1:43">
      <c r="A101" s="16">
        <f t="shared" ref="A101:A164" si="60">C101*10+D101</f>
        <v>70321</v>
      </c>
      <c r="B101" s="17" t="s">
        <v>310</v>
      </c>
      <c r="C101" s="17">
        <v>7032</v>
      </c>
      <c r="D101" s="18">
        <v>1</v>
      </c>
      <c r="E101" s="18" t="str">
        <f t="shared" si="59"/>
        <v>[[17032,1]]</v>
      </c>
      <c r="F101" s="14"/>
      <c r="G101" s="18" t="str">
        <f t="shared" si="46"/>
        <v>10125</v>
      </c>
      <c r="H101" s="18" t="str">
        <f t="shared" ref="H101:H132" si="61">IF(R101="","",_xlfn.CONCAT("[",_xlfn.TEXTJOIN(",",TRUE,AL101:AO101),"]"))</f>
        <v>[[0.15]]</v>
      </c>
      <c r="I101" s="18" t="str">
        <f t="shared" si="47"/>
        <v/>
      </c>
      <c r="J101" s="18" t="str">
        <f t="shared" si="48"/>
        <v>[[10304,0.05],[11007,0.1]]</v>
      </c>
      <c r="K101" t="str">
        <f>_xlfn.XLOOKUP(C101,Pet!A:A,Pet!E:E)</f>
        <v>SSR-火焰</v>
      </c>
      <c r="L101" t="s">
        <v>219</v>
      </c>
      <c r="M101">
        <v>0.05</v>
      </c>
      <c r="N101" t="s">
        <v>220</v>
      </c>
      <c r="O101">
        <v>0.1</v>
      </c>
      <c r="R101" t="s">
        <v>309</v>
      </c>
      <c r="S101">
        <v>0.15</v>
      </c>
      <c r="AB101">
        <f>IFERROR(IF(L101&lt;&gt;"",_xlfn.XLOOKUP(L101,[1]AttributeName!$C:$C,[1]AttributeName!$B:$B,""),""),"")</f>
        <v>10304</v>
      </c>
      <c r="AC101">
        <f>IFERROR(IF(N101&lt;&gt;"",_xlfn.XLOOKUP(N101,[1]AttributeName!$C:$C,[1]AttributeName!$B:$B,""),""),"")</f>
        <v>11007</v>
      </c>
      <c r="AD101" t="str">
        <f>IFERROR(IF(P101&lt;&gt;"",_xlfn.XLOOKUP(P101,[1]AttributeName!$C:$C,[1]AttributeName!$B:$B,""),""),"")</f>
        <v/>
      </c>
      <c r="AE101" t="str">
        <f t="shared" si="49"/>
        <v>[10304,0.05]</v>
      </c>
      <c r="AF101" t="str">
        <f t="shared" si="54"/>
        <v>[11007,0.1]</v>
      </c>
      <c r="AG101" t="str">
        <f t="shared" si="55"/>
        <v/>
      </c>
      <c r="AH101">
        <f>IFERROR(IF(R101&lt;&gt;"",_xlfn.XLOOKUP(R101,[1]ModifierDes!$B:$B,[1]ModifierDes!$A:$A,""),""),"")</f>
        <v>10125</v>
      </c>
      <c r="AI101" t="str">
        <f>IFERROR(IF(T101&lt;&gt;"",_xlfn.XLOOKUP(T101,[1]ModifierDes!$B:$B,[1]ModifierDes!$A:$A,""),""),"")</f>
        <v/>
      </c>
      <c r="AJ101" t="str">
        <f>IFERROR(IF(V101&lt;&gt;"",_xlfn.XLOOKUP(V101,[1]ModifierDes!$B:$B,[1]ModifierDes!$A:$A,""),""),"")</f>
        <v/>
      </c>
      <c r="AK101" t="str">
        <f>IFERROR(IF(X101&lt;&gt;"",_xlfn.XLOOKUP(X101,[1]ModifierDes!$B:$B,[1]ModifierDes!$A:$A,""),""),"")</f>
        <v/>
      </c>
      <c r="AL101" t="str">
        <f t="shared" si="50"/>
        <v>[0.15]</v>
      </c>
      <c r="AM101" t="str">
        <f t="shared" si="51"/>
        <v/>
      </c>
      <c r="AN101" t="str">
        <f t="shared" si="52"/>
        <v/>
      </c>
      <c r="AO101" t="str">
        <f t="shared" ref="AO101:AO132" si="62">IF(Y101="","",_xlfn.CONCAT("[",Y101,"]"))</f>
        <v/>
      </c>
      <c r="AP101" t="str">
        <f>IFERROR(IF(Z101&lt;&gt;"",_xlfn.XLOOKUP(Z101,[1]StuntDes!$B:$B,[1]StuntDes!$A:$A,""),""),"")</f>
        <v/>
      </c>
      <c r="AQ101" t="str">
        <f>IFERROR(IF(AA101&lt;&gt;"",_xlfn.XLOOKUP(AA101,[1]StuntDes!$B:$B,[1]StuntDes!$A:$A,""),""),"")</f>
        <v/>
      </c>
    </row>
    <row r="102" spans="1:43">
      <c r="A102" s="16">
        <f t="shared" si="60"/>
        <v>70322</v>
      </c>
      <c r="B102" s="17" t="s">
        <v>311</v>
      </c>
      <c r="C102" s="17">
        <v>7032</v>
      </c>
      <c r="D102" s="18">
        <v>2</v>
      </c>
      <c r="E102" s="18" t="str">
        <f t="shared" si="59"/>
        <v>[[17032,1]]</v>
      </c>
      <c r="F102" s="14"/>
      <c r="G102" s="18" t="str">
        <f t="shared" si="46"/>
        <v>10125</v>
      </c>
      <c r="H102" s="18" t="str">
        <f t="shared" si="61"/>
        <v>[[0.2]]</v>
      </c>
      <c r="I102" s="18" t="str">
        <f t="shared" si="47"/>
        <v/>
      </c>
      <c r="J102" s="18" t="str">
        <f t="shared" si="48"/>
        <v>[[10304,0.1],[11007,0.1]]</v>
      </c>
      <c r="K102" t="str">
        <f>_xlfn.XLOOKUP(C102,Pet!A:A,Pet!E:E)</f>
        <v>SSR-火焰</v>
      </c>
      <c r="L102" t="s">
        <v>219</v>
      </c>
      <c r="M102">
        <v>0.1</v>
      </c>
      <c r="N102" t="s">
        <v>220</v>
      </c>
      <c r="O102">
        <v>0.1</v>
      </c>
      <c r="R102" t="s">
        <v>309</v>
      </c>
      <c r="S102">
        <v>0.2</v>
      </c>
      <c r="AB102">
        <f>IFERROR(IF(L102&lt;&gt;"",_xlfn.XLOOKUP(L102,[1]AttributeName!$C:$C,[1]AttributeName!$B:$B,""),""),"")</f>
        <v>10304</v>
      </c>
      <c r="AC102">
        <f>IFERROR(IF(N102&lt;&gt;"",_xlfn.XLOOKUP(N102,[1]AttributeName!$C:$C,[1]AttributeName!$B:$B,""),""),"")</f>
        <v>11007</v>
      </c>
      <c r="AD102" t="str">
        <f>IFERROR(IF(P102&lt;&gt;"",_xlfn.XLOOKUP(P102,[1]AttributeName!$C:$C,[1]AttributeName!$B:$B,""),""),"")</f>
        <v/>
      </c>
      <c r="AE102" t="str">
        <f t="shared" si="49"/>
        <v>[10304,0.1]</v>
      </c>
      <c r="AF102" t="str">
        <f t="shared" si="54"/>
        <v>[11007,0.1]</v>
      </c>
      <c r="AG102" t="str">
        <f t="shared" si="55"/>
        <v/>
      </c>
      <c r="AH102">
        <f>IFERROR(IF(R102&lt;&gt;"",_xlfn.XLOOKUP(R102,[1]ModifierDes!$B:$B,[1]ModifierDes!$A:$A,""),""),"")</f>
        <v>10125</v>
      </c>
      <c r="AI102" t="str">
        <f>IFERROR(IF(T102&lt;&gt;"",_xlfn.XLOOKUP(T102,[1]ModifierDes!$B:$B,[1]ModifierDes!$A:$A,""),""),"")</f>
        <v/>
      </c>
      <c r="AJ102" t="str">
        <f>IFERROR(IF(V102&lt;&gt;"",_xlfn.XLOOKUP(V102,[1]ModifierDes!$B:$B,[1]ModifierDes!$A:$A,""),""),"")</f>
        <v/>
      </c>
      <c r="AK102" t="str">
        <f>IFERROR(IF(X102&lt;&gt;"",_xlfn.XLOOKUP(X102,[1]ModifierDes!$B:$B,[1]ModifierDes!$A:$A,""),""),"")</f>
        <v/>
      </c>
      <c r="AL102" t="str">
        <f t="shared" si="50"/>
        <v>[0.2]</v>
      </c>
      <c r="AM102" t="str">
        <f t="shared" si="51"/>
        <v/>
      </c>
      <c r="AN102" t="str">
        <f t="shared" si="52"/>
        <v/>
      </c>
      <c r="AO102" t="str">
        <f t="shared" si="62"/>
        <v/>
      </c>
      <c r="AP102" t="str">
        <f>IFERROR(IF(Z102&lt;&gt;"",_xlfn.XLOOKUP(Z102,[1]StuntDes!$B:$B,[1]StuntDes!$A:$A,""),""),"")</f>
        <v/>
      </c>
      <c r="AQ102" t="str">
        <f>IFERROR(IF(AA102&lt;&gt;"",_xlfn.XLOOKUP(AA102,[1]StuntDes!$B:$B,[1]StuntDes!$A:$A,""),""),"")</f>
        <v/>
      </c>
    </row>
    <row r="103" spans="1:43">
      <c r="A103" s="16">
        <f t="shared" si="60"/>
        <v>70323</v>
      </c>
      <c r="B103" s="17" t="s">
        <v>312</v>
      </c>
      <c r="C103" s="17">
        <v>7032</v>
      </c>
      <c r="D103" s="18">
        <v>3</v>
      </c>
      <c r="E103" s="18" t="str">
        <f t="shared" si="59"/>
        <v>[[17032,1]]</v>
      </c>
      <c r="F103" s="14"/>
      <c r="G103" s="18" t="str">
        <f t="shared" si="46"/>
        <v>10125</v>
      </c>
      <c r="H103" s="18" t="str">
        <f t="shared" si="61"/>
        <v>[[0.2]]</v>
      </c>
      <c r="I103" s="18" t="str">
        <f t="shared" si="47"/>
        <v/>
      </c>
      <c r="J103" s="18" t="str">
        <f t="shared" si="48"/>
        <v>[[10304,0.1],[11007,0.2],[11049,0.07]]</v>
      </c>
      <c r="K103" t="str">
        <f>_xlfn.XLOOKUP(C103,Pet!A:A,Pet!E:E)</f>
        <v>SSR-火焰</v>
      </c>
      <c r="L103" t="s">
        <v>219</v>
      </c>
      <c r="M103">
        <v>0.1</v>
      </c>
      <c r="N103" t="s">
        <v>220</v>
      </c>
      <c r="O103">
        <v>0.2</v>
      </c>
      <c r="P103" t="s">
        <v>313</v>
      </c>
      <c r="Q103">
        <v>0.07</v>
      </c>
      <c r="R103" t="s">
        <v>309</v>
      </c>
      <c r="S103">
        <v>0.2</v>
      </c>
      <c r="AB103">
        <f>IFERROR(IF(L103&lt;&gt;"",_xlfn.XLOOKUP(L103,[1]AttributeName!$C:$C,[1]AttributeName!$B:$B,""),""),"")</f>
        <v>10304</v>
      </c>
      <c r="AC103">
        <f>IFERROR(IF(N103&lt;&gt;"",_xlfn.XLOOKUP(N103,[1]AttributeName!$C:$C,[1]AttributeName!$B:$B,""),""),"")</f>
        <v>11007</v>
      </c>
      <c r="AD103">
        <f>IFERROR(IF(P103&lt;&gt;"",_xlfn.XLOOKUP(P103,[1]AttributeName!$C:$C,[1]AttributeName!$B:$B,""),""),"")</f>
        <v>11049</v>
      </c>
      <c r="AE103" t="str">
        <f t="shared" si="49"/>
        <v>[10304,0.1]</v>
      </c>
      <c r="AF103" t="str">
        <f t="shared" si="54"/>
        <v>[11007,0.2]</v>
      </c>
      <c r="AG103" t="str">
        <f t="shared" si="55"/>
        <v>[11049,0.07]</v>
      </c>
      <c r="AH103">
        <f>IFERROR(IF(R103&lt;&gt;"",_xlfn.XLOOKUP(R103,[1]ModifierDes!$B:$B,[1]ModifierDes!$A:$A,""),""),"")</f>
        <v>10125</v>
      </c>
      <c r="AI103" t="str">
        <f>IFERROR(IF(T103&lt;&gt;"",_xlfn.XLOOKUP(T103,[1]ModifierDes!$B:$B,[1]ModifierDes!$A:$A,""),""),"")</f>
        <v/>
      </c>
      <c r="AJ103" t="str">
        <f>IFERROR(IF(V103&lt;&gt;"",_xlfn.XLOOKUP(V103,[1]ModifierDes!$B:$B,[1]ModifierDes!$A:$A,""),""),"")</f>
        <v/>
      </c>
      <c r="AK103" t="str">
        <f>IFERROR(IF(X103&lt;&gt;"",_xlfn.XLOOKUP(X103,[1]ModifierDes!$B:$B,[1]ModifierDes!$A:$A,""),""),"")</f>
        <v/>
      </c>
      <c r="AL103" t="str">
        <f t="shared" si="50"/>
        <v>[0.2]</v>
      </c>
      <c r="AM103" t="str">
        <f t="shared" si="51"/>
        <v/>
      </c>
      <c r="AN103" t="str">
        <f t="shared" si="52"/>
        <v/>
      </c>
      <c r="AO103" t="str">
        <f t="shared" si="62"/>
        <v/>
      </c>
      <c r="AP103" t="str">
        <f>IFERROR(IF(Z103&lt;&gt;"",_xlfn.XLOOKUP(Z103,[1]StuntDes!$B:$B,[1]StuntDes!$A:$A,""),""),"")</f>
        <v/>
      </c>
      <c r="AQ103" t="str">
        <f>IFERROR(IF(AA103&lt;&gt;"",_xlfn.XLOOKUP(AA103,[1]StuntDes!$B:$B,[1]StuntDes!$A:$A,""),""),"")</f>
        <v/>
      </c>
    </row>
    <row r="104" spans="1:43">
      <c r="A104" s="16">
        <f t="shared" si="60"/>
        <v>70324</v>
      </c>
      <c r="B104" s="17" t="s">
        <v>314</v>
      </c>
      <c r="C104" s="17">
        <v>7032</v>
      </c>
      <c r="D104" s="18">
        <v>4</v>
      </c>
      <c r="E104" s="18" t="str">
        <f t="shared" si="59"/>
        <v>[[17032,1]]</v>
      </c>
      <c r="F104" s="14"/>
      <c r="G104" s="18" t="str">
        <f t="shared" si="46"/>
        <v>10125</v>
      </c>
      <c r="H104" s="18" t="str">
        <f t="shared" si="61"/>
        <v>[[0.29]]</v>
      </c>
      <c r="I104" s="18" t="str">
        <f t="shared" si="47"/>
        <v/>
      </c>
      <c r="J104" s="18" t="str">
        <f t="shared" si="48"/>
        <v>[[10304,0.15],[11007,0.2],[11049,0.07]]</v>
      </c>
      <c r="K104" t="str">
        <f>_xlfn.XLOOKUP(C104,Pet!A:A,Pet!E:E)</f>
        <v>SSR-火焰</v>
      </c>
      <c r="L104" t="s">
        <v>219</v>
      </c>
      <c r="M104">
        <v>0.15</v>
      </c>
      <c r="N104" t="s">
        <v>220</v>
      </c>
      <c r="O104">
        <v>0.2</v>
      </c>
      <c r="P104" t="s">
        <v>313</v>
      </c>
      <c r="Q104">
        <v>0.07</v>
      </c>
      <c r="R104" t="s">
        <v>309</v>
      </c>
      <c r="S104">
        <v>0.29</v>
      </c>
      <c r="AB104">
        <f>IFERROR(IF(L104&lt;&gt;"",_xlfn.XLOOKUP(L104,[1]AttributeName!$C:$C,[1]AttributeName!$B:$B,""),""),"")</f>
        <v>10304</v>
      </c>
      <c r="AC104">
        <f>IFERROR(IF(N104&lt;&gt;"",_xlfn.XLOOKUP(N104,[1]AttributeName!$C:$C,[1]AttributeName!$B:$B,""),""),"")</f>
        <v>11007</v>
      </c>
      <c r="AD104">
        <f>IFERROR(IF(P104&lt;&gt;"",_xlfn.XLOOKUP(P104,[1]AttributeName!$C:$C,[1]AttributeName!$B:$B,""),""),"")</f>
        <v>11049</v>
      </c>
      <c r="AE104" t="str">
        <f t="shared" si="49"/>
        <v>[10304,0.15]</v>
      </c>
      <c r="AF104" t="str">
        <f t="shared" si="54"/>
        <v>[11007,0.2]</v>
      </c>
      <c r="AG104" t="str">
        <f t="shared" si="55"/>
        <v>[11049,0.07]</v>
      </c>
      <c r="AH104">
        <f>IFERROR(IF(R104&lt;&gt;"",_xlfn.XLOOKUP(R104,[1]ModifierDes!$B:$B,[1]ModifierDes!$A:$A,""),""),"")</f>
        <v>10125</v>
      </c>
      <c r="AI104" t="str">
        <f>IFERROR(IF(T104&lt;&gt;"",_xlfn.XLOOKUP(T104,[1]ModifierDes!$B:$B,[1]ModifierDes!$A:$A,""),""),"")</f>
        <v/>
      </c>
      <c r="AJ104" t="str">
        <f>IFERROR(IF(V104&lt;&gt;"",_xlfn.XLOOKUP(V104,[1]ModifierDes!$B:$B,[1]ModifierDes!$A:$A,""),""),"")</f>
        <v/>
      </c>
      <c r="AK104" t="str">
        <f>IFERROR(IF(X104&lt;&gt;"",_xlfn.XLOOKUP(X104,[1]ModifierDes!$B:$B,[1]ModifierDes!$A:$A,""),""),"")</f>
        <v/>
      </c>
      <c r="AL104" t="str">
        <f t="shared" si="50"/>
        <v>[0.29]</v>
      </c>
      <c r="AM104" t="str">
        <f t="shared" si="51"/>
        <v/>
      </c>
      <c r="AN104" t="str">
        <f t="shared" si="52"/>
        <v/>
      </c>
      <c r="AO104" t="str">
        <f t="shared" si="62"/>
        <v/>
      </c>
      <c r="AP104" t="str">
        <f>IFERROR(IF(Z104&lt;&gt;"",_xlfn.XLOOKUP(Z104,[1]StuntDes!$B:$B,[1]StuntDes!$A:$A,""),""),"")</f>
        <v/>
      </c>
      <c r="AQ104" t="str">
        <f>IFERROR(IF(AA104&lt;&gt;"",_xlfn.XLOOKUP(AA104,[1]StuntDes!$B:$B,[1]StuntDes!$A:$A,""),""),"")</f>
        <v/>
      </c>
    </row>
    <row r="105" spans="1:43">
      <c r="A105" s="16">
        <f t="shared" si="60"/>
        <v>70325</v>
      </c>
      <c r="B105" s="17" t="s">
        <v>315</v>
      </c>
      <c r="C105" s="17">
        <v>7032</v>
      </c>
      <c r="D105" s="18">
        <v>5</v>
      </c>
      <c r="E105" s="18"/>
      <c r="F105" s="14"/>
      <c r="G105" s="18" t="str">
        <f t="shared" si="46"/>
        <v>10125</v>
      </c>
      <c r="H105" s="18" t="str">
        <f t="shared" si="61"/>
        <v>[[0.29]]</v>
      </c>
      <c r="I105" s="18" t="str">
        <f t="shared" si="47"/>
        <v>2140000100</v>
      </c>
      <c r="J105" s="18" t="str">
        <f t="shared" si="48"/>
        <v>[[10304,0.15],[11007,0.3],[11049,0.07]]</v>
      </c>
      <c r="K105" t="str">
        <f>_xlfn.XLOOKUP(C105,Pet!A:A,Pet!E:E)</f>
        <v>SSR-火焰</v>
      </c>
      <c r="L105" t="s">
        <v>219</v>
      </c>
      <c r="M105">
        <v>0.15</v>
      </c>
      <c r="N105" t="s">
        <v>220</v>
      </c>
      <c r="O105">
        <v>0.3</v>
      </c>
      <c r="P105" t="s">
        <v>313</v>
      </c>
      <c r="Q105">
        <v>0.07</v>
      </c>
      <c r="R105" t="s">
        <v>309</v>
      </c>
      <c r="S105">
        <v>0.29</v>
      </c>
      <c r="Z105" t="s">
        <v>316</v>
      </c>
      <c r="AB105">
        <f>IFERROR(IF(L105&lt;&gt;"",_xlfn.XLOOKUP(L105,[1]AttributeName!$C:$C,[1]AttributeName!$B:$B,""),""),"")</f>
        <v>10304</v>
      </c>
      <c r="AC105">
        <f>IFERROR(IF(N105&lt;&gt;"",_xlfn.XLOOKUP(N105,[1]AttributeName!$C:$C,[1]AttributeName!$B:$B,""),""),"")</f>
        <v>11007</v>
      </c>
      <c r="AD105">
        <f>IFERROR(IF(P105&lt;&gt;"",_xlfn.XLOOKUP(P105,[1]AttributeName!$C:$C,[1]AttributeName!$B:$B,""),""),"")</f>
        <v>11049</v>
      </c>
      <c r="AE105" t="str">
        <f t="shared" si="49"/>
        <v>[10304,0.15]</v>
      </c>
      <c r="AF105" t="str">
        <f t="shared" si="54"/>
        <v>[11007,0.3]</v>
      </c>
      <c r="AG105" t="str">
        <f t="shared" si="55"/>
        <v>[11049,0.07]</v>
      </c>
      <c r="AH105">
        <f>IFERROR(IF(R105&lt;&gt;"",_xlfn.XLOOKUP(R105,[1]ModifierDes!$B:$B,[1]ModifierDes!$A:$A,""),""),"")</f>
        <v>10125</v>
      </c>
      <c r="AI105" t="str">
        <f>IFERROR(IF(T105&lt;&gt;"",_xlfn.XLOOKUP(T105,[1]ModifierDes!$B:$B,[1]ModifierDes!$A:$A,""),""),"")</f>
        <v/>
      </c>
      <c r="AJ105" t="str">
        <f>IFERROR(IF(V105&lt;&gt;"",_xlfn.XLOOKUP(V105,[1]ModifierDes!$B:$B,[1]ModifierDes!$A:$A,""),""),"")</f>
        <v/>
      </c>
      <c r="AK105" t="str">
        <f>IFERROR(IF(X105&lt;&gt;"",_xlfn.XLOOKUP(X105,[1]ModifierDes!$B:$B,[1]ModifierDes!$A:$A,""),""),"")</f>
        <v/>
      </c>
      <c r="AL105" t="str">
        <f t="shared" si="50"/>
        <v>[0.29]</v>
      </c>
      <c r="AM105" t="str">
        <f t="shared" si="51"/>
        <v/>
      </c>
      <c r="AN105" t="str">
        <f t="shared" si="52"/>
        <v/>
      </c>
      <c r="AO105" t="str">
        <f t="shared" si="62"/>
        <v/>
      </c>
      <c r="AP105">
        <f>IFERROR(IF(Z105&lt;&gt;"",_xlfn.XLOOKUP(Z105,[1]StuntDes!$B:$B,[1]StuntDes!$A:$A,""),""),"")</f>
        <v>2140000100</v>
      </c>
      <c r="AQ105" t="str">
        <f>IFERROR(IF(AA105&lt;&gt;"",_xlfn.XLOOKUP(AA105,[1]StuntDes!$B:$B,[1]StuntDes!$A:$A,""),""),"")</f>
        <v/>
      </c>
    </row>
    <row r="106" spans="1:43">
      <c r="A106" s="16">
        <f t="shared" si="60"/>
        <v>70520</v>
      </c>
      <c r="B106" s="17" t="s">
        <v>317</v>
      </c>
      <c r="C106" s="17">
        <v>7052</v>
      </c>
      <c r="D106" s="18">
        <v>0</v>
      </c>
      <c r="E106" s="18" t="str">
        <f t="shared" ref="E106:E110" si="63">"[["&amp;C106+10000&amp;",1]]"</f>
        <v>[[17052,1]]</v>
      </c>
      <c r="F106" s="14"/>
      <c r="G106" s="18" t="str">
        <f t="shared" ref="G106:G137" si="64">_xlfn.TEXTJOIN("|",TRUE,AH106:AJ106)</f>
        <v>10127</v>
      </c>
      <c r="H106" s="18" t="str">
        <f t="shared" si="61"/>
        <v>[[0.1]]</v>
      </c>
      <c r="I106" s="18" t="str">
        <f t="shared" ref="I106:I137" si="65">_xlfn.TEXTJOIN("|",TRUE,AP106:AQ106)</f>
        <v/>
      </c>
      <c r="J106" s="18" t="str">
        <f t="shared" ref="J106:J137" si="66">IF(AB106="","",_xlfn.CONCAT("[",_xlfn.TEXTJOIN(",",TRUE,AE106:AG106),"]"))</f>
        <v>[[10306,0.05]]</v>
      </c>
      <c r="K106" t="str">
        <f>_xlfn.XLOOKUP(C106,Pet!A:A,Pet!E:E)</f>
        <v>SSR-闪电</v>
      </c>
      <c r="L106" t="s">
        <v>188</v>
      </c>
      <c r="M106">
        <v>0.05</v>
      </c>
      <c r="R106" t="s">
        <v>210</v>
      </c>
      <c r="S106">
        <v>0.1</v>
      </c>
      <c r="AB106">
        <f>IFERROR(IF(L106&lt;&gt;"",_xlfn.XLOOKUP(L106,[1]AttributeName!$C:$C,[1]AttributeName!$B:$B,""),""),"")</f>
        <v>10306</v>
      </c>
      <c r="AC106" t="str">
        <f>IFERROR(IF(N106&lt;&gt;"",_xlfn.XLOOKUP(N106,[1]AttributeName!$C:$C,[1]AttributeName!$B:$B,""),""),"")</f>
        <v/>
      </c>
      <c r="AD106" t="str">
        <f>IFERROR(IF(P106&lt;&gt;"",_xlfn.XLOOKUP(P106,[1]AttributeName!$C:$C,[1]AttributeName!$B:$B,""),""),"")</f>
        <v/>
      </c>
      <c r="AE106" t="str">
        <f t="shared" ref="AE106:AE137" si="67">IF(AB106="","",_xlfn.CONCAT("[",AB106,",",M106,"]"))</f>
        <v>[10306,0.05]</v>
      </c>
      <c r="AF106" t="str">
        <f t="shared" si="54"/>
        <v/>
      </c>
      <c r="AG106" t="str">
        <f t="shared" si="55"/>
        <v/>
      </c>
      <c r="AH106">
        <f>IFERROR(IF(R106&lt;&gt;"",_xlfn.XLOOKUP(R106,[1]ModifierDes!$B:$B,[1]ModifierDes!$A:$A,""),""),"")</f>
        <v>10127</v>
      </c>
      <c r="AI106" t="str">
        <f>IFERROR(IF(T106&lt;&gt;"",_xlfn.XLOOKUP(T106,[1]ModifierDes!$B:$B,[1]ModifierDes!$A:$A,""),""),"")</f>
        <v/>
      </c>
      <c r="AJ106" t="str">
        <f>IFERROR(IF(V106&lt;&gt;"",_xlfn.XLOOKUP(V106,[1]ModifierDes!$B:$B,[1]ModifierDes!$A:$A,""),""),"")</f>
        <v/>
      </c>
      <c r="AK106" t="str">
        <f>IFERROR(IF(X106&lt;&gt;"",_xlfn.XLOOKUP(X106,[1]ModifierDes!$B:$B,[1]ModifierDes!$A:$A,""),""),"")</f>
        <v/>
      </c>
      <c r="AL106" t="str">
        <f t="shared" ref="AL106:AL137" si="68">IF(S106="","",_xlfn.CONCAT("[",S106,"]"))</f>
        <v>[0.1]</v>
      </c>
      <c r="AM106" t="str">
        <f t="shared" ref="AM106:AM137" si="69">IF(U106="","",_xlfn.CONCAT("[",U106,"]"))</f>
        <v/>
      </c>
      <c r="AN106" t="str">
        <f t="shared" ref="AN106:AN137" si="70">IF(W106="","",_xlfn.CONCAT("[",W106,"]"))</f>
        <v/>
      </c>
      <c r="AO106" t="str">
        <f t="shared" si="62"/>
        <v/>
      </c>
      <c r="AP106" t="str">
        <f>IFERROR(IF(Z106&lt;&gt;"",_xlfn.XLOOKUP(Z106,[1]StuntDes!$B:$B,[1]StuntDes!$A:$A,""),""),"")</f>
        <v/>
      </c>
      <c r="AQ106" t="str">
        <f>IFERROR(IF(AA106&lt;&gt;"",_xlfn.XLOOKUP(AA106,[1]StuntDes!$B:$B,[1]StuntDes!$A:$A,""),""),"")</f>
        <v/>
      </c>
    </row>
    <row r="107" spans="1:43">
      <c r="A107" s="16">
        <f t="shared" si="60"/>
        <v>70521</v>
      </c>
      <c r="B107" s="17" t="s">
        <v>318</v>
      </c>
      <c r="C107" s="17">
        <v>7052</v>
      </c>
      <c r="D107" s="18">
        <v>1</v>
      </c>
      <c r="E107" s="18" t="str">
        <f t="shared" si="63"/>
        <v>[[17052,1]]</v>
      </c>
      <c r="F107" s="14"/>
      <c r="G107" s="18" t="str">
        <f t="shared" si="64"/>
        <v>10127</v>
      </c>
      <c r="H107" s="18" t="str">
        <f t="shared" si="61"/>
        <v>[[0.15]]</v>
      </c>
      <c r="I107" s="18" t="str">
        <f t="shared" si="65"/>
        <v/>
      </c>
      <c r="J107" s="18" t="str">
        <f t="shared" si="66"/>
        <v>[[10306,0.05],[11010,0.1]]</v>
      </c>
      <c r="K107" t="str">
        <f>_xlfn.XLOOKUP(C107,Pet!A:A,Pet!E:E)</f>
        <v>SSR-闪电</v>
      </c>
      <c r="L107" t="s">
        <v>188</v>
      </c>
      <c r="M107">
        <v>0.05</v>
      </c>
      <c r="N107" t="s">
        <v>189</v>
      </c>
      <c r="O107">
        <v>0.1</v>
      </c>
      <c r="R107" t="s">
        <v>210</v>
      </c>
      <c r="S107">
        <v>0.15</v>
      </c>
      <c r="AB107">
        <f>IFERROR(IF(L107&lt;&gt;"",_xlfn.XLOOKUP(L107,[1]AttributeName!$C:$C,[1]AttributeName!$B:$B,""),""),"")</f>
        <v>10306</v>
      </c>
      <c r="AC107">
        <f>IFERROR(IF(N107&lt;&gt;"",_xlfn.XLOOKUP(N107,[1]AttributeName!$C:$C,[1]AttributeName!$B:$B,""),""),"")</f>
        <v>11010</v>
      </c>
      <c r="AD107" t="str">
        <f>IFERROR(IF(P107&lt;&gt;"",_xlfn.XLOOKUP(P107,[1]AttributeName!$C:$C,[1]AttributeName!$B:$B,""),""),"")</f>
        <v/>
      </c>
      <c r="AE107" t="str">
        <f t="shared" si="67"/>
        <v>[10306,0.05]</v>
      </c>
      <c r="AF107" t="str">
        <f t="shared" si="54"/>
        <v>[11010,0.1]</v>
      </c>
      <c r="AG107" t="str">
        <f t="shared" si="55"/>
        <v/>
      </c>
      <c r="AH107">
        <f>IFERROR(IF(R107&lt;&gt;"",_xlfn.XLOOKUP(R107,[1]ModifierDes!$B:$B,[1]ModifierDes!$A:$A,""),""),"")</f>
        <v>10127</v>
      </c>
      <c r="AI107" t="str">
        <f>IFERROR(IF(T107&lt;&gt;"",_xlfn.XLOOKUP(T107,[1]ModifierDes!$B:$B,[1]ModifierDes!$A:$A,""),""),"")</f>
        <v/>
      </c>
      <c r="AJ107" t="str">
        <f>IFERROR(IF(V107&lt;&gt;"",_xlfn.XLOOKUP(V107,[1]ModifierDes!$B:$B,[1]ModifierDes!$A:$A,""),""),"")</f>
        <v/>
      </c>
      <c r="AK107" t="str">
        <f>IFERROR(IF(X107&lt;&gt;"",_xlfn.XLOOKUP(X107,[1]ModifierDes!$B:$B,[1]ModifierDes!$A:$A,""),""),"")</f>
        <v/>
      </c>
      <c r="AL107" t="str">
        <f t="shared" si="68"/>
        <v>[0.15]</v>
      </c>
      <c r="AM107" t="str">
        <f t="shared" si="69"/>
        <v/>
      </c>
      <c r="AN107" t="str">
        <f t="shared" si="70"/>
        <v/>
      </c>
      <c r="AO107" t="str">
        <f t="shared" si="62"/>
        <v/>
      </c>
      <c r="AP107" t="str">
        <f>IFERROR(IF(Z107&lt;&gt;"",_xlfn.XLOOKUP(Z107,[1]StuntDes!$B:$B,[1]StuntDes!$A:$A,""),""),"")</f>
        <v/>
      </c>
      <c r="AQ107" t="str">
        <f>IFERROR(IF(AA107&lt;&gt;"",_xlfn.XLOOKUP(AA107,[1]StuntDes!$B:$B,[1]StuntDes!$A:$A,""),""),"")</f>
        <v/>
      </c>
    </row>
    <row r="108" spans="1:43">
      <c r="A108" s="16">
        <f t="shared" si="60"/>
        <v>70522</v>
      </c>
      <c r="B108" s="17" t="s">
        <v>319</v>
      </c>
      <c r="C108" s="17">
        <v>7052</v>
      </c>
      <c r="D108" s="18">
        <v>2</v>
      </c>
      <c r="E108" s="18" t="str">
        <f t="shared" si="63"/>
        <v>[[17052,1]]</v>
      </c>
      <c r="F108" s="14"/>
      <c r="G108" s="18" t="str">
        <f t="shared" si="64"/>
        <v>10127</v>
      </c>
      <c r="H108" s="18" t="str">
        <f t="shared" si="61"/>
        <v>[[0.2]]</v>
      </c>
      <c r="I108" s="18" t="str">
        <f t="shared" si="65"/>
        <v/>
      </c>
      <c r="J108" s="18" t="str">
        <f t="shared" si="66"/>
        <v>[[10306,0.1],[11010,0.1]]</v>
      </c>
      <c r="K108" t="str">
        <f>_xlfn.XLOOKUP(C108,Pet!A:A,Pet!E:E)</f>
        <v>SSR-闪电</v>
      </c>
      <c r="L108" t="s">
        <v>188</v>
      </c>
      <c r="M108">
        <v>0.1</v>
      </c>
      <c r="N108" t="s">
        <v>189</v>
      </c>
      <c r="O108">
        <v>0.1</v>
      </c>
      <c r="R108" t="s">
        <v>210</v>
      </c>
      <c r="S108">
        <v>0.2</v>
      </c>
      <c r="AB108">
        <f>IFERROR(IF(L108&lt;&gt;"",_xlfn.XLOOKUP(L108,[1]AttributeName!$C:$C,[1]AttributeName!$B:$B,""),""),"")</f>
        <v>10306</v>
      </c>
      <c r="AC108">
        <f>IFERROR(IF(N108&lt;&gt;"",_xlfn.XLOOKUP(N108,[1]AttributeName!$C:$C,[1]AttributeName!$B:$B,""),""),"")</f>
        <v>11010</v>
      </c>
      <c r="AD108" t="str">
        <f>IFERROR(IF(P108&lt;&gt;"",_xlfn.XLOOKUP(P108,[1]AttributeName!$C:$C,[1]AttributeName!$B:$B,""),""),"")</f>
        <v/>
      </c>
      <c r="AE108" t="str">
        <f t="shared" si="67"/>
        <v>[10306,0.1]</v>
      </c>
      <c r="AF108" t="str">
        <f t="shared" si="54"/>
        <v>[11010,0.1]</v>
      </c>
      <c r="AG108" t="str">
        <f t="shared" si="55"/>
        <v/>
      </c>
      <c r="AH108">
        <f>IFERROR(IF(R108&lt;&gt;"",_xlfn.XLOOKUP(R108,[1]ModifierDes!$B:$B,[1]ModifierDes!$A:$A,""),""),"")</f>
        <v>10127</v>
      </c>
      <c r="AI108" t="str">
        <f>IFERROR(IF(T108&lt;&gt;"",_xlfn.XLOOKUP(T108,[1]ModifierDes!$B:$B,[1]ModifierDes!$A:$A,""),""),"")</f>
        <v/>
      </c>
      <c r="AJ108" t="str">
        <f>IFERROR(IF(V108&lt;&gt;"",_xlfn.XLOOKUP(V108,[1]ModifierDes!$B:$B,[1]ModifierDes!$A:$A,""),""),"")</f>
        <v/>
      </c>
      <c r="AK108" t="str">
        <f>IFERROR(IF(X108&lt;&gt;"",_xlfn.XLOOKUP(X108,[1]ModifierDes!$B:$B,[1]ModifierDes!$A:$A,""),""),"")</f>
        <v/>
      </c>
      <c r="AL108" t="str">
        <f t="shared" si="68"/>
        <v>[0.2]</v>
      </c>
      <c r="AM108" t="str">
        <f t="shared" si="69"/>
        <v/>
      </c>
      <c r="AN108" t="str">
        <f t="shared" si="70"/>
        <v/>
      </c>
      <c r="AO108" t="str">
        <f t="shared" si="62"/>
        <v/>
      </c>
      <c r="AP108" t="str">
        <f>IFERROR(IF(Z108&lt;&gt;"",_xlfn.XLOOKUP(Z108,[1]StuntDes!$B:$B,[1]StuntDes!$A:$A,""),""),"")</f>
        <v/>
      </c>
      <c r="AQ108" t="str">
        <f>IFERROR(IF(AA108&lt;&gt;"",_xlfn.XLOOKUP(AA108,[1]StuntDes!$B:$B,[1]StuntDes!$A:$A,""),""),"")</f>
        <v/>
      </c>
    </row>
    <row r="109" spans="1:43">
      <c r="A109" s="16">
        <f t="shared" si="60"/>
        <v>70523</v>
      </c>
      <c r="B109" s="17" t="s">
        <v>320</v>
      </c>
      <c r="C109" s="17">
        <v>7052</v>
      </c>
      <c r="D109" s="18">
        <v>3</v>
      </c>
      <c r="E109" s="18" t="str">
        <f t="shared" si="63"/>
        <v>[[17052,1]]</v>
      </c>
      <c r="F109" s="14"/>
      <c r="G109" s="18" t="str">
        <f t="shared" si="64"/>
        <v>10127</v>
      </c>
      <c r="H109" s="18" t="str">
        <f t="shared" si="61"/>
        <v>[[0.2]]</v>
      </c>
      <c r="I109" s="18" t="str">
        <f t="shared" si="65"/>
        <v/>
      </c>
      <c r="J109" s="18" t="str">
        <f t="shared" si="66"/>
        <v>[[10306,0.1],[11010,0.2],[11051,0.07]]</v>
      </c>
      <c r="K109" t="str">
        <f>_xlfn.XLOOKUP(C109,Pet!A:A,Pet!E:E)</f>
        <v>SSR-闪电</v>
      </c>
      <c r="L109" t="s">
        <v>188</v>
      </c>
      <c r="M109">
        <v>0.1</v>
      </c>
      <c r="N109" t="s">
        <v>189</v>
      </c>
      <c r="O109">
        <v>0.2</v>
      </c>
      <c r="P109" t="s">
        <v>321</v>
      </c>
      <c r="Q109">
        <v>0.07</v>
      </c>
      <c r="R109" t="s">
        <v>210</v>
      </c>
      <c r="S109">
        <v>0.2</v>
      </c>
      <c r="AB109">
        <f>IFERROR(IF(L109&lt;&gt;"",_xlfn.XLOOKUP(L109,[1]AttributeName!$C:$C,[1]AttributeName!$B:$B,""),""),"")</f>
        <v>10306</v>
      </c>
      <c r="AC109">
        <f>IFERROR(IF(N109&lt;&gt;"",_xlfn.XLOOKUP(N109,[1]AttributeName!$C:$C,[1]AttributeName!$B:$B,""),""),"")</f>
        <v>11010</v>
      </c>
      <c r="AD109">
        <f>IFERROR(IF(P109&lt;&gt;"",_xlfn.XLOOKUP(P109,[1]AttributeName!$C:$C,[1]AttributeName!$B:$B,""),""),"")</f>
        <v>11051</v>
      </c>
      <c r="AE109" t="str">
        <f t="shared" si="67"/>
        <v>[10306,0.1]</v>
      </c>
      <c r="AF109" t="str">
        <f t="shared" si="54"/>
        <v>[11010,0.2]</v>
      </c>
      <c r="AG109" t="str">
        <f t="shared" si="55"/>
        <v>[11051,0.07]</v>
      </c>
      <c r="AH109">
        <f>IFERROR(IF(R109&lt;&gt;"",_xlfn.XLOOKUP(R109,[1]ModifierDes!$B:$B,[1]ModifierDes!$A:$A,""),""),"")</f>
        <v>10127</v>
      </c>
      <c r="AI109" t="str">
        <f>IFERROR(IF(T109&lt;&gt;"",_xlfn.XLOOKUP(T109,[1]ModifierDes!$B:$B,[1]ModifierDes!$A:$A,""),""),"")</f>
        <v/>
      </c>
      <c r="AJ109" t="str">
        <f>IFERROR(IF(V109&lt;&gt;"",_xlfn.XLOOKUP(V109,[1]ModifierDes!$B:$B,[1]ModifierDes!$A:$A,""),""),"")</f>
        <v/>
      </c>
      <c r="AK109" t="str">
        <f>IFERROR(IF(X109&lt;&gt;"",_xlfn.XLOOKUP(X109,[1]ModifierDes!$B:$B,[1]ModifierDes!$A:$A,""),""),"")</f>
        <v/>
      </c>
      <c r="AL109" t="str">
        <f t="shared" si="68"/>
        <v>[0.2]</v>
      </c>
      <c r="AM109" t="str">
        <f t="shared" si="69"/>
        <v/>
      </c>
      <c r="AN109" t="str">
        <f t="shared" si="70"/>
        <v/>
      </c>
      <c r="AO109" t="str">
        <f t="shared" si="62"/>
        <v/>
      </c>
      <c r="AP109" t="str">
        <f>IFERROR(IF(Z109&lt;&gt;"",_xlfn.XLOOKUP(Z109,[1]StuntDes!$B:$B,[1]StuntDes!$A:$A,""),""),"")</f>
        <v/>
      </c>
      <c r="AQ109" t="str">
        <f>IFERROR(IF(AA109&lt;&gt;"",_xlfn.XLOOKUP(AA109,[1]StuntDes!$B:$B,[1]StuntDes!$A:$A,""),""),"")</f>
        <v/>
      </c>
    </row>
    <row r="110" spans="1:43">
      <c r="A110" s="16">
        <f t="shared" si="60"/>
        <v>70524</v>
      </c>
      <c r="B110" s="17" t="s">
        <v>322</v>
      </c>
      <c r="C110" s="17">
        <v>7052</v>
      </c>
      <c r="D110" s="18">
        <v>4</v>
      </c>
      <c r="E110" s="18" t="str">
        <f t="shared" si="63"/>
        <v>[[17052,1]]</v>
      </c>
      <c r="F110" s="14"/>
      <c r="G110" s="18" t="str">
        <f t="shared" si="64"/>
        <v>10127</v>
      </c>
      <c r="H110" s="18" t="str">
        <f t="shared" si="61"/>
        <v>[[0.3]]</v>
      </c>
      <c r="I110" s="18" t="str">
        <f t="shared" si="65"/>
        <v/>
      </c>
      <c r="J110" s="18" t="str">
        <f t="shared" si="66"/>
        <v>[[10306,0.15],[11010,0.2],[11051,0.07]]</v>
      </c>
      <c r="K110" t="str">
        <f>_xlfn.XLOOKUP(C110,Pet!A:A,Pet!E:E)</f>
        <v>SSR-闪电</v>
      </c>
      <c r="L110" t="s">
        <v>188</v>
      </c>
      <c r="M110">
        <v>0.15</v>
      </c>
      <c r="N110" t="s">
        <v>189</v>
      </c>
      <c r="O110">
        <v>0.2</v>
      </c>
      <c r="P110" t="s">
        <v>321</v>
      </c>
      <c r="Q110">
        <v>0.07</v>
      </c>
      <c r="R110" t="s">
        <v>210</v>
      </c>
      <c r="S110">
        <v>0.3</v>
      </c>
      <c r="AB110">
        <f>IFERROR(IF(L110&lt;&gt;"",_xlfn.XLOOKUP(L110,[1]AttributeName!$C:$C,[1]AttributeName!$B:$B,""),""),"")</f>
        <v>10306</v>
      </c>
      <c r="AC110">
        <f>IFERROR(IF(N110&lt;&gt;"",_xlfn.XLOOKUP(N110,[1]AttributeName!$C:$C,[1]AttributeName!$B:$B,""),""),"")</f>
        <v>11010</v>
      </c>
      <c r="AD110">
        <f>IFERROR(IF(P110&lt;&gt;"",_xlfn.XLOOKUP(P110,[1]AttributeName!$C:$C,[1]AttributeName!$B:$B,""),""),"")</f>
        <v>11051</v>
      </c>
      <c r="AE110" t="str">
        <f t="shared" si="67"/>
        <v>[10306,0.15]</v>
      </c>
      <c r="AF110" t="str">
        <f t="shared" ref="AF110:AF141" si="71">IF(AC110="","",_xlfn.CONCAT("[",AC110,",",O110,"]"))</f>
        <v>[11010,0.2]</v>
      </c>
      <c r="AG110" t="str">
        <f t="shared" ref="AG110:AG141" si="72">IF(AD110="","",_xlfn.CONCAT("[",AD110,",",Q110,"]"))</f>
        <v>[11051,0.07]</v>
      </c>
      <c r="AH110">
        <f>IFERROR(IF(R110&lt;&gt;"",_xlfn.XLOOKUP(R110,[1]ModifierDes!$B:$B,[1]ModifierDes!$A:$A,""),""),"")</f>
        <v>10127</v>
      </c>
      <c r="AI110" t="str">
        <f>IFERROR(IF(T110&lt;&gt;"",_xlfn.XLOOKUP(T110,[1]ModifierDes!$B:$B,[1]ModifierDes!$A:$A,""),""),"")</f>
        <v/>
      </c>
      <c r="AJ110" t="str">
        <f>IFERROR(IF(V110&lt;&gt;"",_xlfn.XLOOKUP(V110,[1]ModifierDes!$B:$B,[1]ModifierDes!$A:$A,""),""),"")</f>
        <v/>
      </c>
      <c r="AK110" t="str">
        <f>IFERROR(IF(X110&lt;&gt;"",_xlfn.XLOOKUP(X110,[1]ModifierDes!$B:$B,[1]ModifierDes!$A:$A,""),""),"")</f>
        <v/>
      </c>
      <c r="AL110" t="str">
        <f t="shared" si="68"/>
        <v>[0.3]</v>
      </c>
      <c r="AM110" t="str">
        <f t="shared" si="69"/>
        <v/>
      </c>
      <c r="AN110" t="str">
        <f t="shared" si="70"/>
        <v/>
      </c>
      <c r="AO110" t="str">
        <f t="shared" si="62"/>
        <v/>
      </c>
      <c r="AP110" t="str">
        <f>IFERROR(IF(Z110&lt;&gt;"",_xlfn.XLOOKUP(Z110,[1]StuntDes!$B:$B,[1]StuntDes!$A:$A,""),""),"")</f>
        <v/>
      </c>
      <c r="AQ110" t="str">
        <f>IFERROR(IF(AA110&lt;&gt;"",_xlfn.XLOOKUP(AA110,[1]StuntDes!$B:$B,[1]StuntDes!$A:$A,""),""),"")</f>
        <v/>
      </c>
    </row>
    <row r="111" spans="1:43">
      <c r="A111" s="16">
        <f t="shared" si="60"/>
        <v>70525</v>
      </c>
      <c r="B111" s="17" t="s">
        <v>323</v>
      </c>
      <c r="C111" s="17">
        <v>7052</v>
      </c>
      <c r="D111" s="18">
        <v>5</v>
      </c>
      <c r="E111" s="18"/>
      <c r="F111" s="14"/>
      <c r="G111" s="18" t="str">
        <f t="shared" si="64"/>
        <v>10127|10090</v>
      </c>
      <c r="H111" s="18" t="str">
        <f t="shared" si="61"/>
        <v>[[0.3],[0.3]]</v>
      </c>
      <c r="I111" s="18" t="str">
        <f t="shared" si="65"/>
        <v/>
      </c>
      <c r="J111" s="18" t="str">
        <f t="shared" si="66"/>
        <v>[[10306,0.15],[11010,0.3],[11051,0.07]]</v>
      </c>
      <c r="K111" t="str">
        <f>_xlfn.XLOOKUP(C111,Pet!A:A,Pet!E:E)</f>
        <v>SSR-闪电</v>
      </c>
      <c r="L111" t="s">
        <v>188</v>
      </c>
      <c r="M111">
        <v>0.15</v>
      </c>
      <c r="N111" t="s">
        <v>189</v>
      </c>
      <c r="O111">
        <v>0.3</v>
      </c>
      <c r="P111" t="s">
        <v>321</v>
      </c>
      <c r="Q111">
        <v>0.07</v>
      </c>
      <c r="R111" t="s">
        <v>210</v>
      </c>
      <c r="S111">
        <v>0.3</v>
      </c>
      <c r="T111" t="s">
        <v>324</v>
      </c>
      <c r="U111">
        <v>0.3</v>
      </c>
      <c r="AB111">
        <f>IFERROR(IF(L111&lt;&gt;"",_xlfn.XLOOKUP(L111,[1]AttributeName!$C:$C,[1]AttributeName!$B:$B,""),""),"")</f>
        <v>10306</v>
      </c>
      <c r="AC111">
        <f>IFERROR(IF(N111&lt;&gt;"",_xlfn.XLOOKUP(N111,[1]AttributeName!$C:$C,[1]AttributeName!$B:$B,""),""),"")</f>
        <v>11010</v>
      </c>
      <c r="AD111">
        <f>IFERROR(IF(P111&lt;&gt;"",_xlfn.XLOOKUP(P111,[1]AttributeName!$C:$C,[1]AttributeName!$B:$B,""),""),"")</f>
        <v>11051</v>
      </c>
      <c r="AE111" t="str">
        <f t="shared" si="67"/>
        <v>[10306,0.15]</v>
      </c>
      <c r="AF111" t="str">
        <f t="shared" si="71"/>
        <v>[11010,0.3]</v>
      </c>
      <c r="AG111" t="str">
        <f t="shared" si="72"/>
        <v>[11051,0.07]</v>
      </c>
      <c r="AH111">
        <f>IFERROR(IF(R111&lt;&gt;"",_xlfn.XLOOKUP(R111,[1]ModifierDes!$B:$B,[1]ModifierDes!$A:$A,""),""),"")</f>
        <v>10127</v>
      </c>
      <c r="AI111">
        <f>IFERROR(IF(T111&lt;&gt;"",_xlfn.XLOOKUP(T111,[1]ModifierDes!$B:$B,[1]ModifierDes!$A:$A,""),""),"")</f>
        <v>10090</v>
      </c>
      <c r="AJ111" t="str">
        <f>IFERROR(IF(V111&lt;&gt;"",_xlfn.XLOOKUP(V111,[1]ModifierDes!$B:$B,[1]ModifierDes!$A:$A,""),""),"")</f>
        <v/>
      </c>
      <c r="AK111" t="str">
        <f>IFERROR(IF(X111&lt;&gt;"",_xlfn.XLOOKUP(X111,[1]ModifierDes!$B:$B,[1]ModifierDes!$A:$A,""),""),"")</f>
        <v/>
      </c>
      <c r="AL111" t="str">
        <f t="shared" si="68"/>
        <v>[0.3]</v>
      </c>
      <c r="AM111" t="str">
        <f t="shared" si="69"/>
        <v>[0.3]</v>
      </c>
      <c r="AN111" t="str">
        <f t="shared" si="70"/>
        <v/>
      </c>
      <c r="AO111" t="str">
        <f t="shared" si="62"/>
        <v/>
      </c>
      <c r="AP111" t="str">
        <f>IFERROR(IF(Z111&lt;&gt;"",_xlfn.XLOOKUP(Z111,[1]StuntDes!$B:$B,[1]StuntDes!$A:$A,""),""),"")</f>
        <v/>
      </c>
      <c r="AQ111" t="str">
        <f>IFERROR(IF(AA111&lt;&gt;"",_xlfn.XLOOKUP(AA111,[1]StuntDes!$B:$B,[1]StuntDes!$A:$A,""),""),"")</f>
        <v/>
      </c>
    </row>
    <row r="112" spans="1:43">
      <c r="A112" s="16">
        <f t="shared" si="60"/>
        <v>50700</v>
      </c>
      <c r="B112" s="17" t="s">
        <v>325</v>
      </c>
      <c r="C112" s="17">
        <v>5070</v>
      </c>
      <c r="D112" s="18">
        <v>0</v>
      </c>
      <c r="E112" s="18" t="str">
        <f t="shared" ref="E112:E116" si="73">"[["&amp;C112+10000&amp;",1]]"</f>
        <v>[[15070,1]]</v>
      </c>
      <c r="F112" s="14"/>
      <c r="G112" s="18" t="str">
        <f t="shared" si="64"/>
        <v/>
      </c>
      <c r="H112" s="18" t="str">
        <f t="shared" si="61"/>
        <v/>
      </c>
      <c r="I112" s="18" t="str">
        <f t="shared" si="65"/>
        <v/>
      </c>
      <c r="J112" s="18" t="str">
        <f t="shared" si="66"/>
        <v>[[10306,0.08],[11010,0.04]]</v>
      </c>
      <c r="K112" t="str">
        <f>_xlfn.XLOOKUP(C112,Pet!A:A,Pet!E:E)</f>
        <v>R-闪电</v>
      </c>
      <c r="L112" t="s">
        <v>188</v>
      </c>
      <c r="M112">
        <v>0.08</v>
      </c>
      <c r="N112" t="s">
        <v>189</v>
      </c>
      <c r="O112">
        <v>0.04</v>
      </c>
      <c r="AB112">
        <f>IFERROR(IF(L112&lt;&gt;"",_xlfn.XLOOKUP(L112,[1]AttributeName!$C:$C,[1]AttributeName!$B:$B,""),""),"")</f>
        <v>10306</v>
      </c>
      <c r="AC112">
        <f>IFERROR(IF(N112&lt;&gt;"",_xlfn.XLOOKUP(N112,[1]AttributeName!$C:$C,[1]AttributeName!$B:$B,""),""),"")</f>
        <v>11010</v>
      </c>
      <c r="AD112" t="str">
        <f>IFERROR(IF(P112&lt;&gt;"",_xlfn.XLOOKUP(P112,[1]AttributeName!$C:$C,[1]AttributeName!$B:$B,""),""),"")</f>
        <v/>
      </c>
      <c r="AE112" t="str">
        <f t="shared" si="67"/>
        <v>[10306,0.08]</v>
      </c>
      <c r="AF112" t="str">
        <f t="shared" si="71"/>
        <v>[11010,0.04]</v>
      </c>
      <c r="AG112" t="str">
        <f t="shared" si="72"/>
        <v/>
      </c>
      <c r="AH112" t="str">
        <f>IFERROR(IF(R112&lt;&gt;"",_xlfn.XLOOKUP(R112,[1]ModifierDes!$B:$B,[1]ModifierDes!$A:$A,""),""),"")</f>
        <v/>
      </c>
      <c r="AI112" t="str">
        <f>IFERROR(IF(T112&lt;&gt;"",_xlfn.XLOOKUP(T112,[1]ModifierDes!$B:$B,[1]ModifierDes!$A:$A,""),""),"")</f>
        <v/>
      </c>
      <c r="AJ112" t="str">
        <f>IFERROR(IF(V112&lt;&gt;"",_xlfn.XLOOKUP(V112,[1]ModifierDes!$B:$B,[1]ModifierDes!$A:$A,""),""),"")</f>
        <v/>
      </c>
      <c r="AK112" t="str">
        <f>IFERROR(IF(X112&lt;&gt;"",_xlfn.XLOOKUP(X112,[1]ModifierDes!$B:$B,[1]ModifierDes!$A:$A,""),""),"")</f>
        <v/>
      </c>
      <c r="AL112" t="str">
        <f t="shared" si="68"/>
        <v/>
      </c>
      <c r="AM112" t="str">
        <f t="shared" si="69"/>
        <v/>
      </c>
      <c r="AN112" t="str">
        <f t="shared" si="70"/>
        <v/>
      </c>
      <c r="AO112" t="str">
        <f t="shared" si="62"/>
        <v/>
      </c>
      <c r="AP112" t="str">
        <f>IFERROR(IF(Z112&lt;&gt;"",_xlfn.XLOOKUP(Z112,[1]StuntDes!$B:$B,[1]StuntDes!$A:$A,""),""),"")</f>
        <v/>
      </c>
      <c r="AQ112" t="str">
        <f>IFERROR(IF(AA112&lt;&gt;"",_xlfn.XLOOKUP(AA112,[1]StuntDes!$B:$B,[1]StuntDes!$A:$A,""),""),"")</f>
        <v/>
      </c>
    </row>
    <row r="113" spans="1:43">
      <c r="A113" s="16">
        <f t="shared" si="60"/>
        <v>50701</v>
      </c>
      <c r="B113" s="17" t="s">
        <v>326</v>
      </c>
      <c r="C113" s="17">
        <v>5070</v>
      </c>
      <c r="D113" s="18">
        <v>1</v>
      </c>
      <c r="E113" s="18" t="str">
        <f t="shared" si="73"/>
        <v>[[15070,1]]</v>
      </c>
      <c r="F113" s="14"/>
      <c r="G113" s="18" t="str">
        <f t="shared" si="64"/>
        <v/>
      </c>
      <c r="H113" s="18" t="str">
        <f t="shared" si="61"/>
        <v/>
      </c>
      <c r="I113" s="18" t="str">
        <f t="shared" si="65"/>
        <v/>
      </c>
      <c r="J113" s="18" t="str">
        <f t="shared" si="66"/>
        <v>[[10306,0.13],[11010,0.04]]</v>
      </c>
      <c r="K113" t="str">
        <f>_xlfn.XLOOKUP(C113,Pet!A:A,Pet!E:E)</f>
        <v>R-闪电</v>
      </c>
      <c r="L113" t="s">
        <v>188</v>
      </c>
      <c r="M113">
        <v>0.13</v>
      </c>
      <c r="N113" t="s">
        <v>189</v>
      </c>
      <c r="O113">
        <v>0.04</v>
      </c>
      <c r="AB113">
        <f>IFERROR(IF(L113&lt;&gt;"",_xlfn.XLOOKUP(L113,[1]AttributeName!$C:$C,[1]AttributeName!$B:$B,""),""),"")</f>
        <v>10306</v>
      </c>
      <c r="AC113">
        <f>IFERROR(IF(N113&lt;&gt;"",_xlfn.XLOOKUP(N113,[1]AttributeName!$C:$C,[1]AttributeName!$B:$B,""),""),"")</f>
        <v>11010</v>
      </c>
      <c r="AD113" t="str">
        <f>IFERROR(IF(P113&lt;&gt;"",_xlfn.XLOOKUP(P113,[1]AttributeName!$C:$C,[1]AttributeName!$B:$B,""),""),"")</f>
        <v/>
      </c>
      <c r="AE113" t="str">
        <f t="shared" si="67"/>
        <v>[10306,0.13]</v>
      </c>
      <c r="AF113" t="str">
        <f t="shared" si="71"/>
        <v>[11010,0.04]</v>
      </c>
      <c r="AG113" t="str">
        <f t="shared" si="72"/>
        <v/>
      </c>
      <c r="AH113" t="str">
        <f>IFERROR(IF(R113&lt;&gt;"",_xlfn.XLOOKUP(R113,[1]ModifierDes!$B:$B,[1]ModifierDes!$A:$A,""),""),"")</f>
        <v/>
      </c>
      <c r="AI113" t="str">
        <f>IFERROR(IF(T113&lt;&gt;"",_xlfn.XLOOKUP(T113,[1]ModifierDes!$B:$B,[1]ModifierDes!$A:$A,""),""),"")</f>
        <v/>
      </c>
      <c r="AJ113" t="str">
        <f>IFERROR(IF(V113&lt;&gt;"",_xlfn.XLOOKUP(V113,[1]ModifierDes!$B:$B,[1]ModifierDes!$A:$A,""),""),"")</f>
        <v/>
      </c>
      <c r="AK113" t="str">
        <f>IFERROR(IF(X113&lt;&gt;"",_xlfn.XLOOKUP(X113,[1]ModifierDes!$B:$B,[1]ModifierDes!$A:$A,""),""),"")</f>
        <v/>
      </c>
      <c r="AL113" t="str">
        <f t="shared" si="68"/>
        <v/>
      </c>
      <c r="AM113" t="str">
        <f t="shared" si="69"/>
        <v/>
      </c>
      <c r="AN113" t="str">
        <f t="shared" si="70"/>
        <v/>
      </c>
      <c r="AO113" t="str">
        <f t="shared" si="62"/>
        <v/>
      </c>
      <c r="AP113" t="str">
        <f>IFERROR(IF(Z113&lt;&gt;"",_xlfn.XLOOKUP(Z113,[1]StuntDes!$B:$B,[1]StuntDes!$A:$A,""),""),"")</f>
        <v/>
      </c>
      <c r="AQ113" t="str">
        <f>IFERROR(IF(AA113&lt;&gt;"",_xlfn.XLOOKUP(AA113,[1]StuntDes!$B:$B,[1]StuntDes!$A:$A,""),""),"")</f>
        <v/>
      </c>
    </row>
    <row r="114" spans="1:43">
      <c r="A114" s="16">
        <f t="shared" si="60"/>
        <v>50702</v>
      </c>
      <c r="B114" s="17" t="s">
        <v>327</v>
      </c>
      <c r="C114" s="17">
        <v>5070</v>
      </c>
      <c r="D114" s="18">
        <v>2</v>
      </c>
      <c r="E114" s="18" t="str">
        <f t="shared" si="73"/>
        <v>[[15070,1]]</v>
      </c>
      <c r="F114" s="14"/>
      <c r="G114" s="18" t="str">
        <f t="shared" si="64"/>
        <v/>
      </c>
      <c r="H114" s="18" t="str">
        <f t="shared" si="61"/>
        <v/>
      </c>
      <c r="I114" s="18" t="str">
        <f t="shared" si="65"/>
        <v/>
      </c>
      <c r="J114" s="18" t="str">
        <f t="shared" si="66"/>
        <v>[[10306,0.13],[11010,0.14]]</v>
      </c>
      <c r="K114" t="str">
        <f>_xlfn.XLOOKUP(C114,Pet!A:A,Pet!E:E)</f>
        <v>R-闪电</v>
      </c>
      <c r="L114" t="s">
        <v>188</v>
      </c>
      <c r="M114">
        <v>0.13</v>
      </c>
      <c r="N114" t="s">
        <v>189</v>
      </c>
      <c r="O114">
        <v>0.14</v>
      </c>
      <c r="AB114">
        <f>IFERROR(IF(L114&lt;&gt;"",_xlfn.XLOOKUP(L114,[1]AttributeName!$C:$C,[1]AttributeName!$B:$B,""),""),"")</f>
        <v>10306</v>
      </c>
      <c r="AC114">
        <f>IFERROR(IF(N114&lt;&gt;"",_xlfn.XLOOKUP(N114,[1]AttributeName!$C:$C,[1]AttributeName!$B:$B,""),""),"")</f>
        <v>11010</v>
      </c>
      <c r="AD114" t="str">
        <f>IFERROR(IF(P114&lt;&gt;"",_xlfn.XLOOKUP(P114,[1]AttributeName!$C:$C,[1]AttributeName!$B:$B,""),""),"")</f>
        <v/>
      </c>
      <c r="AE114" t="str">
        <f t="shared" si="67"/>
        <v>[10306,0.13]</v>
      </c>
      <c r="AF114" t="str">
        <f t="shared" si="71"/>
        <v>[11010,0.14]</v>
      </c>
      <c r="AG114" t="str">
        <f t="shared" si="72"/>
        <v/>
      </c>
      <c r="AH114" t="str">
        <f>IFERROR(IF(R114&lt;&gt;"",_xlfn.XLOOKUP(R114,[1]ModifierDes!$B:$B,[1]ModifierDes!$A:$A,""),""),"")</f>
        <v/>
      </c>
      <c r="AI114" t="str">
        <f>IFERROR(IF(T114&lt;&gt;"",_xlfn.XLOOKUP(T114,[1]ModifierDes!$B:$B,[1]ModifierDes!$A:$A,""),""),"")</f>
        <v/>
      </c>
      <c r="AJ114" t="str">
        <f>IFERROR(IF(V114&lt;&gt;"",_xlfn.XLOOKUP(V114,[1]ModifierDes!$B:$B,[1]ModifierDes!$A:$A,""),""),"")</f>
        <v/>
      </c>
      <c r="AK114" t="str">
        <f>IFERROR(IF(X114&lt;&gt;"",_xlfn.XLOOKUP(X114,[1]ModifierDes!$B:$B,[1]ModifierDes!$A:$A,""),""),"")</f>
        <v/>
      </c>
      <c r="AL114" t="str">
        <f t="shared" si="68"/>
        <v/>
      </c>
      <c r="AM114" t="str">
        <f t="shared" si="69"/>
        <v/>
      </c>
      <c r="AN114" t="str">
        <f t="shared" si="70"/>
        <v/>
      </c>
      <c r="AO114" t="str">
        <f t="shared" si="62"/>
        <v/>
      </c>
      <c r="AP114" t="str">
        <f>IFERROR(IF(Z114&lt;&gt;"",_xlfn.XLOOKUP(Z114,[1]StuntDes!$B:$B,[1]StuntDes!$A:$A,""),""),"")</f>
        <v/>
      </c>
      <c r="AQ114" t="str">
        <f>IFERROR(IF(AA114&lt;&gt;"",_xlfn.XLOOKUP(AA114,[1]StuntDes!$B:$B,[1]StuntDes!$A:$A,""),""),"")</f>
        <v/>
      </c>
    </row>
    <row r="115" spans="1:43">
      <c r="A115" s="16">
        <f t="shared" si="60"/>
        <v>50703</v>
      </c>
      <c r="B115" s="17" t="s">
        <v>328</v>
      </c>
      <c r="C115" s="17">
        <v>5070</v>
      </c>
      <c r="D115" s="18">
        <v>3</v>
      </c>
      <c r="E115" s="18" t="str">
        <f t="shared" si="73"/>
        <v>[[15070,1]]</v>
      </c>
      <c r="F115" s="14"/>
      <c r="G115" s="18" t="str">
        <f t="shared" si="64"/>
        <v/>
      </c>
      <c r="H115" s="18" t="str">
        <f t="shared" si="61"/>
        <v/>
      </c>
      <c r="I115" s="18" t="str">
        <f t="shared" si="65"/>
        <v/>
      </c>
      <c r="J115" s="18" t="str">
        <f t="shared" si="66"/>
        <v>[[10306,0.13],[11010,0.14],[10300,0.1]]</v>
      </c>
      <c r="K115" t="str">
        <f>_xlfn.XLOOKUP(C115,Pet!A:A,Pet!E:E)</f>
        <v>R-闪电</v>
      </c>
      <c r="L115" t="s">
        <v>188</v>
      </c>
      <c r="M115">
        <v>0.13</v>
      </c>
      <c r="N115" t="s">
        <v>189</v>
      </c>
      <c r="O115">
        <v>0.14</v>
      </c>
      <c r="P115" t="s">
        <v>193</v>
      </c>
      <c r="Q115">
        <v>0.1</v>
      </c>
      <c r="AB115">
        <f>IFERROR(IF(L115&lt;&gt;"",_xlfn.XLOOKUP(L115,[1]AttributeName!$C:$C,[1]AttributeName!$B:$B,""),""),"")</f>
        <v>10306</v>
      </c>
      <c r="AC115">
        <f>IFERROR(IF(N115&lt;&gt;"",_xlfn.XLOOKUP(N115,[1]AttributeName!$C:$C,[1]AttributeName!$B:$B,""),""),"")</f>
        <v>11010</v>
      </c>
      <c r="AD115">
        <f>IFERROR(IF(P115&lt;&gt;"",_xlfn.XLOOKUP(P115,[1]AttributeName!$C:$C,[1]AttributeName!$B:$B,""),""),"")</f>
        <v>10300</v>
      </c>
      <c r="AE115" t="str">
        <f t="shared" si="67"/>
        <v>[10306,0.13]</v>
      </c>
      <c r="AF115" t="str">
        <f t="shared" si="71"/>
        <v>[11010,0.14]</v>
      </c>
      <c r="AG115" t="str">
        <f t="shared" si="72"/>
        <v>[10300,0.1]</v>
      </c>
      <c r="AH115" t="str">
        <f>IFERROR(IF(R115&lt;&gt;"",_xlfn.XLOOKUP(R115,[1]ModifierDes!$B:$B,[1]ModifierDes!$A:$A,""),""),"")</f>
        <v/>
      </c>
      <c r="AI115" t="str">
        <f>IFERROR(IF(T115&lt;&gt;"",_xlfn.XLOOKUP(T115,[1]ModifierDes!$B:$B,[1]ModifierDes!$A:$A,""),""),"")</f>
        <v/>
      </c>
      <c r="AJ115" t="str">
        <f>IFERROR(IF(V115&lt;&gt;"",_xlfn.XLOOKUP(V115,[1]ModifierDes!$B:$B,[1]ModifierDes!$A:$A,""),""),"")</f>
        <v/>
      </c>
      <c r="AK115" t="str">
        <f>IFERROR(IF(X115&lt;&gt;"",_xlfn.XLOOKUP(X115,[1]ModifierDes!$B:$B,[1]ModifierDes!$A:$A,""),""),"")</f>
        <v/>
      </c>
      <c r="AL115" t="str">
        <f t="shared" si="68"/>
        <v/>
      </c>
      <c r="AM115" t="str">
        <f t="shared" si="69"/>
        <v/>
      </c>
      <c r="AN115" t="str">
        <f t="shared" si="70"/>
        <v/>
      </c>
      <c r="AO115" t="str">
        <f t="shared" si="62"/>
        <v/>
      </c>
      <c r="AP115" t="str">
        <f>IFERROR(IF(Z115&lt;&gt;"",_xlfn.XLOOKUP(Z115,[1]StuntDes!$B:$B,[1]StuntDes!$A:$A,""),""),"")</f>
        <v/>
      </c>
      <c r="AQ115" t="str">
        <f>IFERROR(IF(AA115&lt;&gt;"",_xlfn.XLOOKUP(AA115,[1]StuntDes!$B:$B,[1]StuntDes!$A:$A,""),""),"")</f>
        <v/>
      </c>
    </row>
    <row r="116" spans="1:43">
      <c r="A116" s="16">
        <f t="shared" si="60"/>
        <v>50704</v>
      </c>
      <c r="B116" s="17" t="s">
        <v>329</v>
      </c>
      <c r="C116" s="17">
        <v>5070</v>
      </c>
      <c r="D116" s="18">
        <v>4</v>
      </c>
      <c r="E116" s="18" t="str">
        <f t="shared" si="73"/>
        <v>[[15070,1]]</v>
      </c>
      <c r="F116" s="14"/>
      <c r="G116" s="18" t="str">
        <f t="shared" si="64"/>
        <v/>
      </c>
      <c r="H116" s="18" t="str">
        <f t="shared" si="61"/>
        <v/>
      </c>
      <c r="I116" s="18" t="str">
        <f t="shared" si="65"/>
        <v/>
      </c>
      <c r="J116" s="18" t="str">
        <f t="shared" si="66"/>
        <v>[[10306,0.22],[11010,0.14],[10300,0.1]]</v>
      </c>
      <c r="K116" t="str">
        <f>_xlfn.XLOOKUP(C116,Pet!A:A,Pet!E:E)</f>
        <v>R-闪电</v>
      </c>
      <c r="L116" t="s">
        <v>188</v>
      </c>
      <c r="M116">
        <v>0.22</v>
      </c>
      <c r="N116" t="s">
        <v>189</v>
      </c>
      <c r="O116">
        <v>0.14</v>
      </c>
      <c r="P116" t="s">
        <v>193</v>
      </c>
      <c r="Q116">
        <v>0.1</v>
      </c>
      <c r="AB116">
        <f>IFERROR(IF(L116&lt;&gt;"",_xlfn.XLOOKUP(L116,[1]AttributeName!$C:$C,[1]AttributeName!$B:$B,""),""),"")</f>
        <v>10306</v>
      </c>
      <c r="AC116">
        <f>IFERROR(IF(N116&lt;&gt;"",_xlfn.XLOOKUP(N116,[1]AttributeName!$C:$C,[1]AttributeName!$B:$B,""),""),"")</f>
        <v>11010</v>
      </c>
      <c r="AD116">
        <f>IFERROR(IF(P116&lt;&gt;"",_xlfn.XLOOKUP(P116,[1]AttributeName!$C:$C,[1]AttributeName!$B:$B,""),""),"")</f>
        <v>10300</v>
      </c>
      <c r="AE116" t="str">
        <f t="shared" si="67"/>
        <v>[10306,0.22]</v>
      </c>
      <c r="AF116" t="str">
        <f t="shared" si="71"/>
        <v>[11010,0.14]</v>
      </c>
      <c r="AG116" t="str">
        <f t="shared" si="72"/>
        <v>[10300,0.1]</v>
      </c>
      <c r="AH116" t="str">
        <f>IFERROR(IF(R116&lt;&gt;"",_xlfn.XLOOKUP(R116,[1]ModifierDes!$B:$B,[1]ModifierDes!$A:$A,""),""),"")</f>
        <v/>
      </c>
      <c r="AI116" t="str">
        <f>IFERROR(IF(T116&lt;&gt;"",_xlfn.XLOOKUP(T116,[1]ModifierDes!$B:$B,[1]ModifierDes!$A:$A,""),""),"")</f>
        <v/>
      </c>
      <c r="AJ116" t="str">
        <f>IFERROR(IF(V116&lt;&gt;"",_xlfn.XLOOKUP(V116,[1]ModifierDes!$B:$B,[1]ModifierDes!$A:$A,""),""),"")</f>
        <v/>
      </c>
      <c r="AK116" t="str">
        <f>IFERROR(IF(X116&lt;&gt;"",_xlfn.XLOOKUP(X116,[1]ModifierDes!$B:$B,[1]ModifierDes!$A:$A,""),""),"")</f>
        <v/>
      </c>
      <c r="AL116" t="str">
        <f t="shared" si="68"/>
        <v/>
      </c>
      <c r="AM116" t="str">
        <f t="shared" si="69"/>
        <v/>
      </c>
      <c r="AN116" t="str">
        <f t="shared" si="70"/>
        <v/>
      </c>
      <c r="AO116" t="str">
        <f t="shared" si="62"/>
        <v/>
      </c>
      <c r="AP116" t="str">
        <f>IFERROR(IF(Z116&lt;&gt;"",_xlfn.XLOOKUP(Z116,[1]StuntDes!$B:$B,[1]StuntDes!$A:$A,""),""),"")</f>
        <v/>
      </c>
      <c r="AQ116" t="str">
        <f>IFERROR(IF(AA116&lt;&gt;"",_xlfn.XLOOKUP(AA116,[1]StuntDes!$B:$B,[1]StuntDes!$A:$A,""),""),"")</f>
        <v/>
      </c>
    </row>
    <row r="117" spans="1:43">
      <c r="A117" s="16">
        <f t="shared" si="60"/>
        <v>50705</v>
      </c>
      <c r="B117" s="17" t="s">
        <v>330</v>
      </c>
      <c r="C117" s="17">
        <v>5070</v>
      </c>
      <c r="D117" s="18">
        <v>5</v>
      </c>
      <c r="E117" s="18"/>
      <c r="F117" s="14"/>
      <c r="G117" s="18" t="str">
        <f t="shared" si="64"/>
        <v/>
      </c>
      <c r="H117" s="18" t="str">
        <f t="shared" si="61"/>
        <v/>
      </c>
      <c r="I117" s="18" t="str">
        <f t="shared" si="65"/>
        <v/>
      </c>
      <c r="J117" s="18" t="str">
        <f t="shared" si="66"/>
        <v>[[10306,0.22],[11010,0.36],[10300,0.1]]</v>
      </c>
      <c r="K117" t="str">
        <f>_xlfn.XLOOKUP(C117,Pet!A:A,Pet!E:E)</f>
        <v>R-闪电</v>
      </c>
      <c r="L117" t="s">
        <v>188</v>
      </c>
      <c r="M117">
        <v>0.22</v>
      </c>
      <c r="N117" t="s">
        <v>189</v>
      </c>
      <c r="O117">
        <v>0.36</v>
      </c>
      <c r="P117" t="s">
        <v>193</v>
      </c>
      <c r="Q117">
        <v>0.1</v>
      </c>
      <c r="AB117">
        <f>IFERROR(IF(L117&lt;&gt;"",_xlfn.XLOOKUP(L117,[1]AttributeName!$C:$C,[1]AttributeName!$B:$B,""),""),"")</f>
        <v>10306</v>
      </c>
      <c r="AC117">
        <f>IFERROR(IF(N117&lt;&gt;"",_xlfn.XLOOKUP(N117,[1]AttributeName!$C:$C,[1]AttributeName!$B:$B,""),""),"")</f>
        <v>11010</v>
      </c>
      <c r="AD117">
        <f>IFERROR(IF(P117&lt;&gt;"",_xlfn.XLOOKUP(P117,[1]AttributeName!$C:$C,[1]AttributeName!$B:$B,""),""),"")</f>
        <v>10300</v>
      </c>
      <c r="AE117" t="str">
        <f t="shared" si="67"/>
        <v>[10306,0.22]</v>
      </c>
      <c r="AF117" t="str">
        <f t="shared" si="71"/>
        <v>[11010,0.36]</v>
      </c>
      <c r="AG117" t="str">
        <f t="shared" si="72"/>
        <v>[10300,0.1]</v>
      </c>
      <c r="AH117" t="str">
        <f>IFERROR(IF(R117&lt;&gt;"",_xlfn.XLOOKUP(R117,[1]ModifierDes!$B:$B,[1]ModifierDes!$A:$A,""),""),"")</f>
        <v/>
      </c>
      <c r="AI117" t="str">
        <f>IFERROR(IF(T117&lt;&gt;"",_xlfn.XLOOKUP(T117,[1]ModifierDes!$B:$B,[1]ModifierDes!$A:$A,""),""),"")</f>
        <v/>
      </c>
      <c r="AJ117" t="str">
        <f>IFERROR(IF(V117&lt;&gt;"",_xlfn.XLOOKUP(V117,[1]ModifierDes!$B:$B,[1]ModifierDes!$A:$A,""),""),"")</f>
        <v/>
      </c>
      <c r="AK117" t="str">
        <f>IFERROR(IF(X117&lt;&gt;"",_xlfn.XLOOKUP(X117,[1]ModifierDes!$B:$B,[1]ModifierDes!$A:$A,""),""),"")</f>
        <v/>
      </c>
      <c r="AL117" t="str">
        <f t="shared" si="68"/>
        <v/>
      </c>
      <c r="AM117" t="str">
        <f t="shared" si="69"/>
        <v/>
      </c>
      <c r="AN117" t="str">
        <f t="shared" si="70"/>
        <v/>
      </c>
      <c r="AO117" t="str">
        <f t="shared" si="62"/>
        <v/>
      </c>
      <c r="AP117" t="str">
        <f>IFERROR(IF(Z117&lt;&gt;"",_xlfn.XLOOKUP(Z117,[1]StuntDes!$B:$B,[1]StuntDes!$A:$A,""),""),"")</f>
        <v/>
      </c>
      <c r="AQ117" t="str">
        <f>IFERROR(IF(AA117&lt;&gt;"",_xlfn.XLOOKUP(AA117,[1]StuntDes!$B:$B,[1]StuntDes!$A:$A,""),""),"")</f>
        <v/>
      </c>
    </row>
    <row r="118" spans="1:43">
      <c r="A118" s="16">
        <f t="shared" si="60"/>
        <v>50800</v>
      </c>
      <c r="B118" s="17" t="s">
        <v>331</v>
      </c>
      <c r="C118" s="17">
        <v>5080</v>
      </c>
      <c r="D118" s="18">
        <v>0</v>
      </c>
      <c r="E118" s="18" t="str">
        <f t="shared" ref="E118:E122" si="74">"[["&amp;C118+10000&amp;",1]]"</f>
        <v>[[15080,1]]</v>
      </c>
      <c r="F118" s="14"/>
      <c r="G118" s="18" t="str">
        <f t="shared" si="64"/>
        <v/>
      </c>
      <c r="H118" s="18" t="str">
        <f t="shared" si="61"/>
        <v/>
      </c>
      <c r="I118" s="18" t="str">
        <f t="shared" si="65"/>
        <v/>
      </c>
      <c r="J118" s="18" t="str">
        <f t="shared" si="66"/>
        <v>[[10305,0.08],[11008,0.04]]</v>
      </c>
      <c r="K118" t="str">
        <f>_xlfn.XLOOKUP(C118,Pet!A:A,Pet!E:E)</f>
        <v>R-冰冷</v>
      </c>
      <c r="L118" t="s">
        <v>332</v>
      </c>
      <c r="M118">
        <v>0.08</v>
      </c>
      <c r="N118" t="s">
        <v>333</v>
      </c>
      <c r="O118">
        <v>0.04</v>
      </c>
      <c r="AB118">
        <f>IFERROR(IF(L118&lt;&gt;"",_xlfn.XLOOKUP(L118,[1]AttributeName!$C:$C,[1]AttributeName!$B:$B,""),""),"")</f>
        <v>10305</v>
      </c>
      <c r="AC118">
        <f>IFERROR(IF(N118&lt;&gt;"",_xlfn.XLOOKUP(N118,[1]AttributeName!$C:$C,[1]AttributeName!$B:$B,""),""),"")</f>
        <v>11008</v>
      </c>
      <c r="AD118" t="str">
        <f>IFERROR(IF(P118&lt;&gt;"",_xlfn.XLOOKUP(P118,[1]AttributeName!$C:$C,[1]AttributeName!$B:$B,""),""),"")</f>
        <v/>
      </c>
      <c r="AE118" t="str">
        <f t="shared" si="67"/>
        <v>[10305,0.08]</v>
      </c>
      <c r="AF118" t="str">
        <f t="shared" si="71"/>
        <v>[11008,0.04]</v>
      </c>
      <c r="AG118" t="str">
        <f t="shared" si="72"/>
        <v/>
      </c>
      <c r="AH118" t="str">
        <f>IFERROR(IF(R118&lt;&gt;"",_xlfn.XLOOKUP(R118,[1]ModifierDes!$B:$B,[1]ModifierDes!$A:$A,""),""),"")</f>
        <v/>
      </c>
      <c r="AI118" t="str">
        <f>IFERROR(IF(T118&lt;&gt;"",_xlfn.XLOOKUP(T118,[1]ModifierDes!$B:$B,[1]ModifierDes!$A:$A,""),""),"")</f>
        <v/>
      </c>
      <c r="AJ118" t="str">
        <f>IFERROR(IF(V118&lt;&gt;"",_xlfn.XLOOKUP(V118,[1]ModifierDes!$B:$B,[1]ModifierDes!$A:$A,""),""),"")</f>
        <v/>
      </c>
      <c r="AK118" t="str">
        <f>IFERROR(IF(X118&lt;&gt;"",_xlfn.XLOOKUP(X118,[1]ModifierDes!$B:$B,[1]ModifierDes!$A:$A,""),""),"")</f>
        <v/>
      </c>
      <c r="AL118" t="str">
        <f t="shared" si="68"/>
        <v/>
      </c>
      <c r="AM118" t="str">
        <f t="shared" si="69"/>
        <v/>
      </c>
      <c r="AN118" t="str">
        <f t="shared" si="70"/>
        <v/>
      </c>
      <c r="AO118" t="str">
        <f t="shared" si="62"/>
        <v/>
      </c>
      <c r="AP118" t="str">
        <f>IFERROR(IF(Z118&lt;&gt;"",_xlfn.XLOOKUP(Z118,[1]StuntDes!$B:$B,[1]StuntDes!$A:$A,""),""),"")</f>
        <v/>
      </c>
      <c r="AQ118" t="str">
        <f>IFERROR(IF(AA118&lt;&gt;"",_xlfn.XLOOKUP(AA118,[1]StuntDes!$B:$B,[1]StuntDes!$A:$A,""),""),"")</f>
        <v/>
      </c>
    </row>
    <row r="119" spans="1:43">
      <c r="A119" s="16">
        <f t="shared" si="60"/>
        <v>50801</v>
      </c>
      <c r="B119" s="17" t="s">
        <v>334</v>
      </c>
      <c r="C119" s="17">
        <v>5080</v>
      </c>
      <c r="D119" s="18">
        <v>1</v>
      </c>
      <c r="E119" s="18" t="str">
        <f t="shared" si="74"/>
        <v>[[15080,1]]</v>
      </c>
      <c r="F119" s="14"/>
      <c r="G119" s="18" t="str">
        <f t="shared" si="64"/>
        <v/>
      </c>
      <c r="H119" s="18" t="str">
        <f t="shared" si="61"/>
        <v/>
      </c>
      <c r="I119" s="18" t="str">
        <f t="shared" si="65"/>
        <v/>
      </c>
      <c r="J119" s="18" t="str">
        <f t="shared" si="66"/>
        <v>[[10305,0.13],[11008,0.04]]</v>
      </c>
      <c r="K119" t="str">
        <f>_xlfn.XLOOKUP(C119,Pet!A:A,Pet!E:E)</f>
        <v>R-冰冷</v>
      </c>
      <c r="L119" t="s">
        <v>332</v>
      </c>
      <c r="M119">
        <v>0.13</v>
      </c>
      <c r="N119" t="s">
        <v>333</v>
      </c>
      <c r="O119">
        <v>0.04</v>
      </c>
      <c r="AB119">
        <f>IFERROR(IF(L119&lt;&gt;"",_xlfn.XLOOKUP(L119,[1]AttributeName!$C:$C,[1]AttributeName!$B:$B,""),""),"")</f>
        <v>10305</v>
      </c>
      <c r="AC119">
        <f>IFERROR(IF(N119&lt;&gt;"",_xlfn.XLOOKUP(N119,[1]AttributeName!$C:$C,[1]AttributeName!$B:$B,""),""),"")</f>
        <v>11008</v>
      </c>
      <c r="AD119" t="str">
        <f>IFERROR(IF(P119&lt;&gt;"",_xlfn.XLOOKUP(P119,[1]AttributeName!$C:$C,[1]AttributeName!$B:$B,""),""),"")</f>
        <v/>
      </c>
      <c r="AE119" t="str">
        <f t="shared" si="67"/>
        <v>[10305,0.13]</v>
      </c>
      <c r="AF119" t="str">
        <f t="shared" si="71"/>
        <v>[11008,0.04]</v>
      </c>
      <c r="AG119" t="str">
        <f t="shared" si="72"/>
        <v/>
      </c>
      <c r="AH119" t="str">
        <f>IFERROR(IF(R119&lt;&gt;"",_xlfn.XLOOKUP(R119,[1]ModifierDes!$B:$B,[1]ModifierDes!$A:$A,""),""),"")</f>
        <v/>
      </c>
      <c r="AI119" t="str">
        <f>IFERROR(IF(T119&lt;&gt;"",_xlfn.XLOOKUP(T119,[1]ModifierDes!$B:$B,[1]ModifierDes!$A:$A,""),""),"")</f>
        <v/>
      </c>
      <c r="AJ119" t="str">
        <f>IFERROR(IF(V119&lt;&gt;"",_xlfn.XLOOKUP(V119,[1]ModifierDes!$B:$B,[1]ModifierDes!$A:$A,""),""),"")</f>
        <v/>
      </c>
      <c r="AK119" t="str">
        <f>IFERROR(IF(X119&lt;&gt;"",_xlfn.XLOOKUP(X119,[1]ModifierDes!$B:$B,[1]ModifierDes!$A:$A,""),""),"")</f>
        <v/>
      </c>
      <c r="AL119" t="str">
        <f t="shared" si="68"/>
        <v/>
      </c>
      <c r="AM119" t="str">
        <f t="shared" si="69"/>
        <v/>
      </c>
      <c r="AN119" t="str">
        <f t="shared" si="70"/>
        <v/>
      </c>
      <c r="AO119" t="str">
        <f t="shared" si="62"/>
        <v/>
      </c>
      <c r="AP119" t="str">
        <f>IFERROR(IF(Z119&lt;&gt;"",_xlfn.XLOOKUP(Z119,[1]StuntDes!$B:$B,[1]StuntDes!$A:$A,""),""),"")</f>
        <v/>
      </c>
      <c r="AQ119" t="str">
        <f>IFERROR(IF(AA119&lt;&gt;"",_xlfn.XLOOKUP(AA119,[1]StuntDes!$B:$B,[1]StuntDes!$A:$A,""),""),"")</f>
        <v/>
      </c>
    </row>
    <row r="120" spans="1:43">
      <c r="A120" s="16">
        <f t="shared" si="60"/>
        <v>50802</v>
      </c>
      <c r="B120" s="17" t="s">
        <v>335</v>
      </c>
      <c r="C120" s="17">
        <v>5080</v>
      </c>
      <c r="D120" s="18">
        <v>2</v>
      </c>
      <c r="E120" s="18" t="str">
        <f t="shared" si="74"/>
        <v>[[15080,1]]</v>
      </c>
      <c r="F120" s="14"/>
      <c r="G120" s="18" t="str">
        <f t="shared" si="64"/>
        <v/>
      </c>
      <c r="H120" s="18" t="str">
        <f t="shared" si="61"/>
        <v/>
      </c>
      <c r="I120" s="18" t="str">
        <f t="shared" si="65"/>
        <v/>
      </c>
      <c r="J120" s="18" t="str">
        <f t="shared" si="66"/>
        <v>[[10305,0.13],[11008,0.14]]</v>
      </c>
      <c r="K120" t="str">
        <f>_xlfn.XLOOKUP(C120,Pet!A:A,Pet!E:E)</f>
        <v>R-冰冷</v>
      </c>
      <c r="L120" t="s">
        <v>332</v>
      </c>
      <c r="M120">
        <v>0.13</v>
      </c>
      <c r="N120" t="s">
        <v>333</v>
      </c>
      <c r="O120">
        <v>0.14</v>
      </c>
      <c r="AB120">
        <f>IFERROR(IF(L120&lt;&gt;"",_xlfn.XLOOKUP(L120,[1]AttributeName!$C:$C,[1]AttributeName!$B:$B,""),""),"")</f>
        <v>10305</v>
      </c>
      <c r="AC120">
        <f>IFERROR(IF(N120&lt;&gt;"",_xlfn.XLOOKUP(N120,[1]AttributeName!$C:$C,[1]AttributeName!$B:$B,""),""),"")</f>
        <v>11008</v>
      </c>
      <c r="AD120" t="str">
        <f>IFERROR(IF(P120&lt;&gt;"",_xlfn.XLOOKUP(P120,[1]AttributeName!$C:$C,[1]AttributeName!$B:$B,""),""),"")</f>
        <v/>
      </c>
      <c r="AE120" t="str">
        <f t="shared" si="67"/>
        <v>[10305,0.13]</v>
      </c>
      <c r="AF120" t="str">
        <f t="shared" si="71"/>
        <v>[11008,0.14]</v>
      </c>
      <c r="AG120" t="str">
        <f t="shared" si="72"/>
        <v/>
      </c>
      <c r="AH120" t="str">
        <f>IFERROR(IF(R120&lt;&gt;"",_xlfn.XLOOKUP(R120,[1]ModifierDes!$B:$B,[1]ModifierDes!$A:$A,""),""),"")</f>
        <v/>
      </c>
      <c r="AI120" t="str">
        <f>IFERROR(IF(T120&lt;&gt;"",_xlfn.XLOOKUP(T120,[1]ModifierDes!$B:$B,[1]ModifierDes!$A:$A,""),""),"")</f>
        <v/>
      </c>
      <c r="AJ120" t="str">
        <f>IFERROR(IF(V120&lt;&gt;"",_xlfn.XLOOKUP(V120,[1]ModifierDes!$B:$B,[1]ModifierDes!$A:$A,""),""),"")</f>
        <v/>
      </c>
      <c r="AK120" t="str">
        <f>IFERROR(IF(X120&lt;&gt;"",_xlfn.XLOOKUP(X120,[1]ModifierDes!$B:$B,[1]ModifierDes!$A:$A,""),""),"")</f>
        <v/>
      </c>
      <c r="AL120" t="str">
        <f t="shared" si="68"/>
        <v/>
      </c>
      <c r="AM120" t="str">
        <f t="shared" si="69"/>
        <v/>
      </c>
      <c r="AN120" t="str">
        <f t="shared" si="70"/>
        <v/>
      </c>
      <c r="AO120" t="str">
        <f t="shared" si="62"/>
        <v/>
      </c>
      <c r="AP120" t="str">
        <f>IFERROR(IF(Z120&lt;&gt;"",_xlfn.XLOOKUP(Z120,[1]StuntDes!$B:$B,[1]StuntDes!$A:$A,""),""),"")</f>
        <v/>
      </c>
      <c r="AQ120" t="str">
        <f>IFERROR(IF(AA120&lt;&gt;"",_xlfn.XLOOKUP(AA120,[1]StuntDes!$B:$B,[1]StuntDes!$A:$A,""),""),"")</f>
        <v/>
      </c>
    </row>
    <row r="121" spans="1:43">
      <c r="A121" s="16">
        <f t="shared" si="60"/>
        <v>50803</v>
      </c>
      <c r="B121" s="17" t="s">
        <v>336</v>
      </c>
      <c r="C121" s="17">
        <v>5080</v>
      </c>
      <c r="D121" s="18">
        <v>3</v>
      </c>
      <c r="E121" s="18" t="str">
        <f t="shared" si="74"/>
        <v>[[15080,1]]</v>
      </c>
      <c r="F121" s="14"/>
      <c r="G121" s="18" t="str">
        <f t="shared" si="64"/>
        <v/>
      </c>
      <c r="H121" s="18" t="str">
        <f t="shared" si="61"/>
        <v/>
      </c>
      <c r="I121" s="18" t="str">
        <f t="shared" si="65"/>
        <v/>
      </c>
      <c r="J121" s="18" t="str">
        <f t="shared" si="66"/>
        <v>[[10305,0.13],[11008,0.14],[10300,0.1]]</v>
      </c>
      <c r="K121" t="str">
        <f>_xlfn.XLOOKUP(C121,Pet!A:A,Pet!E:E)</f>
        <v>R-冰冷</v>
      </c>
      <c r="L121" t="s">
        <v>332</v>
      </c>
      <c r="M121">
        <v>0.13</v>
      </c>
      <c r="N121" t="s">
        <v>333</v>
      </c>
      <c r="O121">
        <v>0.14</v>
      </c>
      <c r="P121" t="s">
        <v>193</v>
      </c>
      <c r="Q121">
        <v>0.1</v>
      </c>
      <c r="AB121">
        <f>IFERROR(IF(L121&lt;&gt;"",_xlfn.XLOOKUP(L121,[1]AttributeName!$C:$C,[1]AttributeName!$B:$B,""),""),"")</f>
        <v>10305</v>
      </c>
      <c r="AC121">
        <f>IFERROR(IF(N121&lt;&gt;"",_xlfn.XLOOKUP(N121,[1]AttributeName!$C:$C,[1]AttributeName!$B:$B,""),""),"")</f>
        <v>11008</v>
      </c>
      <c r="AD121">
        <f>IFERROR(IF(P121&lt;&gt;"",_xlfn.XLOOKUP(P121,[1]AttributeName!$C:$C,[1]AttributeName!$B:$B,""),""),"")</f>
        <v>10300</v>
      </c>
      <c r="AE121" t="str">
        <f t="shared" si="67"/>
        <v>[10305,0.13]</v>
      </c>
      <c r="AF121" t="str">
        <f t="shared" si="71"/>
        <v>[11008,0.14]</v>
      </c>
      <c r="AG121" t="str">
        <f t="shared" si="72"/>
        <v>[10300,0.1]</v>
      </c>
      <c r="AH121" t="str">
        <f>IFERROR(IF(R121&lt;&gt;"",_xlfn.XLOOKUP(R121,[1]ModifierDes!$B:$B,[1]ModifierDes!$A:$A,""),""),"")</f>
        <v/>
      </c>
      <c r="AI121" t="str">
        <f>IFERROR(IF(T121&lt;&gt;"",_xlfn.XLOOKUP(T121,[1]ModifierDes!$B:$B,[1]ModifierDes!$A:$A,""),""),"")</f>
        <v/>
      </c>
      <c r="AJ121" t="str">
        <f>IFERROR(IF(V121&lt;&gt;"",_xlfn.XLOOKUP(V121,[1]ModifierDes!$B:$B,[1]ModifierDes!$A:$A,""),""),"")</f>
        <v/>
      </c>
      <c r="AK121" t="str">
        <f>IFERROR(IF(X121&lt;&gt;"",_xlfn.XLOOKUP(X121,[1]ModifierDes!$B:$B,[1]ModifierDes!$A:$A,""),""),"")</f>
        <v/>
      </c>
      <c r="AL121" t="str">
        <f t="shared" si="68"/>
        <v/>
      </c>
      <c r="AM121" t="str">
        <f t="shared" si="69"/>
        <v/>
      </c>
      <c r="AN121" t="str">
        <f t="shared" si="70"/>
        <v/>
      </c>
      <c r="AO121" t="str">
        <f t="shared" si="62"/>
        <v/>
      </c>
      <c r="AP121" t="str">
        <f>IFERROR(IF(Z121&lt;&gt;"",_xlfn.XLOOKUP(Z121,[1]StuntDes!$B:$B,[1]StuntDes!$A:$A,""),""),"")</f>
        <v/>
      </c>
      <c r="AQ121" t="str">
        <f>IFERROR(IF(AA121&lt;&gt;"",_xlfn.XLOOKUP(AA121,[1]StuntDes!$B:$B,[1]StuntDes!$A:$A,""),""),"")</f>
        <v/>
      </c>
    </row>
    <row r="122" spans="1:43">
      <c r="A122" s="16">
        <f t="shared" si="60"/>
        <v>50804</v>
      </c>
      <c r="B122" s="17" t="s">
        <v>337</v>
      </c>
      <c r="C122" s="17">
        <v>5080</v>
      </c>
      <c r="D122" s="18">
        <v>4</v>
      </c>
      <c r="E122" s="18" t="str">
        <f t="shared" si="74"/>
        <v>[[15080,1]]</v>
      </c>
      <c r="F122" s="14"/>
      <c r="G122" s="18" t="str">
        <f t="shared" si="64"/>
        <v/>
      </c>
      <c r="H122" s="18" t="str">
        <f t="shared" si="61"/>
        <v/>
      </c>
      <c r="I122" s="18" t="str">
        <f t="shared" si="65"/>
        <v/>
      </c>
      <c r="J122" s="18" t="str">
        <f t="shared" si="66"/>
        <v>[[10305,0.22],[11008,0.14],[10300,0.1]]</v>
      </c>
      <c r="K122" t="str">
        <f>_xlfn.XLOOKUP(C122,Pet!A:A,Pet!E:E)</f>
        <v>R-冰冷</v>
      </c>
      <c r="L122" t="s">
        <v>332</v>
      </c>
      <c r="M122">
        <v>0.22</v>
      </c>
      <c r="N122" t="s">
        <v>333</v>
      </c>
      <c r="O122">
        <v>0.14</v>
      </c>
      <c r="P122" t="s">
        <v>193</v>
      </c>
      <c r="Q122">
        <v>0.1</v>
      </c>
      <c r="AB122">
        <f>IFERROR(IF(L122&lt;&gt;"",_xlfn.XLOOKUP(L122,[1]AttributeName!$C:$C,[1]AttributeName!$B:$B,""),""),"")</f>
        <v>10305</v>
      </c>
      <c r="AC122">
        <f>IFERROR(IF(N122&lt;&gt;"",_xlfn.XLOOKUP(N122,[1]AttributeName!$C:$C,[1]AttributeName!$B:$B,""),""),"")</f>
        <v>11008</v>
      </c>
      <c r="AD122">
        <f>IFERROR(IF(P122&lt;&gt;"",_xlfn.XLOOKUP(P122,[1]AttributeName!$C:$C,[1]AttributeName!$B:$B,""),""),"")</f>
        <v>10300</v>
      </c>
      <c r="AE122" t="str">
        <f t="shared" si="67"/>
        <v>[10305,0.22]</v>
      </c>
      <c r="AF122" t="str">
        <f t="shared" si="71"/>
        <v>[11008,0.14]</v>
      </c>
      <c r="AG122" t="str">
        <f t="shared" si="72"/>
        <v>[10300,0.1]</v>
      </c>
      <c r="AH122" t="str">
        <f>IFERROR(IF(R122&lt;&gt;"",_xlfn.XLOOKUP(R122,[1]ModifierDes!$B:$B,[1]ModifierDes!$A:$A,""),""),"")</f>
        <v/>
      </c>
      <c r="AI122" t="str">
        <f>IFERROR(IF(T122&lt;&gt;"",_xlfn.XLOOKUP(T122,[1]ModifierDes!$B:$B,[1]ModifierDes!$A:$A,""),""),"")</f>
        <v/>
      </c>
      <c r="AJ122" t="str">
        <f>IFERROR(IF(V122&lt;&gt;"",_xlfn.XLOOKUP(V122,[1]ModifierDes!$B:$B,[1]ModifierDes!$A:$A,""),""),"")</f>
        <v/>
      </c>
      <c r="AK122" t="str">
        <f>IFERROR(IF(X122&lt;&gt;"",_xlfn.XLOOKUP(X122,[1]ModifierDes!$B:$B,[1]ModifierDes!$A:$A,""),""),"")</f>
        <v/>
      </c>
      <c r="AL122" t="str">
        <f t="shared" si="68"/>
        <v/>
      </c>
      <c r="AM122" t="str">
        <f t="shared" si="69"/>
        <v/>
      </c>
      <c r="AN122" t="str">
        <f t="shared" si="70"/>
        <v/>
      </c>
      <c r="AO122" t="str">
        <f t="shared" si="62"/>
        <v/>
      </c>
      <c r="AP122" t="str">
        <f>IFERROR(IF(Z122&lt;&gt;"",_xlfn.XLOOKUP(Z122,[1]StuntDes!$B:$B,[1]StuntDes!$A:$A,""),""),"")</f>
        <v/>
      </c>
      <c r="AQ122" t="str">
        <f>IFERROR(IF(AA122&lt;&gt;"",_xlfn.XLOOKUP(AA122,[1]StuntDes!$B:$B,[1]StuntDes!$A:$A,""),""),"")</f>
        <v/>
      </c>
    </row>
    <row r="123" spans="1:43">
      <c r="A123" s="16">
        <f t="shared" si="60"/>
        <v>50805</v>
      </c>
      <c r="B123" s="17" t="s">
        <v>338</v>
      </c>
      <c r="C123" s="17">
        <v>5080</v>
      </c>
      <c r="D123" s="18">
        <v>5</v>
      </c>
      <c r="E123" s="18"/>
      <c r="F123" s="14"/>
      <c r="G123" s="18" t="str">
        <f t="shared" si="64"/>
        <v/>
      </c>
      <c r="H123" s="18" t="str">
        <f t="shared" si="61"/>
        <v/>
      </c>
      <c r="I123" s="18" t="str">
        <f t="shared" si="65"/>
        <v/>
      </c>
      <c r="J123" s="18" t="str">
        <f t="shared" si="66"/>
        <v>[[10305,0.22],[11008,0.36],[10300,0.1]]</v>
      </c>
      <c r="K123" t="str">
        <f>_xlfn.XLOOKUP(C123,Pet!A:A,Pet!E:E)</f>
        <v>R-冰冷</v>
      </c>
      <c r="L123" t="s">
        <v>332</v>
      </c>
      <c r="M123">
        <v>0.22</v>
      </c>
      <c r="N123" t="s">
        <v>333</v>
      </c>
      <c r="O123">
        <v>0.36</v>
      </c>
      <c r="P123" t="s">
        <v>193</v>
      </c>
      <c r="Q123">
        <v>0.1</v>
      </c>
      <c r="AB123">
        <f>IFERROR(IF(L123&lt;&gt;"",_xlfn.XLOOKUP(L123,[1]AttributeName!$C:$C,[1]AttributeName!$B:$B,""),""),"")</f>
        <v>10305</v>
      </c>
      <c r="AC123">
        <f>IFERROR(IF(N123&lt;&gt;"",_xlfn.XLOOKUP(N123,[1]AttributeName!$C:$C,[1]AttributeName!$B:$B,""),""),"")</f>
        <v>11008</v>
      </c>
      <c r="AD123">
        <f>IFERROR(IF(P123&lt;&gt;"",_xlfn.XLOOKUP(P123,[1]AttributeName!$C:$C,[1]AttributeName!$B:$B,""),""),"")</f>
        <v>10300</v>
      </c>
      <c r="AE123" t="str">
        <f t="shared" si="67"/>
        <v>[10305,0.22]</v>
      </c>
      <c r="AF123" t="str">
        <f t="shared" si="71"/>
        <v>[11008,0.36]</v>
      </c>
      <c r="AG123" t="str">
        <f t="shared" si="72"/>
        <v>[10300,0.1]</v>
      </c>
      <c r="AH123" t="str">
        <f>IFERROR(IF(R123&lt;&gt;"",_xlfn.XLOOKUP(R123,[1]ModifierDes!$B:$B,[1]ModifierDes!$A:$A,""),""),"")</f>
        <v/>
      </c>
      <c r="AI123" t="str">
        <f>IFERROR(IF(T123&lt;&gt;"",_xlfn.XLOOKUP(T123,[1]ModifierDes!$B:$B,[1]ModifierDes!$A:$A,""),""),"")</f>
        <v/>
      </c>
      <c r="AJ123" t="str">
        <f>IFERROR(IF(V123&lt;&gt;"",_xlfn.XLOOKUP(V123,[1]ModifierDes!$B:$B,[1]ModifierDes!$A:$A,""),""),"")</f>
        <v/>
      </c>
      <c r="AK123" t="str">
        <f>IFERROR(IF(X123&lt;&gt;"",_xlfn.XLOOKUP(X123,[1]ModifierDes!$B:$B,[1]ModifierDes!$A:$A,""),""),"")</f>
        <v/>
      </c>
      <c r="AL123" t="str">
        <f t="shared" si="68"/>
        <v/>
      </c>
      <c r="AM123" t="str">
        <f t="shared" si="69"/>
        <v/>
      </c>
      <c r="AN123" t="str">
        <f t="shared" si="70"/>
        <v/>
      </c>
      <c r="AO123" t="str">
        <f t="shared" si="62"/>
        <v/>
      </c>
      <c r="AP123" t="str">
        <f>IFERROR(IF(Z123&lt;&gt;"",_xlfn.XLOOKUP(Z123,[1]StuntDes!$B:$B,[1]StuntDes!$A:$A,""),""),"")</f>
        <v/>
      </c>
      <c r="AQ123" t="str">
        <f>IFERROR(IF(AA123&lt;&gt;"",_xlfn.XLOOKUP(AA123,[1]StuntDes!$B:$B,[1]StuntDes!$A:$A,""),""),"")</f>
        <v/>
      </c>
    </row>
    <row r="124" spans="1:43">
      <c r="A124" s="16">
        <f t="shared" si="60"/>
        <v>50900</v>
      </c>
      <c r="B124" s="17" t="s">
        <v>339</v>
      </c>
      <c r="C124" s="17">
        <v>5090</v>
      </c>
      <c r="D124" s="18">
        <v>0</v>
      </c>
      <c r="E124" s="18" t="str">
        <f t="shared" ref="E124:E128" si="75">"[["&amp;C124+10000&amp;",1]]"</f>
        <v>[[15090,1]]</v>
      </c>
      <c r="F124" s="14"/>
      <c r="G124" s="18" t="str">
        <f t="shared" si="64"/>
        <v>10067|10050</v>
      </c>
      <c r="H124" s="18" t="str">
        <f t="shared" si="61"/>
        <v>[[0.07],[0.01]]</v>
      </c>
      <c r="I124" s="18" t="str">
        <f t="shared" si="65"/>
        <v/>
      </c>
      <c r="J124" s="18" t="str">
        <f t="shared" si="66"/>
        <v/>
      </c>
      <c r="K124" t="str">
        <f>_xlfn.XLOOKUP(C124,Pet!A:A,Pet!E:E)</f>
        <v>R-法术</v>
      </c>
      <c r="R124" t="s">
        <v>258</v>
      </c>
      <c r="S124">
        <v>0.07</v>
      </c>
      <c r="T124" t="s">
        <v>209</v>
      </c>
      <c r="U124">
        <v>0.01</v>
      </c>
      <c r="AB124" t="str">
        <f>IFERROR(IF(L124&lt;&gt;"",_xlfn.XLOOKUP(L124,[1]AttributeName!$C:$C,[1]AttributeName!$B:$B,""),""),"")</f>
        <v/>
      </c>
      <c r="AC124" t="str">
        <f>IFERROR(IF(N124&lt;&gt;"",_xlfn.XLOOKUP(N124,[1]AttributeName!$C:$C,[1]AttributeName!$B:$B,""),""),"")</f>
        <v/>
      </c>
      <c r="AD124" t="str">
        <f>IFERROR(IF(P124&lt;&gt;"",_xlfn.XLOOKUP(P124,[1]AttributeName!$C:$C,[1]AttributeName!$B:$B,""),""),"")</f>
        <v/>
      </c>
      <c r="AE124" t="str">
        <f t="shared" si="67"/>
        <v/>
      </c>
      <c r="AF124" t="str">
        <f t="shared" si="71"/>
        <v/>
      </c>
      <c r="AG124" t="str">
        <f t="shared" si="72"/>
        <v/>
      </c>
      <c r="AH124">
        <f>IFERROR(IF(R124&lt;&gt;"",_xlfn.XLOOKUP(R124,[1]ModifierDes!$B:$B,[1]ModifierDes!$A:$A,""),""),"")</f>
        <v>10067</v>
      </c>
      <c r="AI124">
        <f>IFERROR(IF(T124&lt;&gt;"",_xlfn.XLOOKUP(T124,[1]ModifierDes!$B:$B,[1]ModifierDes!$A:$A,""),""),"")</f>
        <v>10050</v>
      </c>
      <c r="AJ124" t="str">
        <f>IFERROR(IF(V124&lt;&gt;"",_xlfn.XLOOKUP(V124,[1]ModifierDes!$B:$B,[1]ModifierDes!$A:$A,""),""),"")</f>
        <v/>
      </c>
      <c r="AK124" t="str">
        <f>IFERROR(IF(X124&lt;&gt;"",_xlfn.XLOOKUP(X124,[1]ModifierDes!$B:$B,[1]ModifierDes!$A:$A,""),""),"")</f>
        <v/>
      </c>
      <c r="AL124" t="str">
        <f t="shared" si="68"/>
        <v>[0.07]</v>
      </c>
      <c r="AM124" t="str">
        <f t="shared" si="69"/>
        <v>[0.01]</v>
      </c>
      <c r="AN124" t="str">
        <f t="shared" si="70"/>
        <v/>
      </c>
      <c r="AO124" t="str">
        <f t="shared" si="62"/>
        <v/>
      </c>
      <c r="AP124" t="str">
        <f>IFERROR(IF(Z124&lt;&gt;"",_xlfn.XLOOKUP(Z124,[1]StuntDes!$B:$B,[1]StuntDes!$A:$A,""),""),"")</f>
        <v/>
      </c>
      <c r="AQ124" t="str">
        <f>IFERROR(IF(AA124&lt;&gt;"",_xlfn.XLOOKUP(AA124,[1]StuntDes!$B:$B,[1]StuntDes!$A:$A,""),""),"")</f>
        <v/>
      </c>
    </row>
    <row r="125" spans="1:43">
      <c r="A125" s="16">
        <f t="shared" si="60"/>
        <v>50901</v>
      </c>
      <c r="B125" s="17" t="s">
        <v>340</v>
      </c>
      <c r="C125" s="17">
        <v>5090</v>
      </c>
      <c r="D125" s="18">
        <v>1</v>
      </c>
      <c r="E125" s="18" t="str">
        <f t="shared" si="75"/>
        <v>[[15090,1]]</v>
      </c>
      <c r="F125" s="14"/>
      <c r="G125" s="18" t="str">
        <f t="shared" si="64"/>
        <v>10067|10050</v>
      </c>
      <c r="H125" s="18" t="str">
        <f t="shared" si="61"/>
        <v>[[0.11],[0.01]]</v>
      </c>
      <c r="I125" s="18" t="str">
        <f t="shared" si="65"/>
        <v/>
      </c>
      <c r="J125" s="18" t="str">
        <f t="shared" si="66"/>
        <v/>
      </c>
      <c r="K125" t="str">
        <f>_xlfn.XLOOKUP(C125,Pet!A:A,Pet!E:E)</f>
        <v>R-法术</v>
      </c>
      <c r="R125" t="s">
        <v>258</v>
      </c>
      <c r="S125">
        <v>0.11</v>
      </c>
      <c r="T125" t="s">
        <v>209</v>
      </c>
      <c r="U125">
        <v>0.01</v>
      </c>
      <c r="AB125" t="str">
        <f>IFERROR(IF(L125&lt;&gt;"",_xlfn.XLOOKUP(L125,[1]AttributeName!$C:$C,[1]AttributeName!$B:$B,""),""),"")</f>
        <v/>
      </c>
      <c r="AC125" t="str">
        <f>IFERROR(IF(N125&lt;&gt;"",_xlfn.XLOOKUP(N125,[1]AttributeName!$C:$C,[1]AttributeName!$B:$B,""),""),"")</f>
        <v/>
      </c>
      <c r="AD125" t="str">
        <f>IFERROR(IF(P125&lt;&gt;"",_xlfn.XLOOKUP(P125,[1]AttributeName!$C:$C,[1]AttributeName!$B:$B,""),""),"")</f>
        <v/>
      </c>
      <c r="AE125" t="str">
        <f t="shared" si="67"/>
        <v/>
      </c>
      <c r="AF125" t="str">
        <f t="shared" si="71"/>
        <v/>
      </c>
      <c r="AG125" t="str">
        <f t="shared" si="72"/>
        <v/>
      </c>
      <c r="AH125">
        <f>IFERROR(IF(R125&lt;&gt;"",_xlfn.XLOOKUP(R125,[1]ModifierDes!$B:$B,[1]ModifierDes!$A:$A,""),""),"")</f>
        <v>10067</v>
      </c>
      <c r="AI125">
        <f>IFERROR(IF(T125&lt;&gt;"",_xlfn.XLOOKUP(T125,[1]ModifierDes!$B:$B,[1]ModifierDes!$A:$A,""),""),"")</f>
        <v>10050</v>
      </c>
      <c r="AJ125" t="str">
        <f>IFERROR(IF(V125&lt;&gt;"",_xlfn.XLOOKUP(V125,[1]ModifierDes!$B:$B,[1]ModifierDes!$A:$A,""),""),"")</f>
        <v/>
      </c>
      <c r="AK125" t="str">
        <f>IFERROR(IF(X125&lt;&gt;"",_xlfn.XLOOKUP(X125,[1]ModifierDes!$B:$B,[1]ModifierDes!$A:$A,""),""),"")</f>
        <v/>
      </c>
      <c r="AL125" t="str">
        <f t="shared" si="68"/>
        <v>[0.11]</v>
      </c>
      <c r="AM125" t="str">
        <f t="shared" si="69"/>
        <v>[0.01]</v>
      </c>
      <c r="AN125" t="str">
        <f t="shared" si="70"/>
        <v/>
      </c>
      <c r="AO125" t="str">
        <f t="shared" si="62"/>
        <v/>
      </c>
      <c r="AP125" t="str">
        <f>IFERROR(IF(Z125&lt;&gt;"",_xlfn.XLOOKUP(Z125,[1]StuntDes!$B:$B,[1]StuntDes!$A:$A,""),""),"")</f>
        <v/>
      </c>
      <c r="AQ125" t="str">
        <f>IFERROR(IF(AA125&lt;&gt;"",_xlfn.XLOOKUP(AA125,[1]StuntDes!$B:$B,[1]StuntDes!$A:$A,""),""),"")</f>
        <v/>
      </c>
    </row>
    <row r="126" spans="1:43">
      <c r="A126" s="16">
        <f t="shared" si="60"/>
        <v>50902</v>
      </c>
      <c r="B126" s="17" t="s">
        <v>341</v>
      </c>
      <c r="C126" s="17">
        <v>5090</v>
      </c>
      <c r="D126" s="18">
        <v>2</v>
      </c>
      <c r="E126" s="18" t="str">
        <f t="shared" si="75"/>
        <v>[[15090,1]]</v>
      </c>
      <c r="F126" s="14"/>
      <c r="G126" s="18" t="str">
        <f t="shared" si="64"/>
        <v>10067|10050</v>
      </c>
      <c r="H126" s="18" t="str">
        <f t="shared" si="61"/>
        <v>[[0.11],[0.03]]</v>
      </c>
      <c r="I126" s="18" t="str">
        <f t="shared" si="65"/>
        <v/>
      </c>
      <c r="J126" s="18" t="str">
        <f t="shared" si="66"/>
        <v/>
      </c>
      <c r="K126" t="str">
        <f>_xlfn.XLOOKUP(C126,Pet!A:A,Pet!E:E)</f>
        <v>R-法术</v>
      </c>
      <c r="R126" t="s">
        <v>258</v>
      </c>
      <c r="S126">
        <v>0.11</v>
      </c>
      <c r="T126" t="s">
        <v>209</v>
      </c>
      <c r="U126">
        <v>0.03</v>
      </c>
      <c r="AB126" t="str">
        <f>IFERROR(IF(L126&lt;&gt;"",_xlfn.XLOOKUP(L126,[1]AttributeName!$C:$C,[1]AttributeName!$B:$B,""),""),"")</f>
        <v/>
      </c>
      <c r="AC126" t="str">
        <f>IFERROR(IF(N126&lt;&gt;"",_xlfn.XLOOKUP(N126,[1]AttributeName!$C:$C,[1]AttributeName!$B:$B,""),""),"")</f>
        <v/>
      </c>
      <c r="AD126" t="str">
        <f>IFERROR(IF(P126&lt;&gt;"",_xlfn.XLOOKUP(P126,[1]AttributeName!$C:$C,[1]AttributeName!$B:$B,""),""),"")</f>
        <v/>
      </c>
      <c r="AE126" t="str">
        <f t="shared" si="67"/>
        <v/>
      </c>
      <c r="AF126" t="str">
        <f t="shared" si="71"/>
        <v/>
      </c>
      <c r="AG126" t="str">
        <f t="shared" si="72"/>
        <v/>
      </c>
      <c r="AH126">
        <f>IFERROR(IF(R126&lt;&gt;"",_xlfn.XLOOKUP(R126,[1]ModifierDes!$B:$B,[1]ModifierDes!$A:$A,""),""),"")</f>
        <v>10067</v>
      </c>
      <c r="AI126">
        <f>IFERROR(IF(T126&lt;&gt;"",_xlfn.XLOOKUP(T126,[1]ModifierDes!$B:$B,[1]ModifierDes!$A:$A,""),""),"")</f>
        <v>10050</v>
      </c>
      <c r="AJ126" t="str">
        <f>IFERROR(IF(V126&lt;&gt;"",_xlfn.XLOOKUP(V126,[1]ModifierDes!$B:$B,[1]ModifierDes!$A:$A,""),""),"")</f>
        <v/>
      </c>
      <c r="AK126" t="str">
        <f>IFERROR(IF(X126&lt;&gt;"",_xlfn.XLOOKUP(X126,[1]ModifierDes!$B:$B,[1]ModifierDes!$A:$A,""),""),"")</f>
        <v/>
      </c>
      <c r="AL126" t="str">
        <f t="shared" si="68"/>
        <v>[0.11]</v>
      </c>
      <c r="AM126" t="str">
        <f t="shared" si="69"/>
        <v>[0.03]</v>
      </c>
      <c r="AN126" t="str">
        <f t="shared" si="70"/>
        <v/>
      </c>
      <c r="AO126" t="str">
        <f t="shared" si="62"/>
        <v/>
      </c>
      <c r="AP126" t="str">
        <f>IFERROR(IF(Z126&lt;&gt;"",_xlfn.XLOOKUP(Z126,[1]StuntDes!$B:$B,[1]StuntDes!$A:$A,""),""),"")</f>
        <v/>
      </c>
      <c r="AQ126" t="str">
        <f>IFERROR(IF(AA126&lt;&gt;"",_xlfn.XLOOKUP(AA126,[1]StuntDes!$B:$B,[1]StuntDes!$A:$A,""),""),"")</f>
        <v/>
      </c>
    </row>
    <row r="127" spans="1:43">
      <c r="A127" s="16">
        <f t="shared" si="60"/>
        <v>50903</v>
      </c>
      <c r="B127" s="17" t="s">
        <v>342</v>
      </c>
      <c r="C127" s="17">
        <v>5090</v>
      </c>
      <c r="D127" s="18">
        <v>3</v>
      </c>
      <c r="E127" s="18" t="str">
        <f t="shared" si="75"/>
        <v>[[15090,1]]</v>
      </c>
      <c r="F127" s="14"/>
      <c r="G127" s="18" t="str">
        <f t="shared" si="64"/>
        <v>10067|10050</v>
      </c>
      <c r="H127" s="18" t="str">
        <f t="shared" si="61"/>
        <v>[[0.11],[0.03]]</v>
      </c>
      <c r="I127" s="18" t="str">
        <f t="shared" si="65"/>
        <v/>
      </c>
      <c r="J127" s="18" t="str">
        <f t="shared" si="66"/>
        <v>[[10300,0.07]]</v>
      </c>
      <c r="K127" t="str">
        <f>_xlfn.XLOOKUP(C127,Pet!A:A,Pet!E:E)</f>
        <v>R-法术</v>
      </c>
      <c r="L127" t="s">
        <v>193</v>
      </c>
      <c r="M127">
        <v>0.07</v>
      </c>
      <c r="R127" t="s">
        <v>258</v>
      </c>
      <c r="S127">
        <v>0.11</v>
      </c>
      <c r="T127" t="s">
        <v>209</v>
      </c>
      <c r="U127">
        <v>0.03</v>
      </c>
      <c r="AB127">
        <f>IFERROR(IF(L127&lt;&gt;"",_xlfn.XLOOKUP(L127,[1]AttributeName!$C:$C,[1]AttributeName!$B:$B,""),""),"")</f>
        <v>10300</v>
      </c>
      <c r="AC127" t="str">
        <f>IFERROR(IF(N127&lt;&gt;"",_xlfn.XLOOKUP(N127,[1]AttributeName!$C:$C,[1]AttributeName!$B:$B,""),""),"")</f>
        <v/>
      </c>
      <c r="AD127" t="str">
        <f>IFERROR(IF(P127&lt;&gt;"",_xlfn.XLOOKUP(P127,[1]AttributeName!$C:$C,[1]AttributeName!$B:$B,""),""),"")</f>
        <v/>
      </c>
      <c r="AE127" t="str">
        <f t="shared" si="67"/>
        <v>[10300,0.07]</v>
      </c>
      <c r="AF127" t="str">
        <f t="shared" si="71"/>
        <v/>
      </c>
      <c r="AG127" t="str">
        <f t="shared" si="72"/>
        <v/>
      </c>
      <c r="AH127">
        <f>IFERROR(IF(R127&lt;&gt;"",_xlfn.XLOOKUP(R127,[1]ModifierDes!$B:$B,[1]ModifierDes!$A:$A,""),""),"")</f>
        <v>10067</v>
      </c>
      <c r="AI127">
        <f>IFERROR(IF(T127&lt;&gt;"",_xlfn.XLOOKUP(T127,[1]ModifierDes!$B:$B,[1]ModifierDes!$A:$A,""),""),"")</f>
        <v>10050</v>
      </c>
      <c r="AJ127" t="str">
        <f>IFERROR(IF(V127&lt;&gt;"",_xlfn.XLOOKUP(V127,[1]ModifierDes!$B:$B,[1]ModifierDes!$A:$A,""),""),"")</f>
        <v/>
      </c>
      <c r="AK127" t="str">
        <f>IFERROR(IF(X127&lt;&gt;"",_xlfn.XLOOKUP(X127,[1]ModifierDes!$B:$B,[1]ModifierDes!$A:$A,""),""),"")</f>
        <v/>
      </c>
      <c r="AL127" t="str">
        <f t="shared" si="68"/>
        <v>[0.11]</v>
      </c>
      <c r="AM127" t="str">
        <f t="shared" si="69"/>
        <v>[0.03]</v>
      </c>
      <c r="AN127" t="str">
        <f t="shared" si="70"/>
        <v/>
      </c>
      <c r="AO127" t="str">
        <f t="shared" si="62"/>
        <v/>
      </c>
      <c r="AP127" t="str">
        <f>IFERROR(IF(Z127&lt;&gt;"",_xlfn.XLOOKUP(Z127,[1]StuntDes!$B:$B,[1]StuntDes!$A:$A,""),""),"")</f>
        <v/>
      </c>
      <c r="AQ127" t="str">
        <f>IFERROR(IF(AA127&lt;&gt;"",_xlfn.XLOOKUP(AA127,[1]StuntDes!$B:$B,[1]StuntDes!$A:$A,""),""),"")</f>
        <v/>
      </c>
    </row>
    <row r="128" spans="1:43">
      <c r="A128" s="16">
        <f t="shared" si="60"/>
        <v>50904</v>
      </c>
      <c r="B128" s="17" t="s">
        <v>343</v>
      </c>
      <c r="C128" s="17">
        <v>5090</v>
      </c>
      <c r="D128" s="18">
        <v>4</v>
      </c>
      <c r="E128" s="18" t="str">
        <f t="shared" si="75"/>
        <v>[[15090,1]]</v>
      </c>
      <c r="F128" s="14"/>
      <c r="G128" s="18" t="str">
        <f t="shared" si="64"/>
        <v>10067|10050</v>
      </c>
      <c r="H128" s="18" t="str">
        <f t="shared" si="61"/>
        <v>[[0.2],[0.03]]</v>
      </c>
      <c r="I128" s="18" t="str">
        <f t="shared" si="65"/>
        <v/>
      </c>
      <c r="J128" s="18" t="str">
        <f t="shared" si="66"/>
        <v>[[10300,0.07]]</v>
      </c>
      <c r="K128" t="str">
        <f>_xlfn.XLOOKUP(C128,Pet!A:A,Pet!E:E)</f>
        <v>R-法术</v>
      </c>
      <c r="L128" t="s">
        <v>193</v>
      </c>
      <c r="M128">
        <v>0.07</v>
      </c>
      <c r="R128" t="s">
        <v>258</v>
      </c>
      <c r="S128">
        <v>0.2</v>
      </c>
      <c r="T128" t="s">
        <v>209</v>
      </c>
      <c r="U128">
        <v>0.03</v>
      </c>
      <c r="AB128">
        <f>IFERROR(IF(L128&lt;&gt;"",_xlfn.XLOOKUP(L128,[1]AttributeName!$C:$C,[1]AttributeName!$B:$B,""),""),"")</f>
        <v>10300</v>
      </c>
      <c r="AC128" t="str">
        <f>IFERROR(IF(N128&lt;&gt;"",_xlfn.XLOOKUP(N128,[1]AttributeName!$C:$C,[1]AttributeName!$B:$B,""),""),"")</f>
        <v/>
      </c>
      <c r="AD128" t="str">
        <f>IFERROR(IF(P128&lt;&gt;"",_xlfn.XLOOKUP(P128,[1]AttributeName!$C:$C,[1]AttributeName!$B:$B,""),""),"")</f>
        <v/>
      </c>
      <c r="AE128" t="str">
        <f t="shared" si="67"/>
        <v>[10300,0.07]</v>
      </c>
      <c r="AF128" t="str">
        <f t="shared" si="71"/>
        <v/>
      </c>
      <c r="AG128" t="str">
        <f t="shared" si="72"/>
        <v/>
      </c>
      <c r="AH128">
        <f>IFERROR(IF(R128&lt;&gt;"",_xlfn.XLOOKUP(R128,[1]ModifierDes!$B:$B,[1]ModifierDes!$A:$A,""),""),"")</f>
        <v>10067</v>
      </c>
      <c r="AI128">
        <f>IFERROR(IF(T128&lt;&gt;"",_xlfn.XLOOKUP(T128,[1]ModifierDes!$B:$B,[1]ModifierDes!$A:$A,""),""),"")</f>
        <v>10050</v>
      </c>
      <c r="AJ128" t="str">
        <f>IFERROR(IF(V128&lt;&gt;"",_xlfn.XLOOKUP(V128,[1]ModifierDes!$B:$B,[1]ModifierDes!$A:$A,""),""),"")</f>
        <v/>
      </c>
      <c r="AK128" t="str">
        <f>IFERROR(IF(X128&lt;&gt;"",_xlfn.XLOOKUP(X128,[1]ModifierDes!$B:$B,[1]ModifierDes!$A:$A,""),""),"")</f>
        <v/>
      </c>
      <c r="AL128" t="str">
        <f t="shared" si="68"/>
        <v>[0.2]</v>
      </c>
      <c r="AM128" t="str">
        <f t="shared" si="69"/>
        <v>[0.03]</v>
      </c>
      <c r="AN128" t="str">
        <f t="shared" si="70"/>
        <v/>
      </c>
      <c r="AO128" t="str">
        <f t="shared" si="62"/>
        <v/>
      </c>
      <c r="AP128" t="str">
        <f>IFERROR(IF(Z128&lt;&gt;"",_xlfn.XLOOKUP(Z128,[1]StuntDes!$B:$B,[1]StuntDes!$A:$A,""),""),"")</f>
        <v/>
      </c>
      <c r="AQ128" t="str">
        <f>IFERROR(IF(AA128&lt;&gt;"",_xlfn.XLOOKUP(AA128,[1]StuntDes!$B:$B,[1]StuntDes!$A:$A,""),""),"")</f>
        <v/>
      </c>
    </row>
    <row r="129" spans="1:43">
      <c r="A129" s="16">
        <f t="shared" si="60"/>
        <v>50905</v>
      </c>
      <c r="B129" s="17" t="s">
        <v>344</v>
      </c>
      <c r="C129" s="17">
        <v>5090</v>
      </c>
      <c r="D129" s="18">
        <v>5</v>
      </c>
      <c r="E129" s="18"/>
      <c r="F129" s="14"/>
      <c r="G129" s="18" t="str">
        <f t="shared" si="64"/>
        <v>10067|10050</v>
      </c>
      <c r="H129" s="18" t="str">
        <f t="shared" si="61"/>
        <v>[[0.2],[0.06]]</v>
      </c>
      <c r="I129" s="18" t="str">
        <f t="shared" si="65"/>
        <v/>
      </c>
      <c r="J129" s="18" t="str">
        <f t="shared" si="66"/>
        <v>[[10300,0.07]]</v>
      </c>
      <c r="K129" t="str">
        <f>_xlfn.XLOOKUP(C129,Pet!A:A,Pet!E:E)</f>
        <v>R-法术</v>
      </c>
      <c r="L129" t="s">
        <v>193</v>
      </c>
      <c r="M129">
        <v>0.07</v>
      </c>
      <c r="R129" t="s">
        <v>258</v>
      </c>
      <c r="S129">
        <v>0.2</v>
      </c>
      <c r="T129" t="s">
        <v>209</v>
      </c>
      <c r="U129">
        <v>0.06</v>
      </c>
      <c r="AB129">
        <f>IFERROR(IF(L129&lt;&gt;"",_xlfn.XLOOKUP(L129,[1]AttributeName!$C:$C,[1]AttributeName!$B:$B,""),""),"")</f>
        <v>10300</v>
      </c>
      <c r="AC129" t="str">
        <f>IFERROR(IF(N129&lt;&gt;"",_xlfn.XLOOKUP(N129,[1]AttributeName!$C:$C,[1]AttributeName!$B:$B,""),""),"")</f>
        <v/>
      </c>
      <c r="AD129" t="str">
        <f>IFERROR(IF(P129&lt;&gt;"",_xlfn.XLOOKUP(P129,[1]AttributeName!$C:$C,[1]AttributeName!$B:$B,""),""),"")</f>
        <v/>
      </c>
      <c r="AE129" t="str">
        <f t="shared" si="67"/>
        <v>[10300,0.07]</v>
      </c>
      <c r="AF129" t="str">
        <f t="shared" si="71"/>
        <v/>
      </c>
      <c r="AG129" t="str">
        <f t="shared" si="72"/>
        <v/>
      </c>
      <c r="AH129">
        <f>IFERROR(IF(R129&lt;&gt;"",_xlfn.XLOOKUP(R129,[1]ModifierDes!$B:$B,[1]ModifierDes!$A:$A,""),""),"")</f>
        <v>10067</v>
      </c>
      <c r="AI129">
        <f>IFERROR(IF(T129&lt;&gt;"",_xlfn.XLOOKUP(T129,[1]ModifierDes!$B:$B,[1]ModifierDes!$A:$A,""),""),"")</f>
        <v>10050</v>
      </c>
      <c r="AJ129" t="str">
        <f>IFERROR(IF(V129&lt;&gt;"",_xlfn.XLOOKUP(V129,[1]ModifierDes!$B:$B,[1]ModifierDes!$A:$A,""),""),"")</f>
        <v/>
      </c>
      <c r="AK129" t="str">
        <f>IFERROR(IF(X129&lt;&gt;"",_xlfn.XLOOKUP(X129,[1]ModifierDes!$B:$B,[1]ModifierDes!$A:$A,""),""),"")</f>
        <v/>
      </c>
      <c r="AL129" t="str">
        <f t="shared" si="68"/>
        <v>[0.2]</v>
      </c>
      <c r="AM129" t="str">
        <f t="shared" si="69"/>
        <v>[0.06]</v>
      </c>
      <c r="AN129" t="str">
        <f t="shared" si="70"/>
        <v/>
      </c>
      <c r="AO129" t="str">
        <f t="shared" si="62"/>
        <v/>
      </c>
      <c r="AP129" t="str">
        <f>IFERROR(IF(Z129&lt;&gt;"",_xlfn.XLOOKUP(Z129,[1]StuntDes!$B:$B,[1]StuntDes!$A:$A,""),""),"")</f>
        <v/>
      </c>
      <c r="AQ129" t="str">
        <f>IFERROR(IF(AA129&lt;&gt;"",_xlfn.XLOOKUP(AA129,[1]StuntDes!$B:$B,[1]StuntDes!$A:$A,""),""),"")</f>
        <v/>
      </c>
    </row>
    <row r="130" spans="1:43">
      <c r="A130" s="16">
        <f t="shared" si="60"/>
        <v>51000</v>
      </c>
      <c r="B130" s="17" t="s">
        <v>345</v>
      </c>
      <c r="C130" s="17">
        <v>5100</v>
      </c>
      <c r="D130" s="18">
        <v>0</v>
      </c>
      <c r="E130" s="18" t="str">
        <f t="shared" ref="E130:E134" si="76">"[["&amp;C130+10000&amp;",1]]"</f>
        <v>[[15100,1]]</v>
      </c>
      <c r="F130" s="14"/>
      <c r="G130" s="18" t="str">
        <f t="shared" si="64"/>
        <v/>
      </c>
      <c r="H130" s="18" t="str">
        <f t="shared" si="61"/>
        <v/>
      </c>
      <c r="I130" s="18" t="str">
        <f t="shared" si="65"/>
        <v/>
      </c>
      <c r="J130" s="18" t="str">
        <f t="shared" si="66"/>
        <v>[[10303,0.08],[11055,0.04]]</v>
      </c>
      <c r="K130" t="str">
        <f>_xlfn.XLOOKUP(C130,Pet!A:A,Pet!E:E)</f>
        <v>R-物理</v>
      </c>
      <c r="L130" t="s">
        <v>197</v>
      </c>
      <c r="M130">
        <v>0.08</v>
      </c>
      <c r="N130" t="s">
        <v>200</v>
      </c>
      <c r="O130">
        <v>0.04</v>
      </c>
      <c r="AB130">
        <f>IFERROR(IF(L130&lt;&gt;"",_xlfn.XLOOKUP(L130,[1]AttributeName!$C:$C,[1]AttributeName!$B:$B,""),""),"")</f>
        <v>10303</v>
      </c>
      <c r="AC130">
        <f>IFERROR(IF(N130&lt;&gt;"",_xlfn.XLOOKUP(N130,[1]AttributeName!$C:$C,[1]AttributeName!$B:$B,""),""),"")</f>
        <v>11055</v>
      </c>
      <c r="AD130" t="str">
        <f>IFERROR(IF(P130&lt;&gt;"",_xlfn.XLOOKUP(P130,[1]AttributeName!$C:$C,[1]AttributeName!$B:$B,""),""),"")</f>
        <v/>
      </c>
      <c r="AE130" t="str">
        <f t="shared" si="67"/>
        <v>[10303,0.08]</v>
      </c>
      <c r="AF130" t="str">
        <f t="shared" si="71"/>
        <v>[11055,0.04]</v>
      </c>
      <c r="AG130" t="str">
        <f t="shared" si="72"/>
        <v/>
      </c>
      <c r="AH130" t="str">
        <f>IFERROR(IF(R130&lt;&gt;"",_xlfn.XLOOKUP(R130,[1]ModifierDes!$B:$B,[1]ModifierDes!$A:$A,""),""),"")</f>
        <v/>
      </c>
      <c r="AI130" t="str">
        <f>IFERROR(IF(T130&lt;&gt;"",_xlfn.XLOOKUP(T130,[1]ModifierDes!$B:$B,[1]ModifierDes!$A:$A,""),""),"")</f>
        <v/>
      </c>
      <c r="AJ130" t="str">
        <f>IFERROR(IF(V130&lt;&gt;"",_xlfn.XLOOKUP(V130,[1]ModifierDes!$B:$B,[1]ModifierDes!$A:$A,""),""),"")</f>
        <v/>
      </c>
      <c r="AK130" t="str">
        <f>IFERROR(IF(X130&lt;&gt;"",_xlfn.XLOOKUP(X130,[1]ModifierDes!$B:$B,[1]ModifierDes!$A:$A,""),""),"")</f>
        <v/>
      </c>
      <c r="AL130" t="str">
        <f t="shared" si="68"/>
        <v/>
      </c>
      <c r="AM130" t="str">
        <f t="shared" si="69"/>
        <v/>
      </c>
      <c r="AN130" t="str">
        <f t="shared" si="70"/>
        <v/>
      </c>
      <c r="AO130" t="str">
        <f t="shared" si="62"/>
        <v/>
      </c>
      <c r="AP130" t="str">
        <f>IFERROR(IF(Z130&lt;&gt;"",_xlfn.XLOOKUP(Z130,[1]StuntDes!$B:$B,[1]StuntDes!$A:$A,""),""),"")</f>
        <v/>
      </c>
      <c r="AQ130" t="str">
        <f>IFERROR(IF(AA130&lt;&gt;"",_xlfn.XLOOKUP(AA130,[1]StuntDes!$B:$B,[1]StuntDes!$A:$A,""),""),"")</f>
        <v/>
      </c>
    </row>
    <row r="131" spans="1:43">
      <c r="A131" s="16">
        <f t="shared" si="60"/>
        <v>51001</v>
      </c>
      <c r="B131" s="17" t="s">
        <v>346</v>
      </c>
      <c r="C131" s="17">
        <v>5100</v>
      </c>
      <c r="D131" s="18">
        <v>1</v>
      </c>
      <c r="E131" s="18" t="str">
        <f t="shared" si="76"/>
        <v>[[15100,1]]</v>
      </c>
      <c r="F131" s="14"/>
      <c r="G131" s="18" t="str">
        <f t="shared" si="64"/>
        <v/>
      </c>
      <c r="H131" s="18" t="str">
        <f t="shared" si="61"/>
        <v/>
      </c>
      <c r="I131" s="18" t="str">
        <f t="shared" si="65"/>
        <v/>
      </c>
      <c r="J131" s="18" t="str">
        <f t="shared" si="66"/>
        <v>[[10303,0.13],[11055,0.04]]</v>
      </c>
      <c r="K131" t="str">
        <f>_xlfn.XLOOKUP(C131,Pet!A:A,Pet!E:E)</f>
        <v>R-物理</v>
      </c>
      <c r="L131" t="s">
        <v>197</v>
      </c>
      <c r="M131">
        <v>0.13</v>
      </c>
      <c r="N131" t="s">
        <v>200</v>
      </c>
      <c r="O131">
        <v>0.04</v>
      </c>
      <c r="AB131">
        <f>IFERROR(IF(L131&lt;&gt;"",_xlfn.XLOOKUP(L131,[1]AttributeName!$C:$C,[1]AttributeName!$B:$B,""),""),"")</f>
        <v>10303</v>
      </c>
      <c r="AC131">
        <f>IFERROR(IF(N131&lt;&gt;"",_xlfn.XLOOKUP(N131,[1]AttributeName!$C:$C,[1]AttributeName!$B:$B,""),""),"")</f>
        <v>11055</v>
      </c>
      <c r="AD131" t="str">
        <f>IFERROR(IF(P131&lt;&gt;"",_xlfn.XLOOKUP(P131,[1]AttributeName!$C:$C,[1]AttributeName!$B:$B,""),""),"")</f>
        <v/>
      </c>
      <c r="AE131" t="str">
        <f t="shared" si="67"/>
        <v>[10303,0.13]</v>
      </c>
      <c r="AF131" t="str">
        <f t="shared" si="71"/>
        <v>[11055,0.04]</v>
      </c>
      <c r="AG131" t="str">
        <f t="shared" si="72"/>
        <v/>
      </c>
      <c r="AH131" t="str">
        <f>IFERROR(IF(R131&lt;&gt;"",_xlfn.XLOOKUP(R131,[1]ModifierDes!$B:$B,[1]ModifierDes!$A:$A,""),""),"")</f>
        <v/>
      </c>
      <c r="AI131" t="str">
        <f>IFERROR(IF(T131&lt;&gt;"",_xlfn.XLOOKUP(T131,[1]ModifierDes!$B:$B,[1]ModifierDes!$A:$A,""),""),"")</f>
        <v/>
      </c>
      <c r="AJ131" t="str">
        <f>IFERROR(IF(V131&lt;&gt;"",_xlfn.XLOOKUP(V131,[1]ModifierDes!$B:$B,[1]ModifierDes!$A:$A,""),""),"")</f>
        <v/>
      </c>
      <c r="AK131" t="str">
        <f>IFERROR(IF(X131&lt;&gt;"",_xlfn.XLOOKUP(X131,[1]ModifierDes!$B:$B,[1]ModifierDes!$A:$A,""),""),"")</f>
        <v/>
      </c>
      <c r="AL131" t="str">
        <f t="shared" si="68"/>
        <v/>
      </c>
      <c r="AM131" t="str">
        <f t="shared" si="69"/>
        <v/>
      </c>
      <c r="AN131" t="str">
        <f t="shared" si="70"/>
        <v/>
      </c>
      <c r="AO131" t="str">
        <f t="shared" si="62"/>
        <v/>
      </c>
      <c r="AP131" t="str">
        <f>IFERROR(IF(Z131&lt;&gt;"",_xlfn.XLOOKUP(Z131,[1]StuntDes!$B:$B,[1]StuntDes!$A:$A,""),""),"")</f>
        <v/>
      </c>
      <c r="AQ131" t="str">
        <f>IFERROR(IF(AA131&lt;&gt;"",_xlfn.XLOOKUP(AA131,[1]StuntDes!$B:$B,[1]StuntDes!$A:$A,""),""),"")</f>
        <v/>
      </c>
    </row>
    <row r="132" spans="1:43">
      <c r="A132" s="16">
        <f t="shared" si="60"/>
        <v>51002</v>
      </c>
      <c r="B132" s="17" t="s">
        <v>347</v>
      </c>
      <c r="C132" s="17">
        <v>5100</v>
      </c>
      <c r="D132" s="18">
        <v>2</v>
      </c>
      <c r="E132" s="18" t="str">
        <f t="shared" si="76"/>
        <v>[[15100,1]]</v>
      </c>
      <c r="F132" s="14"/>
      <c r="G132" s="18" t="str">
        <f t="shared" si="64"/>
        <v/>
      </c>
      <c r="H132" s="18" t="str">
        <f t="shared" si="61"/>
        <v/>
      </c>
      <c r="I132" s="18" t="str">
        <f t="shared" si="65"/>
        <v/>
      </c>
      <c r="J132" s="18" t="str">
        <f t="shared" si="66"/>
        <v>[[10303,0.13],[11055,0.14]]</v>
      </c>
      <c r="K132" t="str">
        <f>_xlfn.XLOOKUP(C132,Pet!A:A,Pet!E:E)</f>
        <v>R-物理</v>
      </c>
      <c r="L132" t="s">
        <v>197</v>
      </c>
      <c r="M132">
        <v>0.13</v>
      </c>
      <c r="N132" t="s">
        <v>200</v>
      </c>
      <c r="O132">
        <v>0.14</v>
      </c>
      <c r="AB132">
        <f>IFERROR(IF(L132&lt;&gt;"",_xlfn.XLOOKUP(L132,[1]AttributeName!$C:$C,[1]AttributeName!$B:$B,""),""),"")</f>
        <v>10303</v>
      </c>
      <c r="AC132">
        <f>IFERROR(IF(N132&lt;&gt;"",_xlfn.XLOOKUP(N132,[1]AttributeName!$C:$C,[1]AttributeName!$B:$B,""),""),"")</f>
        <v>11055</v>
      </c>
      <c r="AD132" t="str">
        <f>IFERROR(IF(P132&lt;&gt;"",_xlfn.XLOOKUP(P132,[1]AttributeName!$C:$C,[1]AttributeName!$B:$B,""),""),"")</f>
        <v/>
      </c>
      <c r="AE132" t="str">
        <f t="shared" si="67"/>
        <v>[10303,0.13]</v>
      </c>
      <c r="AF132" t="str">
        <f t="shared" si="71"/>
        <v>[11055,0.14]</v>
      </c>
      <c r="AG132" t="str">
        <f t="shared" si="72"/>
        <v/>
      </c>
      <c r="AH132" t="str">
        <f>IFERROR(IF(R132&lt;&gt;"",_xlfn.XLOOKUP(R132,[1]ModifierDes!$B:$B,[1]ModifierDes!$A:$A,""),""),"")</f>
        <v/>
      </c>
      <c r="AI132" t="str">
        <f>IFERROR(IF(T132&lt;&gt;"",_xlfn.XLOOKUP(T132,[1]ModifierDes!$B:$B,[1]ModifierDes!$A:$A,""),""),"")</f>
        <v/>
      </c>
      <c r="AJ132" t="str">
        <f>IFERROR(IF(V132&lt;&gt;"",_xlfn.XLOOKUP(V132,[1]ModifierDes!$B:$B,[1]ModifierDes!$A:$A,""),""),"")</f>
        <v/>
      </c>
      <c r="AK132" t="str">
        <f>IFERROR(IF(X132&lt;&gt;"",_xlfn.XLOOKUP(X132,[1]ModifierDes!$B:$B,[1]ModifierDes!$A:$A,""),""),"")</f>
        <v/>
      </c>
      <c r="AL132" t="str">
        <f t="shared" si="68"/>
        <v/>
      </c>
      <c r="AM132" t="str">
        <f t="shared" si="69"/>
        <v/>
      </c>
      <c r="AN132" t="str">
        <f t="shared" si="70"/>
        <v/>
      </c>
      <c r="AO132" t="str">
        <f t="shared" si="62"/>
        <v/>
      </c>
      <c r="AP132" t="str">
        <f>IFERROR(IF(Z132&lt;&gt;"",_xlfn.XLOOKUP(Z132,[1]StuntDes!$B:$B,[1]StuntDes!$A:$A,""),""),"")</f>
        <v/>
      </c>
      <c r="AQ132" t="str">
        <f>IFERROR(IF(AA132&lt;&gt;"",_xlfn.XLOOKUP(AA132,[1]StuntDes!$B:$B,[1]StuntDes!$A:$A,""),""),"")</f>
        <v/>
      </c>
    </row>
    <row r="133" spans="1:43">
      <c r="A133" s="16">
        <f t="shared" si="60"/>
        <v>51003</v>
      </c>
      <c r="B133" s="17" t="s">
        <v>348</v>
      </c>
      <c r="C133" s="17">
        <v>5100</v>
      </c>
      <c r="D133" s="18">
        <v>3</v>
      </c>
      <c r="E133" s="18" t="str">
        <f t="shared" si="76"/>
        <v>[[15100,1]]</v>
      </c>
      <c r="F133" s="14"/>
      <c r="G133" s="18" t="str">
        <f t="shared" si="64"/>
        <v/>
      </c>
      <c r="H133" s="18" t="str">
        <f t="shared" ref="H133:H171" si="77">IF(R133="","",_xlfn.CONCAT("[",_xlfn.TEXTJOIN(",",TRUE,AL133:AO133),"]"))</f>
        <v/>
      </c>
      <c r="I133" s="18" t="str">
        <f t="shared" si="65"/>
        <v/>
      </c>
      <c r="J133" s="18" t="str">
        <f t="shared" si="66"/>
        <v>[[10303,0.13],[11055,0.14],[10300,0.1]]</v>
      </c>
      <c r="K133" t="str">
        <f>_xlfn.XLOOKUP(C133,Pet!A:A,Pet!E:E)</f>
        <v>R-物理</v>
      </c>
      <c r="L133" t="s">
        <v>197</v>
      </c>
      <c r="M133">
        <v>0.13</v>
      </c>
      <c r="N133" t="s">
        <v>200</v>
      </c>
      <c r="O133">
        <v>0.14</v>
      </c>
      <c r="P133" t="s">
        <v>193</v>
      </c>
      <c r="Q133">
        <v>0.1</v>
      </c>
      <c r="AB133">
        <f>IFERROR(IF(L133&lt;&gt;"",_xlfn.XLOOKUP(L133,[1]AttributeName!$C:$C,[1]AttributeName!$B:$B,""),""),"")</f>
        <v>10303</v>
      </c>
      <c r="AC133">
        <f>IFERROR(IF(N133&lt;&gt;"",_xlfn.XLOOKUP(N133,[1]AttributeName!$C:$C,[1]AttributeName!$B:$B,""),""),"")</f>
        <v>11055</v>
      </c>
      <c r="AD133">
        <f>IFERROR(IF(P133&lt;&gt;"",_xlfn.XLOOKUP(P133,[1]AttributeName!$C:$C,[1]AttributeName!$B:$B,""),""),"")</f>
        <v>10300</v>
      </c>
      <c r="AE133" t="str">
        <f t="shared" si="67"/>
        <v>[10303,0.13]</v>
      </c>
      <c r="AF133" t="str">
        <f t="shared" si="71"/>
        <v>[11055,0.14]</v>
      </c>
      <c r="AG133" t="str">
        <f t="shared" si="72"/>
        <v>[10300,0.1]</v>
      </c>
      <c r="AH133" t="str">
        <f>IFERROR(IF(R133&lt;&gt;"",_xlfn.XLOOKUP(R133,[1]ModifierDes!$B:$B,[1]ModifierDes!$A:$A,""),""),"")</f>
        <v/>
      </c>
      <c r="AI133" t="str">
        <f>IFERROR(IF(T133&lt;&gt;"",_xlfn.XLOOKUP(T133,[1]ModifierDes!$B:$B,[1]ModifierDes!$A:$A,""),""),"")</f>
        <v/>
      </c>
      <c r="AJ133" t="str">
        <f>IFERROR(IF(V133&lt;&gt;"",_xlfn.XLOOKUP(V133,[1]ModifierDes!$B:$B,[1]ModifierDes!$A:$A,""),""),"")</f>
        <v/>
      </c>
      <c r="AK133" t="str">
        <f>IFERROR(IF(X133&lt;&gt;"",_xlfn.XLOOKUP(X133,[1]ModifierDes!$B:$B,[1]ModifierDes!$A:$A,""),""),"")</f>
        <v/>
      </c>
      <c r="AL133" t="str">
        <f t="shared" si="68"/>
        <v/>
      </c>
      <c r="AM133" t="str">
        <f t="shared" si="69"/>
        <v/>
      </c>
      <c r="AN133" t="str">
        <f t="shared" si="70"/>
        <v/>
      </c>
      <c r="AO133" t="str">
        <f t="shared" ref="AO133:AO171" si="78">IF(Y133="","",_xlfn.CONCAT("[",Y133,"]"))</f>
        <v/>
      </c>
      <c r="AP133" t="str">
        <f>IFERROR(IF(Z133&lt;&gt;"",_xlfn.XLOOKUP(Z133,[1]StuntDes!$B:$B,[1]StuntDes!$A:$A,""),""),"")</f>
        <v/>
      </c>
      <c r="AQ133" t="str">
        <f>IFERROR(IF(AA133&lt;&gt;"",_xlfn.XLOOKUP(AA133,[1]StuntDes!$B:$B,[1]StuntDes!$A:$A,""),""),"")</f>
        <v/>
      </c>
    </row>
    <row r="134" spans="1:43">
      <c r="A134" s="16">
        <f t="shared" si="60"/>
        <v>51004</v>
      </c>
      <c r="B134" s="17" t="s">
        <v>349</v>
      </c>
      <c r="C134" s="17">
        <v>5100</v>
      </c>
      <c r="D134" s="18">
        <v>4</v>
      </c>
      <c r="E134" s="18" t="str">
        <f t="shared" si="76"/>
        <v>[[15100,1]]</v>
      </c>
      <c r="F134" s="14"/>
      <c r="G134" s="18" t="str">
        <f t="shared" si="64"/>
        <v/>
      </c>
      <c r="H134" s="18" t="str">
        <f t="shared" si="77"/>
        <v/>
      </c>
      <c r="I134" s="18" t="str">
        <f t="shared" si="65"/>
        <v/>
      </c>
      <c r="J134" s="18" t="str">
        <f t="shared" si="66"/>
        <v>[[10303,0.22],[11055,0.14],[10300,0.1]]</v>
      </c>
      <c r="K134" t="str">
        <f>_xlfn.XLOOKUP(C134,Pet!A:A,Pet!E:E)</f>
        <v>R-物理</v>
      </c>
      <c r="L134" t="s">
        <v>197</v>
      </c>
      <c r="M134">
        <v>0.22</v>
      </c>
      <c r="N134" t="s">
        <v>200</v>
      </c>
      <c r="O134">
        <v>0.14</v>
      </c>
      <c r="P134" t="s">
        <v>193</v>
      </c>
      <c r="Q134">
        <v>0.1</v>
      </c>
      <c r="AB134">
        <f>IFERROR(IF(L134&lt;&gt;"",_xlfn.XLOOKUP(L134,[1]AttributeName!$C:$C,[1]AttributeName!$B:$B,""),""),"")</f>
        <v>10303</v>
      </c>
      <c r="AC134">
        <f>IFERROR(IF(N134&lt;&gt;"",_xlfn.XLOOKUP(N134,[1]AttributeName!$C:$C,[1]AttributeName!$B:$B,""),""),"")</f>
        <v>11055</v>
      </c>
      <c r="AD134">
        <f>IFERROR(IF(P134&lt;&gt;"",_xlfn.XLOOKUP(P134,[1]AttributeName!$C:$C,[1]AttributeName!$B:$B,""),""),"")</f>
        <v>10300</v>
      </c>
      <c r="AE134" t="str">
        <f t="shared" si="67"/>
        <v>[10303,0.22]</v>
      </c>
      <c r="AF134" t="str">
        <f t="shared" si="71"/>
        <v>[11055,0.14]</v>
      </c>
      <c r="AG134" t="str">
        <f t="shared" si="72"/>
        <v>[10300,0.1]</v>
      </c>
      <c r="AH134" t="str">
        <f>IFERROR(IF(R134&lt;&gt;"",_xlfn.XLOOKUP(R134,[1]ModifierDes!$B:$B,[1]ModifierDes!$A:$A,""),""),"")</f>
        <v/>
      </c>
      <c r="AI134" t="str">
        <f>IFERROR(IF(T134&lt;&gt;"",_xlfn.XLOOKUP(T134,[1]ModifierDes!$B:$B,[1]ModifierDes!$A:$A,""),""),"")</f>
        <v/>
      </c>
      <c r="AJ134" t="str">
        <f>IFERROR(IF(V134&lt;&gt;"",_xlfn.XLOOKUP(V134,[1]ModifierDes!$B:$B,[1]ModifierDes!$A:$A,""),""),"")</f>
        <v/>
      </c>
      <c r="AK134" t="str">
        <f>IFERROR(IF(X134&lt;&gt;"",_xlfn.XLOOKUP(X134,[1]ModifierDes!$B:$B,[1]ModifierDes!$A:$A,""),""),"")</f>
        <v/>
      </c>
      <c r="AL134" t="str">
        <f t="shared" si="68"/>
        <v/>
      </c>
      <c r="AM134" t="str">
        <f t="shared" si="69"/>
        <v/>
      </c>
      <c r="AN134" t="str">
        <f t="shared" si="70"/>
        <v/>
      </c>
      <c r="AO134" t="str">
        <f t="shared" si="78"/>
        <v/>
      </c>
      <c r="AP134" t="str">
        <f>IFERROR(IF(Z134&lt;&gt;"",_xlfn.XLOOKUP(Z134,[1]StuntDes!$B:$B,[1]StuntDes!$A:$A,""),""),"")</f>
        <v/>
      </c>
      <c r="AQ134" t="str">
        <f>IFERROR(IF(AA134&lt;&gt;"",_xlfn.XLOOKUP(AA134,[1]StuntDes!$B:$B,[1]StuntDes!$A:$A,""),""),"")</f>
        <v/>
      </c>
    </row>
    <row r="135" spans="1:43">
      <c r="A135" s="16">
        <f t="shared" si="60"/>
        <v>51005</v>
      </c>
      <c r="B135" s="17" t="s">
        <v>350</v>
      </c>
      <c r="C135" s="17">
        <v>5100</v>
      </c>
      <c r="D135" s="18">
        <v>5</v>
      </c>
      <c r="E135" s="18"/>
      <c r="F135" s="14"/>
      <c r="G135" s="18" t="str">
        <f t="shared" si="64"/>
        <v/>
      </c>
      <c r="H135" s="18" t="str">
        <f t="shared" si="77"/>
        <v/>
      </c>
      <c r="I135" s="18" t="str">
        <f t="shared" si="65"/>
        <v/>
      </c>
      <c r="J135" s="18" t="str">
        <f t="shared" si="66"/>
        <v>[[10303,0.22],[11055,0.36],[10300,0.1]]</v>
      </c>
      <c r="K135" t="str">
        <f>_xlfn.XLOOKUP(C135,Pet!A:A,Pet!E:E)</f>
        <v>R-物理</v>
      </c>
      <c r="L135" t="s">
        <v>197</v>
      </c>
      <c r="M135">
        <v>0.22</v>
      </c>
      <c r="N135" t="s">
        <v>200</v>
      </c>
      <c r="O135">
        <v>0.36</v>
      </c>
      <c r="P135" t="s">
        <v>193</v>
      </c>
      <c r="Q135">
        <v>0.1</v>
      </c>
      <c r="AB135">
        <f>IFERROR(IF(L135&lt;&gt;"",_xlfn.XLOOKUP(L135,[1]AttributeName!$C:$C,[1]AttributeName!$B:$B,""),""),"")</f>
        <v>10303</v>
      </c>
      <c r="AC135">
        <f>IFERROR(IF(N135&lt;&gt;"",_xlfn.XLOOKUP(N135,[1]AttributeName!$C:$C,[1]AttributeName!$B:$B,""),""),"")</f>
        <v>11055</v>
      </c>
      <c r="AD135">
        <f>IFERROR(IF(P135&lt;&gt;"",_xlfn.XLOOKUP(P135,[1]AttributeName!$C:$C,[1]AttributeName!$B:$B,""),""),"")</f>
        <v>10300</v>
      </c>
      <c r="AE135" t="str">
        <f t="shared" si="67"/>
        <v>[10303,0.22]</v>
      </c>
      <c r="AF135" t="str">
        <f t="shared" si="71"/>
        <v>[11055,0.36]</v>
      </c>
      <c r="AG135" t="str">
        <f t="shared" si="72"/>
        <v>[10300,0.1]</v>
      </c>
      <c r="AH135" t="str">
        <f>IFERROR(IF(R135&lt;&gt;"",_xlfn.XLOOKUP(R135,[1]ModifierDes!$B:$B,[1]ModifierDes!$A:$A,""),""),"")</f>
        <v/>
      </c>
      <c r="AI135" t="str">
        <f>IFERROR(IF(T135&lt;&gt;"",_xlfn.XLOOKUP(T135,[1]ModifierDes!$B:$B,[1]ModifierDes!$A:$A,""),""),"")</f>
        <v/>
      </c>
      <c r="AJ135" t="str">
        <f>IFERROR(IF(V135&lt;&gt;"",_xlfn.XLOOKUP(V135,[1]ModifierDes!$B:$B,[1]ModifierDes!$A:$A,""),""),"")</f>
        <v/>
      </c>
      <c r="AK135" t="str">
        <f>IFERROR(IF(X135&lt;&gt;"",_xlfn.XLOOKUP(X135,[1]ModifierDes!$B:$B,[1]ModifierDes!$A:$A,""),""),"")</f>
        <v/>
      </c>
      <c r="AL135" t="str">
        <f t="shared" si="68"/>
        <v/>
      </c>
      <c r="AM135" t="str">
        <f t="shared" si="69"/>
        <v/>
      </c>
      <c r="AN135" t="str">
        <f t="shared" si="70"/>
        <v/>
      </c>
      <c r="AO135" t="str">
        <f t="shared" si="78"/>
        <v/>
      </c>
      <c r="AP135" t="str">
        <f>IFERROR(IF(Z135&lt;&gt;"",_xlfn.XLOOKUP(Z135,[1]StuntDes!$B:$B,[1]StuntDes!$A:$A,""),""),"")</f>
        <v/>
      </c>
      <c r="AQ135" t="str">
        <f>IFERROR(IF(AA135&lt;&gt;"",_xlfn.XLOOKUP(AA135,[1]StuntDes!$B:$B,[1]StuntDes!$A:$A,""),""),"")</f>
        <v/>
      </c>
    </row>
    <row r="136" spans="1:43">
      <c r="A136" s="16">
        <f t="shared" si="60"/>
        <v>70120</v>
      </c>
      <c r="B136" s="17" t="s">
        <v>351</v>
      </c>
      <c r="C136" s="17">
        <v>7012</v>
      </c>
      <c r="D136" s="18">
        <v>0</v>
      </c>
      <c r="E136" s="18" t="str">
        <f t="shared" ref="E136:E140" si="79">"[["&amp;C136+10000&amp;",1]]"</f>
        <v>[[17012,1]]</v>
      </c>
      <c r="F136" s="14"/>
      <c r="G136" s="18" t="str">
        <f t="shared" si="64"/>
        <v>10118</v>
      </c>
      <c r="H136" s="18" t="str">
        <f t="shared" si="77"/>
        <v>[[0.1]]</v>
      </c>
      <c r="I136" s="18" t="str">
        <f t="shared" si="65"/>
        <v/>
      </c>
      <c r="J136" s="18" t="str">
        <f t="shared" si="66"/>
        <v>[[10305,0.05]]</v>
      </c>
      <c r="K136" t="str">
        <f>_xlfn.XLOOKUP(C136,Pet!A:A,Pet!E:E)</f>
        <v>SSR-冰冷</v>
      </c>
      <c r="L136" t="s">
        <v>332</v>
      </c>
      <c r="M136">
        <v>0.05</v>
      </c>
      <c r="R136" t="s">
        <v>352</v>
      </c>
      <c r="S136">
        <v>0.1</v>
      </c>
      <c r="AB136">
        <f>IFERROR(IF(L136&lt;&gt;"",_xlfn.XLOOKUP(L136,[1]AttributeName!$C:$C,[1]AttributeName!$B:$B,""),""),"")</f>
        <v>10305</v>
      </c>
      <c r="AC136" t="str">
        <f>IFERROR(IF(N136&lt;&gt;"",_xlfn.XLOOKUP(N136,[1]AttributeName!$C:$C,[1]AttributeName!$B:$B,""),""),"")</f>
        <v/>
      </c>
      <c r="AD136" t="str">
        <f>IFERROR(IF(P136&lt;&gt;"",_xlfn.XLOOKUP(P136,[1]AttributeName!$C:$C,[1]AttributeName!$B:$B,""),""),"")</f>
        <v/>
      </c>
      <c r="AE136" t="str">
        <f t="shared" si="67"/>
        <v>[10305,0.05]</v>
      </c>
      <c r="AF136" t="str">
        <f t="shared" si="71"/>
        <v/>
      </c>
      <c r="AG136" t="str">
        <f t="shared" si="72"/>
        <v/>
      </c>
      <c r="AH136">
        <f>IFERROR(IF(R136&lt;&gt;"",_xlfn.XLOOKUP(R136,[1]ModifierDes!$B:$B,[1]ModifierDes!$A:$A,""),""),"")</f>
        <v>10118</v>
      </c>
      <c r="AI136" t="str">
        <f>IFERROR(IF(T136&lt;&gt;"",_xlfn.XLOOKUP(T136,[1]ModifierDes!$B:$B,[1]ModifierDes!$A:$A,""),""),"")</f>
        <v/>
      </c>
      <c r="AJ136" t="str">
        <f>IFERROR(IF(V136&lt;&gt;"",_xlfn.XLOOKUP(V136,[1]ModifierDes!$B:$B,[1]ModifierDes!$A:$A,""),""),"")</f>
        <v/>
      </c>
      <c r="AK136" t="str">
        <f>IFERROR(IF(X136&lt;&gt;"",_xlfn.XLOOKUP(X136,[1]ModifierDes!$B:$B,[1]ModifierDes!$A:$A,""),""),"")</f>
        <v/>
      </c>
      <c r="AL136" t="str">
        <f t="shared" si="68"/>
        <v>[0.1]</v>
      </c>
      <c r="AM136" t="str">
        <f t="shared" si="69"/>
        <v/>
      </c>
      <c r="AN136" t="str">
        <f t="shared" si="70"/>
        <v/>
      </c>
      <c r="AO136" t="str">
        <f t="shared" si="78"/>
        <v/>
      </c>
      <c r="AP136" t="str">
        <f>IFERROR(IF(Z136&lt;&gt;"",_xlfn.XLOOKUP(Z136,[1]StuntDes!$B:$B,[1]StuntDes!$A:$A,""),""),"")</f>
        <v/>
      </c>
      <c r="AQ136" t="str">
        <f>IFERROR(IF(AA136&lt;&gt;"",_xlfn.XLOOKUP(AA136,[1]StuntDes!$B:$B,[1]StuntDes!$A:$A,""),""),"")</f>
        <v/>
      </c>
    </row>
    <row r="137" spans="1:43">
      <c r="A137" s="16">
        <f t="shared" si="60"/>
        <v>70121</v>
      </c>
      <c r="B137" s="17" t="s">
        <v>353</v>
      </c>
      <c r="C137" s="17">
        <v>7012</v>
      </c>
      <c r="D137" s="18">
        <v>1</v>
      </c>
      <c r="E137" s="18" t="str">
        <f t="shared" si="79"/>
        <v>[[17012,1]]</v>
      </c>
      <c r="F137" s="14"/>
      <c r="G137" s="18" t="str">
        <f t="shared" si="64"/>
        <v>10118</v>
      </c>
      <c r="H137" s="18" t="str">
        <f t="shared" si="77"/>
        <v>[[0.15]]</v>
      </c>
      <c r="I137" s="18" t="str">
        <f t="shared" si="65"/>
        <v/>
      </c>
      <c r="J137" s="18" t="str">
        <f t="shared" si="66"/>
        <v>[[10305,0.05],[11008,0.1]]</v>
      </c>
      <c r="K137" t="str">
        <f>_xlfn.XLOOKUP(C137,Pet!A:A,Pet!E:E)</f>
        <v>SSR-冰冷</v>
      </c>
      <c r="L137" t="s">
        <v>332</v>
      </c>
      <c r="M137">
        <v>0.05</v>
      </c>
      <c r="N137" t="s">
        <v>333</v>
      </c>
      <c r="O137">
        <v>0.1</v>
      </c>
      <c r="R137" t="s">
        <v>352</v>
      </c>
      <c r="S137">
        <v>0.15</v>
      </c>
      <c r="AB137">
        <f>IFERROR(IF(L137&lt;&gt;"",_xlfn.XLOOKUP(L137,[1]AttributeName!$C:$C,[1]AttributeName!$B:$B,""),""),"")</f>
        <v>10305</v>
      </c>
      <c r="AC137">
        <f>IFERROR(IF(N137&lt;&gt;"",_xlfn.XLOOKUP(N137,[1]AttributeName!$C:$C,[1]AttributeName!$B:$B,""),""),"")</f>
        <v>11008</v>
      </c>
      <c r="AD137" t="str">
        <f>IFERROR(IF(P137&lt;&gt;"",_xlfn.XLOOKUP(P137,[1]AttributeName!$C:$C,[1]AttributeName!$B:$B,""),""),"")</f>
        <v/>
      </c>
      <c r="AE137" t="str">
        <f t="shared" si="67"/>
        <v>[10305,0.05]</v>
      </c>
      <c r="AF137" t="str">
        <f t="shared" si="71"/>
        <v>[11008,0.1]</v>
      </c>
      <c r="AG137" t="str">
        <f t="shared" si="72"/>
        <v/>
      </c>
      <c r="AH137">
        <f>IFERROR(IF(R137&lt;&gt;"",_xlfn.XLOOKUP(R137,[1]ModifierDes!$B:$B,[1]ModifierDes!$A:$A,""),""),"")</f>
        <v>10118</v>
      </c>
      <c r="AI137" t="str">
        <f>IFERROR(IF(T137&lt;&gt;"",_xlfn.XLOOKUP(T137,[1]ModifierDes!$B:$B,[1]ModifierDes!$A:$A,""),""),"")</f>
        <v/>
      </c>
      <c r="AJ137" t="str">
        <f>IFERROR(IF(V137&lt;&gt;"",_xlfn.XLOOKUP(V137,[1]ModifierDes!$B:$B,[1]ModifierDes!$A:$A,""),""),"")</f>
        <v/>
      </c>
      <c r="AK137" t="str">
        <f>IFERROR(IF(X137&lt;&gt;"",_xlfn.XLOOKUP(X137,[1]ModifierDes!$B:$B,[1]ModifierDes!$A:$A,""),""),"")</f>
        <v/>
      </c>
      <c r="AL137" t="str">
        <f t="shared" si="68"/>
        <v>[0.15]</v>
      </c>
      <c r="AM137" t="str">
        <f t="shared" si="69"/>
        <v/>
      </c>
      <c r="AN137" t="str">
        <f t="shared" si="70"/>
        <v/>
      </c>
      <c r="AO137" t="str">
        <f t="shared" si="78"/>
        <v/>
      </c>
      <c r="AP137" t="str">
        <f>IFERROR(IF(Z137&lt;&gt;"",_xlfn.XLOOKUP(Z137,[1]StuntDes!$B:$B,[1]StuntDes!$A:$A,""),""),"")</f>
        <v/>
      </c>
      <c r="AQ137" t="str">
        <f>IFERROR(IF(AA137&lt;&gt;"",_xlfn.XLOOKUP(AA137,[1]StuntDes!$B:$B,[1]StuntDes!$A:$A,""),""),"")</f>
        <v/>
      </c>
    </row>
    <row r="138" spans="1:43">
      <c r="A138" s="16">
        <f t="shared" si="60"/>
        <v>70122</v>
      </c>
      <c r="B138" s="17" t="s">
        <v>354</v>
      </c>
      <c r="C138" s="17">
        <v>7012</v>
      </c>
      <c r="D138" s="18">
        <v>2</v>
      </c>
      <c r="E138" s="18" t="str">
        <f t="shared" si="79"/>
        <v>[[17012,1]]</v>
      </c>
      <c r="F138" s="14"/>
      <c r="G138" s="18" t="str">
        <f t="shared" ref="G138:G171" si="80">_xlfn.TEXTJOIN("|",TRUE,AH138:AJ138)</f>
        <v>10118</v>
      </c>
      <c r="H138" s="18" t="str">
        <f t="shared" si="77"/>
        <v>[[0.2]]</v>
      </c>
      <c r="I138" s="18" t="str">
        <f t="shared" ref="I138:I171" si="81">_xlfn.TEXTJOIN("|",TRUE,AP138:AQ138)</f>
        <v/>
      </c>
      <c r="J138" s="18" t="str">
        <f t="shared" ref="J138:J171" si="82">IF(AB138="","",_xlfn.CONCAT("[",_xlfn.TEXTJOIN(",",TRUE,AE138:AG138),"]"))</f>
        <v>[[10305,0.1],[11008,0.1]]</v>
      </c>
      <c r="K138" t="str">
        <f>_xlfn.XLOOKUP(C138,Pet!A:A,Pet!E:E)</f>
        <v>SSR-冰冷</v>
      </c>
      <c r="L138" t="s">
        <v>332</v>
      </c>
      <c r="M138">
        <v>0.1</v>
      </c>
      <c r="N138" t="s">
        <v>333</v>
      </c>
      <c r="O138">
        <v>0.1</v>
      </c>
      <c r="R138" t="s">
        <v>352</v>
      </c>
      <c r="S138">
        <v>0.2</v>
      </c>
      <c r="AB138">
        <f>IFERROR(IF(L138&lt;&gt;"",_xlfn.XLOOKUP(L138,[1]AttributeName!$C:$C,[1]AttributeName!$B:$B,""),""),"")</f>
        <v>10305</v>
      </c>
      <c r="AC138">
        <f>IFERROR(IF(N138&lt;&gt;"",_xlfn.XLOOKUP(N138,[1]AttributeName!$C:$C,[1]AttributeName!$B:$B,""),""),"")</f>
        <v>11008</v>
      </c>
      <c r="AD138" t="str">
        <f>IFERROR(IF(P138&lt;&gt;"",_xlfn.XLOOKUP(P138,[1]AttributeName!$C:$C,[1]AttributeName!$B:$B,""),""),"")</f>
        <v/>
      </c>
      <c r="AE138" t="str">
        <f t="shared" ref="AE138:AE171" si="83">IF(AB138="","",_xlfn.CONCAT("[",AB138,",",M138,"]"))</f>
        <v>[10305,0.1]</v>
      </c>
      <c r="AF138" t="str">
        <f t="shared" si="71"/>
        <v>[11008,0.1]</v>
      </c>
      <c r="AG138" t="str">
        <f t="shared" si="72"/>
        <v/>
      </c>
      <c r="AH138">
        <f>IFERROR(IF(R138&lt;&gt;"",_xlfn.XLOOKUP(R138,[1]ModifierDes!$B:$B,[1]ModifierDes!$A:$A,""),""),"")</f>
        <v>10118</v>
      </c>
      <c r="AI138" t="str">
        <f>IFERROR(IF(T138&lt;&gt;"",_xlfn.XLOOKUP(T138,[1]ModifierDes!$B:$B,[1]ModifierDes!$A:$A,""),""),"")</f>
        <v/>
      </c>
      <c r="AJ138" t="str">
        <f>IFERROR(IF(V138&lt;&gt;"",_xlfn.XLOOKUP(V138,[1]ModifierDes!$B:$B,[1]ModifierDes!$A:$A,""),""),"")</f>
        <v/>
      </c>
      <c r="AK138" t="str">
        <f>IFERROR(IF(X138&lt;&gt;"",_xlfn.XLOOKUP(X138,[1]ModifierDes!$B:$B,[1]ModifierDes!$A:$A,""),""),"")</f>
        <v/>
      </c>
      <c r="AL138" t="str">
        <f t="shared" ref="AL138:AL171" si="84">IF(S138="","",_xlfn.CONCAT("[",S138,"]"))</f>
        <v>[0.2]</v>
      </c>
      <c r="AM138" t="str">
        <f t="shared" ref="AM138:AM171" si="85">IF(U138="","",_xlfn.CONCAT("[",U138,"]"))</f>
        <v/>
      </c>
      <c r="AN138" t="str">
        <f t="shared" ref="AN138:AN171" si="86">IF(W138="","",_xlfn.CONCAT("[",W138,"]"))</f>
        <v/>
      </c>
      <c r="AO138" t="str">
        <f t="shared" si="78"/>
        <v/>
      </c>
      <c r="AP138" t="str">
        <f>IFERROR(IF(Z138&lt;&gt;"",_xlfn.XLOOKUP(Z138,[1]StuntDes!$B:$B,[1]StuntDes!$A:$A,""),""),"")</f>
        <v/>
      </c>
      <c r="AQ138" t="str">
        <f>IFERROR(IF(AA138&lt;&gt;"",_xlfn.XLOOKUP(AA138,[1]StuntDes!$B:$B,[1]StuntDes!$A:$A,""),""),"")</f>
        <v/>
      </c>
    </row>
    <row r="139" spans="1:43">
      <c r="A139" s="16">
        <f t="shared" si="60"/>
        <v>70123</v>
      </c>
      <c r="B139" s="17" t="s">
        <v>355</v>
      </c>
      <c r="C139" s="17">
        <v>7012</v>
      </c>
      <c r="D139" s="18">
        <v>3</v>
      </c>
      <c r="E139" s="18" t="str">
        <f t="shared" si="79"/>
        <v>[[17012,1]]</v>
      </c>
      <c r="F139" s="14"/>
      <c r="G139" s="18" t="str">
        <f t="shared" si="80"/>
        <v>10118</v>
      </c>
      <c r="H139" s="18" t="str">
        <f t="shared" si="77"/>
        <v>[[0.2]]</v>
      </c>
      <c r="I139" s="18" t="str">
        <f t="shared" si="81"/>
        <v/>
      </c>
      <c r="J139" s="18" t="str">
        <f t="shared" si="82"/>
        <v>[[10305,0.1],[11008,0.2],[11050,0.07]]</v>
      </c>
      <c r="K139" t="str">
        <f>_xlfn.XLOOKUP(C139,Pet!A:A,Pet!E:E)</f>
        <v>SSR-冰冷</v>
      </c>
      <c r="L139" t="s">
        <v>332</v>
      </c>
      <c r="M139">
        <v>0.1</v>
      </c>
      <c r="N139" t="s">
        <v>333</v>
      </c>
      <c r="O139">
        <v>0.2</v>
      </c>
      <c r="P139" t="s">
        <v>356</v>
      </c>
      <c r="Q139">
        <v>0.07</v>
      </c>
      <c r="R139" t="s">
        <v>352</v>
      </c>
      <c r="S139">
        <v>0.2</v>
      </c>
      <c r="AB139">
        <f>IFERROR(IF(L139&lt;&gt;"",_xlfn.XLOOKUP(L139,[1]AttributeName!$C:$C,[1]AttributeName!$B:$B,""),""),"")</f>
        <v>10305</v>
      </c>
      <c r="AC139">
        <f>IFERROR(IF(N139&lt;&gt;"",_xlfn.XLOOKUP(N139,[1]AttributeName!$C:$C,[1]AttributeName!$B:$B,""),""),"")</f>
        <v>11008</v>
      </c>
      <c r="AD139">
        <f>IFERROR(IF(P139&lt;&gt;"",_xlfn.XLOOKUP(P139,[1]AttributeName!$C:$C,[1]AttributeName!$B:$B,""),""),"")</f>
        <v>11050</v>
      </c>
      <c r="AE139" t="str">
        <f t="shared" si="83"/>
        <v>[10305,0.1]</v>
      </c>
      <c r="AF139" t="str">
        <f t="shared" si="71"/>
        <v>[11008,0.2]</v>
      </c>
      <c r="AG139" t="str">
        <f t="shared" si="72"/>
        <v>[11050,0.07]</v>
      </c>
      <c r="AH139">
        <f>IFERROR(IF(R139&lt;&gt;"",_xlfn.XLOOKUP(R139,[1]ModifierDes!$B:$B,[1]ModifierDes!$A:$A,""),""),"")</f>
        <v>10118</v>
      </c>
      <c r="AI139" t="str">
        <f>IFERROR(IF(T139&lt;&gt;"",_xlfn.XLOOKUP(T139,[1]ModifierDes!$B:$B,[1]ModifierDes!$A:$A,""),""),"")</f>
        <v/>
      </c>
      <c r="AJ139" t="str">
        <f>IFERROR(IF(V139&lt;&gt;"",_xlfn.XLOOKUP(V139,[1]ModifierDes!$B:$B,[1]ModifierDes!$A:$A,""),""),"")</f>
        <v/>
      </c>
      <c r="AK139" t="str">
        <f>IFERROR(IF(X139&lt;&gt;"",_xlfn.XLOOKUP(X139,[1]ModifierDes!$B:$B,[1]ModifierDes!$A:$A,""),""),"")</f>
        <v/>
      </c>
      <c r="AL139" t="str">
        <f t="shared" si="84"/>
        <v>[0.2]</v>
      </c>
      <c r="AM139" t="str">
        <f t="shared" si="85"/>
        <v/>
      </c>
      <c r="AN139" t="str">
        <f t="shared" si="86"/>
        <v/>
      </c>
      <c r="AO139" t="str">
        <f t="shared" si="78"/>
        <v/>
      </c>
      <c r="AP139" t="str">
        <f>IFERROR(IF(Z139&lt;&gt;"",_xlfn.XLOOKUP(Z139,[1]StuntDes!$B:$B,[1]StuntDes!$A:$A,""),""),"")</f>
        <v/>
      </c>
      <c r="AQ139" t="str">
        <f>IFERROR(IF(AA139&lt;&gt;"",_xlfn.XLOOKUP(AA139,[1]StuntDes!$B:$B,[1]StuntDes!$A:$A,""),""),"")</f>
        <v/>
      </c>
    </row>
    <row r="140" spans="1:43">
      <c r="A140" s="16">
        <f t="shared" si="60"/>
        <v>70124</v>
      </c>
      <c r="B140" s="17" t="s">
        <v>357</v>
      </c>
      <c r="C140" s="17">
        <v>7012</v>
      </c>
      <c r="D140" s="18">
        <v>4</v>
      </c>
      <c r="E140" s="18" t="str">
        <f t="shared" si="79"/>
        <v>[[17012,1]]</v>
      </c>
      <c r="F140" s="14"/>
      <c r="G140" s="18" t="str">
        <f t="shared" si="80"/>
        <v>10118</v>
      </c>
      <c r="H140" s="18" t="str">
        <f t="shared" si="77"/>
        <v>[[0.3]]</v>
      </c>
      <c r="I140" s="18" t="str">
        <f t="shared" si="81"/>
        <v/>
      </c>
      <c r="J140" s="18" t="str">
        <f t="shared" si="82"/>
        <v>[[10305,0.15],[11008,0.2],[11050,0.07]]</v>
      </c>
      <c r="K140" t="str">
        <f>_xlfn.XLOOKUP(C140,Pet!A:A,Pet!E:E)</f>
        <v>SSR-冰冷</v>
      </c>
      <c r="L140" t="s">
        <v>332</v>
      </c>
      <c r="M140">
        <v>0.15</v>
      </c>
      <c r="N140" t="s">
        <v>333</v>
      </c>
      <c r="O140">
        <v>0.2</v>
      </c>
      <c r="P140" t="s">
        <v>356</v>
      </c>
      <c r="Q140">
        <v>0.07</v>
      </c>
      <c r="R140" t="s">
        <v>352</v>
      </c>
      <c r="S140">
        <v>0.3</v>
      </c>
      <c r="AB140">
        <f>IFERROR(IF(L140&lt;&gt;"",_xlfn.XLOOKUP(L140,[1]AttributeName!$C:$C,[1]AttributeName!$B:$B,""),""),"")</f>
        <v>10305</v>
      </c>
      <c r="AC140">
        <f>IFERROR(IF(N140&lt;&gt;"",_xlfn.XLOOKUP(N140,[1]AttributeName!$C:$C,[1]AttributeName!$B:$B,""),""),"")</f>
        <v>11008</v>
      </c>
      <c r="AD140">
        <f>IFERROR(IF(P140&lt;&gt;"",_xlfn.XLOOKUP(P140,[1]AttributeName!$C:$C,[1]AttributeName!$B:$B,""),""),"")</f>
        <v>11050</v>
      </c>
      <c r="AE140" t="str">
        <f t="shared" si="83"/>
        <v>[10305,0.15]</v>
      </c>
      <c r="AF140" t="str">
        <f t="shared" si="71"/>
        <v>[11008,0.2]</v>
      </c>
      <c r="AG140" t="str">
        <f t="shared" si="72"/>
        <v>[11050,0.07]</v>
      </c>
      <c r="AH140">
        <f>IFERROR(IF(R140&lt;&gt;"",_xlfn.XLOOKUP(R140,[1]ModifierDes!$B:$B,[1]ModifierDes!$A:$A,""),""),"")</f>
        <v>10118</v>
      </c>
      <c r="AI140" t="str">
        <f>IFERROR(IF(T140&lt;&gt;"",_xlfn.XLOOKUP(T140,[1]ModifierDes!$B:$B,[1]ModifierDes!$A:$A,""),""),"")</f>
        <v/>
      </c>
      <c r="AJ140" t="str">
        <f>IFERROR(IF(V140&lt;&gt;"",_xlfn.XLOOKUP(V140,[1]ModifierDes!$B:$B,[1]ModifierDes!$A:$A,""),""),"")</f>
        <v/>
      </c>
      <c r="AK140" t="str">
        <f>IFERROR(IF(X140&lt;&gt;"",_xlfn.XLOOKUP(X140,[1]ModifierDes!$B:$B,[1]ModifierDes!$A:$A,""),""),"")</f>
        <v/>
      </c>
      <c r="AL140" t="str">
        <f t="shared" si="84"/>
        <v>[0.3]</v>
      </c>
      <c r="AM140" t="str">
        <f t="shared" si="85"/>
        <v/>
      </c>
      <c r="AN140" t="str">
        <f t="shared" si="86"/>
        <v/>
      </c>
      <c r="AO140" t="str">
        <f t="shared" si="78"/>
        <v/>
      </c>
      <c r="AP140" t="str">
        <f>IFERROR(IF(Z140&lt;&gt;"",_xlfn.XLOOKUP(Z140,[1]StuntDes!$B:$B,[1]StuntDes!$A:$A,""),""),"")</f>
        <v/>
      </c>
      <c r="AQ140" t="str">
        <f>IFERROR(IF(AA140&lt;&gt;"",_xlfn.XLOOKUP(AA140,[1]StuntDes!$B:$B,[1]StuntDes!$A:$A,""),""),"")</f>
        <v/>
      </c>
    </row>
    <row r="141" spans="1:43">
      <c r="A141" s="16">
        <f t="shared" si="60"/>
        <v>70125</v>
      </c>
      <c r="B141" s="17" t="s">
        <v>358</v>
      </c>
      <c r="C141" s="17">
        <v>7012</v>
      </c>
      <c r="D141" s="18">
        <v>5</v>
      </c>
      <c r="E141" s="18"/>
      <c r="F141" s="14"/>
      <c r="G141" s="18" t="str">
        <f t="shared" si="80"/>
        <v>10118|10033</v>
      </c>
      <c r="H141" s="18" t="str">
        <f t="shared" si="77"/>
        <v>[[0.3],[0.25]]</v>
      </c>
      <c r="I141" s="18" t="str">
        <f t="shared" si="81"/>
        <v/>
      </c>
      <c r="J141" s="18" t="str">
        <f t="shared" si="82"/>
        <v>[[10305,0.15],[11008,0.3],[11050,0.07]]</v>
      </c>
      <c r="K141" t="str">
        <f>_xlfn.XLOOKUP(C141,Pet!A:A,Pet!E:E)</f>
        <v>SSR-冰冷</v>
      </c>
      <c r="L141" t="s">
        <v>332</v>
      </c>
      <c r="M141">
        <v>0.15</v>
      </c>
      <c r="N141" t="s">
        <v>333</v>
      </c>
      <c r="O141">
        <v>0.3</v>
      </c>
      <c r="P141" t="s">
        <v>356</v>
      </c>
      <c r="Q141">
        <v>0.07</v>
      </c>
      <c r="R141" t="s">
        <v>352</v>
      </c>
      <c r="S141">
        <v>0.3</v>
      </c>
      <c r="T141" t="s">
        <v>359</v>
      </c>
      <c r="U141">
        <v>0.25</v>
      </c>
      <c r="AB141">
        <f>IFERROR(IF(L141&lt;&gt;"",_xlfn.XLOOKUP(L141,[1]AttributeName!$C:$C,[1]AttributeName!$B:$B,""),""),"")</f>
        <v>10305</v>
      </c>
      <c r="AC141">
        <f>IFERROR(IF(N141&lt;&gt;"",_xlfn.XLOOKUP(N141,[1]AttributeName!$C:$C,[1]AttributeName!$B:$B,""),""),"")</f>
        <v>11008</v>
      </c>
      <c r="AD141">
        <f>IFERROR(IF(P141&lt;&gt;"",_xlfn.XLOOKUP(P141,[1]AttributeName!$C:$C,[1]AttributeName!$B:$B,""),""),"")</f>
        <v>11050</v>
      </c>
      <c r="AE141" t="str">
        <f t="shared" si="83"/>
        <v>[10305,0.15]</v>
      </c>
      <c r="AF141" t="str">
        <f t="shared" si="71"/>
        <v>[11008,0.3]</v>
      </c>
      <c r="AG141" t="str">
        <f t="shared" si="72"/>
        <v>[11050,0.07]</v>
      </c>
      <c r="AH141">
        <f>IFERROR(IF(R141&lt;&gt;"",_xlfn.XLOOKUP(R141,[1]ModifierDes!$B:$B,[1]ModifierDes!$A:$A,""),""),"")</f>
        <v>10118</v>
      </c>
      <c r="AI141">
        <f>IFERROR(IF(T141&lt;&gt;"",_xlfn.XLOOKUP(T141,[1]ModifierDes!$B:$B,[1]ModifierDes!$A:$A,""),""),"")</f>
        <v>10033</v>
      </c>
      <c r="AJ141" t="str">
        <f>IFERROR(IF(V141&lt;&gt;"",_xlfn.XLOOKUP(V141,[1]ModifierDes!$B:$B,[1]ModifierDes!$A:$A,""),""),"")</f>
        <v/>
      </c>
      <c r="AK141" t="str">
        <f>IFERROR(IF(X141&lt;&gt;"",_xlfn.XLOOKUP(X141,[1]ModifierDes!$B:$B,[1]ModifierDes!$A:$A,""),""),"")</f>
        <v/>
      </c>
      <c r="AL141" t="str">
        <f t="shared" si="84"/>
        <v>[0.3]</v>
      </c>
      <c r="AM141" t="str">
        <f t="shared" si="85"/>
        <v>[0.25]</v>
      </c>
      <c r="AN141" t="str">
        <f t="shared" si="86"/>
        <v/>
      </c>
      <c r="AO141" t="str">
        <f t="shared" si="78"/>
        <v/>
      </c>
      <c r="AP141" t="str">
        <f>IFERROR(IF(Z141&lt;&gt;"",_xlfn.XLOOKUP(Z141,[1]StuntDes!$B:$B,[1]StuntDes!$A:$A,""),""),"")</f>
        <v/>
      </c>
      <c r="AQ141" t="str">
        <f>IFERROR(IF(AA141&lt;&gt;"",_xlfn.XLOOKUP(AA141,[1]StuntDes!$B:$B,[1]StuntDes!$A:$A,""),""),"")</f>
        <v/>
      </c>
    </row>
    <row r="142" spans="1:43">
      <c r="A142" s="16">
        <f t="shared" si="60"/>
        <v>70620</v>
      </c>
      <c r="B142" s="17" t="s">
        <v>360</v>
      </c>
      <c r="C142" s="17">
        <v>7062</v>
      </c>
      <c r="D142" s="18">
        <v>0</v>
      </c>
      <c r="E142" s="18" t="str">
        <f t="shared" ref="E142:E146" si="87">"[["&amp;C142+10000&amp;",1]]"</f>
        <v>[[17062,1]]</v>
      </c>
      <c r="F142" s="14"/>
      <c r="G142" s="18" t="str">
        <f t="shared" si="80"/>
        <v>10088</v>
      </c>
      <c r="H142" s="18" t="str">
        <f t="shared" si="77"/>
        <v>[[0.1]]</v>
      </c>
      <c r="I142" s="18" t="str">
        <f t="shared" si="81"/>
        <v/>
      </c>
      <c r="J142" s="18" t="str">
        <f t="shared" si="82"/>
        <v>[[10300,0.04]]</v>
      </c>
      <c r="K142" t="str">
        <f>_xlfn.XLOOKUP(C142,Pet!A:A,Pet!E:E)</f>
        <v>SSR-近战</v>
      </c>
      <c r="L142" t="s">
        <v>193</v>
      </c>
      <c r="M142">
        <v>0.04</v>
      </c>
      <c r="R142" t="s">
        <v>361</v>
      </c>
      <c r="S142">
        <v>0.1</v>
      </c>
      <c r="T142"/>
      <c r="U142"/>
      <c r="V142"/>
      <c r="W142"/>
      <c r="AB142">
        <f>IFERROR(IF(L142&lt;&gt;"",_xlfn.XLOOKUP(L142,[1]AttributeName!$C:$C,[1]AttributeName!$B:$B,""),""),"")</f>
        <v>10300</v>
      </c>
      <c r="AC142" t="str">
        <f>IFERROR(IF(N142&lt;&gt;"",_xlfn.XLOOKUP(N142,[1]AttributeName!$C:$C,[1]AttributeName!$B:$B,""),""),"")</f>
        <v/>
      </c>
      <c r="AD142" t="str">
        <f>IFERROR(IF(P142&lt;&gt;"",_xlfn.XLOOKUP(P142,[1]AttributeName!$C:$C,[1]AttributeName!$B:$B,""),""),"")</f>
        <v/>
      </c>
      <c r="AE142" t="str">
        <f t="shared" si="83"/>
        <v>[10300,0.04]</v>
      </c>
      <c r="AF142" t="str">
        <f t="shared" ref="AF142:AF171" si="88">IF(AC142="","",_xlfn.CONCAT("[",AC142,",",O142,"]"))</f>
        <v/>
      </c>
      <c r="AG142" t="str">
        <f t="shared" ref="AG142:AG171" si="89">IF(AD142="","",_xlfn.CONCAT("[",AD142,",",Q142,"]"))</f>
        <v/>
      </c>
      <c r="AH142">
        <f>IFERROR(IF(R142&lt;&gt;"",_xlfn.XLOOKUP(R142,[1]ModifierDes!$B:$B,[1]ModifierDes!$A:$A,""),""),"")</f>
        <v>10088</v>
      </c>
      <c r="AI142" t="str">
        <f>IFERROR(IF(T142&lt;&gt;"",_xlfn.XLOOKUP(T142,[1]ModifierDes!$B:$B,[1]ModifierDes!$A:$A,""),""),"")</f>
        <v/>
      </c>
      <c r="AJ142" t="str">
        <f>IFERROR(IF(V142&lt;&gt;"",_xlfn.XLOOKUP(V142,[1]ModifierDes!$B:$B,[1]ModifierDes!$A:$A,""),""),"")</f>
        <v/>
      </c>
      <c r="AK142" t="str">
        <f>IFERROR(IF(X142&lt;&gt;"",_xlfn.XLOOKUP(X142,[1]ModifierDes!$B:$B,[1]ModifierDes!$A:$A,""),""),"")</f>
        <v/>
      </c>
      <c r="AL142" t="str">
        <f t="shared" si="84"/>
        <v>[0.1]</v>
      </c>
      <c r="AM142" t="str">
        <f t="shared" si="85"/>
        <v/>
      </c>
      <c r="AN142" t="str">
        <f t="shared" si="86"/>
        <v/>
      </c>
      <c r="AO142" t="str">
        <f t="shared" si="78"/>
        <v/>
      </c>
      <c r="AP142" t="str">
        <f>IFERROR(IF(Z142&lt;&gt;"",_xlfn.XLOOKUP(Z142,[1]StuntDes!$B:$B,[1]StuntDes!$A:$A,""),""),"")</f>
        <v/>
      </c>
      <c r="AQ142" t="str">
        <f>IFERROR(IF(AA142&lt;&gt;"",_xlfn.XLOOKUP(AA142,[1]StuntDes!$B:$B,[1]StuntDes!$A:$A,""),""),"")</f>
        <v/>
      </c>
    </row>
    <row r="143" spans="1:43">
      <c r="A143" s="16">
        <f t="shared" si="60"/>
        <v>70621</v>
      </c>
      <c r="B143" s="17" t="s">
        <v>362</v>
      </c>
      <c r="C143" s="17">
        <v>7062</v>
      </c>
      <c r="D143" s="18">
        <v>1</v>
      </c>
      <c r="E143" s="18" t="str">
        <f t="shared" si="87"/>
        <v>[[17062,1]]</v>
      </c>
      <c r="F143" s="14"/>
      <c r="G143" s="18" t="str">
        <f t="shared" si="80"/>
        <v>10088|10080</v>
      </c>
      <c r="H143" s="18" t="str">
        <f t="shared" si="77"/>
        <v>[[0.15],[0.04]]</v>
      </c>
      <c r="I143" s="18" t="str">
        <f t="shared" si="81"/>
        <v/>
      </c>
      <c r="J143" s="18" t="str">
        <f t="shared" si="82"/>
        <v>[[10300,0.04]]</v>
      </c>
      <c r="K143" t="str">
        <f>_xlfn.XLOOKUP(C143,Pet!A:A,Pet!E:E)</f>
        <v>SSR-近战</v>
      </c>
      <c r="L143" t="s">
        <v>193</v>
      </c>
      <c r="M143">
        <v>0.04</v>
      </c>
      <c r="R143" t="s">
        <v>361</v>
      </c>
      <c r="S143">
        <v>0.15</v>
      </c>
      <c r="T143" t="s">
        <v>235</v>
      </c>
      <c r="U143">
        <v>0.04</v>
      </c>
      <c r="V143"/>
      <c r="W143"/>
      <c r="AB143">
        <f>IFERROR(IF(L143&lt;&gt;"",_xlfn.XLOOKUP(L143,[1]AttributeName!$C:$C,[1]AttributeName!$B:$B,""),""),"")</f>
        <v>10300</v>
      </c>
      <c r="AC143" t="str">
        <f>IFERROR(IF(N143&lt;&gt;"",_xlfn.XLOOKUP(N143,[1]AttributeName!$C:$C,[1]AttributeName!$B:$B,""),""),"")</f>
        <v/>
      </c>
      <c r="AD143" t="str">
        <f>IFERROR(IF(P143&lt;&gt;"",_xlfn.XLOOKUP(P143,[1]AttributeName!$C:$C,[1]AttributeName!$B:$B,""),""),"")</f>
        <v/>
      </c>
      <c r="AE143" t="str">
        <f t="shared" si="83"/>
        <v>[10300,0.04]</v>
      </c>
      <c r="AF143" t="str">
        <f t="shared" si="88"/>
        <v/>
      </c>
      <c r="AG143" t="str">
        <f t="shared" si="89"/>
        <v/>
      </c>
      <c r="AH143">
        <f>IFERROR(IF(R143&lt;&gt;"",_xlfn.XLOOKUP(R143,[1]ModifierDes!$B:$B,[1]ModifierDes!$A:$A,""),""),"")</f>
        <v>10088</v>
      </c>
      <c r="AI143">
        <f>IFERROR(IF(T143&lt;&gt;"",_xlfn.XLOOKUP(T143,[1]ModifierDes!$B:$B,[1]ModifierDes!$A:$A,""),""),"")</f>
        <v>10080</v>
      </c>
      <c r="AJ143" t="str">
        <f>IFERROR(IF(V143&lt;&gt;"",_xlfn.XLOOKUP(V143,[1]ModifierDes!$B:$B,[1]ModifierDes!$A:$A,""),""),"")</f>
        <v/>
      </c>
      <c r="AK143" t="str">
        <f>IFERROR(IF(X143&lt;&gt;"",_xlfn.XLOOKUP(X143,[1]ModifierDes!$B:$B,[1]ModifierDes!$A:$A,""),""),"")</f>
        <v/>
      </c>
      <c r="AL143" t="str">
        <f t="shared" si="84"/>
        <v>[0.15]</v>
      </c>
      <c r="AM143" t="str">
        <f t="shared" si="85"/>
        <v>[0.04]</v>
      </c>
      <c r="AN143" t="str">
        <f t="shared" si="86"/>
        <v/>
      </c>
      <c r="AO143" t="str">
        <f t="shared" si="78"/>
        <v/>
      </c>
      <c r="AP143" t="str">
        <f>IFERROR(IF(Z143&lt;&gt;"",_xlfn.XLOOKUP(Z143,[1]StuntDes!$B:$B,[1]StuntDes!$A:$A,""),""),"")</f>
        <v/>
      </c>
      <c r="AQ143" t="str">
        <f>IFERROR(IF(AA143&lt;&gt;"",_xlfn.XLOOKUP(AA143,[1]StuntDes!$B:$B,[1]StuntDes!$A:$A,""),""),"")</f>
        <v/>
      </c>
    </row>
    <row r="144" spans="1:43">
      <c r="A144" s="16">
        <f t="shared" si="60"/>
        <v>70622</v>
      </c>
      <c r="B144" s="17" t="s">
        <v>363</v>
      </c>
      <c r="C144" s="17">
        <v>7062</v>
      </c>
      <c r="D144" s="18">
        <v>2</v>
      </c>
      <c r="E144" s="18" t="str">
        <f t="shared" si="87"/>
        <v>[[17062,1]]</v>
      </c>
      <c r="F144" s="14"/>
      <c r="G144" s="18" t="str">
        <f t="shared" si="80"/>
        <v>10088|10080</v>
      </c>
      <c r="H144" s="18" t="str">
        <f t="shared" si="77"/>
        <v>[[0.2],[0.04]]</v>
      </c>
      <c r="I144" s="18" t="str">
        <f t="shared" si="81"/>
        <v/>
      </c>
      <c r="J144" s="18" t="str">
        <f t="shared" si="82"/>
        <v>[[10300,0.08]]</v>
      </c>
      <c r="K144" t="str">
        <f>_xlfn.XLOOKUP(C144,Pet!A:A,Pet!E:E)</f>
        <v>SSR-近战</v>
      </c>
      <c r="L144" t="s">
        <v>193</v>
      </c>
      <c r="M144">
        <v>0.08</v>
      </c>
      <c r="R144" t="s">
        <v>361</v>
      </c>
      <c r="S144">
        <v>0.2</v>
      </c>
      <c r="T144" t="s">
        <v>235</v>
      </c>
      <c r="U144">
        <v>0.04</v>
      </c>
      <c r="V144"/>
      <c r="W144"/>
      <c r="AB144">
        <f>IFERROR(IF(L144&lt;&gt;"",_xlfn.XLOOKUP(L144,[1]AttributeName!$C:$C,[1]AttributeName!$B:$B,""),""),"")</f>
        <v>10300</v>
      </c>
      <c r="AC144" t="str">
        <f>IFERROR(IF(N144&lt;&gt;"",_xlfn.XLOOKUP(N144,[1]AttributeName!$C:$C,[1]AttributeName!$B:$B,""),""),"")</f>
        <v/>
      </c>
      <c r="AD144" t="str">
        <f>IFERROR(IF(P144&lt;&gt;"",_xlfn.XLOOKUP(P144,[1]AttributeName!$C:$C,[1]AttributeName!$B:$B,""),""),"")</f>
        <v/>
      </c>
      <c r="AE144" t="str">
        <f t="shared" si="83"/>
        <v>[10300,0.08]</v>
      </c>
      <c r="AF144" t="str">
        <f t="shared" si="88"/>
        <v/>
      </c>
      <c r="AG144" t="str">
        <f t="shared" si="89"/>
        <v/>
      </c>
      <c r="AH144">
        <f>IFERROR(IF(R144&lt;&gt;"",_xlfn.XLOOKUP(R144,[1]ModifierDes!$B:$B,[1]ModifierDes!$A:$A,""),""),"")</f>
        <v>10088</v>
      </c>
      <c r="AI144">
        <f>IFERROR(IF(T144&lt;&gt;"",_xlfn.XLOOKUP(T144,[1]ModifierDes!$B:$B,[1]ModifierDes!$A:$A,""),""),"")</f>
        <v>10080</v>
      </c>
      <c r="AJ144" t="str">
        <f>IFERROR(IF(V144&lt;&gt;"",_xlfn.XLOOKUP(V144,[1]ModifierDes!$B:$B,[1]ModifierDes!$A:$A,""),""),"")</f>
        <v/>
      </c>
      <c r="AK144" t="str">
        <f>IFERROR(IF(X144&lt;&gt;"",_xlfn.XLOOKUP(X144,[1]ModifierDes!$B:$B,[1]ModifierDes!$A:$A,""),""),"")</f>
        <v/>
      </c>
      <c r="AL144" t="str">
        <f t="shared" si="84"/>
        <v>[0.2]</v>
      </c>
      <c r="AM144" t="str">
        <f t="shared" si="85"/>
        <v>[0.04]</v>
      </c>
      <c r="AN144" t="str">
        <f t="shared" si="86"/>
        <v/>
      </c>
      <c r="AO144" t="str">
        <f t="shared" si="78"/>
        <v/>
      </c>
      <c r="AP144" t="str">
        <f>IFERROR(IF(Z144&lt;&gt;"",_xlfn.XLOOKUP(Z144,[1]StuntDes!$B:$B,[1]StuntDes!$A:$A,""),""),"")</f>
        <v/>
      </c>
      <c r="AQ144" t="str">
        <f>IFERROR(IF(AA144&lt;&gt;"",_xlfn.XLOOKUP(AA144,[1]StuntDes!$B:$B,[1]StuntDes!$A:$A,""),""),"")</f>
        <v/>
      </c>
    </row>
    <row r="145" spans="1:43">
      <c r="A145" s="16">
        <f t="shared" si="60"/>
        <v>70623</v>
      </c>
      <c r="B145" s="17" t="s">
        <v>364</v>
      </c>
      <c r="C145" s="17">
        <v>7062</v>
      </c>
      <c r="D145" s="18">
        <v>3</v>
      </c>
      <c r="E145" s="18" t="str">
        <f t="shared" si="87"/>
        <v>[[17062,1]]</v>
      </c>
      <c r="F145" s="14"/>
      <c r="G145" s="18" t="str">
        <f t="shared" si="80"/>
        <v>10088|10080</v>
      </c>
      <c r="H145" s="18" t="str">
        <f t="shared" si="77"/>
        <v>[[0.27],[0.08]]</v>
      </c>
      <c r="I145" s="18" t="str">
        <f t="shared" si="81"/>
        <v/>
      </c>
      <c r="J145" s="18" t="str">
        <f t="shared" si="82"/>
        <v>[[10300,0.08]]</v>
      </c>
      <c r="K145" t="str">
        <f>_xlfn.XLOOKUP(C145,Pet!A:A,Pet!E:E)</f>
        <v>SSR-近战</v>
      </c>
      <c r="L145" t="s">
        <v>193</v>
      </c>
      <c r="M145">
        <v>0.08</v>
      </c>
      <c r="R145" t="s">
        <v>361</v>
      </c>
      <c r="S145">
        <v>0.27</v>
      </c>
      <c r="T145" t="s">
        <v>235</v>
      </c>
      <c r="U145">
        <v>0.08</v>
      </c>
      <c r="V145"/>
      <c r="W145"/>
      <c r="AB145">
        <f>IFERROR(IF(L145&lt;&gt;"",_xlfn.XLOOKUP(L145,[1]AttributeName!$C:$C,[1]AttributeName!$B:$B,""),""),"")</f>
        <v>10300</v>
      </c>
      <c r="AC145" t="str">
        <f>IFERROR(IF(N145&lt;&gt;"",_xlfn.XLOOKUP(N145,[1]AttributeName!$C:$C,[1]AttributeName!$B:$B,""),""),"")</f>
        <v/>
      </c>
      <c r="AD145" t="str">
        <f>IFERROR(IF(P145&lt;&gt;"",_xlfn.XLOOKUP(P145,[1]AttributeName!$C:$C,[1]AttributeName!$B:$B,""),""),"")</f>
        <v/>
      </c>
      <c r="AE145" t="str">
        <f t="shared" si="83"/>
        <v>[10300,0.08]</v>
      </c>
      <c r="AF145" t="str">
        <f t="shared" si="88"/>
        <v/>
      </c>
      <c r="AG145" t="str">
        <f t="shared" si="89"/>
        <v/>
      </c>
      <c r="AH145">
        <f>IFERROR(IF(R145&lt;&gt;"",_xlfn.XLOOKUP(R145,[1]ModifierDes!$B:$B,[1]ModifierDes!$A:$A,""),""),"")</f>
        <v>10088</v>
      </c>
      <c r="AI145">
        <f>IFERROR(IF(T145&lt;&gt;"",_xlfn.XLOOKUP(T145,[1]ModifierDes!$B:$B,[1]ModifierDes!$A:$A,""),""),"")</f>
        <v>10080</v>
      </c>
      <c r="AJ145" t="str">
        <f>IFERROR(IF(V145&lt;&gt;"",_xlfn.XLOOKUP(V145,[1]ModifierDes!$B:$B,[1]ModifierDes!$A:$A,""),""),"")</f>
        <v/>
      </c>
      <c r="AK145" t="str">
        <f>IFERROR(IF(X145&lt;&gt;"",_xlfn.XLOOKUP(X145,[1]ModifierDes!$B:$B,[1]ModifierDes!$A:$A,""),""),"")</f>
        <v/>
      </c>
      <c r="AL145" t="str">
        <f t="shared" si="84"/>
        <v>[0.27]</v>
      </c>
      <c r="AM145" t="str">
        <f t="shared" si="85"/>
        <v>[0.08]</v>
      </c>
      <c r="AN145" t="str">
        <f t="shared" si="86"/>
        <v/>
      </c>
      <c r="AO145" t="str">
        <f t="shared" si="78"/>
        <v/>
      </c>
      <c r="AP145" t="str">
        <f>IFERROR(IF(Z145&lt;&gt;"",_xlfn.XLOOKUP(Z145,[1]StuntDes!$B:$B,[1]StuntDes!$A:$A,""),""),"")</f>
        <v/>
      </c>
      <c r="AQ145" t="str">
        <f>IFERROR(IF(AA145&lt;&gt;"",_xlfn.XLOOKUP(AA145,[1]StuntDes!$B:$B,[1]StuntDes!$A:$A,""),""),"")</f>
        <v/>
      </c>
    </row>
    <row r="146" spans="1:43">
      <c r="A146" s="16">
        <f t="shared" si="60"/>
        <v>70624</v>
      </c>
      <c r="B146" s="17" t="s">
        <v>365</v>
      </c>
      <c r="C146" s="17">
        <v>7062</v>
      </c>
      <c r="D146" s="18">
        <v>4</v>
      </c>
      <c r="E146" s="18" t="str">
        <f t="shared" si="87"/>
        <v>[[17062,1]]</v>
      </c>
      <c r="F146" s="14"/>
      <c r="G146" s="18" t="str">
        <f t="shared" si="80"/>
        <v>10088|10080</v>
      </c>
      <c r="H146" s="18" t="str">
        <f t="shared" si="77"/>
        <v>[[0.36],[0.08]]</v>
      </c>
      <c r="I146" s="18" t="str">
        <f t="shared" si="81"/>
        <v/>
      </c>
      <c r="J146" s="18" t="str">
        <f t="shared" si="82"/>
        <v>[[10300,0.12]]</v>
      </c>
      <c r="K146" t="str">
        <f>_xlfn.XLOOKUP(C146,Pet!A:A,Pet!E:E)</f>
        <v>SSR-近战</v>
      </c>
      <c r="L146" t="s">
        <v>193</v>
      </c>
      <c r="M146">
        <v>0.12</v>
      </c>
      <c r="R146" t="s">
        <v>361</v>
      </c>
      <c r="S146">
        <v>0.36</v>
      </c>
      <c r="T146" t="s">
        <v>235</v>
      </c>
      <c r="U146">
        <v>0.08</v>
      </c>
      <c r="V146"/>
      <c r="W146"/>
      <c r="AB146">
        <f>IFERROR(IF(L146&lt;&gt;"",_xlfn.XLOOKUP(L146,[1]AttributeName!$C:$C,[1]AttributeName!$B:$B,""),""),"")</f>
        <v>10300</v>
      </c>
      <c r="AC146" t="str">
        <f>IFERROR(IF(N146&lt;&gt;"",_xlfn.XLOOKUP(N146,[1]AttributeName!$C:$C,[1]AttributeName!$B:$B,""),""),"")</f>
        <v/>
      </c>
      <c r="AD146" t="str">
        <f>IFERROR(IF(P146&lt;&gt;"",_xlfn.XLOOKUP(P146,[1]AttributeName!$C:$C,[1]AttributeName!$B:$B,""),""),"")</f>
        <v/>
      </c>
      <c r="AE146" t="str">
        <f t="shared" si="83"/>
        <v>[10300,0.12]</v>
      </c>
      <c r="AF146" t="str">
        <f t="shared" si="88"/>
        <v/>
      </c>
      <c r="AG146" t="str">
        <f t="shared" si="89"/>
        <v/>
      </c>
      <c r="AH146">
        <f>IFERROR(IF(R146&lt;&gt;"",_xlfn.XLOOKUP(R146,[1]ModifierDes!$B:$B,[1]ModifierDes!$A:$A,""),""),"")</f>
        <v>10088</v>
      </c>
      <c r="AI146">
        <f>IFERROR(IF(T146&lt;&gt;"",_xlfn.XLOOKUP(T146,[1]ModifierDes!$B:$B,[1]ModifierDes!$A:$A,""),""),"")</f>
        <v>10080</v>
      </c>
      <c r="AJ146" t="str">
        <f>IFERROR(IF(V146&lt;&gt;"",_xlfn.XLOOKUP(V146,[1]ModifierDes!$B:$B,[1]ModifierDes!$A:$A,""),""),"")</f>
        <v/>
      </c>
      <c r="AK146" t="str">
        <f>IFERROR(IF(X146&lt;&gt;"",_xlfn.XLOOKUP(X146,[1]ModifierDes!$B:$B,[1]ModifierDes!$A:$A,""),""),"")</f>
        <v/>
      </c>
      <c r="AL146" t="str">
        <f t="shared" si="84"/>
        <v>[0.36]</v>
      </c>
      <c r="AM146" t="str">
        <f t="shared" si="85"/>
        <v>[0.08]</v>
      </c>
      <c r="AN146" t="str">
        <f t="shared" si="86"/>
        <v/>
      </c>
      <c r="AO146" t="str">
        <f t="shared" si="78"/>
        <v/>
      </c>
      <c r="AP146" t="str">
        <f>IFERROR(IF(Z146&lt;&gt;"",_xlfn.XLOOKUP(Z146,[1]StuntDes!$B:$B,[1]StuntDes!$A:$A,""),""),"")</f>
        <v/>
      </c>
      <c r="AQ146" t="str">
        <f>IFERROR(IF(AA146&lt;&gt;"",_xlfn.XLOOKUP(AA146,[1]StuntDes!$B:$B,[1]StuntDes!$A:$A,""),""),"")</f>
        <v/>
      </c>
    </row>
    <row r="147" spans="1:43">
      <c r="A147" s="16">
        <f t="shared" si="60"/>
        <v>70625</v>
      </c>
      <c r="B147" s="17" t="s">
        <v>366</v>
      </c>
      <c r="C147" s="17">
        <v>7062</v>
      </c>
      <c r="D147" s="18">
        <v>5</v>
      </c>
      <c r="E147" s="18"/>
      <c r="F147" s="14"/>
      <c r="G147" s="18" t="str">
        <f t="shared" si="80"/>
        <v>10088|10080</v>
      </c>
      <c r="H147" s="18" t="str">
        <f t="shared" si="77"/>
        <v>[[0.36],[0.12]]</v>
      </c>
      <c r="I147" s="18" t="str">
        <f t="shared" si="81"/>
        <v/>
      </c>
      <c r="J147" s="18" t="str">
        <f t="shared" si="82"/>
        <v>[[10300,0.12]]</v>
      </c>
      <c r="K147" t="str">
        <f>_xlfn.XLOOKUP(C147,Pet!A:A,Pet!E:E)</f>
        <v>SSR-近战</v>
      </c>
      <c r="L147" t="s">
        <v>193</v>
      </c>
      <c r="M147">
        <v>0.12</v>
      </c>
      <c r="R147" t="s">
        <v>361</v>
      </c>
      <c r="S147">
        <v>0.36</v>
      </c>
      <c r="T147" t="s">
        <v>235</v>
      </c>
      <c r="U147">
        <v>0.12</v>
      </c>
      <c r="V147"/>
      <c r="W147"/>
      <c r="Z147" t="s">
        <v>367</v>
      </c>
      <c r="AB147">
        <f>IFERROR(IF(L147&lt;&gt;"",_xlfn.XLOOKUP(L147,[1]AttributeName!$C:$C,[1]AttributeName!$B:$B,""),""),"")</f>
        <v>10300</v>
      </c>
      <c r="AC147" t="str">
        <f>IFERROR(IF(N147&lt;&gt;"",_xlfn.XLOOKUP(N147,[1]AttributeName!$C:$C,[1]AttributeName!$B:$B,""),""),"")</f>
        <v/>
      </c>
      <c r="AD147" t="str">
        <f>IFERROR(IF(P147&lt;&gt;"",_xlfn.XLOOKUP(P147,[1]AttributeName!$C:$C,[1]AttributeName!$B:$B,""),""),"")</f>
        <v/>
      </c>
      <c r="AE147" t="str">
        <f t="shared" si="83"/>
        <v>[10300,0.12]</v>
      </c>
      <c r="AF147" t="str">
        <f t="shared" si="88"/>
        <v/>
      </c>
      <c r="AG147" t="str">
        <f t="shared" si="89"/>
        <v/>
      </c>
      <c r="AH147">
        <f>IFERROR(IF(R147&lt;&gt;"",_xlfn.XLOOKUP(R147,[1]ModifierDes!$B:$B,[1]ModifierDes!$A:$A,""),""),"")</f>
        <v>10088</v>
      </c>
      <c r="AI147">
        <f>IFERROR(IF(T147&lt;&gt;"",_xlfn.XLOOKUP(T147,[1]ModifierDes!$B:$B,[1]ModifierDes!$A:$A,""),""),"")</f>
        <v>10080</v>
      </c>
      <c r="AJ147" t="str">
        <f>IFERROR(IF(V147&lt;&gt;"",_xlfn.XLOOKUP(V147,[1]ModifierDes!$B:$B,[1]ModifierDes!$A:$A,""),""),"")</f>
        <v/>
      </c>
      <c r="AK147" t="str">
        <f>IFERROR(IF(X147&lt;&gt;"",_xlfn.XLOOKUP(X147,[1]ModifierDes!$B:$B,[1]ModifierDes!$A:$A,""),""),"")</f>
        <v/>
      </c>
      <c r="AL147" t="str">
        <f t="shared" si="84"/>
        <v>[0.36]</v>
      </c>
      <c r="AM147" t="str">
        <f t="shared" si="85"/>
        <v>[0.12]</v>
      </c>
      <c r="AN147" t="str">
        <f t="shared" si="86"/>
        <v/>
      </c>
      <c r="AO147" t="str">
        <f t="shared" si="78"/>
        <v/>
      </c>
      <c r="AP147" t="str">
        <f>IFERROR(IF(Z147&lt;&gt;"",_xlfn.XLOOKUP(Z147,[1]StuntDes!$B:$B,[1]StuntDes!$A:$A,""),""),"")</f>
        <v/>
      </c>
      <c r="AQ147" t="str">
        <f>IFERROR(IF(AA147&lt;&gt;"",_xlfn.XLOOKUP(AA147,[1]StuntDes!$B:$B,[1]StuntDes!$A:$A,""),""),"")</f>
        <v/>
      </c>
    </row>
    <row r="148" spans="1:43">
      <c r="A148" s="16">
        <f t="shared" si="60"/>
        <v>70420</v>
      </c>
      <c r="B148" s="17" t="s">
        <v>368</v>
      </c>
      <c r="C148" s="17">
        <v>7042</v>
      </c>
      <c r="D148" s="18">
        <v>0</v>
      </c>
      <c r="E148" s="18" t="str">
        <f t="shared" ref="E148:E152" si="90">"[["&amp;C148+10000&amp;",1]]"</f>
        <v>[[17042,1]]</v>
      </c>
      <c r="F148" s="14"/>
      <c r="G148" s="18" t="str">
        <f t="shared" si="80"/>
        <v>10128</v>
      </c>
      <c r="H148" s="18" t="str">
        <f t="shared" si="77"/>
        <v>[[0.1]]</v>
      </c>
      <c r="I148" s="18" t="str">
        <f t="shared" si="81"/>
        <v/>
      </c>
      <c r="J148" s="18" t="str">
        <f t="shared" si="82"/>
        <v>[[10307,0.05]]</v>
      </c>
      <c r="K148" t="str">
        <f>_xlfn.XLOOKUP(C148,Pet!A:A,Pet!E:E)</f>
        <v>SSR-混沌</v>
      </c>
      <c r="L148" t="s">
        <v>250</v>
      </c>
      <c r="M148">
        <v>0.05</v>
      </c>
      <c r="R148" t="s">
        <v>369</v>
      </c>
      <c r="S148">
        <v>0.1</v>
      </c>
      <c r="AB148">
        <f>IFERROR(IF(L148&lt;&gt;"",_xlfn.XLOOKUP(L148,[1]AttributeName!$C:$C,[1]AttributeName!$B:$B,""),""),"")</f>
        <v>10307</v>
      </c>
      <c r="AC148" t="str">
        <f>IFERROR(IF(N148&lt;&gt;"",_xlfn.XLOOKUP(N148,[1]AttributeName!$C:$C,[1]AttributeName!$B:$B,""),""),"")</f>
        <v/>
      </c>
      <c r="AD148" t="str">
        <f>IFERROR(IF(P148&lt;&gt;"",_xlfn.XLOOKUP(P148,[1]AttributeName!$C:$C,[1]AttributeName!$B:$B,""),""),"")</f>
        <v/>
      </c>
      <c r="AE148" t="str">
        <f t="shared" si="83"/>
        <v>[10307,0.05]</v>
      </c>
      <c r="AF148" t="str">
        <f t="shared" si="88"/>
        <v/>
      </c>
      <c r="AG148" t="str">
        <f t="shared" si="89"/>
        <v/>
      </c>
      <c r="AH148">
        <f>IFERROR(IF(R148&lt;&gt;"",_xlfn.XLOOKUP(R148,[1]ModifierDes!$B:$B,[1]ModifierDes!$A:$A,""),""),"")</f>
        <v>10128</v>
      </c>
      <c r="AI148" t="str">
        <f>IFERROR(IF(T148&lt;&gt;"",_xlfn.XLOOKUP(T148,[1]ModifierDes!$B:$B,[1]ModifierDes!$A:$A,""),""),"")</f>
        <v/>
      </c>
      <c r="AJ148" t="str">
        <f>IFERROR(IF(V148&lt;&gt;"",_xlfn.XLOOKUP(V148,[1]ModifierDes!$B:$B,[1]ModifierDes!$A:$A,""),""),"")</f>
        <v/>
      </c>
      <c r="AK148" t="str">
        <f>IFERROR(IF(X148&lt;&gt;"",_xlfn.XLOOKUP(X148,[1]ModifierDes!$B:$B,[1]ModifierDes!$A:$A,""),""),"")</f>
        <v/>
      </c>
      <c r="AL148" t="str">
        <f t="shared" si="84"/>
        <v>[0.1]</v>
      </c>
      <c r="AM148" t="str">
        <f t="shared" si="85"/>
        <v/>
      </c>
      <c r="AN148" t="str">
        <f t="shared" si="86"/>
        <v/>
      </c>
      <c r="AO148" t="str">
        <f t="shared" si="78"/>
        <v/>
      </c>
      <c r="AP148" t="str">
        <f>IFERROR(IF(Z148&lt;&gt;"",_xlfn.XLOOKUP(Z148,[1]StuntDes!$B:$B,[1]StuntDes!$A:$A,""),""),"")</f>
        <v/>
      </c>
      <c r="AQ148" t="str">
        <f>IFERROR(IF(AA148&lt;&gt;"",_xlfn.XLOOKUP(AA148,[1]StuntDes!$B:$B,[1]StuntDes!$A:$A,""),""),"")</f>
        <v/>
      </c>
    </row>
    <row r="149" spans="1:43">
      <c r="A149" s="16">
        <f t="shared" si="60"/>
        <v>70421</v>
      </c>
      <c r="B149" s="17" t="s">
        <v>370</v>
      </c>
      <c r="C149" s="17">
        <v>7042</v>
      </c>
      <c r="D149" s="18">
        <v>1</v>
      </c>
      <c r="E149" s="18" t="str">
        <f t="shared" si="90"/>
        <v>[[17042,1]]</v>
      </c>
      <c r="F149" s="14"/>
      <c r="G149" s="18" t="str">
        <f t="shared" si="80"/>
        <v>10128</v>
      </c>
      <c r="H149" s="18" t="str">
        <f t="shared" si="77"/>
        <v>[[0.15]]</v>
      </c>
      <c r="I149" s="18" t="str">
        <f t="shared" si="81"/>
        <v/>
      </c>
      <c r="J149" s="18" t="str">
        <f t="shared" si="82"/>
        <v>[[10307,0.1]]</v>
      </c>
      <c r="K149" t="str">
        <f>_xlfn.XLOOKUP(C149,Pet!A:A,Pet!E:E)</f>
        <v>SSR-混沌</v>
      </c>
      <c r="L149" t="s">
        <v>250</v>
      </c>
      <c r="M149">
        <v>0.1</v>
      </c>
      <c r="R149" t="s">
        <v>369</v>
      </c>
      <c r="S149">
        <v>0.15</v>
      </c>
      <c r="AB149">
        <f>IFERROR(IF(L149&lt;&gt;"",_xlfn.XLOOKUP(L149,[1]AttributeName!$C:$C,[1]AttributeName!$B:$B,""),""),"")</f>
        <v>10307</v>
      </c>
      <c r="AC149" t="str">
        <f>IFERROR(IF(N149&lt;&gt;"",_xlfn.XLOOKUP(N149,[1]AttributeName!$C:$C,[1]AttributeName!$B:$B,""),""),"")</f>
        <v/>
      </c>
      <c r="AD149" t="str">
        <f>IFERROR(IF(P149&lt;&gt;"",_xlfn.XLOOKUP(P149,[1]AttributeName!$C:$C,[1]AttributeName!$B:$B,""),""),"")</f>
        <v/>
      </c>
      <c r="AE149" t="str">
        <f t="shared" si="83"/>
        <v>[10307,0.1]</v>
      </c>
      <c r="AF149" t="str">
        <f t="shared" si="88"/>
        <v/>
      </c>
      <c r="AG149" t="str">
        <f t="shared" si="89"/>
        <v/>
      </c>
      <c r="AH149">
        <f>IFERROR(IF(R149&lt;&gt;"",_xlfn.XLOOKUP(R149,[1]ModifierDes!$B:$B,[1]ModifierDes!$A:$A,""),""),"")</f>
        <v>10128</v>
      </c>
      <c r="AI149" t="str">
        <f>IFERROR(IF(T149&lt;&gt;"",_xlfn.XLOOKUP(T149,[1]ModifierDes!$B:$B,[1]ModifierDes!$A:$A,""),""),"")</f>
        <v/>
      </c>
      <c r="AJ149" t="str">
        <f>IFERROR(IF(V149&lt;&gt;"",_xlfn.XLOOKUP(V149,[1]ModifierDes!$B:$B,[1]ModifierDes!$A:$A,""),""),"")</f>
        <v/>
      </c>
      <c r="AK149" t="str">
        <f>IFERROR(IF(X149&lt;&gt;"",_xlfn.XLOOKUP(X149,[1]ModifierDes!$B:$B,[1]ModifierDes!$A:$A,""),""),"")</f>
        <v/>
      </c>
      <c r="AL149" t="str">
        <f t="shared" si="84"/>
        <v>[0.15]</v>
      </c>
      <c r="AM149" t="str">
        <f t="shared" si="85"/>
        <v/>
      </c>
      <c r="AN149" t="str">
        <f t="shared" si="86"/>
        <v/>
      </c>
      <c r="AO149" t="str">
        <f t="shared" si="78"/>
        <v/>
      </c>
      <c r="AP149" t="str">
        <f>IFERROR(IF(Z149&lt;&gt;"",_xlfn.XLOOKUP(Z149,[1]StuntDes!$B:$B,[1]StuntDes!$A:$A,""),""),"")</f>
        <v/>
      </c>
      <c r="AQ149" t="str">
        <f>IFERROR(IF(AA149&lt;&gt;"",_xlfn.XLOOKUP(AA149,[1]StuntDes!$B:$B,[1]StuntDes!$A:$A,""),""),"")</f>
        <v/>
      </c>
    </row>
    <row r="150" spans="1:43">
      <c r="A150" s="16">
        <f t="shared" si="60"/>
        <v>70422</v>
      </c>
      <c r="B150" s="17" t="s">
        <v>371</v>
      </c>
      <c r="C150" s="17">
        <v>7042</v>
      </c>
      <c r="D150" s="18">
        <v>2</v>
      </c>
      <c r="E150" s="18" t="str">
        <f t="shared" si="90"/>
        <v>[[17042,1]]</v>
      </c>
      <c r="F150" s="14"/>
      <c r="G150" s="18" t="str">
        <f t="shared" si="80"/>
        <v>10128</v>
      </c>
      <c r="H150" s="18" t="str">
        <f t="shared" si="77"/>
        <v>[[0.2]]</v>
      </c>
      <c r="I150" s="18" t="str">
        <f t="shared" si="81"/>
        <v/>
      </c>
      <c r="J150" s="18" t="str">
        <f t="shared" si="82"/>
        <v>[[10307,0.15]]</v>
      </c>
      <c r="K150" t="str">
        <f>_xlfn.XLOOKUP(C150,Pet!A:A,Pet!E:E)</f>
        <v>SSR-混沌</v>
      </c>
      <c r="L150" t="s">
        <v>250</v>
      </c>
      <c r="M150">
        <v>0.15</v>
      </c>
      <c r="R150" t="s">
        <v>369</v>
      </c>
      <c r="S150">
        <v>0.2</v>
      </c>
      <c r="AB150">
        <f>IFERROR(IF(L150&lt;&gt;"",_xlfn.XLOOKUP(L150,[1]AttributeName!$C:$C,[1]AttributeName!$B:$B,""),""),"")</f>
        <v>10307</v>
      </c>
      <c r="AC150" t="str">
        <f>IFERROR(IF(N150&lt;&gt;"",_xlfn.XLOOKUP(N150,[1]AttributeName!$C:$C,[1]AttributeName!$B:$B,""),""),"")</f>
        <v/>
      </c>
      <c r="AD150" t="str">
        <f>IFERROR(IF(P150&lt;&gt;"",_xlfn.XLOOKUP(P150,[1]AttributeName!$C:$C,[1]AttributeName!$B:$B,""),""),"")</f>
        <v/>
      </c>
      <c r="AE150" t="str">
        <f t="shared" si="83"/>
        <v>[10307,0.15]</v>
      </c>
      <c r="AF150" t="str">
        <f t="shared" si="88"/>
        <v/>
      </c>
      <c r="AG150" t="str">
        <f t="shared" si="89"/>
        <v/>
      </c>
      <c r="AH150">
        <f>IFERROR(IF(R150&lt;&gt;"",_xlfn.XLOOKUP(R150,[1]ModifierDes!$B:$B,[1]ModifierDes!$A:$A,""),""),"")</f>
        <v>10128</v>
      </c>
      <c r="AI150" t="str">
        <f>IFERROR(IF(T150&lt;&gt;"",_xlfn.XLOOKUP(T150,[1]ModifierDes!$B:$B,[1]ModifierDes!$A:$A,""),""),"")</f>
        <v/>
      </c>
      <c r="AJ150" t="str">
        <f>IFERROR(IF(V150&lt;&gt;"",_xlfn.XLOOKUP(V150,[1]ModifierDes!$B:$B,[1]ModifierDes!$A:$A,""),""),"")</f>
        <v/>
      </c>
      <c r="AK150" t="str">
        <f>IFERROR(IF(X150&lt;&gt;"",_xlfn.XLOOKUP(X150,[1]ModifierDes!$B:$B,[1]ModifierDes!$A:$A,""),""),"")</f>
        <v/>
      </c>
      <c r="AL150" t="str">
        <f t="shared" si="84"/>
        <v>[0.2]</v>
      </c>
      <c r="AM150" t="str">
        <f t="shared" si="85"/>
        <v/>
      </c>
      <c r="AN150" t="str">
        <f t="shared" si="86"/>
        <v/>
      </c>
      <c r="AO150" t="str">
        <f t="shared" si="78"/>
        <v/>
      </c>
      <c r="AP150" t="str">
        <f>IFERROR(IF(Z150&lt;&gt;"",_xlfn.XLOOKUP(Z150,[1]StuntDes!$B:$B,[1]StuntDes!$A:$A,""),""),"")</f>
        <v/>
      </c>
      <c r="AQ150" t="str">
        <f>IFERROR(IF(AA150&lt;&gt;"",_xlfn.XLOOKUP(AA150,[1]StuntDes!$B:$B,[1]StuntDes!$A:$A,""),""),"")</f>
        <v/>
      </c>
    </row>
    <row r="151" spans="1:43">
      <c r="A151" s="16">
        <f t="shared" si="60"/>
        <v>70423</v>
      </c>
      <c r="B151" s="17" t="s">
        <v>372</v>
      </c>
      <c r="C151" s="17">
        <v>7042</v>
      </c>
      <c r="D151" s="18">
        <v>3</v>
      </c>
      <c r="E151" s="18" t="str">
        <f t="shared" si="90"/>
        <v>[[17042,1]]</v>
      </c>
      <c r="F151" s="14"/>
      <c r="G151" s="18" t="str">
        <f t="shared" si="80"/>
        <v>10128</v>
      </c>
      <c r="H151" s="18" t="str">
        <f t="shared" si="77"/>
        <v>[[0.2]]</v>
      </c>
      <c r="I151" s="18" t="str">
        <f t="shared" si="81"/>
        <v/>
      </c>
      <c r="J151" s="18" t="str">
        <f t="shared" si="82"/>
        <v>[[10307,0.2],[11052,0.07]]</v>
      </c>
      <c r="K151" t="str">
        <f>_xlfn.XLOOKUP(C151,Pet!A:A,Pet!E:E)</f>
        <v>SSR-混沌</v>
      </c>
      <c r="L151" t="s">
        <v>250</v>
      </c>
      <c r="M151">
        <v>0.2</v>
      </c>
      <c r="N151" t="s">
        <v>373</v>
      </c>
      <c r="O151">
        <v>0.07</v>
      </c>
      <c r="R151" t="s">
        <v>369</v>
      </c>
      <c r="S151">
        <v>0.2</v>
      </c>
      <c r="AB151">
        <f>IFERROR(IF(L151&lt;&gt;"",_xlfn.XLOOKUP(L151,[1]AttributeName!$C:$C,[1]AttributeName!$B:$B,""),""),"")</f>
        <v>10307</v>
      </c>
      <c r="AC151">
        <f>IFERROR(IF(N151&lt;&gt;"",_xlfn.XLOOKUP(N151,[1]AttributeName!$C:$C,[1]AttributeName!$B:$B,""),""),"")</f>
        <v>11052</v>
      </c>
      <c r="AD151" t="str">
        <f>IFERROR(IF(P151&lt;&gt;"",_xlfn.XLOOKUP(P151,[1]AttributeName!$C:$C,[1]AttributeName!$B:$B,""),""),"")</f>
        <v/>
      </c>
      <c r="AE151" t="str">
        <f t="shared" si="83"/>
        <v>[10307,0.2]</v>
      </c>
      <c r="AF151" t="str">
        <f t="shared" si="88"/>
        <v>[11052,0.07]</v>
      </c>
      <c r="AG151" t="str">
        <f t="shared" si="89"/>
        <v/>
      </c>
      <c r="AH151">
        <f>IFERROR(IF(R151&lt;&gt;"",_xlfn.XLOOKUP(R151,[1]ModifierDes!$B:$B,[1]ModifierDes!$A:$A,""),""),"")</f>
        <v>10128</v>
      </c>
      <c r="AI151" t="str">
        <f>IFERROR(IF(T151&lt;&gt;"",_xlfn.XLOOKUP(T151,[1]ModifierDes!$B:$B,[1]ModifierDes!$A:$A,""),""),"")</f>
        <v/>
      </c>
      <c r="AJ151" t="str">
        <f>IFERROR(IF(V151&lt;&gt;"",_xlfn.XLOOKUP(V151,[1]ModifierDes!$B:$B,[1]ModifierDes!$A:$A,""),""),"")</f>
        <v/>
      </c>
      <c r="AK151" t="str">
        <f>IFERROR(IF(X151&lt;&gt;"",_xlfn.XLOOKUP(X151,[1]ModifierDes!$B:$B,[1]ModifierDes!$A:$A,""),""),"")</f>
        <v/>
      </c>
      <c r="AL151" t="str">
        <f t="shared" si="84"/>
        <v>[0.2]</v>
      </c>
      <c r="AM151" t="str">
        <f t="shared" si="85"/>
        <v/>
      </c>
      <c r="AN151" t="str">
        <f t="shared" si="86"/>
        <v/>
      </c>
      <c r="AO151" t="str">
        <f t="shared" si="78"/>
        <v/>
      </c>
      <c r="AP151" t="str">
        <f>IFERROR(IF(Z151&lt;&gt;"",_xlfn.XLOOKUP(Z151,[1]StuntDes!$B:$B,[1]StuntDes!$A:$A,""),""),"")</f>
        <v/>
      </c>
      <c r="AQ151" t="str">
        <f>IFERROR(IF(AA151&lt;&gt;"",_xlfn.XLOOKUP(AA151,[1]StuntDes!$B:$B,[1]StuntDes!$A:$A,""),""),"")</f>
        <v/>
      </c>
    </row>
    <row r="152" spans="1:43">
      <c r="A152" s="16">
        <f t="shared" si="60"/>
        <v>70424</v>
      </c>
      <c r="B152" s="17" t="s">
        <v>374</v>
      </c>
      <c r="C152" s="17">
        <v>7042</v>
      </c>
      <c r="D152" s="18">
        <v>4</v>
      </c>
      <c r="E152" s="18" t="str">
        <f t="shared" si="90"/>
        <v>[[17042,1]]</v>
      </c>
      <c r="F152" s="14"/>
      <c r="G152" s="18" t="str">
        <f t="shared" si="80"/>
        <v>10128</v>
      </c>
      <c r="H152" s="18" t="str">
        <f t="shared" si="77"/>
        <v>[[0.25]]</v>
      </c>
      <c r="I152" s="18" t="str">
        <f t="shared" si="81"/>
        <v/>
      </c>
      <c r="J152" s="18" t="str">
        <f t="shared" si="82"/>
        <v>[[10307,0.25],[11052,0.07]]</v>
      </c>
      <c r="K152" t="str">
        <f>_xlfn.XLOOKUP(C152,Pet!A:A,Pet!E:E)</f>
        <v>SSR-混沌</v>
      </c>
      <c r="L152" t="s">
        <v>250</v>
      </c>
      <c r="M152">
        <v>0.25</v>
      </c>
      <c r="N152" t="s">
        <v>373</v>
      </c>
      <c r="O152">
        <v>0.07</v>
      </c>
      <c r="R152" t="s">
        <v>369</v>
      </c>
      <c r="S152">
        <v>0.25</v>
      </c>
      <c r="AB152">
        <f>IFERROR(IF(L152&lt;&gt;"",_xlfn.XLOOKUP(L152,[1]AttributeName!$C:$C,[1]AttributeName!$B:$B,""),""),"")</f>
        <v>10307</v>
      </c>
      <c r="AC152">
        <f>IFERROR(IF(N152&lt;&gt;"",_xlfn.XLOOKUP(N152,[1]AttributeName!$C:$C,[1]AttributeName!$B:$B,""),""),"")</f>
        <v>11052</v>
      </c>
      <c r="AD152" t="str">
        <f>IFERROR(IF(P152&lt;&gt;"",_xlfn.XLOOKUP(P152,[1]AttributeName!$C:$C,[1]AttributeName!$B:$B,""),""),"")</f>
        <v/>
      </c>
      <c r="AE152" t="str">
        <f t="shared" si="83"/>
        <v>[10307,0.25]</v>
      </c>
      <c r="AF152" t="str">
        <f t="shared" si="88"/>
        <v>[11052,0.07]</v>
      </c>
      <c r="AG152" t="str">
        <f t="shared" si="89"/>
        <v/>
      </c>
      <c r="AH152">
        <f>IFERROR(IF(R152&lt;&gt;"",_xlfn.XLOOKUP(R152,[1]ModifierDes!$B:$B,[1]ModifierDes!$A:$A,""),""),"")</f>
        <v>10128</v>
      </c>
      <c r="AI152" t="str">
        <f>IFERROR(IF(T152&lt;&gt;"",_xlfn.XLOOKUP(T152,[1]ModifierDes!$B:$B,[1]ModifierDes!$A:$A,""),""),"")</f>
        <v/>
      </c>
      <c r="AJ152" t="str">
        <f>IFERROR(IF(V152&lt;&gt;"",_xlfn.XLOOKUP(V152,[1]ModifierDes!$B:$B,[1]ModifierDes!$A:$A,""),""),"")</f>
        <v/>
      </c>
      <c r="AK152" t="str">
        <f>IFERROR(IF(X152&lt;&gt;"",_xlfn.XLOOKUP(X152,[1]ModifierDes!$B:$B,[1]ModifierDes!$A:$A,""),""),"")</f>
        <v/>
      </c>
      <c r="AL152" t="str">
        <f t="shared" si="84"/>
        <v>[0.25]</v>
      </c>
      <c r="AM152" t="str">
        <f t="shared" si="85"/>
        <v/>
      </c>
      <c r="AN152" t="str">
        <f t="shared" si="86"/>
        <v/>
      </c>
      <c r="AO152" t="str">
        <f t="shared" si="78"/>
        <v/>
      </c>
      <c r="AP152" t="str">
        <f>IFERROR(IF(Z152&lt;&gt;"",_xlfn.XLOOKUP(Z152,[1]StuntDes!$B:$B,[1]StuntDes!$A:$A,""),""),"")</f>
        <v/>
      </c>
      <c r="AQ152" t="str">
        <f>IFERROR(IF(AA152&lt;&gt;"",_xlfn.XLOOKUP(AA152,[1]StuntDes!$B:$B,[1]StuntDes!$A:$A,""),""),"")</f>
        <v/>
      </c>
    </row>
    <row r="153" spans="1:43">
      <c r="A153" s="16">
        <f t="shared" si="60"/>
        <v>70425</v>
      </c>
      <c r="B153" s="17" t="s">
        <v>375</v>
      </c>
      <c r="C153" s="17">
        <v>7042</v>
      </c>
      <c r="D153" s="18">
        <v>5</v>
      </c>
      <c r="E153" s="18"/>
      <c r="F153" s="14"/>
      <c r="G153" s="18" t="str">
        <f t="shared" si="80"/>
        <v>10128</v>
      </c>
      <c r="H153" s="18" t="str">
        <f t="shared" si="77"/>
        <v>[[0.25]]</v>
      </c>
      <c r="I153" s="18" t="str">
        <f t="shared" si="81"/>
        <v>2140000170</v>
      </c>
      <c r="J153" s="18" t="str">
        <f t="shared" si="82"/>
        <v>[[10307,0.3],[11052,0.07]]</v>
      </c>
      <c r="K153" t="str">
        <f>_xlfn.XLOOKUP(C153,Pet!A:A,Pet!E:E)</f>
        <v>SSR-混沌</v>
      </c>
      <c r="L153" t="s">
        <v>250</v>
      </c>
      <c r="M153">
        <v>0.3</v>
      </c>
      <c r="N153" t="s">
        <v>373</v>
      </c>
      <c r="O153">
        <v>0.07</v>
      </c>
      <c r="R153" t="s">
        <v>369</v>
      </c>
      <c r="S153">
        <v>0.25</v>
      </c>
      <c r="Z153" t="s">
        <v>376</v>
      </c>
      <c r="AB153">
        <f>IFERROR(IF(L153&lt;&gt;"",_xlfn.XLOOKUP(L153,[1]AttributeName!$C:$C,[1]AttributeName!$B:$B,""),""),"")</f>
        <v>10307</v>
      </c>
      <c r="AC153">
        <f>IFERROR(IF(N153&lt;&gt;"",_xlfn.XLOOKUP(N153,[1]AttributeName!$C:$C,[1]AttributeName!$B:$B,""),""),"")</f>
        <v>11052</v>
      </c>
      <c r="AD153" t="str">
        <f>IFERROR(IF(P153&lt;&gt;"",_xlfn.XLOOKUP(P153,[1]AttributeName!$C:$C,[1]AttributeName!$B:$B,""),""),"")</f>
        <v/>
      </c>
      <c r="AE153" t="str">
        <f t="shared" si="83"/>
        <v>[10307,0.3]</v>
      </c>
      <c r="AF153" t="str">
        <f t="shared" si="88"/>
        <v>[11052,0.07]</v>
      </c>
      <c r="AG153" t="str">
        <f t="shared" si="89"/>
        <v/>
      </c>
      <c r="AH153">
        <f>IFERROR(IF(R153&lt;&gt;"",_xlfn.XLOOKUP(R153,[1]ModifierDes!$B:$B,[1]ModifierDes!$A:$A,""),""),"")</f>
        <v>10128</v>
      </c>
      <c r="AI153" t="str">
        <f>IFERROR(IF(T153&lt;&gt;"",_xlfn.XLOOKUP(T153,[1]ModifierDes!$B:$B,[1]ModifierDes!$A:$A,""),""),"")</f>
        <v/>
      </c>
      <c r="AJ153" t="str">
        <f>IFERROR(IF(V153&lt;&gt;"",_xlfn.XLOOKUP(V153,[1]ModifierDes!$B:$B,[1]ModifierDes!$A:$A,""),""),"")</f>
        <v/>
      </c>
      <c r="AK153" t="str">
        <f>IFERROR(IF(X153&lt;&gt;"",_xlfn.XLOOKUP(X153,[1]ModifierDes!$B:$B,[1]ModifierDes!$A:$A,""),""),"")</f>
        <v/>
      </c>
      <c r="AL153" t="str">
        <f t="shared" si="84"/>
        <v>[0.25]</v>
      </c>
      <c r="AM153" t="str">
        <f t="shared" si="85"/>
        <v/>
      </c>
      <c r="AN153" t="str">
        <f t="shared" si="86"/>
        <v/>
      </c>
      <c r="AO153" t="str">
        <f t="shared" si="78"/>
        <v/>
      </c>
      <c r="AP153">
        <f>IFERROR(IF(Z153&lt;&gt;"",_xlfn.XLOOKUP(Z153,[1]StuntDes!$B:$B,[1]StuntDes!$A:$A,""),""),"")</f>
        <v>2140000170</v>
      </c>
      <c r="AQ153" t="str">
        <f>IFERROR(IF(AA153&lt;&gt;"",_xlfn.XLOOKUP(AA153,[1]StuntDes!$B:$B,[1]StuntDes!$A:$A,""),""),"")</f>
        <v/>
      </c>
    </row>
    <row r="154" spans="1:43">
      <c r="A154" s="16">
        <f t="shared" si="60"/>
        <v>70820</v>
      </c>
      <c r="B154" s="17" t="s">
        <v>377</v>
      </c>
      <c r="C154" s="17">
        <v>7082</v>
      </c>
      <c r="D154" s="18">
        <v>0</v>
      </c>
      <c r="E154" s="18" t="str">
        <f t="shared" ref="E154:E158" si="91">"[["&amp;C154+10000&amp;",1]]"</f>
        <v>[[17082,1]]</v>
      </c>
      <c r="F154" s="14"/>
      <c r="G154" s="18" t="str">
        <f t="shared" si="80"/>
        <v>10064|10169</v>
      </c>
      <c r="H154" s="18" t="str">
        <f t="shared" si="77"/>
        <v>[[0.05],[0.1]]</v>
      </c>
      <c r="I154" s="18" t="str">
        <f t="shared" si="81"/>
        <v/>
      </c>
      <c r="J154" s="18" t="str">
        <f t="shared" si="82"/>
        <v/>
      </c>
      <c r="K154" t="str">
        <f>_xlfn.XLOOKUP(C154,Pet!A:A,Pet!E:E)</f>
        <v>SSR-投射物</v>
      </c>
      <c r="R154" t="s">
        <v>242</v>
      </c>
      <c r="S154">
        <v>0.05</v>
      </c>
      <c r="V154" t="s">
        <v>378</v>
      </c>
      <c r="W154">
        <v>0.1</v>
      </c>
      <c r="AB154" t="str">
        <f>IFERROR(IF(L154&lt;&gt;"",_xlfn.XLOOKUP(L154,[1]AttributeName!$C:$C,[1]AttributeName!$B:$B,""),""),"")</f>
        <v/>
      </c>
      <c r="AC154" t="str">
        <f>IFERROR(IF(N154&lt;&gt;"",_xlfn.XLOOKUP(N154,[1]AttributeName!$C:$C,[1]AttributeName!$B:$B,""),""),"")</f>
        <v/>
      </c>
      <c r="AD154" t="str">
        <f>IFERROR(IF(P154&lt;&gt;"",_xlfn.XLOOKUP(P154,[1]AttributeName!$C:$C,[1]AttributeName!$B:$B,""),""),"")</f>
        <v/>
      </c>
      <c r="AE154" t="str">
        <f t="shared" si="83"/>
        <v/>
      </c>
      <c r="AF154" t="str">
        <f t="shared" si="88"/>
        <v/>
      </c>
      <c r="AG154" t="str">
        <f t="shared" si="89"/>
        <v/>
      </c>
      <c r="AH154">
        <f>IFERROR(IF(R154&lt;&gt;"",_xlfn.XLOOKUP(R154,[1]ModifierDes!$B:$B,[1]ModifierDes!$A:$A,""),""),"")</f>
        <v>10064</v>
      </c>
      <c r="AI154" t="str">
        <f>IFERROR(IF(T154&lt;&gt;"",_xlfn.XLOOKUP(T154,[1]ModifierDes!$B:$B,[1]ModifierDes!$A:$A,""),""),"")</f>
        <v/>
      </c>
      <c r="AJ154">
        <f>IFERROR(IF(V154&lt;&gt;"",_xlfn.XLOOKUP(V154,[1]ModifierDes!$B:$B,[1]ModifierDes!$A:$A,""),""),"")</f>
        <v>10169</v>
      </c>
      <c r="AK154" t="str">
        <f>IFERROR(IF(X154&lt;&gt;"",_xlfn.XLOOKUP(X154,[1]ModifierDes!$B:$B,[1]ModifierDes!$A:$A,""),""),"")</f>
        <v/>
      </c>
      <c r="AL154" t="str">
        <f t="shared" si="84"/>
        <v>[0.05]</v>
      </c>
      <c r="AM154" t="str">
        <f t="shared" si="85"/>
        <v/>
      </c>
      <c r="AN154" t="str">
        <f t="shared" si="86"/>
        <v>[0.1]</v>
      </c>
      <c r="AO154" t="str">
        <f t="shared" si="78"/>
        <v/>
      </c>
      <c r="AP154" t="str">
        <f>IFERROR(IF(Z154&lt;&gt;"",_xlfn.XLOOKUP(Z154,[1]StuntDes!$B:$B,[1]StuntDes!$A:$A,""),""),"")</f>
        <v/>
      </c>
      <c r="AQ154" t="str">
        <f>IFERROR(IF(AA154&lt;&gt;"",_xlfn.XLOOKUP(AA154,[1]StuntDes!$B:$B,[1]StuntDes!$A:$A,""),""),"")</f>
        <v/>
      </c>
    </row>
    <row r="155" spans="1:43">
      <c r="A155" s="16">
        <f t="shared" si="60"/>
        <v>70821</v>
      </c>
      <c r="B155" s="17" t="s">
        <v>379</v>
      </c>
      <c r="C155" s="17">
        <v>7082</v>
      </c>
      <c r="D155" s="18">
        <v>1</v>
      </c>
      <c r="E155" s="18" t="str">
        <f t="shared" si="91"/>
        <v>[[17082,1]]</v>
      </c>
      <c r="F155" s="14"/>
      <c r="G155" s="18" t="str">
        <f t="shared" si="80"/>
        <v>10064|10049|10169</v>
      </c>
      <c r="H155" s="18" t="str">
        <f t="shared" si="77"/>
        <v>[[0.05],[0.04],[0.15]]</v>
      </c>
      <c r="I155" s="18" t="str">
        <f t="shared" si="81"/>
        <v/>
      </c>
      <c r="J155" s="18" t="str">
        <f t="shared" si="82"/>
        <v/>
      </c>
      <c r="K155" t="str">
        <f>_xlfn.XLOOKUP(C155,Pet!A:A,Pet!E:E)</f>
        <v>SSR-投射物</v>
      </c>
      <c r="R155" t="s">
        <v>242</v>
      </c>
      <c r="S155">
        <v>0.05</v>
      </c>
      <c r="T155" t="s">
        <v>243</v>
      </c>
      <c r="U155">
        <v>0.04</v>
      </c>
      <c r="V155" t="s">
        <v>378</v>
      </c>
      <c r="W155">
        <v>0.15</v>
      </c>
      <c r="AB155" t="str">
        <f>IFERROR(IF(L155&lt;&gt;"",_xlfn.XLOOKUP(L155,[1]AttributeName!$C:$C,[1]AttributeName!$B:$B,""),""),"")</f>
        <v/>
      </c>
      <c r="AC155" t="str">
        <f>IFERROR(IF(N155&lt;&gt;"",_xlfn.XLOOKUP(N155,[1]AttributeName!$C:$C,[1]AttributeName!$B:$B,""),""),"")</f>
        <v/>
      </c>
      <c r="AD155" t="str">
        <f>IFERROR(IF(P155&lt;&gt;"",_xlfn.XLOOKUP(P155,[1]AttributeName!$C:$C,[1]AttributeName!$B:$B,""),""),"")</f>
        <v/>
      </c>
      <c r="AE155" t="str">
        <f t="shared" si="83"/>
        <v/>
      </c>
      <c r="AF155" t="str">
        <f t="shared" si="88"/>
        <v/>
      </c>
      <c r="AG155" t="str">
        <f t="shared" si="89"/>
        <v/>
      </c>
      <c r="AH155">
        <f>IFERROR(IF(R155&lt;&gt;"",_xlfn.XLOOKUP(R155,[1]ModifierDes!$B:$B,[1]ModifierDes!$A:$A,""),""),"")</f>
        <v>10064</v>
      </c>
      <c r="AI155">
        <f>IFERROR(IF(T155&lt;&gt;"",_xlfn.XLOOKUP(T155,[1]ModifierDes!$B:$B,[1]ModifierDes!$A:$A,""),""),"")</f>
        <v>10049</v>
      </c>
      <c r="AJ155">
        <f>IFERROR(IF(V155&lt;&gt;"",_xlfn.XLOOKUP(V155,[1]ModifierDes!$B:$B,[1]ModifierDes!$A:$A,""),""),"")</f>
        <v>10169</v>
      </c>
      <c r="AK155" t="str">
        <f>IFERROR(IF(X155&lt;&gt;"",_xlfn.XLOOKUP(X155,[1]ModifierDes!$B:$B,[1]ModifierDes!$A:$A,""),""),"")</f>
        <v/>
      </c>
      <c r="AL155" t="str">
        <f t="shared" si="84"/>
        <v>[0.05]</v>
      </c>
      <c r="AM155" t="str">
        <f t="shared" si="85"/>
        <v>[0.04]</v>
      </c>
      <c r="AN155" t="str">
        <f t="shared" si="86"/>
        <v>[0.15]</v>
      </c>
      <c r="AO155" t="str">
        <f t="shared" si="78"/>
        <v/>
      </c>
      <c r="AP155" t="str">
        <f>IFERROR(IF(Z155&lt;&gt;"",_xlfn.XLOOKUP(Z155,[1]StuntDes!$B:$B,[1]StuntDes!$A:$A,""),""),"")</f>
        <v/>
      </c>
      <c r="AQ155" t="str">
        <f>IFERROR(IF(AA155&lt;&gt;"",_xlfn.XLOOKUP(AA155,[1]StuntDes!$B:$B,[1]StuntDes!$A:$A,""),""),"")</f>
        <v/>
      </c>
    </row>
    <row r="156" spans="1:43">
      <c r="A156" s="16">
        <f t="shared" si="60"/>
        <v>70822</v>
      </c>
      <c r="B156" s="17" t="s">
        <v>380</v>
      </c>
      <c r="C156" s="17">
        <v>7082</v>
      </c>
      <c r="D156" s="18">
        <v>2</v>
      </c>
      <c r="E156" s="18" t="str">
        <f t="shared" si="91"/>
        <v>[[17082,1]]</v>
      </c>
      <c r="F156" s="14"/>
      <c r="G156" s="18" t="str">
        <f t="shared" si="80"/>
        <v>10064|10049|10169</v>
      </c>
      <c r="H156" s="18" t="str">
        <f t="shared" si="77"/>
        <v>[[0.1],[0.04],[0.2]]</v>
      </c>
      <c r="I156" s="18" t="str">
        <f t="shared" si="81"/>
        <v/>
      </c>
      <c r="J156" s="18" t="str">
        <f t="shared" si="82"/>
        <v/>
      </c>
      <c r="K156" t="str">
        <f>_xlfn.XLOOKUP(C156,Pet!A:A,Pet!E:E)</f>
        <v>SSR-投射物</v>
      </c>
      <c r="R156" t="s">
        <v>242</v>
      </c>
      <c r="S156">
        <v>0.1</v>
      </c>
      <c r="T156" t="s">
        <v>243</v>
      </c>
      <c r="U156">
        <v>0.04</v>
      </c>
      <c r="V156" t="s">
        <v>378</v>
      </c>
      <c r="W156">
        <v>0.2</v>
      </c>
      <c r="AB156" t="str">
        <f>IFERROR(IF(L156&lt;&gt;"",_xlfn.XLOOKUP(L156,[1]AttributeName!$C:$C,[1]AttributeName!$B:$B,""),""),"")</f>
        <v/>
      </c>
      <c r="AC156" t="str">
        <f>IFERROR(IF(N156&lt;&gt;"",_xlfn.XLOOKUP(N156,[1]AttributeName!$C:$C,[1]AttributeName!$B:$B,""),""),"")</f>
        <v/>
      </c>
      <c r="AD156" t="str">
        <f>IFERROR(IF(P156&lt;&gt;"",_xlfn.XLOOKUP(P156,[1]AttributeName!$C:$C,[1]AttributeName!$B:$B,""),""),"")</f>
        <v/>
      </c>
      <c r="AE156" t="str">
        <f t="shared" si="83"/>
        <v/>
      </c>
      <c r="AF156" t="str">
        <f t="shared" si="88"/>
        <v/>
      </c>
      <c r="AG156" t="str">
        <f t="shared" si="89"/>
        <v/>
      </c>
      <c r="AH156">
        <f>IFERROR(IF(R156&lt;&gt;"",_xlfn.XLOOKUP(R156,[1]ModifierDes!$B:$B,[1]ModifierDes!$A:$A,""),""),"")</f>
        <v>10064</v>
      </c>
      <c r="AI156">
        <f>IFERROR(IF(T156&lt;&gt;"",_xlfn.XLOOKUP(T156,[1]ModifierDes!$B:$B,[1]ModifierDes!$A:$A,""),""),"")</f>
        <v>10049</v>
      </c>
      <c r="AJ156">
        <f>IFERROR(IF(V156&lt;&gt;"",_xlfn.XLOOKUP(V156,[1]ModifierDes!$B:$B,[1]ModifierDes!$A:$A,""),""),"")</f>
        <v>10169</v>
      </c>
      <c r="AK156" t="str">
        <f>IFERROR(IF(X156&lt;&gt;"",_xlfn.XLOOKUP(X156,[1]ModifierDes!$B:$B,[1]ModifierDes!$A:$A,""),""),"")</f>
        <v/>
      </c>
      <c r="AL156" t="str">
        <f t="shared" si="84"/>
        <v>[0.1]</v>
      </c>
      <c r="AM156" t="str">
        <f t="shared" si="85"/>
        <v>[0.04]</v>
      </c>
      <c r="AN156" t="str">
        <f t="shared" si="86"/>
        <v>[0.2]</v>
      </c>
      <c r="AO156" t="str">
        <f t="shared" si="78"/>
        <v/>
      </c>
      <c r="AP156" t="str">
        <f>IFERROR(IF(Z156&lt;&gt;"",_xlfn.XLOOKUP(Z156,[1]StuntDes!$B:$B,[1]StuntDes!$A:$A,""),""),"")</f>
        <v/>
      </c>
      <c r="AQ156" t="str">
        <f>IFERROR(IF(AA156&lt;&gt;"",_xlfn.XLOOKUP(AA156,[1]StuntDes!$B:$B,[1]StuntDes!$A:$A,""),""),"")</f>
        <v/>
      </c>
    </row>
    <row r="157" spans="1:43">
      <c r="A157" s="16">
        <f t="shared" si="60"/>
        <v>70823</v>
      </c>
      <c r="B157" s="17" t="s">
        <v>381</v>
      </c>
      <c r="C157" s="17">
        <v>7082</v>
      </c>
      <c r="D157" s="18">
        <v>3</v>
      </c>
      <c r="E157" s="18" t="str">
        <f t="shared" si="91"/>
        <v>[[17082,1]]</v>
      </c>
      <c r="F157" s="14"/>
      <c r="G157" s="18" t="str">
        <f t="shared" si="80"/>
        <v>10064|10049|10169</v>
      </c>
      <c r="H157" s="18" t="str">
        <f t="shared" si="77"/>
        <v>[[0.1],[0.08],[0.27]]</v>
      </c>
      <c r="I157" s="18" t="str">
        <f t="shared" si="81"/>
        <v/>
      </c>
      <c r="J157" s="18" t="str">
        <f t="shared" si="82"/>
        <v/>
      </c>
      <c r="K157" t="str">
        <f>_xlfn.XLOOKUP(C157,Pet!A:A,Pet!E:E)</f>
        <v>SSR-投射物</v>
      </c>
      <c r="R157" t="s">
        <v>242</v>
      </c>
      <c r="S157">
        <v>0.1</v>
      </c>
      <c r="T157" t="s">
        <v>243</v>
      </c>
      <c r="U157">
        <v>0.08</v>
      </c>
      <c r="V157" t="s">
        <v>378</v>
      </c>
      <c r="W157">
        <v>0.27</v>
      </c>
      <c r="AB157" t="str">
        <f>IFERROR(IF(L157&lt;&gt;"",_xlfn.XLOOKUP(L157,[1]AttributeName!$C:$C,[1]AttributeName!$B:$B,""),""),"")</f>
        <v/>
      </c>
      <c r="AC157" t="str">
        <f>IFERROR(IF(N157&lt;&gt;"",_xlfn.XLOOKUP(N157,[1]AttributeName!$C:$C,[1]AttributeName!$B:$B,""),""),"")</f>
        <v/>
      </c>
      <c r="AD157" t="str">
        <f>IFERROR(IF(P157&lt;&gt;"",_xlfn.XLOOKUP(P157,[1]AttributeName!$C:$C,[1]AttributeName!$B:$B,""),""),"")</f>
        <v/>
      </c>
      <c r="AE157" t="str">
        <f t="shared" si="83"/>
        <v/>
      </c>
      <c r="AF157" t="str">
        <f t="shared" si="88"/>
        <v/>
      </c>
      <c r="AG157" t="str">
        <f t="shared" si="89"/>
        <v/>
      </c>
      <c r="AH157">
        <f>IFERROR(IF(R157&lt;&gt;"",_xlfn.XLOOKUP(R157,[1]ModifierDes!$B:$B,[1]ModifierDes!$A:$A,""),""),"")</f>
        <v>10064</v>
      </c>
      <c r="AI157">
        <f>IFERROR(IF(T157&lt;&gt;"",_xlfn.XLOOKUP(T157,[1]ModifierDes!$B:$B,[1]ModifierDes!$A:$A,""),""),"")</f>
        <v>10049</v>
      </c>
      <c r="AJ157">
        <f>IFERROR(IF(V157&lt;&gt;"",_xlfn.XLOOKUP(V157,[1]ModifierDes!$B:$B,[1]ModifierDes!$A:$A,""),""),"")</f>
        <v>10169</v>
      </c>
      <c r="AK157" t="str">
        <f>IFERROR(IF(X157&lt;&gt;"",_xlfn.XLOOKUP(X157,[1]ModifierDes!$B:$B,[1]ModifierDes!$A:$A,""),""),"")</f>
        <v/>
      </c>
      <c r="AL157" t="str">
        <f t="shared" si="84"/>
        <v>[0.1]</v>
      </c>
      <c r="AM157" t="str">
        <f t="shared" si="85"/>
        <v>[0.08]</v>
      </c>
      <c r="AN157" t="str">
        <f t="shared" si="86"/>
        <v>[0.27]</v>
      </c>
      <c r="AO157" t="str">
        <f t="shared" si="78"/>
        <v/>
      </c>
      <c r="AP157" t="str">
        <f>IFERROR(IF(Z157&lt;&gt;"",_xlfn.XLOOKUP(Z157,[1]StuntDes!$B:$B,[1]StuntDes!$A:$A,""),""),"")</f>
        <v/>
      </c>
      <c r="AQ157" t="str">
        <f>IFERROR(IF(AA157&lt;&gt;"",_xlfn.XLOOKUP(AA157,[1]StuntDes!$B:$B,[1]StuntDes!$A:$A,""),""),"")</f>
        <v/>
      </c>
    </row>
    <row r="158" spans="1:43">
      <c r="A158" s="16">
        <f t="shared" si="60"/>
        <v>70824</v>
      </c>
      <c r="B158" s="17" t="s">
        <v>382</v>
      </c>
      <c r="C158" s="17">
        <v>7082</v>
      </c>
      <c r="D158" s="18">
        <v>4</v>
      </c>
      <c r="E158" s="18" t="str">
        <f t="shared" si="91"/>
        <v>[[17082,1]]</v>
      </c>
      <c r="F158" s="14"/>
      <c r="G158" s="18" t="str">
        <f t="shared" si="80"/>
        <v>10064|10049|10169</v>
      </c>
      <c r="H158" s="18" t="str">
        <f t="shared" si="77"/>
        <v>[[0.15],[0.08],[0.36]]</v>
      </c>
      <c r="I158" s="18" t="str">
        <f t="shared" si="81"/>
        <v/>
      </c>
      <c r="J158" s="18" t="str">
        <f t="shared" si="82"/>
        <v/>
      </c>
      <c r="K158" t="str">
        <f>_xlfn.XLOOKUP(C158,Pet!A:A,Pet!E:E)</f>
        <v>SSR-投射物</v>
      </c>
      <c r="R158" t="s">
        <v>242</v>
      </c>
      <c r="S158">
        <v>0.15</v>
      </c>
      <c r="T158" t="s">
        <v>243</v>
      </c>
      <c r="U158">
        <v>0.08</v>
      </c>
      <c r="V158" t="s">
        <v>378</v>
      </c>
      <c r="W158">
        <v>0.36</v>
      </c>
      <c r="AB158" t="str">
        <f>IFERROR(IF(L158&lt;&gt;"",_xlfn.XLOOKUP(L158,[1]AttributeName!$C:$C,[1]AttributeName!$B:$B,""),""),"")</f>
        <v/>
      </c>
      <c r="AC158" t="str">
        <f>IFERROR(IF(N158&lt;&gt;"",_xlfn.XLOOKUP(N158,[1]AttributeName!$C:$C,[1]AttributeName!$B:$B,""),""),"")</f>
        <v/>
      </c>
      <c r="AD158" t="str">
        <f>IFERROR(IF(P158&lt;&gt;"",_xlfn.XLOOKUP(P158,[1]AttributeName!$C:$C,[1]AttributeName!$B:$B,""),""),"")</f>
        <v/>
      </c>
      <c r="AE158" t="str">
        <f t="shared" si="83"/>
        <v/>
      </c>
      <c r="AF158" t="str">
        <f t="shared" si="88"/>
        <v/>
      </c>
      <c r="AG158" t="str">
        <f t="shared" si="89"/>
        <v/>
      </c>
      <c r="AH158">
        <f>IFERROR(IF(R158&lt;&gt;"",_xlfn.XLOOKUP(R158,[1]ModifierDes!$B:$B,[1]ModifierDes!$A:$A,""),""),"")</f>
        <v>10064</v>
      </c>
      <c r="AI158">
        <f>IFERROR(IF(T158&lt;&gt;"",_xlfn.XLOOKUP(T158,[1]ModifierDes!$B:$B,[1]ModifierDes!$A:$A,""),""),"")</f>
        <v>10049</v>
      </c>
      <c r="AJ158">
        <f>IFERROR(IF(V158&lt;&gt;"",_xlfn.XLOOKUP(V158,[1]ModifierDes!$B:$B,[1]ModifierDes!$A:$A,""),""),"")</f>
        <v>10169</v>
      </c>
      <c r="AK158" t="str">
        <f>IFERROR(IF(X158&lt;&gt;"",_xlfn.XLOOKUP(X158,[1]ModifierDes!$B:$B,[1]ModifierDes!$A:$A,""),""),"")</f>
        <v/>
      </c>
      <c r="AL158" t="str">
        <f t="shared" si="84"/>
        <v>[0.15]</v>
      </c>
      <c r="AM158" t="str">
        <f t="shared" si="85"/>
        <v>[0.08]</v>
      </c>
      <c r="AN158" t="str">
        <f t="shared" si="86"/>
        <v>[0.36]</v>
      </c>
      <c r="AO158" t="str">
        <f t="shared" si="78"/>
        <v/>
      </c>
      <c r="AP158" t="str">
        <f>IFERROR(IF(Z158&lt;&gt;"",_xlfn.XLOOKUP(Z158,[1]StuntDes!$B:$B,[1]StuntDes!$A:$A,""),""),"")</f>
        <v/>
      </c>
      <c r="AQ158" t="str">
        <f>IFERROR(IF(AA158&lt;&gt;"",_xlfn.XLOOKUP(AA158,[1]StuntDes!$B:$B,[1]StuntDes!$A:$A,""),""),"")</f>
        <v/>
      </c>
    </row>
    <row r="159" spans="1:43">
      <c r="A159" s="16">
        <f t="shared" si="60"/>
        <v>70825</v>
      </c>
      <c r="B159" s="17" t="s">
        <v>383</v>
      </c>
      <c r="C159" s="17">
        <v>7082</v>
      </c>
      <c r="D159" s="18">
        <v>5</v>
      </c>
      <c r="E159" s="18"/>
      <c r="F159" s="14"/>
      <c r="G159" s="18" t="str">
        <f t="shared" si="80"/>
        <v>10064|10049|10169</v>
      </c>
      <c r="H159" s="18" t="str">
        <f t="shared" si="77"/>
        <v>[[0.15],[0.12],[0.36],[0.03,0.01]]</v>
      </c>
      <c r="I159" s="18" t="str">
        <f t="shared" si="81"/>
        <v/>
      </c>
      <c r="J159" s="18" t="str">
        <f t="shared" si="82"/>
        <v/>
      </c>
      <c r="K159" t="str">
        <f>_xlfn.XLOOKUP(C159,Pet!A:A,Pet!E:E)</f>
        <v>SSR-投射物</v>
      </c>
      <c r="R159" t="s">
        <v>242</v>
      </c>
      <c r="S159">
        <v>0.15</v>
      </c>
      <c r="T159" t="s">
        <v>243</v>
      </c>
      <c r="U159">
        <v>0.12</v>
      </c>
      <c r="V159" t="s">
        <v>378</v>
      </c>
      <c r="W159">
        <v>0.36</v>
      </c>
      <c r="X159" t="s">
        <v>384</v>
      </c>
      <c r="Y159" t="s">
        <v>385</v>
      </c>
      <c r="AB159" t="str">
        <f>IFERROR(IF(L159&lt;&gt;"",_xlfn.XLOOKUP(L159,[1]AttributeName!$C:$C,[1]AttributeName!$B:$B,""),""),"")</f>
        <v/>
      </c>
      <c r="AC159" t="str">
        <f>IFERROR(IF(N159&lt;&gt;"",_xlfn.XLOOKUP(N159,[1]AttributeName!$C:$C,[1]AttributeName!$B:$B,""),""),"")</f>
        <v/>
      </c>
      <c r="AD159" t="str">
        <f>IFERROR(IF(P159&lt;&gt;"",_xlfn.XLOOKUP(P159,[1]AttributeName!$C:$C,[1]AttributeName!$B:$B,""),""),"")</f>
        <v/>
      </c>
      <c r="AE159" t="str">
        <f t="shared" si="83"/>
        <v/>
      </c>
      <c r="AF159" t="str">
        <f t="shared" si="88"/>
        <v/>
      </c>
      <c r="AG159" t="str">
        <f t="shared" si="89"/>
        <v/>
      </c>
      <c r="AH159">
        <f>IFERROR(IF(R159&lt;&gt;"",_xlfn.XLOOKUP(R159,[1]ModifierDes!$B:$B,[1]ModifierDes!$A:$A,""),""),"")</f>
        <v>10064</v>
      </c>
      <c r="AI159">
        <f>IFERROR(IF(T159&lt;&gt;"",_xlfn.XLOOKUP(T159,[1]ModifierDes!$B:$B,[1]ModifierDes!$A:$A,""),""),"")</f>
        <v>10049</v>
      </c>
      <c r="AJ159">
        <f>IFERROR(IF(V159&lt;&gt;"",_xlfn.XLOOKUP(V159,[1]ModifierDes!$B:$B,[1]ModifierDes!$A:$A,""),""),"")</f>
        <v>10169</v>
      </c>
      <c r="AK159">
        <f>IFERROR(IF(X159&lt;&gt;"",_xlfn.XLOOKUP(X159,[1]ModifierDes!$B:$B,[1]ModifierDes!$A:$A,""),""),"")</f>
        <v>10167</v>
      </c>
      <c r="AL159" t="str">
        <f t="shared" si="84"/>
        <v>[0.15]</v>
      </c>
      <c r="AM159" t="str">
        <f t="shared" si="85"/>
        <v>[0.12]</v>
      </c>
      <c r="AN159" t="str">
        <f t="shared" si="86"/>
        <v>[0.36]</v>
      </c>
      <c r="AO159" t="str">
        <f t="shared" si="78"/>
        <v>[0.03,0.01]</v>
      </c>
      <c r="AP159" t="str">
        <f>IFERROR(IF(Z159&lt;&gt;"",_xlfn.XLOOKUP(Z159,[1]StuntDes!$B:$B,[1]StuntDes!$A:$A,""),""),"")</f>
        <v/>
      </c>
      <c r="AQ159" t="str">
        <f>IFERROR(IF(AA159&lt;&gt;"",_xlfn.XLOOKUP(AA159,[1]StuntDes!$B:$B,[1]StuntDes!$A:$A,""),""),"")</f>
        <v/>
      </c>
    </row>
    <row r="160" spans="1:43">
      <c r="A160" s="16">
        <f t="shared" si="60"/>
        <v>70720</v>
      </c>
      <c r="B160" s="17" t="s">
        <v>386</v>
      </c>
      <c r="C160" s="17">
        <v>7072</v>
      </c>
      <c r="D160" s="18">
        <v>0</v>
      </c>
      <c r="E160" s="18" t="str">
        <f t="shared" ref="E160:E164" si="92">"[["&amp;C160+10000&amp;",1]]"</f>
        <v>[[17072,1]]</v>
      </c>
      <c r="F160" s="14"/>
      <c r="G160" s="18" t="str">
        <f t="shared" si="80"/>
        <v>10066|10136</v>
      </c>
      <c r="H160" s="18" t="str">
        <f t="shared" si="77"/>
        <v>[[0.05],[0.1]]</v>
      </c>
      <c r="I160" s="18" t="str">
        <f t="shared" si="81"/>
        <v/>
      </c>
      <c r="J160" s="18" t="str">
        <f t="shared" si="82"/>
        <v/>
      </c>
      <c r="K160" t="str">
        <f>_xlfn.XLOOKUP(C160,Pet!A:A,Pet!E:E)</f>
        <v>SSR-攻击</v>
      </c>
      <c r="R160" t="s">
        <v>227</v>
      </c>
      <c r="S160">
        <v>0.05</v>
      </c>
      <c r="V160" t="s">
        <v>387</v>
      </c>
      <c r="W160">
        <v>0.1</v>
      </c>
      <c r="AB160" t="str">
        <f>IFERROR(IF(L160&lt;&gt;"",_xlfn.XLOOKUP(L160,[1]AttributeName!$C:$C,[1]AttributeName!$B:$B,""),""),"")</f>
        <v/>
      </c>
      <c r="AC160" t="str">
        <f>IFERROR(IF(N160&lt;&gt;"",_xlfn.XLOOKUP(N160,[1]AttributeName!$C:$C,[1]AttributeName!$B:$B,""),""),"")</f>
        <v/>
      </c>
      <c r="AD160" t="str">
        <f>IFERROR(IF(P160&lt;&gt;"",_xlfn.XLOOKUP(P160,[1]AttributeName!$C:$C,[1]AttributeName!$B:$B,""),""),"")</f>
        <v/>
      </c>
      <c r="AE160" t="str">
        <f t="shared" si="83"/>
        <v/>
      </c>
      <c r="AF160" t="str">
        <f t="shared" si="88"/>
        <v/>
      </c>
      <c r="AG160" t="str">
        <f t="shared" si="89"/>
        <v/>
      </c>
      <c r="AH160">
        <f>IFERROR(IF(R160&lt;&gt;"",_xlfn.XLOOKUP(R160,[1]ModifierDes!$B:$B,[1]ModifierDes!$A:$A,""),""),"")</f>
        <v>10066</v>
      </c>
      <c r="AI160" t="str">
        <f>IFERROR(IF(T160&lt;&gt;"",_xlfn.XLOOKUP(T160,[1]ModifierDes!$B:$B,[1]ModifierDes!$A:$A,""),""),"")</f>
        <v/>
      </c>
      <c r="AJ160">
        <f>IFERROR(IF(V160&lt;&gt;"",_xlfn.XLOOKUP(V160,[1]ModifierDes!$B:$B,[1]ModifierDes!$A:$A,""),""),"")</f>
        <v>10136</v>
      </c>
      <c r="AK160" t="str">
        <f>IFERROR(IF(X160&lt;&gt;"",_xlfn.XLOOKUP(X160,[1]ModifierDes!$B:$B,[1]ModifierDes!$A:$A,""),""),"")</f>
        <v/>
      </c>
      <c r="AL160" t="str">
        <f t="shared" si="84"/>
        <v>[0.05]</v>
      </c>
      <c r="AM160" t="str">
        <f t="shared" si="85"/>
        <v/>
      </c>
      <c r="AN160" t="str">
        <f t="shared" si="86"/>
        <v>[0.1]</v>
      </c>
      <c r="AO160" t="str">
        <f t="shared" si="78"/>
        <v/>
      </c>
      <c r="AP160" t="str">
        <f>IFERROR(IF(Z160&lt;&gt;"",_xlfn.XLOOKUP(Z160,[1]StuntDes!$B:$B,[1]StuntDes!$A:$A,""),""),"")</f>
        <v/>
      </c>
      <c r="AQ160" t="str">
        <f>IFERROR(IF(AA160&lt;&gt;"",_xlfn.XLOOKUP(AA160,[1]StuntDes!$B:$B,[1]StuntDes!$A:$A,""),""),"")</f>
        <v/>
      </c>
    </row>
    <row r="161" spans="1:43">
      <c r="A161" s="16">
        <f t="shared" si="60"/>
        <v>70721</v>
      </c>
      <c r="B161" s="17" t="s">
        <v>388</v>
      </c>
      <c r="C161" s="17">
        <v>7072</v>
      </c>
      <c r="D161" s="18">
        <v>1</v>
      </c>
      <c r="E161" s="18" t="str">
        <f t="shared" si="92"/>
        <v>[[17072,1]]</v>
      </c>
      <c r="F161" s="14"/>
      <c r="G161" s="18" t="str">
        <f t="shared" si="80"/>
        <v>10066|10136</v>
      </c>
      <c r="H161" s="18" t="str">
        <f t="shared" si="77"/>
        <v>[[0.1],[0.15]]</v>
      </c>
      <c r="I161" s="18" t="str">
        <f t="shared" si="81"/>
        <v/>
      </c>
      <c r="J161" s="18" t="str">
        <f t="shared" si="82"/>
        <v/>
      </c>
      <c r="K161" t="str">
        <f>_xlfn.XLOOKUP(C161,Pet!A:A,Pet!E:E)</f>
        <v>SSR-攻击</v>
      </c>
      <c r="R161" t="s">
        <v>227</v>
      </c>
      <c r="S161">
        <v>0.1</v>
      </c>
      <c r="V161" t="s">
        <v>387</v>
      </c>
      <c r="W161">
        <v>0.15</v>
      </c>
      <c r="AB161" t="str">
        <f>IFERROR(IF(L161&lt;&gt;"",_xlfn.XLOOKUP(L161,[1]AttributeName!$C:$C,[1]AttributeName!$B:$B,""),""),"")</f>
        <v/>
      </c>
      <c r="AC161" t="str">
        <f>IFERROR(IF(N161&lt;&gt;"",_xlfn.XLOOKUP(N161,[1]AttributeName!$C:$C,[1]AttributeName!$B:$B,""),""),"")</f>
        <v/>
      </c>
      <c r="AD161" t="str">
        <f>IFERROR(IF(P161&lt;&gt;"",_xlfn.XLOOKUP(P161,[1]AttributeName!$C:$C,[1]AttributeName!$B:$B,""),""),"")</f>
        <v/>
      </c>
      <c r="AE161" t="str">
        <f t="shared" si="83"/>
        <v/>
      </c>
      <c r="AF161" t="str">
        <f t="shared" si="88"/>
        <v/>
      </c>
      <c r="AG161" t="str">
        <f t="shared" si="89"/>
        <v/>
      </c>
      <c r="AH161">
        <f>IFERROR(IF(R161&lt;&gt;"",_xlfn.XLOOKUP(R161,[1]ModifierDes!$B:$B,[1]ModifierDes!$A:$A,""),""),"")</f>
        <v>10066</v>
      </c>
      <c r="AI161" t="str">
        <f>IFERROR(IF(T161&lt;&gt;"",_xlfn.XLOOKUP(T161,[1]ModifierDes!$B:$B,[1]ModifierDes!$A:$A,""),""),"")</f>
        <v/>
      </c>
      <c r="AJ161">
        <f>IFERROR(IF(V161&lt;&gt;"",_xlfn.XLOOKUP(V161,[1]ModifierDes!$B:$B,[1]ModifierDes!$A:$A,""),""),"")</f>
        <v>10136</v>
      </c>
      <c r="AK161" t="str">
        <f>IFERROR(IF(X161&lt;&gt;"",_xlfn.XLOOKUP(X161,[1]ModifierDes!$B:$B,[1]ModifierDes!$A:$A,""),""),"")</f>
        <v/>
      </c>
      <c r="AL161" t="str">
        <f t="shared" si="84"/>
        <v>[0.1]</v>
      </c>
      <c r="AM161" t="str">
        <f t="shared" si="85"/>
        <v/>
      </c>
      <c r="AN161" t="str">
        <f t="shared" si="86"/>
        <v>[0.15]</v>
      </c>
      <c r="AO161" t="str">
        <f t="shared" si="78"/>
        <v/>
      </c>
      <c r="AP161" t="str">
        <f>IFERROR(IF(Z161&lt;&gt;"",_xlfn.XLOOKUP(Z161,[1]StuntDes!$B:$B,[1]StuntDes!$A:$A,""),""),"")</f>
        <v/>
      </c>
      <c r="AQ161" t="str">
        <f>IFERROR(IF(AA161&lt;&gt;"",_xlfn.XLOOKUP(AA161,[1]StuntDes!$B:$B,[1]StuntDes!$A:$A,""),""),"")</f>
        <v/>
      </c>
    </row>
    <row r="162" spans="1:43">
      <c r="A162" s="16">
        <f t="shared" si="60"/>
        <v>70722</v>
      </c>
      <c r="B162" s="17" t="s">
        <v>389</v>
      </c>
      <c r="C162" s="17">
        <v>7072</v>
      </c>
      <c r="D162" s="18">
        <v>2</v>
      </c>
      <c r="E162" s="18" t="str">
        <f t="shared" si="92"/>
        <v>[[17072,1]]</v>
      </c>
      <c r="F162" s="14"/>
      <c r="G162" s="18" t="str">
        <f t="shared" si="80"/>
        <v>10066|10136</v>
      </c>
      <c r="H162" s="18" t="str">
        <f t="shared" si="77"/>
        <v>[[0.15],[0.2]]</v>
      </c>
      <c r="I162" s="18" t="str">
        <f t="shared" si="81"/>
        <v/>
      </c>
      <c r="J162" s="18" t="str">
        <f t="shared" si="82"/>
        <v/>
      </c>
      <c r="K162" t="str">
        <f>_xlfn.XLOOKUP(C162,Pet!A:A,Pet!E:E)</f>
        <v>SSR-攻击</v>
      </c>
      <c r="R162" t="s">
        <v>227</v>
      </c>
      <c r="S162">
        <v>0.15</v>
      </c>
      <c r="V162" t="s">
        <v>387</v>
      </c>
      <c r="W162">
        <v>0.2</v>
      </c>
      <c r="AB162" t="str">
        <f>IFERROR(IF(L162&lt;&gt;"",_xlfn.XLOOKUP(L162,[1]AttributeName!$C:$C,[1]AttributeName!$B:$B,""),""),"")</f>
        <v/>
      </c>
      <c r="AC162" t="str">
        <f>IFERROR(IF(N162&lt;&gt;"",_xlfn.XLOOKUP(N162,[1]AttributeName!$C:$C,[1]AttributeName!$B:$B,""),""),"")</f>
        <v/>
      </c>
      <c r="AD162" t="str">
        <f>IFERROR(IF(P162&lt;&gt;"",_xlfn.XLOOKUP(P162,[1]AttributeName!$C:$C,[1]AttributeName!$B:$B,""),""),"")</f>
        <v/>
      </c>
      <c r="AE162" t="str">
        <f t="shared" si="83"/>
        <v/>
      </c>
      <c r="AF162" t="str">
        <f t="shared" si="88"/>
        <v/>
      </c>
      <c r="AG162" t="str">
        <f t="shared" si="89"/>
        <v/>
      </c>
      <c r="AH162">
        <f>IFERROR(IF(R162&lt;&gt;"",_xlfn.XLOOKUP(R162,[1]ModifierDes!$B:$B,[1]ModifierDes!$A:$A,""),""),"")</f>
        <v>10066</v>
      </c>
      <c r="AI162" t="str">
        <f>IFERROR(IF(T162&lt;&gt;"",_xlfn.XLOOKUP(T162,[1]ModifierDes!$B:$B,[1]ModifierDes!$A:$A,""),""),"")</f>
        <v/>
      </c>
      <c r="AJ162">
        <f>IFERROR(IF(V162&lt;&gt;"",_xlfn.XLOOKUP(V162,[1]ModifierDes!$B:$B,[1]ModifierDes!$A:$A,""),""),"")</f>
        <v>10136</v>
      </c>
      <c r="AK162" t="str">
        <f>IFERROR(IF(X162&lt;&gt;"",_xlfn.XLOOKUP(X162,[1]ModifierDes!$B:$B,[1]ModifierDes!$A:$A,""),""),"")</f>
        <v/>
      </c>
      <c r="AL162" t="str">
        <f t="shared" si="84"/>
        <v>[0.15]</v>
      </c>
      <c r="AM162" t="str">
        <f t="shared" si="85"/>
        <v/>
      </c>
      <c r="AN162" t="str">
        <f t="shared" si="86"/>
        <v>[0.2]</v>
      </c>
      <c r="AO162" t="str">
        <f t="shared" si="78"/>
        <v/>
      </c>
      <c r="AP162" t="str">
        <f>IFERROR(IF(Z162&lt;&gt;"",_xlfn.XLOOKUP(Z162,[1]StuntDes!$B:$B,[1]StuntDes!$A:$A,""),""),"")</f>
        <v/>
      </c>
      <c r="AQ162" t="str">
        <f>IFERROR(IF(AA162&lt;&gt;"",_xlfn.XLOOKUP(AA162,[1]StuntDes!$B:$B,[1]StuntDes!$A:$A,""),""),"")</f>
        <v/>
      </c>
    </row>
    <row r="163" spans="1:43">
      <c r="A163" s="16">
        <f t="shared" si="60"/>
        <v>70723</v>
      </c>
      <c r="B163" s="17" t="s">
        <v>390</v>
      </c>
      <c r="C163" s="17">
        <v>7072</v>
      </c>
      <c r="D163" s="18">
        <v>3</v>
      </c>
      <c r="E163" s="18" t="str">
        <f t="shared" si="92"/>
        <v>[[17072,1]]</v>
      </c>
      <c r="F163" s="14"/>
      <c r="G163" s="18" t="str">
        <f t="shared" si="80"/>
        <v>10066|10031|10136</v>
      </c>
      <c r="H163" s="18" t="str">
        <f t="shared" si="77"/>
        <v>[[0.15],[0.04],[0.25]]</v>
      </c>
      <c r="I163" s="18" t="str">
        <f t="shared" si="81"/>
        <v/>
      </c>
      <c r="J163" s="18" t="str">
        <f t="shared" si="82"/>
        <v/>
      </c>
      <c r="K163" t="str">
        <f>_xlfn.XLOOKUP(C163,Pet!A:A,Pet!E:E)</f>
        <v>SSR-攻击</v>
      </c>
      <c r="R163" t="s">
        <v>227</v>
      </c>
      <c r="S163">
        <v>0.15</v>
      </c>
      <c r="T163" t="s">
        <v>207</v>
      </c>
      <c r="U163">
        <v>0.04</v>
      </c>
      <c r="V163" t="s">
        <v>387</v>
      </c>
      <c r="W163">
        <v>0.25</v>
      </c>
      <c r="AB163" t="str">
        <f>IFERROR(IF(L163&lt;&gt;"",_xlfn.XLOOKUP(L163,[1]AttributeName!$C:$C,[1]AttributeName!$B:$B,""),""),"")</f>
        <v/>
      </c>
      <c r="AC163" t="str">
        <f>IFERROR(IF(N163&lt;&gt;"",_xlfn.XLOOKUP(N163,[1]AttributeName!$C:$C,[1]AttributeName!$B:$B,""),""),"")</f>
        <v/>
      </c>
      <c r="AD163" t="str">
        <f>IFERROR(IF(P163&lt;&gt;"",_xlfn.XLOOKUP(P163,[1]AttributeName!$C:$C,[1]AttributeName!$B:$B,""),""),"")</f>
        <v/>
      </c>
      <c r="AE163" t="str">
        <f t="shared" si="83"/>
        <v/>
      </c>
      <c r="AF163" t="str">
        <f t="shared" si="88"/>
        <v/>
      </c>
      <c r="AG163" t="str">
        <f t="shared" si="89"/>
        <v/>
      </c>
      <c r="AH163">
        <f>IFERROR(IF(R163&lt;&gt;"",_xlfn.XLOOKUP(R163,[1]ModifierDes!$B:$B,[1]ModifierDes!$A:$A,""),""),"")</f>
        <v>10066</v>
      </c>
      <c r="AI163">
        <f>IFERROR(IF(T163&lt;&gt;"",_xlfn.XLOOKUP(T163,[1]ModifierDes!$B:$B,[1]ModifierDes!$A:$A,""),""),"")</f>
        <v>10031</v>
      </c>
      <c r="AJ163">
        <f>IFERROR(IF(V163&lt;&gt;"",_xlfn.XLOOKUP(V163,[1]ModifierDes!$B:$B,[1]ModifierDes!$A:$A,""),""),"")</f>
        <v>10136</v>
      </c>
      <c r="AK163" t="str">
        <f>IFERROR(IF(X163&lt;&gt;"",_xlfn.XLOOKUP(X163,[1]ModifierDes!$B:$B,[1]ModifierDes!$A:$A,""),""),"")</f>
        <v/>
      </c>
      <c r="AL163" t="str">
        <f t="shared" si="84"/>
        <v>[0.15]</v>
      </c>
      <c r="AM163" t="str">
        <f t="shared" si="85"/>
        <v>[0.04]</v>
      </c>
      <c r="AN163" t="str">
        <f t="shared" si="86"/>
        <v>[0.25]</v>
      </c>
      <c r="AO163" t="str">
        <f t="shared" si="78"/>
        <v/>
      </c>
      <c r="AP163" t="str">
        <f>IFERROR(IF(Z163&lt;&gt;"",_xlfn.XLOOKUP(Z163,[1]StuntDes!$B:$B,[1]StuntDes!$A:$A,""),""),"")</f>
        <v/>
      </c>
      <c r="AQ163" t="str">
        <f>IFERROR(IF(AA163&lt;&gt;"",_xlfn.XLOOKUP(AA163,[1]StuntDes!$B:$B,[1]StuntDes!$A:$A,""),""),"")</f>
        <v/>
      </c>
    </row>
    <row r="164" spans="1:43">
      <c r="A164" s="16">
        <f t="shared" si="60"/>
        <v>70724</v>
      </c>
      <c r="B164" s="17" t="s">
        <v>391</v>
      </c>
      <c r="C164" s="17">
        <v>7072</v>
      </c>
      <c r="D164" s="18">
        <v>4</v>
      </c>
      <c r="E164" s="18" t="str">
        <f t="shared" si="92"/>
        <v>[[17072,1]]</v>
      </c>
      <c r="F164" s="14"/>
      <c r="G164" s="18" t="str">
        <f t="shared" si="80"/>
        <v>10066|10031|10136</v>
      </c>
      <c r="H164" s="18" t="str">
        <f t="shared" si="77"/>
        <v>[[0.2],[0.04],[0.3]]</v>
      </c>
      <c r="I164" s="18" t="str">
        <f t="shared" si="81"/>
        <v/>
      </c>
      <c r="J164" s="18" t="str">
        <f t="shared" si="82"/>
        <v/>
      </c>
      <c r="K164" t="str">
        <f>_xlfn.XLOOKUP(C164,Pet!A:A,Pet!E:E)</f>
        <v>SSR-攻击</v>
      </c>
      <c r="R164" t="s">
        <v>227</v>
      </c>
      <c r="S164">
        <v>0.2</v>
      </c>
      <c r="T164" t="s">
        <v>207</v>
      </c>
      <c r="U164">
        <v>0.04</v>
      </c>
      <c r="V164" t="s">
        <v>387</v>
      </c>
      <c r="W164">
        <v>0.3</v>
      </c>
      <c r="AB164" t="str">
        <f>IFERROR(IF(L164&lt;&gt;"",_xlfn.XLOOKUP(L164,[1]AttributeName!$C:$C,[1]AttributeName!$B:$B,""),""),"")</f>
        <v/>
      </c>
      <c r="AC164" t="str">
        <f>IFERROR(IF(N164&lt;&gt;"",_xlfn.XLOOKUP(N164,[1]AttributeName!$C:$C,[1]AttributeName!$B:$B,""),""),"")</f>
        <v/>
      </c>
      <c r="AD164" t="str">
        <f>IFERROR(IF(P164&lt;&gt;"",_xlfn.XLOOKUP(P164,[1]AttributeName!$C:$C,[1]AttributeName!$B:$B,""),""),"")</f>
        <v/>
      </c>
      <c r="AE164" t="str">
        <f t="shared" si="83"/>
        <v/>
      </c>
      <c r="AF164" t="str">
        <f t="shared" si="88"/>
        <v/>
      </c>
      <c r="AG164" t="str">
        <f t="shared" si="89"/>
        <v/>
      </c>
      <c r="AH164">
        <f>IFERROR(IF(R164&lt;&gt;"",_xlfn.XLOOKUP(R164,[1]ModifierDes!$B:$B,[1]ModifierDes!$A:$A,""),""),"")</f>
        <v>10066</v>
      </c>
      <c r="AI164">
        <f>IFERROR(IF(T164&lt;&gt;"",_xlfn.XLOOKUP(T164,[1]ModifierDes!$B:$B,[1]ModifierDes!$A:$A,""),""),"")</f>
        <v>10031</v>
      </c>
      <c r="AJ164">
        <f>IFERROR(IF(V164&lt;&gt;"",_xlfn.XLOOKUP(V164,[1]ModifierDes!$B:$B,[1]ModifierDes!$A:$A,""),""),"")</f>
        <v>10136</v>
      </c>
      <c r="AK164" t="str">
        <f>IFERROR(IF(X164&lt;&gt;"",_xlfn.XLOOKUP(X164,[1]ModifierDes!$B:$B,[1]ModifierDes!$A:$A,""),""),"")</f>
        <v/>
      </c>
      <c r="AL164" t="str">
        <f t="shared" si="84"/>
        <v>[0.2]</v>
      </c>
      <c r="AM164" t="str">
        <f t="shared" si="85"/>
        <v>[0.04]</v>
      </c>
      <c r="AN164" t="str">
        <f t="shared" si="86"/>
        <v>[0.3]</v>
      </c>
      <c r="AO164" t="str">
        <f t="shared" si="78"/>
        <v/>
      </c>
      <c r="AP164" t="str">
        <f>IFERROR(IF(Z164&lt;&gt;"",_xlfn.XLOOKUP(Z164,[1]StuntDes!$B:$B,[1]StuntDes!$A:$A,""),""),"")</f>
        <v/>
      </c>
      <c r="AQ164" t="str">
        <f>IFERROR(IF(AA164&lt;&gt;"",_xlfn.XLOOKUP(AA164,[1]StuntDes!$B:$B,[1]StuntDes!$A:$A,""),""),"")</f>
        <v/>
      </c>
    </row>
    <row r="165" spans="1:43">
      <c r="A165" s="16">
        <f t="shared" ref="A165:A171" si="93">C165*10+D165</f>
        <v>70725</v>
      </c>
      <c r="B165" s="17" t="s">
        <v>392</v>
      </c>
      <c r="C165" s="17">
        <v>7072</v>
      </c>
      <c r="D165" s="18">
        <v>5</v>
      </c>
      <c r="E165" s="18"/>
      <c r="F165" s="14"/>
      <c r="G165" s="18" t="str">
        <f t="shared" si="80"/>
        <v>10066|10031|10136</v>
      </c>
      <c r="H165" s="18" t="str">
        <f t="shared" si="77"/>
        <v>[[0.2],[0.1],[0.3]]</v>
      </c>
      <c r="I165" s="18" t="str">
        <f t="shared" si="81"/>
        <v>2140000150</v>
      </c>
      <c r="J165" s="18" t="str">
        <f t="shared" si="82"/>
        <v/>
      </c>
      <c r="K165" t="str">
        <f>_xlfn.XLOOKUP(C165,Pet!A:A,Pet!E:E)</f>
        <v>SSR-攻击</v>
      </c>
      <c r="R165" t="s">
        <v>227</v>
      </c>
      <c r="S165">
        <v>0.2</v>
      </c>
      <c r="T165" t="s">
        <v>207</v>
      </c>
      <c r="U165">
        <v>0.1</v>
      </c>
      <c r="V165" t="s">
        <v>387</v>
      </c>
      <c r="W165">
        <v>0.3</v>
      </c>
      <c r="Z165" t="s">
        <v>393</v>
      </c>
      <c r="AB165" t="str">
        <f>IFERROR(IF(L165&lt;&gt;"",_xlfn.XLOOKUP(L165,[1]AttributeName!$C:$C,[1]AttributeName!$B:$B,""),""),"")</f>
        <v/>
      </c>
      <c r="AC165" t="str">
        <f>IFERROR(IF(N165&lt;&gt;"",_xlfn.XLOOKUP(N165,[1]AttributeName!$C:$C,[1]AttributeName!$B:$B,""),""),"")</f>
        <v/>
      </c>
      <c r="AD165" t="str">
        <f>IFERROR(IF(P165&lt;&gt;"",_xlfn.XLOOKUP(P165,[1]AttributeName!$C:$C,[1]AttributeName!$B:$B,""),""),"")</f>
        <v/>
      </c>
      <c r="AE165" t="str">
        <f t="shared" si="83"/>
        <v/>
      </c>
      <c r="AF165" t="str">
        <f t="shared" si="88"/>
        <v/>
      </c>
      <c r="AG165" t="str">
        <f t="shared" si="89"/>
        <v/>
      </c>
      <c r="AH165">
        <f>IFERROR(IF(R165&lt;&gt;"",_xlfn.XLOOKUP(R165,[1]ModifierDes!$B:$B,[1]ModifierDes!$A:$A,""),""),"")</f>
        <v>10066</v>
      </c>
      <c r="AI165">
        <f>IFERROR(IF(T165&lt;&gt;"",_xlfn.XLOOKUP(T165,[1]ModifierDes!$B:$B,[1]ModifierDes!$A:$A,""),""),"")</f>
        <v>10031</v>
      </c>
      <c r="AJ165">
        <f>IFERROR(IF(V165&lt;&gt;"",_xlfn.XLOOKUP(V165,[1]ModifierDes!$B:$B,[1]ModifierDes!$A:$A,""),""),"")</f>
        <v>10136</v>
      </c>
      <c r="AK165" t="str">
        <f>IFERROR(IF(X165&lt;&gt;"",_xlfn.XLOOKUP(X165,[1]ModifierDes!$B:$B,[1]ModifierDes!$A:$A,""),""),"")</f>
        <v/>
      </c>
      <c r="AL165" t="str">
        <f t="shared" si="84"/>
        <v>[0.2]</v>
      </c>
      <c r="AM165" t="str">
        <f t="shared" si="85"/>
        <v>[0.1]</v>
      </c>
      <c r="AN165" t="str">
        <f t="shared" si="86"/>
        <v>[0.3]</v>
      </c>
      <c r="AO165" t="str">
        <f t="shared" si="78"/>
        <v/>
      </c>
      <c r="AP165">
        <f>IFERROR(IF(Z165&lt;&gt;"",_xlfn.XLOOKUP(Z165,[1]StuntDes!$B:$B,[1]StuntDes!$A:$A,""),""),"")</f>
        <v>2140000150</v>
      </c>
      <c r="AQ165" t="str">
        <f>IFERROR(IF(AA165&lt;&gt;"",_xlfn.XLOOKUP(AA165,[1]StuntDes!$B:$B,[1]StuntDes!$A:$A,""),""),"")</f>
        <v/>
      </c>
    </row>
    <row r="166" spans="1:43">
      <c r="A166" s="16">
        <f t="shared" si="93"/>
        <v>61420</v>
      </c>
      <c r="B166" s="17" t="s">
        <v>394</v>
      </c>
      <c r="C166" s="17">
        <v>6142</v>
      </c>
      <c r="D166" s="18">
        <v>0</v>
      </c>
      <c r="E166" s="18" t="str">
        <f t="shared" ref="E166:E170" si="94">"[["&amp;C166+10000&amp;",1]]"</f>
        <v>[[16142,1]]</v>
      </c>
      <c r="F166" s="14"/>
      <c r="G166" s="18" t="str">
        <f t="shared" si="80"/>
        <v/>
      </c>
      <c r="H166" s="18" t="str">
        <f t="shared" si="77"/>
        <v/>
      </c>
      <c r="I166" s="18" t="str">
        <f t="shared" si="81"/>
        <v/>
      </c>
      <c r="J166" s="18" t="str">
        <f t="shared" si="82"/>
        <v>[[10305,0.1],[11008,0.1]]</v>
      </c>
      <c r="K166" t="str">
        <f>_xlfn.XLOOKUP(C166,Pet!A:A,Pet!E:E)</f>
        <v>SR-冰冷</v>
      </c>
      <c r="L166" t="s">
        <v>332</v>
      </c>
      <c r="M166">
        <v>0.1</v>
      </c>
      <c r="N166" t="s">
        <v>333</v>
      </c>
      <c r="O166">
        <v>0.1</v>
      </c>
      <c r="AB166">
        <f>IFERROR(IF(L166&lt;&gt;"",_xlfn.XLOOKUP(L166,[1]AttributeName!$C:$C,[1]AttributeName!$B:$B,""),""),"")</f>
        <v>10305</v>
      </c>
      <c r="AC166">
        <f>IFERROR(IF(N166&lt;&gt;"",_xlfn.XLOOKUP(N166,[1]AttributeName!$C:$C,[1]AttributeName!$B:$B,""),""),"")</f>
        <v>11008</v>
      </c>
      <c r="AD166" t="str">
        <f>IFERROR(IF(P166&lt;&gt;"",_xlfn.XLOOKUP(P166,[1]AttributeName!$C:$C,[1]AttributeName!$B:$B,""),""),"")</f>
        <v/>
      </c>
      <c r="AE166" t="str">
        <f t="shared" si="83"/>
        <v>[10305,0.1]</v>
      </c>
      <c r="AF166" t="str">
        <f t="shared" si="88"/>
        <v>[11008,0.1]</v>
      </c>
      <c r="AG166" t="str">
        <f t="shared" si="89"/>
        <v/>
      </c>
      <c r="AH166" t="str">
        <f>IFERROR(IF(R166&lt;&gt;"",_xlfn.XLOOKUP(R166,[1]ModifierDes!$B:$B,[1]ModifierDes!$A:$A,""),""),"")</f>
        <v/>
      </c>
      <c r="AI166" t="str">
        <f>IFERROR(IF(T166&lt;&gt;"",_xlfn.XLOOKUP(T166,[1]ModifierDes!$B:$B,[1]ModifierDes!$A:$A,""),""),"")</f>
        <v/>
      </c>
      <c r="AJ166" t="str">
        <f>IFERROR(IF(V166&lt;&gt;"",_xlfn.XLOOKUP(V166,[1]ModifierDes!$B:$B,[1]ModifierDes!$A:$A,""),""),"")</f>
        <v/>
      </c>
      <c r="AK166" t="str">
        <f>IFERROR(IF(X166&lt;&gt;"",_xlfn.XLOOKUP(X166,[1]ModifierDes!$B:$B,[1]ModifierDes!$A:$A,""),""),"")</f>
        <v/>
      </c>
      <c r="AL166" t="str">
        <f t="shared" si="84"/>
        <v/>
      </c>
      <c r="AM166" t="str">
        <f t="shared" si="85"/>
        <v/>
      </c>
      <c r="AN166" t="str">
        <f t="shared" si="86"/>
        <v/>
      </c>
      <c r="AO166" t="str">
        <f t="shared" si="78"/>
        <v/>
      </c>
      <c r="AP166" t="str">
        <f>IFERROR(IF(Z166&lt;&gt;"",_xlfn.XLOOKUP(Z166,[1]StuntDes!$B:$B,[1]StuntDes!$A:$A,""),""),"")</f>
        <v/>
      </c>
      <c r="AQ166" t="str">
        <f>IFERROR(IF(AA166&lt;&gt;"",_xlfn.XLOOKUP(AA166,[1]StuntDes!$B:$B,[1]StuntDes!$A:$A,""),""),"")</f>
        <v/>
      </c>
    </row>
    <row r="167" spans="1:43">
      <c r="A167" s="16">
        <f t="shared" si="93"/>
        <v>61421</v>
      </c>
      <c r="B167" s="17" t="s">
        <v>395</v>
      </c>
      <c r="C167" s="17">
        <v>6142</v>
      </c>
      <c r="D167" s="18">
        <v>1</v>
      </c>
      <c r="E167" s="18" t="str">
        <f t="shared" si="94"/>
        <v>[[16142,1]]</v>
      </c>
      <c r="F167" s="14"/>
      <c r="G167" s="18" t="str">
        <f t="shared" si="80"/>
        <v/>
      </c>
      <c r="H167" s="18" t="str">
        <f t="shared" si="77"/>
        <v/>
      </c>
      <c r="I167" s="18" t="str">
        <f t="shared" si="81"/>
        <v/>
      </c>
      <c r="J167" s="18" t="str">
        <f t="shared" si="82"/>
        <v>[[10305,0.25],[11008,0.1]]</v>
      </c>
      <c r="K167" t="str">
        <f>_xlfn.XLOOKUP(C167,Pet!A:A,Pet!E:E)</f>
        <v>SR-冰冷</v>
      </c>
      <c r="L167" t="s">
        <v>332</v>
      </c>
      <c r="M167">
        <v>0.25</v>
      </c>
      <c r="N167" t="s">
        <v>333</v>
      </c>
      <c r="O167">
        <v>0.1</v>
      </c>
      <c r="AB167">
        <f>IFERROR(IF(L167&lt;&gt;"",_xlfn.XLOOKUP(L167,[1]AttributeName!$C:$C,[1]AttributeName!$B:$B,""),""),"")</f>
        <v>10305</v>
      </c>
      <c r="AC167">
        <f>IFERROR(IF(N167&lt;&gt;"",_xlfn.XLOOKUP(N167,[1]AttributeName!$C:$C,[1]AttributeName!$B:$B,""),""),"")</f>
        <v>11008</v>
      </c>
      <c r="AD167" t="str">
        <f>IFERROR(IF(P167&lt;&gt;"",_xlfn.XLOOKUP(P167,[1]AttributeName!$C:$C,[1]AttributeName!$B:$B,""),""),"")</f>
        <v/>
      </c>
      <c r="AE167" t="str">
        <f t="shared" si="83"/>
        <v>[10305,0.25]</v>
      </c>
      <c r="AF167" t="str">
        <f t="shared" si="88"/>
        <v>[11008,0.1]</v>
      </c>
      <c r="AG167" t="str">
        <f t="shared" si="89"/>
        <v/>
      </c>
      <c r="AH167" t="str">
        <f>IFERROR(IF(R167&lt;&gt;"",_xlfn.XLOOKUP(R167,[1]ModifierDes!$B:$B,[1]ModifierDes!$A:$A,""),""),"")</f>
        <v/>
      </c>
      <c r="AI167" t="str">
        <f>IFERROR(IF(T167&lt;&gt;"",_xlfn.XLOOKUP(T167,[1]ModifierDes!$B:$B,[1]ModifierDes!$A:$A,""),""),"")</f>
        <v/>
      </c>
      <c r="AJ167" t="str">
        <f>IFERROR(IF(V167&lt;&gt;"",_xlfn.XLOOKUP(V167,[1]ModifierDes!$B:$B,[1]ModifierDes!$A:$A,""),""),"")</f>
        <v/>
      </c>
      <c r="AK167" t="str">
        <f>IFERROR(IF(X167&lt;&gt;"",_xlfn.XLOOKUP(X167,[1]ModifierDes!$B:$B,[1]ModifierDes!$A:$A,""),""),"")</f>
        <v/>
      </c>
      <c r="AL167" t="str">
        <f t="shared" si="84"/>
        <v/>
      </c>
      <c r="AM167" t="str">
        <f t="shared" si="85"/>
        <v/>
      </c>
      <c r="AN167" t="str">
        <f t="shared" si="86"/>
        <v/>
      </c>
      <c r="AO167" t="str">
        <f t="shared" si="78"/>
        <v/>
      </c>
      <c r="AP167" t="str">
        <f>IFERROR(IF(Z167&lt;&gt;"",_xlfn.XLOOKUP(Z167,[1]StuntDes!$B:$B,[1]StuntDes!$A:$A,""),""),"")</f>
        <v/>
      </c>
      <c r="AQ167" t="str">
        <f>IFERROR(IF(AA167&lt;&gt;"",_xlfn.XLOOKUP(AA167,[1]StuntDes!$B:$B,[1]StuntDes!$A:$A,""),""),"")</f>
        <v/>
      </c>
    </row>
    <row r="168" spans="1:43">
      <c r="A168" s="16">
        <f t="shared" si="93"/>
        <v>61422</v>
      </c>
      <c r="B168" s="17" t="s">
        <v>396</v>
      </c>
      <c r="C168" s="17">
        <v>6142</v>
      </c>
      <c r="D168" s="18">
        <v>2</v>
      </c>
      <c r="E168" s="18" t="str">
        <f t="shared" si="94"/>
        <v>[[16142,1]]</v>
      </c>
      <c r="F168" s="14"/>
      <c r="G168" s="18" t="str">
        <f t="shared" si="80"/>
        <v/>
      </c>
      <c r="H168" s="18" t="str">
        <f t="shared" si="77"/>
        <v/>
      </c>
      <c r="I168" s="18" t="str">
        <f t="shared" si="81"/>
        <v/>
      </c>
      <c r="J168" s="18" t="str">
        <f t="shared" si="82"/>
        <v>[[10305,0.25],[11008,0.3]]</v>
      </c>
      <c r="K168" t="str">
        <f>_xlfn.XLOOKUP(C168,Pet!A:A,Pet!E:E)</f>
        <v>SR-冰冷</v>
      </c>
      <c r="L168" t="s">
        <v>332</v>
      </c>
      <c r="M168">
        <v>0.25</v>
      </c>
      <c r="N168" t="s">
        <v>333</v>
      </c>
      <c r="O168">
        <v>0.3</v>
      </c>
      <c r="AB168">
        <f>IFERROR(IF(L168&lt;&gt;"",_xlfn.XLOOKUP(L168,[1]AttributeName!$C:$C,[1]AttributeName!$B:$B,""),""),"")</f>
        <v>10305</v>
      </c>
      <c r="AC168">
        <f>IFERROR(IF(N168&lt;&gt;"",_xlfn.XLOOKUP(N168,[1]AttributeName!$C:$C,[1]AttributeName!$B:$B,""),""),"")</f>
        <v>11008</v>
      </c>
      <c r="AD168" t="str">
        <f>IFERROR(IF(P168&lt;&gt;"",_xlfn.XLOOKUP(P168,[1]AttributeName!$C:$C,[1]AttributeName!$B:$B,""),""),"")</f>
        <v/>
      </c>
      <c r="AE168" t="str">
        <f t="shared" si="83"/>
        <v>[10305,0.25]</v>
      </c>
      <c r="AF168" t="str">
        <f t="shared" si="88"/>
        <v>[11008,0.3]</v>
      </c>
      <c r="AG168" t="str">
        <f t="shared" si="89"/>
        <v/>
      </c>
      <c r="AH168" t="str">
        <f>IFERROR(IF(R168&lt;&gt;"",_xlfn.XLOOKUP(R168,[1]ModifierDes!$B:$B,[1]ModifierDes!$A:$A,""),""),"")</f>
        <v/>
      </c>
      <c r="AI168" t="str">
        <f>IFERROR(IF(T168&lt;&gt;"",_xlfn.XLOOKUP(T168,[1]ModifierDes!$B:$B,[1]ModifierDes!$A:$A,""),""),"")</f>
        <v/>
      </c>
      <c r="AJ168" t="str">
        <f>IFERROR(IF(V168&lt;&gt;"",_xlfn.XLOOKUP(V168,[1]ModifierDes!$B:$B,[1]ModifierDes!$A:$A,""),""),"")</f>
        <v/>
      </c>
      <c r="AK168" t="str">
        <f>IFERROR(IF(X168&lt;&gt;"",_xlfn.XLOOKUP(X168,[1]ModifierDes!$B:$B,[1]ModifierDes!$A:$A,""),""),"")</f>
        <v/>
      </c>
      <c r="AL168" t="str">
        <f t="shared" si="84"/>
        <v/>
      </c>
      <c r="AM168" t="str">
        <f t="shared" si="85"/>
        <v/>
      </c>
      <c r="AN168" t="str">
        <f t="shared" si="86"/>
        <v/>
      </c>
      <c r="AO168" t="str">
        <f t="shared" si="78"/>
        <v/>
      </c>
      <c r="AP168" t="str">
        <f>IFERROR(IF(Z168&lt;&gt;"",_xlfn.XLOOKUP(Z168,[1]StuntDes!$B:$B,[1]StuntDes!$A:$A,""),""),"")</f>
        <v/>
      </c>
      <c r="AQ168" t="str">
        <f>IFERROR(IF(AA168&lt;&gt;"",_xlfn.XLOOKUP(AA168,[1]StuntDes!$B:$B,[1]StuntDes!$A:$A,""),""),"")</f>
        <v/>
      </c>
    </row>
    <row r="169" spans="1:43">
      <c r="A169" s="16">
        <f t="shared" si="93"/>
        <v>61423</v>
      </c>
      <c r="B169" s="17" t="s">
        <v>397</v>
      </c>
      <c r="C169" s="17">
        <v>6142</v>
      </c>
      <c r="D169" s="18">
        <v>3</v>
      </c>
      <c r="E169" s="18" t="str">
        <f t="shared" si="94"/>
        <v>[[16142,1]]</v>
      </c>
      <c r="F169" s="14"/>
      <c r="G169" s="18" t="str">
        <f t="shared" si="80"/>
        <v/>
      </c>
      <c r="H169" s="18" t="str">
        <f t="shared" si="77"/>
        <v/>
      </c>
      <c r="I169" s="18" t="str">
        <f t="shared" si="81"/>
        <v/>
      </c>
      <c r="J169" s="18" t="str">
        <f t="shared" si="82"/>
        <v>[[10305,0.25],[11008,0.3],[10300,0.12]]</v>
      </c>
      <c r="K169" t="str">
        <f>_xlfn.XLOOKUP(C169,Pet!A:A,Pet!E:E)</f>
        <v>SR-冰冷</v>
      </c>
      <c r="L169" t="s">
        <v>332</v>
      </c>
      <c r="M169">
        <v>0.25</v>
      </c>
      <c r="N169" t="s">
        <v>333</v>
      </c>
      <c r="O169">
        <v>0.3</v>
      </c>
      <c r="P169" t="s">
        <v>193</v>
      </c>
      <c r="Q169">
        <v>0.12</v>
      </c>
      <c r="AB169">
        <f>IFERROR(IF(L169&lt;&gt;"",_xlfn.XLOOKUP(L169,[1]AttributeName!$C:$C,[1]AttributeName!$B:$B,""),""),"")</f>
        <v>10305</v>
      </c>
      <c r="AC169">
        <f>IFERROR(IF(N169&lt;&gt;"",_xlfn.XLOOKUP(N169,[1]AttributeName!$C:$C,[1]AttributeName!$B:$B,""),""),"")</f>
        <v>11008</v>
      </c>
      <c r="AD169">
        <f>IFERROR(IF(P169&lt;&gt;"",_xlfn.XLOOKUP(P169,[1]AttributeName!$C:$C,[1]AttributeName!$B:$B,""),""),"")</f>
        <v>10300</v>
      </c>
      <c r="AE169" t="str">
        <f t="shared" si="83"/>
        <v>[10305,0.25]</v>
      </c>
      <c r="AF169" t="str">
        <f t="shared" si="88"/>
        <v>[11008,0.3]</v>
      </c>
      <c r="AG169" t="str">
        <f t="shared" si="89"/>
        <v>[10300,0.12]</v>
      </c>
      <c r="AH169" t="str">
        <f>IFERROR(IF(R169&lt;&gt;"",_xlfn.XLOOKUP(R169,[1]ModifierDes!$B:$B,[1]ModifierDes!$A:$A,""),""),"")</f>
        <v/>
      </c>
      <c r="AI169" t="str">
        <f>IFERROR(IF(T169&lt;&gt;"",_xlfn.XLOOKUP(T169,[1]ModifierDes!$B:$B,[1]ModifierDes!$A:$A,""),""),"")</f>
        <v/>
      </c>
      <c r="AJ169" t="str">
        <f>IFERROR(IF(V169&lt;&gt;"",_xlfn.XLOOKUP(V169,[1]ModifierDes!$B:$B,[1]ModifierDes!$A:$A,""),""),"")</f>
        <v/>
      </c>
      <c r="AK169" t="str">
        <f>IFERROR(IF(X169&lt;&gt;"",_xlfn.XLOOKUP(X169,[1]ModifierDes!$B:$B,[1]ModifierDes!$A:$A,""),""),"")</f>
        <v/>
      </c>
      <c r="AL169" t="str">
        <f t="shared" si="84"/>
        <v/>
      </c>
      <c r="AM169" t="str">
        <f t="shared" si="85"/>
        <v/>
      </c>
      <c r="AN169" t="str">
        <f t="shared" si="86"/>
        <v/>
      </c>
      <c r="AO169" t="str">
        <f t="shared" si="78"/>
        <v/>
      </c>
      <c r="AP169" t="str">
        <f>IFERROR(IF(Z169&lt;&gt;"",_xlfn.XLOOKUP(Z169,[1]StuntDes!$B:$B,[1]StuntDes!$A:$A,""),""),"")</f>
        <v/>
      </c>
      <c r="AQ169" t="str">
        <f>IFERROR(IF(AA169&lt;&gt;"",_xlfn.XLOOKUP(AA169,[1]StuntDes!$B:$B,[1]StuntDes!$A:$A,""),""),"")</f>
        <v/>
      </c>
    </row>
    <row r="170" spans="1:43">
      <c r="A170" s="16">
        <f t="shared" si="93"/>
        <v>61424</v>
      </c>
      <c r="B170" s="17" t="s">
        <v>398</v>
      </c>
      <c r="C170" s="17">
        <v>6142</v>
      </c>
      <c r="D170" s="18">
        <v>4</v>
      </c>
      <c r="E170" s="18" t="str">
        <f t="shared" si="94"/>
        <v>[[16142,1]]</v>
      </c>
      <c r="F170" s="14"/>
      <c r="G170" s="18" t="str">
        <f t="shared" si="80"/>
        <v/>
      </c>
      <c r="H170" s="18" t="str">
        <f t="shared" si="77"/>
        <v/>
      </c>
      <c r="I170" s="18" t="str">
        <f t="shared" si="81"/>
        <v/>
      </c>
      <c r="J170" s="18" t="str">
        <f t="shared" si="82"/>
        <v>[[10305,0.39],[11008,0.3],[10300,0.12]]</v>
      </c>
      <c r="K170" t="str">
        <f>_xlfn.XLOOKUP(C170,Pet!A:A,Pet!E:E)</f>
        <v>SR-冰冷</v>
      </c>
      <c r="L170" t="s">
        <v>332</v>
      </c>
      <c r="M170">
        <v>0.39</v>
      </c>
      <c r="N170" t="s">
        <v>333</v>
      </c>
      <c r="O170">
        <v>0.3</v>
      </c>
      <c r="P170" t="s">
        <v>193</v>
      </c>
      <c r="Q170">
        <v>0.12</v>
      </c>
      <c r="AB170">
        <f>IFERROR(IF(L170&lt;&gt;"",_xlfn.XLOOKUP(L170,[1]AttributeName!$C:$C,[1]AttributeName!$B:$B,""),""),"")</f>
        <v>10305</v>
      </c>
      <c r="AC170">
        <f>IFERROR(IF(N170&lt;&gt;"",_xlfn.XLOOKUP(N170,[1]AttributeName!$C:$C,[1]AttributeName!$B:$B,""),""),"")</f>
        <v>11008</v>
      </c>
      <c r="AD170">
        <f>IFERROR(IF(P170&lt;&gt;"",_xlfn.XLOOKUP(P170,[1]AttributeName!$C:$C,[1]AttributeName!$B:$B,""),""),"")</f>
        <v>10300</v>
      </c>
      <c r="AE170" t="str">
        <f t="shared" si="83"/>
        <v>[10305,0.39]</v>
      </c>
      <c r="AF170" t="str">
        <f t="shared" si="88"/>
        <v>[11008,0.3]</v>
      </c>
      <c r="AG170" t="str">
        <f t="shared" si="89"/>
        <v>[10300,0.12]</v>
      </c>
      <c r="AH170" t="str">
        <f>IFERROR(IF(R170&lt;&gt;"",_xlfn.XLOOKUP(R170,[1]ModifierDes!$B:$B,[1]ModifierDes!$A:$A,""),""),"")</f>
        <v/>
      </c>
      <c r="AI170" t="str">
        <f>IFERROR(IF(T170&lt;&gt;"",_xlfn.XLOOKUP(T170,[1]ModifierDes!$B:$B,[1]ModifierDes!$A:$A,""),""),"")</f>
        <v/>
      </c>
      <c r="AJ170" t="str">
        <f>IFERROR(IF(V170&lt;&gt;"",_xlfn.XLOOKUP(V170,[1]ModifierDes!$B:$B,[1]ModifierDes!$A:$A,""),""),"")</f>
        <v/>
      </c>
      <c r="AK170" t="str">
        <f>IFERROR(IF(X170&lt;&gt;"",_xlfn.XLOOKUP(X170,[1]ModifierDes!$B:$B,[1]ModifierDes!$A:$A,""),""),"")</f>
        <v/>
      </c>
      <c r="AL170" t="str">
        <f t="shared" si="84"/>
        <v/>
      </c>
      <c r="AM170" t="str">
        <f t="shared" si="85"/>
        <v/>
      </c>
      <c r="AN170" t="str">
        <f t="shared" si="86"/>
        <v/>
      </c>
      <c r="AO170" t="str">
        <f t="shared" si="78"/>
        <v/>
      </c>
      <c r="AP170" t="str">
        <f>IFERROR(IF(Z170&lt;&gt;"",_xlfn.XLOOKUP(Z170,[1]StuntDes!$B:$B,[1]StuntDes!$A:$A,""),""),"")</f>
        <v/>
      </c>
      <c r="AQ170" t="str">
        <f>IFERROR(IF(AA170&lt;&gt;"",_xlfn.XLOOKUP(AA170,[1]StuntDes!$B:$B,[1]StuntDes!$A:$A,""),""),"")</f>
        <v/>
      </c>
    </row>
    <row r="171" spans="1:43">
      <c r="A171" s="16">
        <f t="shared" si="93"/>
        <v>61425</v>
      </c>
      <c r="B171" s="17" t="s">
        <v>399</v>
      </c>
      <c r="C171" s="17">
        <v>6142</v>
      </c>
      <c r="D171" s="18">
        <v>5</v>
      </c>
      <c r="E171" s="18"/>
      <c r="F171" s="14"/>
      <c r="G171" s="18" t="str">
        <f t="shared" si="80"/>
        <v/>
      </c>
      <c r="H171" s="18" t="str">
        <f t="shared" si="77"/>
        <v/>
      </c>
      <c r="I171" s="18" t="str">
        <f t="shared" si="81"/>
        <v/>
      </c>
      <c r="J171" s="18" t="str">
        <f t="shared" si="82"/>
        <v>[[10305,0.39],[11008,0.62],[10300,0.12]]</v>
      </c>
      <c r="K171" t="str">
        <f>_xlfn.XLOOKUP(C171,Pet!A:A,Pet!E:E)</f>
        <v>SR-冰冷</v>
      </c>
      <c r="L171" t="s">
        <v>332</v>
      </c>
      <c r="M171">
        <v>0.39</v>
      </c>
      <c r="N171" t="s">
        <v>333</v>
      </c>
      <c r="O171">
        <v>0.62</v>
      </c>
      <c r="P171" t="s">
        <v>193</v>
      </c>
      <c r="Q171">
        <v>0.12</v>
      </c>
      <c r="AB171">
        <f>IFERROR(IF(L171&lt;&gt;"",_xlfn.XLOOKUP(L171,[1]AttributeName!$C:$C,[1]AttributeName!$B:$B,""),""),"")</f>
        <v>10305</v>
      </c>
      <c r="AC171">
        <f>IFERROR(IF(N171&lt;&gt;"",_xlfn.XLOOKUP(N171,[1]AttributeName!$C:$C,[1]AttributeName!$B:$B,""),""),"")</f>
        <v>11008</v>
      </c>
      <c r="AD171">
        <f>IFERROR(IF(P171&lt;&gt;"",_xlfn.XLOOKUP(P171,[1]AttributeName!$C:$C,[1]AttributeName!$B:$B,""),""),"")</f>
        <v>10300</v>
      </c>
      <c r="AE171" t="str">
        <f t="shared" si="83"/>
        <v>[10305,0.39]</v>
      </c>
      <c r="AF171" t="str">
        <f t="shared" si="88"/>
        <v>[11008,0.62]</v>
      </c>
      <c r="AG171" t="str">
        <f t="shared" si="89"/>
        <v>[10300,0.12]</v>
      </c>
      <c r="AH171" t="str">
        <f>IFERROR(IF(R171&lt;&gt;"",_xlfn.XLOOKUP(R171,[1]ModifierDes!$B:$B,[1]ModifierDes!$A:$A,""),""),"")</f>
        <v/>
      </c>
      <c r="AI171" t="str">
        <f>IFERROR(IF(T171&lt;&gt;"",_xlfn.XLOOKUP(T171,[1]ModifierDes!$B:$B,[1]ModifierDes!$A:$A,""),""),"")</f>
        <v/>
      </c>
      <c r="AJ171" t="str">
        <f>IFERROR(IF(V171&lt;&gt;"",_xlfn.XLOOKUP(V171,[1]ModifierDes!$B:$B,[1]ModifierDes!$A:$A,""),""),"")</f>
        <v/>
      </c>
      <c r="AK171" t="str">
        <f>IFERROR(IF(X171&lt;&gt;"",_xlfn.XLOOKUP(X171,[1]ModifierDes!$B:$B,[1]ModifierDes!$A:$A,""),""),"")</f>
        <v/>
      </c>
      <c r="AL171" t="str">
        <f t="shared" si="84"/>
        <v/>
      </c>
      <c r="AM171" t="str">
        <f t="shared" si="85"/>
        <v/>
      </c>
      <c r="AN171" t="str">
        <f t="shared" si="86"/>
        <v/>
      </c>
      <c r="AO171" t="str">
        <f t="shared" si="78"/>
        <v/>
      </c>
      <c r="AP171" t="str">
        <f>IFERROR(IF(Z171&lt;&gt;"",_xlfn.XLOOKUP(Z171,[1]StuntDes!$B:$B,[1]StuntDes!$A:$A,""),""),"")</f>
        <v/>
      </c>
      <c r="AQ171" t="str">
        <f>IFERROR(IF(AA171&lt;&gt;"",_xlfn.XLOOKUP(AA171,[1]StuntDes!$B:$B,[1]StuntDes!$A:$A,""),""),"")</f>
        <v/>
      </c>
    </row>
  </sheetData>
  <conditionalFormatting sqref="M1">
    <cfRule type="duplicateValues" dxfId="0" priority="41"/>
  </conditionalFormatting>
  <conditionalFormatting sqref="N1">
    <cfRule type="duplicateValues" dxfId="0" priority="49"/>
  </conditionalFormatting>
  <conditionalFormatting sqref="O1">
    <cfRule type="duplicateValues" dxfId="0" priority="43"/>
  </conditionalFormatting>
  <conditionalFormatting sqref="P1">
    <cfRule type="duplicateValues" dxfId="0" priority="44"/>
  </conditionalFormatting>
  <conditionalFormatting sqref="Q1">
    <cfRule type="duplicateValues" dxfId="0" priority="42"/>
  </conditionalFormatting>
  <conditionalFormatting sqref="R1:S1">
    <cfRule type="duplicateValues" dxfId="0" priority="48"/>
  </conditionalFormatting>
  <conditionalFormatting sqref="T1">
    <cfRule type="duplicateValues" dxfId="0" priority="47"/>
  </conditionalFormatting>
  <conditionalFormatting sqref="U1">
    <cfRule type="duplicateValues" dxfId="0" priority="34"/>
  </conditionalFormatting>
  <conditionalFormatting sqref="V1">
    <cfRule type="duplicateValues" dxfId="0" priority="24"/>
  </conditionalFormatting>
  <conditionalFormatting sqref="W1">
    <cfRule type="duplicateValues" dxfId="0" priority="21"/>
  </conditionalFormatting>
  <conditionalFormatting sqref="X1">
    <cfRule type="duplicateValues" dxfId="0" priority="8"/>
  </conditionalFormatting>
  <conditionalFormatting sqref="Y1">
    <cfRule type="duplicateValues" dxfId="0" priority="7"/>
  </conditionalFormatting>
  <conditionalFormatting sqref="Z1">
    <cfRule type="duplicateValues" dxfId="0" priority="46"/>
  </conditionalFormatting>
  <conditionalFormatting sqref="AA1">
    <cfRule type="duplicateValues" dxfId="0" priority="45"/>
  </conditionalFormatting>
  <conditionalFormatting sqref="AC1">
    <cfRule type="duplicateValues" dxfId="0" priority="40"/>
  </conditionalFormatting>
  <conditionalFormatting sqref="AD1">
    <cfRule type="duplicateValues" dxfId="0" priority="39"/>
  </conditionalFormatting>
  <conditionalFormatting sqref="AE1:AG1">
    <cfRule type="duplicateValues" dxfId="0" priority="37"/>
  </conditionalFormatting>
  <conditionalFormatting sqref="AH1">
    <cfRule type="duplicateValues" dxfId="0" priority="31"/>
  </conditionalFormatting>
  <conditionalFormatting sqref="AI1">
    <cfRule type="duplicateValues" dxfId="0" priority="30"/>
  </conditionalFormatting>
  <conditionalFormatting sqref="AJ1">
    <cfRule type="duplicateValues" dxfId="0" priority="18"/>
  </conditionalFormatting>
  <conditionalFormatting sqref="AK1">
    <cfRule type="duplicateValues" dxfId="0" priority="4"/>
  </conditionalFormatting>
  <conditionalFormatting sqref="AL1:AM1">
    <cfRule type="duplicateValues" dxfId="0" priority="27"/>
  </conditionalFormatting>
  <conditionalFormatting sqref="AN1">
    <cfRule type="duplicateValues" dxfId="0" priority="15"/>
  </conditionalFormatting>
  <conditionalFormatting sqref="AO1">
    <cfRule type="duplicateValues" dxfId="0" priority="1"/>
  </conditionalFormatting>
  <conditionalFormatting sqref="AP1">
    <cfRule type="duplicateValues" dxfId="0" priority="12"/>
  </conditionalFormatting>
  <conditionalFormatting sqref="AQ1">
    <cfRule type="duplicateValues" dxfId="0" priority="11"/>
  </conditionalFormatting>
  <conditionalFormatting sqref="A1:A2">
    <cfRule type="duplicateValues" dxfId="0" priority="77"/>
  </conditionalFormatting>
  <conditionalFormatting sqref="A7:A22">
    <cfRule type="duplicateValues" dxfId="0" priority="78"/>
  </conditionalFormatting>
  <conditionalFormatting sqref="A73:A75">
    <cfRule type="duplicateValues" dxfId="0" priority="69"/>
  </conditionalFormatting>
  <conditionalFormatting sqref="A79:A81">
    <cfRule type="duplicateValues" dxfId="0" priority="68"/>
  </conditionalFormatting>
  <conditionalFormatting sqref="A85:A87">
    <cfRule type="duplicateValues" dxfId="0" priority="67"/>
  </conditionalFormatting>
  <conditionalFormatting sqref="A91:A93">
    <cfRule type="duplicateValues" dxfId="0" priority="66"/>
  </conditionalFormatting>
  <conditionalFormatting sqref="A97:A99">
    <cfRule type="duplicateValues" dxfId="0" priority="65"/>
  </conditionalFormatting>
  <conditionalFormatting sqref="A103:A105">
    <cfRule type="duplicateValues" dxfId="0" priority="64"/>
  </conditionalFormatting>
  <conditionalFormatting sqref="A109:A111">
    <cfRule type="duplicateValues" dxfId="0" priority="63"/>
  </conditionalFormatting>
  <conditionalFormatting sqref="A115:A117">
    <cfRule type="duplicateValues" dxfId="0" priority="62"/>
  </conditionalFormatting>
  <conditionalFormatting sqref="A121:A123">
    <cfRule type="duplicateValues" dxfId="0" priority="61"/>
  </conditionalFormatting>
  <conditionalFormatting sqref="A127:A129">
    <cfRule type="duplicateValues" dxfId="0" priority="60"/>
  </conditionalFormatting>
  <conditionalFormatting sqref="A133:A135">
    <cfRule type="duplicateValues" dxfId="0" priority="59"/>
  </conditionalFormatting>
  <conditionalFormatting sqref="A139:A141">
    <cfRule type="duplicateValues" dxfId="0" priority="58"/>
  </conditionalFormatting>
  <conditionalFormatting sqref="A145:A147">
    <cfRule type="duplicateValues" dxfId="0" priority="57"/>
  </conditionalFormatting>
  <conditionalFormatting sqref="A151:A153">
    <cfRule type="duplicateValues" dxfId="0" priority="56"/>
  </conditionalFormatting>
  <conditionalFormatting sqref="A157:A159">
    <cfRule type="duplicateValues" dxfId="0" priority="55"/>
  </conditionalFormatting>
  <conditionalFormatting sqref="A163:A165">
    <cfRule type="duplicateValues" dxfId="0" priority="54"/>
  </conditionalFormatting>
  <conditionalFormatting sqref="A169:A171">
    <cfRule type="duplicateValues" dxfId="0" priority="53"/>
  </conditionalFormatting>
  <conditionalFormatting sqref="B1:B2">
    <cfRule type="duplicateValues" dxfId="0" priority="76"/>
  </conditionalFormatting>
  <conditionalFormatting sqref="I1:I2">
    <cfRule type="duplicateValues" dxfId="0" priority="73"/>
  </conditionalFormatting>
  <conditionalFormatting sqref="J1:J2">
    <cfRule type="duplicateValues" dxfId="0" priority="72"/>
  </conditionalFormatting>
  <conditionalFormatting sqref="C1:F2">
    <cfRule type="duplicateValues" dxfId="0" priority="75"/>
  </conditionalFormatting>
  <conditionalFormatting sqref="G1:H2">
    <cfRule type="duplicateValues" dxfId="0" priority="74"/>
  </conditionalFormatting>
  <conditionalFormatting sqref="K1:K2 N2:O2 Q2:AQ2">
    <cfRule type="duplicateValues" dxfId="0" priority="51"/>
  </conditionalFormatting>
  <conditionalFormatting sqref="L1 AB1 L2:M2 P2:AQ2">
    <cfRule type="duplicateValues" dxfId="0" priority="50"/>
  </conditionalFormatting>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B6"/>
  <sheetViews>
    <sheetView workbookViewId="0">
      <pane xSplit="1" ySplit="3" topLeftCell="B4" activePane="bottomRight" state="frozen"/>
      <selection/>
      <selection pane="topRight"/>
      <selection pane="bottomLeft"/>
      <selection pane="bottomRight" activeCell="H15" sqref="H15"/>
    </sheetView>
  </sheetViews>
  <sheetFormatPr defaultColWidth="9" defaultRowHeight="13.5" outlineLevelRow="5" outlineLevelCol="1"/>
  <cols>
    <col min="1" max="1" width="7.875" customWidth="1"/>
    <col min="2" max="2" width="11.25" style="6" customWidth="1"/>
  </cols>
  <sheetData>
    <row r="1" ht="16.5" spans="1:2">
      <c r="A1" s="2" t="s">
        <v>400</v>
      </c>
      <c r="B1" s="7" t="s">
        <v>401</v>
      </c>
    </row>
    <row r="2" ht="16.5" spans="1:2">
      <c r="A2" s="4" t="s">
        <v>402</v>
      </c>
      <c r="B2" s="7" t="s">
        <v>403</v>
      </c>
    </row>
    <row r="3" ht="16.5" spans="1:2">
      <c r="A3" s="8" t="s">
        <v>22</v>
      </c>
      <c r="B3" s="7" t="s">
        <v>22</v>
      </c>
    </row>
    <row r="4" ht="18" customHeight="1" spans="1:2">
      <c r="A4">
        <v>4</v>
      </c>
      <c r="B4" s="6">
        <v>2058</v>
      </c>
    </row>
    <row r="5" spans="1:2">
      <c r="A5">
        <v>5</v>
      </c>
      <c r="B5" s="6">
        <v>2059</v>
      </c>
    </row>
    <row r="6" spans="1:2">
      <c r="A6">
        <v>8</v>
      </c>
      <c r="B6" s="6">
        <v>2060</v>
      </c>
    </row>
  </sheetData>
  <pageMargins left="0.75" right="0.75" top="1" bottom="1" header="0.5" footer="0.5"/>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
  <sheetViews>
    <sheetView workbookViewId="0">
      <selection activeCell="J17" sqref="J17"/>
    </sheetView>
  </sheetViews>
  <sheetFormatPr defaultColWidth="9" defaultRowHeight="13.5" outlineLevelRow="3" outlineLevelCol="2"/>
  <cols>
    <col min="1" max="1" width="7.5" customWidth="1"/>
    <col min="2" max="2" width="19.375" customWidth="1"/>
  </cols>
  <sheetData>
    <row r="1" ht="16.5" spans="1:3">
      <c r="A1" s="1" t="s">
        <v>404</v>
      </c>
      <c r="B1" s="2" t="s">
        <v>405</v>
      </c>
      <c r="C1" s="1" t="s">
        <v>406</v>
      </c>
    </row>
    <row r="2" ht="16.5" spans="1:3">
      <c r="A2" s="3" t="s">
        <v>11</v>
      </c>
      <c r="B2" s="4" t="s">
        <v>13</v>
      </c>
      <c r="C2" s="3" t="s">
        <v>407</v>
      </c>
    </row>
    <row r="3" spans="1:3">
      <c r="A3" s="5" t="s">
        <v>22</v>
      </c>
      <c r="B3" s="5" t="s">
        <v>23</v>
      </c>
      <c r="C3" s="5" t="s">
        <v>22</v>
      </c>
    </row>
    <row r="4" spans="1:3">
      <c r="A4">
        <v>1</v>
      </c>
      <c r="C4">
        <v>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Pet</vt:lpstr>
      <vt:lpstr>PetStar</vt:lpstr>
      <vt:lpstr>PetQuality</vt:lpstr>
      <vt:lpstr>PetSet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5000PC</dc:creator>
  <cp:lastModifiedBy>沾下酱</cp:lastModifiedBy>
  <dcterms:created xsi:type="dcterms:W3CDTF">2023-05-12T11:15:00Z</dcterms:created>
  <dcterms:modified xsi:type="dcterms:W3CDTF">2026-08-11T11:36:25Z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8DFF89E3ACC940A7BB9BE3B1BBF1A70C_12</vt:lpwstr>
  </property>
  <property fmtid="{D5CDD505-2E9C-101B-9397-08002B2CF9AE}" pid="4" name="KSOReadingLayout">
    <vt:bool>true</vt:bool>
  </property>
  <property fmtid="{D5CDD505-2E9C-101B-9397-08002B2CF9AE}" pid="5" name="CalculationRule">
    <vt:i4>0</vt:i4>
  </property>
</Properties>
</file>