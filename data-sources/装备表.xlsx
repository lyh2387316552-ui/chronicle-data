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tabRatio="643" firstSheet="3" activeTab="6"/>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<sst xmlns="http://schemas.openxmlformats.org/spreadsheetml/2006/main" count="9334" uniqueCount="584">
  <si>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</si>
  <si>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</si>
  <si>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</si>
  <si>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</si>
  <si>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</si>
  <si>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</si>
  <si>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</si>
  <si>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</si>
  <si>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</si>
  <si>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</si>
  <si>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</si>
  <si>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</si>
  <si>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</si>
  <si>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</si>
  <si>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</si>
  <si>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</si>
  <si>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</si>
  <si>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</si>
  <si>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</si>
  <si>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</si>
  <si>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</si>
  <si>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</si>
  <si>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</si>
  <si>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</si>
  <si>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</si>
  <si>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11201|11202|11203|11204|11205|11206|11207|11208|11209|11210|11211|11212|11213|11214|11215|112016</t>
  </si>
  <si>
    <t>长剑</t>
  </si>
  <si>
    <t>10001|10002|10003|10004|10005|10006|10007|10008|10009|10010|10011|10012|10013|10014|10015|100016</t>
  </si>
  <si>
    <t>魔典</t>
  </si>
  <si>
    <t>11301|11302|11303|11304|11305|11306|11307|11308|11309|11310|11311|11312|11313|11314|11315|113016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</si>
  <si>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</si>
  <si>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</si>
  <si>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</si>
  <si>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</si>
  <si>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</si>
  <si>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</si>
  <si>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</si>
  <si>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</si>
  <si>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</si>
  <si>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</si>
  <si>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</si>
  <si>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</si>
  <si>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</si>
  <si>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</si>
  <si>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</si>
  <si>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</si>
  <si>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</si>
  <si>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</si>
  <si>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</si>
  <si>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</si>
  <si>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</si>
  <si>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</si>
  <si>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</si>
  <si>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</si>
  <si>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</si>
  <si>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</si>
  <si>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</si>
  <si>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</si>
  <si>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</si>
  <si>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</si>
  <si>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</si>
  <si>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</si>
  <si>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</si>
  <si>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</si>
  <si>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</si>
  <si>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</si>
  <si>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</si>
  <si>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</si>
  <si>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</si>
  <si>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</si>
  <si>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</si>
  <si>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</si>
  <si>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</si>
  <si>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</si>
  <si>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</si>
  <si>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</si>
  <si>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</si>
  <si>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</si>
  <si>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</si>
  <si>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(废弃)</t>
  </si>
  <si>
    <t>铸铁胸甲</t>
  </si>
  <si>
    <t>火抗</t>
  </si>
  <si>
    <t>皮制胸甲</t>
  </si>
  <si>
    <t>冰抗</t>
  </si>
  <si>
    <t>铁锁胸甲</t>
  </si>
  <si>
    <t>电抗</t>
  </si>
  <si>
    <t>铸铁腿甲</t>
  </si>
  <si>
    <t>物理抗</t>
  </si>
  <si>
    <t>钢制腿甲</t>
  </si>
  <si>
    <t>混沌抗</t>
  </si>
  <si>
    <t>废弃</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</si>
  <si>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</si>
  <si>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</si>
  <si>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</si>
  <si>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</si>
  <si>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</si>
  <si>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</si>
  <si>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</si>
  <si>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</si>
  <si>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</si>
  <si>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</si>
  <si>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</si>
  <si>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</si>
  <si>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</si>
  <si>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</si>
  <si>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</si>
  <si>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</si>
  <si>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</si>
  <si>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</si>
  <si>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</si>
  <si>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</si>
  <si>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</si>
  <si>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</si>
  <si>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</si>
  <si>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</si>
  <si>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</si>
  <si>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</si>
  <si>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</si>
  <si>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</si>
  <si>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</si>
  <si>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</si>
  <si>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</si>
  <si>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</si>
  <si>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</si>
  <si>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</si>
  <si>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</si>
  <si>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</si>
  <si>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</si>
  <si>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</si>
  <si>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</si>
  <si>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</si>
  <si>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</si>
  <si>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</si>
  <si>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</si>
  <si>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</si>
  <si>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</si>
  <si>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legend.p</t>
  </si>
  <si>
    <t>quality</t>
  </si>
  <si>
    <t>icon</t>
  </si>
  <si>
    <t>spIcon</t>
  </si>
  <si>
    <t>modifierPool</t>
  </si>
  <si>
    <t>stringArr</t>
  </si>
  <si>
    <t>风暴之眼</t>
  </si>
  <si>
    <t>zhuangbei/110/109</t>
  </si>
  <si>
    <t>101701|101702|101703|101704|101705</t>
  </si>
  <si>
    <t>鬼乡村正</t>
  </si>
  <si>
    <t>zhuangbei/104/106</t>
  </si>
  <si>
    <t>100101|100102|100103|100104</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</si>
  <si>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</si>
  <si>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</si>
  <si>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</si>
  <si>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</si>
  <si>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</si>
  <si>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</si>
  <si>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</si>
  <si>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</si>
  <si>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</si>
  <si>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</si>
  <si>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</si>
  <si>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</si>
  <si>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</si>
  <si>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</si>
  <si>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</si>
  <si>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</si>
  <si>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</si>
  <si>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</si>
  <si>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</si>
  <si>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</si>
  <si>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</si>
  <si>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</si>
  <si>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</si>
  <si>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</si>
  <si>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</si>
  <si>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</si>
  <si>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</si>
  <si>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</si>
  <si>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</si>
  <si>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</si>
  <si>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</si>
  <si>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</si>
  <si>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</si>
  <si>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</si>
  <si>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</si>
  <si>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</si>
  <si>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</si>
  <si>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</si>
  <si>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</si>
  <si>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</si>
  <si>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</si>
  <si>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</si>
  <si>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</si>
  <si>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</si>
  <si>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</si>
  <si>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</si>
  <si>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</si>
  <si>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</si>
  <si>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</si>
  <si>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</si>
  <si>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</si>
  <si>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</si>
  <si>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</si>
  <si>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</si>
  <si>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</si>
  <si>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</si>
  <si>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</si>
  <si>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</si>
  <si>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</si>
  <si>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</si>
  <si>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</si>
  <si>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</si>
  <si>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</si>
  <si>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</si>
  <si>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</si>
  <si>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</si>
  <si>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</si>
  <si>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</si>
  <si>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</si>
  <si>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</si>
  <si>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</si>
  <si>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</si>
  <si>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</si>
  <si>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</si>
  <si>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</si>
  <si>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</si>
  <si>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</si>
  <si>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</si>
  <si>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</si>
  <si>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</si>
  <si>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</si>
  <si>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</si>
  <si>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</si>
  <si>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</si>
  <si>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</si>
  <si>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</si>
  <si>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</si>
  <si>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</si>
  <si>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</si>
  <si>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</si>
  <si>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</si>
  <si>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</si>
  <si>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</si>
  <si>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</si>
  <si>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</si>
  <si>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</si>
  <si>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</si>
  <si>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</si>
  <si>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</si>
  <si>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</si>
  <si>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</si>
  <si>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</si>
  <si>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</si>
  <si>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</si>
  <si>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</si>
  <si>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</si>
  <si>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</si>
  <si>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</si>
  <si>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</si>
  <si>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</si>
  <si>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</si>
  <si>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</si>
  <si>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</si>
  <si>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</si>
  <si>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</si>
  <si>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</si>
  <si>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</si>
  <si>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</si>
  <si>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</si>
  <si>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</si>
  <si>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</si>
  <si>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</si>
  <si>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</si>
  <si>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</si>
  <si>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</si>
  <si>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</si>
  <si>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</si>
  <si>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</si>
  <si>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</si>
  <si>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</si>
  <si>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</si>
  <si>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</si>
  <si>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</si>
  <si>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</si>
  <si>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</si>
  <si>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</si>
  <si>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</si>
  <si>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</si>
  <si>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</si>
  <si>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</si>
  <si>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</si>
  <si>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</si>
  <si>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</si>
  <si>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</si>
  <si>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</si>
  <si>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</si>
  <si>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</si>
  <si>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</si>
  <si>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</si>
  <si>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</si>
  <si>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</si>
  <si>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</si>
  <si>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</si>
  <si>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</si>
  <si>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</si>
  <si>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</si>
  <si>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</si>
  <si>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</si>
  <si>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</si>
  <si>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</si>
  <si>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</si>
  <si>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</si>
  <si>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</si>
  <si>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</si>
  <si>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</si>
  <si>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</si>
  <si>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</si>
  <si>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</si>
  <si>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</si>
  <si>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</si>
  <si>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</si>
  <si>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</si>
  <si>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</si>
  <si>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</si>
  <si>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</si>
  <si>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</si>
  <si>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</si>
  <si>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</si>
  <si>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</si>
  <si>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</si>
  <si>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</si>
  <si>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</si>
  <si>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</si>
  <si>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</si>
  <si>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</si>
  <si>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</si>
  <si>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</si>
  <si>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</si>
  <si>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</si>
  <si>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</si>
  <si>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</si>
  <si>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</si>
  <si>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</si>
  <si>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102401|102402|102403|102404|102405|102406|102407|102408|102409|102410|102411|102412|102413|102414|102415|102416|102417|102418|102419|102420|102421|102422|102423|102424</t>
  </si>
  <si>
    <t>102501|102502|102503|102504|102505</t>
  </si>
  <si>
    <t>102506|102507|102508|102509|102510</t>
  </si>
  <si>
    <t>102601|102602|102603|102604|102605</t>
  </si>
  <si>
    <t>102606|102607|102608|102609|102610</t>
  </si>
  <si>
    <t>102701|102702|102703|102704|102705</t>
  </si>
  <si>
    <t>102706|102707|102708|102709|102710</t>
  </si>
  <si>
    <t>90139|90140</t>
  </si>
  <si>
    <t>神意之一</t>
  </si>
  <si>
    <t>90141|90142|90143|90144|90145</t>
  </si>
  <si>
    <t>神意之二</t>
  </si>
  <si>
    <t>90146|90147|90148|90149|90150</t>
  </si>
  <si>
    <t>神意之三</t>
  </si>
  <si>
    <t>90150|90151</t>
  </si>
  <si>
    <t>神意之四</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</si>
  <si>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</si>
  <si>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</si>
  <si>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</si>
  <si>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</si>
  <si>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</si>
  <si>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</si>
  <si>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</si>
  <si>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</si>
  <si>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</si>
  <si>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</si>
  <si>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</si>
  <si>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</si>
  <si>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</si>
  <si>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</si>
  <si>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</si>
  <si>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</si>
  <si>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</si>
  <si>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</si>
  <si>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</si>
  <si>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</si>
  <si>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</si>
  <si>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</si>
  <si>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</si>
  <si>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</si>
  <si>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</si>
  <si>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</si>
  <si>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</si>
  <si>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</si>
  <si>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</si>
  <si>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</si>
  <si>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</si>
  <si>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</si>
  <si>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</si>
  <si>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</si>
  <si>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</si>
  <si>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</si>
  <si>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</si>
  <si>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</si>
  <si>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</si>
  <si>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</si>
  <si>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</si>
  <si>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</si>
  <si>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</si>
  <si>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</si>
  <si>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</si>
  <si>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</si>
  <si>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</si>
  <si>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</si>
  <si>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</si>
  <si>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</si>
  <si>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</si>
  <si>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</si>
  <si>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</si>
  <si>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</si>
  <si>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</si>
  <si>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</si>
  <si>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</si>
  <si>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</si>
  <si>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</si>
  <si>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</si>
  <si>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</si>
  <si>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</si>
  <si>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</si>
  <si>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</si>
  <si>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</si>
  <si>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</si>
  <si>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</si>
  <si>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</si>
  <si>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</si>
  <si>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</si>
  <si>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</si>
  <si>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</si>
  <si>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</si>
  <si>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</si>
  <si>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</si>
  <si>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</si>
  <si>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</si>
  <si>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</si>
  <si>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</si>
  <si>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</si>
  <si>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</si>
  <si>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</si>
  <si>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</si>
  <si>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</si>
  <si>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</si>
  <si>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</si>
  <si>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</si>
  <si>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</si>
  <si>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</si>
  <si>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</si>
  <si>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</si>
  <si>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</si>
  <si>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</si>
  <si>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</si>
  <si>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</si>
  <si>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</si>
  <si>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</si>
  <si>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</si>
  <si>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</si>
  <si>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</si>
  <si>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</si>
  <si>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</si>
  <si>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基础暴击率</t>
  </si>
  <si>
    <t>攻击伤害额外提高</t>
  </si>
  <si>
    <t>法术速度提高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</si>
  <si>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</si>
  <si>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</si>
  <si>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</si>
  <si>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</si>
  <si>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</si>
  <si>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</si>
  <si>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</si>
  <si>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</si>
  <si>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</si>
  <si>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</si>
  <si>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</si>
  <si>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</si>
  <si>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</si>
  <si>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</si>
  <si>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</si>
  <si>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</si>
  <si>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</si>
  <si>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</si>
  <si>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</si>
  <si>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</si>
  <si>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</si>
  <si>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</si>
  <si>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</si>
  <si>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</si>
  <si>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</si>
  <si>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</si>
  <si>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</si>
  <si>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</si>
  <si>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</si>
  <si>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</si>
  <si>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</si>
  <si>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</si>
  <si>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</si>
  <si>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</si>
  <si>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生命恢复率</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</si>
  <si>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</si>
  <si>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</si>
  <si>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</si>
  <si>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</si>
  <si>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</si>
  <si>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</si>
  <si>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</si>
  <si>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</si>
  <si>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</si>
  <si>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</si>
  <si>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</si>
  <si>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物理伤害倍率增加</t>
  </si>
  <si>
    <t>占位</t>
  </si>
  <si>
    <t>闪电伤害倍率增加</t>
  </si>
  <si>
    <t>格挡率</t>
  </si>
  <si>
    <t>冻结效果获得提高</t>
  </si>
  <si>
    <t>冰冷伤害倍率增加</t>
  </si>
  <si>
    <t>冻结时间获得提高</t>
  </si>
  <si>
    <t>持续时间提高</t>
  </si>
  <si>
    <t>绝对暴击</t>
  </si>
  <si>
    <t>近战技能范围效果提高</t>
  </si>
  <si>
    <t>每隔5秒在脚下生成一片火焰地面，造成相当于20%攻击力的点燃伤害</t>
  </si>
  <si>
    <t>冰霜抗性</t>
  </si>
  <si>
    <t>每移动20米可以获得1层毁灭注能</t>
  </si>
  <si>
    <t>火焰伤害倍率增加</t>
  </si>
  <si>
    <t>混沌伤害倍率增加</t>
  </si>
  <si>
    <t>获得物理伤害增加+15%</t>
  </si>
  <si>
    <t>获得火焰伤害增加+15%</t>
  </si>
  <si>
    <t>获得冰冷伤害增加+15%</t>
  </si>
  <si>
    <t>获得闪电伤害增加+15%</t>
  </si>
  <si>
    <t>获得混沌伤害增加+15%</t>
  </si>
  <si>
    <t>攻击格挡率+15%</t>
  </si>
  <si>
    <t>法术格挡率+15%</t>
  </si>
  <si>
    <t>火焰抗性+20%</t>
  </si>
  <si>
    <t>冰冷抗性+20%</t>
  </si>
  <si>
    <t>闪电抗性+20%</t>
  </si>
  <si>
    <t>物理抗性+20%</t>
  </si>
  <si>
    <t>混沌抗性+10%</t>
  </si>
  <si>
    <t>防御力+100</t>
  </si>
  <si>
    <t>基础魔力+50</t>
  </si>
  <si>
    <t>装备稀有度+15%</t>
  </si>
  <si>
    <t>攻击速度提高+10%</t>
  </si>
  <si>
    <t>施法速度提高+10%</t>
  </si>
  <si>
    <t>冷却回复效率+10%</t>
  </si>
  <si>
    <t>物理伤害提高+20%</t>
  </si>
  <si>
    <t>元素伤害提高+15%</t>
  </si>
  <si>
    <t>混沌伤害提高+20%</t>
  </si>
  <si>
    <t>全局伤害提高+12%</t>
  </si>
  <si>
    <t>混沌伤害提高+30%</t>
  </si>
  <si>
    <t>全局伤害提高+15%</t>
  </si>
  <si>
    <t>攻击暴击率提高+20%</t>
  </si>
  <si>
    <t>法术暴击率提高+20%</t>
  </si>
  <si>
    <t>暴击伤害+10%</t>
  </si>
  <si>
    <t>中毒效果比例+20%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</si>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</sst>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3</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冻结效果比例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造成冻结时间比例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row r="165">
          <cell r="B165">
            <v>11076</v>
          </cell>
          <cell r="C165" t="str">
            <v>强化技能冷却回复效率</v>
          </cell>
          <cell r="D165">
            <v>2</v>
          </cell>
          <cell r="E165">
            <v>2</v>
          </cell>
        </row>
        <row r="166">
          <cell r="B166">
            <v>11077</v>
          </cell>
          <cell r="C166" t="str">
            <v>冻结异常状态抵抗</v>
          </cell>
          <cell r="D166">
            <v>2</v>
          </cell>
          <cell r="E166">
            <v>2</v>
          </cell>
        </row>
        <row r="167">
          <cell r="B167">
            <v>11078</v>
          </cell>
          <cell r="C167" t="str">
            <v>触电异常状态抵抗</v>
          </cell>
          <cell r="D167">
            <v>2</v>
          </cell>
          <cell r="E167">
            <v>2</v>
          </cell>
        </row>
        <row r="168">
          <cell r="B168">
            <v>11079</v>
          </cell>
          <cell r="C168" t="str">
            <v>受到的暴击伤害</v>
          </cell>
          <cell r="D168">
            <v>2</v>
          </cell>
          <cell r="E168">
            <v>2</v>
          </cell>
        </row>
        <row r="169">
          <cell r="B169">
            <v>11080</v>
          </cell>
          <cell r="C169" t="str">
            <v>全局额外伤害</v>
          </cell>
          <cell r="D169">
            <v>2</v>
          </cell>
          <cell r="E169">
            <v>2</v>
          </cell>
        </row>
        <row r="170">
          <cell r="B170">
            <v>11081</v>
          </cell>
          <cell r="C170" t="str">
            <v>毁灭注能数量</v>
          </cell>
          <cell r="D170">
            <v>2</v>
          </cell>
          <cell r="E170">
            <v>2</v>
          </cell>
        </row>
        <row r="171">
          <cell r="B171">
            <v>11082</v>
          </cell>
          <cell r="C171" t="str">
            <v>洞察注能数量</v>
          </cell>
          <cell r="D171">
            <v>2</v>
          </cell>
          <cell r="E171">
            <v>2</v>
          </cell>
        </row>
        <row r="172">
          <cell r="B172">
            <v>11083</v>
          </cell>
          <cell r="C172" t="str">
            <v>穿透注能数量</v>
          </cell>
          <cell r="D172">
            <v>2</v>
          </cell>
          <cell r="E172">
            <v>2</v>
          </cell>
        </row>
        <row r="173">
          <cell r="B173">
            <v>11084</v>
          </cell>
          <cell r="C173" t="str">
            <v>混乱注能数量</v>
          </cell>
          <cell r="D173">
            <v>2</v>
          </cell>
          <cell r="E173">
            <v>2</v>
          </cell>
        </row>
        <row r="174">
          <cell r="B174">
            <v>11085</v>
          </cell>
          <cell r="C174" t="str">
            <v>迅捷注能数量</v>
          </cell>
          <cell r="D174">
            <v>2</v>
          </cell>
          <cell r="E174">
            <v>2</v>
          </cell>
        </row>
        <row r="175">
          <cell r="B175">
            <v>11086</v>
          </cell>
          <cell r="C175" t="str">
            <v>毁灭注能数量上限</v>
          </cell>
          <cell r="D175">
            <v>2</v>
          </cell>
          <cell r="E175">
            <v>2</v>
          </cell>
        </row>
        <row r="176">
          <cell r="B176">
            <v>11087</v>
          </cell>
          <cell r="C176" t="str">
            <v>洞察注能数量上限</v>
          </cell>
          <cell r="D176">
            <v>2</v>
          </cell>
          <cell r="E176">
            <v>2</v>
          </cell>
        </row>
        <row r="177">
          <cell r="B177">
            <v>11088</v>
          </cell>
          <cell r="C177" t="str">
            <v>穿透注能数量上限</v>
          </cell>
          <cell r="D177">
            <v>2</v>
          </cell>
          <cell r="E177">
            <v>2</v>
          </cell>
        </row>
        <row r="178">
          <cell r="B178">
            <v>11089</v>
          </cell>
          <cell r="C178" t="str">
            <v>混乱注能数量上限</v>
          </cell>
          <cell r="D178">
            <v>2</v>
          </cell>
          <cell r="E178">
            <v>2</v>
          </cell>
        </row>
        <row r="179">
          <cell r="B179">
            <v>11090</v>
          </cell>
          <cell r="C179" t="str">
            <v>迅捷注能数量上限</v>
          </cell>
          <cell r="D179">
            <v>2</v>
          </cell>
          <cell r="E179">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H8" sqref="H8:H13"/>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v>1300103</v>
      </c>
    </row>
    <row r="9" spans="1:10">
      <c r="A9" t="str">
        <f t="shared" si="0"/>
        <v>14001</v>
      </c>
      <c r="B9" t="s">
        <v>33</v>
      </c>
      <c r="C9" s="13">
        <v>4</v>
      </c>
      <c r="D9" s="35">
        <v>0</v>
      </c>
      <c r="E9" s="36">
        <v>1</v>
      </c>
      <c r="F9">
        <v>140011</v>
      </c>
      <c r="G9">
        <v>140012</v>
      </c>
      <c r="H9" t="s">
        <v>33</v>
      </c>
      <c r="J9">
        <v>1400101</v>
      </c>
    </row>
    <row r="10" spans="1:10">
      <c r="A10" t="str">
        <f t="shared" si="0"/>
        <v>15001</v>
      </c>
      <c r="B10" t="s">
        <v>34</v>
      </c>
      <c r="C10" s="13">
        <v>5</v>
      </c>
      <c r="D10" s="35">
        <v>0</v>
      </c>
      <c r="E10" s="36">
        <v>1</v>
      </c>
      <c r="F10">
        <v>150011</v>
      </c>
      <c r="G10">
        <v>150012</v>
      </c>
      <c r="H10" t="s">
        <v>34</v>
      </c>
      <c r="J10">
        <v>1400102</v>
      </c>
    </row>
    <row r="11" spans="1:10">
      <c r="A11" t="str">
        <f t="shared" si="0"/>
        <v>16001</v>
      </c>
      <c r="B11" t="s">
        <v>35</v>
      </c>
      <c r="C11" s="13">
        <v>6</v>
      </c>
      <c r="D11" s="35">
        <v>0</v>
      </c>
      <c r="E11" s="36">
        <v>1</v>
      </c>
      <c r="F11">
        <v>160011</v>
      </c>
      <c r="G11">
        <v>160012</v>
      </c>
      <c r="H11" t="s">
        <v>35</v>
      </c>
      <c r="J11">
        <v>1400103</v>
      </c>
    </row>
    <row r="12" spans="1:10">
      <c r="A12" t="str">
        <f t="shared" si="0"/>
        <v>17001</v>
      </c>
      <c r="B12" t="s">
        <v>36</v>
      </c>
      <c r="C12" s="13">
        <v>7</v>
      </c>
      <c r="D12" s="35">
        <v>0</v>
      </c>
      <c r="E12" s="36">
        <v>1</v>
      </c>
      <c r="F12">
        <v>170011</v>
      </c>
      <c r="G12">
        <v>170012</v>
      </c>
      <c r="H12" t="s">
        <v>36</v>
      </c>
      <c r="J12">
        <v>1300103</v>
      </c>
    </row>
    <row r="13" spans="1:10">
      <c r="A13" t="str">
        <f t="shared" si="0"/>
        <v>18001</v>
      </c>
      <c r="B13" t="s">
        <v>37</v>
      </c>
      <c r="C13" s="13">
        <v>8</v>
      </c>
      <c r="D13" s="35">
        <v>0</v>
      </c>
      <c r="E13" s="36">
        <v>1</v>
      </c>
      <c r="F13">
        <v>180011</v>
      </c>
      <c r="G13">
        <v>180012</v>
      </c>
      <c r="H13" t="s">
        <v>37</v>
      </c>
      <c r="J13">
        <v>1400101</v>
      </c>
    </row>
    <row r="14" spans="1:10">
      <c r="A14" t="str">
        <f t="shared" si="0"/>
        <v>19001</v>
      </c>
      <c r="B14" t="s">
        <v>38</v>
      </c>
      <c r="C14" s="13">
        <v>9</v>
      </c>
      <c r="D14" s="35">
        <v>0</v>
      </c>
      <c r="E14" s="36">
        <v>1</v>
      </c>
      <c r="F14">
        <v>190011</v>
      </c>
      <c r="G14">
        <v>190012</v>
      </c>
      <c r="H14" t="s">
        <v>38</v>
      </c>
      <c r="J14">
        <v>1400102</v>
      </c>
    </row>
    <row r="15" spans="1:10">
      <c r="A15" t="str">
        <f t="shared" si="0"/>
        <v>20001</v>
      </c>
      <c r="B15" t="s">
        <v>39</v>
      </c>
      <c r="C15" s="13">
        <v>10</v>
      </c>
      <c r="D15" s="35">
        <v>0</v>
      </c>
      <c r="E15" s="36">
        <v>1</v>
      </c>
      <c r="F15">
        <v>200011</v>
      </c>
      <c r="G15">
        <v>200012</v>
      </c>
      <c r="H15" t="s">
        <v>39</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9"/>
  <sheetViews>
    <sheetView workbookViewId="0">
      <pane xSplit="6" ySplit="3" topLeftCell="G22" activePane="bottomRight" state="frozen"/>
      <selection/>
      <selection pane="topRight"/>
      <selection pane="bottomLeft"/>
      <selection pane="bottomRight" activeCell="B42" sqref="B42"/>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49" si="0">H4*100+D4</f>
        <v>1100101</v>
      </c>
      <c r="B4" t="s">
        <v>59</v>
      </c>
      <c r="C4" t="s">
        <v>24</v>
      </c>
      <c r="D4">
        <v>1</v>
      </c>
      <c r="E4" t="str">
        <f t="shared" ref="E4:E49" si="1">B4</f>
        <v>物理法杖</v>
      </c>
      <c r="G4">
        <v>101</v>
      </c>
      <c r="H4" s="4" t="str">
        <f>_xlfn.XLOOKUP(C4,EquipType!B:B,EquipType!A:A)</f>
        <v>11001</v>
      </c>
      <c r="I4" s="4">
        <f>A4</f>
        <v>1100101</v>
      </c>
      <c r="J4">
        <f t="shared" ref="J4:J49"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102</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106</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105</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106</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105</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si="0"/>
        <v>1200103</v>
      </c>
      <c r="B21" t="s">
        <v>79</v>
      </c>
      <c r="C21" t="s">
        <v>30</v>
      </c>
      <c r="D21">
        <v>3</v>
      </c>
      <c r="E21" t="str">
        <f t="shared" si="1"/>
        <v>(废弃)</v>
      </c>
      <c r="F21" t="s">
        <v>75</v>
      </c>
      <c r="H21" s="4" t="str">
        <f>_xlfn.XLOOKUP(C21,EquipType!B:B,EquipType!A:A)</f>
        <v>12001</v>
      </c>
      <c r="I21" s="4">
        <f>I20</f>
        <v>1200101</v>
      </c>
      <c r="J21">
        <f t="shared" si="2"/>
        <v>1200103</v>
      </c>
    </row>
    <row r="22" customFormat="1" spans="1:11">
      <c r="A22">
        <f t="shared" si="0"/>
        <v>1300101</v>
      </c>
      <c r="B22" t="s">
        <v>80</v>
      </c>
      <c r="C22" t="s">
        <v>32</v>
      </c>
      <c r="D22">
        <v>1</v>
      </c>
      <c r="E22" t="str">
        <f t="shared" si="1"/>
        <v>铸铁胸甲</v>
      </c>
      <c r="F22" t="s">
        <v>75</v>
      </c>
      <c r="H22" s="4" t="str">
        <f>_xlfn.XLOOKUP(C22,EquipType!B:B,EquipType!A:A)</f>
        <v>13001</v>
      </c>
      <c r="I22" s="4">
        <f>A22</f>
        <v>1300101</v>
      </c>
      <c r="J22">
        <f t="shared" si="2"/>
        <v>1300101</v>
      </c>
      <c r="K22" t="s">
        <v>81</v>
      </c>
    </row>
    <row r="23" customFormat="1" spans="1:11">
      <c r="A23">
        <f t="shared" si="0"/>
        <v>1300102</v>
      </c>
      <c r="B23" t="s">
        <v>82</v>
      </c>
      <c r="C23" t="s">
        <v>32</v>
      </c>
      <c r="D23">
        <v>2</v>
      </c>
      <c r="E23" t="str">
        <f t="shared" si="1"/>
        <v>皮制胸甲</v>
      </c>
      <c r="F23" t="s">
        <v>75</v>
      </c>
      <c r="H23" s="4" t="str">
        <f>_xlfn.XLOOKUP(C23,EquipType!B:B,EquipType!A:A)</f>
        <v>13001</v>
      </c>
      <c r="I23" s="4">
        <f>I22</f>
        <v>1300101</v>
      </c>
      <c r="J23">
        <f t="shared" si="2"/>
        <v>1300102</v>
      </c>
      <c r="K23" t="s">
        <v>83</v>
      </c>
    </row>
    <row r="24" customFormat="1" spans="1:11">
      <c r="A24">
        <f t="shared" si="0"/>
        <v>1300103</v>
      </c>
      <c r="B24" t="s">
        <v>84</v>
      </c>
      <c r="C24" t="s">
        <v>32</v>
      </c>
      <c r="D24">
        <v>3</v>
      </c>
      <c r="E24" t="str">
        <f t="shared" si="1"/>
        <v>铁锁胸甲</v>
      </c>
      <c r="F24" t="s">
        <v>75</v>
      </c>
      <c r="H24" s="4" t="str">
        <f>_xlfn.XLOOKUP(C24,EquipType!B:B,EquipType!A:A)</f>
        <v>13001</v>
      </c>
      <c r="I24" s="4">
        <f>I23</f>
        <v>1300101</v>
      </c>
      <c r="J24">
        <f t="shared" si="2"/>
        <v>1300103</v>
      </c>
      <c r="K24" t="s">
        <v>85</v>
      </c>
    </row>
    <row r="25" spans="1:11">
      <c r="A25">
        <f t="shared" si="0"/>
        <v>1400101</v>
      </c>
      <c r="B25" t="s">
        <v>86</v>
      </c>
      <c r="C25" t="s">
        <v>33</v>
      </c>
      <c r="D25">
        <v>1</v>
      </c>
      <c r="E25" t="str">
        <f t="shared" si="1"/>
        <v>铸铁腿甲</v>
      </c>
      <c r="H25" s="4" t="str">
        <f>_xlfn.XLOOKUP(C25,EquipType!B:B,EquipType!A:A)</f>
        <v>14001</v>
      </c>
      <c r="I25" s="4">
        <f>A25</f>
        <v>1400101</v>
      </c>
      <c r="J25">
        <f t="shared" si="2"/>
        <v>1400101</v>
      </c>
      <c r="K25" t="s">
        <v>87</v>
      </c>
    </row>
    <row r="26" customFormat="1" spans="1:11">
      <c r="A26">
        <f t="shared" si="0"/>
        <v>1400102</v>
      </c>
      <c r="B26" t="s">
        <v>88</v>
      </c>
      <c r="C26" t="s">
        <v>33</v>
      </c>
      <c r="D26">
        <v>2</v>
      </c>
      <c r="E26" t="str">
        <f t="shared" si="1"/>
        <v>钢制腿甲</v>
      </c>
      <c r="H26" s="4" t="str">
        <f>_xlfn.XLOOKUP(C26,EquipType!B:B,EquipType!A:A)</f>
        <v>14001</v>
      </c>
      <c r="I26" s="4">
        <f>I25</f>
        <v>1400101</v>
      </c>
      <c r="J26">
        <f t="shared" si="2"/>
        <v>1400102</v>
      </c>
      <c r="K26" t="s">
        <v>89</v>
      </c>
    </row>
    <row r="27" customFormat="1" spans="1:11">
      <c r="A27">
        <f t="shared" si="0"/>
        <v>1400103</v>
      </c>
      <c r="B27" t="s">
        <v>90</v>
      </c>
      <c r="C27" t="s">
        <v>33</v>
      </c>
      <c r="D27">
        <v>3</v>
      </c>
      <c r="E27" t="str">
        <f t="shared" si="1"/>
        <v>废弃</v>
      </c>
      <c r="H27" s="4" t="str">
        <f>_xlfn.XLOOKUP(C27,EquipType!B:B,EquipType!A:A)</f>
        <v>14001</v>
      </c>
      <c r="I27" s="4">
        <f>I26</f>
        <v>1400101</v>
      </c>
      <c r="J27">
        <f t="shared" si="2"/>
        <v>1400103</v>
      </c>
    </row>
    <row r="28" spans="1:11">
      <c r="A28">
        <f t="shared" si="0"/>
        <v>1500101</v>
      </c>
      <c r="B28" t="s">
        <v>91</v>
      </c>
      <c r="C28" t="s">
        <v>34</v>
      </c>
      <c r="D28">
        <v>1</v>
      </c>
      <c r="E28" t="str">
        <f t="shared" si="1"/>
        <v>铸铁靴</v>
      </c>
      <c r="F28" t="s">
        <v>75</v>
      </c>
      <c r="H28" s="4" t="str">
        <f>_xlfn.XLOOKUP(C28,EquipType!B:B,EquipType!A:A)</f>
        <v>15001</v>
      </c>
      <c r="I28" s="4">
        <f>A28</f>
        <v>1500101</v>
      </c>
      <c r="J28">
        <f t="shared" si="2"/>
        <v>1500101</v>
      </c>
      <c r="K28" t="s">
        <v>92</v>
      </c>
    </row>
    <row r="29" customFormat="1" spans="1:11">
      <c r="A29">
        <f t="shared" si="0"/>
        <v>1500102</v>
      </c>
      <c r="B29" t="s">
        <v>93</v>
      </c>
      <c r="C29" t="s">
        <v>34</v>
      </c>
      <c r="D29">
        <v>2</v>
      </c>
      <c r="E29" t="str">
        <f t="shared" si="1"/>
        <v>鞣制靴</v>
      </c>
      <c r="F29" t="s">
        <v>75</v>
      </c>
      <c r="H29" s="4" t="str">
        <f>_xlfn.XLOOKUP(C29,EquipType!B:B,EquipType!A:A)</f>
        <v>15001</v>
      </c>
      <c r="I29" s="4">
        <f>I28</f>
        <v>1500101</v>
      </c>
      <c r="J29">
        <f t="shared" si="2"/>
        <v>1500102</v>
      </c>
      <c r="K29" t="s">
        <v>94</v>
      </c>
    </row>
    <row r="30" customFormat="1" spans="1:11">
      <c r="A30">
        <f t="shared" si="0"/>
        <v>1500103</v>
      </c>
      <c r="B30" t="s">
        <v>95</v>
      </c>
      <c r="C30" t="s">
        <v>34</v>
      </c>
      <c r="D30">
        <v>3</v>
      </c>
      <c r="E30" t="str">
        <f t="shared" si="1"/>
        <v>符文靴</v>
      </c>
      <c r="F30" t="s">
        <v>75</v>
      </c>
      <c r="H30" s="4" t="str">
        <f>_xlfn.XLOOKUP(C30,EquipType!B:B,EquipType!A:A)</f>
        <v>15001</v>
      </c>
      <c r="I30" s="4">
        <f>I29</f>
        <v>1500101</v>
      </c>
      <c r="J30">
        <f t="shared" si="2"/>
        <v>1500103</v>
      </c>
      <c r="K30" t="s">
        <v>96</v>
      </c>
    </row>
    <row r="31" spans="1:11">
      <c r="A31">
        <f t="shared" si="0"/>
        <v>1600101</v>
      </c>
      <c r="B31" t="s">
        <v>97</v>
      </c>
      <c r="C31" t="s">
        <v>35</v>
      </c>
      <c r="D31">
        <v>1</v>
      </c>
      <c r="E31" t="str">
        <f t="shared" si="1"/>
        <v>铸铁护手</v>
      </c>
      <c r="F31" t="s">
        <v>75</v>
      </c>
      <c r="H31" s="4" t="str">
        <f>_xlfn.XLOOKUP(C31,EquipType!B:B,EquipType!A:A)</f>
        <v>16001</v>
      </c>
      <c r="I31" s="4">
        <f>A31</f>
        <v>1600101</v>
      </c>
      <c r="J31">
        <f t="shared" si="2"/>
        <v>1600101</v>
      </c>
      <c r="K31" t="s">
        <v>98</v>
      </c>
    </row>
    <row r="32" customFormat="1" spans="1:11">
      <c r="A32">
        <f t="shared" si="0"/>
        <v>1600102</v>
      </c>
      <c r="B32" t="s">
        <v>99</v>
      </c>
      <c r="C32" t="s">
        <v>35</v>
      </c>
      <c r="D32">
        <v>2</v>
      </c>
      <c r="E32" t="str">
        <f t="shared" si="1"/>
        <v>皮制护手</v>
      </c>
      <c r="F32" t="s">
        <v>75</v>
      </c>
      <c r="H32" s="4" t="str">
        <f>_xlfn.XLOOKUP(C32,EquipType!B:B,EquipType!A:A)</f>
        <v>16001</v>
      </c>
      <c r="I32" s="4">
        <f>I31</f>
        <v>1600101</v>
      </c>
      <c r="J32">
        <f t="shared" si="2"/>
        <v>1600102</v>
      </c>
      <c r="K32" t="s">
        <v>100</v>
      </c>
    </row>
    <row r="33" customFormat="1" spans="1:11">
      <c r="A33">
        <f t="shared" si="0"/>
        <v>1600103</v>
      </c>
      <c r="B33" t="s">
        <v>101</v>
      </c>
      <c r="C33" t="s">
        <v>35</v>
      </c>
      <c r="D33">
        <v>3</v>
      </c>
      <c r="E33" t="str">
        <f t="shared" si="1"/>
        <v>轻质护手</v>
      </c>
      <c r="F33" t="s">
        <v>102</v>
      </c>
      <c r="H33" s="4" t="str">
        <f>_xlfn.XLOOKUP(C33,EquipType!B:B,EquipType!A:A)</f>
        <v>16001</v>
      </c>
      <c r="I33" s="4">
        <f>I32</f>
        <v>1600101</v>
      </c>
      <c r="J33">
        <f t="shared" si="2"/>
        <v>1600103</v>
      </c>
      <c r="K33" t="s">
        <v>103</v>
      </c>
    </row>
    <row r="34" spans="1:11">
      <c r="A34">
        <f t="shared" si="0"/>
        <v>1700101</v>
      </c>
      <c r="B34" t="s">
        <v>104</v>
      </c>
      <c r="C34" t="s">
        <v>36</v>
      </c>
      <c r="D34">
        <v>1</v>
      </c>
      <c r="E34" t="str">
        <f t="shared" si="1"/>
        <v>精铁礼花</v>
      </c>
      <c r="H34" s="4" t="str">
        <f>_xlfn.XLOOKUP(C34,EquipType!B:B,EquipType!A:A)</f>
        <v>17001</v>
      </c>
      <c r="I34" s="4">
        <f>A34</f>
        <v>1700101</v>
      </c>
      <c r="J34">
        <f t="shared" si="2"/>
        <v>1700101</v>
      </c>
      <c r="K34" t="s">
        <v>105</v>
      </c>
    </row>
    <row r="35" customFormat="1" spans="1:11">
      <c r="A35">
        <f t="shared" si="0"/>
        <v>1700102</v>
      </c>
      <c r="B35" t="s">
        <v>106</v>
      </c>
      <c r="C35" t="s">
        <v>36</v>
      </c>
      <c r="D35">
        <v>2</v>
      </c>
      <c r="E35" t="str">
        <f t="shared" si="1"/>
        <v>宝石礼花</v>
      </c>
      <c r="H35" s="4" t="str">
        <f>_xlfn.XLOOKUP(C35,EquipType!B:B,EquipType!A:A)</f>
        <v>17001</v>
      </c>
      <c r="I35" s="4">
        <f>I34</f>
        <v>1700101</v>
      </c>
      <c r="J35">
        <f t="shared" si="2"/>
        <v>1700102</v>
      </c>
      <c r="K35" t="s">
        <v>107</v>
      </c>
    </row>
    <row r="36" customFormat="1" spans="1:11">
      <c r="A36">
        <f t="shared" si="0"/>
        <v>1700103</v>
      </c>
      <c r="B36" t="s">
        <v>108</v>
      </c>
      <c r="C36" t="s">
        <v>36</v>
      </c>
      <c r="D36">
        <v>3</v>
      </c>
      <c r="E36" t="str">
        <f t="shared" si="1"/>
        <v>鹅绒礼花</v>
      </c>
      <c r="H36" s="4" t="str">
        <f>_xlfn.XLOOKUP(C36,EquipType!B:B,EquipType!A:A)</f>
        <v>17001</v>
      </c>
      <c r="I36" s="4">
        <f>I35</f>
        <v>1700101</v>
      </c>
      <c r="J36">
        <f t="shared" si="2"/>
        <v>1700103</v>
      </c>
      <c r="K36" t="s">
        <v>109</v>
      </c>
    </row>
    <row r="37" customFormat="1" spans="1:11">
      <c r="A37">
        <f t="shared" si="0"/>
        <v>1700104</v>
      </c>
      <c r="B37" t="s">
        <v>110</v>
      </c>
      <c r="C37" t="s">
        <v>36</v>
      </c>
      <c r="D37">
        <v>4</v>
      </c>
      <c r="E37" t="str">
        <f t="shared" si="1"/>
        <v>华丽礼花</v>
      </c>
      <c r="H37" s="4" t="str">
        <f>_xlfn.XLOOKUP(C37,EquipType!B:B,EquipType!A:A)</f>
        <v>17001</v>
      </c>
      <c r="I37" s="4">
        <f>I36</f>
        <v>1700101</v>
      </c>
      <c r="J37">
        <f t="shared" si="2"/>
        <v>1700104</v>
      </c>
      <c r="K37" t="s">
        <v>111</v>
      </c>
    </row>
    <row r="38" customFormat="1" spans="1:11">
      <c r="A38">
        <f t="shared" si="0"/>
        <v>1700105</v>
      </c>
      <c r="B38" t="s">
        <v>90</v>
      </c>
      <c r="C38" t="s">
        <v>36</v>
      </c>
      <c r="D38">
        <v>5</v>
      </c>
      <c r="E38" t="str">
        <f t="shared" si="1"/>
        <v>废弃</v>
      </c>
      <c r="H38" s="4" t="str">
        <f>_xlfn.XLOOKUP(C38,EquipType!B:B,EquipType!A:A)</f>
        <v>17001</v>
      </c>
      <c r="I38" s="4">
        <f>I37</f>
        <v>1700101</v>
      </c>
      <c r="J38">
        <f t="shared" si="2"/>
        <v>1700105</v>
      </c>
    </row>
    <row r="39" customFormat="1" spans="1:11">
      <c r="A39">
        <f t="shared" si="0"/>
        <v>1700106</v>
      </c>
      <c r="B39" t="s">
        <v>90</v>
      </c>
      <c r="C39" t="s">
        <v>36</v>
      </c>
      <c r="D39">
        <v>6</v>
      </c>
      <c r="E39" t="str">
        <f t="shared" si="1"/>
        <v>废弃</v>
      </c>
      <c r="H39" s="4" t="str">
        <f>_xlfn.XLOOKUP(C39,EquipType!B:B,EquipType!A:A)</f>
        <v>17001</v>
      </c>
      <c r="I39" s="4">
        <f>I38</f>
        <v>1700101</v>
      </c>
      <c r="J39">
        <f t="shared" si="2"/>
        <v>1700106</v>
      </c>
    </row>
    <row r="40" spans="1:11">
      <c r="A40">
        <f t="shared" si="0"/>
        <v>1800101</v>
      </c>
      <c r="B40" t="s">
        <v>112</v>
      </c>
      <c r="C40" t="s">
        <v>37</v>
      </c>
      <c r="D40">
        <v>1</v>
      </c>
      <c r="E40" t="str">
        <f t="shared" si="1"/>
        <v>精铁耳环</v>
      </c>
      <c r="H40" s="4" t="str">
        <f>_xlfn.XLOOKUP(C40,EquipType!B:B,EquipType!A:A)</f>
        <v>18001</v>
      </c>
      <c r="I40" s="4">
        <f>A40</f>
        <v>1800101</v>
      </c>
      <c r="J40">
        <f t="shared" si="2"/>
        <v>1800101</v>
      </c>
      <c r="K40" t="s">
        <v>113</v>
      </c>
    </row>
    <row r="41" spans="1:11">
      <c r="A41">
        <f t="shared" si="0"/>
        <v>1800102</v>
      </c>
      <c r="B41" t="s">
        <v>114</v>
      </c>
      <c r="C41" t="s">
        <v>37</v>
      </c>
      <c r="D41">
        <v>2</v>
      </c>
      <c r="E41" t="str">
        <f t="shared" si="1"/>
        <v>宝石耳环</v>
      </c>
      <c r="H41" s="4" t="str">
        <f>_xlfn.XLOOKUP(C41,EquipType!B:B,EquipType!A:A)</f>
        <v>18001</v>
      </c>
      <c r="I41" s="4">
        <f>I40</f>
        <v>1800101</v>
      </c>
      <c r="J41">
        <f t="shared" si="2"/>
        <v>1800102</v>
      </c>
      <c r="K41" t="s">
        <v>115</v>
      </c>
    </row>
    <row r="42" customFormat="1" spans="1:11">
      <c r="A42">
        <f t="shared" si="0"/>
        <v>1800103</v>
      </c>
      <c r="B42" t="s">
        <v>116</v>
      </c>
      <c r="C42" t="s">
        <v>37</v>
      </c>
      <c r="D42">
        <v>3</v>
      </c>
      <c r="E42" t="str">
        <f t="shared" si="1"/>
        <v>珠光耳环</v>
      </c>
      <c r="H42" s="4" t="str">
        <f>_xlfn.XLOOKUP(C42,EquipType!B:B,EquipType!A:A)</f>
        <v>18001</v>
      </c>
      <c r="I42" s="4">
        <f>I41</f>
        <v>1800101</v>
      </c>
      <c r="J42">
        <f t="shared" si="2"/>
        <v>1800103</v>
      </c>
      <c r="K42" t="s">
        <v>117</v>
      </c>
    </row>
    <row r="43" customFormat="1" spans="1:11">
      <c r="A43">
        <f t="shared" si="0"/>
        <v>1800104</v>
      </c>
      <c r="B43" t="s">
        <v>90</v>
      </c>
      <c r="C43" t="s">
        <v>37</v>
      </c>
      <c r="D43">
        <v>4</v>
      </c>
      <c r="E43" t="str">
        <f t="shared" si="1"/>
        <v>废弃</v>
      </c>
      <c r="H43" s="4" t="str">
        <f>_xlfn.XLOOKUP(C43,EquipType!B:B,EquipType!A:A)</f>
        <v>18001</v>
      </c>
      <c r="I43" s="4">
        <f>I42</f>
        <v>1800101</v>
      </c>
      <c r="J43">
        <f t="shared" si="2"/>
        <v>1800104</v>
      </c>
    </row>
    <row r="44" spans="1:11">
      <c r="A44">
        <f t="shared" si="0"/>
        <v>1900101</v>
      </c>
      <c r="B44" t="s">
        <v>118</v>
      </c>
      <c r="C44" t="s">
        <v>38</v>
      </c>
      <c r="D44">
        <v>1</v>
      </c>
      <c r="E44" t="str">
        <f t="shared" si="1"/>
        <v>精铁项链</v>
      </c>
      <c r="H44" s="4" t="str">
        <f>_xlfn.XLOOKUP(C44,EquipType!B:B,EquipType!A:A)</f>
        <v>19001</v>
      </c>
      <c r="I44" s="4">
        <f>A44</f>
        <v>1900101</v>
      </c>
      <c r="J44">
        <f t="shared" si="2"/>
        <v>1900101</v>
      </c>
      <c r="K44" t="s">
        <v>119</v>
      </c>
    </row>
    <row r="45" customFormat="1" spans="1:11">
      <c r="A45">
        <f t="shared" si="0"/>
        <v>1900102</v>
      </c>
      <c r="B45" t="s">
        <v>120</v>
      </c>
      <c r="C45" t="s">
        <v>38</v>
      </c>
      <c r="D45">
        <v>2</v>
      </c>
      <c r="E45" t="str">
        <f t="shared" si="1"/>
        <v>宝石项链</v>
      </c>
      <c r="H45" s="4" t="str">
        <f>_xlfn.XLOOKUP(C45,EquipType!B:B,EquipType!A:A)</f>
        <v>19001</v>
      </c>
      <c r="I45" s="4">
        <f>I44</f>
        <v>1900101</v>
      </c>
      <c r="J45">
        <f t="shared" si="2"/>
        <v>1900102</v>
      </c>
      <c r="K45" t="s">
        <v>121</v>
      </c>
    </row>
    <row r="46" customFormat="1" spans="1:11">
      <c r="A46">
        <f t="shared" si="0"/>
        <v>1900103</v>
      </c>
      <c r="B46" t="s">
        <v>122</v>
      </c>
      <c r="C46" t="s">
        <v>38</v>
      </c>
      <c r="D46">
        <v>3</v>
      </c>
      <c r="E46" t="str">
        <f t="shared" si="1"/>
        <v>翡翠项链</v>
      </c>
      <c r="H46" s="4" t="str">
        <f>_xlfn.XLOOKUP(C46,EquipType!B:B,EquipType!A:A)</f>
        <v>19001</v>
      </c>
      <c r="I46" s="4">
        <f>I45</f>
        <v>1900101</v>
      </c>
      <c r="J46">
        <f t="shared" si="2"/>
        <v>1900103</v>
      </c>
      <c r="K46" t="s">
        <v>123</v>
      </c>
    </row>
    <row r="47" spans="1:11">
      <c r="A47">
        <f t="shared" si="0"/>
        <v>2000101</v>
      </c>
      <c r="B47" t="s">
        <v>124</v>
      </c>
      <c r="C47" t="s">
        <v>39</v>
      </c>
      <c r="D47">
        <v>1</v>
      </c>
      <c r="E47" t="str">
        <f t="shared" si="1"/>
        <v>精铁戒指</v>
      </c>
      <c r="H47" s="4" t="str">
        <f>_xlfn.XLOOKUP(C47,EquipType!B:B,EquipType!A:A)</f>
        <v>20001</v>
      </c>
      <c r="I47" s="4">
        <f>A47</f>
        <v>2000101</v>
      </c>
      <c r="J47">
        <f t="shared" si="2"/>
        <v>2000101</v>
      </c>
      <c r="K47" t="s">
        <v>125</v>
      </c>
    </row>
    <row r="48" customFormat="1" spans="1:11">
      <c r="A48">
        <f t="shared" si="0"/>
        <v>2000102</v>
      </c>
      <c r="B48" t="s">
        <v>126</v>
      </c>
      <c r="C48" t="s">
        <v>39</v>
      </c>
      <c r="D48">
        <v>2</v>
      </c>
      <c r="E48" t="str">
        <f t="shared" si="1"/>
        <v>护法戒指</v>
      </c>
      <c r="H48" s="4" t="str">
        <f>_xlfn.XLOOKUP(C48,EquipType!B:B,EquipType!A:A)</f>
        <v>20001</v>
      </c>
      <c r="I48" s="4">
        <f>I47</f>
        <v>2000101</v>
      </c>
      <c r="J48">
        <f t="shared" si="2"/>
        <v>2000102</v>
      </c>
      <c r="K48" t="s">
        <v>127</v>
      </c>
    </row>
    <row r="49" customFormat="1" spans="1:11">
      <c r="A49">
        <f t="shared" si="0"/>
        <v>2000103</v>
      </c>
      <c r="B49" t="s">
        <v>128</v>
      </c>
      <c r="C49" t="s">
        <v>39</v>
      </c>
      <c r="D49">
        <v>3</v>
      </c>
      <c r="E49" t="str">
        <f t="shared" si="1"/>
        <v>翡翠戒指</v>
      </c>
      <c r="H49" s="4" t="str">
        <f>_xlfn.XLOOKUP(C49,EquipType!B:B,EquipType!A:A)</f>
        <v>20001</v>
      </c>
      <c r="I49" s="4">
        <f>I48</f>
        <v>2000101</v>
      </c>
      <c r="J49">
        <f t="shared" si="2"/>
        <v>2000103</v>
      </c>
      <c r="K49" t="s">
        <v>129</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1">
    <cfRule type="duplicateValues" dxfId="0" priority="23"/>
  </conditionalFormatting>
  <conditionalFormatting sqref="A23">
    <cfRule type="duplicateValues" dxfId="0" priority="22"/>
  </conditionalFormatting>
  <conditionalFormatting sqref="A24">
    <cfRule type="duplicateValues" dxfId="0" priority="21"/>
  </conditionalFormatting>
  <conditionalFormatting sqref="A26">
    <cfRule type="duplicateValues" dxfId="0" priority="20"/>
  </conditionalFormatting>
  <conditionalFormatting sqref="A27">
    <cfRule type="duplicateValues" dxfId="0" priority="19"/>
  </conditionalFormatting>
  <conditionalFormatting sqref="A29">
    <cfRule type="duplicateValues" dxfId="0" priority="18"/>
  </conditionalFormatting>
  <conditionalFormatting sqref="A30">
    <cfRule type="duplicateValues" dxfId="0" priority="17"/>
  </conditionalFormatting>
  <conditionalFormatting sqref="A32">
    <cfRule type="duplicateValues" dxfId="0" priority="36"/>
  </conditionalFormatting>
  <conditionalFormatting sqref="A33">
    <cfRule type="duplicateValues" dxfId="0" priority="34"/>
  </conditionalFormatting>
  <conditionalFormatting sqref="A35">
    <cfRule type="duplicateValues" dxfId="0" priority="16"/>
  </conditionalFormatting>
  <conditionalFormatting sqref="A36">
    <cfRule type="duplicateValues" dxfId="0" priority="15"/>
  </conditionalFormatting>
  <conditionalFormatting sqref="A37">
    <cfRule type="duplicateValues" dxfId="0" priority="14"/>
  </conditionalFormatting>
  <conditionalFormatting sqref="A38">
    <cfRule type="duplicateValues" dxfId="0" priority="13"/>
  </conditionalFormatting>
  <conditionalFormatting sqref="A39">
    <cfRule type="duplicateValues" dxfId="0" priority="7"/>
  </conditionalFormatting>
  <conditionalFormatting sqref="A42">
    <cfRule type="duplicateValues" dxfId="0" priority="12"/>
  </conditionalFormatting>
  <conditionalFormatting sqref="A43">
    <cfRule type="duplicateValues" dxfId="0" priority="11"/>
  </conditionalFormatting>
  <conditionalFormatting sqref="A45">
    <cfRule type="duplicateValues" dxfId="0" priority="35"/>
  </conditionalFormatting>
  <conditionalFormatting sqref="A46">
    <cfRule type="duplicateValues" dxfId="0" priority="10"/>
  </conditionalFormatting>
  <conditionalFormatting sqref="A48">
    <cfRule type="duplicateValues" dxfId="0" priority="9"/>
  </conditionalFormatting>
  <conditionalFormatting sqref="A49">
    <cfRule type="duplicateValues" dxfId="0" priority="8"/>
  </conditionalFormatting>
  <conditionalFormatting sqref="A1:A5 A9 A19 A22 A25 A28 A31 A34 A40:A41 A44 A47 A50:A1048576">
    <cfRule type="duplicateValues" dxfId="0" priority="41"/>
  </conditionalFormatting>
  <conditionalFormatting sqref="A2:A3 A50: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30"/>
  <sheetViews>
    <sheetView workbookViewId="0">
      <pane xSplit="6" ySplit="3" topLeftCell="G4" activePane="bottomRight" state="frozen"/>
      <selection/>
      <selection pane="topRight"/>
      <selection pane="bottomLeft"/>
      <selection pane="bottomRight" activeCell="H19" sqref="H19"/>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9.125" customWidth="1"/>
  </cols>
  <sheetData>
    <row r="1" ht="16.5" spans="1:12">
      <c r="A1" s="5" t="s">
        <v>0</v>
      </c>
      <c r="B1" s="5" t="s">
        <v>130</v>
      </c>
      <c r="C1" s="5" t="s">
        <v>131</v>
      </c>
      <c r="D1" s="5" t="s">
        <v>132</v>
      </c>
      <c r="E1" s="5" t="s">
        <v>40</v>
      </c>
      <c r="F1" s="5" t="s">
        <v>41</v>
      </c>
      <c r="G1" s="5" t="s">
        <v>133</v>
      </c>
      <c r="H1" s="5" t="s">
        <v>134</v>
      </c>
      <c r="I1" s="5" t="s">
        <v>45</v>
      </c>
      <c r="J1" s="6" t="s">
        <v>135</v>
      </c>
      <c r="K1" s="6" t="s">
        <v>46</v>
      </c>
      <c r="L1" s="5" t="s">
        <v>9</v>
      </c>
    </row>
    <row r="2" ht="16.5" spans="1:12">
      <c r="A2" s="7" t="s">
        <v>10</v>
      </c>
      <c r="B2" s="7" t="s">
        <v>136</v>
      </c>
      <c r="C2" s="7" t="s">
        <v>137</v>
      </c>
      <c r="D2" s="7" t="s">
        <v>51</v>
      </c>
      <c r="E2" s="7" t="s">
        <v>11</v>
      </c>
      <c r="F2" s="7" t="s">
        <v>50</v>
      </c>
      <c r="G2" s="7" t="s">
        <v>138</v>
      </c>
      <c r="H2" s="7" t="s">
        <v>139</v>
      </c>
      <c r="I2" s="7" t="s">
        <v>53</v>
      </c>
      <c r="J2" s="8" t="s">
        <v>140</v>
      </c>
      <c r="K2" s="8" t="s">
        <v>54</v>
      </c>
      <c r="L2" s="7" t="s">
        <v>19</v>
      </c>
    </row>
    <row r="3" ht="16.5" spans="1:12">
      <c r="A3" s="22" t="s">
        <v>20</v>
      </c>
      <c r="B3" s="22" t="s">
        <v>20</v>
      </c>
      <c r="C3" s="22" t="s">
        <v>20</v>
      </c>
      <c r="D3" s="22" t="s">
        <v>21</v>
      </c>
      <c r="E3" s="22" t="s">
        <v>21</v>
      </c>
      <c r="F3" s="22" t="s">
        <v>21</v>
      </c>
      <c r="G3" s="30" t="s">
        <v>141</v>
      </c>
      <c r="H3" s="30" t="s">
        <v>141</v>
      </c>
      <c r="I3" s="22" t="s">
        <v>22</v>
      </c>
      <c r="J3" s="9" t="s">
        <v>23</v>
      </c>
      <c r="K3" s="9" t="s">
        <v>20</v>
      </c>
      <c r="L3" s="9" t="s">
        <v>23</v>
      </c>
    </row>
    <row r="4" s="24" customFormat="1" spans="1:12">
      <c r="A4" s="24">
        <v>1100104</v>
      </c>
      <c r="B4" s="24">
        <v>1</v>
      </c>
      <c r="C4" s="24">
        <v>7</v>
      </c>
      <c r="D4" s="24" t="s">
        <v>142</v>
      </c>
      <c r="E4" s="24" t="str">
        <f>_xlfn.XLOOKUP(A4,Equip!A:A,Equip!B:B)</f>
        <v>闪电法杖</v>
      </c>
      <c r="F4" s="31" t="str">
        <f>_xlfn.XLOOKUP(E4,Equip!B:B,Equip!C:C,,0)</f>
        <v>法杖</v>
      </c>
      <c r="G4" s="24" t="s">
        <v>143</v>
      </c>
      <c r="H4" s="24" t="str">
        <f>G4&amp;"_big"</f>
        <v>zhuangbei/110/109_big</v>
      </c>
      <c r="I4" s="24">
        <v>110</v>
      </c>
      <c r="J4" s="4" t="s">
        <v>144</v>
      </c>
      <c r="K4" s="31" t="str">
        <f>_xlfn.XLOOKUP(E4,Equip!E:E,Equip!H:H)</f>
        <v>11001</v>
      </c>
      <c r="L4" t="s">
        <v>25</v>
      </c>
    </row>
    <row r="5" s="25" customFormat="1" spans="1:12">
      <c r="A5" s="25">
        <v>1100201</v>
      </c>
      <c r="B5" s="25">
        <v>1</v>
      </c>
      <c r="C5" s="25">
        <v>6</v>
      </c>
      <c r="D5" s="25" t="s">
        <v>145</v>
      </c>
      <c r="E5" s="24" t="str">
        <f>_xlfn.XLOOKUP(A5,Equip!A:A,Equip!B:B)</f>
        <v>物理长剑</v>
      </c>
      <c r="F5" s="32" t="str">
        <f>_xlfn.XLOOKUP(E5,Equip!B:B,Equip!C:C,,0)</f>
        <v>长剑</v>
      </c>
      <c r="G5" s="25" t="s">
        <v>146</v>
      </c>
      <c r="H5" s="25" t="str">
        <f>G5&amp;"_big"</f>
        <v>zhuangbei/104/106_big</v>
      </c>
      <c r="I5" s="25">
        <v>104</v>
      </c>
      <c r="J5" s="4" t="s">
        <v>147</v>
      </c>
      <c r="K5" s="32" t="str">
        <f>_xlfn.XLOOKUP(E5,Equip!E:E,Equip!H:H)</f>
        <v>11002</v>
      </c>
      <c r="L5" t="s">
        <v>27</v>
      </c>
    </row>
    <row r="6" s="26" customFormat="1" spans="1:12">
      <c r="A6" s="26">
        <v>1100203</v>
      </c>
      <c r="B6" s="26">
        <v>1</v>
      </c>
      <c r="C6" s="26">
        <v>6</v>
      </c>
      <c r="D6" s="26" t="s">
        <v>148</v>
      </c>
      <c r="E6" s="24" t="str">
        <f>_xlfn.XLOOKUP(A6,Equip!A:A,Equip!B:B)</f>
        <v>冰霜长剑</v>
      </c>
      <c r="F6" s="33" t="str">
        <f>_xlfn.XLOOKUP(E6,Equip!B:B,Equip!C:C,,0)</f>
        <v>长剑</v>
      </c>
      <c r="G6" s="26" t="s">
        <v>149</v>
      </c>
      <c r="H6" s="26" t="str">
        <f>G6&amp;"_big"</f>
        <v>zhuangbei/131/106_big</v>
      </c>
      <c r="I6" s="26">
        <v>106</v>
      </c>
      <c r="J6" s="4" t="s">
        <v>150</v>
      </c>
      <c r="K6" s="33" t="str">
        <f>_xlfn.XLOOKUP(E6,Equip!E:E,Equip!H:H)</f>
        <v>11002</v>
      </c>
      <c r="L6" t="s">
        <v>27</v>
      </c>
    </row>
    <row r="7" s="24" customFormat="1" spans="1:12">
      <c r="A7" s="24">
        <v>1200101</v>
      </c>
      <c r="B7" s="24">
        <v>1</v>
      </c>
      <c r="C7" s="24">
        <v>7</v>
      </c>
      <c r="D7" s="24" t="s">
        <v>151</v>
      </c>
      <c r="E7" s="24" t="str">
        <f>_xlfn.XLOOKUP(A7,Equip!A:A,Equip!B:B)</f>
        <v>铸铁头盔</v>
      </c>
      <c r="F7" s="31" t="str">
        <f>_xlfn.XLOOKUP(E7,Equip!B:B,Equip!C:C,,0)</f>
        <v>头盔</v>
      </c>
      <c r="G7" t="s">
        <v>152</v>
      </c>
      <c r="J7" s="4" t="s">
        <v>153</v>
      </c>
      <c r="K7" s="31" t="str">
        <f>_xlfn.XLOOKUP(E7,Equip!E:E,Equip!H:H)</f>
        <v>12001</v>
      </c>
      <c r="L7" t="s">
        <v>31</v>
      </c>
    </row>
    <row r="8" s="27" customFormat="1" spans="1:12">
      <c r="A8" s="27">
        <v>1200102</v>
      </c>
      <c r="B8" s="27">
        <v>1</v>
      </c>
      <c r="C8" s="27">
        <v>6</v>
      </c>
      <c r="D8" s="27" t="s">
        <v>154</v>
      </c>
      <c r="E8" s="24" t="str">
        <f>_xlfn.XLOOKUP(A8,Equip!A:A,Equip!B:B)</f>
        <v>银制头盔</v>
      </c>
      <c r="F8" s="34" t="str">
        <f>_xlfn.XLOOKUP(E8,Equip!B:B,Equip!C:C,,0)</f>
        <v>头盔</v>
      </c>
      <c r="G8" s="27" t="s">
        <v>155</v>
      </c>
      <c r="H8" s="27"/>
      <c r="J8" s="4" t="s">
        <v>156</v>
      </c>
      <c r="K8" s="34" t="str">
        <f>_xlfn.XLOOKUP(E8,Equip!E:E,Equip!H:H)</f>
        <v>12001</v>
      </c>
      <c r="L8" t="s">
        <v>31</v>
      </c>
    </row>
    <row r="9" s="25" customFormat="1" spans="1:12">
      <c r="A9" s="25">
        <v>1200102</v>
      </c>
      <c r="B9" s="25">
        <v>2</v>
      </c>
      <c r="C9" s="25">
        <v>6</v>
      </c>
      <c r="D9" s="25" t="s">
        <v>157</v>
      </c>
      <c r="E9" s="24" t="str">
        <f>_xlfn.XLOOKUP(A9,Equip!A:A,Equip!B:B)</f>
        <v>银制头盔</v>
      </c>
      <c r="F9" s="32" t="str">
        <f>_xlfn.XLOOKUP(E9,Equip!B:B,Equip!C:C,,0)</f>
        <v>头盔</v>
      </c>
      <c r="G9" s="25" t="s">
        <v>152</v>
      </c>
      <c r="H9" s="25"/>
      <c r="I9" s="25"/>
      <c r="J9" s="4" t="s">
        <v>158</v>
      </c>
      <c r="K9" s="32" t="str">
        <f>_xlfn.XLOOKUP(E9,Equip!E:E,Equip!H:H)</f>
        <v>12001</v>
      </c>
      <c r="L9" t="s">
        <v>31</v>
      </c>
    </row>
    <row r="10" s="26" customFormat="1" spans="1:12">
      <c r="A10" s="26">
        <v>1300101</v>
      </c>
      <c r="B10" s="26">
        <v>1</v>
      </c>
      <c r="C10" s="26">
        <v>6</v>
      </c>
      <c r="D10" s="26" t="s">
        <v>159</v>
      </c>
      <c r="E10" s="24" t="str">
        <f>_xlfn.XLOOKUP(A10,Equip!A:A,Equip!B:B)</f>
        <v>铸铁胸甲</v>
      </c>
      <c r="F10" s="33" t="str">
        <f>_xlfn.XLOOKUP(E10,Equip!B:B,Equip!C:C,,0)</f>
        <v>胸甲</v>
      </c>
      <c r="G10" s="26" t="s">
        <v>160</v>
      </c>
      <c r="H10" s="26"/>
      <c r="I10" s="26"/>
      <c r="J10" s="4" t="s">
        <v>161</v>
      </c>
      <c r="K10" s="33" t="str">
        <f>_xlfn.XLOOKUP(E10,Equip!E:E,Equip!H:H)</f>
        <v>13001</v>
      </c>
      <c r="L10">
        <v>1300103</v>
      </c>
    </row>
    <row r="11" s="27" customFormat="1" spans="1:12">
      <c r="A11" s="27">
        <v>1300102</v>
      </c>
      <c r="B11" s="27">
        <v>1</v>
      </c>
      <c r="C11" s="27">
        <v>7</v>
      </c>
      <c r="D11" s="27" t="s">
        <v>162</v>
      </c>
      <c r="E11" s="24" t="str">
        <f>_xlfn.XLOOKUP(A11,Equip!A:A,Equip!B:B)</f>
        <v>皮制胸甲</v>
      </c>
      <c r="F11" s="34" t="str">
        <f>_xlfn.XLOOKUP(E11,Equip!B:B,Equip!C:C,,0)</f>
        <v>胸甲</v>
      </c>
      <c r="G11" s="27" t="s">
        <v>163</v>
      </c>
      <c r="H11" s="27"/>
      <c r="J11" s="4" t="s">
        <v>164</v>
      </c>
      <c r="K11" s="34" t="str">
        <f>_xlfn.XLOOKUP(E11,Equip!E:E,Equip!H:H)</f>
        <v>13001</v>
      </c>
      <c r="L11">
        <v>1300103</v>
      </c>
    </row>
    <row r="12" s="24" customFormat="1" spans="1:12">
      <c r="A12" s="24">
        <v>1300103</v>
      </c>
      <c r="B12" s="24">
        <v>1</v>
      </c>
      <c r="C12" s="24">
        <v>7</v>
      </c>
      <c r="D12" s="24" t="s">
        <v>165</v>
      </c>
      <c r="E12" s="24" t="str">
        <f>_xlfn.XLOOKUP(A12,Equip!A:A,Equip!B:B)</f>
        <v>铁锁胸甲</v>
      </c>
      <c r="F12" s="31" t="str">
        <f>_xlfn.XLOOKUP(E12,Equip!B:B,Equip!C:C,,0)</f>
        <v>胸甲</v>
      </c>
      <c r="G12" s="24" t="s">
        <v>160</v>
      </c>
      <c r="J12" s="4" t="s">
        <v>166</v>
      </c>
      <c r="K12" s="31" t="str">
        <f>_xlfn.XLOOKUP(E12,Equip!E:E,Equip!H:H)</f>
        <v>13001</v>
      </c>
      <c r="L12">
        <v>1300103</v>
      </c>
    </row>
    <row r="13" s="24" customFormat="1" spans="1:12">
      <c r="A13" s="24">
        <v>1400102</v>
      </c>
      <c r="B13" s="24">
        <v>1</v>
      </c>
      <c r="C13" s="24">
        <v>7</v>
      </c>
      <c r="D13" s="24" t="s">
        <v>167</v>
      </c>
      <c r="E13" s="24" t="str">
        <f>_xlfn.XLOOKUP(A13,Equip!A:A,Equip!B:B)</f>
        <v>钢制腿甲</v>
      </c>
      <c r="F13" s="31" t="str">
        <f>_xlfn.XLOOKUP(E13,Equip!B:B,Equip!C:C,,0)</f>
        <v>裤子</v>
      </c>
      <c r="G13" s="24" t="s">
        <v>168</v>
      </c>
      <c r="J13" s="4" t="s">
        <v>169</v>
      </c>
      <c r="K13" s="31" t="str">
        <f>_xlfn.XLOOKUP(E13,Equip!E:E,Equip!H:H)</f>
        <v>14001</v>
      </c>
      <c r="L13">
        <v>1300103</v>
      </c>
    </row>
    <row r="14" spans="1:12">
      <c r="A14">
        <v>1500103</v>
      </c>
      <c r="B14">
        <v>1</v>
      </c>
      <c r="C14">
        <v>6</v>
      </c>
      <c r="D14" t="s">
        <v>170</v>
      </c>
      <c r="E14" s="24" t="str">
        <f>_xlfn.XLOOKUP(A14,Equip!A:A,Equip!B:B)</f>
        <v>符文靴</v>
      </c>
      <c r="F14" t="str">
        <f>_xlfn.XLOOKUP(E14,Equip!B:B,Equip!C:C,,0)</f>
        <v>鞋子</v>
      </c>
      <c r="G14" t="s">
        <v>171</v>
      </c>
      <c r="J14" s="4" t="s">
        <v>172</v>
      </c>
      <c r="K14" t="str">
        <f>_xlfn.XLOOKUP(E14,Equip!E:E,Equip!H:H)</f>
        <v>15001</v>
      </c>
      <c r="L14">
        <v>1400102</v>
      </c>
    </row>
    <row r="15" s="24" customFormat="1" spans="1:12">
      <c r="A15" s="24">
        <v>1500103</v>
      </c>
      <c r="B15" s="24">
        <v>2</v>
      </c>
      <c r="C15" s="24">
        <v>6</v>
      </c>
      <c r="D15" s="24" t="s">
        <v>173</v>
      </c>
      <c r="E15" s="24" t="str">
        <f>_xlfn.XLOOKUP(A15,Equip!A:A,Equip!B:B)</f>
        <v>符文靴</v>
      </c>
      <c r="F15" s="31" t="str">
        <f>_xlfn.XLOOKUP(E15,Equip!B:B,Equip!C:C,,0)</f>
        <v>鞋子</v>
      </c>
      <c r="G15" s="24" t="s">
        <v>174</v>
      </c>
      <c r="J15" s="4" t="s">
        <v>175</v>
      </c>
      <c r="K15" s="31" t="str">
        <f>_xlfn.XLOOKUP(E15,Equip!E:E,Equip!H:H)</f>
        <v>15001</v>
      </c>
      <c r="L15">
        <v>1400102</v>
      </c>
    </row>
    <row r="16" s="24" customFormat="1" spans="1:12">
      <c r="A16" s="24">
        <v>1500103</v>
      </c>
      <c r="B16" s="24">
        <v>3</v>
      </c>
      <c r="C16" s="24">
        <v>6</v>
      </c>
      <c r="D16" s="24" t="s">
        <v>176</v>
      </c>
      <c r="E16" s="24" t="str">
        <f>_xlfn.XLOOKUP(A16,Equip!A:A,Equip!B:B)</f>
        <v>符文靴</v>
      </c>
      <c r="F16" s="31" t="str">
        <f>_xlfn.XLOOKUP(E16,Equip!B:B,Equip!C:C,,0)</f>
        <v>鞋子</v>
      </c>
      <c r="G16" s="24" t="s">
        <v>177</v>
      </c>
      <c r="J16" s="4" t="s">
        <v>178</v>
      </c>
      <c r="K16" s="31" t="str">
        <f>_xlfn.XLOOKUP(E16,Equip!E:E,Equip!H:H)</f>
        <v>15001</v>
      </c>
      <c r="L16">
        <v>1400102</v>
      </c>
    </row>
    <row r="17" s="26" customFormat="1" spans="1:12">
      <c r="A17" s="26">
        <v>1600101</v>
      </c>
      <c r="B17" s="26">
        <v>1</v>
      </c>
      <c r="C17" s="26">
        <v>6</v>
      </c>
      <c r="D17" s="26" t="s">
        <v>179</v>
      </c>
      <c r="E17" s="24" t="str">
        <f>_xlfn.XLOOKUP(A17,Equip!A:A,Equip!B:B)</f>
        <v>铸铁护手</v>
      </c>
      <c r="F17" s="26" t="str">
        <f>_xlfn.XLOOKUP(E17,Equip!B:B,Equip!C:C,,0)</f>
        <v>手套</v>
      </c>
      <c r="G17" s="26" t="s">
        <v>180</v>
      </c>
      <c r="J17" s="4" t="s">
        <v>181</v>
      </c>
      <c r="K17" s="26" t="str">
        <f>_xlfn.XLOOKUP(E17,Equip!E:E,Equip!H:H)</f>
        <v>16001</v>
      </c>
      <c r="L17">
        <v>1400103</v>
      </c>
    </row>
    <row r="18" s="26" customFormat="1" spans="1:12">
      <c r="A18" s="26">
        <v>1600101</v>
      </c>
      <c r="B18" s="26">
        <v>2</v>
      </c>
      <c r="C18" s="26">
        <v>6</v>
      </c>
      <c r="D18" s="26" t="s">
        <v>182</v>
      </c>
      <c r="E18" s="24" t="str">
        <f>_xlfn.XLOOKUP(A18,Equip!A:A,Equip!B:B)</f>
        <v>铸铁护手</v>
      </c>
      <c r="F18" s="26" t="str">
        <f>_xlfn.XLOOKUP(E18,Equip!B:B,Equip!C:C,,0)</f>
        <v>手套</v>
      </c>
      <c r="G18" s="26" t="s">
        <v>183</v>
      </c>
      <c r="J18" s="4" t="s">
        <v>184</v>
      </c>
      <c r="K18" s="26" t="str">
        <f>_xlfn.XLOOKUP(E18,Equip!E:E,Equip!H:H)</f>
        <v>16001</v>
      </c>
      <c r="L18">
        <v>1400103</v>
      </c>
    </row>
    <row r="19" s="26" customFormat="1" spans="1:12">
      <c r="A19" s="26">
        <v>1600101</v>
      </c>
      <c r="B19" s="26">
        <v>3</v>
      </c>
      <c r="C19" s="26">
        <v>6</v>
      </c>
      <c r="D19" s="26" t="s">
        <v>185</v>
      </c>
      <c r="E19" s="24" t="str">
        <f>_xlfn.XLOOKUP(A19,Equip!A:A,Equip!B:B)</f>
        <v>铸铁护手</v>
      </c>
      <c r="F19" s="26" t="str">
        <f>_xlfn.XLOOKUP(E19,Equip!B:B,Equip!C:C,,0)</f>
        <v>手套</v>
      </c>
      <c r="G19" s="26" t="s">
        <v>186</v>
      </c>
      <c r="J19" s="4" t="s">
        <v>187</v>
      </c>
      <c r="K19" s="26" t="str">
        <f>_xlfn.XLOOKUP(E19,Equip!E:E,Equip!H:H)</f>
        <v>16001</v>
      </c>
      <c r="L19">
        <v>1400103</v>
      </c>
    </row>
    <row r="20" s="26" customFormat="1" spans="1:12">
      <c r="A20" s="26">
        <v>1600101</v>
      </c>
      <c r="B20" s="26">
        <v>4</v>
      </c>
      <c r="C20" s="26">
        <v>7</v>
      </c>
      <c r="D20" s="26" t="s">
        <v>188</v>
      </c>
      <c r="E20" s="24" t="str">
        <f>_xlfn.XLOOKUP(A20,Equip!A:A,Equip!B:B)</f>
        <v>铸铁护手</v>
      </c>
      <c r="F20" s="26" t="str">
        <f>_xlfn.XLOOKUP(E20,Equip!B:B,Equip!C:C,,0)</f>
        <v>手套</v>
      </c>
      <c r="G20" s="26" t="s">
        <v>189</v>
      </c>
      <c r="J20" s="4" t="s">
        <v>190</v>
      </c>
      <c r="K20" s="26" t="str">
        <f>_xlfn.XLOOKUP(E20,Equip!E:E,Equip!H:H)</f>
        <v>16001</v>
      </c>
      <c r="L20">
        <v>1400103</v>
      </c>
    </row>
    <row r="21" s="28" customFormat="1" spans="1:12">
      <c r="A21" s="28">
        <v>1600102</v>
      </c>
      <c r="B21" s="28">
        <v>1</v>
      </c>
      <c r="C21" s="28">
        <v>6</v>
      </c>
      <c r="D21" s="28" t="s">
        <v>191</v>
      </c>
      <c r="E21" s="24" t="str">
        <f>_xlfn.XLOOKUP(A21,Equip!A:A,Equip!B:B)</f>
        <v>皮制护手</v>
      </c>
      <c r="F21" s="28" t="str">
        <f>_xlfn.XLOOKUP(E21,Equip!B:B,Equip!C:C,,0)</f>
        <v>手套</v>
      </c>
      <c r="G21" s="28" t="s">
        <v>192</v>
      </c>
      <c r="J21" s="4" t="s">
        <v>193</v>
      </c>
      <c r="K21" s="28" t="str">
        <f>_xlfn.XLOOKUP(E21,Equip!E:E,Equip!H:H)</f>
        <v>16001</v>
      </c>
      <c r="L21">
        <v>1400103</v>
      </c>
    </row>
    <row r="22" s="28" customFormat="1" spans="1:12">
      <c r="A22" s="28">
        <v>1600102</v>
      </c>
      <c r="B22" s="28">
        <v>2</v>
      </c>
      <c r="C22" s="28">
        <v>7</v>
      </c>
      <c r="D22" s="28" t="s">
        <v>194</v>
      </c>
      <c r="E22" s="24" t="str">
        <f>_xlfn.XLOOKUP(A22,Equip!A:A,Equip!B:B)</f>
        <v>皮制护手</v>
      </c>
      <c r="F22" s="28" t="str">
        <f>_xlfn.XLOOKUP(E22,Equip!B:B,Equip!C:C,,0)</f>
        <v>手套</v>
      </c>
      <c r="G22" s="28" t="s">
        <v>195</v>
      </c>
      <c r="J22" s="4" t="s">
        <v>196</v>
      </c>
      <c r="K22" s="28" t="str">
        <f>_xlfn.XLOOKUP(E22,Equip!E:E,Equip!H:H)</f>
        <v>16001</v>
      </c>
      <c r="L22">
        <v>1400103</v>
      </c>
    </row>
    <row r="23" s="24" customFormat="1" spans="1:12">
      <c r="A23" s="24">
        <v>1700104</v>
      </c>
      <c r="B23" s="24">
        <v>1</v>
      </c>
      <c r="C23" s="24">
        <v>8</v>
      </c>
      <c r="D23" s="24" t="s">
        <v>197</v>
      </c>
      <c r="E23" s="24" t="str">
        <f>_xlfn.XLOOKUP(A23,Equip!A:A,Equip!B:B)</f>
        <v>华丽礼花</v>
      </c>
      <c r="F23" s="31" t="str">
        <f>_xlfn.XLOOKUP(E23,Equip!B:B,Equip!C:C,,0)</f>
        <v>礼花</v>
      </c>
      <c r="G23" s="24" t="s">
        <v>198</v>
      </c>
      <c r="J23" s="4" t="s">
        <v>199</v>
      </c>
      <c r="K23" s="31" t="str">
        <f>_xlfn.XLOOKUP(E23,Equip!E:E,Equip!H:H)</f>
        <v>17001</v>
      </c>
      <c r="L23">
        <v>1300103</v>
      </c>
    </row>
    <row r="24" s="24" customFormat="1" spans="1:12">
      <c r="A24" s="24">
        <v>1800103</v>
      </c>
      <c r="B24" s="24">
        <v>1</v>
      </c>
      <c r="C24" s="24">
        <v>7</v>
      </c>
      <c r="D24" s="24" t="s">
        <v>200</v>
      </c>
      <c r="E24" s="24" t="str">
        <f>_xlfn.XLOOKUP(A24,Equip!A:A,Equip!B:B)</f>
        <v>珠光耳环</v>
      </c>
      <c r="F24" s="31" t="str">
        <f>_xlfn.XLOOKUP(E24,Equip!B:B,Equip!C:C,,0)</f>
        <v>耳环</v>
      </c>
      <c r="G24" s="24" t="s">
        <v>198</v>
      </c>
      <c r="J24" s="4" t="s">
        <v>201</v>
      </c>
      <c r="K24" s="31" t="str">
        <f>_xlfn.XLOOKUP(E24,Equip!E:E,Equip!H:H)</f>
        <v>18001</v>
      </c>
      <c r="L24">
        <v>1300103</v>
      </c>
    </row>
    <row r="25" s="29" customFormat="1" spans="1:12">
      <c r="A25" s="29">
        <v>1900101</v>
      </c>
      <c r="B25" s="29">
        <v>1</v>
      </c>
      <c r="C25" s="29">
        <v>7</v>
      </c>
      <c r="D25" s="29" t="s">
        <v>202</v>
      </c>
      <c r="E25" s="24" t="str">
        <f>_xlfn.XLOOKUP(A25,Equip!A:A,Equip!B:B)</f>
        <v>精铁项链</v>
      </c>
      <c r="F25" s="29" t="str">
        <f>_xlfn.XLOOKUP(E25,Equip!B:B,Equip!C:C,,0)</f>
        <v>项链</v>
      </c>
      <c r="G25" s="29" t="s">
        <v>203</v>
      </c>
      <c r="J25" s="4" t="s">
        <v>204</v>
      </c>
      <c r="K25" s="29" t="str">
        <f>_xlfn.XLOOKUP(E25,Equip!E:E,Equip!H:H)</f>
        <v>19001</v>
      </c>
      <c r="L25">
        <v>1400102</v>
      </c>
    </row>
    <row r="26" s="29" customFormat="1" spans="1:12">
      <c r="A26" s="29">
        <v>1900101</v>
      </c>
      <c r="B26" s="29">
        <v>2</v>
      </c>
      <c r="C26" s="29">
        <v>7</v>
      </c>
      <c r="D26" s="29" t="s">
        <v>205</v>
      </c>
      <c r="E26" s="24" t="str">
        <f>_xlfn.XLOOKUP(A26,Equip!A:A,Equip!B:B)</f>
        <v>精铁项链</v>
      </c>
      <c r="F26" s="29" t="str">
        <f>_xlfn.XLOOKUP(E26,Equip!B:B,Equip!C:C,,0)</f>
        <v>项链</v>
      </c>
      <c r="G26" s="29" t="s">
        <v>206</v>
      </c>
      <c r="J26" s="4" t="s">
        <v>207</v>
      </c>
      <c r="K26" s="29" t="str">
        <f>_xlfn.XLOOKUP(E26,Equip!E:E,Equip!H:H)</f>
        <v>19001</v>
      </c>
      <c r="L26">
        <v>1400102</v>
      </c>
    </row>
    <row r="27" s="24" customFormat="1" spans="1:12">
      <c r="A27" s="24">
        <v>1900101</v>
      </c>
      <c r="B27" s="24">
        <v>3</v>
      </c>
      <c r="C27" s="24">
        <v>7</v>
      </c>
      <c r="D27" s="24" t="s">
        <v>208</v>
      </c>
      <c r="E27" s="24" t="str">
        <f>_xlfn.XLOOKUP(A27,Equip!A:A,Equip!B:B)</f>
        <v>精铁项链</v>
      </c>
      <c r="F27" s="31" t="str">
        <f>_xlfn.XLOOKUP(E27,Equip!B:B,Equip!C:C,,0)</f>
        <v>项链</v>
      </c>
      <c r="G27" s="24" t="s">
        <v>209</v>
      </c>
      <c r="J27" s="4" t="s">
        <v>210</v>
      </c>
      <c r="K27" s="31" t="str">
        <f>_xlfn.XLOOKUP(E27,Equip!E:E,Equip!H:H)</f>
        <v>19001</v>
      </c>
      <c r="L27">
        <v>1400102</v>
      </c>
    </row>
    <row r="28" customFormat="1" spans="1:12">
      <c r="A28">
        <v>1900102</v>
      </c>
      <c r="B28">
        <v>1</v>
      </c>
      <c r="C28">
        <v>6</v>
      </c>
      <c r="D28" t="s">
        <v>211</v>
      </c>
      <c r="E28" s="24" t="str">
        <f>_xlfn.XLOOKUP(A28,Equip!A:A,Equip!B:B)</f>
        <v>宝石项链</v>
      </c>
      <c r="F28" t="str">
        <f>_xlfn.XLOOKUP(E28,Equip!B:B,Equip!C:C,,0)</f>
        <v>项链</v>
      </c>
      <c r="G28" t="s">
        <v>212</v>
      </c>
      <c r="J28" s="4" t="s">
        <v>213</v>
      </c>
      <c r="K28" t="str">
        <f>_xlfn.XLOOKUP(E28,Equip!E:E,Equip!H:H)</f>
        <v>19001</v>
      </c>
      <c r="L28">
        <v>1400102</v>
      </c>
    </row>
    <row r="29" s="24" customFormat="1" spans="1:12">
      <c r="A29" s="24">
        <v>2000101</v>
      </c>
      <c r="B29" s="24">
        <v>1</v>
      </c>
      <c r="C29" s="24">
        <v>6</v>
      </c>
      <c r="D29" s="24" t="s">
        <v>214</v>
      </c>
      <c r="E29" s="24" t="str">
        <f>_xlfn.XLOOKUP(A29,Equip!A:A,Equip!B:B)</f>
        <v>精铁戒指</v>
      </c>
      <c r="F29" s="31" t="str">
        <f>_xlfn.XLOOKUP(E29,Equip!B:B,Equip!C:C,,0)</f>
        <v>戒指</v>
      </c>
      <c r="G29" s="24" t="s">
        <v>215</v>
      </c>
      <c r="J29" s="4" t="s">
        <v>216</v>
      </c>
      <c r="K29" s="31" t="str">
        <f>_xlfn.XLOOKUP(E29,Equip!E:E,Equip!H:H)</f>
        <v>20001</v>
      </c>
      <c r="L29">
        <v>1400103</v>
      </c>
    </row>
    <row r="30" s="24" customFormat="1" spans="1:12">
      <c r="A30" s="24">
        <v>2000102</v>
      </c>
      <c r="B30" s="24">
        <v>1</v>
      </c>
      <c r="C30" s="24">
        <v>6</v>
      </c>
      <c r="D30" s="24" t="s">
        <v>217</v>
      </c>
      <c r="E30" s="24" t="str">
        <f>_xlfn.XLOOKUP(A30,Equip!A:A,Equip!B:B)</f>
        <v>护法戒指</v>
      </c>
      <c r="F30" s="31" t="str">
        <f>_xlfn.XLOOKUP(E30,Equip!B:B,Equip!C:C,,0)</f>
        <v>戒指</v>
      </c>
      <c r="G30" s="24" t="s">
        <v>218</v>
      </c>
      <c r="J30" s="4" t="s">
        <v>219</v>
      </c>
      <c r="K30" s="31" t="str">
        <f>_xlfn.XLOOKUP(E30,Equip!E:E,Equip!H:H)</f>
        <v>20001</v>
      </c>
      <c r="L30">
        <v>1400103</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F12" sqref="F12"/>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220</v>
      </c>
      <c r="B1" s="5" t="s">
        <v>221</v>
      </c>
      <c r="C1" s="6" t="s">
        <v>222</v>
      </c>
      <c r="D1" s="6" t="s">
        <v>223</v>
      </c>
      <c r="E1" s="6" t="s">
        <v>224</v>
      </c>
      <c r="F1" s="6" t="s">
        <v>225</v>
      </c>
      <c r="G1" s="6" t="s">
        <v>226</v>
      </c>
      <c r="H1" s="6" t="s">
        <v>227</v>
      </c>
      <c r="I1" s="6" t="s">
        <v>228</v>
      </c>
    </row>
    <row r="2" ht="16.5" spans="1:9">
      <c r="A2" s="7" t="s">
        <v>229</v>
      </c>
      <c r="B2" s="7" t="s">
        <v>11</v>
      </c>
      <c r="C2" s="8" t="s">
        <v>230</v>
      </c>
      <c r="D2" s="8" t="s">
        <v>231</v>
      </c>
      <c r="E2" s="8" t="s">
        <v>232</v>
      </c>
      <c r="F2" s="8" t="s">
        <v>233</v>
      </c>
      <c r="G2" s="8" t="s">
        <v>234</v>
      </c>
      <c r="H2" s="8" t="s">
        <v>235</v>
      </c>
      <c r="I2" s="8" t="s">
        <v>236</v>
      </c>
    </row>
    <row r="3" ht="16.5" spans="1:9">
      <c r="A3" s="9" t="s">
        <v>20</v>
      </c>
      <c r="B3" s="22" t="s">
        <v>21</v>
      </c>
      <c r="C3" s="9" t="s">
        <v>23</v>
      </c>
      <c r="D3" s="9" t="s">
        <v>23</v>
      </c>
      <c r="E3" s="9" t="s">
        <v>22</v>
      </c>
      <c r="F3" s="9" t="s">
        <v>20</v>
      </c>
      <c r="G3" s="9" t="s">
        <v>20</v>
      </c>
      <c r="H3" s="9" t="s">
        <v>22</v>
      </c>
      <c r="I3" s="9" t="s">
        <v>58</v>
      </c>
    </row>
    <row r="4" spans="1:9">
      <c r="A4">
        <v>1</v>
      </c>
      <c r="B4" t="s">
        <v>237</v>
      </c>
      <c r="C4" s="23" t="s">
        <v>238</v>
      </c>
      <c r="D4" s="23" t="s">
        <v>239</v>
      </c>
      <c r="E4" s="23">
        <v>1</v>
      </c>
      <c r="F4" s="4">
        <v>1</v>
      </c>
      <c r="G4" s="4">
        <v>1</v>
      </c>
      <c r="H4" s="4">
        <v>0</v>
      </c>
      <c r="I4" t="s">
        <v>240</v>
      </c>
    </row>
    <row r="5" spans="1:9">
      <c r="A5">
        <v>3</v>
      </c>
      <c r="B5" t="s">
        <v>241</v>
      </c>
      <c r="C5" s="23" t="s">
        <v>242</v>
      </c>
      <c r="D5" s="23" t="s">
        <v>243</v>
      </c>
      <c r="E5" s="23">
        <v>2</v>
      </c>
      <c r="F5" s="4">
        <v>2</v>
      </c>
      <c r="G5" s="4">
        <v>2</v>
      </c>
      <c r="H5" s="4">
        <v>1</v>
      </c>
      <c r="I5" t="s">
        <v>244</v>
      </c>
    </row>
    <row r="6" spans="1:9">
      <c r="A6">
        <v>5</v>
      </c>
      <c r="B6" t="s">
        <v>245</v>
      </c>
      <c r="C6" s="23" t="s">
        <v>246</v>
      </c>
      <c r="D6" s="23" t="s">
        <v>247</v>
      </c>
      <c r="E6" s="23">
        <v>3</v>
      </c>
      <c r="F6" s="4">
        <v>3</v>
      </c>
      <c r="G6" s="4">
        <v>3</v>
      </c>
      <c r="H6" s="4">
        <v>1</v>
      </c>
      <c r="I6" t="s">
        <v>248</v>
      </c>
    </row>
    <row r="7" spans="1:9">
      <c r="A7">
        <v>6</v>
      </c>
      <c r="B7" t="s">
        <v>249</v>
      </c>
      <c r="C7" s="23" t="s">
        <v>250</v>
      </c>
      <c r="D7" s="23" t="s">
        <v>251</v>
      </c>
      <c r="E7" s="23">
        <v>6</v>
      </c>
      <c r="F7" s="4">
        <v>3</v>
      </c>
      <c r="G7" s="4">
        <v>3</v>
      </c>
      <c r="H7" s="4">
        <v>1</v>
      </c>
      <c r="I7" t="s">
        <v>252</v>
      </c>
    </row>
    <row r="8" spans="1:9">
      <c r="A8">
        <v>7</v>
      </c>
      <c r="B8" t="s">
        <v>253</v>
      </c>
      <c r="C8" s="23" t="s">
        <v>250</v>
      </c>
      <c r="D8" s="23" t="s">
        <v>251</v>
      </c>
      <c r="E8" s="23">
        <v>6</v>
      </c>
      <c r="F8" s="4">
        <v>3</v>
      </c>
      <c r="G8" s="4">
        <v>3</v>
      </c>
      <c r="H8" s="4">
        <v>1</v>
      </c>
      <c r="I8" t="s">
        <v>252</v>
      </c>
    </row>
    <row r="9" spans="1:9">
      <c r="A9">
        <v>8</v>
      </c>
      <c r="B9" t="s">
        <v>254</v>
      </c>
      <c r="C9" s="23" t="s">
        <v>250</v>
      </c>
      <c r="D9" s="23" t="s">
        <v>251</v>
      </c>
      <c r="E9" s="23">
        <v>6</v>
      </c>
      <c r="F9" s="4">
        <v>3</v>
      </c>
      <c r="G9" s="4">
        <v>3</v>
      </c>
      <c r="H9" s="4">
        <v>1</v>
      </c>
      <c r="I9" t="s">
        <v>252</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9" activePane="bottomRight" state="frozen"/>
      <selection/>
      <selection pane="topRight"/>
      <selection pane="bottomLeft"/>
      <selection pane="bottomRight" activeCell="B34" sqref="B34"/>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255</v>
      </c>
      <c r="C1" s="17" t="s">
        <v>256</v>
      </c>
      <c r="D1" s="17" t="s">
        <v>257</v>
      </c>
      <c r="E1" s="17" t="s">
        <v>258</v>
      </c>
      <c r="F1" s="17" t="s">
        <v>259</v>
      </c>
      <c r="G1" s="17" t="s">
        <v>260</v>
      </c>
      <c r="H1" s="17" t="s">
        <v>261</v>
      </c>
      <c r="I1" s="17" t="s">
        <v>262</v>
      </c>
      <c r="J1" s="17" t="s">
        <v>263</v>
      </c>
    </row>
    <row r="2" ht="16.5" spans="1:10">
      <c r="A2" s="19" t="s">
        <v>10</v>
      </c>
      <c r="B2" s="19" t="s">
        <v>264</v>
      </c>
      <c r="C2" s="19" t="s">
        <v>265</v>
      </c>
      <c r="D2" s="19" t="s">
        <v>50</v>
      </c>
      <c r="E2" s="19" t="s">
        <v>266</v>
      </c>
      <c r="F2" s="19" t="s">
        <v>267</v>
      </c>
      <c r="G2" s="19" t="s">
        <v>268</v>
      </c>
      <c r="H2" s="19" t="s">
        <v>269</v>
      </c>
      <c r="I2" s="19" t="s">
        <v>270</v>
      </c>
      <c r="J2" s="19" t="s">
        <v>271</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272</v>
      </c>
      <c r="E4">
        <v>10000</v>
      </c>
      <c r="F4">
        <v>9</v>
      </c>
      <c r="G4">
        <v>9</v>
      </c>
      <c r="H4">
        <v>1</v>
      </c>
      <c r="I4" t="str">
        <f t="shared" ref="I4:I67" si="0">_xlfn.TEXTJOIN("|",0,F4:G4)</f>
        <v>9|9</v>
      </c>
      <c r="J4" s="16">
        <v>0</v>
      </c>
    </row>
    <row r="5" spans="1:10">
      <c r="A5" s="17">
        <v>1100101</v>
      </c>
      <c r="B5" s="21">
        <v>4</v>
      </c>
      <c r="C5" s="21">
        <v>1</v>
      </c>
      <c r="D5" s="10" t="s">
        <v>272</v>
      </c>
      <c r="E5">
        <v>10000</v>
      </c>
      <c r="F5">
        <v>15</v>
      </c>
      <c r="G5">
        <v>15</v>
      </c>
      <c r="H5">
        <v>1</v>
      </c>
      <c r="I5" t="str">
        <f t="shared" si="0"/>
        <v>15|15</v>
      </c>
      <c r="J5" s="16">
        <v>0</v>
      </c>
    </row>
    <row r="6" spans="1:10">
      <c r="A6" s="17">
        <v>1100101</v>
      </c>
      <c r="B6" s="21">
        <v>8</v>
      </c>
      <c r="C6" s="21">
        <v>4</v>
      </c>
      <c r="D6" s="10" t="s">
        <v>272</v>
      </c>
      <c r="E6">
        <v>10000</v>
      </c>
      <c r="F6">
        <v>21</v>
      </c>
      <c r="G6">
        <v>21</v>
      </c>
      <c r="H6">
        <v>1</v>
      </c>
      <c r="I6" t="str">
        <f t="shared" si="0"/>
        <v>21|21</v>
      </c>
      <c r="J6" s="16">
        <v>0</v>
      </c>
    </row>
    <row r="7" spans="1:10">
      <c r="A7" s="17">
        <v>1100101</v>
      </c>
      <c r="B7" s="21">
        <v>13</v>
      </c>
      <c r="C7" s="21">
        <v>8</v>
      </c>
      <c r="D7" s="10" t="s">
        <v>272</v>
      </c>
      <c r="E7">
        <v>10000</v>
      </c>
      <c r="F7">
        <v>30</v>
      </c>
      <c r="G7">
        <v>30</v>
      </c>
      <c r="H7">
        <v>1</v>
      </c>
      <c r="I7" t="str">
        <f t="shared" si="0"/>
        <v>30|30</v>
      </c>
      <c r="J7" s="16">
        <v>0</v>
      </c>
    </row>
    <row r="8" spans="1:10">
      <c r="A8" s="17">
        <v>1100101</v>
      </c>
      <c r="B8" s="21">
        <v>19</v>
      </c>
      <c r="C8" s="21">
        <v>13</v>
      </c>
      <c r="D8" s="10" t="s">
        <v>272</v>
      </c>
      <c r="E8">
        <v>10000</v>
      </c>
      <c r="F8">
        <v>42</v>
      </c>
      <c r="G8">
        <v>42</v>
      </c>
      <c r="H8">
        <v>1</v>
      </c>
      <c r="I8" t="str">
        <f t="shared" si="0"/>
        <v>42|42</v>
      </c>
      <c r="J8" s="16">
        <v>0</v>
      </c>
    </row>
    <row r="9" spans="1:10">
      <c r="A9" s="17">
        <v>1100101</v>
      </c>
      <c r="B9" s="21">
        <v>25</v>
      </c>
      <c r="C9" s="21">
        <v>19</v>
      </c>
      <c r="D9" s="10" t="s">
        <v>272</v>
      </c>
      <c r="E9">
        <v>10000</v>
      </c>
      <c r="F9">
        <v>54</v>
      </c>
      <c r="G9">
        <v>54</v>
      </c>
      <c r="H9">
        <v>1</v>
      </c>
      <c r="I9" t="str">
        <f t="shared" si="0"/>
        <v>54|54</v>
      </c>
      <c r="J9" s="16">
        <v>0</v>
      </c>
    </row>
    <row r="10" spans="1:10">
      <c r="A10" s="17">
        <v>1100101</v>
      </c>
      <c r="B10" s="21">
        <v>31</v>
      </c>
      <c r="C10" s="21">
        <v>25</v>
      </c>
      <c r="D10" s="10" t="s">
        <v>272</v>
      </c>
      <c r="E10">
        <v>10000</v>
      </c>
      <c r="F10">
        <v>72</v>
      </c>
      <c r="G10">
        <v>72</v>
      </c>
      <c r="H10">
        <v>1</v>
      </c>
      <c r="I10" t="str">
        <f t="shared" si="0"/>
        <v>72|72</v>
      </c>
      <c r="J10" s="16">
        <v>0</v>
      </c>
    </row>
    <row r="11" s="16" customFormat="1" spans="1:10">
      <c r="A11" s="17">
        <v>1100101</v>
      </c>
      <c r="B11" s="21">
        <v>37</v>
      </c>
      <c r="C11" s="21">
        <v>31</v>
      </c>
      <c r="D11" s="10" t="s">
        <v>272</v>
      </c>
      <c r="E11">
        <v>10000</v>
      </c>
      <c r="F11">
        <v>90</v>
      </c>
      <c r="G11">
        <v>90</v>
      </c>
      <c r="H11">
        <v>1</v>
      </c>
      <c r="I11" t="str">
        <f t="shared" si="0"/>
        <v>90|90</v>
      </c>
      <c r="J11" s="16">
        <v>0</v>
      </c>
    </row>
    <row r="12" spans="1:10">
      <c r="A12" s="17">
        <v>1100101</v>
      </c>
      <c r="B12" s="21">
        <v>43</v>
      </c>
      <c r="C12" s="21">
        <v>37</v>
      </c>
      <c r="D12" s="10" t="s">
        <v>272</v>
      </c>
      <c r="E12">
        <v>10000</v>
      </c>
      <c r="F12">
        <v>120</v>
      </c>
      <c r="G12">
        <v>120</v>
      </c>
      <c r="H12">
        <v>1</v>
      </c>
      <c r="I12" t="str">
        <f t="shared" si="0"/>
        <v>120|120</v>
      </c>
      <c r="J12" s="16">
        <v>0</v>
      </c>
    </row>
    <row r="13" spans="1:10">
      <c r="A13" s="17">
        <v>1100101</v>
      </c>
      <c r="B13" s="21">
        <v>49</v>
      </c>
      <c r="C13" s="21">
        <v>43</v>
      </c>
      <c r="D13" s="10" t="s">
        <v>272</v>
      </c>
      <c r="E13">
        <v>10000</v>
      </c>
      <c r="F13">
        <v>150</v>
      </c>
      <c r="G13">
        <v>150</v>
      </c>
      <c r="H13">
        <v>1</v>
      </c>
      <c r="I13" t="str">
        <f t="shared" si="0"/>
        <v>150|150</v>
      </c>
      <c r="J13" s="16">
        <v>0</v>
      </c>
    </row>
    <row r="14" spans="1:10">
      <c r="A14" s="17">
        <v>1100101</v>
      </c>
      <c r="B14" s="21">
        <v>55</v>
      </c>
      <c r="C14" s="21">
        <v>49</v>
      </c>
      <c r="D14" s="10" t="s">
        <v>272</v>
      </c>
      <c r="E14">
        <v>10000</v>
      </c>
      <c r="F14">
        <v>180</v>
      </c>
      <c r="G14">
        <v>180</v>
      </c>
      <c r="H14">
        <v>1</v>
      </c>
      <c r="I14" t="str">
        <f t="shared" si="0"/>
        <v>180|180</v>
      </c>
      <c r="J14" s="16">
        <v>0</v>
      </c>
    </row>
    <row r="15" spans="1:10">
      <c r="A15" s="17">
        <v>1100101</v>
      </c>
      <c r="B15" s="21">
        <v>61</v>
      </c>
      <c r="C15" s="21">
        <v>55</v>
      </c>
      <c r="D15" s="10" t="s">
        <v>272</v>
      </c>
      <c r="E15">
        <v>10000</v>
      </c>
      <c r="F15">
        <v>240</v>
      </c>
      <c r="G15">
        <v>240</v>
      </c>
      <c r="H15">
        <v>1</v>
      </c>
      <c r="I15" t="str">
        <f t="shared" si="0"/>
        <v>240|240</v>
      </c>
      <c r="J15" s="16">
        <v>0</v>
      </c>
    </row>
    <row r="16" spans="1:10">
      <c r="A16" s="17">
        <v>1100101</v>
      </c>
      <c r="B16" s="21">
        <v>67</v>
      </c>
      <c r="C16" s="21">
        <v>61</v>
      </c>
      <c r="D16" s="10" t="s">
        <v>272</v>
      </c>
      <c r="E16">
        <v>10000</v>
      </c>
      <c r="F16">
        <v>330</v>
      </c>
      <c r="G16">
        <v>330</v>
      </c>
      <c r="H16">
        <v>1</v>
      </c>
      <c r="I16" t="str">
        <f t="shared" si="0"/>
        <v>330|330</v>
      </c>
      <c r="J16" s="16">
        <v>0</v>
      </c>
    </row>
    <row r="17" spans="1:10">
      <c r="A17" s="17">
        <v>1100101</v>
      </c>
      <c r="B17" s="21">
        <v>75</v>
      </c>
      <c r="C17" s="21">
        <v>67</v>
      </c>
      <c r="D17" s="10" t="s">
        <v>272</v>
      </c>
      <c r="E17">
        <v>10000</v>
      </c>
      <c r="F17">
        <v>450</v>
      </c>
      <c r="G17">
        <v>450</v>
      </c>
      <c r="H17">
        <v>1</v>
      </c>
      <c r="I17" t="str">
        <f t="shared" si="0"/>
        <v>450|450</v>
      </c>
      <c r="J17" s="16">
        <v>0</v>
      </c>
    </row>
    <row r="18" spans="1:10">
      <c r="A18" s="17">
        <v>1100101</v>
      </c>
      <c r="B18" s="21">
        <v>90</v>
      </c>
      <c r="C18" s="21">
        <v>75</v>
      </c>
      <c r="D18" s="10" t="s">
        <v>272</v>
      </c>
      <c r="E18">
        <v>10000</v>
      </c>
      <c r="F18">
        <v>495</v>
      </c>
      <c r="G18">
        <v>600</v>
      </c>
      <c r="H18">
        <v>1</v>
      </c>
      <c r="I18" t="str">
        <f t="shared" si="0"/>
        <v>495|600</v>
      </c>
      <c r="J18" s="16">
        <v>0</v>
      </c>
    </row>
    <row r="19" customFormat="1" spans="1:10">
      <c r="A19" s="17">
        <v>1100201</v>
      </c>
      <c r="B19" s="21">
        <v>1</v>
      </c>
      <c r="C19" s="21">
        <v>1</v>
      </c>
      <c r="D19" s="10" t="s">
        <v>273</v>
      </c>
      <c r="E19">
        <v>10000</v>
      </c>
      <c r="F19">
        <v>9</v>
      </c>
      <c r="G19">
        <v>9</v>
      </c>
      <c r="H19">
        <v>1</v>
      </c>
      <c r="I19" t="str">
        <f t="shared" si="0"/>
        <v>9|9</v>
      </c>
      <c r="J19" s="16">
        <v>0</v>
      </c>
    </row>
    <row r="20" customFormat="1" spans="1:10">
      <c r="A20" s="17">
        <v>1100201</v>
      </c>
      <c r="B20" s="21">
        <v>4</v>
      </c>
      <c r="C20" s="21">
        <v>1</v>
      </c>
      <c r="D20" s="10" t="s">
        <v>273</v>
      </c>
      <c r="E20">
        <v>10000</v>
      </c>
      <c r="F20">
        <v>15</v>
      </c>
      <c r="G20">
        <v>15</v>
      </c>
      <c r="H20">
        <v>1</v>
      </c>
      <c r="I20" t="str">
        <f t="shared" si="0"/>
        <v>15|15</v>
      </c>
      <c r="J20" s="16">
        <v>0</v>
      </c>
    </row>
    <row r="21" customFormat="1" spans="1:10">
      <c r="A21" s="17">
        <v>1100201</v>
      </c>
      <c r="B21" s="21">
        <v>8</v>
      </c>
      <c r="C21" s="21">
        <v>4</v>
      </c>
      <c r="D21" s="10" t="s">
        <v>273</v>
      </c>
      <c r="E21">
        <v>10000</v>
      </c>
      <c r="F21">
        <v>21</v>
      </c>
      <c r="G21">
        <v>21</v>
      </c>
      <c r="H21">
        <v>1</v>
      </c>
      <c r="I21" t="str">
        <f t="shared" si="0"/>
        <v>21|21</v>
      </c>
      <c r="J21" s="16">
        <v>0</v>
      </c>
    </row>
    <row r="22" customFormat="1" spans="1:10">
      <c r="A22" s="17">
        <v>1100201</v>
      </c>
      <c r="B22" s="21">
        <v>13</v>
      </c>
      <c r="C22" s="21">
        <v>8</v>
      </c>
      <c r="D22" s="10" t="s">
        <v>273</v>
      </c>
      <c r="E22">
        <v>10000</v>
      </c>
      <c r="F22">
        <v>30</v>
      </c>
      <c r="G22">
        <v>30</v>
      </c>
      <c r="H22">
        <v>1</v>
      </c>
      <c r="I22" t="str">
        <f t="shared" si="0"/>
        <v>30|30</v>
      </c>
      <c r="J22" s="16">
        <v>0</v>
      </c>
    </row>
    <row r="23" customFormat="1" spans="1:10">
      <c r="A23" s="17">
        <v>1100201</v>
      </c>
      <c r="B23" s="21">
        <v>19</v>
      </c>
      <c r="C23" s="21">
        <v>13</v>
      </c>
      <c r="D23" s="10" t="s">
        <v>273</v>
      </c>
      <c r="E23">
        <v>10000</v>
      </c>
      <c r="F23">
        <v>42</v>
      </c>
      <c r="G23">
        <v>42</v>
      </c>
      <c r="H23">
        <v>1</v>
      </c>
      <c r="I23" t="str">
        <f t="shared" si="0"/>
        <v>42|42</v>
      </c>
      <c r="J23" s="16">
        <v>0</v>
      </c>
    </row>
    <row r="24" customFormat="1" spans="1:10">
      <c r="A24" s="17">
        <v>1100201</v>
      </c>
      <c r="B24" s="21">
        <v>25</v>
      </c>
      <c r="C24" s="21">
        <v>19</v>
      </c>
      <c r="D24" s="10" t="s">
        <v>273</v>
      </c>
      <c r="E24">
        <v>10000</v>
      </c>
      <c r="F24">
        <v>54</v>
      </c>
      <c r="G24">
        <v>54</v>
      </c>
      <c r="H24">
        <v>1</v>
      </c>
      <c r="I24" t="str">
        <f t="shared" si="0"/>
        <v>54|54</v>
      </c>
      <c r="J24" s="16">
        <v>0</v>
      </c>
    </row>
    <row r="25" customFormat="1" spans="1:10">
      <c r="A25" s="17">
        <v>1100201</v>
      </c>
      <c r="B25" s="21">
        <v>31</v>
      </c>
      <c r="C25" s="21">
        <v>25</v>
      </c>
      <c r="D25" s="10" t="s">
        <v>273</v>
      </c>
      <c r="E25">
        <v>10000</v>
      </c>
      <c r="F25">
        <v>72</v>
      </c>
      <c r="G25">
        <v>72</v>
      </c>
      <c r="H25">
        <v>1</v>
      </c>
      <c r="I25" t="str">
        <f t="shared" si="0"/>
        <v>72|72</v>
      </c>
      <c r="J25" s="16">
        <v>0</v>
      </c>
    </row>
    <row r="26" customFormat="1" spans="1:10">
      <c r="A26" s="17">
        <v>1100201</v>
      </c>
      <c r="B26" s="21">
        <v>37</v>
      </c>
      <c r="C26" s="21">
        <v>31</v>
      </c>
      <c r="D26" s="10" t="s">
        <v>273</v>
      </c>
      <c r="E26">
        <v>10000</v>
      </c>
      <c r="F26">
        <v>90</v>
      </c>
      <c r="G26">
        <v>90</v>
      </c>
      <c r="H26">
        <v>1</v>
      </c>
      <c r="I26" t="str">
        <f t="shared" si="0"/>
        <v>90|90</v>
      </c>
      <c r="J26" s="16">
        <v>0</v>
      </c>
    </row>
    <row r="27" customFormat="1" spans="1:10">
      <c r="A27" s="17">
        <v>1100201</v>
      </c>
      <c r="B27" s="21">
        <v>43</v>
      </c>
      <c r="C27" s="21">
        <v>37</v>
      </c>
      <c r="D27" s="10" t="s">
        <v>273</v>
      </c>
      <c r="E27">
        <v>10000</v>
      </c>
      <c r="F27">
        <v>120</v>
      </c>
      <c r="G27">
        <v>120</v>
      </c>
      <c r="H27">
        <v>1</v>
      </c>
      <c r="I27" t="str">
        <f t="shared" si="0"/>
        <v>120|120</v>
      </c>
      <c r="J27" s="16">
        <v>0</v>
      </c>
    </row>
    <row r="28" customFormat="1" spans="1:10">
      <c r="A28" s="17">
        <v>1100201</v>
      </c>
      <c r="B28" s="21">
        <v>49</v>
      </c>
      <c r="C28" s="21">
        <v>43</v>
      </c>
      <c r="D28" s="10" t="s">
        <v>273</v>
      </c>
      <c r="E28">
        <v>10000</v>
      </c>
      <c r="F28">
        <v>150</v>
      </c>
      <c r="G28">
        <v>150</v>
      </c>
      <c r="H28">
        <v>1</v>
      </c>
      <c r="I28" t="str">
        <f t="shared" si="0"/>
        <v>150|150</v>
      </c>
      <c r="J28" s="16">
        <v>0</v>
      </c>
    </row>
    <row r="29" customFormat="1" spans="1:10">
      <c r="A29" s="17">
        <v>1100201</v>
      </c>
      <c r="B29" s="21">
        <v>55</v>
      </c>
      <c r="C29" s="21">
        <v>49</v>
      </c>
      <c r="D29" s="10" t="s">
        <v>273</v>
      </c>
      <c r="E29">
        <v>10000</v>
      </c>
      <c r="F29">
        <v>180</v>
      </c>
      <c r="G29">
        <v>180</v>
      </c>
      <c r="H29">
        <v>1</v>
      </c>
      <c r="I29" t="str">
        <f t="shared" si="0"/>
        <v>180|180</v>
      </c>
      <c r="J29" s="16">
        <v>0</v>
      </c>
    </row>
    <row r="30" customFormat="1" spans="1:10">
      <c r="A30" s="17">
        <v>1100201</v>
      </c>
      <c r="B30" s="21">
        <v>61</v>
      </c>
      <c r="C30" s="21">
        <v>55</v>
      </c>
      <c r="D30" s="10" t="s">
        <v>273</v>
      </c>
      <c r="E30">
        <v>10000</v>
      </c>
      <c r="F30">
        <v>240</v>
      </c>
      <c r="G30">
        <v>240</v>
      </c>
      <c r="H30">
        <v>1</v>
      </c>
      <c r="I30" t="str">
        <f t="shared" si="0"/>
        <v>240|240</v>
      </c>
      <c r="J30" s="16">
        <v>0</v>
      </c>
    </row>
    <row r="31" customFormat="1" spans="1:10">
      <c r="A31" s="17">
        <v>1100201</v>
      </c>
      <c r="B31" s="21">
        <v>67</v>
      </c>
      <c r="C31" s="21">
        <v>61</v>
      </c>
      <c r="D31" s="10" t="s">
        <v>273</v>
      </c>
      <c r="E31">
        <v>10000</v>
      </c>
      <c r="F31">
        <v>330</v>
      </c>
      <c r="G31">
        <v>330</v>
      </c>
      <c r="H31">
        <v>1</v>
      </c>
      <c r="I31" t="str">
        <f t="shared" si="0"/>
        <v>330|330</v>
      </c>
      <c r="J31" s="16">
        <v>0</v>
      </c>
    </row>
    <row r="32" customFormat="1" spans="1:10">
      <c r="A32" s="17">
        <v>1100201</v>
      </c>
      <c r="B32" s="21">
        <v>75</v>
      </c>
      <c r="C32" s="21">
        <v>67</v>
      </c>
      <c r="D32" s="10" t="s">
        <v>273</v>
      </c>
      <c r="E32">
        <v>10000</v>
      </c>
      <c r="F32">
        <v>450</v>
      </c>
      <c r="G32">
        <v>450</v>
      </c>
      <c r="H32">
        <v>1</v>
      </c>
      <c r="I32" t="str">
        <f t="shared" si="0"/>
        <v>450|450</v>
      </c>
      <c r="J32" s="16">
        <v>0</v>
      </c>
    </row>
    <row r="33" customFormat="1" spans="1:10">
      <c r="A33" s="17">
        <v>1100201</v>
      </c>
      <c r="B33" s="21">
        <v>90</v>
      </c>
      <c r="C33" s="21">
        <v>75</v>
      </c>
      <c r="D33" s="10" t="s">
        <v>273</v>
      </c>
      <c r="E33">
        <v>10000</v>
      </c>
      <c r="F33">
        <v>495</v>
      </c>
      <c r="G33">
        <v>600</v>
      </c>
      <c r="H33">
        <v>1</v>
      </c>
      <c r="I33" t="str">
        <f t="shared" si="0"/>
        <v>495|600</v>
      </c>
      <c r="J33" s="16">
        <v>0</v>
      </c>
    </row>
    <row r="34" customFormat="1" spans="1:10">
      <c r="A34" s="17">
        <v>1200101</v>
      </c>
      <c r="B34" s="21">
        <v>1</v>
      </c>
      <c r="C34" s="21">
        <v>1</v>
      </c>
      <c r="D34" s="10" t="s">
        <v>274</v>
      </c>
      <c r="E34">
        <v>10001</v>
      </c>
      <c r="F34" s="13">
        <v>17</v>
      </c>
      <c r="G34" s="13">
        <v>17</v>
      </c>
      <c r="H34">
        <v>1</v>
      </c>
      <c r="I34" t="str">
        <f t="shared" si="0"/>
        <v>17|17</v>
      </c>
      <c r="J34" s="16">
        <v>0</v>
      </c>
    </row>
    <row r="35" customFormat="1" spans="1:10">
      <c r="A35" s="17">
        <v>1200101</v>
      </c>
      <c r="B35" s="21">
        <v>4</v>
      </c>
      <c r="C35" s="21">
        <v>1</v>
      </c>
      <c r="D35" s="10" t="s">
        <v>274</v>
      </c>
      <c r="E35">
        <v>10001</v>
      </c>
      <c r="F35" s="13">
        <v>28</v>
      </c>
      <c r="G35" s="13">
        <v>28</v>
      </c>
      <c r="H35">
        <v>1</v>
      </c>
      <c r="I35" t="str">
        <f t="shared" si="0"/>
        <v>28|28</v>
      </c>
      <c r="J35" s="16">
        <v>0</v>
      </c>
    </row>
    <row r="36" customFormat="1" spans="1:10">
      <c r="A36" s="17">
        <v>1200101</v>
      </c>
      <c r="B36" s="21">
        <v>8</v>
      </c>
      <c r="C36" s="21">
        <v>4</v>
      </c>
      <c r="D36" s="10" t="s">
        <v>274</v>
      </c>
      <c r="E36">
        <v>10001</v>
      </c>
      <c r="F36" s="13">
        <v>40</v>
      </c>
      <c r="G36" s="13">
        <v>40</v>
      </c>
      <c r="H36">
        <v>1</v>
      </c>
      <c r="I36" t="str">
        <f t="shared" si="0"/>
        <v>40|40</v>
      </c>
      <c r="J36" s="16">
        <v>0</v>
      </c>
    </row>
    <row r="37" customFormat="1" spans="1:10">
      <c r="A37" s="17">
        <v>1200101</v>
      </c>
      <c r="B37" s="21">
        <v>13</v>
      </c>
      <c r="C37" s="21">
        <v>8</v>
      </c>
      <c r="D37" s="10" t="s">
        <v>274</v>
      </c>
      <c r="E37">
        <v>10001</v>
      </c>
      <c r="F37" s="13">
        <v>56</v>
      </c>
      <c r="G37" s="13">
        <v>56</v>
      </c>
      <c r="H37">
        <v>1</v>
      </c>
      <c r="I37" t="str">
        <f t="shared" si="0"/>
        <v>56|56</v>
      </c>
      <c r="J37" s="16">
        <v>0</v>
      </c>
    </row>
    <row r="38" customFormat="1" spans="1:10">
      <c r="A38" s="17">
        <v>1200101</v>
      </c>
      <c r="B38" s="21">
        <v>19</v>
      </c>
      <c r="C38" s="21">
        <v>13</v>
      </c>
      <c r="D38" s="10" t="s">
        <v>274</v>
      </c>
      <c r="E38">
        <v>10001</v>
      </c>
      <c r="F38" s="13">
        <v>79</v>
      </c>
      <c r="G38" s="13">
        <v>79</v>
      </c>
      <c r="H38">
        <v>1</v>
      </c>
      <c r="I38" t="str">
        <f t="shared" si="0"/>
        <v>79|79</v>
      </c>
      <c r="J38" s="16">
        <v>0</v>
      </c>
    </row>
    <row r="39" customFormat="1" spans="1:10">
      <c r="A39" s="17">
        <v>1200101</v>
      </c>
      <c r="B39" s="21">
        <v>25</v>
      </c>
      <c r="C39" s="21">
        <v>19</v>
      </c>
      <c r="D39" s="10" t="s">
        <v>274</v>
      </c>
      <c r="E39">
        <v>10001</v>
      </c>
      <c r="F39" s="13">
        <v>101</v>
      </c>
      <c r="G39" s="13">
        <v>101</v>
      </c>
      <c r="H39">
        <v>1</v>
      </c>
      <c r="I39" t="str">
        <f t="shared" si="0"/>
        <v>101|101</v>
      </c>
      <c r="J39" s="16">
        <v>0</v>
      </c>
    </row>
    <row r="40" customFormat="1" spans="1:10">
      <c r="A40" s="17">
        <v>1200101</v>
      </c>
      <c r="B40" s="21">
        <v>31</v>
      </c>
      <c r="C40" s="21">
        <v>25</v>
      </c>
      <c r="D40" s="10" t="s">
        <v>274</v>
      </c>
      <c r="E40">
        <v>10001</v>
      </c>
      <c r="F40" s="13">
        <v>135</v>
      </c>
      <c r="G40" s="13">
        <v>135</v>
      </c>
      <c r="H40">
        <v>1</v>
      </c>
      <c r="I40" t="str">
        <f t="shared" si="0"/>
        <v>135|135</v>
      </c>
      <c r="J40" s="16">
        <v>0</v>
      </c>
    </row>
    <row r="41" customFormat="1" spans="1:10">
      <c r="A41" s="17">
        <v>1200101</v>
      </c>
      <c r="B41" s="21">
        <v>37</v>
      </c>
      <c r="C41" s="21">
        <v>31</v>
      </c>
      <c r="D41" s="10" t="s">
        <v>274</v>
      </c>
      <c r="E41">
        <v>10001</v>
      </c>
      <c r="F41" s="13">
        <v>168</v>
      </c>
      <c r="G41" s="13">
        <v>168</v>
      </c>
      <c r="H41">
        <v>1</v>
      </c>
      <c r="I41" t="str">
        <f t="shared" si="0"/>
        <v>168|168</v>
      </c>
      <c r="J41" s="16">
        <v>0</v>
      </c>
    </row>
    <row r="42" customFormat="1" spans="1:10">
      <c r="A42" s="17">
        <v>1200101</v>
      </c>
      <c r="B42" s="21">
        <v>43</v>
      </c>
      <c r="C42" s="21">
        <v>37</v>
      </c>
      <c r="D42" s="10" t="s">
        <v>274</v>
      </c>
      <c r="E42">
        <v>10001</v>
      </c>
      <c r="F42" s="13">
        <v>224</v>
      </c>
      <c r="G42" s="13">
        <v>224</v>
      </c>
      <c r="H42">
        <v>1</v>
      </c>
      <c r="I42" t="str">
        <f t="shared" si="0"/>
        <v>224|224</v>
      </c>
      <c r="J42" s="16">
        <v>0</v>
      </c>
    </row>
    <row r="43" customFormat="1" spans="1:10">
      <c r="A43" s="17">
        <v>1200101</v>
      </c>
      <c r="B43" s="21">
        <v>49</v>
      </c>
      <c r="C43" s="21">
        <v>43</v>
      </c>
      <c r="D43" s="10" t="s">
        <v>274</v>
      </c>
      <c r="E43">
        <v>10001</v>
      </c>
      <c r="F43" s="13">
        <v>280</v>
      </c>
      <c r="G43" s="13">
        <v>280</v>
      </c>
      <c r="H43">
        <v>1</v>
      </c>
      <c r="I43" t="str">
        <f t="shared" si="0"/>
        <v>280|280</v>
      </c>
      <c r="J43" s="16">
        <v>0</v>
      </c>
    </row>
    <row r="44" customFormat="1" spans="1:10">
      <c r="A44" s="17">
        <v>1200101</v>
      </c>
      <c r="B44" s="21">
        <v>55</v>
      </c>
      <c r="C44" s="21">
        <v>49</v>
      </c>
      <c r="D44" s="10" t="s">
        <v>274</v>
      </c>
      <c r="E44">
        <v>10001</v>
      </c>
      <c r="F44" s="13">
        <v>336</v>
      </c>
      <c r="G44" s="13">
        <v>336</v>
      </c>
      <c r="H44">
        <v>1</v>
      </c>
      <c r="I44" t="str">
        <f t="shared" si="0"/>
        <v>336|336</v>
      </c>
      <c r="J44" s="16">
        <v>0</v>
      </c>
    </row>
    <row r="45" customFormat="1" spans="1:10">
      <c r="A45" s="17">
        <v>1200101</v>
      </c>
      <c r="B45" s="21">
        <v>61</v>
      </c>
      <c r="C45" s="21">
        <v>55</v>
      </c>
      <c r="D45" s="10" t="s">
        <v>274</v>
      </c>
      <c r="E45">
        <v>10001</v>
      </c>
      <c r="F45" s="13">
        <v>448</v>
      </c>
      <c r="G45" s="13">
        <v>448</v>
      </c>
      <c r="H45">
        <v>1</v>
      </c>
      <c r="I45" t="str">
        <f t="shared" si="0"/>
        <v>448|448</v>
      </c>
      <c r="J45" s="16">
        <v>0</v>
      </c>
    </row>
    <row r="46" customFormat="1" spans="1:10">
      <c r="A46" s="17">
        <v>1200101</v>
      </c>
      <c r="B46" s="21">
        <v>67</v>
      </c>
      <c r="C46" s="21">
        <v>61</v>
      </c>
      <c r="D46" s="10" t="s">
        <v>274</v>
      </c>
      <c r="E46">
        <v>10001</v>
      </c>
      <c r="F46" s="13">
        <v>616</v>
      </c>
      <c r="G46" s="13">
        <v>616</v>
      </c>
      <c r="H46">
        <v>1</v>
      </c>
      <c r="I46" t="str">
        <f t="shared" si="0"/>
        <v>616|616</v>
      </c>
      <c r="J46" s="16">
        <v>0</v>
      </c>
    </row>
    <row r="47" customFormat="1" spans="1:10">
      <c r="A47" s="17">
        <v>1200101</v>
      </c>
      <c r="B47" s="21">
        <v>75</v>
      </c>
      <c r="C47" s="21">
        <v>67</v>
      </c>
      <c r="D47" s="10" t="s">
        <v>274</v>
      </c>
      <c r="E47">
        <v>10001</v>
      </c>
      <c r="F47" s="13">
        <v>840</v>
      </c>
      <c r="G47" s="13">
        <v>840</v>
      </c>
      <c r="H47">
        <v>1</v>
      </c>
      <c r="I47" t="str">
        <f t="shared" si="0"/>
        <v>840|840</v>
      </c>
      <c r="J47" s="16">
        <v>0</v>
      </c>
    </row>
    <row r="48" customFormat="1" spans="1:10">
      <c r="A48" s="17">
        <v>1200101</v>
      </c>
      <c r="B48" s="21">
        <v>90</v>
      </c>
      <c r="C48" s="21">
        <v>75</v>
      </c>
      <c r="D48" s="10" t="s">
        <v>274</v>
      </c>
      <c r="E48">
        <v>10001</v>
      </c>
      <c r="F48" s="13">
        <v>1155</v>
      </c>
      <c r="G48" s="13">
        <v>1400</v>
      </c>
      <c r="H48">
        <v>1</v>
      </c>
      <c r="I48" t="str">
        <f t="shared" si="0"/>
        <v>1155|1400</v>
      </c>
      <c r="J48" s="16">
        <v>0</v>
      </c>
    </row>
    <row r="49" customFormat="1" spans="1:10">
      <c r="A49" s="17">
        <v>1300101</v>
      </c>
      <c r="B49" s="21">
        <v>1</v>
      </c>
      <c r="C49" s="21">
        <v>1</v>
      </c>
      <c r="D49" s="10" t="s">
        <v>275</v>
      </c>
      <c r="E49">
        <v>10001</v>
      </c>
      <c r="F49" s="13">
        <v>34</v>
      </c>
      <c r="G49" s="13">
        <v>34</v>
      </c>
      <c r="H49">
        <v>1</v>
      </c>
      <c r="I49" t="str">
        <f t="shared" si="0"/>
        <v>34|34</v>
      </c>
      <c r="J49" s="16">
        <v>0</v>
      </c>
    </row>
    <row r="50" customFormat="1" spans="1:10">
      <c r="A50" s="17">
        <v>1300101</v>
      </c>
      <c r="B50" s="21">
        <v>4</v>
      </c>
      <c r="C50" s="21">
        <v>1</v>
      </c>
      <c r="D50" s="10" t="s">
        <v>275</v>
      </c>
      <c r="E50">
        <v>10001</v>
      </c>
      <c r="F50" s="13">
        <v>56</v>
      </c>
      <c r="G50" s="13">
        <v>56</v>
      </c>
      <c r="H50">
        <v>1</v>
      </c>
      <c r="I50" t="str">
        <f t="shared" si="0"/>
        <v>56|56</v>
      </c>
      <c r="J50" s="16">
        <v>0</v>
      </c>
    </row>
    <row r="51" customFormat="1" spans="1:10">
      <c r="A51" s="17">
        <v>1300101</v>
      </c>
      <c r="B51" s="21">
        <v>8</v>
      </c>
      <c r="C51" s="21">
        <v>4</v>
      </c>
      <c r="D51" s="10" t="s">
        <v>275</v>
      </c>
      <c r="E51">
        <v>10001</v>
      </c>
      <c r="F51" s="13">
        <v>79</v>
      </c>
      <c r="G51" s="13">
        <v>79</v>
      </c>
      <c r="H51">
        <v>1</v>
      </c>
      <c r="I51" t="str">
        <f t="shared" si="0"/>
        <v>79|79</v>
      </c>
      <c r="J51" s="16">
        <v>0</v>
      </c>
    </row>
    <row r="52" customFormat="1" spans="1:10">
      <c r="A52" s="17">
        <v>1300101</v>
      </c>
      <c r="B52" s="21">
        <v>13</v>
      </c>
      <c r="C52" s="21">
        <v>8</v>
      </c>
      <c r="D52" s="10" t="s">
        <v>275</v>
      </c>
      <c r="E52">
        <v>10001</v>
      </c>
      <c r="F52" s="13">
        <v>112</v>
      </c>
      <c r="G52" s="13">
        <v>112</v>
      </c>
      <c r="H52">
        <v>1</v>
      </c>
      <c r="I52" t="str">
        <f t="shared" si="0"/>
        <v>112|112</v>
      </c>
      <c r="J52" s="16">
        <v>0</v>
      </c>
    </row>
    <row r="53" s="16" customFormat="1" spans="1:10">
      <c r="A53" s="17">
        <v>1300101</v>
      </c>
      <c r="B53" s="21">
        <v>19</v>
      </c>
      <c r="C53" s="21">
        <v>13</v>
      </c>
      <c r="D53" s="10" t="s">
        <v>275</v>
      </c>
      <c r="E53">
        <v>10001</v>
      </c>
      <c r="F53" s="13">
        <v>157</v>
      </c>
      <c r="G53" s="13">
        <v>157</v>
      </c>
      <c r="H53">
        <v>1</v>
      </c>
      <c r="I53" t="str">
        <f t="shared" si="0"/>
        <v>157|157</v>
      </c>
      <c r="J53" s="16">
        <v>0</v>
      </c>
    </row>
    <row r="54" spans="1:10">
      <c r="A54" s="17">
        <v>1300101</v>
      </c>
      <c r="B54" s="21">
        <v>25</v>
      </c>
      <c r="C54" s="21">
        <v>19</v>
      </c>
      <c r="D54" s="10" t="s">
        <v>275</v>
      </c>
      <c r="E54">
        <v>10001</v>
      </c>
      <c r="F54" s="13">
        <v>202</v>
      </c>
      <c r="G54" s="13">
        <v>202</v>
      </c>
      <c r="H54">
        <v>1</v>
      </c>
      <c r="I54" t="str">
        <f t="shared" si="0"/>
        <v>202|202</v>
      </c>
      <c r="J54" s="16">
        <v>0</v>
      </c>
    </row>
    <row r="55" spans="1:10">
      <c r="A55" s="17">
        <v>1300101</v>
      </c>
      <c r="B55" s="21">
        <v>31</v>
      </c>
      <c r="C55" s="21">
        <v>25</v>
      </c>
      <c r="D55" s="10" t="s">
        <v>275</v>
      </c>
      <c r="E55">
        <v>10001</v>
      </c>
      <c r="F55" s="13">
        <v>269</v>
      </c>
      <c r="G55" s="13">
        <v>269</v>
      </c>
      <c r="H55">
        <v>1</v>
      </c>
      <c r="I55" t="str">
        <f t="shared" si="0"/>
        <v>269|269</v>
      </c>
      <c r="J55" s="16">
        <v>0</v>
      </c>
    </row>
    <row r="56" spans="1:10">
      <c r="A56" s="17">
        <v>1300101</v>
      </c>
      <c r="B56" s="21">
        <v>37</v>
      </c>
      <c r="C56" s="21">
        <v>31</v>
      </c>
      <c r="D56" s="10" t="s">
        <v>275</v>
      </c>
      <c r="E56">
        <v>10001</v>
      </c>
      <c r="F56" s="13">
        <v>336</v>
      </c>
      <c r="G56" s="13">
        <v>336</v>
      </c>
      <c r="H56">
        <v>1</v>
      </c>
      <c r="I56" t="str">
        <f t="shared" si="0"/>
        <v>336|336</v>
      </c>
      <c r="J56" s="16">
        <v>0</v>
      </c>
    </row>
    <row r="57" spans="1:10">
      <c r="A57" s="17">
        <v>1300101</v>
      </c>
      <c r="B57" s="21">
        <v>43</v>
      </c>
      <c r="C57" s="21">
        <v>37</v>
      </c>
      <c r="D57" s="10" t="s">
        <v>275</v>
      </c>
      <c r="E57">
        <v>10001</v>
      </c>
      <c r="F57" s="13">
        <v>448</v>
      </c>
      <c r="G57" s="13">
        <v>448</v>
      </c>
      <c r="H57">
        <v>1</v>
      </c>
      <c r="I57" t="str">
        <f t="shared" si="0"/>
        <v>448|448</v>
      </c>
      <c r="J57" s="16">
        <v>0</v>
      </c>
    </row>
    <row r="58" spans="1:10">
      <c r="A58" s="17">
        <v>1300101</v>
      </c>
      <c r="B58" s="21">
        <v>49</v>
      </c>
      <c r="C58" s="21">
        <v>43</v>
      </c>
      <c r="D58" s="10" t="s">
        <v>275</v>
      </c>
      <c r="E58">
        <v>10001</v>
      </c>
      <c r="F58" s="13">
        <v>560</v>
      </c>
      <c r="G58" s="13">
        <v>560</v>
      </c>
      <c r="H58">
        <v>1</v>
      </c>
      <c r="I58" t="str">
        <f t="shared" si="0"/>
        <v>560|560</v>
      </c>
      <c r="J58" s="16">
        <v>0</v>
      </c>
    </row>
    <row r="59" spans="1:10">
      <c r="A59" s="17">
        <v>1300101</v>
      </c>
      <c r="B59" s="21">
        <v>55</v>
      </c>
      <c r="C59" s="21">
        <v>49</v>
      </c>
      <c r="D59" s="10" t="s">
        <v>275</v>
      </c>
      <c r="E59">
        <v>10001</v>
      </c>
      <c r="F59" s="13">
        <v>672</v>
      </c>
      <c r="G59" s="13">
        <v>672</v>
      </c>
      <c r="H59">
        <v>1</v>
      </c>
      <c r="I59" t="str">
        <f t="shared" si="0"/>
        <v>672|672</v>
      </c>
      <c r="J59" s="16">
        <v>0</v>
      </c>
    </row>
    <row r="60" customFormat="1" spans="1:10">
      <c r="A60" s="17">
        <v>1300101</v>
      </c>
      <c r="B60" s="21">
        <v>61</v>
      </c>
      <c r="C60" s="21">
        <v>55</v>
      </c>
      <c r="D60" s="10" t="s">
        <v>275</v>
      </c>
      <c r="E60">
        <v>10001</v>
      </c>
      <c r="F60" s="13">
        <v>896</v>
      </c>
      <c r="G60" s="13">
        <v>896</v>
      </c>
      <c r="H60">
        <v>1</v>
      </c>
      <c r="I60" t="str">
        <f t="shared" si="0"/>
        <v>896|896</v>
      </c>
      <c r="J60" s="16">
        <v>0</v>
      </c>
    </row>
    <row r="61" customFormat="1" spans="1:10">
      <c r="A61" s="17">
        <v>1300101</v>
      </c>
      <c r="B61" s="21">
        <v>67</v>
      </c>
      <c r="C61" s="21">
        <v>61</v>
      </c>
      <c r="D61" s="10" t="s">
        <v>275</v>
      </c>
      <c r="E61">
        <v>10001</v>
      </c>
      <c r="F61" s="13">
        <v>1232</v>
      </c>
      <c r="G61" s="13">
        <v>1232</v>
      </c>
      <c r="H61">
        <v>1</v>
      </c>
      <c r="I61" t="str">
        <f t="shared" si="0"/>
        <v>1232|1232</v>
      </c>
      <c r="J61" s="16">
        <v>0</v>
      </c>
    </row>
    <row r="62" customFormat="1" spans="1:10">
      <c r="A62" s="17">
        <v>1300101</v>
      </c>
      <c r="B62" s="21">
        <v>75</v>
      </c>
      <c r="C62" s="21">
        <v>67</v>
      </c>
      <c r="D62" s="10" t="s">
        <v>275</v>
      </c>
      <c r="E62">
        <v>10001</v>
      </c>
      <c r="F62" s="13">
        <v>1680</v>
      </c>
      <c r="G62" s="13">
        <v>1680</v>
      </c>
      <c r="H62">
        <v>1</v>
      </c>
      <c r="I62" t="str">
        <f t="shared" si="0"/>
        <v>1680|1680</v>
      </c>
      <c r="J62" s="16">
        <v>0</v>
      </c>
    </row>
    <row r="63" customFormat="1" spans="1:10">
      <c r="A63" s="17">
        <v>1300101</v>
      </c>
      <c r="B63" s="21">
        <v>90</v>
      </c>
      <c r="C63" s="21">
        <v>75</v>
      </c>
      <c r="D63" s="10" t="s">
        <v>275</v>
      </c>
      <c r="E63">
        <v>10001</v>
      </c>
      <c r="F63" s="13">
        <v>2310</v>
      </c>
      <c r="G63" s="13">
        <v>2800</v>
      </c>
      <c r="H63">
        <v>1</v>
      </c>
      <c r="I63" t="str">
        <f t="shared" si="0"/>
        <v>2310|2800</v>
      </c>
      <c r="J63" s="16">
        <v>0</v>
      </c>
    </row>
    <row r="64" s="16" customFormat="1" spans="1:10">
      <c r="A64" s="17">
        <v>1400101</v>
      </c>
      <c r="B64" s="21">
        <v>1</v>
      </c>
      <c r="C64" s="21">
        <v>1</v>
      </c>
      <c r="D64" s="10" t="s">
        <v>276</v>
      </c>
      <c r="E64">
        <v>10001</v>
      </c>
      <c r="F64" s="13">
        <v>17</v>
      </c>
      <c r="G64" s="13">
        <v>17</v>
      </c>
      <c r="H64">
        <v>1</v>
      </c>
      <c r="I64" t="str">
        <f t="shared" si="0"/>
        <v>17|17</v>
      </c>
      <c r="J64" s="16">
        <v>0</v>
      </c>
    </row>
    <row r="65" spans="1:10">
      <c r="A65" s="17">
        <v>1400101</v>
      </c>
      <c r="B65" s="21">
        <v>4</v>
      </c>
      <c r="C65" s="21">
        <v>1</v>
      </c>
      <c r="D65" s="10" t="s">
        <v>276</v>
      </c>
      <c r="E65">
        <v>10001</v>
      </c>
      <c r="F65" s="13">
        <v>28</v>
      </c>
      <c r="G65" s="13">
        <v>28</v>
      </c>
      <c r="H65">
        <v>1</v>
      </c>
      <c r="I65" t="str">
        <f t="shared" si="0"/>
        <v>28|28</v>
      </c>
      <c r="J65" s="16">
        <v>0</v>
      </c>
    </row>
    <row r="66" spans="1:10">
      <c r="A66" s="17">
        <v>1400101</v>
      </c>
      <c r="B66" s="21">
        <v>8</v>
      </c>
      <c r="C66" s="21">
        <v>4</v>
      </c>
      <c r="D66" s="10" t="s">
        <v>276</v>
      </c>
      <c r="E66">
        <v>10001</v>
      </c>
      <c r="F66" s="13">
        <v>40</v>
      </c>
      <c r="G66" s="13">
        <v>40</v>
      </c>
      <c r="H66">
        <v>1</v>
      </c>
      <c r="I66" t="str">
        <f t="shared" si="0"/>
        <v>40|40</v>
      </c>
      <c r="J66" s="16">
        <v>0</v>
      </c>
    </row>
    <row r="67" spans="1:10">
      <c r="A67" s="17">
        <v>1400101</v>
      </c>
      <c r="B67" s="21">
        <v>13</v>
      </c>
      <c r="C67" s="21">
        <v>8</v>
      </c>
      <c r="D67" s="10" t="s">
        <v>276</v>
      </c>
      <c r="E67">
        <v>10001</v>
      </c>
      <c r="F67" s="13">
        <v>56</v>
      </c>
      <c r="G67" s="13">
        <v>56</v>
      </c>
      <c r="H67">
        <v>1</v>
      </c>
      <c r="I67" t="str">
        <f t="shared" si="0"/>
        <v>56|56</v>
      </c>
      <c r="J67" s="16">
        <v>0</v>
      </c>
    </row>
    <row r="68" customFormat="1" spans="1:10">
      <c r="A68" s="17">
        <v>1400101</v>
      </c>
      <c r="B68" s="21">
        <v>19</v>
      </c>
      <c r="C68" s="21">
        <v>13</v>
      </c>
      <c r="D68" s="10" t="s">
        <v>276</v>
      </c>
      <c r="E68">
        <v>10001</v>
      </c>
      <c r="F68" s="13">
        <v>79</v>
      </c>
      <c r="G68" s="13">
        <v>79</v>
      </c>
      <c r="H68">
        <v>1</v>
      </c>
      <c r="I68" t="str">
        <f t="shared" ref="I68:I131" si="1">_xlfn.TEXTJOIN("|",0,F68:G68)</f>
        <v>79|79</v>
      </c>
      <c r="J68" s="16">
        <v>0</v>
      </c>
    </row>
    <row r="69" customFormat="1" spans="1:10">
      <c r="A69" s="17">
        <v>1400101</v>
      </c>
      <c r="B69" s="21">
        <v>25</v>
      </c>
      <c r="C69" s="21">
        <v>19</v>
      </c>
      <c r="D69" s="10" t="s">
        <v>276</v>
      </c>
      <c r="E69">
        <v>10001</v>
      </c>
      <c r="F69" s="13">
        <v>101</v>
      </c>
      <c r="G69" s="13">
        <v>101</v>
      </c>
      <c r="H69">
        <v>1</v>
      </c>
      <c r="I69" t="str">
        <f t="shared" si="1"/>
        <v>101|101</v>
      </c>
      <c r="J69" s="16">
        <v>0</v>
      </c>
    </row>
    <row r="70" customFormat="1" spans="1:10">
      <c r="A70" s="17">
        <v>1400101</v>
      </c>
      <c r="B70" s="21">
        <v>31</v>
      </c>
      <c r="C70" s="21">
        <v>25</v>
      </c>
      <c r="D70" s="10" t="s">
        <v>276</v>
      </c>
      <c r="E70">
        <v>10001</v>
      </c>
      <c r="F70" s="13">
        <v>135</v>
      </c>
      <c r="G70" s="13">
        <v>135</v>
      </c>
      <c r="H70">
        <v>1</v>
      </c>
      <c r="I70" t="str">
        <f t="shared" si="1"/>
        <v>135|135</v>
      </c>
      <c r="J70" s="16">
        <v>0</v>
      </c>
    </row>
    <row r="71" customFormat="1" spans="1:10">
      <c r="A71" s="17">
        <v>1400101</v>
      </c>
      <c r="B71" s="21">
        <v>37</v>
      </c>
      <c r="C71" s="21">
        <v>31</v>
      </c>
      <c r="D71" s="10" t="s">
        <v>276</v>
      </c>
      <c r="E71">
        <v>10001</v>
      </c>
      <c r="F71" s="13">
        <v>168</v>
      </c>
      <c r="G71" s="13">
        <v>168</v>
      </c>
      <c r="H71">
        <v>1</v>
      </c>
      <c r="I71" t="str">
        <f t="shared" si="1"/>
        <v>168|168</v>
      </c>
      <c r="J71" s="16">
        <v>0</v>
      </c>
    </row>
    <row r="72" customFormat="1" spans="1:10">
      <c r="A72" s="17">
        <v>1400101</v>
      </c>
      <c r="B72" s="21">
        <v>43</v>
      </c>
      <c r="C72" s="21">
        <v>37</v>
      </c>
      <c r="D72" s="10" t="s">
        <v>276</v>
      </c>
      <c r="E72">
        <v>10001</v>
      </c>
      <c r="F72" s="13">
        <v>224</v>
      </c>
      <c r="G72" s="13">
        <v>224</v>
      </c>
      <c r="H72">
        <v>1</v>
      </c>
      <c r="I72" t="str">
        <f t="shared" si="1"/>
        <v>224|224</v>
      </c>
      <c r="J72" s="16">
        <v>0</v>
      </c>
    </row>
    <row r="73" customFormat="1" spans="1:10">
      <c r="A73" s="17">
        <v>1400101</v>
      </c>
      <c r="B73" s="21">
        <v>49</v>
      </c>
      <c r="C73" s="21">
        <v>43</v>
      </c>
      <c r="D73" s="10" t="s">
        <v>276</v>
      </c>
      <c r="E73">
        <v>10001</v>
      </c>
      <c r="F73" s="13">
        <v>280</v>
      </c>
      <c r="G73" s="13">
        <v>280</v>
      </c>
      <c r="H73">
        <v>1</v>
      </c>
      <c r="I73" t="str">
        <f t="shared" si="1"/>
        <v>280|280</v>
      </c>
      <c r="J73" s="16">
        <v>0</v>
      </c>
    </row>
    <row r="74" customFormat="1" spans="1:10">
      <c r="A74" s="17">
        <v>1400101</v>
      </c>
      <c r="B74" s="21">
        <v>55</v>
      </c>
      <c r="C74" s="21">
        <v>49</v>
      </c>
      <c r="D74" s="10" t="s">
        <v>276</v>
      </c>
      <c r="E74">
        <v>10001</v>
      </c>
      <c r="F74" s="13">
        <v>336</v>
      </c>
      <c r="G74" s="13">
        <v>336</v>
      </c>
      <c r="H74">
        <v>1</v>
      </c>
      <c r="I74" t="str">
        <f t="shared" si="1"/>
        <v>336|336</v>
      </c>
      <c r="J74" s="16">
        <v>0</v>
      </c>
    </row>
    <row r="75" customFormat="1" spans="1:10">
      <c r="A75" s="17">
        <v>1400101</v>
      </c>
      <c r="B75" s="21">
        <v>61</v>
      </c>
      <c r="C75" s="21">
        <v>55</v>
      </c>
      <c r="D75" s="10" t="s">
        <v>276</v>
      </c>
      <c r="E75">
        <v>10001</v>
      </c>
      <c r="F75" s="13">
        <v>448</v>
      </c>
      <c r="G75" s="13">
        <v>448</v>
      </c>
      <c r="H75">
        <v>1</v>
      </c>
      <c r="I75" t="str">
        <f t="shared" si="1"/>
        <v>448|448</v>
      </c>
      <c r="J75" s="16">
        <v>0</v>
      </c>
    </row>
    <row r="76" customFormat="1" spans="1:10">
      <c r="A76" s="17">
        <v>1400101</v>
      </c>
      <c r="B76" s="21">
        <v>67</v>
      </c>
      <c r="C76" s="21">
        <v>61</v>
      </c>
      <c r="D76" s="10" t="s">
        <v>276</v>
      </c>
      <c r="E76">
        <v>10001</v>
      </c>
      <c r="F76" s="13">
        <v>616</v>
      </c>
      <c r="G76" s="13">
        <v>616</v>
      </c>
      <c r="H76">
        <v>1</v>
      </c>
      <c r="I76" t="str">
        <f t="shared" si="1"/>
        <v>616|616</v>
      </c>
      <c r="J76" s="16">
        <v>0</v>
      </c>
    </row>
    <row r="77" customFormat="1" spans="1:10">
      <c r="A77" s="17">
        <v>1400101</v>
      </c>
      <c r="B77" s="21">
        <v>75</v>
      </c>
      <c r="C77" s="21">
        <v>67</v>
      </c>
      <c r="D77" s="10" t="s">
        <v>276</v>
      </c>
      <c r="E77">
        <v>10001</v>
      </c>
      <c r="F77" s="13">
        <v>840</v>
      </c>
      <c r="G77" s="13">
        <v>840</v>
      </c>
      <c r="H77">
        <v>1</v>
      </c>
      <c r="I77" t="str">
        <f t="shared" si="1"/>
        <v>840|840</v>
      </c>
      <c r="J77" s="16">
        <v>0</v>
      </c>
    </row>
    <row r="78" customFormat="1" spans="1:10">
      <c r="A78" s="17">
        <v>1400101</v>
      </c>
      <c r="B78" s="21">
        <v>90</v>
      </c>
      <c r="C78" s="21">
        <v>75</v>
      </c>
      <c r="D78" s="10" t="s">
        <v>276</v>
      </c>
      <c r="E78">
        <v>10001</v>
      </c>
      <c r="F78" s="13">
        <v>1155</v>
      </c>
      <c r="G78" s="13">
        <v>1400</v>
      </c>
      <c r="H78">
        <v>1</v>
      </c>
      <c r="I78" t="str">
        <f t="shared" si="1"/>
        <v>1155|1400</v>
      </c>
      <c r="J78" s="16">
        <v>0</v>
      </c>
    </row>
    <row r="79" customFormat="1" spans="1:10">
      <c r="A79" s="17">
        <v>1500101</v>
      </c>
      <c r="B79" s="21">
        <v>1</v>
      </c>
      <c r="C79" s="21">
        <v>1</v>
      </c>
      <c r="D79" s="10" t="s">
        <v>277</v>
      </c>
      <c r="E79">
        <v>10001</v>
      </c>
      <c r="F79" s="13">
        <v>17</v>
      </c>
      <c r="G79" s="13">
        <v>17</v>
      </c>
      <c r="H79">
        <v>1</v>
      </c>
      <c r="I79" t="str">
        <f t="shared" si="1"/>
        <v>17|17</v>
      </c>
      <c r="J79" s="16">
        <v>0</v>
      </c>
    </row>
    <row r="80" customFormat="1" spans="1:10">
      <c r="A80" s="17">
        <v>1500101</v>
      </c>
      <c r="B80" s="21">
        <v>4</v>
      </c>
      <c r="C80" s="21">
        <v>1</v>
      </c>
      <c r="D80" s="10" t="s">
        <v>277</v>
      </c>
      <c r="E80">
        <v>10001</v>
      </c>
      <c r="F80" s="13">
        <v>28</v>
      </c>
      <c r="G80" s="13">
        <v>28</v>
      </c>
      <c r="H80">
        <v>1</v>
      </c>
      <c r="I80" t="str">
        <f t="shared" si="1"/>
        <v>28|28</v>
      </c>
      <c r="J80" s="16">
        <v>0</v>
      </c>
    </row>
    <row r="81" customFormat="1" spans="1:10">
      <c r="A81" s="17">
        <v>1500101</v>
      </c>
      <c r="B81" s="21">
        <v>8</v>
      </c>
      <c r="C81" s="21">
        <v>4</v>
      </c>
      <c r="D81" s="10" t="s">
        <v>277</v>
      </c>
      <c r="E81">
        <v>10001</v>
      </c>
      <c r="F81" s="13">
        <v>40</v>
      </c>
      <c r="G81" s="13">
        <v>40</v>
      </c>
      <c r="H81">
        <v>1</v>
      </c>
      <c r="I81" t="str">
        <f t="shared" si="1"/>
        <v>40|40</v>
      </c>
      <c r="J81" s="16">
        <v>0</v>
      </c>
    </row>
    <row r="82" customFormat="1" spans="1:10">
      <c r="A82" s="17">
        <v>1500101</v>
      </c>
      <c r="B82" s="21">
        <v>13</v>
      </c>
      <c r="C82" s="21">
        <v>8</v>
      </c>
      <c r="D82" s="10" t="s">
        <v>277</v>
      </c>
      <c r="E82">
        <v>10001</v>
      </c>
      <c r="F82" s="13">
        <v>56</v>
      </c>
      <c r="G82" s="13">
        <v>56</v>
      </c>
      <c r="H82">
        <v>1</v>
      </c>
      <c r="I82" t="str">
        <f t="shared" si="1"/>
        <v>56|56</v>
      </c>
      <c r="J82" s="16">
        <v>0</v>
      </c>
    </row>
    <row r="83" customFormat="1" spans="1:10">
      <c r="A83" s="17">
        <v>1500101</v>
      </c>
      <c r="B83" s="21">
        <v>19</v>
      </c>
      <c r="C83" s="21">
        <v>13</v>
      </c>
      <c r="D83" s="10" t="s">
        <v>277</v>
      </c>
      <c r="E83">
        <v>10001</v>
      </c>
      <c r="F83" s="13">
        <v>79</v>
      </c>
      <c r="G83" s="13">
        <v>79</v>
      </c>
      <c r="H83">
        <v>1</v>
      </c>
      <c r="I83" t="str">
        <f t="shared" si="1"/>
        <v>79|79</v>
      </c>
      <c r="J83" s="16">
        <v>0</v>
      </c>
    </row>
    <row r="84" customFormat="1" spans="1:10">
      <c r="A84" s="17">
        <v>1500101</v>
      </c>
      <c r="B84" s="21">
        <v>25</v>
      </c>
      <c r="C84" s="21">
        <v>19</v>
      </c>
      <c r="D84" s="10" t="s">
        <v>277</v>
      </c>
      <c r="E84">
        <v>10001</v>
      </c>
      <c r="F84" s="13">
        <v>101</v>
      </c>
      <c r="G84" s="13">
        <v>101</v>
      </c>
      <c r="H84">
        <v>1</v>
      </c>
      <c r="I84" t="str">
        <f t="shared" si="1"/>
        <v>101|101</v>
      </c>
      <c r="J84" s="16">
        <v>0</v>
      </c>
    </row>
    <row r="85" customFormat="1" spans="1:10">
      <c r="A85" s="17">
        <v>1500101</v>
      </c>
      <c r="B85" s="21">
        <v>31</v>
      </c>
      <c r="C85" s="21">
        <v>25</v>
      </c>
      <c r="D85" s="10" t="s">
        <v>277</v>
      </c>
      <c r="E85">
        <v>10001</v>
      </c>
      <c r="F85" s="13">
        <v>135</v>
      </c>
      <c r="G85" s="13">
        <v>135</v>
      </c>
      <c r="H85">
        <v>1</v>
      </c>
      <c r="I85" t="str">
        <f t="shared" si="1"/>
        <v>135|135</v>
      </c>
      <c r="J85" s="16">
        <v>0</v>
      </c>
    </row>
    <row r="86" customFormat="1" spans="1:10">
      <c r="A86" s="17">
        <v>1500101</v>
      </c>
      <c r="B86" s="21">
        <v>37</v>
      </c>
      <c r="C86" s="21">
        <v>31</v>
      </c>
      <c r="D86" s="10" t="s">
        <v>277</v>
      </c>
      <c r="E86">
        <v>10001</v>
      </c>
      <c r="F86" s="13">
        <v>168</v>
      </c>
      <c r="G86" s="13">
        <v>168</v>
      </c>
      <c r="H86">
        <v>1</v>
      </c>
      <c r="I86" t="str">
        <f t="shared" si="1"/>
        <v>168|168</v>
      </c>
      <c r="J86" s="16">
        <v>0</v>
      </c>
    </row>
    <row r="87" customFormat="1" spans="1:10">
      <c r="A87" s="17">
        <v>1500101</v>
      </c>
      <c r="B87" s="21">
        <v>43</v>
      </c>
      <c r="C87" s="21">
        <v>37</v>
      </c>
      <c r="D87" s="10" t="s">
        <v>277</v>
      </c>
      <c r="E87">
        <v>10001</v>
      </c>
      <c r="F87" s="13">
        <v>224</v>
      </c>
      <c r="G87" s="13">
        <v>224</v>
      </c>
      <c r="H87">
        <v>1</v>
      </c>
      <c r="I87" t="str">
        <f t="shared" si="1"/>
        <v>224|224</v>
      </c>
      <c r="J87" s="16">
        <v>0</v>
      </c>
    </row>
    <row r="88" customFormat="1" spans="1:10">
      <c r="A88" s="17">
        <v>1500101</v>
      </c>
      <c r="B88" s="21">
        <v>49</v>
      </c>
      <c r="C88" s="21">
        <v>43</v>
      </c>
      <c r="D88" s="10" t="s">
        <v>277</v>
      </c>
      <c r="E88">
        <v>10001</v>
      </c>
      <c r="F88" s="13">
        <v>280</v>
      </c>
      <c r="G88" s="13">
        <v>280</v>
      </c>
      <c r="H88">
        <v>1</v>
      </c>
      <c r="I88" t="str">
        <f t="shared" si="1"/>
        <v>280|280</v>
      </c>
      <c r="J88" s="16">
        <v>0</v>
      </c>
    </row>
    <row r="89" customFormat="1" spans="1:10">
      <c r="A89" s="17">
        <v>1500101</v>
      </c>
      <c r="B89" s="21">
        <v>55</v>
      </c>
      <c r="C89" s="21">
        <v>49</v>
      </c>
      <c r="D89" s="10" t="s">
        <v>277</v>
      </c>
      <c r="E89">
        <v>10001</v>
      </c>
      <c r="F89" s="13">
        <v>336</v>
      </c>
      <c r="G89" s="13">
        <v>336</v>
      </c>
      <c r="H89">
        <v>1</v>
      </c>
      <c r="I89" t="str">
        <f t="shared" si="1"/>
        <v>336|336</v>
      </c>
      <c r="J89" s="16">
        <v>0</v>
      </c>
    </row>
    <row r="90" customFormat="1" spans="1:10">
      <c r="A90" s="17">
        <v>1500101</v>
      </c>
      <c r="B90" s="21">
        <v>61</v>
      </c>
      <c r="C90" s="21">
        <v>55</v>
      </c>
      <c r="D90" s="10" t="s">
        <v>277</v>
      </c>
      <c r="E90">
        <v>10001</v>
      </c>
      <c r="F90" s="13">
        <v>448</v>
      </c>
      <c r="G90" s="13">
        <v>448</v>
      </c>
      <c r="H90">
        <v>1</v>
      </c>
      <c r="I90" t="str">
        <f t="shared" si="1"/>
        <v>448|448</v>
      </c>
      <c r="J90" s="16">
        <v>0</v>
      </c>
    </row>
    <row r="91" customFormat="1" spans="1:10">
      <c r="A91" s="17">
        <v>1500101</v>
      </c>
      <c r="B91" s="21">
        <v>67</v>
      </c>
      <c r="C91" s="21">
        <v>61</v>
      </c>
      <c r="D91" s="10" t="s">
        <v>277</v>
      </c>
      <c r="E91">
        <v>10001</v>
      </c>
      <c r="F91" s="13">
        <v>616</v>
      </c>
      <c r="G91" s="13">
        <v>616</v>
      </c>
      <c r="H91">
        <v>1</v>
      </c>
      <c r="I91" t="str">
        <f t="shared" si="1"/>
        <v>616|616</v>
      </c>
      <c r="J91" s="16">
        <v>0</v>
      </c>
    </row>
    <row r="92" customFormat="1" spans="1:10">
      <c r="A92" s="17">
        <v>1500101</v>
      </c>
      <c r="B92" s="21">
        <v>75</v>
      </c>
      <c r="C92" s="21">
        <v>67</v>
      </c>
      <c r="D92" s="10" t="s">
        <v>277</v>
      </c>
      <c r="E92">
        <v>10001</v>
      </c>
      <c r="F92" s="13">
        <v>840</v>
      </c>
      <c r="G92" s="13">
        <v>840</v>
      </c>
      <c r="H92">
        <v>1</v>
      </c>
      <c r="I92" t="str">
        <f t="shared" si="1"/>
        <v>840|840</v>
      </c>
      <c r="J92" s="16">
        <v>0</v>
      </c>
    </row>
    <row r="93" customFormat="1" spans="1:10">
      <c r="A93" s="17">
        <v>1500101</v>
      </c>
      <c r="B93" s="21">
        <v>90</v>
      </c>
      <c r="C93" s="21">
        <v>75</v>
      </c>
      <c r="D93" s="10" t="s">
        <v>277</v>
      </c>
      <c r="E93">
        <v>10001</v>
      </c>
      <c r="F93" s="13">
        <v>1155</v>
      </c>
      <c r="G93" s="13">
        <v>1400</v>
      </c>
      <c r="H93">
        <v>1</v>
      </c>
      <c r="I93" t="str">
        <f t="shared" si="1"/>
        <v>1155|1400</v>
      </c>
      <c r="J93" s="16">
        <v>0</v>
      </c>
    </row>
    <row r="94" customFormat="1" spans="1:10">
      <c r="A94" s="17">
        <v>1600101</v>
      </c>
      <c r="B94" s="21">
        <v>1</v>
      </c>
      <c r="C94" s="21">
        <v>1</v>
      </c>
      <c r="D94" s="10" t="s">
        <v>278</v>
      </c>
      <c r="E94">
        <v>10000</v>
      </c>
      <c r="F94">
        <v>6</v>
      </c>
      <c r="G94">
        <v>6</v>
      </c>
      <c r="H94">
        <v>1</v>
      </c>
      <c r="I94" t="str">
        <f t="shared" si="1"/>
        <v>6|6</v>
      </c>
      <c r="J94" s="16">
        <v>0</v>
      </c>
    </row>
    <row r="95" customFormat="1" spans="1:10">
      <c r="A95" s="17">
        <v>1600101</v>
      </c>
      <c r="B95" s="21">
        <v>4</v>
      </c>
      <c r="C95" s="21">
        <v>1</v>
      </c>
      <c r="D95" s="10" t="s">
        <v>278</v>
      </c>
      <c r="E95">
        <v>10000</v>
      </c>
      <c r="F95">
        <v>10</v>
      </c>
      <c r="G95">
        <v>10</v>
      </c>
      <c r="H95">
        <v>1</v>
      </c>
      <c r="I95" t="str">
        <f t="shared" si="1"/>
        <v>10|10</v>
      </c>
      <c r="J95" s="16">
        <v>0</v>
      </c>
    </row>
    <row r="96" customFormat="1" spans="1:10">
      <c r="A96" s="17">
        <v>1600101</v>
      </c>
      <c r="B96" s="21">
        <v>8</v>
      </c>
      <c r="C96" s="21">
        <v>4</v>
      </c>
      <c r="D96" s="10" t="s">
        <v>278</v>
      </c>
      <c r="E96">
        <v>10000</v>
      </c>
      <c r="F96">
        <v>14</v>
      </c>
      <c r="G96">
        <v>14</v>
      </c>
      <c r="H96">
        <v>1</v>
      </c>
      <c r="I96" t="str">
        <f t="shared" si="1"/>
        <v>14|14</v>
      </c>
      <c r="J96" s="16">
        <v>0</v>
      </c>
    </row>
    <row r="97" customFormat="1" spans="1:10">
      <c r="A97" s="17">
        <v>1600101</v>
      </c>
      <c r="B97" s="21">
        <v>13</v>
      </c>
      <c r="C97" s="21">
        <v>8</v>
      </c>
      <c r="D97" s="10" t="s">
        <v>278</v>
      </c>
      <c r="E97">
        <v>10000</v>
      </c>
      <c r="F97">
        <v>20</v>
      </c>
      <c r="G97">
        <v>20</v>
      </c>
      <c r="H97">
        <v>1</v>
      </c>
      <c r="I97" t="str">
        <f t="shared" si="1"/>
        <v>20|20</v>
      </c>
      <c r="J97" s="16">
        <v>0</v>
      </c>
    </row>
    <row r="98" customFormat="1" spans="1:10">
      <c r="A98" s="17">
        <v>1600101</v>
      </c>
      <c r="B98" s="21">
        <v>19</v>
      </c>
      <c r="C98" s="21">
        <v>13</v>
      </c>
      <c r="D98" s="10" t="s">
        <v>278</v>
      </c>
      <c r="E98">
        <v>10000</v>
      </c>
      <c r="F98">
        <v>28</v>
      </c>
      <c r="G98">
        <v>28</v>
      </c>
      <c r="H98">
        <v>1</v>
      </c>
      <c r="I98" t="str">
        <f t="shared" si="1"/>
        <v>28|28</v>
      </c>
      <c r="J98" s="16">
        <v>0</v>
      </c>
    </row>
    <row r="99" customFormat="1" spans="1:10">
      <c r="A99" s="17">
        <v>1600101</v>
      </c>
      <c r="B99" s="21">
        <v>25</v>
      </c>
      <c r="C99" s="21">
        <v>19</v>
      </c>
      <c r="D99" s="10" t="s">
        <v>278</v>
      </c>
      <c r="E99">
        <v>10000</v>
      </c>
      <c r="F99">
        <v>36</v>
      </c>
      <c r="G99">
        <v>36</v>
      </c>
      <c r="H99">
        <v>1</v>
      </c>
      <c r="I99" t="str">
        <f t="shared" si="1"/>
        <v>36|36</v>
      </c>
      <c r="J99" s="16">
        <v>0</v>
      </c>
    </row>
    <row r="100" customFormat="1" spans="1:10">
      <c r="A100" s="17">
        <v>1600101</v>
      </c>
      <c r="B100" s="21">
        <v>31</v>
      </c>
      <c r="C100" s="21">
        <v>25</v>
      </c>
      <c r="D100" s="10" t="s">
        <v>278</v>
      </c>
      <c r="E100">
        <v>10000</v>
      </c>
      <c r="F100">
        <v>48</v>
      </c>
      <c r="G100">
        <v>48</v>
      </c>
      <c r="H100">
        <v>1</v>
      </c>
      <c r="I100" t="str">
        <f t="shared" si="1"/>
        <v>48|48</v>
      </c>
      <c r="J100" s="16">
        <v>0</v>
      </c>
    </row>
    <row r="101" customFormat="1" spans="1:10">
      <c r="A101" s="17">
        <v>1600101</v>
      </c>
      <c r="B101" s="21">
        <v>37</v>
      </c>
      <c r="C101" s="21">
        <v>31</v>
      </c>
      <c r="D101" s="10" t="s">
        <v>278</v>
      </c>
      <c r="E101">
        <v>10000</v>
      </c>
      <c r="F101">
        <v>60</v>
      </c>
      <c r="G101">
        <v>60</v>
      </c>
      <c r="H101">
        <v>1</v>
      </c>
      <c r="I101" t="str">
        <f t="shared" si="1"/>
        <v>60|60</v>
      </c>
      <c r="J101" s="16">
        <v>0</v>
      </c>
    </row>
    <row r="102" customFormat="1" spans="1:10">
      <c r="A102" s="17">
        <v>1600101</v>
      </c>
      <c r="B102" s="21">
        <v>43</v>
      </c>
      <c r="C102" s="21">
        <v>37</v>
      </c>
      <c r="D102" s="10" t="s">
        <v>278</v>
      </c>
      <c r="E102">
        <v>10000</v>
      </c>
      <c r="F102">
        <v>80</v>
      </c>
      <c r="G102">
        <v>80</v>
      </c>
      <c r="H102">
        <v>1</v>
      </c>
      <c r="I102" t="str">
        <f t="shared" si="1"/>
        <v>80|80</v>
      </c>
      <c r="J102" s="16">
        <v>0</v>
      </c>
    </row>
    <row r="103" customFormat="1" spans="1:10">
      <c r="A103" s="17">
        <v>1600101</v>
      </c>
      <c r="B103" s="21">
        <v>49</v>
      </c>
      <c r="C103" s="21">
        <v>43</v>
      </c>
      <c r="D103" s="10" t="s">
        <v>278</v>
      </c>
      <c r="E103">
        <v>10000</v>
      </c>
      <c r="F103">
        <v>100</v>
      </c>
      <c r="G103">
        <v>100</v>
      </c>
      <c r="H103">
        <v>1</v>
      </c>
      <c r="I103" t="str">
        <f t="shared" si="1"/>
        <v>100|100</v>
      </c>
      <c r="J103" s="16">
        <v>0</v>
      </c>
    </row>
    <row r="104" customFormat="1" spans="1:10">
      <c r="A104" s="17">
        <v>1600101</v>
      </c>
      <c r="B104" s="21">
        <v>55</v>
      </c>
      <c r="C104" s="21">
        <v>49</v>
      </c>
      <c r="D104" s="10" t="s">
        <v>278</v>
      </c>
      <c r="E104">
        <v>10000</v>
      </c>
      <c r="F104">
        <v>120</v>
      </c>
      <c r="G104">
        <v>120</v>
      </c>
      <c r="H104">
        <v>1</v>
      </c>
      <c r="I104" t="str">
        <f t="shared" si="1"/>
        <v>120|120</v>
      </c>
      <c r="J104" s="16">
        <v>0</v>
      </c>
    </row>
    <row r="105" customFormat="1" spans="1:10">
      <c r="A105" s="17">
        <v>1600101</v>
      </c>
      <c r="B105" s="21">
        <v>61</v>
      </c>
      <c r="C105" s="21">
        <v>55</v>
      </c>
      <c r="D105" s="10" t="s">
        <v>278</v>
      </c>
      <c r="E105">
        <v>10000</v>
      </c>
      <c r="F105">
        <v>160</v>
      </c>
      <c r="G105">
        <v>160</v>
      </c>
      <c r="H105">
        <v>1</v>
      </c>
      <c r="I105" t="str">
        <f t="shared" si="1"/>
        <v>160|160</v>
      </c>
      <c r="J105" s="16">
        <v>0</v>
      </c>
    </row>
    <row r="106" customFormat="1" spans="1:10">
      <c r="A106" s="17">
        <v>1600101</v>
      </c>
      <c r="B106" s="21">
        <v>67</v>
      </c>
      <c r="C106" s="21">
        <v>61</v>
      </c>
      <c r="D106" s="10" t="s">
        <v>278</v>
      </c>
      <c r="E106">
        <v>10000</v>
      </c>
      <c r="F106">
        <v>220</v>
      </c>
      <c r="G106">
        <v>220</v>
      </c>
      <c r="H106">
        <v>1</v>
      </c>
      <c r="I106" t="str">
        <f t="shared" si="1"/>
        <v>220|220</v>
      </c>
      <c r="J106" s="16">
        <v>0</v>
      </c>
    </row>
    <row r="107" customFormat="1" spans="1:10">
      <c r="A107" s="17">
        <v>1600101</v>
      </c>
      <c r="B107" s="21">
        <v>75</v>
      </c>
      <c r="C107" s="21">
        <v>67</v>
      </c>
      <c r="D107" s="10" t="s">
        <v>278</v>
      </c>
      <c r="E107">
        <v>10000</v>
      </c>
      <c r="F107">
        <v>300</v>
      </c>
      <c r="G107">
        <v>300</v>
      </c>
      <c r="H107">
        <v>1</v>
      </c>
      <c r="I107" t="str">
        <f t="shared" si="1"/>
        <v>300|300</v>
      </c>
      <c r="J107" s="16">
        <v>0</v>
      </c>
    </row>
    <row r="108" customFormat="1" spans="1:10">
      <c r="A108" s="17">
        <v>1600101</v>
      </c>
      <c r="B108" s="21">
        <v>90</v>
      </c>
      <c r="C108" s="21">
        <v>75</v>
      </c>
      <c r="D108" s="10" t="s">
        <v>278</v>
      </c>
      <c r="E108">
        <v>10000</v>
      </c>
      <c r="F108">
        <v>330</v>
      </c>
      <c r="G108">
        <v>400</v>
      </c>
      <c r="H108">
        <v>1</v>
      </c>
      <c r="I108" t="str">
        <f t="shared" si="1"/>
        <v>330|400</v>
      </c>
      <c r="J108" s="16">
        <v>0</v>
      </c>
    </row>
    <row r="109" customFormat="1" spans="1:10">
      <c r="A109" s="17">
        <v>1700101</v>
      </c>
      <c r="B109" s="21">
        <v>1</v>
      </c>
      <c r="C109" s="21">
        <v>1</v>
      </c>
      <c r="D109" s="10" t="s">
        <v>279</v>
      </c>
      <c r="E109">
        <v>10014</v>
      </c>
      <c r="F109">
        <v>4</v>
      </c>
      <c r="G109">
        <v>4</v>
      </c>
      <c r="H109">
        <v>1</v>
      </c>
      <c r="I109" t="str">
        <f t="shared" si="1"/>
        <v>4|4</v>
      </c>
      <c r="J109" s="16">
        <v>2</v>
      </c>
    </row>
    <row r="110" customFormat="1" spans="1:10">
      <c r="A110" s="17">
        <v>1700101</v>
      </c>
      <c r="B110" s="21">
        <v>4</v>
      </c>
      <c r="C110" s="21">
        <v>1</v>
      </c>
      <c r="D110" s="10" t="s">
        <v>279</v>
      </c>
      <c r="E110">
        <v>10014</v>
      </c>
      <c r="F110">
        <v>17</v>
      </c>
      <c r="G110">
        <v>17</v>
      </c>
      <c r="H110">
        <v>1</v>
      </c>
      <c r="I110" t="str">
        <f t="shared" si="1"/>
        <v>17|17</v>
      </c>
      <c r="J110" s="16">
        <v>2</v>
      </c>
    </row>
    <row r="111" customFormat="1" spans="1:10">
      <c r="A111" s="17">
        <v>1700101</v>
      </c>
      <c r="B111" s="21">
        <v>8</v>
      </c>
      <c r="C111" s="21">
        <v>4</v>
      </c>
      <c r="D111" s="10" t="s">
        <v>279</v>
      </c>
      <c r="E111">
        <v>10014</v>
      </c>
      <c r="F111">
        <v>35</v>
      </c>
      <c r="G111">
        <v>35</v>
      </c>
      <c r="H111">
        <v>1</v>
      </c>
      <c r="I111" t="str">
        <f t="shared" si="1"/>
        <v>35|35</v>
      </c>
      <c r="J111" s="16">
        <v>2</v>
      </c>
    </row>
    <row r="112" customFormat="1" spans="1:10">
      <c r="A112" s="17">
        <v>1700101</v>
      </c>
      <c r="B112" s="21">
        <v>13</v>
      </c>
      <c r="C112" s="21">
        <v>8</v>
      </c>
      <c r="D112" s="10" t="s">
        <v>279</v>
      </c>
      <c r="E112">
        <v>10014</v>
      </c>
      <c r="F112">
        <v>57</v>
      </c>
      <c r="G112">
        <v>57</v>
      </c>
      <c r="H112">
        <v>1</v>
      </c>
      <c r="I112" t="str">
        <f t="shared" si="1"/>
        <v>57|57</v>
      </c>
      <c r="J112" s="16">
        <v>2</v>
      </c>
    </row>
    <row r="113" customFormat="1" spans="1:10">
      <c r="A113" s="17">
        <v>1700101</v>
      </c>
      <c r="B113" s="21">
        <v>19</v>
      </c>
      <c r="C113" s="21">
        <v>13</v>
      </c>
      <c r="D113" s="10" t="s">
        <v>279</v>
      </c>
      <c r="E113">
        <v>10014</v>
      </c>
      <c r="F113">
        <v>83</v>
      </c>
      <c r="G113">
        <v>83</v>
      </c>
      <c r="H113">
        <v>1</v>
      </c>
      <c r="I113" t="str">
        <f t="shared" si="1"/>
        <v>83|83</v>
      </c>
      <c r="J113" s="16">
        <v>2</v>
      </c>
    </row>
    <row r="114" customFormat="1" spans="1:10">
      <c r="A114" s="17">
        <v>1700101</v>
      </c>
      <c r="B114" s="21">
        <v>25</v>
      </c>
      <c r="C114" s="21">
        <v>19</v>
      </c>
      <c r="D114" s="10" t="s">
        <v>279</v>
      </c>
      <c r="E114">
        <v>10014</v>
      </c>
      <c r="F114">
        <v>110</v>
      </c>
      <c r="G114">
        <v>110</v>
      </c>
      <c r="H114">
        <v>1</v>
      </c>
      <c r="I114" t="str">
        <f t="shared" si="1"/>
        <v>110|110</v>
      </c>
      <c r="J114" s="16">
        <v>2</v>
      </c>
    </row>
    <row r="115" customFormat="1" spans="1:10">
      <c r="A115" s="17">
        <v>1700101</v>
      </c>
      <c r="B115" s="21">
        <v>31</v>
      </c>
      <c r="C115" s="21">
        <v>25</v>
      </c>
      <c r="D115" s="10" t="s">
        <v>279</v>
      </c>
      <c r="E115">
        <v>10014</v>
      </c>
      <c r="F115">
        <v>136</v>
      </c>
      <c r="G115">
        <v>136</v>
      </c>
      <c r="H115">
        <v>1</v>
      </c>
      <c r="I115" t="str">
        <f t="shared" si="1"/>
        <v>136|136</v>
      </c>
      <c r="J115" s="16">
        <v>2</v>
      </c>
    </row>
    <row r="116" customFormat="1" spans="1:10">
      <c r="A116" s="17">
        <v>1700101</v>
      </c>
      <c r="B116" s="21">
        <v>37</v>
      </c>
      <c r="C116" s="21">
        <v>31</v>
      </c>
      <c r="D116" s="10" t="s">
        <v>279</v>
      </c>
      <c r="E116">
        <v>10014</v>
      </c>
      <c r="F116">
        <v>163</v>
      </c>
      <c r="G116">
        <v>163</v>
      </c>
      <c r="H116">
        <v>1</v>
      </c>
      <c r="I116" t="str">
        <f t="shared" si="1"/>
        <v>163|163</v>
      </c>
      <c r="J116" s="16">
        <v>2</v>
      </c>
    </row>
    <row r="117" s="16" customFormat="1" spans="1:10">
      <c r="A117" s="17">
        <v>1700101</v>
      </c>
      <c r="B117" s="21">
        <v>43</v>
      </c>
      <c r="C117" s="21">
        <v>37</v>
      </c>
      <c r="D117" s="10" t="s">
        <v>279</v>
      </c>
      <c r="E117">
        <v>10014</v>
      </c>
      <c r="F117">
        <v>189</v>
      </c>
      <c r="G117">
        <v>189</v>
      </c>
      <c r="H117">
        <v>1</v>
      </c>
      <c r="I117" t="str">
        <f t="shared" si="1"/>
        <v>189|189</v>
      </c>
      <c r="J117" s="16">
        <v>2</v>
      </c>
    </row>
    <row r="118" spans="1:10">
      <c r="A118" s="17">
        <v>1700101</v>
      </c>
      <c r="B118" s="21">
        <v>49</v>
      </c>
      <c r="C118" s="21">
        <v>43</v>
      </c>
      <c r="D118" s="10" t="s">
        <v>279</v>
      </c>
      <c r="E118">
        <v>10014</v>
      </c>
      <c r="F118">
        <v>211</v>
      </c>
      <c r="G118">
        <v>211</v>
      </c>
      <c r="H118">
        <v>1</v>
      </c>
      <c r="I118" t="str">
        <f t="shared" si="1"/>
        <v>211|211</v>
      </c>
      <c r="J118" s="16">
        <v>2</v>
      </c>
    </row>
    <row r="119" spans="1:10">
      <c r="A119" s="17">
        <v>1700101</v>
      </c>
      <c r="B119" s="21">
        <v>55</v>
      </c>
      <c r="C119" s="21">
        <v>49</v>
      </c>
      <c r="D119" s="10" t="s">
        <v>279</v>
      </c>
      <c r="E119">
        <v>10014</v>
      </c>
      <c r="F119">
        <v>236</v>
      </c>
      <c r="G119">
        <v>236</v>
      </c>
      <c r="H119">
        <v>1</v>
      </c>
      <c r="I119" t="str">
        <f t="shared" si="1"/>
        <v>236|236</v>
      </c>
      <c r="J119" s="16">
        <v>2</v>
      </c>
    </row>
    <row r="120" spans="1:10">
      <c r="A120" s="17">
        <v>1700101</v>
      </c>
      <c r="B120" s="21">
        <v>61</v>
      </c>
      <c r="C120" s="21">
        <v>55</v>
      </c>
      <c r="D120" s="10" t="s">
        <v>279</v>
      </c>
      <c r="E120">
        <v>10014</v>
      </c>
      <c r="F120">
        <v>259</v>
      </c>
      <c r="G120">
        <v>259</v>
      </c>
      <c r="H120">
        <v>1</v>
      </c>
      <c r="I120" t="str">
        <f t="shared" si="1"/>
        <v>259|259</v>
      </c>
      <c r="J120" s="16">
        <v>2</v>
      </c>
    </row>
    <row r="121" spans="1:10">
      <c r="A121" s="17">
        <v>1700101</v>
      </c>
      <c r="B121" s="21">
        <v>67</v>
      </c>
      <c r="C121" s="21">
        <v>61</v>
      </c>
      <c r="D121" s="10" t="s">
        <v>279</v>
      </c>
      <c r="E121">
        <v>10014</v>
      </c>
      <c r="F121">
        <v>282</v>
      </c>
      <c r="G121">
        <v>282</v>
      </c>
      <c r="H121">
        <v>1</v>
      </c>
      <c r="I121" t="str">
        <f t="shared" si="1"/>
        <v>282|282</v>
      </c>
      <c r="J121" s="16">
        <v>2</v>
      </c>
    </row>
    <row r="122" spans="1:10">
      <c r="A122" s="17">
        <v>1700101</v>
      </c>
      <c r="B122" s="21">
        <v>75</v>
      </c>
      <c r="C122" s="21">
        <v>67</v>
      </c>
      <c r="D122" s="10" t="s">
        <v>279</v>
      </c>
      <c r="E122">
        <v>10014</v>
      </c>
      <c r="F122">
        <v>307</v>
      </c>
      <c r="G122">
        <v>307</v>
      </c>
      <c r="H122">
        <v>1</v>
      </c>
      <c r="I122" t="str">
        <f t="shared" si="1"/>
        <v>307|307</v>
      </c>
      <c r="J122" s="16">
        <v>2</v>
      </c>
    </row>
    <row r="123" spans="1:10">
      <c r="A123" s="17">
        <v>1700101</v>
      </c>
      <c r="B123" s="21">
        <v>90</v>
      </c>
      <c r="C123" s="21">
        <v>75</v>
      </c>
      <c r="D123" s="10" t="s">
        <v>279</v>
      </c>
      <c r="E123">
        <v>10014</v>
      </c>
      <c r="F123">
        <v>337</v>
      </c>
      <c r="G123">
        <v>400</v>
      </c>
      <c r="H123">
        <v>1</v>
      </c>
      <c r="I123" t="str">
        <f t="shared" si="1"/>
        <v>337|400</v>
      </c>
      <c r="J123" s="16">
        <v>2</v>
      </c>
    </row>
    <row r="124" spans="1:10">
      <c r="A124" s="17">
        <v>1800101</v>
      </c>
      <c r="B124" s="21">
        <v>1</v>
      </c>
      <c r="C124" s="21">
        <v>1</v>
      </c>
      <c r="D124" s="10" t="s">
        <v>280</v>
      </c>
      <c r="E124">
        <v>10014</v>
      </c>
      <c r="F124">
        <v>4</v>
      </c>
      <c r="G124">
        <v>4</v>
      </c>
      <c r="H124">
        <v>1</v>
      </c>
      <c r="I124" t="str">
        <f t="shared" si="1"/>
        <v>4|4</v>
      </c>
      <c r="J124" s="16">
        <v>2</v>
      </c>
    </row>
    <row r="125" spans="1:10">
      <c r="A125" s="17">
        <v>1800101</v>
      </c>
      <c r="B125" s="21">
        <v>4</v>
      </c>
      <c r="C125" s="21">
        <v>1</v>
      </c>
      <c r="D125" s="10" t="s">
        <v>280</v>
      </c>
      <c r="E125">
        <v>10014</v>
      </c>
      <c r="F125">
        <v>17</v>
      </c>
      <c r="G125">
        <v>17</v>
      </c>
      <c r="H125">
        <v>1</v>
      </c>
      <c r="I125" t="str">
        <f t="shared" si="1"/>
        <v>17|17</v>
      </c>
      <c r="J125" s="16">
        <v>2</v>
      </c>
    </row>
    <row r="126" spans="1:10">
      <c r="A126" s="17">
        <v>1800101</v>
      </c>
      <c r="B126" s="21">
        <v>8</v>
      </c>
      <c r="C126" s="21">
        <v>4</v>
      </c>
      <c r="D126" s="10" t="s">
        <v>280</v>
      </c>
      <c r="E126">
        <v>10014</v>
      </c>
      <c r="F126">
        <v>35</v>
      </c>
      <c r="G126">
        <v>35</v>
      </c>
      <c r="H126">
        <v>1</v>
      </c>
      <c r="I126" t="str">
        <f t="shared" si="1"/>
        <v>35|35</v>
      </c>
      <c r="J126" s="16">
        <v>2</v>
      </c>
    </row>
    <row r="127" spans="1:10">
      <c r="A127" s="17">
        <v>1800101</v>
      </c>
      <c r="B127" s="21">
        <v>13</v>
      </c>
      <c r="C127" s="21">
        <v>8</v>
      </c>
      <c r="D127" s="10" t="s">
        <v>280</v>
      </c>
      <c r="E127">
        <v>10014</v>
      </c>
      <c r="F127">
        <v>57</v>
      </c>
      <c r="G127">
        <v>57</v>
      </c>
      <c r="H127">
        <v>1</v>
      </c>
      <c r="I127" t="str">
        <f t="shared" si="1"/>
        <v>57|57</v>
      </c>
      <c r="J127" s="16">
        <v>2</v>
      </c>
    </row>
    <row r="128" spans="1:10">
      <c r="A128" s="17">
        <v>1800101</v>
      </c>
      <c r="B128" s="21">
        <v>19</v>
      </c>
      <c r="C128" s="21">
        <v>13</v>
      </c>
      <c r="D128" s="10" t="s">
        <v>280</v>
      </c>
      <c r="E128">
        <v>10014</v>
      </c>
      <c r="F128">
        <v>83</v>
      </c>
      <c r="G128">
        <v>83</v>
      </c>
      <c r="H128">
        <v>1</v>
      </c>
      <c r="I128" t="str">
        <f t="shared" si="1"/>
        <v>83|83</v>
      </c>
      <c r="J128" s="16">
        <v>2</v>
      </c>
    </row>
    <row r="129" spans="1:10">
      <c r="A129" s="17">
        <v>1800101</v>
      </c>
      <c r="B129" s="21">
        <v>25</v>
      </c>
      <c r="C129" s="21">
        <v>19</v>
      </c>
      <c r="D129" s="10" t="s">
        <v>280</v>
      </c>
      <c r="E129">
        <v>10014</v>
      </c>
      <c r="F129">
        <v>110</v>
      </c>
      <c r="G129">
        <v>110</v>
      </c>
      <c r="H129">
        <v>1</v>
      </c>
      <c r="I129" t="str">
        <f t="shared" si="1"/>
        <v>110|110</v>
      </c>
      <c r="J129" s="16">
        <v>2</v>
      </c>
    </row>
    <row r="130" spans="1:10">
      <c r="A130" s="17">
        <v>1800101</v>
      </c>
      <c r="B130" s="21">
        <v>31</v>
      </c>
      <c r="C130" s="21">
        <v>25</v>
      </c>
      <c r="D130" s="10" t="s">
        <v>280</v>
      </c>
      <c r="E130">
        <v>10014</v>
      </c>
      <c r="F130">
        <v>136</v>
      </c>
      <c r="G130">
        <v>136</v>
      </c>
      <c r="H130">
        <v>1</v>
      </c>
      <c r="I130" t="str">
        <f t="shared" si="1"/>
        <v>136|136</v>
      </c>
      <c r="J130" s="16">
        <v>2</v>
      </c>
    </row>
    <row r="131" spans="1:10">
      <c r="A131" s="17">
        <v>1800101</v>
      </c>
      <c r="B131" s="21">
        <v>37</v>
      </c>
      <c r="C131" s="21">
        <v>31</v>
      </c>
      <c r="D131" s="10" t="s">
        <v>280</v>
      </c>
      <c r="E131">
        <v>10014</v>
      </c>
      <c r="F131">
        <v>163</v>
      </c>
      <c r="G131">
        <v>163</v>
      </c>
      <c r="H131">
        <v>1</v>
      </c>
      <c r="I131" t="str">
        <f t="shared" si="1"/>
        <v>163|163</v>
      </c>
      <c r="J131" s="16">
        <v>2</v>
      </c>
    </row>
    <row r="132" spans="1:10">
      <c r="A132" s="17">
        <v>1800101</v>
      </c>
      <c r="B132" s="21">
        <v>43</v>
      </c>
      <c r="C132" s="21">
        <v>37</v>
      </c>
      <c r="D132" s="10" t="s">
        <v>280</v>
      </c>
      <c r="E132">
        <v>10014</v>
      </c>
      <c r="F132">
        <v>189</v>
      </c>
      <c r="G132">
        <v>189</v>
      </c>
      <c r="H132">
        <v>1</v>
      </c>
      <c r="I132" t="str">
        <f t="shared" ref="I132:I168" si="2">_xlfn.TEXTJOIN("|",0,F132:G132)</f>
        <v>189|189</v>
      </c>
      <c r="J132" s="16">
        <v>2</v>
      </c>
    </row>
    <row r="133" spans="1:10">
      <c r="A133" s="17">
        <v>1800101</v>
      </c>
      <c r="B133" s="21">
        <v>49</v>
      </c>
      <c r="C133" s="21">
        <v>43</v>
      </c>
      <c r="D133" s="10" t="s">
        <v>280</v>
      </c>
      <c r="E133">
        <v>10014</v>
      </c>
      <c r="F133">
        <v>211</v>
      </c>
      <c r="G133">
        <v>211</v>
      </c>
      <c r="H133">
        <v>1</v>
      </c>
      <c r="I133" t="str">
        <f t="shared" si="2"/>
        <v>211|211</v>
      </c>
      <c r="J133" s="16">
        <v>2</v>
      </c>
    </row>
    <row r="134" spans="1:10">
      <c r="A134" s="17">
        <v>1800101</v>
      </c>
      <c r="B134" s="21">
        <v>55</v>
      </c>
      <c r="C134" s="21">
        <v>49</v>
      </c>
      <c r="D134" s="10" t="s">
        <v>280</v>
      </c>
      <c r="E134">
        <v>10014</v>
      </c>
      <c r="F134">
        <v>236</v>
      </c>
      <c r="G134">
        <v>236</v>
      </c>
      <c r="H134">
        <v>1</v>
      </c>
      <c r="I134" t="str">
        <f t="shared" si="2"/>
        <v>236|236</v>
      </c>
      <c r="J134" s="16">
        <v>2</v>
      </c>
    </row>
    <row r="135" spans="1:10">
      <c r="A135" s="17">
        <v>1800101</v>
      </c>
      <c r="B135" s="21">
        <v>61</v>
      </c>
      <c r="C135" s="21">
        <v>55</v>
      </c>
      <c r="D135" s="10" t="s">
        <v>280</v>
      </c>
      <c r="E135">
        <v>10014</v>
      </c>
      <c r="F135">
        <v>259</v>
      </c>
      <c r="G135">
        <v>259</v>
      </c>
      <c r="H135">
        <v>1</v>
      </c>
      <c r="I135" t="str">
        <f t="shared" si="2"/>
        <v>259|259</v>
      </c>
      <c r="J135" s="16">
        <v>2</v>
      </c>
    </row>
    <row r="136" spans="1:10">
      <c r="A136" s="17">
        <v>1800101</v>
      </c>
      <c r="B136" s="21">
        <v>67</v>
      </c>
      <c r="C136" s="21">
        <v>61</v>
      </c>
      <c r="D136" s="10" t="s">
        <v>280</v>
      </c>
      <c r="E136">
        <v>10014</v>
      </c>
      <c r="F136">
        <v>282</v>
      </c>
      <c r="G136">
        <v>282</v>
      </c>
      <c r="H136">
        <v>1</v>
      </c>
      <c r="I136" t="str">
        <f t="shared" si="2"/>
        <v>282|282</v>
      </c>
      <c r="J136" s="16">
        <v>2</v>
      </c>
    </row>
    <row r="137" spans="1:10">
      <c r="A137" s="17">
        <v>1800101</v>
      </c>
      <c r="B137" s="21">
        <v>75</v>
      </c>
      <c r="C137" s="21">
        <v>67</v>
      </c>
      <c r="D137" s="10" t="s">
        <v>280</v>
      </c>
      <c r="E137">
        <v>10014</v>
      </c>
      <c r="F137">
        <v>307</v>
      </c>
      <c r="G137">
        <v>307</v>
      </c>
      <c r="H137">
        <v>1</v>
      </c>
      <c r="I137" t="str">
        <f t="shared" si="2"/>
        <v>307|307</v>
      </c>
      <c r="J137" s="16">
        <v>2</v>
      </c>
    </row>
    <row r="138" spans="1:10">
      <c r="A138" s="17">
        <v>1800101</v>
      </c>
      <c r="B138" s="21">
        <v>90</v>
      </c>
      <c r="C138" s="21">
        <v>75</v>
      </c>
      <c r="D138" s="10" t="s">
        <v>280</v>
      </c>
      <c r="E138">
        <v>10014</v>
      </c>
      <c r="F138">
        <v>337</v>
      </c>
      <c r="G138">
        <v>400</v>
      </c>
      <c r="H138">
        <v>1</v>
      </c>
      <c r="I138" t="str">
        <f t="shared" si="2"/>
        <v>337|400</v>
      </c>
      <c r="J138" s="16">
        <v>2</v>
      </c>
    </row>
    <row r="139" spans="1:10">
      <c r="A139" s="17">
        <v>1900101</v>
      </c>
      <c r="B139" s="21">
        <v>1</v>
      </c>
      <c r="C139" s="21">
        <v>1</v>
      </c>
      <c r="D139" s="10" t="s">
        <v>281</v>
      </c>
      <c r="E139">
        <v>10000</v>
      </c>
      <c r="F139">
        <v>3</v>
      </c>
      <c r="G139">
        <v>3</v>
      </c>
      <c r="H139">
        <v>1</v>
      </c>
      <c r="I139" t="str">
        <f t="shared" si="2"/>
        <v>3|3</v>
      </c>
      <c r="J139" s="16">
        <v>0</v>
      </c>
    </row>
    <row r="140" spans="1:10">
      <c r="A140" s="17">
        <v>1900101</v>
      </c>
      <c r="B140" s="21">
        <v>4</v>
      </c>
      <c r="C140" s="21">
        <v>1</v>
      </c>
      <c r="D140" s="10" t="s">
        <v>281</v>
      </c>
      <c r="E140">
        <v>10000</v>
      </c>
      <c r="F140">
        <v>5</v>
      </c>
      <c r="G140">
        <v>5</v>
      </c>
      <c r="H140">
        <v>1</v>
      </c>
      <c r="I140" t="str">
        <f t="shared" si="2"/>
        <v>5|5</v>
      </c>
      <c r="J140" s="16">
        <v>0</v>
      </c>
    </row>
    <row r="141" spans="1:10">
      <c r="A141" s="17">
        <v>1900101</v>
      </c>
      <c r="B141" s="21">
        <v>8</v>
      </c>
      <c r="C141" s="21">
        <v>4</v>
      </c>
      <c r="D141" s="10" t="s">
        <v>281</v>
      </c>
      <c r="E141">
        <v>10000</v>
      </c>
      <c r="F141">
        <v>7</v>
      </c>
      <c r="G141">
        <v>7</v>
      </c>
      <c r="H141">
        <v>1</v>
      </c>
      <c r="I141" t="str">
        <f t="shared" si="2"/>
        <v>7|7</v>
      </c>
      <c r="J141" s="16">
        <v>0</v>
      </c>
    </row>
    <row r="142" spans="1:10">
      <c r="A142" s="17">
        <v>1900101</v>
      </c>
      <c r="B142" s="21">
        <v>13</v>
      </c>
      <c r="C142" s="21">
        <v>8</v>
      </c>
      <c r="D142" s="10" t="s">
        <v>281</v>
      </c>
      <c r="E142">
        <v>10000</v>
      </c>
      <c r="F142">
        <v>10</v>
      </c>
      <c r="G142">
        <v>10</v>
      </c>
      <c r="H142">
        <v>1</v>
      </c>
      <c r="I142" t="str">
        <f t="shared" si="2"/>
        <v>10|10</v>
      </c>
      <c r="J142" s="16">
        <v>0</v>
      </c>
    </row>
    <row r="143" spans="1:10">
      <c r="A143" s="17">
        <v>1900101</v>
      </c>
      <c r="B143" s="21">
        <v>19</v>
      </c>
      <c r="C143" s="21">
        <v>13</v>
      </c>
      <c r="D143" s="10" t="s">
        <v>281</v>
      </c>
      <c r="E143">
        <v>10000</v>
      </c>
      <c r="F143">
        <v>14</v>
      </c>
      <c r="G143">
        <v>14</v>
      </c>
      <c r="H143">
        <v>1</v>
      </c>
      <c r="I143" t="str">
        <f t="shared" si="2"/>
        <v>14|14</v>
      </c>
      <c r="J143" s="16">
        <v>0</v>
      </c>
    </row>
    <row r="144" spans="1:10">
      <c r="A144" s="17">
        <v>1900101</v>
      </c>
      <c r="B144" s="21">
        <v>25</v>
      </c>
      <c r="C144" s="21">
        <v>19</v>
      </c>
      <c r="D144" s="10" t="s">
        <v>281</v>
      </c>
      <c r="E144">
        <v>10000</v>
      </c>
      <c r="F144">
        <v>18</v>
      </c>
      <c r="G144">
        <v>18</v>
      </c>
      <c r="H144">
        <v>1</v>
      </c>
      <c r="I144" t="str">
        <f t="shared" si="2"/>
        <v>18|18</v>
      </c>
      <c r="J144" s="16">
        <v>0</v>
      </c>
    </row>
    <row r="145" spans="1:10">
      <c r="A145" s="17">
        <v>1900101</v>
      </c>
      <c r="B145" s="21">
        <v>31</v>
      </c>
      <c r="C145" s="21">
        <v>25</v>
      </c>
      <c r="D145" s="10" t="s">
        <v>281</v>
      </c>
      <c r="E145">
        <v>10000</v>
      </c>
      <c r="F145">
        <v>24</v>
      </c>
      <c r="G145">
        <v>24</v>
      </c>
      <c r="H145">
        <v>1</v>
      </c>
      <c r="I145" t="str">
        <f t="shared" si="2"/>
        <v>24|24</v>
      </c>
      <c r="J145" s="16">
        <v>0</v>
      </c>
    </row>
    <row r="146" spans="1:10">
      <c r="A146" s="17">
        <v>1900101</v>
      </c>
      <c r="B146" s="21">
        <v>37</v>
      </c>
      <c r="C146" s="21">
        <v>31</v>
      </c>
      <c r="D146" s="10" t="s">
        <v>281</v>
      </c>
      <c r="E146">
        <v>10000</v>
      </c>
      <c r="F146">
        <v>30</v>
      </c>
      <c r="G146">
        <v>30</v>
      </c>
      <c r="H146">
        <v>1</v>
      </c>
      <c r="I146" t="str">
        <f t="shared" si="2"/>
        <v>30|30</v>
      </c>
      <c r="J146" s="16">
        <v>0</v>
      </c>
    </row>
    <row r="147" spans="1:10">
      <c r="A147" s="17">
        <v>1900101</v>
      </c>
      <c r="B147" s="21">
        <v>43</v>
      </c>
      <c r="C147" s="21">
        <v>37</v>
      </c>
      <c r="D147" s="10" t="s">
        <v>281</v>
      </c>
      <c r="E147">
        <v>10000</v>
      </c>
      <c r="F147">
        <v>40</v>
      </c>
      <c r="G147">
        <v>40</v>
      </c>
      <c r="H147">
        <v>1</v>
      </c>
      <c r="I147" t="str">
        <f t="shared" si="2"/>
        <v>40|40</v>
      </c>
      <c r="J147" s="16">
        <v>0</v>
      </c>
    </row>
    <row r="148" spans="1:10">
      <c r="A148" s="17">
        <v>1900101</v>
      </c>
      <c r="B148" s="21">
        <v>49</v>
      </c>
      <c r="C148" s="21">
        <v>43</v>
      </c>
      <c r="D148" s="10" t="s">
        <v>281</v>
      </c>
      <c r="E148">
        <v>10000</v>
      </c>
      <c r="F148">
        <v>50</v>
      </c>
      <c r="G148">
        <v>50</v>
      </c>
      <c r="H148">
        <v>1</v>
      </c>
      <c r="I148" t="str">
        <f t="shared" si="2"/>
        <v>50|50</v>
      </c>
      <c r="J148" s="16">
        <v>0</v>
      </c>
    </row>
    <row r="149" spans="1:10">
      <c r="A149" s="17">
        <v>1900101</v>
      </c>
      <c r="B149" s="21">
        <v>55</v>
      </c>
      <c r="C149" s="21">
        <v>49</v>
      </c>
      <c r="D149" s="10" t="s">
        <v>281</v>
      </c>
      <c r="E149">
        <v>10000</v>
      </c>
      <c r="F149">
        <v>60</v>
      </c>
      <c r="G149">
        <v>60</v>
      </c>
      <c r="H149">
        <v>1</v>
      </c>
      <c r="I149" t="str">
        <f t="shared" si="2"/>
        <v>60|60</v>
      </c>
      <c r="J149" s="16">
        <v>0</v>
      </c>
    </row>
    <row r="150" spans="1:10">
      <c r="A150" s="17">
        <v>1900101</v>
      </c>
      <c r="B150" s="21">
        <v>61</v>
      </c>
      <c r="C150" s="21">
        <v>55</v>
      </c>
      <c r="D150" s="10" t="s">
        <v>281</v>
      </c>
      <c r="E150">
        <v>10000</v>
      </c>
      <c r="F150">
        <v>80</v>
      </c>
      <c r="G150">
        <v>80</v>
      </c>
      <c r="H150">
        <v>1</v>
      </c>
      <c r="I150" t="str">
        <f t="shared" si="2"/>
        <v>80|80</v>
      </c>
      <c r="J150" s="16">
        <v>0</v>
      </c>
    </row>
    <row r="151" spans="1:10">
      <c r="A151" s="17">
        <v>1900101</v>
      </c>
      <c r="B151" s="21">
        <v>67</v>
      </c>
      <c r="C151" s="21">
        <v>61</v>
      </c>
      <c r="D151" s="10" t="s">
        <v>281</v>
      </c>
      <c r="E151">
        <v>10000</v>
      </c>
      <c r="F151">
        <v>110</v>
      </c>
      <c r="G151">
        <v>110</v>
      </c>
      <c r="H151">
        <v>1</v>
      </c>
      <c r="I151" t="str">
        <f t="shared" si="2"/>
        <v>110|110</v>
      </c>
      <c r="J151" s="16">
        <v>0</v>
      </c>
    </row>
    <row r="152" spans="1:10">
      <c r="A152" s="17">
        <v>1900101</v>
      </c>
      <c r="B152" s="21">
        <v>75</v>
      </c>
      <c r="C152" s="21">
        <v>67</v>
      </c>
      <c r="D152" s="10" t="s">
        <v>281</v>
      </c>
      <c r="E152">
        <v>10000</v>
      </c>
      <c r="F152">
        <v>150</v>
      </c>
      <c r="G152">
        <v>150</v>
      </c>
      <c r="H152">
        <v>1</v>
      </c>
      <c r="I152" t="str">
        <f t="shared" si="2"/>
        <v>150|150</v>
      </c>
      <c r="J152" s="16">
        <v>0</v>
      </c>
    </row>
    <row r="153" spans="1:10">
      <c r="A153" s="17">
        <v>1900101</v>
      </c>
      <c r="B153" s="21">
        <v>90</v>
      </c>
      <c r="C153" s="21">
        <v>75</v>
      </c>
      <c r="D153" s="10" t="s">
        <v>281</v>
      </c>
      <c r="E153">
        <v>10000</v>
      </c>
      <c r="F153">
        <v>165</v>
      </c>
      <c r="G153">
        <v>200</v>
      </c>
      <c r="H153">
        <v>1</v>
      </c>
      <c r="I153" t="str">
        <f t="shared" si="2"/>
        <v>165|200</v>
      </c>
      <c r="J153" s="16">
        <v>0</v>
      </c>
    </row>
    <row r="154" spans="1:10">
      <c r="A154" s="17">
        <v>2000101</v>
      </c>
      <c r="B154" s="21">
        <v>1</v>
      </c>
      <c r="C154" s="21">
        <v>1</v>
      </c>
      <c r="D154" s="10" t="s">
        <v>282</v>
      </c>
      <c r="E154">
        <v>10000</v>
      </c>
      <c r="F154">
        <v>3</v>
      </c>
      <c r="G154">
        <v>3</v>
      </c>
      <c r="H154">
        <v>1</v>
      </c>
      <c r="I154" t="str">
        <f t="shared" si="2"/>
        <v>3|3</v>
      </c>
      <c r="J154" s="16">
        <v>0</v>
      </c>
    </row>
    <row r="155" spans="1:10">
      <c r="A155" s="17">
        <v>2000101</v>
      </c>
      <c r="B155" s="21">
        <v>4</v>
      </c>
      <c r="C155" s="21">
        <v>1</v>
      </c>
      <c r="D155" s="10" t="s">
        <v>282</v>
      </c>
      <c r="E155">
        <v>10000</v>
      </c>
      <c r="F155">
        <v>5</v>
      </c>
      <c r="G155">
        <v>5</v>
      </c>
      <c r="H155">
        <v>1</v>
      </c>
      <c r="I155" t="str">
        <f t="shared" si="2"/>
        <v>5|5</v>
      </c>
      <c r="J155" s="16">
        <v>0</v>
      </c>
    </row>
    <row r="156" spans="1:10">
      <c r="A156" s="17">
        <v>2000101</v>
      </c>
      <c r="B156" s="21">
        <v>8</v>
      </c>
      <c r="C156" s="21">
        <v>4</v>
      </c>
      <c r="D156" s="10" t="s">
        <v>282</v>
      </c>
      <c r="E156">
        <v>10000</v>
      </c>
      <c r="F156">
        <v>7</v>
      </c>
      <c r="G156">
        <v>7</v>
      </c>
      <c r="H156">
        <v>1</v>
      </c>
      <c r="I156" t="str">
        <f t="shared" si="2"/>
        <v>7|7</v>
      </c>
      <c r="J156" s="16">
        <v>0</v>
      </c>
    </row>
    <row r="157" spans="1:10">
      <c r="A157" s="17">
        <v>2000101</v>
      </c>
      <c r="B157" s="21">
        <v>13</v>
      </c>
      <c r="C157" s="21">
        <v>8</v>
      </c>
      <c r="D157" s="10" t="s">
        <v>282</v>
      </c>
      <c r="E157">
        <v>10000</v>
      </c>
      <c r="F157">
        <v>10</v>
      </c>
      <c r="G157">
        <v>10</v>
      </c>
      <c r="H157">
        <v>1</v>
      </c>
      <c r="I157" t="str">
        <f t="shared" si="2"/>
        <v>10|10</v>
      </c>
      <c r="J157" s="16">
        <v>0</v>
      </c>
    </row>
    <row r="158" spans="1:10">
      <c r="A158" s="17">
        <v>2000101</v>
      </c>
      <c r="B158" s="21">
        <v>19</v>
      </c>
      <c r="C158" s="21">
        <v>13</v>
      </c>
      <c r="D158" s="10" t="s">
        <v>282</v>
      </c>
      <c r="E158">
        <v>10000</v>
      </c>
      <c r="F158">
        <v>14</v>
      </c>
      <c r="G158">
        <v>14</v>
      </c>
      <c r="H158">
        <v>1</v>
      </c>
      <c r="I158" t="str">
        <f t="shared" si="2"/>
        <v>14|14</v>
      </c>
      <c r="J158" s="16">
        <v>0</v>
      </c>
    </row>
    <row r="159" spans="1:10">
      <c r="A159" s="17">
        <v>2000101</v>
      </c>
      <c r="B159" s="21">
        <v>25</v>
      </c>
      <c r="C159" s="21">
        <v>19</v>
      </c>
      <c r="D159" s="10" t="s">
        <v>282</v>
      </c>
      <c r="E159">
        <v>10000</v>
      </c>
      <c r="F159">
        <v>18</v>
      </c>
      <c r="G159">
        <v>18</v>
      </c>
      <c r="H159">
        <v>1</v>
      </c>
      <c r="I159" t="str">
        <f t="shared" si="2"/>
        <v>18|18</v>
      </c>
      <c r="J159" s="16">
        <v>0</v>
      </c>
    </row>
    <row r="160" spans="1:10">
      <c r="A160" s="17">
        <v>2000101</v>
      </c>
      <c r="B160" s="21">
        <v>31</v>
      </c>
      <c r="C160" s="21">
        <v>25</v>
      </c>
      <c r="D160" s="10" t="s">
        <v>282</v>
      </c>
      <c r="E160">
        <v>10000</v>
      </c>
      <c r="F160">
        <v>24</v>
      </c>
      <c r="G160">
        <v>24</v>
      </c>
      <c r="H160">
        <v>1</v>
      </c>
      <c r="I160" t="str">
        <f t="shared" si="2"/>
        <v>24|24</v>
      </c>
      <c r="J160" s="16">
        <v>0</v>
      </c>
    </row>
    <row r="161" spans="1:10">
      <c r="A161" s="17">
        <v>2000101</v>
      </c>
      <c r="B161" s="21">
        <v>37</v>
      </c>
      <c r="C161" s="21">
        <v>31</v>
      </c>
      <c r="D161" s="10" t="s">
        <v>282</v>
      </c>
      <c r="E161">
        <v>10000</v>
      </c>
      <c r="F161">
        <v>30</v>
      </c>
      <c r="G161">
        <v>30</v>
      </c>
      <c r="H161">
        <v>1</v>
      </c>
      <c r="I161" t="str">
        <f t="shared" si="2"/>
        <v>30|30</v>
      </c>
      <c r="J161" s="16">
        <v>0</v>
      </c>
    </row>
    <row r="162" spans="1:10">
      <c r="A162" s="17">
        <v>2000101</v>
      </c>
      <c r="B162" s="21">
        <v>43</v>
      </c>
      <c r="C162" s="21">
        <v>37</v>
      </c>
      <c r="D162" s="10" t="s">
        <v>282</v>
      </c>
      <c r="E162">
        <v>10000</v>
      </c>
      <c r="F162">
        <v>40</v>
      </c>
      <c r="G162">
        <v>40</v>
      </c>
      <c r="H162">
        <v>1</v>
      </c>
      <c r="I162" t="str">
        <f t="shared" si="2"/>
        <v>40|40</v>
      </c>
      <c r="J162" s="16">
        <v>0</v>
      </c>
    </row>
    <row r="163" spans="1:10">
      <c r="A163" s="17">
        <v>2000101</v>
      </c>
      <c r="B163" s="21">
        <v>49</v>
      </c>
      <c r="C163" s="21">
        <v>43</v>
      </c>
      <c r="D163" s="10" t="s">
        <v>282</v>
      </c>
      <c r="E163">
        <v>10000</v>
      </c>
      <c r="F163">
        <v>50</v>
      </c>
      <c r="G163">
        <v>50</v>
      </c>
      <c r="H163">
        <v>1</v>
      </c>
      <c r="I163" t="str">
        <f t="shared" si="2"/>
        <v>50|50</v>
      </c>
      <c r="J163" s="16">
        <v>0</v>
      </c>
    </row>
    <row r="164" spans="1:10">
      <c r="A164" s="17">
        <v>2000101</v>
      </c>
      <c r="B164" s="21">
        <v>55</v>
      </c>
      <c r="C164" s="21">
        <v>49</v>
      </c>
      <c r="D164" s="10" t="s">
        <v>282</v>
      </c>
      <c r="E164">
        <v>10000</v>
      </c>
      <c r="F164">
        <v>60</v>
      </c>
      <c r="G164">
        <v>60</v>
      </c>
      <c r="H164">
        <v>1</v>
      </c>
      <c r="I164" t="str">
        <f t="shared" si="2"/>
        <v>60|60</v>
      </c>
      <c r="J164" s="16">
        <v>0</v>
      </c>
    </row>
    <row r="165" spans="1:10">
      <c r="A165" s="17">
        <v>2000101</v>
      </c>
      <c r="B165" s="21">
        <v>61</v>
      </c>
      <c r="C165" s="21">
        <v>55</v>
      </c>
      <c r="D165" s="10" t="s">
        <v>282</v>
      </c>
      <c r="E165">
        <v>10000</v>
      </c>
      <c r="F165">
        <v>80</v>
      </c>
      <c r="G165">
        <v>80</v>
      </c>
      <c r="H165">
        <v>1</v>
      </c>
      <c r="I165" t="str">
        <f t="shared" si="2"/>
        <v>80|80</v>
      </c>
      <c r="J165" s="16">
        <v>0</v>
      </c>
    </row>
    <row r="166" spans="1:10">
      <c r="A166" s="17">
        <v>2000101</v>
      </c>
      <c r="B166" s="21">
        <v>67</v>
      </c>
      <c r="C166" s="21">
        <v>61</v>
      </c>
      <c r="D166" s="10" t="s">
        <v>282</v>
      </c>
      <c r="E166">
        <v>10000</v>
      </c>
      <c r="F166">
        <v>110</v>
      </c>
      <c r="G166">
        <v>110</v>
      </c>
      <c r="H166">
        <v>1</v>
      </c>
      <c r="I166" t="str">
        <f t="shared" si="2"/>
        <v>110|110</v>
      </c>
      <c r="J166" s="16">
        <v>0</v>
      </c>
    </row>
    <row r="167" spans="1:10">
      <c r="A167" s="17">
        <v>2000101</v>
      </c>
      <c r="B167" s="21">
        <v>75</v>
      </c>
      <c r="C167" s="21">
        <v>67</v>
      </c>
      <c r="D167" s="10" t="s">
        <v>282</v>
      </c>
      <c r="E167">
        <v>10000</v>
      </c>
      <c r="F167">
        <v>150</v>
      </c>
      <c r="G167">
        <v>150</v>
      </c>
      <c r="H167">
        <v>1</v>
      </c>
      <c r="I167" t="str">
        <f t="shared" si="2"/>
        <v>150|150</v>
      </c>
      <c r="J167" s="16">
        <v>0</v>
      </c>
    </row>
    <row r="168" spans="1:10">
      <c r="A168" s="17">
        <v>2000101</v>
      </c>
      <c r="B168" s="21">
        <v>90</v>
      </c>
      <c r="C168" s="21">
        <v>75</v>
      </c>
      <c r="D168" s="10" t="s">
        <v>282</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topLeftCell="A110" workbookViewId="0">
      <selection activeCell="C135" sqref="C135"/>
    </sheetView>
  </sheetViews>
  <sheetFormatPr defaultColWidth="9" defaultRowHeight="13.5" outlineLevelCol="5"/>
  <cols>
    <col min="2" max="2" width="14" customWidth="1"/>
    <col min="3" max="3" width="21.25" customWidth="1"/>
    <col min="4" max="4" width="65.75" customWidth="1"/>
  </cols>
  <sheetData>
    <row r="1" spans="1:6">
      <c r="A1" t="s">
        <v>283</v>
      </c>
      <c r="B1" t="s">
        <v>284</v>
      </c>
      <c r="C1" s="10" t="s">
        <v>285</v>
      </c>
      <c r="D1" s="10" t="s">
        <v>286</v>
      </c>
      <c r="E1" t="s">
        <v>287</v>
      </c>
      <c r="F1" t="s">
        <v>288</v>
      </c>
    </row>
    <row r="2" spans="1:6">
      <c r="A2" s="12" t="s">
        <v>10</v>
      </c>
      <c r="B2" s="12" t="s">
        <v>11</v>
      </c>
      <c r="C2" s="2" t="s">
        <v>289</v>
      </c>
      <c r="D2" s="2" t="s">
        <v>290</v>
      </c>
      <c r="E2" t="s">
        <v>54</v>
      </c>
      <c r="F2" t="s">
        <v>51</v>
      </c>
    </row>
    <row r="3" spans="1:6">
      <c r="A3" s="3" t="s">
        <v>20</v>
      </c>
      <c r="B3" s="3" t="s">
        <v>21</v>
      </c>
      <c r="C3" s="15" t="s">
        <v>22</v>
      </c>
      <c r="D3" s="3" t="s">
        <v>23</v>
      </c>
      <c r="E3" t="s">
        <v>22</v>
      </c>
      <c r="F3" t="s">
        <v>21</v>
      </c>
    </row>
    <row r="4" spans="1:6">
      <c r="A4">
        <v>110011</v>
      </c>
      <c r="B4" t="s">
        <v>291</v>
      </c>
      <c r="D4" s="10" t="s">
        <v>292</v>
      </c>
    </row>
    <row r="5" spans="1:6">
      <c r="A5">
        <v>110012</v>
      </c>
      <c r="B5" t="s">
        <v>293</v>
      </c>
      <c r="D5" s="10" t="s">
        <v>294</v>
      </c>
    </row>
    <row r="6" customFormat="1" spans="1:6">
      <c r="A6">
        <v>110021</v>
      </c>
      <c r="B6" t="s">
        <v>295</v>
      </c>
      <c r="D6" s="10" t="s">
        <v>296</v>
      </c>
    </row>
    <row r="7" customFormat="1" spans="1:6">
      <c r="A7">
        <v>110022</v>
      </c>
      <c r="B7" t="s">
        <v>297</v>
      </c>
      <c r="D7" s="10" t="s">
        <v>298</v>
      </c>
    </row>
    <row r="8" customFormat="1" spans="1:6">
      <c r="A8">
        <v>110031</v>
      </c>
      <c r="B8" t="s">
        <v>299</v>
      </c>
      <c r="D8" s="10" t="s">
        <v>300</v>
      </c>
    </row>
    <row r="9" customFormat="1" spans="1:6">
      <c r="A9">
        <v>110032</v>
      </c>
      <c r="B9" t="s">
        <v>301</v>
      </c>
      <c r="D9" s="10" t="s">
        <v>302</v>
      </c>
    </row>
    <row r="10" spans="1:6">
      <c r="A10">
        <v>120011</v>
      </c>
      <c r="B10" t="s">
        <v>303</v>
      </c>
      <c r="D10" s="10" t="s">
        <v>304</v>
      </c>
    </row>
    <row r="11" spans="1:6">
      <c r="A11">
        <v>120012</v>
      </c>
      <c r="B11" t="s">
        <v>305</v>
      </c>
      <c r="D11" s="10" t="s">
        <v>306</v>
      </c>
    </row>
    <row r="12" spans="1:6">
      <c r="A12">
        <v>130011</v>
      </c>
      <c r="B12" t="s">
        <v>307</v>
      </c>
      <c r="D12" s="10" t="s">
        <v>308</v>
      </c>
    </row>
    <row r="13" spans="1:6">
      <c r="A13">
        <v>130012</v>
      </c>
      <c r="B13" t="s">
        <v>309</v>
      </c>
      <c r="D13" s="10" t="s">
        <v>310</v>
      </c>
    </row>
    <row r="14" spans="1:6">
      <c r="A14">
        <v>140011</v>
      </c>
      <c r="B14" t="s">
        <v>311</v>
      </c>
      <c r="D14" s="10" t="s">
        <v>312</v>
      </c>
    </row>
    <row r="15" spans="1:6">
      <c r="A15">
        <v>140012</v>
      </c>
      <c r="B15" t="s">
        <v>313</v>
      </c>
      <c r="D15" s="10" t="s">
        <v>314</v>
      </c>
    </row>
    <row r="16" spans="1:6">
      <c r="A16">
        <v>150011</v>
      </c>
      <c r="B16" t="s">
        <v>315</v>
      </c>
      <c r="D16" s="10" t="s">
        <v>316</v>
      </c>
    </row>
    <row r="17" spans="1:5">
      <c r="A17">
        <v>150012</v>
      </c>
      <c r="B17" t="s">
        <v>317</v>
      </c>
      <c r="D17" s="10" t="s">
        <v>318</v>
      </c>
    </row>
    <row r="18" spans="1:5">
      <c r="A18">
        <v>160011</v>
      </c>
      <c r="B18" t="s">
        <v>319</v>
      </c>
      <c r="D18" s="10" t="s">
        <v>320</v>
      </c>
    </row>
    <row r="19" spans="1:5">
      <c r="A19">
        <v>160012</v>
      </c>
      <c r="B19" t="s">
        <v>321</v>
      </c>
      <c r="D19" s="10" t="s">
        <v>322</v>
      </c>
    </row>
    <row r="20" spans="1:5">
      <c r="A20">
        <v>170011</v>
      </c>
      <c r="B20" t="s">
        <v>323</v>
      </c>
      <c r="D20" s="10" t="s">
        <v>324</v>
      </c>
    </row>
    <row r="21" spans="1:5">
      <c r="A21">
        <v>170012</v>
      </c>
      <c r="B21" t="s">
        <v>325</v>
      </c>
      <c r="D21" s="10" t="s">
        <v>326</v>
      </c>
    </row>
    <row r="22" spans="1:5">
      <c r="A22">
        <v>180011</v>
      </c>
      <c r="B22" t="s">
        <v>327</v>
      </c>
      <c r="D22" s="10" t="s">
        <v>328</v>
      </c>
    </row>
    <row r="23" spans="1:5">
      <c r="A23">
        <v>180012</v>
      </c>
      <c r="B23" t="s">
        <v>329</v>
      </c>
      <c r="D23" s="10" t="s">
        <v>330</v>
      </c>
    </row>
    <row r="24" spans="1:5">
      <c r="A24">
        <v>190011</v>
      </c>
      <c r="B24" t="s">
        <v>331</v>
      </c>
      <c r="D24" s="10" t="s">
        <v>332</v>
      </c>
    </row>
    <row r="25" spans="1:5">
      <c r="A25">
        <v>190012</v>
      </c>
      <c r="B25" t="s">
        <v>333</v>
      </c>
      <c r="D25" s="10" t="s">
        <v>334</v>
      </c>
    </row>
    <row r="26" spans="1:5">
      <c r="A26">
        <v>200011</v>
      </c>
      <c r="B26" t="s">
        <v>335</v>
      </c>
      <c r="D26" s="10" t="s">
        <v>336</v>
      </c>
    </row>
    <row r="27" spans="1:5">
      <c r="A27">
        <v>200012</v>
      </c>
      <c r="B27" t="s">
        <v>337</v>
      </c>
      <c r="D27" s="10" t="s">
        <v>338</v>
      </c>
    </row>
    <row r="28" spans="1:5">
      <c r="A28">
        <v>100101</v>
      </c>
      <c r="D28">
        <v>100101</v>
      </c>
      <c r="E28">
        <v>0</v>
      </c>
    </row>
    <row r="29" spans="1:5">
      <c r="A29">
        <v>100102</v>
      </c>
      <c r="D29">
        <v>100102</v>
      </c>
      <c r="E29">
        <v>0</v>
      </c>
    </row>
    <row r="30" spans="1:5">
      <c r="A30">
        <v>100103</v>
      </c>
      <c r="D30">
        <v>100103</v>
      </c>
      <c r="E30">
        <v>0</v>
      </c>
    </row>
    <row r="31" spans="1:5">
      <c r="A31">
        <v>100104</v>
      </c>
      <c r="D31">
        <v>100104</v>
      </c>
      <c r="E31">
        <v>0</v>
      </c>
    </row>
    <row r="32" spans="1:5">
      <c r="A32">
        <v>100201</v>
      </c>
      <c r="D32">
        <v>100201</v>
      </c>
      <c r="E32">
        <v>0</v>
      </c>
    </row>
    <row r="33" spans="1:5">
      <c r="A33">
        <v>100202</v>
      </c>
      <c r="D33">
        <v>100202</v>
      </c>
      <c r="E33">
        <v>0</v>
      </c>
    </row>
    <row r="34" spans="1:5">
      <c r="A34">
        <v>100203</v>
      </c>
      <c r="D34">
        <v>100203</v>
      </c>
      <c r="E34">
        <v>0</v>
      </c>
    </row>
    <row r="35" spans="1:5">
      <c r="A35">
        <v>100204</v>
      </c>
      <c r="D35">
        <v>100204</v>
      </c>
      <c r="E35">
        <v>0</v>
      </c>
    </row>
    <row r="36" spans="1:5">
      <c r="A36">
        <v>100205</v>
      </c>
      <c r="D36">
        <v>100205</v>
      </c>
      <c r="E36">
        <v>0</v>
      </c>
    </row>
    <row r="37" spans="1:5">
      <c r="A37">
        <v>100301</v>
      </c>
      <c r="D37">
        <v>100301</v>
      </c>
      <c r="E37">
        <v>0</v>
      </c>
    </row>
    <row r="38" spans="1:5">
      <c r="A38">
        <v>100302</v>
      </c>
      <c r="D38">
        <v>100302</v>
      </c>
      <c r="E38">
        <v>0</v>
      </c>
    </row>
    <row r="39" spans="1:5">
      <c r="A39">
        <v>100303</v>
      </c>
      <c r="D39">
        <v>100303</v>
      </c>
      <c r="E39">
        <v>0</v>
      </c>
    </row>
    <row r="40" spans="1:5">
      <c r="A40">
        <v>100304</v>
      </c>
      <c r="D40">
        <v>100304</v>
      </c>
      <c r="E40">
        <v>0</v>
      </c>
    </row>
    <row r="41" spans="1:5">
      <c r="A41">
        <v>100305</v>
      </c>
      <c r="D41">
        <v>100305</v>
      </c>
      <c r="E41">
        <v>0</v>
      </c>
    </row>
    <row r="42" spans="1:5">
      <c r="A42">
        <v>100401</v>
      </c>
      <c r="D42">
        <v>100401</v>
      </c>
      <c r="E42">
        <v>0</v>
      </c>
    </row>
    <row r="43" spans="1:5">
      <c r="A43">
        <v>100402</v>
      </c>
      <c r="D43">
        <v>100402</v>
      </c>
      <c r="E43">
        <v>0</v>
      </c>
    </row>
    <row r="44" spans="1:5">
      <c r="A44">
        <v>100403</v>
      </c>
      <c r="D44">
        <v>100403</v>
      </c>
      <c r="E44">
        <v>0</v>
      </c>
    </row>
    <row r="45" customFormat="1" spans="1:5">
      <c r="A45">
        <v>100501</v>
      </c>
      <c r="D45">
        <v>100501</v>
      </c>
      <c r="E45">
        <v>0</v>
      </c>
    </row>
    <row r="46" customFormat="1" spans="1:5">
      <c r="A46">
        <v>100502</v>
      </c>
      <c r="D46">
        <v>100502</v>
      </c>
      <c r="E46">
        <v>0</v>
      </c>
    </row>
    <row r="47" customFormat="1" spans="1:5">
      <c r="A47">
        <v>100503</v>
      </c>
      <c r="D47">
        <v>100503</v>
      </c>
      <c r="E47">
        <v>0</v>
      </c>
    </row>
    <row r="48" customFormat="1" spans="1:5">
      <c r="A48">
        <v>100504</v>
      </c>
      <c r="D48">
        <v>100504</v>
      </c>
      <c r="E48">
        <v>0</v>
      </c>
    </row>
    <row r="49" customFormat="1" spans="1:5">
      <c r="A49">
        <v>100601</v>
      </c>
      <c r="D49">
        <v>100601</v>
      </c>
      <c r="E49">
        <v>0</v>
      </c>
    </row>
    <row r="50" customFormat="1" spans="1:5">
      <c r="A50">
        <v>100602</v>
      </c>
      <c r="D50">
        <v>100602</v>
      </c>
      <c r="E50">
        <v>0</v>
      </c>
    </row>
    <row r="51" customFormat="1" spans="1:5">
      <c r="A51">
        <v>100603</v>
      </c>
      <c r="D51">
        <v>100603</v>
      </c>
      <c r="E51">
        <v>0</v>
      </c>
    </row>
    <row r="52" customFormat="1" spans="1:5">
      <c r="A52">
        <v>100604</v>
      </c>
      <c r="D52">
        <v>100604</v>
      </c>
      <c r="E52">
        <v>0</v>
      </c>
    </row>
    <row r="53" customFormat="1" spans="1:5">
      <c r="A53">
        <v>100605</v>
      </c>
      <c r="D53">
        <v>100605</v>
      </c>
      <c r="E53">
        <v>0</v>
      </c>
    </row>
    <row r="54" customFormat="1" spans="1:5">
      <c r="A54">
        <v>100701</v>
      </c>
      <c r="D54">
        <v>100701</v>
      </c>
      <c r="E54">
        <v>0</v>
      </c>
    </row>
    <row r="55" customFormat="1" spans="1:5">
      <c r="A55">
        <v>100702</v>
      </c>
      <c r="D55">
        <v>100702</v>
      </c>
      <c r="E55">
        <v>0</v>
      </c>
    </row>
    <row r="56" customFormat="1" spans="1:5">
      <c r="A56">
        <v>100703</v>
      </c>
      <c r="D56">
        <v>100703</v>
      </c>
      <c r="E56">
        <v>0</v>
      </c>
    </row>
    <row r="57" customFormat="1" spans="1:5">
      <c r="A57">
        <v>100704</v>
      </c>
      <c r="D57">
        <v>100704</v>
      </c>
      <c r="E57">
        <v>0</v>
      </c>
    </row>
    <row r="58" customFormat="1" spans="1:5">
      <c r="A58">
        <v>100705</v>
      </c>
      <c r="D58">
        <v>100705</v>
      </c>
      <c r="E58">
        <v>0</v>
      </c>
    </row>
    <row r="59" customFormat="1" spans="1:5">
      <c r="A59">
        <v>100801</v>
      </c>
      <c r="D59">
        <v>100801</v>
      </c>
      <c r="E59">
        <v>0</v>
      </c>
    </row>
    <row r="60" customFormat="1" spans="1:5">
      <c r="A60">
        <v>100802</v>
      </c>
      <c r="D60">
        <v>100802</v>
      </c>
      <c r="E60">
        <v>0</v>
      </c>
    </row>
    <row r="61" customFormat="1" spans="1:5">
      <c r="A61">
        <v>100803</v>
      </c>
      <c r="D61">
        <v>100803</v>
      </c>
      <c r="E61">
        <v>0</v>
      </c>
    </row>
    <row r="62" customFormat="1" spans="1:5">
      <c r="A62">
        <v>100804</v>
      </c>
      <c r="D62">
        <v>100804</v>
      </c>
      <c r="E62">
        <v>0</v>
      </c>
    </row>
    <row r="63" customFormat="1" spans="1:5">
      <c r="A63">
        <v>100901</v>
      </c>
      <c r="D63">
        <v>100901</v>
      </c>
      <c r="E63">
        <v>0</v>
      </c>
    </row>
    <row r="64" customFormat="1" spans="1:5">
      <c r="A64">
        <v>100902</v>
      </c>
      <c r="D64">
        <v>100902</v>
      </c>
      <c r="E64">
        <v>0</v>
      </c>
    </row>
    <row r="65" customFormat="1" spans="1:5">
      <c r="A65">
        <v>100903</v>
      </c>
      <c r="D65">
        <v>100903</v>
      </c>
      <c r="E65">
        <v>0</v>
      </c>
    </row>
    <row r="66" customFormat="1" spans="1:5">
      <c r="A66">
        <v>100904</v>
      </c>
      <c r="D66">
        <v>100904</v>
      </c>
      <c r="E66">
        <v>0</v>
      </c>
    </row>
    <row r="67" customFormat="1" spans="1:5">
      <c r="A67">
        <v>101001</v>
      </c>
      <c r="D67">
        <v>101001</v>
      </c>
      <c r="E67">
        <v>0</v>
      </c>
    </row>
    <row r="68" customFormat="1" spans="1:5">
      <c r="A68">
        <v>101002</v>
      </c>
      <c r="D68">
        <v>101002</v>
      </c>
      <c r="E68">
        <v>0</v>
      </c>
    </row>
    <row r="69" customFormat="1" spans="1:5">
      <c r="A69">
        <v>101003</v>
      </c>
      <c r="D69">
        <v>101003</v>
      </c>
      <c r="E69">
        <v>0</v>
      </c>
    </row>
    <row r="70" customFormat="1" spans="1:5">
      <c r="A70">
        <v>101004</v>
      </c>
      <c r="D70">
        <v>101004</v>
      </c>
      <c r="E70">
        <v>0</v>
      </c>
    </row>
    <row r="71" customFormat="1" spans="1:5">
      <c r="A71">
        <v>101101</v>
      </c>
      <c r="D71">
        <v>101101</v>
      </c>
      <c r="E71">
        <v>0</v>
      </c>
    </row>
    <row r="72" customFormat="1" spans="1:5">
      <c r="A72">
        <v>101102</v>
      </c>
      <c r="D72">
        <v>101102</v>
      </c>
      <c r="E72">
        <v>0</v>
      </c>
    </row>
    <row r="73" customFormat="1" spans="1:5">
      <c r="A73">
        <v>101103</v>
      </c>
      <c r="D73">
        <v>101103</v>
      </c>
      <c r="E73">
        <v>0</v>
      </c>
    </row>
    <row r="74" customFormat="1" spans="1:5">
      <c r="A74">
        <v>101201</v>
      </c>
      <c r="D74">
        <v>101201</v>
      </c>
      <c r="E74">
        <v>0</v>
      </c>
    </row>
    <row r="75" customFormat="1" spans="1:5">
      <c r="A75">
        <v>101202</v>
      </c>
      <c r="D75">
        <v>101202</v>
      </c>
      <c r="E75">
        <v>0</v>
      </c>
    </row>
    <row r="76" customFormat="1" spans="1:5">
      <c r="A76">
        <v>101203</v>
      </c>
      <c r="D76">
        <v>101203</v>
      </c>
      <c r="E76">
        <v>0</v>
      </c>
    </row>
    <row r="77" customFormat="1" spans="1:5">
      <c r="A77">
        <v>101204</v>
      </c>
      <c r="D77">
        <v>101204</v>
      </c>
      <c r="E77">
        <v>0</v>
      </c>
    </row>
    <row r="78" customFormat="1" spans="1:5">
      <c r="A78">
        <v>101301</v>
      </c>
      <c r="D78">
        <v>101301</v>
      </c>
      <c r="E78">
        <v>0</v>
      </c>
    </row>
    <row r="79" customFormat="1" spans="1:5">
      <c r="A79">
        <v>101302</v>
      </c>
      <c r="D79">
        <v>101302</v>
      </c>
      <c r="E79">
        <v>0</v>
      </c>
    </row>
    <row r="80" customFormat="1" spans="1:5">
      <c r="A80">
        <v>101303</v>
      </c>
      <c r="D80">
        <v>101303</v>
      </c>
      <c r="E80">
        <v>0</v>
      </c>
    </row>
    <row r="81" customFormat="1" spans="1:5">
      <c r="A81">
        <v>101304</v>
      </c>
      <c r="D81">
        <v>101304</v>
      </c>
      <c r="E81">
        <v>0</v>
      </c>
    </row>
    <row r="82" customFormat="1" spans="1:5">
      <c r="A82">
        <v>101401</v>
      </c>
      <c r="D82">
        <v>101401</v>
      </c>
      <c r="E82">
        <v>0</v>
      </c>
    </row>
    <row r="83" customFormat="1" spans="1:5">
      <c r="A83">
        <v>101402</v>
      </c>
      <c r="D83">
        <v>101402</v>
      </c>
      <c r="E83">
        <v>0</v>
      </c>
    </row>
    <row r="84" customFormat="1" spans="1:5">
      <c r="A84">
        <v>101403</v>
      </c>
      <c r="D84">
        <v>101403</v>
      </c>
      <c r="E84">
        <v>0</v>
      </c>
    </row>
    <row r="85" customFormat="1" spans="1:5">
      <c r="A85">
        <v>101404</v>
      </c>
      <c r="D85">
        <v>101404</v>
      </c>
      <c r="E85">
        <v>0</v>
      </c>
    </row>
    <row r="86" customFormat="1" spans="1:5">
      <c r="A86">
        <v>101501</v>
      </c>
      <c r="D86">
        <v>101501</v>
      </c>
      <c r="E86">
        <v>0</v>
      </c>
    </row>
    <row r="87" customFormat="1" spans="1:5">
      <c r="A87">
        <v>101502</v>
      </c>
      <c r="D87">
        <v>101502</v>
      </c>
      <c r="E87">
        <v>0</v>
      </c>
    </row>
    <row r="88" customFormat="1" spans="1:5">
      <c r="A88">
        <v>101503</v>
      </c>
      <c r="D88">
        <v>101503</v>
      </c>
      <c r="E88">
        <v>0</v>
      </c>
    </row>
    <row r="89" customFormat="1" spans="1:5">
      <c r="A89">
        <v>101504</v>
      </c>
      <c r="D89">
        <v>101504</v>
      </c>
      <c r="E89">
        <v>0</v>
      </c>
    </row>
    <row r="90" customFormat="1" spans="1:5">
      <c r="A90">
        <v>101601</v>
      </c>
      <c r="D90">
        <v>101601</v>
      </c>
      <c r="E90">
        <v>0</v>
      </c>
    </row>
    <row r="91" customFormat="1" spans="1:5">
      <c r="A91">
        <v>101602</v>
      </c>
      <c r="D91">
        <v>101602</v>
      </c>
      <c r="E91">
        <v>0</v>
      </c>
    </row>
    <row r="92" customFormat="1" spans="1:5">
      <c r="A92">
        <v>101603</v>
      </c>
      <c r="D92">
        <v>101603</v>
      </c>
      <c r="E92">
        <v>0</v>
      </c>
    </row>
    <row r="93" customFormat="1" spans="1:5">
      <c r="A93">
        <v>101604</v>
      </c>
      <c r="D93">
        <v>101604</v>
      </c>
      <c r="E93">
        <v>0</v>
      </c>
    </row>
    <row r="94" customFormat="1" spans="1:5">
      <c r="A94">
        <v>101701</v>
      </c>
      <c r="D94">
        <v>101701</v>
      </c>
      <c r="E94">
        <v>0</v>
      </c>
    </row>
    <row r="95" customFormat="1" spans="1:5">
      <c r="A95">
        <v>101702</v>
      </c>
      <c r="D95">
        <v>101702</v>
      </c>
      <c r="E95">
        <v>0</v>
      </c>
    </row>
    <row r="96" customFormat="1" spans="1:5">
      <c r="A96">
        <v>101703</v>
      </c>
      <c r="D96">
        <v>101703</v>
      </c>
      <c r="E96">
        <v>0</v>
      </c>
    </row>
    <row r="97" customFormat="1" spans="1:5">
      <c r="A97">
        <v>101704</v>
      </c>
      <c r="D97">
        <v>101704</v>
      </c>
      <c r="E97">
        <v>0</v>
      </c>
    </row>
    <row r="98" customFormat="1" spans="1:5">
      <c r="A98">
        <v>101705</v>
      </c>
      <c r="D98">
        <v>101705</v>
      </c>
      <c r="E98">
        <v>0</v>
      </c>
    </row>
    <row r="99" customFormat="1" spans="1:5">
      <c r="A99">
        <v>101801</v>
      </c>
      <c r="D99">
        <v>101801</v>
      </c>
      <c r="E99">
        <v>0</v>
      </c>
    </row>
    <row r="100" customFormat="1" spans="1:5">
      <c r="A100">
        <v>101802</v>
      </c>
      <c r="D100">
        <v>101802</v>
      </c>
      <c r="E100">
        <v>0</v>
      </c>
    </row>
    <row r="101" customFormat="1" spans="1:5">
      <c r="A101">
        <v>101803</v>
      </c>
      <c r="D101">
        <v>101803</v>
      </c>
      <c r="E101">
        <v>0</v>
      </c>
    </row>
    <row r="102" customFormat="1" spans="1:5">
      <c r="A102">
        <v>101804</v>
      </c>
      <c r="D102">
        <v>101804</v>
      </c>
      <c r="E102">
        <v>0</v>
      </c>
    </row>
    <row r="103" customFormat="1" spans="1:5">
      <c r="A103">
        <v>101805</v>
      </c>
      <c r="D103">
        <v>101805</v>
      </c>
      <c r="E103">
        <v>0</v>
      </c>
    </row>
    <row r="104" customFormat="1" spans="1:5">
      <c r="A104">
        <v>101901</v>
      </c>
      <c r="D104">
        <v>101901</v>
      </c>
      <c r="E104">
        <v>0</v>
      </c>
    </row>
    <row r="105" customFormat="1" spans="1:5">
      <c r="A105">
        <v>101902</v>
      </c>
      <c r="D105">
        <v>101902</v>
      </c>
      <c r="E105">
        <v>0</v>
      </c>
    </row>
    <row r="106" customFormat="1" spans="1:5">
      <c r="A106">
        <v>101903</v>
      </c>
      <c r="D106">
        <v>101903</v>
      </c>
      <c r="E106">
        <v>0</v>
      </c>
    </row>
    <row r="107" customFormat="1" spans="1:5">
      <c r="A107">
        <v>101904</v>
      </c>
      <c r="D107">
        <v>101904</v>
      </c>
      <c r="E107">
        <v>0</v>
      </c>
    </row>
    <row r="108" customFormat="1" spans="1:5">
      <c r="A108">
        <v>102001</v>
      </c>
      <c r="D108">
        <v>102001</v>
      </c>
      <c r="E108">
        <v>0</v>
      </c>
    </row>
    <row r="109" customFormat="1" spans="1:5">
      <c r="A109">
        <v>102002</v>
      </c>
      <c r="D109">
        <v>102002</v>
      </c>
      <c r="E109">
        <v>0</v>
      </c>
    </row>
    <row r="110" customFormat="1" spans="1:5">
      <c r="A110">
        <v>102003</v>
      </c>
      <c r="D110">
        <v>102003</v>
      </c>
      <c r="E110">
        <v>0</v>
      </c>
    </row>
    <row r="111" customFormat="1" spans="1:5">
      <c r="A111">
        <v>102004</v>
      </c>
      <c r="D111">
        <v>102004</v>
      </c>
      <c r="E111">
        <v>0</v>
      </c>
    </row>
    <row r="112" customFormat="1" spans="1:5">
      <c r="A112">
        <v>102101</v>
      </c>
      <c r="D112">
        <v>102101</v>
      </c>
      <c r="E112">
        <v>0</v>
      </c>
    </row>
    <row r="113" customFormat="1" spans="1:5">
      <c r="A113">
        <v>102102</v>
      </c>
      <c r="D113">
        <v>102102</v>
      </c>
      <c r="E113">
        <v>0</v>
      </c>
    </row>
    <row r="114" customFormat="1" spans="1:5">
      <c r="A114">
        <v>102103</v>
      </c>
      <c r="D114">
        <v>102103</v>
      </c>
      <c r="E114">
        <v>0</v>
      </c>
    </row>
    <row r="115" customFormat="1" spans="1:5">
      <c r="A115">
        <v>102104</v>
      </c>
      <c r="D115">
        <v>102104</v>
      </c>
      <c r="E115">
        <v>0</v>
      </c>
    </row>
    <row r="116" customFormat="1" spans="1:5">
      <c r="A116">
        <v>102201</v>
      </c>
      <c r="D116">
        <v>102201</v>
      </c>
      <c r="E116">
        <v>0</v>
      </c>
    </row>
    <row r="117" customFormat="1" spans="1:5">
      <c r="A117">
        <v>102202</v>
      </c>
      <c r="D117">
        <v>102202</v>
      </c>
      <c r="E117">
        <v>0</v>
      </c>
    </row>
    <row r="118" customFormat="1" spans="1:5">
      <c r="A118">
        <v>102203</v>
      </c>
      <c r="D118">
        <v>102203</v>
      </c>
      <c r="E118">
        <v>0</v>
      </c>
    </row>
    <row r="119" customFormat="1" spans="1:5">
      <c r="A119">
        <v>102204</v>
      </c>
      <c r="D119">
        <v>102204</v>
      </c>
      <c r="E119">
        <v>0</v>
      </c>
    </row>
    <row r="120" customFormat="1" spans="1:5">
      <c r="A120">
        <v>102301</v>
      </c>
      <c r="D120">
        <v>102301</v>
      </c>
      <c r="E120">
        <v>0</v>
      </c>
    </row>
    <row r="121" customFormat="1" spans="1:5">
      <c r="A121">
        <v>102302</v>
      </c>
      <c r="D121">
        <v>102302</v>
      </c>
      <c r="E121">
        <v>0</v>
      </c>
    </row>
    <row r="122" customFormat="1" spans="1:5">
      <c r="A122">
        <v>102303</v>
      </c>
      <c r="D122">
        <v>102303</v>
      </c>
      <c r="E122">
        <v>0</v>
      </c>
    </row>
    <row r="123" customFormat="1" spans="1:5">
      <c r="A123">
        <v>102304</v>
      </c>
      <c r="D123">
        <v>102304</v>
      </c>
      <c r="E123">
        <v>0</v>
      </c>
    </row>
    <row r="124" customFormat="1" spans="1:5">
      <c r="A124">
        <v>102401</v>
      </c>
      <c r="B124" t="s">
        <v>339</v>
      </c>
      <c r="C124"/>
      <c r="D124" t="s">
        <v>340</v>
      </c>
      <c r="E124">
        <v>0</v>
      </c>
    </row>
    <row r="125" customFormat="1" spans="1:5">
      <c r="A125">
        <v>102402</v>
      </c>
      <c r="D125" t="s">
        <v>341</v>
      </c>
      <c r="E125">
        <v>0</v>
      </c>
    </row>
    <row r="126" customFormat="1" spans="1:5">
      <c r="A126">
        <v>102403</v>
      </c>
      <c r="D126" t="s">
        <v>341</v>
      </c>
      <c r="E126">
        <v>0</v>
      </c>
    </row>
    <row r="127" customFormat="1" spans="1:5">
      <c r="A127">
        <v>102404</v>
      </c>
      <c r="D127" t="s">
        <v>341</v>
      </c>
      <c r="E127">
        <v>0</v>
      </c>
    </row>
    <row r="128" customFormat="1" spans="1:5">
      <c r="A128">
        <v>102501</v>
      </c>
      <c r="D128" t="s">
        <v>342</v>
      </c>
      <c r="E128">
        <v>0</v>
      </c>
    </row>
    <row r="129" customFormat="1" spans="1:5">
      <c r="A129">
        <v>102502</v>
      </c>
      <c r="D129" t="s">
        <v>343</v>
      </c>
      <c r="E129">
        <v>0</v>
      </c>
    </row>
    <row r="130" customFormat="1" spans="1:5">
      <c r="A130">
        <v>102503</v>
      </c>
      <c r="D130">
        <v>102511</v>
      </c>
      <c r="E130">
        <v>0</v>
      </c>
    </row>
    <row r="131" customFormat="1" spans="1:5">
      <c r="A131">
        <v>102504</v>
      </c>
      <c r="D131">
        <v>102512</v>
      </c>
      <c r="E131">
        <v>0</v>
      </c>
    </row>
    <row r="132" customFormat="1" spans="1:5">
      <c r="A132">
        <v>102601</v>
      </c>
      <c r="D132" t="s">
        <v>344</v>
      </c>
      <c r="E132">
        <v>0</v>
      </c>
    </row>
    <row r="133" customFormat="1" spans="1:5">
      <c r="A133">
        <v>102602</v>
      </c>
      <c r="D133" t="s">
        <v>345</v>
      </c>
      <c r="E133">
        <v>0</v>
      </c>
    </row>
    <row r="134" customFormat="1" spans="1:5">
      <c r="A134">
        <v>102603</v>
      </c>
      <c r="D134">
        <v>102611</v>
      </c>
      <c r="E134">
        <v>0</v>
      </c>
    </row>
    <row r="135" customFormat="1" spans="1:5">
      <c r="A135">
        <v>102604</v>
      </c>
      <c r="D135">
        <v>102612</v>
      </c>
      <c r="E135">
        <v>0</v>
      </c>
    </row>
    <row r="136" customFormat="1" spans="1:5">
      <c r="A136">
        <v>102701</v>
      </c>
      <c r="D136" t="s">
        <v>346</v>
      </c>
      <c r="E136">
        <v>0</v>
      </c>
    </row>
    <row r="137" customFormat="1" spans="1:5">
      <c r="A137">
        <v>102702</v>
      </c>
      <c r="D137" t="s">
        <v>347</v>
      </c>
      <c r="E137">
        <v>0</v>
      </c>
    </row>
    <row r="138" customFormat="1" spans="1:5">
      <c r="A138">
        <v>102703</v>
      </c>
      <c r="D138">
        <v>102711</v>
      </c>
      <c r="E138">
        <v>0</v>
      </c>
    </row>
    <row r="139" customFormat="1" spans="1:5">
      <c r="A139">
        <v>102704</v>
      </c>
      <c r="D139">
        <v>102712</v>
      </c>
      <c r="E139">
        <v>0</v>
      </c>
    </row>
    <row r="140" spans="1:5">
      <c r="A140" s="10">
        <v>90001</v>
      </c>
      <c r="D140" s="10">
        <v>90001</v>
      </c>
      <c r="E140">
        <v>0</v>
      </c>
    </row>
    <row r="141" spans="1:5">
      <c r="A141" s="10">
        <v>90002</v>
      </c>
      <c r="D141" s="10">
        <v>90002</v>
      </c>
      <c r="E141">
        <v>0</v>
      </c>
    </row>
    <row r="142" spans="1:5">
      <c r="A142" s="10">
        <v>90003</v>
      </c>
      <c r="D142" s="10">
        <v>90003</v>
      </c>
      <c r="E142">
        <v>0</v>
      </c>
    </row>
    <row r="143" spans="1:5">
      <c r="A143" s="10">
        <v>90004</v>
      </c>
      <c r="D143" s="10">
        <v>90004</v>
      </c>
      <c r="E143">
        <v>0</v>
      </c>
    </row>
    <row r="144" spans="1:5">
      <c r="A144" s="10">
        <v>90005</v>
      </c>
      <c r="D144" s="10">
        <v>90005</v>
      </c>
      <c r="E144">
        <v>0</v>
      </c>
    </row>
    <row r="145" spans="1:5">
      <c r="A145" s="10">
        <v>90006</v>
      </c>
      <c r="D145" s="10">
        <v>90006</v>
      </c>
      <c r="E145">
        <v>0</v>
      </c>
    </row>
    <row r="146" spans="1:5">
      <c r="A146" s="10">
        <v>90007</v>
      </c>
      <c r="D146" s="10">
        <v>90007</v>
      </c>
      <c r="E146">
        <v>0</v>
      </c>
    </row>
    <row r="147" spans="1:5">
      <c r="A147" s="10">
        <v>90008</v>
      </c>
      <c r="D147" s="10">
        <v>90008</v>
      </c>
      <c r="E147">
        <v>0</v>
      </c>
    </row>
    <row r="148" spans="1:5">
      <c r="A148" s="10">
        <v>90009</v>
      </c>
      <c r="D148" s="10">
        <v>90009</v>
      </c>
      <c r="E148">
        <v>0</v>
      </c>
    </row>
    <row r="149" spans="1:5">
      <c r="A149" s="10">
        <v>90010</v>
      </c>
      <c r="D149" s="10">
        <v>90010</v>
      </c>
      <c r="E149">
        <v>0</v>
      </c>
    </row>
    <row r="150" spans="1:5">
      <c r="A150" s="10">
        <v>90011</v>
      </c>
      <c r="D150" s="10">
        <v>90011</v>
      </c>
      <c r="E150">
        <v>0</v>
      </c>
    </row>
    <row r="151" spans="1:5">
      <c r="A151" s="10">
        <v>90012</v>
      </c>
      <c r="D151" s="10">
        <v>90012</v>
      </c>
      <c r="E151">
        <v>0</v>
      </c>
    </row>
    <row r="152" spans="1:5">
      <c r="A152" s="10">
        <v>90013</v>
      </c>
      <c r="D152" s="10">
        <v>90013</v>
      </c>
      <c r="E152">
        <v>0</v>
      </c>
    </row>
    <row r="153" spans="1:5">
      <c r="A153" s="10">
        <v>90014</v>
      </c>
      <c r="D153" s="10">
        <v>90014</v>
      </c>
      <c r="E153">
        <v>0</v>
      </c>
    </row>
    <row r="154" spans="1:5">
      <c r="A154" s="10">
        <v>90015</v>
      </c>
      <c r="D154" s="10">
        <v>90015</v>
      </c>
      <c r="E154">
        <v>0</v>
      </c>
    </row>
    <row r="155" spans="1:5">
      <c r="A155" s="10">
        <v>90016</v>
      </c>
      <c r="D155" s="10">
        <v>90016</v>
      </c>
      <c r="E155">
        <v>0</v>
      </c>
    </row>
    <row r="156" spans="1:5">
      <c r="A156" s="10">
        <v>90017</v>
      </c>
      <c r="D156" s="10">
        <v>90017</v>
      </c>
      <c r="E156">
        <v>0</v>
      </c>
    </row>
    <row r="157" spans="1:5">
      <c r="A157" s="10">
        <v>90018</v>
      </c>
      <c r="D157" s="10">
        <v>90018</v>
      </c>
      <c r="E157">
        <v>0</v>
      </c>
    </row>
    <row r="158" spans="1:5">
      <c r="A158" s="10">
        <v>90019</v>
      </c>
      <c r="D158" s="10">
        <v>90019</v>
      </c>
      <c r="E158">
        <v>0</v>
      </c>
    </row>
    <row r="159" spans="1:5">
      <c r="A159" s="10">
        <v>90020</v>
      </c>
      <c r="D159" s="10">
        <v>90020</v>
      </c>
      <c r="E159">
        <v>0</v>
      </c>
    </row>
    <row r="160" spans="1:5">
      <c r="A160" s="10">
        <v>90021</v>
      </c>
      <c r="D160" s="10">
        <v>90021</v>
      </c>
      <c r="E160">
        <v>0</v>
      </c>
    </row>
    <row r="161" spans="1:5">
      <c r="A161" s="10">
        <v>90022</v>
      </c>
      <c r="D161" s="10">
        <v>90022</v>
      </c>
      <c r="E161">
        <v>0</v>
      </c>
    </row>
    <row r="162" spans="1:5">
      <c r="A162" s="10">
        <v>90023</v>
      </c>
      <c r="D162" s="10">
        <v>90023</v>
      </c>
      <c r="E162">
        <v>0</v>
      </c>
    </row>
    <row r="163" spans="1:5">
      <c r="A163" s="10">
        <v>90024</v>
      </c>
      <c r="D163" s="10">
        <v>90024</v>
      </c>
      <c r="E163">
        <v>0</v>
      </c>
    </row>
    <row r="164" spans="1:5">
      <c r="A164" s="10">
        <v>90025</v>
      </c>
      <c r="D164" s="10">
        <v>90025</v>
      </c>
      <c r="E164">
        <v>0</v>
      </c>
    </row>
    <row r="165" spans="1:5">
      <c r="A165" s="10">
        <v>90026</v>
      </c>
      <c r="D165" s="10">
        <v>90026</v>
      </c>
      <c r="E165">
        <v>0</v>
      </c>
    </row>
    <row r="166" spans="1:5">
      <c r="A166" s="10">
        <v>90027</v>
      </c>
      <c r="D166" s="10">
        <v>90027</v>
      </c>
      <c r="E166">
        <v>0</v>
      </c>
    </row>
    <row r="167" spans="1:5">
      <c r="A167" s="10">
        <v>90028</v>
      </c>
      <c r="D167" s="10">
        <v>90028</v>
      </c>
      <c r="E167">
        <v>0</v>
      </c>
    </row>
    <row r="168" spans="1:5">
      <c r="A168" s="10">
        <v>90029</v>
      </c>
      <c r="D168" s="10">
        <v>90029</v>
      </c>
      <c r="E168">
        <v>0</v>
      </c>
    </row>
    <row r="169" spans="1:5">
      <c r="A169" s="10">
        <v>90030</v>
      </c>
      <c r="D169" s="10">
        <v>90030</v>
      </c>
      <c r="E169">
        <v>0</v>
      </c>
    </row>
    <row r="170" spans="1:5">
      <c r="A170" s="10">
        <v>90031</v>
      </c>
      <c r="D170" s="10">
        <v>90031</v>
      </c>
      <c r="E170">
        <v>0</v>
      </c>
    </row>
    <row r="171" spans="1:5">
      <c r="A171" s="10">
        <v>90032</v>
      </c>
      <c r="D171" s="10">
        <v>90032</v>
      </c>
      <c r="E171">
        <v>0</v>
      </c>
    </row>
    <row r="172" spans="1:5">
      <c r="A172" s="10">
        <v>90033</v>
      </c>
      <c r="D172" s="10">
        <v>90033</v>
      </c>
      <c r="E172">
        <v>0</v>
      </c>
    </row>
    <row r="173" spans="1:5">
      <c r="A173" s="10">
        <v>90034</v>
      </c>
      <c r="D173" s="10">
        <v>90034</v>
      </c>
      <c r="E173">
        <v>0</v>
      </c>
    </row>
    <row r="174" spans="1:5">
      <c r="A174" s="10">
        <v>90035</v>
      </c>
      <c r="D174" s="10">
        <v>90035</v>
      </c>
      <c r="E174">
        <v>0</v>
      </c>
    </row>
    <row r="175" spans="1:5">
      <c r="A175" s="10">
        <v>90036</v>
      </c>
      <c r="D175" s="10">
        <v>90036</v>
      </c>
      <c r="E175">
        <v>0</v>
      </c>
    </row>
    <row r="176" spans="1:5">
      <c r="A176" s="10">
        <v>90037</v>
      </c>
      <c r="D176" s="10">
        <v>90037</v>
      </c>
      <c r="E176">
        <v>0</v>
      </c>
    </row>
    <row r="177" spans="1:5">
      <c r="A177" s="10">
        <v>90038</v>
      </c>
      <c r="D177" s="10">
        <v>90038</v>
      </c>
      <c r="E177">
        <v>0</v>
      </c>
    </row>
    <row r="178" spans="1:5">
      <c r="A178" s="10">
        <v>90039</v>
      </c>
      <c r="D178" s="10">
        <v>90039</v>
      </c>
      <c r="E178">
        <v>0</v>
      </c>
    </row>
    <row r="179" spans="1:5">
      <c r="A179" s="10">
        <v>90040</v>
      </c>
      <c r="D179" s="10">
        <v>90040</v>
      </c>
      <c r="E179">
        <v>0</v>
      </c>
    </row>
    <row r="180" spans="1:5">
      <c r="A180" s="10">
        <v>90041</v>
      </c>
      <c r="D180" s="10">
        <v>90041</v>
      </c>
      <c r="E180">
        <v>0</v>
      </c>
    </row>
    <row r="181" spans="1:5">
      <c r="A181" s="10">
        <v>90042</v>
      </c>
      <c r="D181" s="10">
        <v>90042</v>
      </c>
      <c r="E181">
        <v>0</v>
      </c>
    </row>
    <row r="182" spans="1:5">
      <c r="A182" s="10">
        <v>90043</v>
      </c>
      <c r="D182" s="10">
        <v>90043</v>
      </c>
      <c r="E182">
        <v>0</v>
      </c>
    </row>
    <row r="183" spans="1:5">
      <c r="A183" s="10">
        <v>90044</v>
      </c>
      <c r="D183" s="10">
        <v>90044</v>
      </c>
      <c r="E183">
        <v>0</v>
      </c>
    </row>
    <row r="184" spans="1:5">
      <c r="A184" s="10">
        <v>90045</v>
      </c>
      <c r="D184" s="10">
        <v>90045</v>
      </c>
      <c r="E184">
        <v>0</v>
      </c>
    </row>
    <row r="185" spans="1:5">
      <c r="A185" s="10">
        <v>90046</v>
      </c>
      <c r="D185" s="10">
        <v>90046</v>
      </c>
      <c r="E185">
        <v>0</v>
      </c>
    </row>
    <row r="186" spans="1:5">
      <c r="A186" s="10">
        <v>90047</v>
      </c>
      <c r="D186" s="10">
        <v>90047</v>
      </c>
      <c r="E186">
        <v>0</v>
      </c>
    </row>
    <row r="187" spans="1:5">
      <c r="A187" s="10">
        <v>90048</v>
      </c>
      <c r="D187" s="10">
        <v>90048</v>
      </c>
      <c r="E187">
        <v>0</v>
      </c>
    </row>
    <row r="188" spans="1:5">
      <c r="A188" s="10">
        <v>90049</v>
      </c>
      <c r="D188" s="10">
        <v>90049</v>
      </c>
      <c r="E188">
        <v>0</v>
      </c>
    </row>
    <row r="189" spans="1:5">
      <c r="A189" s="10">
        <v>90050</v>
      </c>
      <c r="D189" s="10">
        <v>90050</v>
      </c>
      <c r="E189">
        <v>0</v>
      </c>
    </row>
    <row r="190" spans="1:5">
      <c r="A190" s="10">
        <v>90051</v>
      </c>
      <c r="D190" s="10">
        <v>90051</v>
      </c>
      <c r="E190">
        <v>0</v>
      </c>
    </row>
    <row r="191" spans="1:5">
      <c r="A191" s="10">
        <v>90052</v>
      </c>
      <c r="D191" s="10">
        <v>90052</v>
      </c>
      <c r="E191">
        <v>0</v>
      </c>
    </row>
    <row r="192" spans="1:5">
      <c r="A192" s="10">
        <v>90053</v>
      </c>
      <c r="D192" s="10">
        <v>90053</v>
      </c>
      <c r="E192">
        <v>0</v>
      </c>
    </row>
    <row r="193" spans="1:5">
      <c r="A193" s="10">
        <v>90054</v>
      </c>
      <c r="D193" s="10">
        <v>90054</v>
      </c>
      <c r="E193">
        <v>0</v>
      </c>
    </row>
    <row r="194" spans="1:5">
      <c r="A194" s="10">
        <v>90055</v>
      </c>
      <c r="D194" s="10">
        <v>90055</v>
      </c>
      <c r="E194">
        <v>0</v>
      </c>
    </row>
    <row r="195" spans="1:5">
      <c r="A195" s="10">
        <v>90056</v>
      </c>
      <c r="D195" s="10">
        <v>90056</v>
      </c>
      <c r="E195">
        <v>0</v>
      </c>
    </row>
    <row r="196" spans="1:5">
      <c r="A196" s="10">
        <v>90057</v>
      </c>
      <c r="D196" s="10">
        <v>90057</v>
      </c>
      <c r="E196">
        <v>0</v>
      </c>
    </row>
    <row r="197" spans="1:5">
      <c r="A197" s="10">
        <v>90058</v>
      </c>
      <c r="D197" s="10">
        <v>90058</v>
      </c>
      <c r="E197">
        <v>0</v>
      </c>
    </row>
    <row r="198" spans="1:5">
      <c r="A198" s="10">
        <v>90059</v>
      </c>
      <c r="D198" s="10">
        <v>90059</v>
      </c>
      <c r="E198">
        <v>0</v>
      </c>
    </row>
    <row r="199" spans="1:5">
      <c r="A199" s="10">
        <v>90060</v>
      </c>
      <c r="D199" s="10">
        <v>90060</v>
      </c>
      <c r="E199">
        <v>0</v>
      </c>
    </row>
    <row r="200" spans="1:5">
      <c r="A200" s="10">
        <v>90061</v>
      </c>
      <c r="D200" s="10">
        <v>90061</v>
      </c>
      <c r="E200">
        <v>0</v>
      </c>
    </row>
    <row r="201" spans="1:5">
      <c r="A201" s="10">
        <v>90062</v>
      </c>
      <c r="D201" s="10">
        <v>90062</v>
      </c>
      <c r="E201">
        <v>0</v>
      </c>
    </row>
    <row r="202" spans="1:5">
      <c r="A202" s="10">
        <v>90063</v>
      </c>
      <c r="D202" s="10">
        <v>90063</v>
      </c>
      <c r="E202">
        <v>0</v>
      </c>
    </row>
    <row r="203" spans="1:5">
      <c r="A203" s="10">
        <v>90064</v>
      </c>
      <c r="D203" s="10">
        <v>90064</v>
      </c>
      <c r="E203">
        <v>0</v>
      </c>
    </row>
    <row r="204" spans="1:5">
      <c r="A204" s="10">
        <v>90065</v>
      </c>
      <c r="D204" s="10">
        <v>90065</v>
      </c>
      <c r="E204">
        <v>0</v>
      </c>
    </row>
    <row r="205" spans="1:5">
      <c r="A205" s="10">
        <v>90066</v>
      </c>
      <c r="D205" s="10">
        <v>90066</v>
      </c>
      <c r="E205">
        <v>0</v>
      </c>
    </row>
    <row r="206" spans="1:5">
      <c r="A206" s="10">
        <v>90067</v>
      </c>
      <c r="D206" s="10">
        <v>90067</v>
      </c>
      <c r="E206">
        <v>0</v>
      </c>
    </row>
    <row r="207" spans="1:5">
      <c r="A207" s="10">
        <v>90068</v>
      </c>
      <c r="D207" s="10">
        <v>90068</v>
      </c>
      <c r="E207">
        <v>0</v>
      </c>
    </row>
    <row r="208" spans="1:5">
      <c r="A208" s="10">
        <v>90069</v>
      </c>
      <c r="D208" s="10">
        <v>90069</v>
      </c>
      <c r="E208">
        <v>0</v>
      </c>
    </row>
    <row r="209" spans="1:5">
      <c r="A209" s="10">
        <v>90070</v>
      </c>
      <c r="D209" s="10">
        <v>90070</v>
      </c>
      <c r="E209">
        <v>0</v>
      </c>
    </row>
    <row r="210" spans="1:5">
      <c r="A210" s="10">
        <v>90071</v>
      </c>
      <c r="D210" s="10">
        <v>90071</v>
      </c>
      <c r="E210">
        <v>0</v>
      </c>
    </row>
    <row r="211" spans="1:5">
      <c r="A211" s="10">
        <v>90072</v>
      </c>
      <c r="D211" s="10">
        <v>90072</v>
      </c>
      <c r="E211">
        <v>0</v>
      </c>
    </row>
    <row r="212" spans="1:5">
      <c r="A212" s="10">
        <v>90073</v>
      </c>
      <c r="D212" s="10">
        <v>90073</v>
      </c>
      <c r="E212">
        <v>0</v>
      </c>
    </row>
    <row r="213" spans="1:5">
      <c r="A213" s="10">
        <v>90074</v>
      </c>
      <c r="D213" s="10">
        <v>90074</v>
      </c>
      <c r="E213">
        <v>0</v>
      </c>
    </row>
    <row r="214" spans="1:5">
      <c r="A214" s="10">
        <v>90075</v>
      </c>
      <c r="D214" s="10">
        <v>90075</v>
      </c>
      <c r="E214">
        <v>0</v>
      </c>
    </row>
    <row r="215" spans="1:5">
      <c r="A215" s="10">
        <v>90076</v>
      </c>
      <c r="D215" s="10">
        <v>90076</v>
      </c>
      <c r="E215">
        <v>0</v>
      </c>
    </row>
    <row r="216" spans="1:5">
      <c r="A216" s="10">
        <v>90077</v>
      </c>
      <c r="D216" s="10">
        <v>90077</v>
      </c>
      <c r="E216">
        <v>0</v>
      </c>
    </row>
    <row r="217" spans="1:5">
      <c r="A217" s="10">
        <v>90078</v>
      </c>
      <c r="D217" s="10">
        <v>90078</v>
      </c>
      <c r="E217">
        <v>0</v>
      </c>
    </row>
    <row r="218" spans="1:5">
      <c r="A218" s="10">
        <v>90079</v>
      </c>
      <c r="D218" s="10">
        <v>90079</v>
      </c>
      <c r="E218">
        <v>0</v>
      </c>
    </row>
    <row r="219" spans="1:5">
      <c r="A219" s="10">
        <v>90080</v>
      </c>
      <c r="D219" s="10">
        <v>90080</v>
      </c>
      <c r="E219">
        <v>0</v>
      </c>
    </row>
    <row r="220" spans="1:5">
      <c r="A220" s="10">
        <v>90081</v>
      </c>
      <c r="D220" s="10">
        <v>90081</v>
      </c>
      <c r="E220">
        <v>0</v>
      </c>
    </row>
    <row r="221" spans="1:5">
      <c r="A221" s="10">
        <v>90082</v>
      </c>
      <c r="D221" s="10">
        <v>90082</v>
      </c>
      <c r="E221">
        <v>0</v>
      </c>
    </row>
    <row r="222" spans="1:5">
      <c r="A222" s="10">
        <v>90083</v>
      </c>
      <c r="D222" s="10">
        <v>90083</v>
      </c>
      <c r="E222">
        <v>0</v>
      </c>
    </row>
    <row r="223" spans="1:5">
      <c r="A223" s="10">
        <v>90084</v>
      </c>
      <c r="D223" s="10">
        <v>90084</v>
      </c>
      <c r="E223">
        <v>0</v>
      </c>
    </row>
    <row r="224" spans="1:5">
      <c r="A224" s="10">
        <v>90085</v>
      </c>
      <c r="D224" s="10">
        <v>90085</v>
      </c>
      <c r="E224">
        <v>0</v>
      </c>
    </row>
    <row r="225" spans="1:5">
      <c r="A225" s="10">
        <v>90086</v>
      </c>
      <c r="D225" s="10">
        <v>90086</v>
      </c>
      <c r="E225">
        <v>0</v>
      </c>
    </row>
    <row r="226" spans="1:5">
      <c r="A226" s="10">
        <v>90087</v>
      </c>
      <c r="D226" s="10">
        <v>90087</v>
      </c>
      <c r="E226">
        <v>0</v>
      </c>
    </row>
    <row r="227" spans="1:5">
      <c r="A227" s="10">
        <v>90088</v>
      </c>
      <c r="D227" s="10">
        <v>90088</v>
      </c>
      <c r="E227">
        <v>0</v>
      </c>
    </row>
    <row r="228" spans="1:5">
      <c r="A228" s="10">
        <v>90089</v>
      </c>
      <c r="D228" s="10">
        <v>90089</v>
      </c>
      <c r="E228">
        <v>0</v>
      </c>
    </row>
    <row r="229" spans="1:5">
      <c r="A229" s="10">
        <v>90090</v>
      </c>
      <c r="D229" s="10">
        <v>90090</v>
      </c>
      <c r="E229">
        <v>0</v>
      </c>
    </row>
    <row r="230" spans="1:5">
      <c r="A230" s="10">
        <v>90091</v>
      </c>
      <c r="D230" s="10">
        <v>90091</v>
      </c>
      <c r="E230">
        <v>0</v>
      </c>
    </row>
    <row r="231" spans="1:5">
      <c r="A231" s="10">
        <v>90092</v>
      </c>
      <c r="D231" s="10">
        <v>90092</v>
      </c>
      <c r="E231">
        <v>0</v>
      </c>
    </row>
    <row r="232" spans="1:5">
      <c r="A232" s="10">
        <v>90093</v>
      </c>
      <c r="D232" s="10">
        <v>90093</v>
      </c>
      <c r="E232">
        <v>0</v>
      </c>
    </row>
    <row r="233" spans="1:5">
      <c r="A233" s="10">
        <v>90094</v>
      </c>
      <c r="D233" s="10">
        <v>90094</v>
      </c>
      <c r="E233">
        <v>0</v>
      </c>
    </row>
    <row r="234" spans="1:5">
      <c r="A234" s="10">
        <v>90095</v>
      </c>
      <c r="D234" s="10">
        <v>90095</v>
      </c>
      <c r="E234">
        <v>0</v>
      </c>
    </row>
    <row r="235" spans="1:5">
      <c r="A235" s="10">
        <v>90096</v>
      </c>
      <c r="D235" s="10">
        <v>90096</v>
      </c>
      <c r="E235">
        <v>0</v>
      </c>
    </row>
    <row r="236" spans="1:5">
      <c r="A236" s="10">
        <v>90097</v>
      </c>
      <c r="D236" s="10">
        <v>90097</v>
      </c>
      <c r="E236">
        <v>0</v>
      </c>
    </row>
    <row r="237" spans="1:5">
      <c r="A237" s="10">
        <v>90098</v>
      </c>
      <c r="D237" s="10">
        <v>90098</v>
      </c>
      <c r="E237">
        <v>0</v>
      </c>
    </row>
    <row r="238" spans="1:5">
      <c r="A238" s="10">
        <v>90099</v>
      </c>
      <c r="D238" s="10">
        <v>90099</v>
      </c>
      <c r="E238">
        <v>0</v>
      </c>
    </row>
    <row r="239" spans="1:5">
      <c r="A239" s="10">
        <v>90100</v>
      </c>
      <c r="D239" s="10">
        <v>90100</v>
      </c>
      <c r="E239">
        <v>0</v>
      </c>
    </row>
    <row r="240" spans="1:5">
      <c r="A240" s="10">
        <v>90101</v>
      </c>
      <c r="D240" s="10">
        <v>90101</v>
      </c>
      <c r="E240">
        <v>0</v>
      </c>
    </row>
    <row r="241" spans="1:5">
      <c r="A241" s="10">
        <v>90102</v>
      </c>
      <c r="D241" s="10">
        <v>90102</v>
      </c>
      <c r="E241">
        <v>0</v>
      </c>
    </row>
    <row r="242" spans="1:5">
      <c r="A242" s="10">
        <v>90103</v>
      </c>
      <c r="D242" s="10">
        <v>90103</v>
      </c>
      <c r="E242">
        <v>0</v>
      </c>
    </row>
    <row r="243" spans="1:5">
      <c r="A243" s="10">
        <v>90104</v>
      </c>
      <c r="D243" s="10">
        <v>90104</v>
      </c>
      <c r="E243">
        <v>0</v>
      </c>
    </row>
    <row r="244" spans="1:5">
      <c r="A244" s="10">
        <v>90105</v>
      </c>
      <c r="D244" s="10">
        <v>90105</v>
      </c>
      <c r="E244">
        <v>0</v>
      </c>
    </row>
    <row r="245" spans="1:5">
      <c r="A245" s="10">
        <v>90106</v>
      </c>
      <c r="D245" s="10">
        <v>90106</v>
      </c>
      <c r="E245">
        <v>0</v>
      </c>
    </row>
    <row r="246" spans="1:5">
      <c r="A246" s="10">
        <v>90107</v>
      </c>
      <c r="D246" s="10">
        <v>90107</v>
      </c>
      <c r="E246">
        <v>0</v>
      </c>
    </row>
    <row r="247" spans="1:5">
      <c r="A247" s="10">
        <v>90108</v>
      </c>
      <c r="D247" s="10">
        <v>90108</v>
      </c>
      <c r="E247">
        <v>0</v>
      </c>
    </row>
    <row r="248" spans="1:5">
      <c r="A248" s="10">
        <v>90109</v>
      </c>
      <c r="D248" s="10">
        <v>90109</v>
      </c>
      <c r="E248">
        <v>0</v>
      </c>
    </row>
    <row r="249" spans="1:5">
      <c r="A249" s="10">
        <v>90110</v>
      </c>
      <c r="D249" s="10">
        <v>90110</v>
      </c>
      <c r="E249">
        <v>0</v>
      </c>
    </row>
    <row r="250" spans="1:5">
      <c r="A250" s="10">
        <v>90111</v>
      </c>
      <c r="D250" s="10">
        <v>90111</v>
      </c>
      <c r="E250">
        <v>0</v>
      </c>
    </row>
    <row r="251" spans="1:5">
      <c r="A251" s="10">
        <v>90112</v>
      </c>
      <c r="D251" s="10">
        <v>90112</v>
      </c>
      <c r="E251">
        <v>0</v>
      </c>
    </row>
    <row r="252" spans="1:5">
      <c r="A252" s="10">
        <v>90113</v>
      </c>
      <c r="D252" s="10">
        <v>90113</v>
      </c>
      <c r="E252">
        <v>0</v>
      </c>
    </row>
    <row r="253" spans="1:5">
      <c r="A253" s="10">
        <v>90114</v>
      </c>
      <c r="D253" s="10">
        <v>90114</v>
      </c>
      <c r="E253">
        <v>0</v>
      </c>
    </row>
    <row r="254" spans="1:5">
      <c r="A254" s="10">
        <v>90115</v>
      </c>
      <c r="D254" s="10">
        <v>90115</v>
      </c>
      <c r="E254">
        <v>0</v>
      </c>
    </row>
    <row r="255" spans="1:5">
      <c r="A255" s="10">
        <v>90116</v>
      </c>
      <c r="D255" s="10">
        <v>90116</v>
      </c>
      <c r="E255">
        <v>0</v>
      </c>
    </row>
    <row r="256" spans="1:5">
      <c r="A256" s="10">
        <v>90117</v>
      </c>
      <c r="D256" s="10">
        <v>90117</v>
      </c>
      <c r="E256">
        <v>0</v>
      </c>
    </row>
    <row r="257" spans="1:5">
      <c r="A257" s="10">
        <v>90118</v>
      </c>
      <c r="D257" s="10">
        <v>90118</v>
      </c>
      <c r="E257">
        <v>0</v>
      </c>
    </row>
    <row r="258" spans="1:5">
      <c r="A258" s="10">
        <v>90119</v>
      </c>
      <c r="D258" s="10">
        <v>90119</v>
      </c>
      <c r="E258">
        <v>0</v>
      </c>
    </row>
    <row r="259" spans="1:5">
      <c r="A259" s="10">
        <v>90120</v>
      </c>
      <c r="D259" s="10">
        <v>90120</v>
      </c>
      <c r="E259">
        <v>0</v>
      </c>
    </row>
    <row r="260" spans="1:5">
      <c r="A260" s="10">
        <v>90121</v>
      </c>
      <c r="D260" s="10">
        <v>90121</v>
      </c>
      <c r="E260">
        <v>0</v>
      </c>
    </row>
    <row r="261" spans="1:5">
      <c r="A261" s="10">
        <v>90122</v>
      </c>
      <c r="D261" s="10">
        <v>90122</v>
      </c>
      <c r="E261">
        <v>0</v>
      </c>
    </row>
    <row r="262" spans="1:5">
      <c r="A262" s="10">
        <v>90123</v>
      </c>
      <c r="D262" s="10">
        <v>90123</v>
      </c>
      <c r="E262">
        <v>0</v>
      </c>
    </row>
    <row r="263" spans="1:5">
      <c r="A263" s="10">
        <v>90124</v>
      </c>
      <c r="D263" s="10">
        <v>90124</v>
      </c>
      <c r="E263">
        <v>0</v>
      </c>
    </row>
    <row r="264" spans="1:5">
      <c r="A264" s="10">
        <v>90125</v>
      </c>
      <c r="D264" s="10">
        <v>90125</v>
      </c>
      <c r="E264">
        <v>0</v>
      </c>
    </row>
    <row r="265" spans="1:5">
      <c r="A265" s="10">
        <v>90126</v>
      </c>
      <c r="D265" s="10">
        <v>90126</v>
      </c>
      <c r="E265">
        <v>0</v>
      </c>
    </row>
    <row r="266" spans="1:5">
      <c r="A266" s="10">
        <v>90127</v>
      </c>
      <c r="D266" s="10">
        <v>90127</v>
      </c>
      <c r="E266">
        <v>0</v>
      </c>
    </row>
    <row r="267" spans="1:5">
      <c r="A267" s="10">
        <v>90128</v>
      </c>
      <c r="D267" s="10">
        <v>90128</v>
      </c>
      <c r="E267">
        <v>0</v>
      </c>
    </row>
    <row r="268" spans="1:5">
      <c r="A268" s="10">
        <v>90129</v>
      </c>
      <c r="D268" s="10">
        <v>90129</v>
      </c>
      <c r="E268">
        <v>0</v>
      </c>
    </row>
    <row r="269" spans="1:5">
      <c r="A269" s="10">
        <v>90130</v>
      </c>
      <c r="D269" s="10">
        <v>90130</v>
      </c>
      <c r="E269">
        <v>0</v>
      </c>
    </row>
    <row r="270" spans="1:5">
      <c r="A270" s="10">
        <v>90131</v>
      </c>
      <c r="D270" s="10">
        <v>90131</v>
      </c>
      <c r="E270">
        <v>0</v>
      </c>
    </row>
    <row r="271" spans="1:5">
      <c r="A271" s="10">
        <v>90132</v>
      </c>
      <c r="D271" s="10">
        <v>90132</v>
      </c>
      <c r="E271">
        <v>0</v>
      </c>
    </row>
    <row r="272" spans="1:5">
      <c r="A272" s="10">
        <v>90133</v>
      </c>
      <c r="D272" s="10">
        <v>90133</v>
      </c>
      <c r="E272">
        <v>0</v>
      </c>
    </row>
    <row r="273" spans="1:6">
      <c r="A273" s="10">
        <v>90134</v>
      </c>
      <c r="D273" s="10">
        <v>90134</v>
      </c>
      <c r="E273">
        <v>0</v>
      </c>
    </row>
    <row r="274" spans="1:6">
      <c r="A274" s="10">
        <v>90135</v>
      </c>
      <c r="D274" s="10">
        <v>90135</v>
      </c>
      <c r="E274">
        <v>0</v>
      </c>
    </row>
    <row r="275" spans="1:6">
      <c r="A275" s="10">
        <v>90136</v>
      </c>
      <c r="D275" s="10">
        <v>90136</v>
      </c>
      <c r="E275">
        <v>0</v>
      </c>
    </row>
    <row r="276" spans="1:6">
      <c r="A276" s="10">
        <v>90137</v>
      </c>
      <c r="D276" s="10">
        <v>90137</v>
      </c>
      <c r="E276">
        <v>0</v>
      </c>
    </row>
    <row r="277" spans="1:6">
      <c r="A277" s="10">
        <v>90138</v>
      </c>
      <c r="D277" s="10">
        <v>90138</v>
      </c>
      <c r="E277">
        <v>0</v>
      </c>
    </row>
    <row r="278" spans="1:6">
      <c r="A278" s="10">
        <v>90139</v>
      </c>
      <c r="D278" s="10" t="s">
        <v>348</v>
      </c>
      <c r="E278">
        <v>1</v>
      </c>
      <c r="F278" t="s">
        <v>349</v>
      </c>
    </row>
    <row r="279" spans="1:6">
      <c r="A279" s="10">
        <v>90140</v>
      </c>
      <c r="D279" s="10" t="s">
        <v>350</v>
      </c>
      <c r="E279">
        <v>1</v>
      </c>
      <c r="F279" t="s">
        <v>351</v>
      </c>
    </row>
    <row r="280" spans="1:6">
      <c r="A280" s="10">
        <v>90141</v>
      </c>
      <c r="D280" s="10" t="s">
        <v>352</v>
      </c>
      <c r="E280">
        <v>1</v>
      </c>
      <c r="F280" t="s">
        <v>353</v>
      </c>
    </row>
    <row r="281" spans="1:6">
      <c r="A281" s="10">
        <v>90142</v>
      </c>
      <c r="D281" s="10" t="s">
        <v>354</v>
      </c>
      <c r="E281">
        <v>1</v>
      </c>
      <c r="F281" t="s">
        <v>355</v>
      </c>
    </row>
    <row r="282" spans="1:6">
      <c r="A282" s="10">
        <v>90143</v>
      </c>
      <c r="D282" s="10" t="s">
        <v>356</v>
      </c>
      <c r="E282">
        <v>1</v>
      </c>
      <c r="F282" t="s">
        <v>357</v>
      </c>
    </row>
    <row r="283" spans="1:6">
      <c r="A283" s="10">
        <v>90144</v>
      </c>
      <c r="D283" s="10">
        <v>90144</v>
      </c>
      <c r="E283">
        <v>0</v>
      </c>
    </row>
    <row r="284" spans="1:6">
      <c r="A284" s="10">
        <v>90145</v>
      </c>
      <c r="D284" s="10">
        <v>90145</v>
      </c>
      <c r="E284">
        <v>0</v>
      </c>
    </row>
    <row r="285" spans="1:6">
      <c r="A285">
        <v>90158</v>
      </c>
      <c r="D285">
        <v>90158</v>
      </c>
      <c r="E285">
        <v>0</v>
      </c>
    </row>
    <row r="286" spans="1:6">
      <c r="A286">
        <v>90159</v>
      </c>
      <c r="D286">
        <v>90159</v>
      </c>
      <c r="E286">
        <v>0</v>
      </c>
    </row>
    <row r="287" spans="1:6">
      <c r="A287">
        <v>90160</v>
      </c>
      <c r="D287">
        <v>90160</v>
      </c>
      <c r="E287">
        <v>0</v>
      </c>
    </row>
    <row r="288" spans="1:6">
      <c r="A288">
        <v>90161</v>
      </c>
      <c r="D288">
        <v>90161</v>
      </c>
      <c r="E288">
        <v>0</v>
      </c>
    </row>
    <row r="289" spans="1:5">
      <c r="A289">
        <v>90162</v>
      </c>
      <c r="D289">
        <v>90162</v>
      </c>
      <c r="E289">
        <v>0</v>
      </c>
    </row>
    <row r="290" spans="1:5">
      <c r="A290">
        <v>90163</v>
      </c>
      <c r="D290">
        <v>90163</v>
      </c>
      <c r="E290">
        <v>0</v>
      </c>
    </row>
    <row r="291" spans="1:5">
      <c r="A291">
        <v>90164</v>
      </c>
      <c r="D291">
        <v>90164</v>
      </c>
      <c r="E291">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850"/>
  <sheetViews>
    <sheetView tabSelected="1" workbookViewId="0">
      <pane xSplit="3" ySplit="1" topLeftCell="K2603" activePane="bottomRight" state="frozen"/>
      <selection/>
      <selection pane="topRight"/>
      <selection pane="bottomLeft"/>
      <selection pane="bottomRight" activeCell="K2622" sqref="K2622"/>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283</v>
      </c>
      <c r="B1" t="s">
        <v>358</v>
      </c>
      <c r="C1" t="s">
        <v>284</v>
      </c>
      <c r="D1" t="s">
        <v>359</v>
      </c>
      <c r="E1" t="s">
        <v>360</v>
      </c>
      <c r="F1" t="s">
        <v>43</v>
      </c>
      <c r="G1" t="s">
        <v>361</v>
      </c>
      <c r="H1" t="s">
        <v>362</v>
      </c>
      <c r="I1" t="s">
        <v>363</v>
      </c>
      <c r="J1" t="s">
        <v>364</v>
      </c>
      <c r="K1" t="s">
        <v>365</v>
      </c>
      <c r="L1" s="10" t="s">
        <v>366</v>
      </c>
      <c r="M1" t="s">
        <v>367</v>
      </c>
      <c r="N1" t="s">
        <v>368</v>
      </c>
      <c r="O1" t="s">
        <v>369</v>
      </c>
      <c r="P1" t="s">
        <v>370</v>
      </c>
      <c r="Q1" s="11" t="s">
        <v>371</v>
      </c>
      <c r="R1" s="11" t="s">
        <v>372</v>
      </c>
      <c r="S1" s="11" t="s">
        <v>373</v>
      </c>
      <c r="T1" s="11" t="s">
        <v>374</v>
      </c>
    </row>
    <row r="2" spans="1:20">
      <c r="A2" s="12" t="s">
        <v>10</v>
      </c>
      <c r="B2" s="2" t="s">
        <v>375</v>
      </c>
      <c r="C2" s="12" t="s">
        <v>11</v>
      </c>
      <c r="D2" s="12" t="s">
        <v>50</v>
      </c>
      <c r="E2" s="12" t="s">
        <v>14</v>
      </c>
      <c r="F2" s="12" t="s">
        <v>51</v>
      </c>
      <c r="G2" s="12" t="s">
        <v>376</v>
      </c>
      <c r="H2" s="12" t="s">
        <v>377</v>
      </c>
      <c r="I2" s="12" t="s">
        <v>378</v>
      </c>
      <c r="J2" s="12" t="s">
        <v>379</v>
      </c>
      <c r="K2" s="12" t="s">
        <v>380</v>
      </c>
      <c r="L2" s="2" t="s">
        <v>381</v>
      </c>
      <c r="M2" s="12" t="s">
        <v>382</v>
      </c>
      <c r="N2" s="12" t="s">
        <v>383</v>
      </c>
      <c r="O2" s="12" t="s">
        <v>384</v>
      </c>
      <c r="P2" s="12" t="s">
        <v>385</v>
      </c>
      <c r="Q2" s="12" t="s">
        <v>267</v>
      </c>
      <c r="R2" s="12" t="s">
        <v>268</v>
      </c>
      <c r="S2" s="12" t="s">
        <v>271</v>
      </c>
      <c r="T2" s="12" t="s">
        <v>386</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387</v>
      </c>
      <c r="D4" t="s">
        <v>26</v>
      </c>
      <c r="E4" t="s">
        <v>388</v>
      </c>
      <c r="F4"/>
      <c r="G4">
        <v>1</v>
      </c>
      <c r="H4">
        <v>100</v>
      </c>
      <c r="I4">
        <v>1</v>
      </c>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387</v>
      </c>
      <c r="D5" t="s">
        <v>26</v>
      </c>
      <c r="E5" t="s">
        <v>388</v>
      </c>
      <c r="F5"/>
      <c r="G5">
        <v>1</v>
      </c>
      <c r="H5">
        <v>200</v>
      </c>
      <c r="I5">
        <v>1</v>
      </c>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387</v>
      </c>
      <c r="D6" t="s">
        <v>26</v>
      </c>
      <c r="E6" t="s">
        <v>388</v>
      </c>
      <c r="F6"/>
      <c r="G6">
        <v>1</v>
      </c>
      <c r="H6">
        <v>400</v>
      </c>
      <c r="I6">
        <v>1</v>
      </c>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387</v>
      </c>
      <c r="D7" t="s">
        <v>26</v>
      </c>
      <c r="E7" t="s">
        <v>388</v>
      </c>
      <c r="F7"/>
      <c r="G7">
        <v>1</v>
      </c>
      <c r="H7">
        <v>600</v>
      </c>
      <c r="I7">
        <v>1</v>
      </c>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387</v>
      </c>
      <c r="D8" t="s">
        <v>26</v>
      </c>
      <c r="E8" t="s">
        <v>388</v>
      </c>
      <c r="F8"/>
      <c r="G8">
        <v>1</v>
      </c>
      <c r="H8">
        <v>800</v>
      </c>
      <c r="I8">
        <v>1</v>
      </c>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387</v>
      </c>
      <c r="D9" t="s">
        <v>26</v>
      </c>
      <c r="E9" t="s">
        <v>388</v>
      </c>
      <c r="F9"/>
      <c r="G9">
        <v>1</v>
      </c>
      <c r="H9">
        <v>1000</v>
      </c>
      <c r="I9">
        <v>1</v>
      </c>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387</v>
      </c>
      <c r="D10" t="s">
        <v>26</v>
      </c>
      <c r="E10" t="s">
        <v>388</v>
      </c>
      <c r="F10"/>
      <c r="G10">
        <v>1</v>
      </c>
      <c r="H10">
        <v>1000</v>
      </c>
      <c r="I10">
        <v>1</v>
      </c>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387</v>
      </c>
      <c r="D11" t="s">
        <v>26</v>
      </c>
      <c r="E11" t="s">
        <v>388</v>
      </c>
      <c r="F11"/>
      <c r="G11">
        <v>1</v>
      </c>
      <c r="H11">
        <v>1000</v>
      </c>
      <c r="I11">
        <v>1</v>
      </c>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389</v>
      </c>
      <c r="D12" t="s">
        <v>26</v>
      </c>
      <c r="E12" t="s">
        <v>388</v>
      </c>
      <c r="F12"/>
      <c r="G12">
        <v>1</v>
      </c>
      <c r="H12">
        <v>100</v>
      </c>
      <c r="I12">
        <v>1</v>
      </c>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389</v>
      </c>
      <c r="D13" t="s">
        <v>26</v>
      </c>
      <c r="E13" t="s">
        <v>388</v>
      </c>
      <c r="F13"/>
      <c r="G13">
        <v>1</v>
      </c>
      <c r="H13">
        <v>200</v>
      </c>
      <c r="I13">
        <v>1</v>
      </c>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389</v>
      </c>
      <c r="D14" t="s">
        <v>26</v>
      </c>
      <c r="E14" t="s">
        <v>388</v>
      </c>
      <c r="F14"/>
      <c r="G14">
        <v>1</v>
      </c>
      <c r="H14">
        <v>400</v>
      </c>
      <c r="I14">
        <v>1</v>
      </c>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389</v>
      </c>
      <c r="D15" t="s">
        <v>26</v>
      </c>
      <c r="E15" t="s">
        <v>388</v>
      </c>
      <c r="F15"/>
      <c r="G15">
        <v>1</v>
      </c>
      <c r="H15">
        <v>600</v>
      </c>
      <c r="I15">
        <v>1</v>
      </c>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389</v>
      </c>
      <c r="D16" t="s">
        <v>26</v>
      </c>
      <c r="E16" t="s">
        <v>388</v>
      </c>
      <c r="F16"/>
      <c r="G16">
        <v>1</v>
      </c>
      <c r="H16">
        <v>800</v>
      </c>
      <c r="I16">
        <v>1</v>
      </c>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389</v>
      </c>
      <c r="D17" t="s">
        <v>26</v>
      </c>
      <c r="E17" t="s">
        <v>388</v>
      </c>
      <c r="F17"/>
      <c r="G17">
        <v>1</v>
      </c>
      <c r="H17">
        <v>1000</v>
      </c>
      <c r="I17">
        <v>1</v>
      </c>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389</v>
      </c>
      <c r="D18" t="s">
        <v>26</v>
      </c>
      <c r="E18" t="s">
        <v>388</v>
      </c>
      <c r="F18"/>
      <c r="G18">
        <v>1</v>
      </c>
      <c r="H18">
        <v>1000</v>
      </c>
      <c r="I18">
        <v>1</v>
      </c>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389</v>
      </c>
      <c r="D19" t="s">
        <v>26</v>
      </c>
      <c r="E19" t="s">
        <v>388</v>
      </c>
      <c r="F19"/>
      <c r="G19">
        <v>1</v>
      </c>
      <c r="H19">
        <v>1000</v>
      </c>
      <c r="I19">
        <v>1</v>
      </c>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390</v>
      </c>
      <c r="D20" t="s">
        <v>26</v>
      </c>
      <c r="E20" t="s">
        <v>388</v>
      </c>
      <c r="F20"/>
      <c r="G20">
        <v>1</v>
      </c>
      <c r="H20">
        <v>100</v>
      </c>
      <c r="I20">
        <v>1</v>
      </c>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390</v>
      </c>
      <c r="D21" t="s">
        <v>26</v>
      </c>
      <c r="E21" t="s">
        <v>388</v>
      </c>
      <c r="F21"/>
      <c r="G21">
        <v>1</v>
      </c>
      <c r="H21">
        <v>200</v>
      </c>
      <c r="I21">
        <v>1</v>
      </c>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390</v>
      </c>
      <c r="D22" t="s">
        <v>26</v>
      </c>
      <c r="E22" t="s">
        <v>388</v>
      </c>
      <c r="F22"/>
      <c r="G22">
        <v>1</v>
      </c>
      <c r="H22">
        <v>400</v>
      </c>
      <c r="I22">
        <v>1</v>
      </c>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390</v>
      </c>
      <c r="D23" t="s">
        <v>26</v>
      </c>
      <c r="E23" t="s">
        <v>388</v>
      </c>
      <c r="F23"/>
      <c r="G23">
        <v>1</v>
      </c>
      <c r="H23">
        <v>600</v>
      </c>
      <c r="I23">
        <v>1</v>
      </c>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390</v>
      </c>
      <c r="D24" t="s">
        <v>26</v>
      </c>
      <c r="E24" t="s">
        <v>388</v>
      </c>
      <c r="F24"/>
      <c r="G24">
        <v>1</v>
      </c>
      <c r="H24">
        <v>800</v>
      </c>
      <c r="I24">
        <v>1</v>
      </c>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390</v>
      </c>
      <c r="D25" t="s">
        <v>26</v>
      </c>
      <c r="E25" t="s">
        <v>388</v>
      </c>
      <c r="F25"/>
      <c r="G25">
        <v>1</v>
      </c>
      <c r="H25">
        <v>1000</v>
      </c>
      <c r="I25">
        <v>1</v>
      </c>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390</v>
      </c>
      <c r="D26" t="s">
        <v>26</v>
      </c>
      <c r="E26" t="s">
        <v>388</v>
      </c>
      <c r="F26"/>
      <c r="G26">
        <v>1</v>
      </c>
      <c r="H26">
        <v>1000</v>
      </c>
      <c r="I26">
        <v>1</v>
      </c>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390</v>
      </c>
      <c r="D27" t="s">
        <v>26</v>
      </c>
      <c r="E27" t="s">
        <v>388</v>
      </c>
      <c r="F27"/>
      <c r="G27">
        <v>1</v>
      </c>
      <c r="H27">
        <v>1000</v>
      </c>
      <c r="I27">
        <v>1</v>
      </c>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391</v>
      </c>
      <c r="D28" t="s">
        <v>26</v>
      </c>
      <c r="E28" t="s">
        <v>388</v>
      </c>
      <c r="F28"/>
      <c r="G28">
        <v>1</v>
      </c>
      <c r="H28">
        <v>100</v>
      </c>
      <c r="I28">
        <v>1</v>
      </c>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391</v>
      </c>
      <c r="D29" t="s">
        <v>26</v>
      </c>
      <c r="E29" t="s">
        <v>388</v>
      </c>
      <c r="F29"/>
      <c r="G29">
        <v>1</v>
      </c>
      <c r="H29">
        <v>200</v>
      </c>
      <c r="I29">
        <v>1</v>
      </c>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391</v>
      </c>
      <c r="D30" t="s">
        <v>26</v>
      </c>
      <c r="E30" t="s">
        <v>388</v>
      </c>
      <c r="F30"/>
      <c r="G30">
        <v>1</v>
      </c>
      <c r="H30">
        <v>400</v>
      </c>
      <c r="I30">
        <v>1</v>
      </c>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391</v>
      </c>
      <c r="D31" t="s">
        <v>26</v>
      </c>
      <c r="E31" t="s">
        <v>388</v>
      </c>
      <c r="F31"/>
      <c r="G31">
        <v>1</v>
      </c>
      <c r="H31">
        <v>600</v>
      </c>
      <c r="I31">
        <v>1</v>
      </c>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391</v>
      </c>
      <c r="D32" t="s">
        <v>26</v>
      </c>
      <c r="E32" t="s">
        <v>388</v>
      </c>
      <c r="F32"/>
      <c r="G32">
        <v>1</v>
      </c>
      <c r="H32">
        <v>800</v>
      </c>
      <c r="I32">
        <v>1</v>
      </c>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391</v>
      </c>
      <c r="D33" t="s">
        <v>26</v>
      </c>
      <c r="E33" t="s">
        <v>388</v>
      </c>
      <c r="F33"/>
      <c r="G33">
        <v>1</v>
      </c>
      <c r="H33">
        <v>1000</v>
      </c>
      <c r="I33">
        <v>1</v>
      </c>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391</v>
      </c>
      <c r="D34" t="s">
        <v>26</v>
      </c>
      <c r="E34" t="s">
        <v>388</v>
      </c>
      <c r="F34"/>
      <c r="G34">
        <v>1</v>
      </c>
      <c r="H34">
        <v>1000</v>
      </c>
      <c r="I34">
        <v>1</v>
      </c>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391</v>
      </c>
      <c r="D35" t="s">
        <v>26</v>
      </c>
      <c r="E35" t="s">
        <v>388</v>
      </c>
      <c r="F35"/>
      <c r="G35">
        <v>1</v>
      </c>
      <c r="H35">
        <v>1000</v>
      </c>
      <c r="I35">
        <v>1</v>
      </c>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392</v>
      </c>
      <c r="D36" t="s">
        <v>26</v>
      </c>
      <c r="E36" t="s">
        <v>388</v>
      </c>
      <c r="G36">
        <v>1</v>
      </c>
      <c r="H36">
        <v>100</v>
      </c>
      <c r="I36">
        <v>1</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392</v>
      </c>
      <c r="D37" t="s">
        <v>26</v>
      </c>
      <c r="E37" t="s">
        <v>388</v>
      </c>
      <c r="G37">
        <v>1</v>
      </c>
      <c r="H37">
        <v>200</v>
      </c>
      <c r="I37">
        <v>1</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392</v>
      </c>
      <c r="D38" t="s">
        <v>26</v>
      </c>
      <c r="E38" t="s">
        <v>388</v>
      </c>
      <c r="G38">
        <v>1</v>
      </c>
      <c r="H38">
        <v>400</v>
      </c>
      <c r="I38">
        <v>1</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392</v>
      </c>
      <c r="D39" t="s">
        <v>26</v>
      </c>
      <c r="E39" t="s">
        <v>388</v>
      </c>
      <c r="G39">
        <v>1</v>
      </c>
      <c r="H39">
        <v>600</v>
      </c>
      <c r="I39">
        <v>1</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392</v>
      </c>
      <c r="D40" t="s">
        <v>26</v>
      </c>
      <c r="E40" t="s">
        <v>388</v>
      </c>
      <c r="G40">
        <v>1</v>
      </c>
      <c r="H40">
        <v>800</v>
      </c>
      <c r="I40">
        <v>1</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392</v>
      </c>
      <c r="D41" t="s">
        <v>26</v>
      </c>
      <c r="E41" t="s">
        <v>388</v>
      </c>
      <c r="G41">
        <v>1</v>
      </c>
      <c r="H41">
        <v>1000</v>
      </c>
      <c r="I41">
        <v>1</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392</v>
      </c>
      <c r="D42" t="s">
        <v>26</v>
      </c>
      <c r="E42" t="s">
        <v>388</v>
      </c>
      <c r="G42">
        <v>1</v>
      </c>
      <c r="H42">
        <v>1000</v>
      </c>
      <c r="I42">
        <v>1</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392</v>
      </c>
      <c r="D43" t="s">
        <v>26</v>
      </c>
      <c r="E43" t="s">
        <v>388</v>
      </c>
      <c r="F43"/>
      <c r="G43">
        <v>1</v>
      </c>
      <c r="H43">
        <v>1000</v>
      </c>
      <c r="I43">
        <v>1</v>
      </c>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393</v>
      </c>
      <c r="D44" t="s">
        <v>26</v>
      </c>
      <c r="E44" t="s">
        <v>388</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393</v>
      </c>
      <c r="D45" t="s">
        <v>26</v>
      </c>
      <c r="E45" t="s">
        <v>388</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393</v>
      </c>
      <c r="D46" t="s">
        <v>26</v>
      </c>
      <c r="E46" t="s">
        <v>388</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393</v>
      </c>
      <c r="D47" t="s">
        <v>26</v>
      </c>
      <c r="E47" t="s">
        <v>388</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393</v>
      </c>
      <c r="D48" t="s">
        <v>26</v>
      </c>
      <c r="E48" t="s">
        <v>388</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393</v>
      </c>
      <c r="D49" t="s">
        <v>26</v>
      </c>
      <c r="E49" t="s">
        <v>388</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393</v>
      </c>
      <c r="D50" t="s">
        <v>26</v>
      </c>
      <c r="E50" t="s">
        <v>388</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393</v>
      </c>
      <c r="D51" t="s">
        <v>26</v>
      </c>
      <c r="E51" t="s">
        <v>388</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394</v>
      </c>
      <c r="D52" t="s">
        <v>26</v>
      </c>
      <c r="E52" t="s">
        <v>388</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394</v>
      </c>
      <c r="D53" t="s">
        <v>26</v>
      </c>
      <c r="E53" t="s">
        <v>388</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394</v>
      </c>
      <c r="D54" t="s">
        <v>26</v>
      </c>
      <c r="E54" t="s">
        <v>388</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394</v>
      </c>
      <c r="D55" t="s">
        <v>26</v>
      </c>
      <c r="E55" t="s">
        <v>388</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394</v>
      </c>
      <c r="D56" t="s">
        <v>26</v>
      </c>
      <c r="E56" t="s">
        <v>388</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394</v>
      </c>
      <c r="D57" t="s">
        <v>26</v>
      </c>
      <c r="E57" t="s">
        <v>388</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394</v>
      </c>
      <c r="D58" t="s">
        <v>26</v>
      </c>
      <c r="E58" t="s">
        <v>388</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394</v>
      </c>
      <c r="D59" t="s">
        <v>26</v>
      </c>
      <c r="E59" t="s">
        <v>388</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395</v>
      </c>
      <c r="D60" t="s">
        <v>26</v>
      </c>
      <c r="E60" t="s">
        <v>388</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395</v>
      </c>
      <c r="D61" t="s">
        <v>26</v>
      </c>
      <c r="E61" t="s">
        <v>388</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395</v>
      </c>
      <c r="D62" t="s">
        <v>26</v>
      </c>
      <c r="E62" t="s">
        <v>388</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395</v>
      </c>
      <c r="D63" t="s">
        <v>26</v>
      </c>
      <c r="E63" t="s">
        <v>388</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395</v>
      </c>
      <c r="D64" t="s">
        <v>26</v>
      </c>
      <c r="E64" t="s">
        <v>388</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395</v>
      </c>
      <c r="D65" t="s">
        <v>26</v>
      </c>
      <c r="E65" t="s">
        <v>388</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395</v>
      </c>
      <c r="D66" t="s">
        <v>26</v>
      </c>
      <c r="E66" t="s">
        <v>388</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395</v>
      </c>
      <c r="D67" t="s">
        <v>26</v>
      </c>
      <c r="E67" t="s">
        <v>388</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396</v>
      </c>
      <c r="D68" t="s">
        <v>26</v>
      </c>
      <c r="E68" t="s">
        <v>388</v>
      </c>
      <c r="G68">
        <v>1</v>
      </c>
      <c r="H68">
        <v>1000</v>
      </c>
      <c r="J68" cm="1">
        <f t="array" ref="J68">_xlfn.SWITCH(B68,1,75,2,61,3,49,4,37,5,25,6,13,7,4,8,1)</f>
        <v>75</v>
      </c>
      <c r="K68" t="str" cm="1">
        <f t="array" ref="K68">IFERROR(_xlfn.SWITCH(L68,2,_xlfn.XLOOKUP(C68,[1]ModifierDes!$B:$B,[1]ModifierDes!$C:$C),3,_xlfn.XLOOKUP(C68,[1]StuntDes!$B:$B,[1]StuntDes!$C:$C)),"")</f>
        <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396</v>
      </c>
      <c r="D69" t="s">
        <v>26</v>
      </c>
      <c r="E69" t="s">
        <v>388</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396</v>
      </c>
      <c r="D70" t="s">
        <v>26</v>
      </c>
      <c r="E70" t="s">
        <v>388</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396</v>
      </c>
      <c r="D71" t="s">
        <v>26</v>
      </c>
      <c r="E71" t="s">
        <v>388</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396</v>
      </c>
      <c r="D72" t="s">
        <v>26</v>
      </c>
      <c r="E72" t="s">
        <v>388</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396</v>
      </c>
      <c r="D73" t="s">
        <v>26</v>
      </c>
      <c r="E73" t="s">
        <v>388</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396</v>
      </c>
      <c r="D74" t="s">
        <v>26</v>
      </c>
      <c r="E74" t="s">
        <v>388</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396</v>
      </c>
      <c r="D75" t="s">
        <v>26</v>
      </c>
      <c r="E75" t="s">
        <v>388</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397</v>
      </c>
      <c r="D76" t="s">
        <v>26</v>
      </c>
      <c r="E76" t="s">
        <v>388</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397</v>
      </c>
      <c r="D77" t="s">
        <v>26</v>
      </c>
      <c r="E77" t="s">
        <v>388</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397</v>
      </c>
      <c r="D78" t="s">
        <v>26</v>
      </c>
      <c r="E78" t="s">
        <v>388</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397</v>
      </c>
      <c r="D79" t="s">
        <v>26</v>
      </c>
      <c r="E79" t="s">
        <v>388</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397</v>
      </c>
      <c r="D80" t="s">
        <v>26</v>
      </c>
      <c r="E80" t="s">
        <v>388</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397</v>
      </c>
      <c r="D81" t="s">
        <v>26</v>
      </c>
      <c r="E81" t="s">
        <v>388</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397</v>
      </c>
      <c r="D82" t="s">
        <v>26</v>
      </c>
      <c r="E82" t="s">
        <v>388</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397</v>
      </c>
      <c r="D83" t="s">
        <v>26</v>
      </c>
      <c r="E83" t="s">
        <v>388</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398</v>
      </c>
      <c r="D84" t="s">
        <v>26</v>
      </c>
      <c r="E84" t="s">
        <v>388</v>
      </c>
      <c r="G84">
        <v>1</v>
      </c>
      <c r="H84">
        <v>1000</v>
      </c>
      <c r="J84" cm="1">
        <f t="array" ref="J84">_xlfn.SWITCH(B84,1,75,2,61,3,49,4,37,5,25,6,13,7,4,8,1)</f>
        <v>75</v>
      </c>
      <c r="K84" t="str" cm="1">
        <f t="array" ref="K84">IFERROR(_xlfn.SWITCH(L84,2,_xlfn.XLOOKUP(C84,[1]ModifierDes!$B:$B,[1]ModifierDes!$C:$C),3,_xlfn.XLOOKUP(C84,[1]StuntDes!$B:$B,[1]StuntDes!$C:$C)),"")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398</v>
      </c>
      <c r="D85" t="s">
        <v>26</v>
      </c>
      <c r="E85" t="s">
        <v>388</v>
      </c>
      <c r="G85">
        <v>1</v>
      </c>
      <c r="H85">
        <v>1000</v>
      </c>
      <c r="J85" cm="1">
        <f t="array" ref="J85">_xlfn.SWITCH(B85,1,75,2,61,3,49,4,37,5,25,6,13,7,4,8,1)</f>
        <v>61</v>
      </c>
      <c r="K85" t="str" cm="1">
        <f t="array" ref="K85">IFERROR(_xlfn.SWITCH(L85,2,_xlfn.XLOOKUP(C85,[1]ModifierDes!$B:$B,[1]ModifierDes!$C:$C),3,_xlfn.XLOOKUP(C85,[1]StuntDes!$B:$B,[1]StuntDes!$C:$C)),"")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398</v>
      </c>
      <c r="D86" t="s">
        <v>26</v>
      </c>
      <c r="E86" t="s">
        <v>388</v>
      </c>
      <c r="G86">
        <v>1</v>
      </c>
      <c r="H86">
        <v>1000</v>
      </c>
      <c r="J86" cm="1">
        <f t="array" ref="J86">_xlfn.SWITCH(B86,1,75,2,61,3,49,4,37,5,25,6,13,7,4,8,1)</f>
        <v>49</v>
      </c>
      <c r="K86" t="str" cm="1">
        <f t="array" ref="K86">IFERROR(_xlfn.SWITCH(L86,2,_xlfn.XLOOKUP(C86,[1]ModifierDes!$B:$B,[1]ModifierDes!$C:$C),3,_xlfn.XLOOKUP(C86,[1]StuntDes!$B:$B,[1]StuntDes!$C:$C)),"")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398</v>
      </c>
      <c r="D87" t="s">
        <v>26</v>
      </c>
      <c r="E87" t="s">
        <v>388</v>
      </c>
      <c r="G87">
        <v>1</v>
      </c>
      <c r="H87">
        <v>1000</v>
      </c>
      <c r="J87" cm="1">
        <f t="array" ref="J87">_xlfn.SWITCH(B87,1,75,2,61,3,49,4,37,5,25,6,13,7,4,8,1)</f>
        <v>37</v>
      </c>
      <c r="K87" t="str" cm="1">
        <f t="array" ref="K87">IFERROR(_xlfn.SWITCH(L87,2,_xlfn.XLOOKUP(C87,[1]ModifierDes!$B:$B,[1]ModifierDes!$C:$C),3,_xlfn.XLOOKUP(C87,[1]StuntDes!$B:$B,[1]StuntDes!$C:$C)),"")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398</v>
      </c>
      <c r="D88" t="s">
        <v>26</v>
      </c>
      <c r="E88" t="s">
        <v>388</v>
      </c>
      <c r="G88">
        <v>1</v>
      </c>
      <c r="H88">
        <v>1000</v>
      </c>
      <c r="J88" cm="1">
        <f t="array" ref="J88">_xlfn.SWITCH(B88,1,75,2,61,3,49,4,37,5,25,6,13,7,4,8,1)</f>
        <v>25</v>
      </c>
      <c r="K88" t="str" cm="1">
        <f t="array" ref="K88">IFERROR(_xlfn.SWITCH(L88,2,_xlfn.XLOOKUP(C88,[1]ModifierDes!$B:$B,[1]ModifierDes!$C:$C),3,_xlfn.XLOOKUP(C88,[1]StuntDes!$B:$B,[1]StuntDes!$C:$C)),"")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398</v>
      </c>
      <c r="D89" t="s">
        <v>26</v>
      </c>
      <c r="E89" t="s">
        <v>388</v>
      </c>
      <c r="G89">
        <v>1</v>
      </c>
      <c r="H89">
        <v>1000</v>
      </c>
      <c r="J89" cm="1">
        <f t="array" ref="J89">_xlfn.SWITCH(B89,1,75,2,61,3,49,4,37,5,25,6,13,7,4,8,1)</f>
        <v>13</v>
      </c>
      <c r="K89" t="str" cm="1">
        <f t="array" ref="K89">IFERROR(_xlfn.SWITCH(L89,2,_xlfn.XLOOKUP(C89,[1]ModifierDes!$B:$B,[1]ModifierDes!$C:$C),3,_xlfn.XLOOKUP(C89,[1]StuntDes!$B:$B,[1]StuntDes!$C:$C)),"")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398</v>
      </c>
      <c r="D90" t="s">
        <v>26</v>
      </c>
      <c r="E90" t="s">
        <v>388</v>
      </c>
      <c r="G90">
        <v>1</v>
      </c>
      <c r="H90">
        <v>1000</v>
      </c>
      <c r="J90" cm="1">
        <f t="array" ref="J90">_xlfn.SWITCH(B90,1,75,2,61,3,49,4,37,5,25,6,13,7,4,8,1)</f>
        <v>4</v>
      </c>
      <c r="K90" t="str" cm="1">
        <f t="array" ref="K90">IFERROR(_xlfn.SWITCH(L90,2,_xlfn.XLOOKUP(C90,[1]ModifierDes!$B:$B,[1]ModifierDes!$C:$C),3,_xlfn.XLOOKUP(C90,[1]StuntDes!$B:$B,[1]StuntDes!$C:$C)),"")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398</v>
      </c>
      <c r="D91" t="s">
        <v>26</v>
      </c>
      <c r="E91" t="s">
        <v>388</v>
      </c>
      <c r="G91">
        <v>1</v>
      </c>
      <c r="H91">
        <v>1000</v>
      </c>
      <c r="J91" cm="1">
        <f t="array" ref="J91">_xlfn.SWITCH(B91,1,75,2,61,3,49,4,37,5,25,6,13,7,4,8,1)</f>
        <v>1</v>
      </c>
      <c r="K91" t="str" cm="1">
        <f t="array" ref="K91">IFERROR(_xlfn.SWITCH(L91,2,_xlfn.XLOOKUP(C91,[1]ModifierDes!$B:$B,[1]ModifierDes!$C:$C),3,_xlfn.XLOOKUP(C91,[1]StuntDes!$B:$B,[1]StuntDes!$C:$C)),"")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399</v>
      </c>
      <c r="D92" t="s">
        <v>26</v>
      </c>
      <c r="E92" t="s">
        <v>388</v>
      </c>
      <c r="G92">
        <v>1</v>
      </c>
      <c r="H92">
        <v>1000</v>
      </c>
      <c r="J92" cm="1">
        <f t="array" ref="J92">_xlfn.SWITCH(B92,1,75,2,61,3,49,4,37,5,25,6,13,7,4,8,1)</f>
        <v>75</v>
      </c>
      <c r="K92" t="str" cm="1">
        <f t="array" ref="K92">IFERROR(_xlfn.SWITCH(L92,2,_xlfn.XLOOKUP(C92,[1]ModifierDes!$B:$B,[1]ModifierDes!$C:$C),3,_xlfn.XLOOKUP(C92,[1]StuntDes!$B:$B,[1]StuntDes!$C:$C)),"")</f>
        <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399</v>
      </c>
      <c r="D93" t="s">
        <v>26</v>
      </c>
      <c r="E93" t="s">
        <v>388</v>
      </c>
      <c r="G93">
        <v>1</v>
      </c>
      <c r="H93">
        <v>1000</v>
      </c>
      <c r="J93" cm="1">
        <f t="array" ref="J93">_xlfn.SWITCH(B93,1,75,2,61,3,49,4,37,5,25,6,13,7,4,8,1)</f>
        <v>61</v>
      </c>
      <c r="K93" t="str" cm="1">
        <f t="array" ref="K93">IFERROR(_xlfn.SWITCH(L93,2,_xlfn.XLOOKUP(C93,[1]ModifierDes!$B:$B,[1]ModifierDes!$C:$C),3,_xlfn.XLOOKUP(C93,[1]StuntDes!$B:$B,[1]StuntDes!$C:$C)),"")</f>
        <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399</v>
      </c>
      <c r="D94" t="s">
        <v>26</v>
      </c>
      <c r="E94" t="s">
        <v>388</v>
      </c>
      <c r="G94">
        <v>1</v>
      </c>
      <c r="H94">
        <v>1000</v>
      </c>
      <c r="J94" cm="1">
        <f t="array" ref="J94">_xlfn.SWITCH(B94,1,75,2,61,3,49,4,37,5,25,6,13,7,4,8,1)</f>
        <v>49</v>
      </c>
      <c r="K94" t="str" cm="1">
        <f t="array" ref="K94">IFERROR(_xlfn.SWITCH(L94,2,_xlfn.XLOOKUP(C94,[1]ModifierDes!$B:$B,[1]ModifierDes!$C:$C),3,_xlfn.XLOOKUP(C94,[1]StuntDes!$B:$B,[1]StuntDes!$C:$C)),"")</f>
        <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399</v>
      </c>
      <c r="D95" t="s">
        <v>26</v>
      </c>
      <c r="E95" t="s">
        <v>388</v>
      </c>
      <c r="G95">
        <v>1</v>
      </c>
      <c r="H95">
        <v>1000</v>
      </c>
      <c r="J95" cm="1">
        <f t="array" ref="J95">_xlfn.SWITCH(B95,1,75,2,61,3,49,4,37,5,25,6,13,7,4,8,1)</f>
        <v>37</v>
      </c>
      <c r="K95" t="str" cm="1">
        <f t="array" ref="K95">IFERROR(_xlfn.SWITCH(L95,2,_xlfn.XLOOKUP(C95,[1]ModifierDes!$B:$B,[1]ModifierDes!$C:$C),3,_xlfn.XLOOKUP(C95,[1]StuntDes!$B:$B,[1]StuntDes!$C:$C)),"")</f>
        <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399</v>
      </c>
      <c r="D96" t="s">
        <v>26</v>
      </c>
      <c r="E96" t="s">
        <v>388</v>
      </c>
      <c r="G96">
        <v>1</v>
      </c>
      <c r="H96">
        <v>1000</v>
      </c>
      <c r="J96" cm="1">
        <f t="array" ref="J96">_xlfn.SWITCH(B96,1,75,2,61,3,49,4,37,5,25,6,13,7,4,8,1)</f>
        <v>25</v>
      </c>
      <c r="K96" t="str" cm="1">
        <f t="array" ref="K96">IFERROR(_xlfn.SWITCH(L96,2,_xlfn.XLOOKUP(C96,[1]ModifierDes!$B:$B,[1]ModifierDes!$C:$C),3,_xlfn.XLOOKUP(C96,[1]StuntDes!$B:$B,[1]StuntDes!$C:$C)),"")</f>
        <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399</v>
      </c>
      <c r="D97" t="s">
        <v>26</v>
      </c>
      <c r="E97" t="s">
        <v>388</v>
      </c>
      <c r="G97">
        <v>1</v>
      </c>
      <c r="H97">
        <v>1000</v>
      </c>
      <c r="J97" cm="1">
        <f t="array" ref="J97">_xlfn.SWITCH(B97,1,75,2,61,3,49,4,37,5,25,6,13,7,4,8,1)</f>
        <v>13</v>
      </c>
      <c r="K97" t="str" cm="1">
        <f t="array" ref="K97">IFERROR(_xlfn.SWITCH(L97,2,_xlfn.XLOOKUP(C97,[1]ModifierDes!$B:$B,[1]ModifierDes!$C:$C),3,_xlfn.XLOOKUP(C97,[1]StuntDes!$B:$B,[1]StuntDes!$C:$C)),"")</f>
        <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399</v>
      </c>
      <c r="D98" t="s">
        <v>26</v>
      </c>
      <c r="E98" t="s">
        <v>388</v>
      </c>
      <c r="G98">
        <v>1</v>
      </c>
      <c r="H98">
        <v>1000</v>
      </c>
      <c r="J98" cm="1">
        <f t="array" ref="J98">_xlfn.SWITCH(B98,1,75,2,61,3,49,4,37,5,25,6,13,7,4,8,1)</f>
        <v>4</v>
      </c>
      <c r="K98" t="str" cm="1">
        <f t="array" ref="K98">IFERROR(_xlfn.SWITCH(L98,2,_xlfn.XLOOKUP(C98,[1]ModifierDes!$B:$B,[1]ModifierDes!$C:$C),3,_xlfn.XLOOKUP(C98,[1]StuntDes!$B:$B,[1]StuntDes!$C:$C)),"")</f>
        <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399</v>
      </c>
      <c r="D99" t="s">
        <v>26</v>
      </c>
      <c r="E99" t="s">
        <v>388</v>
      </c>
      <c r="F99"/>
      <c r="G99">
        <v>1</v>
      </c>
      <c r="H99">
        <v>1000</v>
      </c>
      <c r="J99" cm="1">
        <f t="array" ref="J99">_xlfn.SWITCH(B99,1,75,2,61,3,49,4,37,5,25,6,13,7,4,8,1)</f>
        <v>1</v>
      </c>
      <c r="K99" t="str" cm="1">
        <f t="array" ref="K99">IFERROR(_xlfn.SWITCH(L99,2,_xlfn.XLOOKUP(C99,[1]ModifierDes!$B:$B,[1]ModifierDes!$C:$C),3,_xlfn.XLOOKUP(C99,[1]StuntDes!$B:$B,[1]StuntDes!$C:$C)),"")</f>
        <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400</v>
      </c>
      <c r="D100" t="s">
        <v>26</v>
      </c>
      <c r="E100" t="s">
        <v>388</v>
      </c>
      <c r="G100">
        <v>1</v>
      </c>
      <c r="H100">
        <v>1000</v>
      </c>
      <c r="J100" cm="1">
        <f t="array" ref="J100">_xlfn.SWITCH(B100,1,75,2,61,3,49,4,37,5,25,6,13,7,4,8,1)</f>
        <v>75</v>
      </c>
      <c r="K100" t="str" cm="1">
        <f t="array" ref="K100">IFERROR(_xlfn.SWITCH(L100,2,_xlfn.XLOOKUP(C100,[1]ModifierDes!$B:$B,[1]ModifierDes!$C:$C),3,_xlfn.XLOOKUP(C100,[1]StuntDes!$B:$B,[1]StuntDes!$C:$C)),"")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400</v>
      </c>
      <c r="D101" t="s">
        <v>26</v>
      </c>
      <c r="E101" t="s">
        <v>388</v>
      </c>
      <c r="G101">
        <v>1</v>
      </c>
      <c r="H101">
        <v>1000</v>
      </c>
      <c r="J101" cm="1">
        <f t="array" ref="J101">_xlfn.SWITCH(B101,1,75,2,61,3,49,4,37,5,25,6,13,7,4,8,1)</f>
        <v>61</v>
      </c>
      <c r="K101" t="str" cm="1">
        <f t="array" ref="K101">IFERROR(_xlfn.SWITCH(L101,2,_xlfn.XLOOKUP(C101,[1]ModifierDes!$B:$B,[1]ModifierDes!$C:$C),3,_xlfn.XLOOKUP(C101,[1]StuntDes!$B:$B,[1]StuntDes!$C:$C)),"")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400</v>
      </c>
      <c r="D102" t="s">
        <v>26</v>
      </c>
      <c r="E102" t="s">
        <v>388</v>
      </c>
      <c r="G102">
        <v>1</v>
      </c>
      <c r="H102">
        <v>1000</v>
      </c>
      <c r="J102" cm="1">
        <f t="array" ref="J102">_xlfn.SWITCH(B102,1,75,2,61,3,49,4,37,5,25,6,13,7,4,8,1)</f>
        <v>49</v>
      </c>
      <c r="K102" t="str" cm="1">
        <f t="array" ref="K102">IFERROR(_xlfn.SWITCH(L102,2,_xlfn.XLOOKUP(C102,[1]ModifierDes!$B:$B,[1]ModifierDes!$C:$C),3,_xlfn.XLOOKUP(C102,[1]StuntDes!$B:$B,[1]StuntDes!$C:$C)),"")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400</v>
      </c>
      <c r="D103" t="s">
        <v>26</v>
      </c>
      <c r="E103" t="s">
        <v>388</v>
      </c>
      <c r="G103">
        <v>1</v>
      </c>
      <c r="H103">
        <v>1000</v>
      </c>
      <c r="J103" cm="1">
        <f t="array" ref="J103">_xlfn.SWITCH(B103,1,75,2,61,3,49,4,37,5,25,6,13,7,4,8,1)</f>
        <v>37</v>
      </c>
      <c r="K103" t="str" cm="1">
        <f t="array" ref="K103">IFERROR(_xlfn.SWITCH(L103,2,_xlfn.XLOOKUP(C103,[1]ModifierDes!$B:$B,[1]ModifierDes!$C:$C),3,_xlfn.XLOOKUP(C103,[1]StuntDes!$B:$B,[1]StuntDes!$C:$C)),"")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400</v>
      </c>
      <c r="D104" t="s">
        <v>26</v>
      </c>
      <c r="E104" t="s">
        <v>388</v>
      </c>
      <c r="G104">
        <v>1</v>
      </c>
      <c r="H104">
        <v>1000</v>
      </c>
      <c r="J104" cm="1">
        <f t="array" ref="J104">_xlfn.SWITCH(B104,1,75,2,61,3,49,4,37,5,25,6,13,7,4,8,1)</f>
        <v>25</v>
      </c>
      <c r="K104" t="str" cm="1">
        <f t="array" ref="K104">IFERROR(_xlfn.SWITCH(L104,2,_xlfn.XLOOKUP(C104,[1]ModifierDes!$B:$B,[1]ModifierDes!$C:$C),3,_xlfn.XLOOKUP(C104,[1]StuntDes!$B:$B,[1]StuntDes!$C:$C)),"")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400</v>
      </c>
      <c r="D105" t="s">
        <v>26</v>
      </c>
      <c r="E105" t="s">
        <v>388</v>
      </c>
      <c r="G105">
        <v>1</v>
      </c>
      <c r="H105">
        <v>1000</v>
      </c>
      <c r="J105" cm="1">
        <f t="array" ref="J105">_xlfn.SWITCH(B105,1,75,2,61,3,49,4,37,5,25,6,13,7,4,8,1)</f>
        <v>13</v>
      </c>
      <c r="K105" t="str" cm="1">
        <f t="array" ref="K105">IFERROR(_xlfn.SWITCH(L105,2,_xlfn.XLOOKUP(C105,[1]ModifierDes!$B:$B,[1]ModifierDes!$C:$C),3,_xlfn.XLOOKUP(C105,[1]StuntDes!$B:$B,[1]StuntDes!$C:$C)),"")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400</v>
      </c>
      <c r="D106" t="s">
        <v>26</v>
      </c>
      <c r="E106" t="s">
        <v>388</v>
      </c>
      <c r="G106">
        <v>1</v>
      </c>
      <c r="H106">
        <v>1000</v>
      </c>
      <c r="J106" cm="1">
        <f t="array" ref="J106">_xlfn.SWITCH(B106,1,75,2,61,3,49,4,37,5,25,6,13,7,4,8,1)</f>
        <v>4</v>
      </c>
      <c r="K106" t="str" cm="1">
        <f t="array" ref="K106">IFERROR(_xlfn.SWITCH(L106,2,_xlfn.XLOOKUP(C106,[1]ModifierDes!$B:$B,[1]ModifierDes!$C:$C),3,_xlfn.XLOOKUP(C106,[1]StuntDes!$B:$B,[1]StuntDes!$C:$C)),"")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400</v>
      </c>
      <c r="D107" t="s">
        <v>26</v>
      </c>
      <c r="E107" t="s">
        <v>388</v>
      </c>
      <c r="F107"/>
      <c r="G107">
        <v>1</v>
      </c>
      <c r="H107">
        <v>1000</v>
      </c>
      <c r="J107" cm="1">
        <f t="array" ref="J107">_xlfn.SWITCH(B107,1,75,2,61,3,49,4,37,5,25,6,13,7,4,8,1)</f>
        <v>1</v>
      </c>
      <c r="K107" t="str" cm="1">
        <f t="array" ref="K107">IFERROR(_xlfn.SWITCH(L107,2,_xlfn.XLOOKUP(C107,[1]ModifierDes!$B:$B,[1]ModifierDes!$C:$C),3,_xlfn.XLOOKUP(C107,[1]StuntDes!$B:$B,[1]StuntDes!$C:$C)),"")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401</v>
      </c>
      <c r="D108" t="s">
        <v>26</v>
      </c>
      <c r="E108" t="s">
        <v>388</v>
      </c>
      <c r="G108">
        <v>1</v>
      </c>
      <c r="H108">
        <v>1000</v>
      </c>
      <c r="J108" cm="1">
        <f t="array" ref="J108">_xlfn.SWITCH(B108,1,75,2,61,3,49,4,37,5,25,6,13,7,4,8,1)</f>
        <v>75</v>
      </c>
      <c r="K108" t="str" cm="1">
        <f t="array" ref="K108">IFERROR(_xlfn.SWITCH(L108,2,_xlfn.XLOOKUP(C108,[1]ModifierDes!$B:$B,[1]ModifierDes!$C:$C),3,_xlfn.XLOOKUP(C108,[1]StuntDes!$B:$B,[1]StuntDes!$C:$C)),"")</f>
        <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401</v>
      </c>
      <c r="D109" t="s">
        <v>26</v>
      </c>
      <c r="E109" t="s">
        <v>388</v>
      </c>
      <c r="G109">
        <v>1</v>
      </c>
      <c r="H109">
        <v>1000</v>
      </c>
      <c r="J109" cm="1">
        <f t="array" ref="J109">_xlfn.SWITCH(B109,1,75,2,61,3,49,4,37,5,25,6,13,7,4,8,1)</f>
        <v>61</v>
      </c>
      <c r="K109" t="str" cm="1">
        <f t="array" ref="K109">IFERROR(_xlfn.SWITCH(L109,2,_xlfn.XLOOKUP(C109,[1]ModifierDes!$B:$B,[1]ModifierDes!$C:$C),3,_xlfn.XLOOKUP(C109,[1]StuntDes!$B:$B,[1]StuntDes!$C:$C)),"")</f>
        <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401</v>
      </c>
      <c r="D110" t="s">
        <v>26</v>
      </c>
      <c r="E110" t="s">
        <v>388</v>
      </c>
      <c r="G110">
        <v>1</v>
      </c>
      <c r="H110">
        <v>1000</v>
      </c>
      <c r="J110" cm="1">
        <f t="array" ref="J110">_xlfn.SWITCH(B110,1,75,2,61,3,49,4,37,5,25,6,13,7,4,8,1)</f>
        <v>49</v>
      </c>
      <c r="K110" t="str" cm="1">
        <f t="array" ref="K110">IFERROR(_xlfn.SWITCH(L110,2,_xlfn.XLOOKUP(C110,[1]ModifierDes!$B:$B,[1]ModifierDes!$C:$C),3,_xlfn.XLOOKUP(C110,[1]StuntDes!$B:$B,[1]StuntDes!$C:$C)),"")</f>
        <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401</v>
      </c>
      <c r="D111" t="s">
        <v>26</v>
      </c>
      <c r="E111" t="s">
        <v>388</v>
      </c>
      <c r="G111">
        <v>1</v>
      </c>
      <c r="H111">
        <v>1000</v>
      </c>
      <c r="J111" cm="1">
        <f t="array" ref="J111">_xlfn.SWITCH(B111,1,75,2,61,3,49,4,37,5,25,6,13,7,4,8,1)</f>
        <v>37</v>
      </c>
      <c r="K111" t="str" cm="1">
        <f t="array" ref="K111">IFERROR(_xlfn.SWITCH(L111,2,_xlfn.XLOOKUP(C111,[1]ModifierDes!$B:$B,[1]ModifierDes!$C:$C),3,_xlfn.XLOOKUP(C111,[1]StuntDes!$B:$B,[1]StuntDes!$C:$C)),"")</f>
        <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401</v>
      </c>
      <c r="D112" t="s">
        <v>26</v>
      </c>
      <c r="E112" t="s">
        <v>388</v>
      </c>
      <c r="G112">
        <v>1</v>
      </c>
      <c r="H112">
        <v>1000</v>
      </c>
      <c r="J112" cm="1">
        <f t="array" ref="J112">_xlfn.SWITCH(B112,1,75,2,61,3,49,4,37,5,25,6,13,7,4,8,1)</f>
        <v>25</v>
      </c>
      <c r="K112" t="str" cm="1">
        <f t="array" ref="K112">IFERROR(_xlfn.SWITCH(L112,2,_xlfn.XLOOKUP(C112,[1]ModifierDes!$B:$B,[1]ModifierDes!$C:$C),3,_xlfn.XLOOKUP(C112,[1]StuntDes!$B:$B,[1]StuntDes!$C:$C)),"")</f>
        <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401</v>
      </c>
      <c r="D113" t="s">
        <v>26</v>
      </c>
      <c r="E113" t="s">
        <v>388</v>
      </c>
      <c r="G113">
        <v>1</v>
      </c>
      <c r="H113">
        <v>1000</v>
      </c>
      <c r="J113" cm="1">
        <f t="array" ref="J113">_xlfn.SWITCH(B113,1,75,2,61,3,49,4,37,5,25,6,13,7,4,8,1)</f>
        <v>13</v>
      </c>
      <c r="K113" t="str" cm="1">
        <f t="array" ref="K113">IFERROR(_xlfn.SWITCH(L113,2,_xlfn.XLOOKUP(C113,[1]ModifierDes!$B:$B,[1]ModifierDes!$C:$C),3,_xlfn.XLOOKUP(C113,[1]StuntDes!$B:$B,[1]StuntDes!$C:$C)),"")</f>
        <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401</v>
      </c>
      <c r="D114" t="s">
        <v>26</v>
      </c>
      <c r="E114" t="s">
        <v>388</v>
      </c>
      <c r="G114">
        <v>1</v>
      </c>
      <c r="H114">
        <v>1000</v>
      </c>
      <c r="J114" cm="1">
        <f t="array" ref="J114">_xlfn.SWITCH(B114,1,75,2,61,3,49,4,37,5,25,6,13,7,4,8,1)</f>
        <v>4</v>
      </c>
      <c r="K114" t="str" cm="1">
        <f t="array" ref="K114">IFERROR(_xlfn.SWITCH(L114,2,_xlfn.XLOOKUP(C114,[1]ModifierDes!$B:$B,[1]ModifierDes!$C:$C),3,_xlfn.XLOOKUP(C114,[1]StuntDes!$B:$B,[1]StuntDes!$C:$C)),"")</f>
        <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401</v>
      </c>
      <c r="D115" t="s">
        <v>26</v>
      </c>
      <c r="E115" t="s">
        <v>388</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402</v>
      </c>
      <c r="D116" t="s">
        <v>26</v>
      </c>
      <c r="E116" t="s">
        <v>388</v>
      </c>
      <c r="G116">
        <v>1</v>
      </c>
      <c r="H116">
        <v>1000</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402</v>
      </c>
      <c r="D117" t="s">
        <v>26</v>
      </c>
      <c r="E117" t="s">
        <v>388</v>
      </c>
      <c r="G117">
        <v>1</v>
      </c>
      <c r="H117">
        <v>1000</v>
      </c>
      <c r="J117" cm="1">
        <f t="array" ref="J117">_xlfn.SWITCH(B117,1,75,2,61,3,49,4,37,5,25,6,13,7,4,8,1)</f>
        <v>61</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402</v>
      </c>
      <c r="D118" t="s">
        <v>26</v>
      </c>
      <c r="E118" t="s">
        <v>388</v>
      </c>
      <c r="G118">
        <v>1</v>
      </c>
      <c r="H118">
        <v>1000</v>
      </c>
      <c r="J118" cm="1">
        <f t="array" ref="J118">_xlfn.SWITCH(B118,1,75,2,61,3,49,4,37,5,25,6,13,7,4,8,1)</f>
        <v>49</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402</v>
      </c>
      <c r="D119" t="s">
        <v>26</v>
      </c>
      <c r="E119" t="s">
        <v>388</v>
      </c>
      <c r="G119">
        <v>1</v>
      </c>
      <c r="H119">
        <v>1000</v>
      </c>
      <c r="J119" cm="1">
        <f t="array" ref="J119">_xlfn.SWITCH(B119,1,75,2,61,3,49,4,37,5,25,6,13,7,4,8,1)</f>
        <v>37</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402</v>
      </c>
      <c r="D120" t="s">
        <v>26</v>
      </c>
      <c r="E120" t="s">
        <v>388</v>
      </c>
      <c r="G120">
        <v>1</v>
      </c>
      <c r="H120">
        <v>1000</v>
      </c>
      <c r="J120" cm="1">
        <f t="array" ref="J120">_xlfn.SWITCH(B120,1,75,2,61,3,49,4,37,5,25,6,13,7,4,8,1)</f>
        <v>25</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402</v>
      </c>
      <c r="D121" t="s">
        <v>26</v>
      </c>
      <c r="E121" t="s">
        <v>388</v>
      </c>
      <c r="G121">
        <v>1</v>
      </c>
      <c r="H121">
        <v>1000</v>
      </c>
      <c r="J121" cm="1">
        <f t="array" ref="J121">_xlfn.SWITCH(B121,1,75,2,61,3,49,4,37,5,25,6,13,7,4,8,1)</f>
        <v>13</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402</v>
      </c>
      <c r="D122" t="s">
        <v>26</v>
      </c>
      <c r="E122" t="s">
        <v>388</v>
      </c>
      <c r="G122">
        <v>1</v>
      </c>
      <c r="H122">
        <v>1000</v>
      </c>
      <c r="J122" cm="1">
        <f t="array" ref="J122">_xlfn.SWITCH(B122,1,75,2,61,3,49,4,37,5,25,6,13,7,4,8,1)</f>
        <v>4</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402</v>
      </c>
      <c r="D123" t="s">
        <v>26</v>
      </c>
      <c r="E123" t="s">
        <v>388</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403</v>
      </c>
      <c r="D124" t="s">
        <v>26</v>
      </c>
      <c r="E124" t="s">
        <v>388</v>
      </c>
      <c r="G124">
        <v>1</v>
      </c>
      <c r="H124">
        <v>1000</v>
      </c>
      <c r="J124" cm="1">
        <f t="array" ref="J124">_xlfn.SWITCH(B124,1,75,2,61,3,49,4,37,5,25,6,13,7,4,8,1)</f>
        <v>75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403</v>
      </c>
      <c r="D125" t="s">
        <v>26</v>
      </c>
      <c r="E125" t="s">
        <v>388</v>
      </c>
      <c r="G125">
        <v>1</v>
      </c>
      <c r="H125">
        <v>1000</v>
      </c>
      <c r="J125" cm="1">
        <f t="array" ref="J125">_xlfn.SWITCH(B125,1,75,2,61,3,49,4,37,5,25,6,13,7,4,8,1)</f>
        <v>61</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403</v>
      </c>
      <c r="D126" t="s">
        <v>26</v>
      </c>
      <c r="E126" t="s">
        <v>388</v>
      </c>
      <c r="G126">
        <v>1</v>
      </c>
      <c r="H126">
        <v>1000</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403</v>
      </c>
      <c r="D127" t="s">
        <v>26</v>
      </c>
      <c r="E127" t="s">
        <v>388</v>
      </c>
      <c r="G127">
        <v>1</v>
      </c>
      <c r="H127">
        <v>1000</v>
      </c>
      <c r="J127" cm="1">
        <f t="array" ref="J127">_xlfn.SWITCH(B127,1,75,2,61,3,49,4,37,5,25,6,13,7,4,8,1)</f>
        <v>37</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403</v>
      </c>
      <c r="D128" t="s">
        <v>26</v>
      </c>
      <c r="E128" t="s">
        <v>388</v>
      </c>
      <c r="G128">
        <v>1</v>
      </c>
      <c r="H128">
        <v>1000</v>
      </c>
      <c r="J128" cm="1">
        <f t="array" ref="J128">_xlfn.SWITCH(B128,1,75,2,61,3,49,4,37,5,25,6,13,7,4,8,1)</f>
        <v>25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403</v>
      </c>
      <c r="D129" t="s">
        <v>26</v>
      </c>
      <c r="E129" t="s">
        <v>388</v>
      </c>
      <c r="G129">
        <v>1</v>
      </c>
      <c r="H129">
        <v>1000</v>
      </c>
      <c r="J129" cm="1">
        <f t="array" ref="J129">_xlfn.SWITCH(B129,1,75,2,61,3,49,4,37,5,25,6,13,7,4,8,1)</f>
        <v>13</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403</v>
      </c>
      <c r="D130" t="s">
        <v>26</v>
      </c>
      <c r="E130" t="s">
        <v>388</v>
      </c>
      <c r="G130">
        <v>1</v>
      </c>
      <c r="H130">
        <v>1000</v>
      </c>
      <c r="J130" cm="1">
        <f t="array" ref="J130">_xlfn.SWITCH(B130,1,75,2,61,3,49,4,37,5,25,6,13,7,4,8,1)</f>
        <v>4</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403</v>
      </c>
      <c r="D131" t="s">
        <v>26</v>
      </c>
      <c r="E131" t="s">
        <v>388</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404</v>
      </c>
      <c r="D132" t="s">
        <v>26</v>
      </c>
      <c r="E132" s="13" t="s">
        <v>405</v>
      </c>
      <c r="F132"/>
      <c r="G132">
        <v>2</v>
      </c>
      <c r="H132">
        <v>1000</v>
      </c>
      <c r="J132" cm="1">
        <f t="array" ref="J132">_xlfn.SWITCH(B132,1,75,2,61,3,49,4,37,5,25,6,13,7,4,8,1)</f>
        <v>75</v>
      </c>
      <c r="K132" t="str" cm="1">
        <f t="array" ref="K132">IFERROR(_xlfn.SWITCH(L132,2,_xlfn.XLOOKUP(C132,[1]ModifierDes!$B:$B,[1]ModifierDes!$C:$C),3,_xlfn.XLOOKUP(C132,[1]StuntDes!$B:$B,[1]StuntDes!$C:$C)),"")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404</v>
      </c>
      <c r="D133" t="s">
        <v>26</v>
      </c>
      <c r="E133" s="13" t="s">
        <v>405</v>
      </c>
      <c r="F133"/>
      <c r="G133">
        <v>2</v>
      </c>
      <c r="H133">
        <v>1000</v>
      </c>
      <c r="J133" cm="1">
        <f t="array" ref="J133">_xlfn.SWITCH(B133,1,75,2,61,3,49,4,37,5,25,6,13,7,4,8,1)</f>
        <v>61</v>
      </c>
      <c r="K133" t="str" cm="1">
        <f t="array" ref="K133">IFERROR(_xlfn.SWITCH(L133,2,_xlfn.XLOOKUP(C133,[1]ModifierDes!$B:$B,[1]ModifierDes!$C:$C),3,_xlfn.XLOOKUP(C133,[1]StuntDes!$B:$B,[1]StuntDes!$C:$C)),"")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404</v>
      </c>
      <c r="D134" t="s">
        <v>26</v>
      </c>
      <c r="E134" s="13" t="s">
        <v>405</v>
      </c>
      <c r="F134"/>
      <c r="G134">
        <v>2</v>
      </c>
      <c r="H134">
        <v>1000</v>
      </c>
      <c r="J134" cm="1">
        <f t="array" ref="J134">_xlfn.SWITCH(B134,1,75,2,61,3,49,4,37,5,25,6,13,7,4,8,1)</f>
        <v>49</v>
      </c>
      <c r="K134" t="str" cm="1">
        <f t="array" ref="K134">IFERROR(_xlfn.SWITCH(L134,2,_xlfn.XLOOKUP(C134,[1]ModifierDes!$B:$B,[1]ModifierDes!$C:$C),3,_xlfn.XLOOKUP(C134,[1]StuntDes!$B:$B,[1]StuntDes!$C:$C)),"")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404</v>
      </c>
      <c r="D135" t="s">
        <v>26</v>
      </c>
      <c r="E135" s="13" t="s">
        <v>405</v>
      </c>
      <c r="F135"/>
      <c r="G135">
        <v>2</v>
      </c>
      <c r="H135">
        <v>1000</v>
      </c>
      <c r="J135" cm="1">
        <f t="array" ref="J135">_xlfn.SWITCH(B135,1,75,2,61,3,49,4,37,5,25,6,13,7,4,8,1)</f>
        <v>37</v>
      </c>
      <c r="K135" t="str" cm="1">
        <f t="array" ref="K135">IFERROR(_xlfn.SWITCH(L135,2,_xlfn.XLOOKUP(C135,[1]ModifierDes!$B:$B,[1]ModifierDes!$C:$C),3,_xlfn.XLOOKUP(C135,[1]StuntDes!$B:$B,[1]StuntDes!$C:$C)),"")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404</v>
      </c>
      <c r="D136" t="s">
        <v>26</v>
      </c>
      <c r="E136" s="13" t="s">
        <v>405</v>
      </c>
      <c r="F136"/>
      <c r="G136">
        <v>2</v>
      </c>
      <c r="H136">
        <v>1000</v>
      </c>
      <c r="J136" cm="1">
        <f t="array" ref="J136">_xlfn.SWITCH(B136,1,75,2,61,3,49,4,37,5,25,6,13,7,4,8,1)</f>
        <v>25</v>
      </c>
      <c r="K136" t="str" cm="1">
        <f t="array" ref="K136">IFERROR(_xlfn.SWITCH(L136,2,_xlfn.XLOOKUP(C136,[1]ModifierDes!$B:$B,[1]ModifierDes!$C:$C),3,_xlfn.XLOOKUP(C136,[1]StuntDes!$B:$B,[1]StuntDes!$C:$C)),"")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404</v>
      </c>
      <c r="D137" t="s">
        <v>26</v>
      </c>
      <c r="E137" s="13" t="s">
        <v>405</v>
      </c>
      <c r="F137"/>
      <c r="G137">
        <v>2</v>
      </c>
      <c r="H137">
        <v>1000</v>
      </c>
      <c r="J137" cm="1">
        <f t="array" ref="J137">_xlfn.SWITCH(B137,1,75,2,61,3,49,4,37,5,25,6,13,7,4,8,1)</f>
        <v>13</v>
      </c>
      <c r="K137" t="str" cm="1">
        <f t="array" ref="K137">IFERROR(_xlfn.SWITCH(L137,2,_xlfn.XLOOKUP(C137,[1]ModifierDes!$B:$B,[1]ModifierDes!$C:$C),3,_xlfn.XLOOKUP(C137,[1]StuntDes!$B:$B,[1]StuntDes!$C:$C)),"")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404</v>
      </c>
      <c r="D138" t="s">
        <v>26</v>
      </c>
      <c r="E138" s="13" t="s">
        <v>405</v>
      </c>
      <c r="F138"/>
      <c r="G138">
        <v>2</v>
      </c>
      <c r="H138">
        <v>1000</v>
      </c>
      <c r="J138" cm="1">
        <f t="array" ref="J138">_xlfn.SWITCH(B138,1,75,2,61,3,49,4,37,5,25,6,13,7,4,8,1)</f>
        <v>4</v>
      </c>
      <c r="K138" t="str" cm="1">
        <f t="array" ref="K138">IFERROR(_xlfn.SWITCH(L138,2,_xlfn.XLOOKUP(C138,[1]ModifierDes!$B:$B,[1]ModifierDes!$C:$C),3,_xlfn.XLOOKUP(C138,[1]StuntDes!$B:$B,[1]StuntDes!$C:$C)),"")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404</v>
      </c>
      <c r="D139" t="s">
        <v>26</v>
      </c>
      <c r="E139" s="13" t="s">
        <v>405</v>
      </c>
      <c r="F139"/>
      <c r="G139">
        <v>2</v>
      </c>
      <c r="H139">
        <v>1000</v>
      </c>
      <c r="J139" cm="1">
        <f t="array" ref="J139">_xlfn.SWITCH(B139,1,75,2,61,3,49,4,37,5,25,6,13,7,4,8,1)</f>
        <v>1</v>
      </c>
      <c r="K139" t="str" cm="1">
        <f t="array" ref="K139">IFERROR(_xlfn.SWITCH(L139,2,_xlfn.XLOOKUP(C139,[1]ModifierDes!$B:$B,[1]ModifierDes!$C:$C),3,_xlfn.XLOOKUP(C139,[1]StuntDes!$B:$B,[1]StuntDes!$C:$C)),"")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406</v>
      </c>
      <c r="D140" t="s">
        <v>26</v>
      </c>
      <c r="E140" s="13" t="s">
        <v>405</v>
      </c>
      <c r="G140">
        <v>2</v>
      </c>
      <c r="H140">
        <v>25</v>
      </c>
      <c r="I140">
        <v>2</v>
      </c>
      <c r="J140" cm="1">
        <f t="array" ref="J140">_xlfn.SWITCH(B140,1,75,2,61,3,49,4,37,5,25,6,13,7,4,8,1)</f>
        <v>75</v>
      </c>
      <c r="K140" t="str" cm="1">
        <f t="array" ref="K140">IFERROR(_xlfn.SWITCH(L140,2,_xlfn.XLOOKUP(C140,[1]ModifierDes!$B:$B,[1]ModifierDes!$C:$C),3,_xlfn.XLOOKUP(C140,[1]StuntDes!$B:$B,[1]StuntDes!$C:$C)),"")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406</v>
      </c>
      <c r="D141" t="s">
        <v>26</v>
      </c>
      <c r="E141" s="13" t="s">
        <v>405</v>
      </c>
      <c r="G141">
        <v>2</v>
      </c>
      <c r="H141">
        <v>100</v>
      </c>
      <c r="I141">
        <v>2</v>
      </c>
      <c r="J141" cm="1">
        <f t="array" ref="J141">_xlfn.SWITCH(B141,1,75,2,61,3,49,4,37,5,25,6,13,7,4,8,1)</f>
        <v>61</v>
      </c>
      <c r="K141" t="str" cm="1">
        <f t="array" ref="K141">IFERROR(_xlfn.SWITCH(L141,2,_xlfn.XLOOKUP(C141,[1]ModifierDes!$B:$B,[1]ModifierDes!$C:$C),3,_xlfn.XLOOKUP(C141,[1]StuntDes!$B:$B,[1]StuntDes!$C:$C)),"")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406</v>
      </c>
      <c r="D142" t="s">
        <v>26</v>
      </c>
      <c r="E142" s="13" t="s">
        <v>405</v>
      </c>
      <c r="G142">
        <v>2</v>
      </c>
      <c r="H142">
        <v>300</v>
      </c>
      <c r="I142">
        <v>2</v>
      </c>
      <c r="J142" cm="1">
        <f t="array" ref="J142">_xlfn.SWITCH(B142,1,75,2,61,3,49,4,37,5,25,6,13,7,4,8,1)</f>
        <v>49</v>
      </c>
      <c r="K142" t="str" cm="1">
        <f t="array" ref="K142">IFERROR(_xlfn.SWITCH(L142,2,_xlfn.XLOOKUP(C142,[1]ModifierDes!$B:$B,[1]ModifierDes!$C:$C),3,_xlfn.XLOOKUP(C142,[1]StuntDes!$B:$B,[1]StuntDes!$C:$C)),"")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406</v>
      </c>
      <c r="D143" t="s">
        <v>26</v>
      </c>
      <c r="E143" s="13" t="s">
        <v>405</v>
      </c>
      <c r="G143">
        <v>2</v>
      </c>
      <c r="H143">
        <v>1000</v>
      </c>
      <c r="I143">
        <v>2</v>
      </c>
      <c r="J143" cm="1">
        <f t="array" ref="J143">_xlfn.SWITCH(B143,1,75,2,61,3,49,4,37,5,25,6,13,7,4,8,1)</f>
        <v>25</v>
      </c>
      <c r="K143" t="str" cm="1">
        <f t="array" ref="K143">IFERROR(_xlfn.SWITCH(L143,2,_xlfn.XLOOKUP(C143,[1]ModifierDes!$B:$B,[1]ModifierDes!$C:$C),3,_xlfn.XLOOKUP(C143,[1]StuntDes!$B:$B,[1]StuntDes!$C:$C)),"")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407</v>
      </c>
      <c r="D144" t="s">
        <v>26</v>
      </c>
      <c r="E144" s="13" t="s">
        <v>405</v>
      </c>
      <c r="G144">
        <v>2</v>
      </c>
      <c r="H144">
        <v>25</v>
      </c>
      <c r="I144">
        <v>2</v>
      </c>
      <c r="J144" cm="1">
        <f t="array" ref="J144">_xlfn.SWITCH(B144,1,75,2,61,3,49,4,37,5,25,6,13,7,4,8,1)</f>
        <v>75</v>
      </c>
      <c r="K144" t="str" cm="1">
        <f t="array" ref="K144">IFERROR(_xlfn.SWITCH(L144,2,_xlfn.XLOOKUP(C144,[1]ModifierDes!$B:$B,[1]ModifierDes!$C:$C),3,_xlfn.XLOOKUP(C144,[1]StuntDes!$B:$B,[1]StuntDes!$C:$C)),"")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407</v>
      </c>
      <c r="D145" t="s">
        <v>26</v>
      </c>
      <c r="E145" s="13" t="s">
        <v>405</v>
      </c>
      <c r="G145">
        <v>2</v>
      </c>
      <c r="H145">
        <v>100</v>
      </c>
      <c r="I145">
        <v>2</v>
      </c>
      <c r="J145" cm="1">
        <f t="array" ref="J145">_xlfn.SWITCH(B145,1,75,2,61,3,49,4,37,5,25,6,13,7,4,8,1)</f>
        <v>61</v>
      </c>
      <c r="K145" t="str" cm="1">
        <f t="array" ref="K145">IFERROR(_xlfn.SWITCH(L145,2,_xlfn.XLOOKUP(C145,[1]ModifierDes!$B:$B,[1]ModifierDes!$C:$C),3,_xlfn.XLOOKUP(C145,[1]StuntDes!$B:$B,[1]StuntDes!$C:$C)),"")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407</v>
      </c>
      <c r="D146" t="s">
        <v>26</v>
      </c>
      <c r="E146" s="13" t="s">
        <v>405</v>
      </c>
      <c r="G146">
        <v>2</v>
      </c>
      <c r="H146">
        <v>300</v>
      </c>
      <c r="I146">
        <v>2</v>
      </c>
      <c r="J146" cm="1">
        <f t="array" ref="J146">_xlfn.SWITCH(B146,1,75,2,61,3,49,4,37,5,25,6,13,7,4,8,1)</f>
        <v>49</v>
      </c>
      <c r="K146" t="str" cm="1">
        <f t="array" ref="K146">IFERROR(_xlfn.SWITCH(L146,2,_xlfn.XLOOKUP(C146,[1]ModifierDes!$B:$B,[1]ModifierDes!$C:$C),3,_xlfn.XLOOKUP(C146,[1]StuntDes!$B:$B,[1]StuntDes!$C:$C)),"")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407</v>
      </c>
      <c r="D147" t="s">
        <v>26</v>
      </c>
      <c r="E147" s="13" t="s">
        <v>405</v>
      </c>
      <c r="G147">
        <v>2</v>
      </c>
      <c r="H147">
        <v>1000</v>
      </c>
      <c r="I147">
        <v>2</v>
      </c>
      <c r="J147" cm="1">
        <f t="array" ref="J147">_xlfn.SWITCH(B147,1,75,2,61,3,49,4,37,5,25,6,13,7,4,8,1)</f>
        <v>25</v>
      </c>
      <c r="K147" t="str" cm="1">
        <f t="array" ref="K147">IFERROR(_xlfn.SWITCH(L147,2,_xlfn.XLOOKUP(C147,[1]ModifierDes!$B:$B,[1]ModifierDes!$C:$C),3,_xlfn.XLOOKUP(C147,[1]StuntDes!$B:$B,[1]StuntDes!$C:$C)),"")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408</v>
      </c>
      <c r="D148" t="s">
        <v>26</v>
      </c>
      <c r="E148" s="13" t="s">
        <v>405</v>
      </c>
      <c r="G148">
        <v>2</v>
      </c>
      <c r="H148">
        <v>25</v>
      </c>
      <c r="I148">
        <v>2</v>
      </c>
      <c r="J148" cm="1">
        <f t="array" ref="J148">_xlfn.SWITCH(B148,1,75,2,61,3,49,4,37,5,25,6,13,7,4,8,1)</f>
        <v>75</v>
      </c>
      <c r="K148" t="str" cm="1">
        <f t="array" ref="K148">IFERROR(_xlfn.SWITCH(L148,2,_xlfn.XLOOKUP(C148,[1]ModifierDes!$B:$B,[1]ModifierDes!$C:$C),3,_xlfn.XLOOKUP(C148,[1]StuntDes!$B:$B,[1]StuntDes!$C:$C)),"")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408</v>
      </c>
      <c r="D149" t="s">
        <v>26</v>
      </c>
      <c r="E149" s="13" t="s">
        <v>405</v>
      </c>
      <c r="G149">
        <v>2</v>
      </c>
      <c r="H149">
        <v>100</v>
      </c>
      <c r="I149">
        <v>2</v>
      </c>
      <c r="J149" cm="1">
        <f t="array" ref="J149">_xlfn.SWITCH(B149,1,75,2,61,3,49,4,37,5,25,6,13,7,4,8,1)</f>
        <v>61</v>
      </c>
      <c r="K149" t="str" cm="1">
        <f t="array" ref="K149">IFERROR(_xlfn.SWITCH(L149,2,_xlfn.XLOOKUP(C149,[1]ModifierDes!$B:$B,[1]ModifierDes!$C:$C),3,_xlfn.XLOOKUP(C149,[1]StuntDes!$B:$B,[1]StuntDes!$C:$C)),"")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408</v>
      </c>
      <c r="D150" t="s">
        <v>26</v>
      </c>
      <c r="E150" s="13" t="s">
        <v>405</v>
      </c>
      <c r="G150">
        <v>2</v>
      </c>
      <c r="H150">
        <v>300</v>
      </c>
      <c r="I150">
        <v>2</v>
      </c>
      <c r="J150" cm="1">
        <f t="array" ref="J150">_xlfn.SWITCH(B150,1,75,2,61,3,49,4,37,5,25,6,13,7,4,8,1)</f>
        <v>49</v>
      </c>
      <c r="K150" t="str" cm="1">
        <f t="array" ref="K150">IFERROR(_xlfn.SWITCH(L150,2,_xlfn.XLOOKUP(C150,[1]ModifierDes!$B:$B,[1]ModifierDes!$C:$C),3,_xlfn.XLOOKUP(C150,[1]StuntDes!$B:$B,[1]StuntDes!$C:$C)),"")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408</v>
      </c>
      <c r="D151" t="s">
        <v>26</v>
      </c>
      <c r="E151" s="13" t="s">
        <v>405</v>
      </c>
      <c r="G151">
        <v>2</v>
      </c>
      <c r="H151">
        <v>1000</v>
      </c>
      <c r="I151">
        <v>2</v>
      </c>
      <c r="J151" cm="1">
        <f t="array" ref="J151">_xlfn.SWITCH(B151,1,75,2,61,3,49,4,37,5,25,6,13,7,4,8,1)</f>
        <v>25</v>
      </c>
      <c r="K151" t="str" cm="1">
        <f t="array" ref="K151">IFERROR(_xlfn.SWITCH(L151,2,_xlfn.XLOOKUP(C151,[1]ModifierDes!$B:$B,[1]ModifierDes!$C:$C),3,_xlfn.XLOOKUP(C151,[1]StuntDes!$B:$B,[1]StuntDes!$C:$C)),"")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409</v>
      </c>
      <c r="D152" t="s">
        <v>26</v>
      </c>
      <c r="E152" s="13" t="s">
        <v>405</v>
      </c>
      <c r="G152">
        <v>2</v>
      </c>
      <c r="H152">
        <v>25</v>
      </c>
      <c r="I152">
        <v>2</v>
      </c>
      <c r="J152" cm="1">
        <f t="array" ref="J152">_xlfn.SWITCH(B152,1,75,2,61,3,49,4,37,5,25,6,13,7,4,8,1)</f>
        <v>75</v>
      </c>
      <c r="K152" t="str" cm="1">
        <f t="array" ref="K152">IFERROR(_xlfn.SWITCH(L152,2,_xlfn.XLOOKUP(C152,[1]ModifierDes!$B:$B,[1]ModifierDes!$C:$C),3,_xlfn.XLOOKUP(C152,[1]StuntDes!$B:$B,[1]StuntDes!$C:$C)),"")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409</v>
      </c>
      <c r="D153" t="s">
        <v>26</v>
      </c>
      <c r="E153" s="13" t="s">
        <v>405</v>
      </c>
      <c r="G153">
        <v>2</v>
      </c>
      <c r="H153">
        <v>100</v>
      </c>
      <c r="I153">
        <v>2</v>
      </c>
      <c r="J153" cm="1">
        <f t="array" ref="J153">_xlfn.SWITCH(B153,1,75,2,61,3,49,4,37,5,25,6,13,7,4,8,1)</f>
        <v>61</v>
      </c>
      <c r="K153" t="str" cm="1">
        <f t="array" ref="K153">IFERROR(_xlfn.SWITCH(L153,2,_xlfn.XLOOKUP(C153,[1]ModifierDes!$B:$B,[1]ModifierDes!$C:$C),3,_xlfn.XLOOKUP(C153,[1]StuntDes!$B:$B,[1]StuntDes!$C:$C)),"")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409</v>
      </c>
      <c r="D154" t="s">
        <v>26</v>
      </c>
      <c r="E154" s="13" t="s">
        <v>405</v>
      </c>
      <c r="G154">
        <v>2</v>
      </c>
      <c r="H154">
        <v>300</v>
      </c>
      <c r="I154">
        <v>2</v>
      </c>
      <c r="J154" cm="1">
        <f t="array" ref="J154">_xlfn.SWITCH(B154,1,75,2,61,3,49,4,37,5,25,6,13,7,4,8,1)</f>
        <v>49</v>
      </c>
      <c r="K154" t="str" cm="1">
        <f t="array" ref="K154">IFERROR(_xlfn.SWITCH(L154,2,_xlfn.XLOOKUP(C154,[1]ModifierDes!$B:$B,[1]ModifierDes!$C:$C),3,_xlfn.XLOOKUP(C154,[1]StuntDes!$B:$B,[1]StuntDes!$C:$C)),"")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409</v>
      </c>
      <c r="D155" t="s">
        <v>26</v>
      </c>
      <c r="E155" s="13" t="s">
        <v>405</v>
      </c>
      <c r="G155">
        <v>2</v>
      </c>
      <c r="H155">
        <v>1000</v>
      </c>
      <c r="I155">
        <v>2</v>
      </c>
      <c r="J155" cm="1">
        <f t="array" ref="J155">_xlfn.SWITCH(B155,1,75,2,61,3,49,4,37,5,25,6,13,7,4,8,1)</f>
        <v>25</v>
      </c>
      <c r="K155" t="str" cm="1">
        <f t="array" ref="K155">IFERROR(_xlfn.SWITCH(L155,2,_xlfn.XLOOKUP(C155,[1]ModifierDes!$B:$B,[1]ModifierDes!$C:$C),3,_xlfn.XLOOKUP(C155,[1]StuntDes!$B:$B,[1]StuntDes!$C:$C)),"")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410</v>
      </c>
      <c r="D156" t="s">
        <v>26</v>
      </c>
      <c r="E156" s="13" t="s">
        <v>405</v>
      </c>
      <c r="G156">
        <v>2</v>
      </c>
      <c r="H156">
        <v>25</v>
      </c>
      <c r="I156">
        <v>2</v>
      </c>
      <c r="J156" cm="1">
        <f t="array" ref="J156">_xlfn.SWITCH(B156,1,75,2,61,3,49,4,37,5,25,6,13,7,4,8,1)</f>
        <v>75</v>
      </c>
      <c r="K156" t="str" cm="1">
        <f t="array" ref="K156">IFERROR(_xlfn.SWITCH(L156,2,_xlfn.XLOOKUP(C156,[1]ModifierDes!$B:$B,[1]ModifierDes!$C:$C),3,_xlfn.XLOOKUP(C156,[1]StuntDes!$B:$B,[1]StuntDes!$C:$C)),"")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410</v>
      </c>
      <c r="D157" t="s">
        <v>26</v>
      </c>
      <c r="E157" s="13" t="s">
        <v>405</v>
      </c>
      <c r="G157">
        <v>2</v>
      </c>
      <c r="H157">
        <v>100</v>
      </c>
      <c r="I157">
        <v>2</v>
      </c>
      <c r="J157" cm="1">
        <f t="array" ref="J157">_xlfn.SWITCH(B157,1,75,2,61,3,49,4,37,5,25,6,13,7,4,8,1)</f>
        <v>61</v>
      </c>
      <c r="K157" t="str" cm="1">
        <f t="array" ref="K157">IFERROR(_xlfn.SWITCH(L157,2,_xlfn.XLOOKUP(C157,[1]ModifierDes!$B:$B,[1]ModifierDes!$C:$C),3,_xlfn.XLOOKUP(C157,[1]StuntDes!$B:$B,[1]StuntDes!$C:$C)),"")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410</v>
      </c>
      <c r="D158" t="s">
        <v>26</v>
      </c>
      <c r="E158" s="13" t="s">
        <v>405</v>
      </c>
      <c r="G158">
        <v>2</v>
      </c>
      <c r="H158">
        <v>300</v>
      </c>
      <c r="I158">
        <v>2</v>
      </c>
      <c r="J158" cm="1">
        <f t="array" ref="J158">_xlfn.SWITCH(B158,1,75,2,61,3,49,4,37,5,25,6,13,7,4,8,1)</f>
        <v>49</v>
      </c>
      <c r="K158" t="str" cm="1">
        <f t="array" ref="K158">IFERROR(_xlfn.SWITCH(L158,2,_xlfn.XLOOKUP(C158,[1]ModifierDes!$B:$B,[1]ModifierDes!$C:$C),3,_xlfn.XLOOKUP(C158,[1]StuntDes!$B:$B,[1]StuntDes!$C:$C)),"")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410</v>
      </c>
      <c r="D159" t="s">
        <v>26</v>
      </c>
      <c r="E159" s="13" t="s">
        <v>405</v>
      </c>
      <c r="G159">
        <v>2</v>
      </c>
      <c r="H159">
        <v>1000</v>
      </c>
      <c r="I159">
        <v>2</v>
      </c>
      <c r="J159" cm="1">
        <f t="array" ref="J159">_xlfn.SWITCH(B159,1,75,2,61,3,49,4,37,5,25,6,13,7,4,8,1)</f>
        <v>25</v>
      </c>
      <c r="K159" t="str" cm="1">
        <f t="array" ref="K159">IFERROR(_xlfn.SWITCH(L159,2,_xlfn.XLOOKUP(C159,[1]ModifierDes!$B:$B,[1]ModifierDes!$C:$C),3,_xlfn.XLOOKUP(C159,[1]StuntDes!$B:$B,[1]StuntDes!$C:$C)),"")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411</v>
      </c>
      <c r="D160" t="s">
        <v>26</v>
      </c>
      <c r="E160" s="13" t="s">
        <v>405</v>
      </c>
      <c r="F160"/>
      <c r="G160">
        <v>2</v>
      </c>
      <c r="H160">
        <v>100</v>
      </c>
      <c r="J160" cm="1">
        <f t="array" ref="J160">_xlfn.SWITCH(B160,1,75,2,61,3,49,4,37,5,25,6,13,7,4,8,1)</f>
        <v>75</v>
      </c>
      <c r="K160" t="str" cm="1">
        <f t="array" ref="K160">IFERROR(_xlfn.SWITCH(L160,2,_xlfn.XLOOKUP(C160,[1]ModifierDes!$B:$B,[1]ModifierDes!$C:$C),3,_xlfn.XLOOKUP(C160,[1]StuntDes!$B:$B,[1]StuntDes!$C:$C)),"")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411</v>
      </c>
      <c r="D161" t="s">
        <v>26</v>
      </c>
      <c r="E161" s="13" t="s">
        <v>405</v>
      </c>
      <c r="F161"/>
      <c r="G161">
        <v>2</v>
      </c>
      <c r="H161">
        <v>200</v>
      </c>
      <c r="J161" cm="1">
        <f t="array" ref="J161">_xlfn.SWITCH(B161,1,75,2,61,3,49,4,37,5,25,6,13,7,4,8,1)</f>
        <v>61</v>
      </c>
      <c r="K161" t="str" cm="1">
        <f t="array" ref="K161">IFERROR(_xlfn.SWITCH(L161,2,_xlfn.XLOOKUP(C161,[1]ModifierDes!$B:$B,[1]ModifierDes!$C:$C),3,_xlfn.XLOOKUP(C161,[1]StuntDes!$B:$B,[1]StuntDes!$C:$C)),"")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411</v>
      </c>
      <c r="D162" t="s">
        <v>26</v>
      </c>
      <c r="E162" s="13" t="s">
        <v>405</v>
      </c>
      <c r="F162"/>
      <c r="G162">
        <v>2</v>
      </c>
      <c r="H162">
        <v>400</v>
      </c>
      <c r="J162" cm="1">
        <f t="array" ref="J162">_xlfn.SWITCH(B162,1,75,2,61,3,49,4,37,5,25,6,13,7,4,8,1)</f>
        <v>49</v>
      </c>
      <c r="K162" t="str" cm="1">
        <f t="array" ref="K162">IFERROR(_xlfn.SWITCH(L162,2,_xlfn.XLOOKUP(C162,[1]ModifierDes!$B:$B,[1]ModifierDes!$C:$C),3,_xlfn.XLOOKUP(C162,[1]StuntDes!$B:$B,[1]StuntDes!$C:$C)),"")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411</v>
      </c>
      <c r="D163" t="s">
        <v>26</v>
      </c>
      <c r="E163" s="13" t="s">
        <v>405</v>
      </c>
      <c r="F163"/>
      <c r="G163">
        <v>2</v>
      </c>
      <c r="H163">
        <v>600</v>
      </c>
      <c r="J163" cm="1">
        <f t="array" ref="J163">_xlfn.SWITCH(B163,1,75,2,61,3,49,4,37,5,25,6,13,7,4,8,1)</f>
        <v>37</v>
      </c>
      <c r="K163" t="str" cm="1">
        <f t="array" ref="K163">IFERROR(_xlfn.SWITCH(L163,2,_xlfn.XLOOKUP(C163,[1]ModifierDes!$B:$B,[1]ModifierDes!$C:$C),3,_xlfn.XLOOKUP(C163,[1]StuntDes!$B:$B,[1]StuntDes!$C:$C)),"")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411</v>
      </c>
      <c r="D164" t="s">
        <v>26</v>
      </c>
      <c r="E164" s="13" t="s">
        <v>405</v>
      </c>
      <c r="F164"/>
      <c r="G164">
        <v>2</v>
      </c>
      <c r="H164">
        <v>800</v>
      </c>
      <c r="J164" cm="1">
        <f t="array" ref="J164">_xlfn.SWITCH(B164,1,75,2,61,3,49,4,37,5,25,6,13,7,4,8,1)</f>
        <v>25</v>
      </c>
      <c r="K164" t="str" cm="1">
        <f t="array" ref="K164">IFERROR(_xlfn.SWITCH(L164,2,_xlfn.XLOOKUP(C164,[1]ModifierDes!$B:$B,[1]ModifierDes!$C:$C),3,_xlfn.XLOOKUP(C164,[1]StuntDes!$B:$B,[1]StuntDes!$C:$C)),"")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411</v>
      </c>
      <c r="D165" t="s">
        <v>26</v>
      </c>
      <c r="E165" s="13" t="s">
        <v>405</v>
      </c>
      <c r="F165"/>
      <c r="G165">
        <v>2</v>
      </c>
      <c r="H165">
        <v>1000</v>
      </c>
      <c r="J165" cm="1">
        <f t="array" ref="J165">_xlfn.SWITCH(B165,1,75,2,61,3,49,4,37,5,25,6,13,7,4,8,1)</f>
        <v>13</v>
      </c>
      <c r="K165" t="str" cm="1">
        <f t="array" ref="K165">IFERROR(_xlfn.SWITCH(L165,2,_xlfn.XLOOKUP(C165,[1]ModifierDes!$B:$B,[1]ModifierDes!$C:$C),3,_xlfn.XLOOKUP(C165,[1]StuntDes!$B:$B,[1]StuntDes!$C:$C)),"")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411</v>
      </c>
      <c r="D166" t="s">
        <v>26</v>
      </c>
      <c r="E166" s="13" t="s">
        <v>405</v>
      </c>
      <c r="F166"/>
      <c r="G166">
        <v>2</v>
      </c>
      <c r="H166">
        <v>1000</v>
      </c>
      <c r="J166" cm="1">
        <f t="array" ref="J166">_xlfn.SWITCH(B166,1,75,2,61,3,49,4,37,5,25,6,13,7,4,8,1)</f>
        <v>4</v>
      </c>
      <c r="K166" t="str" cm="1">
        <f t="array" ref="K166">IFERROR(_xlfn.SWITCH(L166,2,_xlfn.XLOOKUP(C166,[1]ModifierDes!$B:$B,[1]ModifierDes!$C:$C),3,_xlfn.XLOOKUP(C166,[1]StuntDes!$B:$B,[1]StuntDes!$C:$C)),"")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411</v>
      </c>
      <c r="D167" t="s">
        <v>26</v>
      </c>
      <c r="E167" s="13" t="s">
        <v>405</v>
      </c>
      <c r="F167"/>
      <c r="G167">
        <v>2</v>
      </c>
      <c r="H167">
        <v>1000</v>
      </c>
      <c r="J167" cm="1">
        <f t="array" ref="J167">_xlfn.SWITCH(B167,1,75,2,61,3,49,4,37,5,25,6,13,7,4,8,1)</f>
        <v>1</v>
      </c>
      <c r="K167" t="str" cm="1">
        <f t="array" ref="K167">IFERROR(_xlfn.SWITCH(L167,2,_xlfn.XLOOKUP(C167,[1]ModifierDes!$B:$B,[1]ModifierDes!$C:$C),3,_xlfn.XLOOKUP(C167,[1]StuntDes!$B:$B,[1]StuntDes!$C:$C)),"")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412</v>
      </c>
      <c r="D168" t="s">
        <v>26</v>
      </c>
      <c r="E168" s="13" t="s">
        <v>405</v>
      </c>
      <c r="F168"/>
      <c r="G168">
        <v>2</v>
      </c>
      <c r="H168">
        <v>100</v>
      </c>
      <c r="J168" cm="1">
        <f t="array" ref="J168">_xlfn.SWITCH(B168,1,75,2,61,3,49,4,37,5,25,6,13,7,4,8,1)</f>
        <v>75</v>
      </c>
      <c r="K168" t="str" cm="1">
        <f t="array" ref="K168">IFERROR(_xlfn.SWITCH(L168,2,_xlfn.XLOOKUP(C168,[1]ModifierDes!$B:$B,[1]ModifierDes!$C:$C),3,_xlfn.XLOOKUP(C168,[1]StuntDes!$B:$B,[1]StuntDes!$C:$C)),"")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412</v>
      </c>
      <c r="D169" t="s">
        <v>26</v>
      </c>
      <c r="E169" s="13" t="s">
        <v>405</v>
      </c>
      <c r="F169"/>
      <c r="G169">
        <v>2</v>
      </c>
      <c r="H169">
        <v>200</v>
      </c>
      <c r="J169" cm="1">
        <f t="array" ref="J169">_xlfn.SWITCH(B169,1,75,2,61,3,49,4,37,5,25,6,13,7,4,8,1)</f>
        <v>61</v>
      </c>
      <c r="K169" t="str" cm="1">
        <f t="array" ref="K169">IFERROR(_xlfn.SWITCH(L169,2,_xlfn.XLOOKUP(C169,[1]ModifierDes!$B:$B,[1]ModifierDes!$C:$C),3,_xlfn.XLOOKUP(C169,[1]StuntDes!$B:$B,[1]StuntDes!$C:$C)),"")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412</v>
      </c>
      <c r="D170" t="s">
        <v>26</v>
      </c>
      <c r="E170" s="13" t="s">
        <v>405</v>
      </c>
      <c r="F170"/>
      <c r="G170">
        <v>2</v>
      </c>
      <c r="H170">
        <v>400</v>
      </c>
      <c r="J170" cm="1">
        <f t="array" ref="J170">_xlfn.SWITCH(B170,1,75,2,61,3,49,4,37,5,25,6,13,7,4,8,1)</f>
        <v>49</v>
      </c>
      <c r="K170" t="str" cm="1">
        <f t="array" ref="K170">IFERROR(_xlfn.SWITCH(L170,2,_xlfn.XLOOKUP(C170,[1]ModifierDes!$B:$B,[1]ModifierDes!$C:$C),3,_xlfn.XLOOKUP(C170,[1]StuntDes!$B:$B,[1]StuntDes!$C:$C)),"")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412</v>
      </c>
      <c r="D171" t="s">
        <v>26</v>
      </c>
      <c r="E171" s="13" t="s">
        <v>405</v>
      </c>
      <c r="F171"/>
      <c r="G171">
        <v>2</v>
      </c>
      <c r="H171">
        <v>600</v>
      </c>
      <c r="J171" cm="1">
        <f t="array" ref="J171">_xlfn.SWITCH(B171,1,75,2,61,3,49,4,37,5,25,6,13,7,4,8,1)</f>
        <v>37</v>
      </c>
      <c r="K171" t="str" cm="1">
        <f t="array" ref="K171">IFERROR(_xlfn.SWITCH(L171,2,_xlfn.XLOOKUP(C171,[1]ModifierDes!$B:$B,[1]ModifierDes!$C:$C),3,_xlfn.XLOOKUP(C171,[1]StuntDes!$B:$B,[1]StuntDes!$C:$C)),"")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412</v>
      </c>
      <c r="D172" t="s">
        <v>26</v>
      </c>
      <c r="E172" s="13" t="s">
        <v>405</v>
      </c>
      <c r="F172"/>
      <c r="G172">
        <v>2</v>
      </c>
      <c r="H172">
        <v>800</v>
      </c>
      <c r="J172" cm="1">
        <f t="array" ref="J172">_xlfn.SWITCH(B172,1,75,2,61,3,49,4,37,5,25,6,13,7,4,8,1)</f>
        <v>25</v>
      </c>
      <c r="K172" t="str" cm="1">
        <f t="array" ref="K172">IFERROR(_xlfn.SWITCH(L172,2,_xlfn.XLOOKUP(C172,[1]ModifierDes!$B:$B,[1]ModifierDes!$C:$C),3,_xlfn.XLOOKUP(C172,[1]StuntDes!$B:$B,[1]StuntDes!$C:$C)),"")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412</v>
      </c>
      <c r="D173" t="s">
        <v>26</v>
      </c>
      <c r="E173" s="13" t="s">
        <v>405</v>
      </c>
      <c r="F173"/>
      <c r="G173">
        <v>2</v>
      </c>
      <c r="H173">
        <v>1000</v>
      </c>
      <c r="J173" cm="1">
        <f t="array" ref="J173">_xlfn.SWITCH(B173,1,75,2,61,3,49,4,37,5,25,6,13,7,4,8,1)</f>
        <v>13</v>
      </c>
      <c r="K173" t="str" cm="1">
        <f t="array" ref="K173">IFERROR(_xlfn.SWITCH(L173,2,_xlfn.XLOOKUP(C173,[1]ModifierDes!$B:$B,[1]ModifierDes!$C:$C),3,_xlfn.XLOOKUP(C173,[1]StuntDes!$B:$B,[1]StuntDes!$C:$C)),"")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412</v>
      </c>
      <c r="D174" t="s">
        <v>26</v>
      </c>
      <c r="E174" s="13" t="s">
        <v>405</v>
      </c>
      <c r="F174"/>
      <c r="G174">
        <v>2</v>
      </c>
      <c r="H174">
        <v>1000</v>
      </c>
      <c r="J174" cm="1">
        <f t="array" ref="J174">_xlfn.SWITCH(B174,1,75,2,61,3,49,4,37,5,25,6,13,7,4,8,1)</f>
        <v>4</v>
      </c>
      <c r="K174" t="str" cm="1">
        <f t="array" ref="K174">IFERROR(_xlfn.SWITCH(L174,2,_xlfn.XLOOKUP(C174,[1]ModifierDes!$B:$B,[1]ModifierDes!$C:$C),3,_xlfn.XLOOKUP(C174,[1]StuntDes!$B:$B,[1]StuntDes!$C:$C)),"")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412</v>
      </c>
      <c r="D175" t="s">
        <v>26</v>
      </c>
      <c r="E175" s="13" t="s">
        <v>405</v>
      </c>
      <c r="F175"/>
      <c r="G175">
        <v>2</v>
      </c>
      <c r="H175">
        <v>1000</v>
      </c>
      <c r="J175" cm="1">
        <f t="array" ref="J175">_xlfn.SWITCH(B175,1,75,2,61,3,49,4,37,5,25,6,13,7,4,8,1)</f>
        <v>1</v>
      </c>
      <c r="K175" t="str" cm="1">
        <f t="array" ref="K175">IFERROR(_xlfn.SWITCH(L175,2,_xlfn.XLOOKUP(C175,[1]ModifierDes!$B:$B,[1]ModifierDes!$C:$C),3,_xlfn.XLOOKUP(C175,[1]StuntDes!$B:$B,[1]StuntDes!$C:$C)),"")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413</v>
      </c>
      <c r="D176" t="s">
        <v>26</v>
      </c>
      <c r="E176" s="13" t="s">
        <v>405</v>
      </c>
      <c r="F176"/>
      <c r="G176">
        <v>2</v>
      </c>
      <c r="H176">
        <v>100</v>
      </c>
      <c r="J176" cm="1">
        <f t="array" ref="J176">_xlfn.SWITCH(B176,1,75,2,61,3,49,4,37,5,25,6,13,7,4,8,1)</f>
        <v>75</v>
      </c>
      <c r="K176" t="str" cm="1">
        <f t="array" ref="K176">IFERROR(_xlfn.SWITCH(L176,2,_xlfn.XLOOKUP(C176,[1]ModifierDes!$B:$B,[1]ModifierDes!$C:$C),3,_xlfn.XLOOKUP(C176,[1]StuntDes!$B:$B,[1]StuntDes!$C:$C)),"")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413</v>
      </c>
      <c r="D177" t="s">
        <v>26</v>
      </c>
      <c r="E177" s="13" t="s">
        <v>405</v>
      </c>
      <c r="F177"/>
      <c r="G177">
        <v>2</v>
      </c>
      <c r="H177">
        <v>200</v>
      </c>
      <c r="J177" cm="1">
        <f t="array" ref="J177">_xlfn.SWITCH(B177,1,75,2,61,3,49,4,37,5,25,6,13,7,4,8,1)</f>
        <v>61</v>
      </c>
      <c r="K177" t="str" cm="1">
        <f t="array" ref="K177">IFERROR(_xlfn.SWITCH(L177,2,_xlfn.XLOOKUP(C177,[1]ModifierDes!$B:$B,[1]ModifierDes!$C:$C),3,_xlfn.XLOOKUP(C177,[1]StuntDes!$B:$B,[1]StuntDes!$C:$C)),"")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413</v>
      </c>
      <c r="D178" t="s">
        <v>26</v>
      </c>
      <c r="E178" s="13" t="s">
        <v>405</v>
      </c>
      <c r="F178"/>
      <c r="G178">
        <v>2</v>
      </c>
      <c r="H178">
        <v>400</v>
      </c>
      <c r="J178" cm="1">
        <f t="array" ref="J178">_xlfn.SWITCH(B178,1,75,2,61,3,49,4,37,5,25,6,13,7,4,8,1)</f>
        <v>49</v>
      </c>
      <c r="K178" t="str" cm="1">
        <f t="array" ref="K178">IFERROR(_xlfn.SWITCH(L178,2,_xlfn.XLOOKUP(C178,[1]ModifierDes!$B:$B,[1]ModifierDes!$C:$C),3,_xlfn.XLOOKUP(C178,[1]StuntDes!$B:$B,[1]StuntDes!$C:$C)),"")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413</v>
      </c>
      <c r="D179" t="s">
        <v>26</v>
      </c>
      <c r="E179" s="13" t="s">
        <v>405</v>
      </c>
      <c r="F179"/>
      <c r="G179">
        <v>2</v>
      </c>
      <c r="H179">
        <v>600</v>
      </c>
      <c r="J179" cm="1">
        <f t="array" ref="J179">_xlfn.SWITCH(B179,1,75,2,61,3,49,4,37,5,25,6,13,7,4,8,1)</f>
        <v>37</v>
      </c>
      <c r="K179" t="str" cm="1">
        <f t="array" ref="K179">IFERROR(_xlfn.SWITCH(L179,2,_xlfn.XLOOKUP(C179,[1]ModifierDes!$B:$B,[1]ModifierDes!$C:$C),3,_xlfn.XLOOKUP(C179,[1]StuntDes!$B:$B,[1]StuntDes!$C:$C)),"")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413</v>
      </c>
      <c r="D180" t="s">
        <v>26</v>
      </c>
      <c r="E180" s="13" t="s">
        <v>405</v>
      </c>
      <c r="F180"/>
      <c r="G180">
        <v>2</v>
      </c>
      <c r="H180">
        <v>800</v>
      </c>
      <c r="J180" cm="1">
        <f t="array" ref="J180">_xlfn.SWITCH(B180,1,75,2,61,3,49,4,37,5,25,6,13,7,4,8,1)</f>
        <v>25</v>
      </c>
      <c r="K180" t="str" cm="1">
        <f t="array" ref="K180">IFERROR(_xlfn.SWITCH(L180,2,_xlfn.XLOOKUP(C180,[1]ModifierDes!$B:$B,[1]ModifierDes!$C:$C),3,_xlfn.XLOOKUP(C180,[1]StuntDes!$B:$B,[1]StuntDes!$C:$C)),"")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413</v>
      </c>
      <c r="D181" t="s">
        <v>26</v>
      </c>
      <c r="E181" s="13" t="s">
        <v>405</v>
      </c>
      <c r="F181"/>
      <c r="G181">
        <v>2</v>
      </c>
      <c r="H181">
        <v>1000</v>
      </c>
      <c r="J181" cm="1">
        <f t="array" ref="J181">_xlfn.SWITCH(B181,1,75,2,61,3,49,4,37,5,25,6,13,7,4,8,1)</f>
        <v>13</v>
      </c>
      <c r="K181" t="str" cm="1">
        <f t="array" ref="K181">IFERROR(_xlfn.SWITCH(L181,2,_xlfn.XLOOKUP(C181,[1]ModifierDes!$B:$B,[1]ModifierDes!$C:$C),3,_xlfn.XLOOKUP(C181,[1]StuntDes!$B:$B,[1]StuntDes!$C:$C)),"")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413</v>
      </c>
      <c r="D182" t="s">
        <v>26</v>
      </c>
      <c r="E182" s="13" t="s">
        <v>405</v>
      </c>
      <c r="F182"/>
      <c r="G182">
        <v>2</v>
      </c>
      <c r="H182">
        <v>1000</v>
      </c>
      <c r="J182" cm="1">
        <f t="array" ref="J182">_xlfn.SWITCH(B182,1,75,2,61,3,49,4,37,5,25,6,13,7,4,8,1)</f>
        <v>4</v>
      </c>
      <c r="K182" t="str" cm="1">
        <f t="array" ref="K182">IFERROR(_xlfn.SWITCH(L182,2,_xlfn.XLOOKUP(C182,[1]ModifierDes!$B:$B,[1]ModifierDes!$C:$C),3,_xlfn.XLOOKUP(C182,[1]StuntDes!$B:$B,[1]StuntDes!$C:$C)),"")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413</v>
      </c>
      <c r="D183" t="s">
        <v>26</v>
      </c>
      <c r="E183" s="13" t="s">
        <v>405</v>
      </c>
      <c r="F183"/>
      <c r="G183">
        <v>2</v>
      </c>
      <c r="H183">
        <v>1000</v>
      </c>
      <c r="J183" cm="1">
        <f t="array" ref="J183">_xlfn.SWITCH(B183,1,75,2,61,3,49,4,37,5,25,6,13,7,4,8,1)</f>
        <v>1</v>
      </c>
      <c r="K183" t="str" cm="1">
        <f t="array" ref="K183">IFERROR(_xlfn.SWITCH(L183,2,_xlfn.XLOOKUP(C183,[1]ModifierDes!$B:$B,[1]ModifierDes!$C:$C),3,_xlfn.XLOOKUP(C183,[1]StuntDes!$B:$B,[1]StuntDes!$C:$C)),"")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414</v>
      </c>
      <c r="D184" t="s">
        <v>26</v>
      </c>
      <c r="E184" s="13" t="s">
        <v>405</v>
      </c>
      <c r="F184"/>
      <c r="G184">
        <v>2</v>
      </c>
      <c r="H184">
        <v>1000</v>
      </c>
      <c r="J184" cm="1">
        <f t="array" ref="J184">_xlfn.SWITCH(B184,1,75,2,61,3,49,4,37,5,25,6,13,7,4,8,1)</f>
        <v>75</v>
      </c>
      <c r="K184" t="str" cm="1">
        <f t="array" ref="K184">IFERROR(_xlfn.SWITCH(L184,2,_xlfn.XLOOKUP(C184,[1]ModifierDes!$B:$B,[1]ModifierDes!$C:$C),3,_xlfn.XLOOKUP(C184,[1]StuntDes!$B:$B,[1]StuntDes!$C:$C)),"")</f>
        <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414</v>
      </c>
      <c r="D185" t="s">
        <v>26</v>
      </c>
      <c r="E185" s="13" t="s">
        <v>405</v>
      </c>
      <c r="F185"/>
      <c r="G185">
        <v>2</v>
      </c>
      <c r="H185">
        <v>1000</v>
      </c>
      <c r="J185" cm="1">
        <f t="array" ref="J185">_xlfn.SWITCH(B185,1,75,2,61,3,49,4,37,5,25,6,13,7,4,8,1)</f>
        <v>61</v>
      </c>
      <c r="K185" t="str" cm="1">
        <f t="array" ref="K185">IFERROR(_xlfn.SWITCH(L185,2,_xlfn.XLOOKUP(C185,[1]ModifierDes!$B:$B,[1]ModifierDes!$C:$C),3,_xlfn.XLOOKUP(C185,[1]StuntDes!$B:$B,[1]StuntDes!$C:$C)),"")</f>
        <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414</v>
      </c>
      <c r="D186" t="s">
        <v>26</v>
      </c>
      <c r="E186" s="13" t="s">
        <v>405</v>
      </c>
      <c r="F186"/>
      <c r="G186">
        <v>2</v>
      </c>
      <c r="H186">
        <v>1000</v>
      </c>
      <c r="J186" cm="1">
        <f t="array" ref="J186">_xlfn.SWITCH(B186,1,75,2,61,3,49,4,37,5,25,6,13,7,4,8,1)</f>
        <v>49</v>
      </c>
      <c r="K186" t="str" cm="1">
        <f t="array" ref="K186">IFERROR(_xlfn.SWITCH(L186,2,_xlfn.XLOOKUP(C186,[1]ModifierDes!$B:$B,[1]ModifierDes!$C:$C),3,_xlfn.XLOOKUP(C186,[1]StuntDes!$B:$B,[1]StuntDes!$C:$C)),"")</f>
        <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414</v>
      </c>
      <c r="D187" t="s">
        <v>26</v>
      </c>
      <c r="E187" s="13" t="s">
        <v>405</v>
      </c>
      <c r="F187"/>
      <c r="G187">
        <v>2</v>
      </c>
      <c r="H187">
        <v>1000</v>
      </c>
      <c r="J187" cm="1">
        <f t="array" ref="J187">_xlfn.SWITCH(B187,1,75,2,61,3,49,4,37,5,25,6,13,7,4,8,1)</f>
        <v>37</v>
      </c>
      <c r="K187" t="str" cm="1">
        <f t="array" ref="K187">IFERROR(_xlfn.SWITCH(L187,2,_xlfn.XLOOKUP(C187,[1]ModifierDes!$B:$B,[1]ModifierDes!$C:$C),3,_xlfn.XLOOKUP(C187,[1]StuntDes!$B:$B,[1]StuntDes!$C:$C)),"")</f>
        <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414</v>
      </c>
      <c r="D188" t="s">
        <v>26</v>
      </c>
      <c r="E188" s="13" t="s">
        <v>405</v>
      </c>
      <c r="F188"/>
      <c r="G188">
        <v>2</v>
      </c>
      <c r="H188">
        <v>1000</v>
      </c>
      <c r="J188" cm="1">
        <f t="array" ref="J188">_xlfn.SWITCH(B188,1,75,2,61,3,49,4,37,5,25,6,13,7,4,8,1)</f>
        <v>25</v>
      </c>
      <c r="K188" t="str" cm="1">
        <f t="array" ref="K188">IFERROR(_xlfn.SWITCH(L188,2,_xlfn.XLOOKUP(C188,[1]ModifierDes!$B:$B,[1]ModifierDes!$C:$C),3,_xlfn.XLOOKUP(C188,[1]StuntDes!$B:$B,[1]StuntDes!$C:$C)),"")</f>
        <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414</v>
      </c>
      <c r="D189" t="s">
        <v>26</v>
      </c>
      <c r="E189" s="13" t="s">
        <v>405</v>
      </c>
      <c r="F189"/>
      <c r="G189">
        <v>2</v>
      </c>
      <c r="H189">
        <v>1000</v>
      </c>
      <c r="J189" cm="1">
        <f t="array" ref="J189">_xlfn.SWITCH(B189,1,75,2,61,3,49,4,37,5,25,6,13,7,4,8,1)</f>
        <v>13</v>
      </c>
      <c r="K189" t="str" cm="1">
        <f t="array" ref="K189">IFERROR(_xlfn.SWITCH(L189,2,_xlfn.XLOOKUP(C189,[1]ModifierDes!$B:$B,[1]ModifierDes!$C:$C),3,_xlfn.XLOOKUP(C189,[1]StuntDes!$B:$B,[1]StuntDes!$C:$C)),"")</f>
        <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414</v>
      </c>
      <c r="D190" t="s">
        <v>26</v>
      </c>
      <c r="E190" s="13" t="s">
        <v>405</v>
      </c>
      <c r="F190"/>
      <c r="G190">
        <v>2</v>
      </c>
      <c r="H190">
        <v>1000</v>
      </c>
      <c r="J190" cm="1">
        <f t="array" ref="J190">_xlfn.SWITCH(B190,1,75,2,61,3,49,4,37,5,25,6,13,7,4,8,1)</f>
        <v>4</v>
      </c>
      <c r="K190" t="str" cm="1">
        <f t="array" ref="K190">IFERROR(_xlfn.SWITCH(L190,2,_xlfn.XLOOKUP(C190,[1]ModifierDes!$B:$B,[1]ModifierDes!$C:$C),3,_xlfn.XLOOKUP(C190,[1]StuntDes!$B:$B,[1]StuntDes!$C:$C)),"")</f>
        <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414</v>
      </c>
      <c r="D191" t="s">
        <v>26</v>
      </c>
      <c r="E191" s="13" t="s">
        <v>405</v>
      </c>
      <c r="F191"/>
      <c r="G191">
        <v>2</v>
      </c>
      <c r="H191">
        <v>1000</v>
      </c>
      <c r="J191" cm="1">
        <f t="array" ref="J191">_xlfn.SWITCH(B191,1,75,2,61,3,49,4,37,5,25,6,13,7,4,8,1)</f>
        <v>1</v>
      </c>
      <c r="K191" t="str" cm="1">
        <f t="array" ref="K191">IFERROR(_xlfn.SWITCH(L191,2,_xlfn.XLOOKUP(C191,[1]ModifierDes!$B:$B,[1]ModifierDes!$C:$C),3,_xlfn.XLOOKUP(C191,[1]StuntDes!$B:$B,[1]StuntDes!$C:$C)),"")</f>
        <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415</v>
      </c>
      <c r="D192" t="s">
        <v>26</v>
      </c>
      <c r="E192" s="13" t="s">
        <v>405</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415</v>
      </c>
      <c r="D193" t="s">
        <v>26</v>
      </c>
      <c r="E193" s="13" t="s">
        <v>405</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415</v>
      </c>
      <c r="D194" t="s">
        <v>26</v>
      </c>
      <c r="E194" s="13" t="s">
        <v>405</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415</v>
      </c>
      <c r="D195" t="s">
        <v>26</v>
      </c>
      <c r="E195" s="13" t="s">
        <v>405</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415</v>
      </c>
      <c r="D196" t="s">
        <v>26</v>
      </c>
      <c r="E196" s="13" t="s">
        <v>405</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415</v>
      </c>
      <c r="D197" t="s">
        <v>26</v>
      </c>
      <c r="E197" s="13" t="s">
        <v>405</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415</v>
      </c>
      <c r="D198" t="s">
        <v>26</v>
      </c>
      <c r="E198" s="13" t="s">
        <v>405</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415</v>
      </c>
      <c r="D199" t="s">
        <v>26</v>
      </c>
      <c r="E199" s="13" t="s">
        <v>405</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416</v>
      </c>
      <c r="D200" t="s">
        <v>26</v>
      </c>
      <c r="E200" s="13" t="s">
        <v>405</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416</v>
      </c>
      <c r="D201" t="s">
        <v>26</v>
      </c>
      <c r="E201" s="13" t="s">
        <v>405</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416</v>
      </c>
      <c r="D202" t="s">
        <v>26</v>
      </c>
      <c r="E202" s="13" t="s">
        <v>405</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416</v>
      </c>
      <c r="D203" t="s">
        <v>26</v>
      </c>
      <c r="E203" s="13" t="s">
        <v>405</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416</v>
      </c>
      <c r="D204" t="s">
        <v>26</v>
      </c>
      <c r="E204" s="13" t="s">
        <v>405</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416</v>
      </c>
      <c r="D205" t="s">
        <v>26</v>
      </c>
      <c r="E205" s="13" t="s">
        <v>405</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416</v>
      </c>
      <c r="D206" t="s">
        <v>26</v>
      </c>
      <c r="E206" s="13" t="s">
        <v>405</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416</v>
      </c>
      <c r="D207" t="s">
        <v>26</v>
      </c>
      <c r="E207" s="13" t="s">
        <v>405</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417</v>
      </c>
      <c r="D208" t="s">
        <v>26</v>
      </c>
      <c r="E208" s="13" t="s">
        <v>405</v>
      </c>
      <c r="G208">
        <v>2</v>
      </c>
      <c r="H208">
        <v>1000</v>
      </c>
      <c r="J208" cm="1">
        <f t="array" ref="J208">_xlfn.SWITCH(B208,1,75,2,61,3,49,4,37,5,25,6,13,7,4,8,1)</f>
        <v>75</v>
      </c>
      <c r="K208" t="str" cm="1">
        <f t="array" ref="K208">IFERROR(_xlfn.SWITCH(L208,2,_xlfn.XLOOKUP(C208,[1]ModifierDes!$B:$B,[1]ModifierDes!$C:$C),3,_xlfn.XLOOKUP(C208,[1]StuntDes!$B:$B,[1]StuntDes!$C:$C)),"")</f>
        <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417</v>
      </c>
      <c r="D209" t="s">
        <v>26</v>
      </c>
      <c r="E209" s="13" t="s">
        <v>405</v>
      </c>
      <c r="G209">
        <v>2</v>
      </c>
      <c r="H209">
        <v>1000</v>
      </c>
      <c r="J209" cm="1">
        <f t="array" ref="J209">_xlfn.SWITCH(B209,1,75,2,61,3,49,4,37,5,25,6,13,7,4,8,1)</f>
        <v>61</v>
      </c>
      <c r="K209" t="str" cm="1">
        <f t="array" ref="K209">IFERROR(_xlfn.SWITCH(L209,2,_xlfn.XLOOKUP(C209,[1]ModifierDes!$B:$B,[1]ModifierDes!$C:$C),3,_xlfn.XLOOKUP(C209,[1]StuntDes!$B:$B,[1]StuntDes!$C:$C)),"")</f>
        <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417</v>
      </c>
      <c r="D210" t="s">
        <v>26</v>
      </c>
      <c r="E210" s="13" t="s">
        <v>405</v>
      </c>
      <c r="G210">
        <v>2</v>
      </c>
      <c r="H210">
        <v>1000</v>
      </c>
      <c r="J210" cm="1">
        <f t="array" ref="J210">_xlfn.SWITCH(B210,1,75,2,61,3,49,4,37,5,25,6,13,7,4,8,1)</f>
        <v>49</v>
      </c>
      <c r="K210" t="str" cm="1">
        <f t="array" ref="K210">IFERROR(_xlfn.SWITCH(L210,2,_xlfn.XLOOKUP(C210,[1]ModifierDes!$B:$B,[1]ModifierDes!$C:$C),3,_xlfn.XLOOKUP(C210,[1]StuntDes!$B:$B,[1]StuntDes!$C:$C)),"")</f>
        <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417</v>
      </c>
      <c r="D211" t="s">
        <v>26</v>
      </c>
      <c r="E211" s="13" t="s">
        <v>405</v>
      </c>
      <c r="G211">
        <v>2</v>
      </c>
      <c r="H211">
        <v>1000</v>
      </c>
      <c r="J211" cm="1">
        <f t="array" ref="J211">_xlfn.SWITCH(B211,1,75,2,61,3,49,4,37,5,25,6,13,7,4,8,1)</f>
        <v>37</v>
      </c>
      <c r="K211" t="str" cm="1">
        <f t="array" ref="K211">IFERROR(_xlfn.SWITCH(L211,2,_xlfn.XLOOKUP(C211,[1]ModifierDes!$B:$B,[1]ModifierDes!$C:$C),3,_xlfn.XLOOKUP(C211,[1]StuntDes!$B:$B,[1]StuntDes!$C:$C)),"")</f>
        <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417</v>
      </c>
      <c r="D212" t="s">
        <v>26</v>
      </c>
      <c r="E212" s="13" t="s">
        <v>405</v>
      </c>
      <c r="G212">
        <v>2</v>
      </c>
      <c r="H212">
        <v>1000</v>
      </c>
      <c r="J212" cm="1">
        <f t="array" ref="J212">_xlfn.SWITCH(B212,1,75,2,61,3,49,4,37,5,25,6,13,7,4,8,1)</f>
        <v>25</v>
      </c>
      <c r="K212" t="str" cm="1">
        <f t="array" ref="K212">IFERROR(_xlfn.SWITCH(L212,2,_xlfn.XLOOKUP(C212,[1]ModifierDes!$B:$B,[1]ModifierDes!$C:$C),3,_xlfn.XLOOKUP(C212,[1]StuntDes!$B:$B,[1]StuntDes!$C:$C)),"")</f>
        <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417</v>
      </c>
      <c r="D213" t="s">
        <v>26</v>
      </c>
      <c r="E213" s="13" t="s">
        <v>405</v>
      </c>
      <c r="G213">
        <v>2</v>
      </c>
      <c r="H213">
        <v>1000</v>
      </c>
      <c r="J213" cm="1">
        <f t="array" ref="J213">_xlfn.SWITCH(B213,1,75,2,61,3,49,4,37,5,25,6,13,7,4,8,1)</f>
        <v>13</v>
      </c>
      <c r="K213" t="str" cm="1">
        <f t="array" ref="K213">IFERROR(_xlfn.SWITCH(L213,2,_xlfn.XLOOKUP(C213,[1]ModifierDes!$B:$B,[1]ModifierDes!$C:$C),3,_xlfn.XLOOKUP(C213,[1]StuntDes!$B:$B,[1]StuntDes!$C:$C)),"")</f>
        <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417</v>
      </c>
      <c r="D214" t="s">
        <v>26</v>
      </c>
      <c r="E214" s="13" t="s">
        <v>405</v>
      </c>
      <c r="G214">
        <v>2</v>
      </c>
      <c r="H214">
        <v>1000</v>
      </c>
      <c r="J214" cm="1">
        <f t="array" ref="J214">_xlfn.SWITCH(B214,1,75,2,61,3,49,4,37,5,25,6,13,7,4,8,1)</f>
        <v>4</v>
      </c>
      <c r="K214" t="str" cm="1">
        <f t="array" ref="K214">IFERROR(_xlfn.SWITCH(L214,2,_xlfn.XLOOKUP(C214,[1]ModifierDes!$B:$B,[1]ModifierDes!$C:$C),3,_xlfn.XLOOKUP(C214,[1]StuntDes!$B:$B,[1]StuntDes!$C:$C)),"")</f>
        <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417</v>
      </c>
      <c r="D215" t="s">
        <v>26</v>
      </c>
      <c r="E215" s="13" t="s">
        <v>405</v>
      </c>
      <c r="G215">
        <v>2</v>
      </c>
      <c r="H215">
        <v>1000</v>
      </c>
      <c r="J215" cm="1">
        <f t="array" ref="J215">_xlfn.SWITCH(B215,1,75,2,61,3,49,4,37,5,25,6,13,7,4,8,1)</f>
        <v>1</v>
      </c>
      <c r="K215" t="str" cm="1">
        <f t="array" ref="K215">IFERROR(_xlfn.SWITCH(L215,2,_xlfn.XLOOKUP(C215,[1]ModifierDes!$B:$B,[1]ModifierDes!$C:$C),3,_xlfn.XLOOKUP(C215,[1]StuntDes!$B:$B,[1]StuntDes!$C:$C)),"")</f>
        <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418</v>
      </c>
      <c r="D216" t="s">
        <v>26</v>
      </c>
      <c r="E216" s="13" t="s">
        <v>405</v>
      </c>
      <c r="G216">
        <v>2</v>
      </c>
      <c r="H216">
        <v>1000</v>
      </c>
      <c r="J216" cm="1">
        <f t="array" ref="J216">_xlfn.SWITCH(B216,1,75,2,61,3,49,4,37,5,25,6,13,7,4,8,1)</f>
        <v>75</v>
      </c>
      <c r="K216" t="str" cm="1">
        <f t="array" ref="K216">IFERROR(_xlfn.SWITCH(L216,2,_xlfn.XLOOKUP(C216,[1]ModifierDes!$B:$B,[1]ModifierDes!$C:$C),3,_xlfn.XLOOKUP(C216,[1]StuntDes!$B:$B,[1]StuntDes!$C:$C)),"")</f>
        <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418</v>
      </c>
      <c r="D217" t="s">
        <v>26</v>
      </c>
      <c r="E217" s="13" t="s">
        <v>405</v>
      </c>
      <c r="G217">
        <v>2</v>
      </c>
      <c r="H217">
        <v>1000</v>
      </c>
      <c r="J217" cm="1">
        <f t="array" ref="J217">_xlfn.SWITCH(B217,1,75,2,61,3,49,4,37,5,25,6,13,7,4,8,1)</f>
        <v>61</v>
      </c>
      <c r="K217" t="str" cm="1">
        <f t="array" ref="K217">IFERROR(_xlfn.SWITCH(L217,2,_xlfn.XLOOKUP(C217,[1]ModifierDes!$B:$B,[1]ModifierDes!$C:$C),3,_xlfn.XLOOKUP(C217,[1]StuntDes!$B:$B,[1]StuntDes!$C:$C)),"")</f>
        <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418</v>
      </c>
      <c r="D218" t="s">
        <v>26</v>
      </c>
      <c r="E218" s="13" t="s">
        <v>405</v>
      </c>
      <c r="G218">
        <v>2</v>
      </c>
      <c r="H218">
        <v>1000</v>
      </c>
      <c r="J218" cm="1">
        <f t="array" ref="J218">_xlfn.SWITCH(B218,1,75,2,61,3,49,4,37,5,25,6,13,7,4,8,1)</f>
        <v>49</v>
      </c>
      <c r="K218" t="str" cm="1">
        <f t="array" ref="K218">IFERROR(_xlfn.SWITCH(L218,2,_xlfn.XLOOKUP(C218,[1]ModifierDes!$B:$B,[1]ModifierDes!$C:$C),3,_xlfn.XLOOKUP(C218,[1]StuntDes!$B:$B,[1]StuntDes!$C:$C)),"")</f>
        <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418</v>
      </c>
      <c r="D219" t="s">
        <v>26</v>
      </c>
      <c r="E219" s="13" t="s">
        <v>405</v>
      </c>
      <c r="G219">
        <v>2</v>
      </c>
      <c r="H219">
        <v>1000</v>
      </c>
      <c r="J219" cm="1">
        <f t="array" ref="J219">_xlfn.SWITCH(B219,1,75,2,61,3,49,4,37,5,25,6,13,7,4,8,1)</f>
        <v>37</v>
      </c>
      <c r="K219" t="str" cm="1">
        <f t="array" ref="K219">IFERROR(_xlfn.SWITCH(L219,2,_xlfn.XLOOKUP(C219,[1]ModifierDes!$B:$B,[1]ModifierDes!$C:$C),3,_xlfn.XLOOKUP(C219,[1]StuntDes!$B:$B,[1]StuntDes!$C:$C)),"")</f>
        <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418</v>
      </c>
      <c r="D220" t="s">
        <v>26</v>
      </c>
      <c r="E220" s="13" t="s">
        <v>405</v>
      </c>
      <c r="G220">
        <v>2</v>
      </c>
      <c r="H220">
        <v>1000</v>
      </c>
      <c r="J220" cm="1">
        <f t="array" ref="J220">_xlfn.SWITCH(B220,1,75,2,61,3,49,4,37,5,25,6,13,7,4,8,1)</f>
        <v>25</v>
      </c>
      <c r="K220" t="str" cm="1">
        <f t="array" ref="K220">IFERROR(_xlfn.SWITCH(L220,2,_xlfn.XLOOKUP(C220,[1]ModifierDes!$B:$B,[1]ModifierDes!$C:$C),3,_xlfn.XLOOKUP(C220,[1]StuntDes!$B:$B,[1]StuntDes!$C:$C)),"")</f>
        <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418</v>
      </c>
      <c r="D221" t="s">
        <v>26</v>
      </c>
      <c r="E221" s="13" t="s">
        <v>405</v>
      </c>
      <c r="G221">
        <v>2</v>
      </c>
      <c r="H221">
        <v>1000</v>
      </c>
      <c r="J221" cm="1">
        <f t="array" ref="J221">_xlfn.SWITCH(B221,1,75,2,61,3,49,4,37,5,25,6,13,7,4,8,1)</f>
        <v>13</v>
      </c>
      <c r="K221" t="str" cm="1">
        <f t="array" ref="K221">IFERROR(_xlfn.SWITCH(L221,2,_xlfn.XLOOKUP(C221,[1]ModifierDes!$B:$B,[1]ModifierDes!$C:$C),3,_xlfn.XLOOKUP(C221,[1]StuntDes!$B:$B,[1]StuntDes!$C:$C)),"")</f>
        <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418</v>
      </c>
      <c r="D222" t="s">
        <v>26</v>
      </c>
      <c r="E222" s="13" t="s">
        <v>405</v>
      </c>
      <c r="G222">
        <v>2</v>
      </c>
      <c r="H222">
        <v>1000</v>
      </c>
      <c r="J222" cm="1">
        <f t="array" ref="J222">_xlfn.SWITCH(B222,1,75,2,61,3,49,4,37,5,25,6,13,7,4,8,1)</f>
        <v>4</v>
      </c>
      <c r="K222" t="str" cm="1">
        <f t="array" ref="K222">IFERROR(_xlfn.SWITCH(L222,2,_xlfn.XLOOKUP(C222,[1]ModifierDes!$B:$B,[1]ModifierDes!$C:$C),3,_xlfn.XLOOKUP(C222,[1]StuntDes!$B:$B,[1]StuntDes!$C:$C)),"")</f>
        <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418</v>
      </c>
      <c r="D223" t="s">
        <v>26</v>
      </c>
      <c r="E223" s="13" t="s">
        <v>405</v>
      </c>
      <c r="G223">
        <v>2</v>
      </c>
      <c r="H223">
        <v>1000</v>
      </c>
      <c r="J223" cm="1">
        <f t="array" ref="J223">_xlfn.SWITCH(B223,1,75,2,61,3,49,4,37,5,25,6,13,7,4,8,1)</f>
        <v>1</v>
      </c>
      <c r="K223" t="str" cm="1">
        <f t="array" ref="K223">IFERROR(_xlfn.SWITCH(L223,2,_xlfn.XLOOKUP(C223,[1]ModifierDes!$B:$B,[1]ModifierDes!$C:$C),3,_xlfn.XLOOKUP(C223,[1]StuntDes!$B:$B,[1]StuntDes!$C:$C)),"")</f>
        <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419</v>
      </c>
      <c r="D224" t="s">
        <v>26</v>
      </c>
      <c r="E224" s="13" t="s">
        <v>405</v>
      </c>
      <c r="F224"/>
      <c r="G224">
        <v>2</v>
      </c>
      <c r="H224">
        <v>1000</v>
      </c>
      <c r="J224" cm="1">
        <f t="array" ref="J224">_xlfn.SWITCH(B224,1,75,2,61,3,49,4,37,5,25,6,13,7,4,8,1)</f>
        <v>75</v>
      </c>
      <c r="K224" t="str" cm="1">
        <f t="array" ref="K224">IFERROR(_xlfn.SWITCH(L224,2,_xlfn.XLOOKUP(C224,[1]ModifierDes!$B:$B,[1]ModifierDes!$C:$C),3,_xlfn.XLOOKUP(C224,[1]StuntDes!$B:$B,[1]StuntDes!$C:$C)),"")</f>
        <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419</v>
      </c>
      <c r="D225" t="s">
        <v>26</v>
      </c>
      <c r="E225" s="13" t="s">
        <v>405</v>
      </c>
      <c r="F225"/>
      <c r="G225">
        <v>2</v>
      </c>
      <c r="H225">
        <v>1000</v>
      </c>
      <c r="J225" cm="1">
        <f t="array" ref="J225">_xlfn.SWITCH(B225,1,75,2,61,3,49,4,37,5,25,6,13,7,4,8,1)</f>
        <v>61</v>
      </c>
      <c r="K225" t="str" cm="1">
        <f t="array" ref="K225">IFERROR(_xlfn.SWITCH(L225,2,_xlfn.XLOOKUP(C225,[1]ModifierDes!$B:$B,[1]ModifierDes!$C:$C),3,_xlfn.XLOOKUP(C225,[1]StuntDes!$B:$B,[1]StuntDes!$C:$C)),"")</f>
        <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419</v>
      </c>
      <c r="D226" t="s">
        <v>26</v>
      </c>
      <c r="E226" s="13" t="s">
        <v>405</v>
      </c>
      <c r="F226"/>
      <c r="G226">
        <v>2</v>
      </c>
      <c r="H226">
        <v>1000</v>
      </c>
      <c r="J226" cm="1">
        <f t="array" ref="J226">_xlfn.SWITCH(B226,1,75,2,61,3,49,4,37,5,25,6,13,7,4,8,1)</f>
        <v>49</v>
      </c>
      <c r="K226" t="str" cm="1">
        <f t="array" ref="K226">IFERROR(_xlfn.SWITCH(L226,2,_xlfn.XLOOKUP(C226,[1]ModifierDes!$B:$B,[1]ModifierDes!$C:$C),3,_xlfn.XLOOKUP(C226,[1]StuntDes!$B:$B,[1]StuntDes!$C:$C)),"")</f>
        <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419</v>
      </c>
      <c r="D227" t="s">
        <v>26</v>
      </c>
      <c r="E227" s="13" t="s">
        <v>405</v>
      </c>
      <c r="F227"/>
      <c r="G227">
        <v>2</v>
      </c>
      <c r="H227">
        <v>1000</v>
      </c>
      <c r="J227" cm="1">
        <f t="array" ref="J227">_xlfn.SWITCH(B227,1,75,2,61,3,49,4,37,5,25,6,13,7,4,8,1)</f>
        <v>37</v>
      </c>
      <c r="K227" t="str" cm="1">
        <f t="array" ref="K227">IFERROR(_xlfn.SWITCH(L227,2,_xlfn.XLOOKUP(C227,[1]ModifierDes!$B:$B,[1]ModifierDes!$C:$C),3,_xlfn.XLOOKUP(C227,[1]StuntDes!$B:$B,[1]StuntDes!$C:$C)),"")</f>
        <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419</v>
      </c>
      <c r="D228" t="s">
        <v>26</v>
      </c>
      <c r="E228" s="13" t="s">
        <v>405</v>
      </c>
      <c r="F228"/>
      <c r="G228">
        <v>2</v>
      </c>
      <c r="H228">
        <v>1000</v>
      </c>
      <c r="J228" cm="1">
        <f t="array" ref="J228">_xlfn.SWITCH(B228,1,75,2,61,3,49,4,37,5,25,6,13,7,4,8,1)</f>
        <v>25</v>
      </c>
      <c r="K228" t="str" cm="1">
        <f t="array" ref="K228">IFERROR(_xlfn.SWITCH(L228,2,_xlfn.XLOOKUP(C228,[1]ModifierDes!$B:$B,[1]ModifierDes!$C:$C),3,_xlfn.XLOOKUP(C228,[1]StuntDes!$B:$B,[1]StuntDes!$C:$C)),"")</f>
        <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419</v>
      </c>
      <c r="D229" t="s">
        <v>26</v>
      </c>
      <c r="E229" s="13" t="s">
        <v>405</v>
      </c>
      <c r="F229"/>
      <c r="G229">
        <v>2</v>
      </c>
      <c r="H229">
        <v>1000</v>
      </c>
      <c r="J229" cm="1">
        <f t="array" ref="J229">_xlfn.SWITCH(B229,1,75,2,61,3,49,4,37,5,25,6,13,7,4,8,1)</f>
        <v>13</v>
      </c>
      <c r="K229" t="str" cm="1">
        <f t="array" ref="K229">IFERROR(_xlfn.SWITCH(L229,2,_xlfn.XLOOKUP(C229,[1]ModifierDes!$B:$B,[1]ModifierDes!$C:$C),3,_xlfn.XLOOKUP(C229,[1]StuntDes!$B:$B,[1]StuntDes!$C:$C)),"")</f>
        <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419</v>
      </c>
      <c r="D230" t="s">
        <v>26</v>
      </c>
      <c r="E230" s="13" t="s">
        <v>405</v>
      </c>
      <c r="F230"/>
      <c r="G230">
        <v>2</v>
      </c>
      <c r="H230">
        <v>1000</v>
      </c>
      <c r="J230" cm="1">
        <f t="array" ref="J230">_xlfn.SWITCH(B230,1,75,2,61,3,49,4,37,5,25,6,13,7,4,8,1)</f>
        <v>4</v>
      </c>
      <c r="K230" t="str" cm="1">
        <f t="array" ref="K230">IFERROR(_xlfn.SWITCH(L230,2,_xlfn.XLOOKUP(C230,[1]ModifierDes!$B:$B,[1]ModifierDes!$C:$C),3,_xlfn.XLOOKUP(C230,[1]StuntDes!$B:$B,[1]StuntDes!$C:$C)),"")</f>
        <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419</v>
      </c>
      <c r="D231" t="s">
        <v>26</v>
      </c>
      <c r="E231" s="13" t="s">
        <v>405</v>
      </c>
      <c r="F231"/>
      <c r="G231">
        <v>2</v>
      </c>
      <c r="H231">
        <v>1000</v>
      </c>
      <c r="J231" cm="1">
        <f t="array" ref="J231">_xlfn.SWITCH(B231,1,75,2,61,3,49,4,37,5,25,6,13,7,4,8,1)</f>
        <v>1</v>
      </c>
      <c r="K231" t="str" cm="1">
        <f t="array" ref="K231">IFERROR(_xlfn.SWITCH(L231,2,_xlfn.XLOOKUP(C231,[1]ModifierDes!$B:$B,[1]ModifierDes!$C:$C),3,_xlfn.XLOOKUP(C231,[1]StuntDes!$B:$B,[1]StuntDes!$C:$C)),"")</f>
        <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420</v>
      </c>
      <c r="D232" t="s">
        <v>26</v>
      </c>
      <c r="E232" s="13" t="s">
        <v>405</v>
      </c>
      <c r="G232">
        <v>2</v>
      </c>
      <c r="H232">
        <v>1000</v>
      </c>
      <c r="J232" cm="1">
        <f t="array" ref="J232">_xlfn.SWITCH(B232,1,75,2,61,3,49,4,37,5,25,6,13,7,4,8,1)</f>
        <v>75</v>
      </c>
      <c r="K232" t="str" cm="1">
        <f t="array" ref="K232">IFERROR(_xlfn.SWITCH(L232,2,_xlfn.XLOOKUP(C232,[1]ModifierDes!$B:$B,[1]ModifierDes!$C:$C),3,_xlfn.XLOOKUP(C232,[1]StuntDes!$B:$B,[1]StuntDes!$C:$C)),"")</f>
        <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420</v>
      </c>
      <c r="D233" t="s">
        <v>26</v>
      </c>
      <c r="E233" s="13" t="s">
        <v>405</v>
      </c>
      <c r="G233">
        <v>2</v>
      </c>
      <c r="H233">
        <v>1000</v>
      </c>
      <c r="J233" cm="1">
        <f t="array" ref="J233">_xlfn.SWITCH(B233,1,75,2,61,3,49,4,37,5,25,6,13,7,4,8,1)</f>
        <v>61</v>
      </c>
      <c r="K233" t="str" cm="1">
        <f t="array" ref="K233">IFERROR(_xlfn.SWITCH(L233,2,_xlfn.XLOOKUP(C233,[1]ModifierDes!$B:$B,[1]ModifierDes!$C:$C),3,_xlfn.XLOOKUP(C233,[1]StuntDes!$B:$B,[1]StuntDes!$C:$C)),"")</f>
        <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420</v>
      </c>
      <c r="D234" t="s">
        <v>26</v>
      </c>
      <c r="E234" s="13" t="s">
        <v>405</v>
      </c>
      <c r="G234">
        <v>2</v>
      </c>
      <c r="H234">
        <v>1000</v>
      </c>
      <c r="J234" cm="1">
        <f t="array" ref="J234">_xlfn.SWITCH(B234,1,75,2,61,3,49,4,37,5,25,6,13,7,4,8,1)</f>
        <v>49</v>
      </c>
      <c r="K234" t="str" cm="1">
        <f t="array" ref="K234">IFERROR(_xlfn.SWITCH(L234,2,_xlfn.XLOOKUP(C234,[1]ModifierDes!$B:$B,[1]ModifierDes!$C:$C),3,_xlfn.XLOOKUP(C234,[1]StuntDes!$B:$B,[1]StuntDes!$C:$C)),"")</f>
        <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420</v>
      </c>
      <c r="D235" t="s">
        <v>26</v>
      </c>
      <c r="E235" s="13" t="s">
        <v>405</v>
      </c>
      <c r="G235">
        <v>2</v>
      </c>
      <c r="H235">
        <v>1000</v>
      </c>
      <c r="J235" cm="1">
        <f t="array" ref="J235">_xlfn.SWITCH(B235,1,75,2,61,3,49,4,37,5,25,6,13,7,4,8,1)</f>
        <v>37</v>
      </c>
      <c r="K235" t="str" cm="1">
        <f t="array" ref="K235">IFERROR(_xlfn.SWITCH(L235,2,_xlfn.XLOOKUP(C235,[1]ModifierDes!$B:$B,[1]ModifierDes!$C:$C),3,_xlfn.XLOOKUP(C235,[1]StuntDes!$B:$B,[1]StuntDes!$C:$C)),"")</f>
        <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420</v>
      </c>
      <c r="D236" t="s">
        <v>26</v>
      </c>
      <c r="E236" s="13" t="s">
        <v>405</v>
      </c>
      <c r="G236">
        <v>2</v>
      </c>
      <c r="H236">
        <v>1000</v>
      </c>
      <c r="J236" cm="1">
        <f t="array" ref="J236">_xlfn.SWITCH(B236,1,75,2,61,3,49,4,37,5,25,6,13,7,4,8,1)</f>
        <v>25</v>
      </c>
      <c r="K236" t="str" cm="1">
        <f t="array" ref="K236">IFERROR(_xlfn.SWITCH(L236,2,_xlfn.XLOOKUP(C236,[1]ModifierDes!$B:$B,[1]ModifierDes!$C:$C),3,_xlfn.XLOOKUP(C236,[1]StuntDes!$B:$B,[1]StuntDes!$C:$C)),"")</f>
        <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420</v>
      </c>
      <c r="D237" t="s">
        <v>26</v>
      </c>
      <c r="E237" s="13" t="s">
        <v>405</v>
      </c>
      <c r="G237">
        <v>2</v>
      </c>
      <c r="H237">
        <v>1000</v>
      </c>
      <c r="J237" cm="1">
        <f t="array" ref="J237">_xlfn.SWITCH(B237,1,75,2,61,3,49,4,37,5,25,6,13,7,4,8,1)</f>
        <v>13</v>
      </c>
      <c r="K237" t="str" cm="1">
        <f t="array" ref="K237">IFERROR(_xlfn.SWITCH(L237,2,_xlfn.XLOOKUP(C237,[1]ModifierDes!$B:$B,[1]ModifierDes!$C:$C),3,_xlfn.XLOOKUP(C237,[1]StuntDes!$B:$B,[1]StuntDes!$C:$C)),"")</f>
        <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420</v>
      </c>
      <c r="D238" t="s">
        <v>26</v>
      </c>
      <c r="E238" s="13" t="s">
        <v>405</v>
      </c>
      <c r="G238">
        <v>2</v>
      </c>
      <c r="H238">
        <v>1000</v>
      </c>
      <c r="J238" cm="1">
        <f t="array" ref="J238">_xlfn.SWITCH(B238,1,75,2,61,3,49,4,37,5,25,6,13,7,4,8,1)</f>
        <v>4</v>
      </c>
      <c r="K238" t="str" cm="1">
        <f t="array" ref="K238">IFERROR(_xlfn.SWITCH(L238,2,_xlfn.XLOOKUP(C238,[1]ModifierDes!$B:$B,[1]ModifierDes!$C:$C),3,_xlfn.XLOOKUP(C238,[1]StuntDes!$B:$B,[1]StuntDes!$C:$C)),"")</f>
        <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420</v>
      </c>
      <c r="D239" t="s">
        <v>26</v>
      </c>
      <c r="E239" s="13" t="s">
        <v>405</v>
      </c>
      <c r="G239">
        <v>2</v>
      </c>
      <c r="H239">
        <v>1000</v>
      </c>
      <c r="J239" cm="1">
        <f t="array" ref="J239">_xlfn.SWITCH(B239,1,75,2,61,3,49,4,37,5,25,6,13,7,4,8,1)</f>
        <v>1</v>
      </c>
      <c r="K239" t="str" cm="1">
        <f t="array" ref="K239">IFERROR(_xlfn.SWITCH(L239,2,_xlfn.XLOOKUP(C239,[1]ModifierDes!$B:$B,[1]ModifierDes!$C:$C),3,_xlfn.XLOOKUP(C239,[1]StuntDes!$B:$B,[1]StuntDes!$C:$C)),"")</f>
        <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421</v>
      </c>
      <c r="D240" t="s">
        <v>26</v>
      </c>
      <c r="E240" s="13" t="s">
        <v>405</v>
      </c>
      <c r="G240">
        <v>2</v>
      </c>
      <c r="H240">
        <v>1000</v>
      </c>
      <c r="J240" cm="1">
        <f t="array" ref="J240">_xlfn.SWITCH(B240,1,75,2,61,3,49,4,37,5,25,6,13,7,4,8,1)</f>
        <v>75</v>
      </c>
      <c r="K240" t="str" cm="1">
        <f t="array" ref="K240">IFERROR(_xlfn.SWITCH(L240,2,_xlfn.XLOOKUP(C240,[1]ModifierDes!$B:$B,[1]ModifierDes!$C:$C),3,_xlfn.XLOOKUP(C240,[1]StuntDes!$B:$B,[1]StuntDes!$C:$C)),"")</f>
        <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421</v>
      </c>
      <c r="D241" t="s">
        <v>26</v>
      </c>
      <c r="E241" s="13" t="s">
        <v>405</v>
      </c>
      <c r="G241">
        <v>2</v>
      </c>
      <c r="H241">
        <v>1000</v>
      </c>
      <c r="J241" cm="1">
        <f t="array" ref="J241">_xlfn.SWITCH(B241,1,75,2,61,3,49,4,37,5,25,6,13,7,4,8,1)</f>
        <v>61</v>
      </c>
      <c r="K241" t="str" cm="1">
        <f t="array" ref="K241">IFERROR(_xlfn.SWITCH(L241,2,_xlfn.XLOOKUP(C241,[1]ModifierDes!$B:$B,[1]ModifierDes!$C:$C),3,_xlfn.XLOOKUP(C241,[1]StuntDes!$B:$B,[1]StuntDes!$C:$C)),"")</f>
        <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421</v>
      </c>
      <c r="D242" t="s">
        <v>26</v>
      </c>
      <c r="E242" s="13" t="s">
        <v>405</v>
      </c>
      <c r="G242">
        <v>2</v>
      </c>
      <c r="H242">
        <v>1000</v>
      </c>
      <c r="J242" cm="1">
        <f t="array" ref="J242">_xlfn.SWITCH(B242,1,75,2,61,3,49,4,37,5,25,6,13,7,4,8,1)</f>
        <v>49</v>
      </c>
      <c r="K242" t="str" cm="1">
        <f t="array" ref="K242">IFERROR(_xlfn.SWITCH(L242,2,_xlfn.XLOOKUP(C242,[1]ModifierDes!$B:$B,[1]ModifierDes!$C:$C),3,_xlfn.XLOOKUP(C242,[1]StuntDes!$B:$B,[1]StuntDes!$C:$C)),"")</f>
        <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421</v>
      </c>
      <c r="D243" t="s">
        <v>26</v>
      </c>
      <c r="E243" s="13" t="s">
        <v>405</v>
      </c>
      <c r="G243">
        <v>2</v>
      </c>
      <c r="H243">
        <v>1000</v>
      </c>
      <c r="J243" cm="1">
        <f t="array" ref="J243">_xlfn.SWITCH(B243,1,75,2,61,3,49,4,37,5,25,6,13,7,4,8,1)</f>
        <v>37</v>
      </c>
      <c r="K243" t="str" cm="1">
        <f t="array" ref="K243">IFERROR(_xlfn.SWITCH(L243,2,_xlfn.XLOOKUP(C243,[1]ModifierDes!$B:$B,[1]ModifierDes!$C:$C),3,_xlfn.XLOOKUP(C243,[1]StuntDes!$B:$B,[1]StuntDes!$C:$C)),"")</f>
        <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421</v>
      </c>
      <c r="D244" t="s">
        <v>26</v>
      </c>
      <c r="E244" s="13" t="s">
        <v>405</v>
      </c>
      <c r="G244">
        <v>2</v>
      </c>
      <c r="H244">
        <v>1000</v>
      </c>
      <c r="J244" cm="1">
        <f t="array" ref="J244">_xlfn.SWITCH(B244,1,75,2,61,3,49,4,37,5,25,6,13,7,4,8,1)</f>
        <v>25</v>
      </c>
      <c r="K244" t="str" cm="1">
        <f t="array" ref="K244">IFERROR(_xlfn.SWITCH(L244,2,_xlfn.XLOOKUP(C244,[1]ModifierDes!$B:$B,[1]ModifierDes!$C:$C),3,_xlfn.XLOOKUP(C244,[1]StuntDes!$B:$B,[1]StuntDes!$C:$C)),"")</f>
        <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421</v>
      </c>
      <c r="D245" t="s">
        <v>26</v>
      </c>
      <c r="E245" s="13" t="s">
        <v>405</v>
      </c>
      <c r="G245">
        <v>2</v>
      </c>
      <c r="H245">
        <v>1000</v>
      </c>
      <c r="J245" cm="1">
        <f t="array" ref="J245">_xlfn.SWITCH(B245,1,75,2,61,3,49,4,37,5,25,6,13,7,4,8,1)</f>
        <v>13</v>
      </c>
      <c r="K245" t="str" cm="1">
        <f t="array" ref="K245">IFERROR(_xlfn.SWITCH(L245,2,_xlfn.XLOOKUP(C245,[1]ModifierDes!$B:$B,[1]ModifierDes!$C:$C),3,_xlfn.XLOOKUP(C245,[1]StuntDes!$B:$B,[1]StuntDes!$C:$C)),"")</f>
        <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421</v>
      </c>
      <c r="D246" t="s">
        <v>26</v>
      </c>
      <c r="E246" s="13" t="s">
        <v>405</v>
      </c>
      <c r="G246">
        <v>2</v>
      </c>
      <c r="H246">
        <v>1000</v>
      </c>
      <c r="J246" cm="1">
        <f t="array" ref="J246">_xlfn.SWITCH(B246,1,75,2,61,3,49,4,37,5,25,6,13,7,4,8,1)</f>
        <v>4</v>
      </c>
      <c r="K246" t="str" cm="1">
        <f t="array" ref="K246">IFERROR(_xlfn.SWITCH(L246,2,_xlfn.XLOOKUP(C246,[1]ModifierDes!$B:$B,[1]ModifierDes!$C:$C),3,_xlfn.XLOOKUP(C246,[1]StuntDes!$B:$B,[1]StuntDes!$C:$C)),"")</f>
        <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421</v>
      </c>
      <c r="D247" t="s">
        <v>26</v>
      </c>
      <c r="E247" s="13" t="s">
        <v>405</v>
      </c>
      <c r="G247">
        <v>2</v>
      </c>
      <c r="H247">
        <v>1000</v>
      </c>
      <c r="J247" cm="1">
        <f t="array" ref="J247">_xlfn.SWITCH(B247,1,75,2,61,3,49,4,37,5,25,6,13,7,4,8,1)</f>
        <v>1</v>
      </c>
      <c r="K247" t="str" cm="1">
        <f t="array" ref="K247">IFERROR(_xlfn.SWITCH(L247,2,_xlfn.XLOOKUP(C247,[1]ModifierDes!$B:$B,[1]ModifierDes!$C:$C),3,_xlfn.XLOOKUP(C247,[1]StuntDes!$B:$B,[1]StuntDes!$C:$C)),"")</f>
        <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402</v>
      </c>
      <c r="D248" t="s">
        <v>422</v>
      </c>
      <c r="E248" t="s">
        <v>388</v>
      </c>
      <c r="G248">
        <v>1</v>
      </c>
      <c r="H248">
        <v>1000</v>
      </c>
      <c r="J248" cm="1">
        <f t="array" ref="J248">_xlfn.SWITCH(B248,1,75,2,61,3,49,4,37,5,25,6,13,7,4,8,1)</f>
        <v>75</v>
      </c>
      <c r="K248" t="str" cm="1">
        <f t="array" ref="K248">IFERROR(_xlfn.SWITCH(L248,2,_xlfn.XLOOKUP(C248,[1]ModifierDes!$B:$B,[1]ModifierDes!$C:$C),3,_xlfn.XLOOKUP(C248,[1]StuntDes!$B:$B,[1]StuntDes!$C:$C)),"")</f>
        <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402</v>
      </c>
      <c r="D249" t="s">
        <v>422</v>
      </c>
      <c r="E249" t="s">
        <v>388</v>
      </c>
      <c r="G249">
        <v>1</v>
      </c>
      <c r="H249">
        <v>1000</v>
      </c>
      <c r="J249" cm="1">
        <f t="array" ref="J249">_xlfn.SWITCH(B249,1,75,2,61,3,49,4,37,5,25,6,13,7,4,8,1)</f>
        <v>61</v>
      </c>
      <c r="K249" t="str" cm="1">
        <f t="array" ref="K249">IFERROR(_xlfn.SWITCH(L249,2,_xlfn.XLOOKUP(C249,[1]ModifierDes!$B:$B,[1]ModifierDes!$C:$C),3,_xlfn.XLOOKUP(C249,[1]StuntDes!$B:$B,[1]StuntDes!$C:$C)),"")</f>
        <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402</v>
      </c>
      <c r="D250" t="s">
        <v>422</v>
      </c>
      <c r="E250" t="s">
        <v>388</v>
      </c>
      <c r="G250">
        <v>1</v>
      </c>
      <c r="H250">
        <v>1000</v>
      </c>
      <c r="J250" cm="1">
        <f t="array" ref="J250">_xlfn.SWITCH(B250,1,75,2,61,3,49,4,37,5,25,6,13,7,4,8,1)</f>
        <v>49</v>
      </c>
      <c r="K250" t="str" cm="1">
        <f t="array" ref="K250">IFERROR(_xlfn.SWITCH(L250,2,_xlfn.XLOOKUP(C250,[1]ModifierDes!$B:$B,[1]ModifierDes!$C:$C),3,_xlfn.XLOOKUP(C250,[1]StuntDes!$B:$B,[1]StuntDes!$C:$C)),"")</f>
        <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402</v>
      </c>
      <c r="D251" t="s">
        <v>422</v>
      </c>
      <c r="E251" t="s">
        <v>388</v>
      </c>
      <c r="G251">
        <v>1</v>
      </c>
      <c r="H251">
        <v>1000</v>
      </c>
      <c r="J251" cm="1">
        <f t="array" ref="J251">_xlfn.SWITCH(B251,1,75,2,61,3,49,4,37,5,25,6,13,7,4,8,1)</f>
        <v>37</v>
      </c>
      <c r="K251" t="str" cm="1">
        <f t="array" ref="K251">IFERROR(_xlfn.SWITCH(L251,2,_xlfn.XLOOKUP(C251,[1]ModifierDes!$B:$B,[1]ModifierDes!$C:$C),3,_xlfn.XLOOKUP(C251,[1]StuntDes!$B:$B,[1]StuntDes!$C:$C)),"")</f>
        <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402</v>
      </c>
      <c r="D252" t="s">
        <v>422</v>
      </c>
      <c r="E252" t="s">
        <v>388</v>
      </c>
      <c r="G252">
        <v>1</v>
      </c>
      <c r="H252">
        <v>1000</v>
      </c>
      <c r="J252" cm="1">
        <f t="array" ref="J252">_xlfn.SWITCH(B252,1,75,2,61,3,49,4,37,5,25,6,13,7,4,8,1)</f>
        <v>25</v>
      </c>
      <c r="K252" t="str" cm="1">
        <f t="array" ref="K252">IFERROR(_xlfn.SWITCH(L252,2,_xlfn.XLOOKUP(C252,[1]ModifierDes!$B:$B,[1]ModifierDes!$C:$C),3,_xlfn.XLOOKUP(C252,[1]StuntDes!$B:$B,[1]StuntDes!$C:$C)),"")</f>
        <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402</v>
      </c>
      <c r="D253" t="s">
        <v>422</v>
      </c>
      <c r="E253" t="s">
        <v>388</v>
      </c>
      <c r="G253">
        <v>1</v>
      </c>
      <c r="H253">
        <v>1000</v>
      </c>
      <c r="J253" cm="1">
        <f t="array" ref="J253">_xlfn.SWITCH(B253,1,75,2,61,3,49,4,37,5,25,6,13,7,4,8,1)</f>
        <v>13</v>
      </c>
      <c r="K253" t="str" cm="1">
        <f t="array" ref="K253">IFERROR(_xlfn.SWITCH(L253,2,_xlfn.XLOOKUP(C253,[1]ModifierDes!$B:$B,[1]ModifierDes!$C:$C),3,_xlfn.XLOOKUP(C253,[1]StuntDes!$B:$B,[1]StuntDes!$C:$C)),"")</f>
        <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402</v>
      </c>
      <c r="D254" t="s">
        <v>422</v>
      </c>
      <c r="E254" t="s">
        <v>388</v>
      </c>
      <c r="G254">
        <v>1</v>
      </c>
      <c r="H254">
        <v>1000</v>
      </c>
      <c r="J254" cm="1">
        <f t="array" ref="J254">_xlfn.SWITCH(B254,1,75,2,61,3,49,4,37,5,25,6,13,7,4,8,1)</f>
        <v>4</v>
      </c>
      <c r="K254" t="str" cm="1">
        <f t="array" ref="K254">IFERROR(_xlfn.SWITCH(L254,2,_xlfn.XLOOKUP(C254,[1]ModifierDes!$B:$B,[1]ModifierDes!$C:$C),3,_xlfn.XLOOKUP(C254,[1]StuntDes!$B:$B,[1]StuntDes!$C:$C)),"")</f>
        <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402</v>
      </c>
      <c r="D255" t="s">
        <v>422</v>
      </c>
      <c r="E255" t="s">
        <v>388</v>
      </c>
      <c r="F255"/>
      <c r="G255">
        <v>1</v>
      </c>
      <c r="H255">
        <v>1000</v>
      </c>
      <c r="J255" cm="1">
        <f t="array" ref="J255">_xlfn.SWITCH(B255,1,75,2,61,3,49,4,37,5,25,6,13,7,4,8,1)</f>
        <v>1</v>
      </c>
      <c r="K255" t="str" cm="1">
        <f t="array" ref="K255">IFERROR(_xlfn.SWITCH(L255,2,_xlfn.XLOOKUP(C255,[1]ModifierDes!$B:$B,[1]ModifierDes!$C:$C),3,_xlfn.XLOOKUP(C255,[1]StuntDes!$B:$B,[1]StuntDes!$C:$C)),"")</f>
        <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403</v>
      </c>
      <c r="D256" t="s">
        <v>422</v>
      </c>
      <c r="E256" t="s">
        <v>388</v>
      </c>
      <c r="F256"/>
      <c r="G256">
        <v>1</v>
      </c>
      <c r="H256">
        <v>1000</v>
      </c>
      <c r="J256" cm="1">
        <f t="array" ref="J256">_xlfn.SWITCH(B256,1,75,2,61,3,49,4,37,5,25,6,13,7,4,8,1)</f>
        <v>75</v>
      </c>
      <c r="K256" t="str" cm="1">
        <f t="array" ref="K256">IFERROR(_xlfn.SWITCH(L256,2,_xlfn.XLOOKUP(C256,[1]ModifierDes!$B:$B,[1]ModifierDes!$C:$C),3,_xlfn.XLOOKUP(C256,[1]StuntDes!$B:$B,[1]StuntDes!$C:$C)),"")</f>
        <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403</v>
      </c>
      <c r="D257" t="s">
        <v>422</v>
      </c>
      <c r="E257" t="s">
        <v>388</v>
      </c>
      <c r="F257"/>
      <c r="G257">
        <v>1</v>
      </c>
      <c r="H257">
        <v>1000</v>
      </c>
      <c r="J257" cm="1">
        <f t="array" ref="J257">_xlfn.SWITCH(B257,1,75,2,61,3,49,4,37,5,25,6,13,7,4,8,1)</f>
        <v>61</v>
      </c>
      <c r="K257" t="str" cm="1">
        <f t="array" ref="K257">IFERROR(_xlfn.SWITCH(L257,2,_xlfn.XLOOKUP(C257,[1]ModifierDes!$B:$B,[1]ModifierDes!$C:$C),3,_xlfn.XLOOKUP(C257,[1]StuntDes!$B:$B,[1]StuntDes!$C:$C)),"")</f>
        <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403</v>
      </c>
      <c r="D258" t="s">
        <v>422</v>
      </c>
      <c r="E258" t="s">
        <v>388</v>
      </c>
      <c r="F258"/>
      <c r="G258">
        <v>1</v>
      </c>
      <c r="H258">
        <v>1000</v>
      </c>
      <c r="J258" cm="1">
        <f t="array" ref="J258">_xlfn.SWITCH(B258,1,75,2,61,3,49,4,37,5,25,6,13,7,4,8,1)</f>
        <v>49</v>
      </c>
      <c r="K258" t="str" cm="1">
        <f t="array" ref="K258">IFERROR(_xlfn.SWITCH(L258,2,_xlfn.XLOOKUP(C258,[1]ModifierDes!$B:$B,[1]ModifierDes!$C:$C),3,_xlfn.XLOOKUP(C258,[1]StuntDes!$B:$B,[1]StuntDes!$C:$C)),"")</f>
        <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403</v>
      </c>
      <c r="D259" t="s">
        <v>422</v>
      </c>
      <c r="E259" t="s">
        <v>388</v>
      </c>
      <c r="F259"/>
      <c r="G259">
        <v>1</v>
      </c>
      <c r="H259">
        <v>1000</v>
      </c>
      <c r="J259" cm="1">
        <f t="array" ref="J259">_xlfn.SWITCH(B259,1,75,2,61,3,49,4,37,5,25,6,13,7,4,8,1)</f>
        <v>37</v>
      </c>
      <c r="K259" t="str" cm="1">
        <f t="array" ref="K259">IFERROR(_xlfn.SWITCH(L259,2,_xlfn.XLOOKUP(C259,[1]ModifierDes!$B:$B,[1]ModifierDes!$C:$C),3,_xlfn.XLOOKUP(C259,[1]StuntDes!$B:$B,[1]StuntDes!$C:$C)),"")</f>
        <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403</v>
      </c>
      <c r="D260" t="s">
        <v>422</v>
      </c>
      <c r="E260" t="s">
        <v>388</v>
      </c>
      <c r="F260"/>
      <c r="G260">
        <v>1</v>
      </c>
      <c r="H260">
        <v>1000</v>
      </c>
      <c r="J260" cm="1">
        <f t="array" ref="J260">_xlfn.SWITCH(B260,1,75,2,61,3,49,4,37,5,25,6,13,7,4,8,1)</f>
        <v>25</v>
      </c>
      <c r="K260" t="str" cm="1">
        <f t="array" ref="K260">IFERROR(_xlfn.SWITCH(L260,2,_xlfn.XLOOKUP(C260,[1]ModifierDes!$B:$B,[1]ModifierDes!$C:$C),3,_xlfn.XLOOKUP(C260,[1]StuntDes!$B:$B,[1]StuntDes!$C:$C)),"")</f>
        <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403</v>
      </c>
      <c r="D261" t="s">
        <v>422</v>
      </c>
      <c r="E261" t="s">
        <v>388</v>
      </c>
      <c r="F261"/>
      <c r="G261">
        <v>1</v>
      </c>
      <c r="H261">
        <v>1000</v>
      </c>
      <c r="J261" cm="1">
        <f t="array" ref="J261">_xlfn.SWITCH(B261,1,75,2,61,3,49,4,37,5,25,6,13,7,4,8,1)</f>
        <v>13</v>
      </c>
      <c r="K261" t="str" cm="1">
        <f t="array" ref="K261">IFERROR(_xlfn.SWITCH(L261,2,_xlfn.XLOOKUP(C261,[1]ModifierDes!$B:$B,[1]ModifierDes!$C:$C),3,_xlfn.XLOOKUP(C261,[1]StuntDes!$B:$B,[1]StuntDes!$C:$C)),"")</f>
        <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403</v>
      </c>
      <c r="D262" t="s">
        <v>422</v>
      </c>
      <c r="E262" t="s">
        <v>388</v>
      </c>
      <c r="F262"/>
      <c r="G262">
        <v>1</v>
      </c>
      <c r="H262">
        <v>1000</v>
      </c>
      <c r="J262" cm="1">
        <f t="array" ref="J262">_xlfn.SWITCH(B262,1,75,2,61,3,49,4,37,5,25,6,13,7,4,8,1)</f>
        <v>4</v>
      </c>
      <c r="K262" t="str" cm="1">
        <f t="array" ref="K262">IFERROR(_xlfn.SWITCH(L262,2,_xlfn.XLOOKUP(C262,[1]ModifierDes!$B:$B,[1]ModifierDes!$C:$C),3,_xlfn.XLOOKUP(C262,[1]StuntDes!$B:$B,[1]StuntDes!$C:$C)),"")</f>
        <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403</v>
      </c>
      <c r="D263" t="s">
        <v>422</v>
      </c>
      <c r="E263" t="s">
        <v>388</v>
      </c>
      <c r="F263"/>
      <c r="G263">
        <v>1</v>
      </c>
      <c r="H263">
        <v>1000</v>
      </c>
      <c r="J263" cm="1">
        <f t="array" ref="J263">_xlfn.SWITCH(B263,1,75,2,61,3,49,4,37,5,25,6,13,7,4,8,1)</f>
        <v>1</v>
      </c>
      <c r="K263" t="str" cm="1">
        <f t="array" ref="K263">IFERROR(_xlfn.SWITCH(L263,2,_xlfn.XLOOKUP(C263,[1]ModifierDes!$B:$B,[1]ModifierDes!$C:$C),3,_xlfn.XLOOKUP(C263,[1]StuntDes!$B:$B,[1]StuntDes!$C:$C)),"")</f>
        <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423</v>
      </c>
      <c r="D264" t="s">
        <v>422</v>
      </c>
      <c r="E264" t="s">
        <v>388</v>
      </c>
      <c r="G264">
        <v>1</v>
      </c>
      <c r="H264">
        <v>1000</v>
      </c>
      <c r="J264" cm="1">
        <f t="array" ref="J264">_xlfn.SWITCH(B264,1,75,2,61,3,49,4,37,5,25,6,13,7,4,8,1)</f>
        <v>75</v>
      </c>
      <c r="K264" t="str" cm="1">
        <f t="array" ref="K264">IFERROR(_xlfn.SWITCH(L264,2,_xlfn.XLOOKUP(C264,[1]ModifierDes!$B:$B,[1]ModifierDes!$C:$C),3,_xlfn.XLOOKUP(C264,[1]StuntDes!$B:$B,[1]StuntDes!$C:$C)),"")</f>
        <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423</v>
      </c>
      <c r="D265" t="s">
        <v>422</v>
      </c>
      <c r="E265" t="s">
        <v>388</v>
      </c>
      <c r="G265">
        <v>1</v>
      </c>
      <c r="H265">
        <v>1000</v>
      </c>
      <c r="J265" cm="1">
        <f t="array" ref="J265">_xlfn.SWITCH(B265,1,75,2,61,3,49,4,37,5,25,6,13,7,4,8,1)</f>
        <v>61</v>
      </c>
      <c r="K265" t="str" cm="1">
        <f t="array" ref="K265">IFERROR(_xlfn.SWITCH(L265,2,_xlfn.XLOOKUP(C265,[1]ModifierDes!$B:$B,[1]ModifierDes!$C:$C),3,_xlfn.XLOOKUP(C265,[1]StuntDes!$B:$B,[1]StuntDes!$C:$C)),"")</f>
        <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423</v>
      </c>
      <c r="D266" t="s">
        <v>422</v>
      </c>
      <c r="E266" t="s">
        <v>388</v>
      </c>
      <c r="G266">
        <v>1</v>
      </c>
      <c r="H266">
        <v>1000</v>
      </c>
      <c r="J266" cm="1">
        <f t="array" ref="J266">_xlfn.SWITCH(B266,1,75,2,61,3,49,4,37,5,25,6,13,7,4,8,1)</f>
        <v>49</v>
      </c>
      <c r="K266" t="str" cm="1">
        <f t="array" ref="K266">IFERROR(_xlfn.SWITCH(L266,2,_xlfn.XLOOKUP(C266,[1]ModifierDes!$B:$B,[1]ModifierDes!$C:$C),3,_xlfn.XLOOKUP(C266,[1]StuntDes!$B:$B,[1]StuntDes!$C:$C)),"")</f>
        <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423</v>
      </c>
      <c r="D267" t="s">
        <v>422</v>
      </c>
      <c r="E267" t="s">
        <v>388</v>
      </c>
      <c r="G267">
        <v>1</v>
      </c>
      <c r="H267">
        <v>1000</v>
      </c>
      <c r="J267" cm="1">
        <f t="array" ref="J267">_xlfn.SWITCH(B267,1,75,2,61,3,49,4,37,5,25,6,13,7,4,8,1)</f>
        <v>37</v>
      </c>
      <c r="K267" t="str" cm="1">
        <f t="array" ref="K267">IFERROR(_xlfn.SWITCH(L267,2,_xlfn.XLOOKUP(C267,[1]ModifierDes!$B:$B,[1]ModifierDes!$C:$C),3,_xlfn.XLOOKUP(C267,[1]StuntDes!$B:$B,[1]StuntDes!$C:$C)),"")</f>
        <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423</v>
      </c>
      <c r="D268" t="s">
        <v>422</v>
      </c>
      <c r="E268" t="s">
        <v>388</v>
      </c>
      <c r="G268">
        <v>1</v>
      </c>
      <c r="H268">
        <v>1000</v>
      </c>
      <c r="J268" cm="1">
        <f t="array" ref="J268">_xlfn.SWITCH(B268,1,75,2,61,3,49,4,37,5,25,6,13,7,4,8,1)</f>
        <v>25</v>
      </c>
      <c r="K268" t="str" cm="1">
        <f t="array" ref="K268">IFERROR(_xlfn.SWITCH(L268,2,_xlfn.XLOOKUP(C268,[1]ModifierDes!$B:$B,[1]ModifierDes!$C:$C),3,_xlfn.XLOOKUP(C268,[1]StuntDes!$B:$B,[1]StuntDes!$C:$C)),"")</f>
        <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423</v>
      </c>
      <c r="D269" t="s">
        <v>422</v>
      </c>
      <c r="E269" t="s">
        <v>388</v>
      </c>
      <c r="G269">
        <v>1</v>
      </c>
      <c r="H269">
        <v>1000</v>
      </c>
      <c r="J269" cm="1">
        <f t="array" ref="J269">_xlfn.SWITCH(B269,1,75,2,61,3,49,4,37,5,25,6,13,7,4,8,1)</f>
        <v>13</v>
      </c>
      <c r="K269" t="str" cm="1">
        <f t="array" ref="K269">IFERROR(_xlfn.SWITCH(L269,2,_xlfn.XLOOKUP(C269,[1]ModifierDes!$B:$B,[1]ModifierDes!$C:$C),3,_xlfn.XLOOKUP(C269,[1]StuntDes!$B:$B,[1]StuntDes!$C:$C)),"")</f>
        <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423</v>
      </c>
      <c r="D270" t="s">
        <v>422</v>
      </c>
      <c r="E270" t="s">
        <v>388</v>
      </c>
      <c r="G270">
        <v>1</v>
      </c>
      <c r="H270">
        <v>1000</v>
      </c>
      <c r="J270" cm="1">
        <f t="array" ref="J270">_xlfn.SWITCH(B270,1,75,2,61,3,49,4,37,5,25,6,13,7,4,8,1)</f>
        <v>4</v>
      </c>
      <c r="K270" t="str" cm="1">
        <f t="array" ref="K270">IFERROR(_xlfn.SWITCH(L270,2,_xlfn.XLOOKUP(C270,[1]ModifierDes!$B:$B,[1]ModifierDes!$C:$C),3,_xlfn.XLOOKUP(C270,[1]StuntDes!$B:$B,[1]StuntDes!$C:$C)),"")</f>
        <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423</v>
      </c>
      <c r="D271" t="s">
        <v>422</v>
      </c>
      <c r="E271" t="s">
        <v>388</v>
      </c>
      <c r="G271">
        <v>1</v>
      </c>
      <c r="H271">
        <v>1000</v>
      </c>
      <c r="J271" cm="1">
        <f t="array" ref="J271">_xlfn.SWITCH(B271,1,75,2,61,3,49,4,37,5,25,6,13,7,4,8,1)</f>
        <v>1</v>
      </c>
      <c r="K271" t="str" cm="1">
        <f t="array" ref="K271">IFERROR(_xlfn.SWITCH(L271,2,_xlfn.XLOOKUP(C271,[1]ModifierDes!$B:$B,[1]ModifierDes!$C:$C),3,_xlfn.XLOOKUP(C271,[1]StuntDes!$B:$B,[1]StuntDes!$C:$C)),"")</f>
        <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424</v>
      </c>
      <c r="D272" t="s">
        <v>422</v>
      </c>
      <c r="E272" t="s">
        <v>388</v>
      </c>
      <c r="G272">
        <v>1</v>
      </c>
      <c r="H272">
        <v>250</v>
      </c>
      <c r="J272" cm="1">
        <f t="array" ref="J272">_xlfn.SWITCH(B272,1,75,2,61,3,49,4,37,5,25,6,13,7,4,8,1)</f>
        <v>75</v>
      </c>
      <c r="K272" t="str" cm="1">
        <f t="array" ref="K272">IFERROR(_xlfn.SWITCH(L272,2,_xlfn.XLOOKUP(C272,[1]ModifierDes!$B:$B,[1]ModifierDes!$C:$C),3,_xlfn.XLOOKUP(C272,[1]StuntDes!$B:$B,[1]StuntDes!$C:$C)),"")</f>
        <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424</v>
      </c>
      <c r="D273" t="s">
        <v>422</v>
      </c>
      <c r="E273" t="s">
        <v>388</v>
      </c>
      <c r="G273">
        <v>1</v>
      </c>
      <c r="H273">
        <v>500</v>
      </c>
      <c r="J273" cm="1">
        <f t="array" ref="J273">_xlfn.SWITCH(B273,1,75,2,61,3,49,4,37,5,25,6,13,7,4,8,1)</f>
        <v>61</v>
      </c>
      <c r="K273" t="str" cm="1">
        <f t="array" ref="K273">IFERROR(_xlfn.SWITCH(L273,2,_xlfn.XLOOKUP(C273,[1]ModifierDes!$B:$B,[1]ModifierDes!$C:$C),3,_xlfn.XLOOKUP(C273,[1]StuntDes!$B:$B,[1]StuntDes!$C:$C)),"")</f>
        <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424</v>
      </c>
      <c r="D274" t="s">
        <v>422</v>
      </c>
      <c r="E274" t="s">
        <v>388</v>
      </c>
      <c r="G274">
        <v>1</v>
      </c>
      <c r="H274">
        <v>1000</v>
      </c>
      <c r="J274" cm="1">
        <f t="array" ref="J274">_xlfn.SWITCH(B274,1,75,2,61,3,49,4,37,5,25,6,13,7,4,8,1)</f>
        <v>49</v>
      </c>
      <c r="K274" t="str" cm="1">
        <f t="array" ref="K274">IFERROR(_xlfn.SWITCH(L274,2,_xlfn.XLOOKUP(C274,[1]ModifierDes!$B:$B,[1]ModifierDes!$C:$C),3,_xlfn.XLOOKUP(C274,[1]StuntDes!$B:$B,[1]StuntDes!$C:$C)),"")</f>
        <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424</v>
      </c>
      <c r="D275" t="s">
        <v>422</v>
      </c>
      <c r="E275" t="s">
        <v>388</v>
      </c>
      <c r="G275">
        <v>1</v>
      </c>
      <c r="H275">
        <v>1000</v>
      </c>
      <c r="J275" cm="1">
        <f t="array" ref="J275">_xlfn.SWITCH(B275,1,75,2,61,3,49,4,37,5,25,6,13,7,4,8,1)</f>
        <v>37</v>
      </c>
      <c r="K275" t="str" cm="1">
        <f t="array" ref="K275">IFERROR(_xlfn.SWITCH(L275,2,_xlfn.XLOOKUP(C275,[1]ModifierDes!$B:$B,[1]ModifierDes!$C:$C),3,_xlfn.XLOOKUP(C275,[1]StuntDes!$B:$B,[1]StuntDes!$C:$C)),"")</f>
        <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424</v>
      </c>
      <c r="D276" t="s">
        <v>422</v>
      </c>
      <c r="E276" t="s">
        <v>388</v>
      </c>
      <c r="G276">
        <v>1</v>
      </c>
      <c r="H276">
        <v>1000</v>
      </c>
      <c r="J276" cm="1">
        <f t="array" ref="J276">_xlfn.SWITCH(B276,1,75,2,61,3,49,4,37,5,25,6,13,7,4,8,1)</f>
        <v>25</v>
      </c>
      <c r="K276" t="str" cm="1">
        <f t="array" ref="K276">IFERROR(_xlfn.SWITCH(L276,2,_xlfn.XLOOKUP(C276,[1]ModifierDes!$B:$B,[1]ModifierDes!$C:$C),3,_xlfn.XLOOKUP(C276,[1]StuntDes!$B:$B,[1]StuntDes!$C:$C)),"")</f>
        <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424</v>
      </c>
      <c r="D277" t="s">
        <v>422</v>
      </c>
      <c r="E277" t="s">
        <v>388</v>
      </c>
      <c r="G277">
        <v>1</v>
      </c>
      <c r="H277">
        <v>1000</v>
      </c>
      <c r="J277" cm="1">
        <f t="array" ref="J277">_xlfn.SWITCH(B277,1,75,2,61,3,49,4,37,5,25,6,13,7,4,8,1)</f>
        <v>13</v>
      </c>
      <c r="K277" t="str" cm="1">
        <f t="array" ref="K277">IFERROR(_xlfn.SWITCH(L277,2,_xlfn.XLOOKUP(C277,[1]ModifierDes!$B:$B,[1]ModifierDes!$C:$C),3,_xlfn.XLOOKUP(C277,[1]StuntDes!$B:$B,[1]StuntDes!$C:$C)),"")</f>
        <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424</v>
      </c>
      <c r="D278" t="s">
        <v>422</v>
      </c>
      <c r="E278" t="s">
        <v>388</v>
      </c>
      <c r="G278">
        <v>1</v>
      </c>
      <c r="H278">
        <v>1000</v>
      </c>
      <c r="J278" cm="1">
        <f t="array" ref="J278">_xlfn.SWITCH(B278,1,75,2,61,3,49,4,37,5,25,6,13,7,4,8,1)</f>
        <v>4</v>
      </c>
      <c r="K278" t="str" cm="1">
        <f t="array" ref="K278">IFERROR(_xlfn.SWITCH(L278,2,_xlfn.XLOOKUP(C278,[1]ModifierDes!$B:$B,[1]ModifierDes!$C:$C),3,_xlfn.XLOOKUP(C278,[1]StuntDes!$B:$B,[1]StuntDes!$C:$C)),"")</f>
        <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424</v>
      </c>
      <c r="D279" t="s">
        <v>422</v>
      </c>
      <c r="E279" t="s">
        <v>388</v>
      </c>
      <c r="G279">
        <v>1</v>
      </c>
      <c r="H279">
        <v>1000</v>
      </c>
      <c r="J279" cm="1">
        <f t="array" ref="J279">_xlfn.SWITCH(B279,1,75,2,61,3,49,4,37,5,25,6,13,7,4,8,1)</f>
        <v>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425</v>
      </c>
      <c r="D280" t="s">
        <v>422</v>
      </c>
      <c r="E280" t="s">
        <v>388</v>
      </c>
      <c r="G280">
        <v>1</v>
      </c>
      <c r="H280">
        <v>250</v>
      </c>
      <c r="J280" cm="1">
        <f t="array" ref="J280">_xlfn.SWITCH(B280,1,75,2,61,3,49,4,37,5,25,6,13,7,4,8,1)</f>
        <v>75</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425</v>
      </c>
      <c r="D281" t="s">
        <v>422</v>
      </c>
      <c r="E281" t="s">
        <v>388</v>
      </c>
      <c r="G281">
        <v>1</v>
      </c>
      <c r="H281">
        <v>500</v>
      </c>
      <c r="J281" cm="1">
        <f t="array" ref="J281">_xlfn.SWITCH(B281,1,75,2,61,3,49,4,37,5,25,6,13,7,4,8,1)</f>
        <v>61</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425</v>
      </c>
      <c r="D282" t="s">
        <v>422</v>
      </c>
      <c r="E282" t="s">
        <v>388</v>
      </c>
      <c r="G282">
        <v>1</v>
      </c>
      <c r="H282">
        <v>1000</v>
      </c>
      <c r="J282" cm="1">
        <f t="array" ref="J282">_xlfn.SWITCH(B282,1,75,2,61,3,49,4,37,5,25,6,13,7,4,8,1)</f>
        <v>49</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425</v>
      </c>
      <c r="D283" t="s">
        <v>422</v>
      </c>
      <c r="E283" t="s">
        <v>388</v>
      </c>
      <c r="G283">
        <v>1</v>
      </c>
      <c r="H283">
        <v>1000</v>
      </c>
      <c r="J283" cm="1">
        <f t="array" ref="J283">_xlfn.SWITCH(B283,1,75,2,61,3,49,4,37,5,25,6,13,7,4,8,1)</f>
        <v>37</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425</v>
      </c>
      <c r="D284" t="s">
        <v>422</v>
      </c>
      <c r="E284" t="s">
        <v>388</v>
      </c>
      <c r="G284">
        <v>1</v>
      </c>
      <c r="H284">
        <v>1000</v>
      </c>
      <c r="J284" cm="1">
        <f t="array" ref="J284">_xlfn.SWITCH(B284,1,75,2,61,3,49,4,37,5,25,6,13,7,4,8,1)</f>
        <v>25</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425</v>
      </c>
      <c r="D285" t="s">
        <v>422</v>
      </c>
      <c r="E285" t="s">
        <v>388</v>
      </c>
      <c r="G285">
        <v>1</v>
      </c>
      <c r="H285">
        <v>1000</v>
      </c>
      <c r="J285" cm="1">
        <f t="array" ref="J285">_xlfn.SWITCH(B285,1,75,2,61,3,49,4,37,5,25,6,13,7,4,8,1)</f>
        <v>13</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425</v>
      </c>
      <c r="D286" t="s">
        <v>422</v>
      </c>
      <c r="E286" t="s">
        <v>388</v>
      </c>
      <c r="G286">
        <v>1</v>
      </c>
      <c r="H286">
        <v>1000</v>
      </c>
      <c r="J286" cm="1">
        <f t="array" ref="J286">_xlfn.SWITCH(B286,1,75,2,61,3,49,4,37,5,25,6,13,7,4,8,1)</f>
        <v>4</v>
      </c>
      <c r="K286" t="str" cm="1">
        <f t="array" ref="K286">IFERROR(_xlfn.SWITCH(L286,2,_xlfn.XLOOKUP(C286,[1]ModifierDes!$B:$B,[1]ModifierDes!$C:$C),3,_xlfn.XLOOKUP(C286,[1]StuntDes!$B:$B,[1]StuntDes!$C:$C)),"")</f>
        <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425</v>
      </c>
      <c r="D287" t="s">
        <v>422</v>
      </c>
      <c r="E287" t="s">
        <v>388</v>
      </c>
      <c r="G287">
        <v>1</v>
      </c>
      <c r="H287">
        <v>1000</v>
      </c>
      <c r="J287" cm="1">
        <f t="array" ref="J287">_xlfn.SWITCH(B287,1,75,2,61,3,49,4,37,5,25,6,13,7,4,8,1)</f>
        <v>1</v>
      </c>
      <c r="K287" t="str" cm="1">
        <f t="array" ref="K287">IFERROR(_xlfn.SWITCH(L287,2,_xlfn.XLOOKUP(C287,[1]ModifierDes!$B:$B,[1]ModifierDes!$C:$C),3,_xlfn.XLOOKUP(C287,[1]StuntDes!$B:$B,[1]StuntDes!$C:$C)),"")</f>
        <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96</v>
      </c>
      <c r="D288" t="s">
        <v>422</v>
      </c>
      <c r="E288" t="s">
        <v>388</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96</v>
      </c>
      <c r="D289" t="s">
        <v>422</v>
      </c>
      <c r="E289" t="s">
        <v>388</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96</v>
      </c>
      <c r="D290" t="s">
        <v>422</v>
      </c>
      <c r="E290" t="s">
        <v>388</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96</v>
      </c>
      <c r="D291" t="s">
        <v>422</v>
      </c>
      <c r="E291" t="s">
        <v>388</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96</v>
      </c>
      <c r="D292" t="s">
        <v>422</v>
      </c>
      <c r="E292" t="s">
        <v>388</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96</v>
      </c>
      <c r="D293" t="s">
        <v>422</v>
      </c>
      <c r="E293" t="s">
        <v>388</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96</v>
      </c>
      <c r="D294" t="s">
        <v>422</v>
      </c>
      <c r="E294" t="s">
        <v>388</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96</v>
      </c>
      <c r="D295" t="s">
        <v>422</v>
      </c>
      <c r="E295" t="s">
        <v>388</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426</v>
      </c>
      <c r="D296" t="s">
        <v>422</v>
      </c>
      <c r="E296" t="s">
        <v>388</v>
      </c>
      <c r="F296"/>
      <c r="G296">
        <v>1</v>
      </c>
      <c r="H296">
        <v>50</v>
      </c>
      <c r="I296">
        <v>3</v>
      </c>
      <c r="J296" cm="1">
        <f t="array" ref="J296">_xlfn.SWITCH(B296,1,75,2,61,3,49,4,37,5,25,6,13,7,4,8,1)</f>
        <v>75</v>
      </c>
      <c r="K296" t="str" cm="1">
        <f t="array" ref="K296">IFERROR(_xlfn.SWITCH(L296,2,_xlfn.XLOOKUP(C296,[1]ModifierDes!$B:$B,[1]ModifierDes!$C:$C),3,_xlfn.XLOOKUP(C296,[1]StuntDes!$B:$B,[1]StuntDes!$C:$C)),"")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427</v>
      </c>
      <c r="D297" t="s">
        <v>422</v>
      </c>
      <c r="E297" t="s">
        <v>388</v>
      </c>
      <c r="F297"/>
      <c r="G297">
        <v>1</v>
      </c>
      <c r="H297">
        <v>50</v>
      </c>
      <c r="I297">
        <v>3</v>
      </c>
      <c r="J297" cm="1">
        <f t="array" ref="J297">_xlfn.SWITCH(B297,1,75,2,61,3,49,4,37,5,25,6,13,7,4,8,1)</f>
        <v>75</v>
      </c>
      <c r="K297" t="str" cm="1">
        <f t="array" ref="K297">IFERROR(_xlfn.SWITCH(L297,2,_xlfn.XLOOKUP(C297,[1]ModifierDes!$B:$B,[1]ModifierDes!$C:$C),3,_xlfn.XLOOKUP(C297,[1]StuntDes!$B:$B,[1]StuntDes!$C:$C)),"")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428</v>
      </c>
      <c r="D298" t="s">
        <v>422</v>
      </c>
      <c r="E298" t="s">
        <v>388</v>
      </c>
      <c r="F298"/>
      <c r="G298">
        <v>1</v>
      </c>
      <c r="H298">
        <v>50</v>
      </c>
      <c r="I298">
        <v>3</v>
      </c>
      <c r="J298" cm="1">
        <f t="array" ref="J298">_xlfn.SWITCH(B298,1,75,2,61,3,49,4,37,5,25,6,13,7,4,8,1)</f>
        <v>75</v>
      </c>
      <c r="K298" t="str" cm="1">
        <f t="array" ref="K298">IFERROR(_xlfn.SWITCH(L298,2,_xlfn.XLOOKUP(C298,[1]ModifierDes!$B:$B,[1]ModifierDes!$C:$C),3,_xlfn.XLOOKUP(C298,[1]StuntDes!$B:$B,[1]StuntDes!$C:$C)),"")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429</v>
      </c>
      <c r="D299" t="s">
        <v>422</v>
      </c>
      <c r="E299" t="s">
        <v>388</v>
      </c>
      <c r="F299"/>
      <c r="G299">
        <v>1</v>
      </c>
      <c r="H299">
        <v>50</v>
      </c>
      <c r="I299">
        <v>3</v>
      </c>
      <c r="J299" cm="1">
        <f t="array" ref="J299">_xlfn.SWITCH(B299,1,75,2,61,3,49,4,37,5,25,6,13,7,4,8,1)</f>
        <v>75</v>
      </c>
      <c r="K299" t="str" cm="1">
        <f t="array" ref="K299">IFERROR(_xlfn.SWITCH(L299,2,_xlfn.XLOOKUP(C299,[1]ModifierDes!$B:$B,[1]ModifierDes!$C:$C),3,_xlfn.XLOOKUP(C299,[1]StuntDes!$B:$B,[1]StuntDes!$C:$C)),"")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430</v>
      </c>
      <c r="D300" t="s">
        <v>422</v>
      </c>
      <c r="E300" t="s">
        <v>388</v>
      </c>
      <c r="G300">
        <v>1</v>
      </c>
      <c r="H300">
        <v>1000</v>
      </c>
      <c r="I300"/>
      <c r="J300" cm="1">
        <f t="array" ref="J300">_xlfn.SWITCH(B300,1,75,2,61,3,49,4,37,5,25,6,13,7,4,8,1)</f>
        <v>75</v>
      </c>
      <c r="K300" t="str" cm="1">
        <f t="array" ref="K300">IFERROR(_xlfn.SWITCH(L300,2,_xlfn.XLOOKUP(C300,[1]ModifierDes!$B:$B,[1]ModifierDes!$C:$C),3,_xlfn.XLOOKUP(C300,[1]StuntDes!$B:$B,[1]StuntDes!$C:$C)),"")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430</v>
      </c>
      <c r="D301" t="s">
        <v>422</v>
      </c>
      <c r="E301" t="s">
        <v>388</v>
      </c>
      <c r="G301">
        <v>1</v>
      </c>
      <c r="H301">
        <v>1000</v>
      </c>
      <c r="I301"/>
      <c r="J301" cm="1">
        <f t="array" ref="J301">_xlfn.SWITCH(B301,1,75,2,61,3,49,4,37,5,25,6,13,7,4,8,1)</f>
        <v>61</v>
      </c>
      <c r="K301" t="str" cm="1">
        <f t="array" ref="K301">IFERROR(_xlfn.SWITCH(L301,2,_xlfn.XLOOKUP(C301,[1]ModifierDes!$B:$B,[1]ModifierDes!$C:$C),3,_xlfn.XLOOKUP(C301,[1]StuntDes!$B:$B,[1]StuntDes!$C:$C)),"")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430</v>
      </c>
      <c r="D302" t="s">
        <v>422</v>
      </c>
      <c r="E302" t="s">
        <v>388</v>
      </c>
      <c r="G302">
        <v>1</v>
      </c>
      <c r="H302">
        <v>1000</v>
      </c>
      <c r="I302"/>
      <c r="J302" cm="1">
        <f t="array" ref="J302">_xlfn.SWITCH(B302,1,75,2,61,3,49,4,37,5,25,6,13,7,4,8,1)</f>
        <v>49</v>
      </c>
      <c r="K302" t="str" cm="1">
        <f t="array" ref="K302">IFERROR(_xlfn.SWITCH(L302,2,_xlfn.XLOOKUP(C302,[1]ModifierDes!$B:$B,[1]ModifierDes!$C:$C),3,_xlfn.XLOOKUP(C302,[1]StuntDes!$B:$B,[1]StuntDes!$C:$C)),"")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430</v>
      </c>
      <c r="D303" t="s">
        <v>422</v>
      </c>
      <c r="E303" t="s">
        <v>388</v>
      </c>
      <c r="G303">
        <v>1</v>
      </c>
      <c r="H303">
        <v>1000</v>
      </c>
      <c r="I303"/>
      <c r="J303" cm="1">
        <f t="array" ref="J303">_xlfn.SWITCH(B303,1,75,2,61,3,49,4,37,5,25,6,13,7,4,8,1)</f>
        <v>37</v>
      </c>
      <c r="K303" t="str" cm="1">
        <f t="array" ref="K303">IFERROR(_xlfn.SWITCH(L303,2,_xlfn.XLOOKUP(C303,[1]ModifierDes!$B:$B,[1]ModifierDes!$C:$C),3,_xlfn.XLOOKUP(C303,[1]StuntDes!$B:$B,[1]StuntDes!$C:$C)),"")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430</v>
      </c>
      <c r="D304" t="s">
        <v>422</v>
      </c>
      <c r="E304" t="s">
        <v>388</v>
      </c>
      <c r="G304">
        <v>1</v>
      </c>
      <c r="H304">
        <v>1000</v>
      </c>
      <c r="I304"/>
      <c r="J304" cm="1">
        <f t="array" ref="J304">_xlfn.SWITCH(B304,1,75,2,61,3,49,4,37,5,25,6,13,7,4,8,1)</f>
        <v>25</v>
      </c>
      <c r="K304" t="str" cm="1">
        <f t="array" ref="K304">IFERROR(_xlfn.SWITCH(L304,2,_xlfn.XLOOKUP(C304,[1]ModifierDes!$B:$B,[1]ModifierDes!$C:$C),3,_xlfn.XLOOKUP(C304,[1]StuntDes!$B:$B,[1]StuntDes!$C:$C)),"")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430</v>
      </c>
      <c r="D305" t="s">
        <v>422</v>
      </c>
      <c r="E305" t="s">
        <v>388</v>
      </c>
      <c r="G305">
        <v>1</v>
      </c>
      <c r="H305">
        <v>1000</v>
      </c>
      <c r="I305"/>
      <c r="J305" cm="1">
        <f t="array" ref="J305">_xlfn.SWITCH(B305,1,75,2,61,3,49,4,37,5,25,6,13,7,4,8,1)</f>
        <v>13</v>
      </c>
      <c r="K305" t="str" cm="1">
        <f t="array" ref="K305">IFERROR(_xlfn.SWITCH(L305,2,_xlfn.XLOOKUP(C305,[1]ModifierDes!$B:$B,[1]ModifierDes!$C:$C),3,_xlfn.XLOOKUP(C305,[1]StuntDes!$B:$B,[1]StuntDes!$C:$C)),"")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430</v>
      </c>
      <c r="D306" t="s">
        <v>422</v>
      </c>
      <c r="E306" t="s">
        <v>388</v>
      </c>
      <c r="G306">
        <v>1</v>
      </c>
      <c r="H306">
        <v>1000</v>
      </c>
      <c r="I306"/>
      <c r="J306" cm="1">
        <f t="array" ref="J306">_xlfn.SWITCH(B306,1,75,2,61,3,49,4,37,5,25,6,13,7,4,8,1)</f>
        <v>4</v>
      </c>
      <c r="K306" t="str" cm="1">
        <f t="array" ref="K306">IFERROR(_xlfn.SWITCH(L306,2,_xlfn.XLOOKUP(C306,[1]ModifierDes!$B:$B,[1]ModifierDes!$C:$C),3,_xlfn.XLOOKUP(C306,[1]StuntDes!$B:$B,[1]StuntDes!$C:$C)),"")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430</v>
      </c>
      <c r="D307" t="s">
        <v>422</v>
      </c>
      <c r="E307" t="s">
        <v>388</v>
      </c>
      <c r="G307">
        <v>1</v>
      </c>
      <c r="H307">
        <v>1000</v>
      </c>
      <c r="I307"/>
      <c r="J307" cm="1">
        <f t="array" ref="J307">_xlfn.SWITCH(B307,1,75,2,61,3,49,4,37,5,25,6,13,7,4,8,1)</f>
        <v>1</v>
      </c>
      <c r="K307" t="str" cm="1">
        <f t="array" ref="K307">IFERROR(_xlfn.SWITCH(L307,2,_xlfn.XLOOKUP(C307,[1]ModifierDes!$B:$B,[1]ModifierDes!$C:$C),3,_xlfn.XLOOKUP(C307,[1]StuntDes!$B:$B,[1]StuntDes!$C:$C)),"")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431</v>
      </c>
      <c r="D308" t="s">
        <v>422</v>
      </c>
      <c r="E308" t="s">
        <v>388</v>
      </c>
      <c r="G308">
        <v>1</v>
      </c>
      <c r="H308">
        <v>1000</v>
      </c>
      <c r="I308"/>
      <c r="J308" cm="1">
        <f t="array" ref="J308">_xlfn.SWITCH(B308,1,75,2,61,3,49,4,37,5,25,6,13,7,4,8,1)</f>
        <v>75</v>
      </c>
      <c r="K308" t="str" cm="1">
        <f t="array" ref="K308">IFERROR(_xlfn.SWITCH(L308,2,_xlfn.XLOOKUP(C308,[1]ModifierDes!$B:$B,[1]ModifierDes!$C:$C),3,_xlfn.XLOOKUP(C308,[1]StuntDes!$B:$B,[1]StuntDes!$C:$C)),"")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431</v>
      </c>
      <c r="D309" t="s">
        <v>422</v>
      </c>
      <c r="E309" t="s">
        <v>388</v>
      </c>
      <c r="G309">
        <v>1</v>
      </c>
      <c r="H309">
        <v>1000</v>
      </c>
      <c r="I309"/>
      <c r="J309" cm="1">
        <f t="array" ref="J309">_xlfn.SWITCH(B309,1,75,2,61,3,49,4,37,5,25,6,13,7,4,8,1)</f>
        <v>61</v>
      </c>
      <c r="K309" t="str" cm="1">
        <f t="array" ref="K309">IFERROR(_xlfn.SWITCH(L309,2,_xlfn.XLOOKUP(C309,[1]ModifierDes!$B:$B,[1]ModifierDes!$C:$C),3,_xlfn.XLOOKUP(C309,[1]StuntDes!$B:$B,[1]StuntDes!$C:$C)),"")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431</v>
      </c>
      <c r="D310" t="s">
        <v>422</v>
      </c>
      <c r="E310" t="s">
        <v>388</v>
      </c>
      <c r="G310">
        <v>1</v>
      </c>
      <c r="H310">
        <v>1000</v>
      </c>
      <c r="I310"/>
      <c r="J310" cm="1">
        <f t="array" ref="J310">_xlfn.SWITCH(B310,1,75,2,61,3,49,4,37,5,25,6,13,7,4,8,1)</f>
        <v>49</v>
      </c>
      <c r="K310" t="str" cm="1">
        <f t="array" ref="K310">IFERROR(_xlfn.SWITCH(L310,2,_xlfn.XLOOKUP(C310,[1]ModifierDes!$B:$B,[1]ModifierDes!$C:$C),3,_xlfn.XLOOKUP(C310,[1]StuntDes!$B:$B,[1]StuntDes!$C:$C)),"")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431</v>
      </c>
      <c r="D311" t="s">
        <v>422</v>
      </c>
      <c r="E311" t="s">
        <v>388</v>
      </c>
      <c r="G311">
        <v>1</v>
      </c>
      <c r="H311">
        <v>1000</v>
      </c>
      <c r="I311"/>
      <c r="J311" cm="1">
        <f t="array" ref="J311">_xlfn.SWITCH(B311,1,75,2,61,3,49,4,37,5,25,6,13,7,4,8,1)</f>
        <v>37</v>
      </c>
      <c r="K311" t="str" cm="1">
        <f t="array" ref="K311">IFERROR(_xlfn.SWITCH(L311,2,_xlfn.XLOOKUP(C311,[1]ModifierDes!$B:$B,[1]ModifierDes!$C:$C),3,_xlfn.XLOOKUP(C311,[1]StuntDes!$B:$B,[1]StuntDes!$C:$C)),"")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431</v>
      </c>
      <c r="D312" t="s">
        <v>422</v>
      </c>
      <c r="E312" t="s">
        <v>388</v>
      </c>
      <c r="G312">
        <v>1</v>
      </c>
      <c r="H312">
        <v>1000</v>
      </c>
      <c r="I312"/>
      <c r="J312" cm="1">
        <f t="array" ref="J312">_xlfn.SWITCH(B312,1,75,2,61,3,49,4,37,5,25,6,13,7,4,8,1)</f>
        <v>25</v>
      </c>
      <c r="K312" t="str" cm="1">
        <f t="array" ref="K312">IFERROR(_xlfn.SWITCH(L312,2,_xlfn.XLOOKUP(C312,[1]ModifierDes!$B:$B,[1]ModifierDes!$C:$C),3,_xlfn.XLOOKUP(C312,[1]StuntDes!$B:$B,[1]StuntDes!$C:$C)),"")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431</v>
      </c>
      <c r="D313" t="s">
        <v>422</v>
      </c>
      <c r="E313" t="s">
        <v>388</v>
      </c>
      <c r="G313">
        <v>1</v>
      </c>
      <c r="H313">
        <v>1000</v>
      </c>
      <c r="I313"/>
      <c r="J313" cm="1">
        <f t="array" ref="J313">_xlfn.SWITCH(B313,1,75,2,61,3,49,4,37,5,25,6,13,7,4,8,1)</f>
        <v>13</v>
      </c>
      <c r="K313" t="str" cm="1">
        <f t="array" ref="K313">IFERROR(_xlfn.SWITCH(L313,2,_xlfn.XLOOKUP(C313,[1]ModifierDes!$B:$B,[1]ModifierDes!$C:$C),3,_xlfn.XLOOKUP(C313,[1]StuntDes!$B:$B,[1]StuntDes!$C:$C)),"")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431</v>
      </c>
      <c r="D314" t="s">
        <v>422</v>
      </c>
      <c r="E314" t="s">
        <v>388</v>
      </c>
      <c r="G314">
        <v>1</v>
      </c>
      <c r="H314">
        <v>1000</v>
      </c>
      <c r="I314"/>
      <c r="J314" cm="1">
        <f t="array" ref="J314">_xlfn.SWITCH(B314,1,75,2,61,3,49,4,37,5,25,6,13,7,4,8,1)</f>
        <v>4</v>
      </c>
      <c r="K314" t="str" cm="1">
        <f t="array" ref="K314">IFERROR(_xlfn.SWITCH(L314,2,_xlfn.XLOOKUP(C314,[1]ModifierDes!$B:$B,[1]ModifierDes!$C:$C),3,_xlfn.XLOOKUP(C314,[1]StuntDes!$B:$B,[1]StuntDes!$C:$C)),"")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431</v>
      </c>
      <c r="D315" t="s">
        <v>422</v>
      </c>
      <c r="E315" t="s">
        <v>388</v>
      </c>
      <c r="G315">
        <v>1</v>
      </c>
      <c r="H315">
        <v>1000</v>
      </c>
      <c r="I315"/>
      <c r="J315" cm="1">
        <f t="array" ref="J315">_xlfn.SWITCH(B315,1,75,2,61,3,49,4,37,5,25,6,13,7,4,8,1)</f>
        <v>1</v>
      </c>
      <c r="K315" t="str" cm="1">
        <f t="array" ref="K315">IFERROR(_xlfn.SWITCH(L315,2,_xlfn.XLOOKUP(C315,[1]ModifierDes!$B:$B,[1]ModifierDes!$C:$C),3,_xlfn.XLOOKUP(C315,[1]StuntDes!$B:$B,[1]StuntDes!$C:$C)),"")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432</v>
      </c>
      <c r="D316" t="s">
        <v>422</v>
      </c>
      <c r="E316" t="s">
        <v>405</v>
      </c>
      <c r="F316"/>
      <c r="G316">
        <v>2</v>
      </c>
      <c r="H316">
        <v>1000</v>
      </c>
      <c r="J316" cm="1">
        <f t="array" ref="J316">_xlfn.SWITCH(B316,1,75,2,61,3,49,4,37,5,25,6,13,7,4,8,1)</f>
        <v>75</v>
      </c>
      <c r="K316" t="str" cm="1">
        <f t="array" ref="K316">IFERROR(_xlfn.SWITCH(L316,2,_xlfn.XLOOKUP(C316,[1]ModifierDes!$B:$B,[1]ModifierDes!$C:$C),3,_xlfn.XLOOKUP(C316,[1]StuntDes!$B:$B,[1]StuntDes!$C:$C)),"")</f>
        <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432</v>
      </c>
      <c r="D317" t="s">
        <v>422</v>
      </c>
      <c r="E317" t="s">
        <v>405</v>
      </c>
      <c r="F317"/>
      <c r="G317">
        <v>2</v>
      </c>
      <c r="H317">
        <v>1000</v>
      </c>
      <c r="J317" cm="1">
        <f t="array" ref="J317">_xlfn.SWITCH(B317,1,75,2,61,3,49,4,37,5,25,6,13,7,4,8,1)</f>
        <v>61</v>
      </c>
      <c r="K317" t="str" cm="1">
        <f t="array" ref="K317">IFERROR(_xlfn.SWITCH(L317,2,_xlfn.XLOOKUP(C317,[1]ModifierDes!$B:$B,[1]ModifierDes!$C:$C),3,_xlfn.XLOOKUP(C317,[1]StuntDes!$B:$B,[1]StuntDes!$C:$C)),"")</f>
        <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432</v>
      </c>
      <c r="D318" t="s">
        <v>422</v>
      </c>
      <c r="E318" t="s">
        <v>405</v>
      </c>
      <c r="F318"/>
      <c r="G318">
        <v>2</v>
      </c>
      <c r="H318">
        <v>1000</v>
      </c>
      <c r="J318" cm="1">
        <f t="array" ref="J318">_xlfn.SWITCH(B318,1,75,2,61,3,49,4,37,5,25,6,13,7,4,8,1)</f>
        <v>49</v>
      </c>
      <c r="K318" t="str" cm="1">
        <f t="array" ref="K318">IFERROR(_xlfn.SWITCH(L318,2,_xlfn.XLOOKUP(C318,[1]ModifierDes!$B:$B,[1]ModifierDes!$C:$C),3,_xlfn.XLOOKUP(C318,[1]StuntDes!$B:$B,[1]StuntDes!$C:$C)),"")</f>
        <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432</v>
      </c>
      <c r="D319" t="s">
        <v>422</v>
      </c>
      <c r="E319" t="s">
        <v>405</v>
      </c>
      <c r="F319"/>
      <c r="G319">
        <v>2</v>
      </c>
      <c r="H319">
        <v>1000</v>
      </c>
      <c r="J319" cm="1">
        <f t="array" ref="J319">_xlfn.SWITCH(B319,1,75,2,61,3,49,4,37,5,25,6,13,7,4,8,1)</f>
        <v>37</v>
      </c>
      <c r="K319" t="str" cm="1">
        <f t="array" ref="K319">IFERROR(_xlfn.SWITCH(L319,2,_xlfn.XLOOKUP(C319,[1]ModifierDes!$B:$B,[1]ModifierDes!$C:$C),3,_xlfn.XLOOKUP(C319,[1]StuntDes!$B:$B,[1]StuntDes!$C:$C)),"")</f>
        <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432</v>
      </c>
      <c r="D320" t="s">
        <v>422</v>
      </c>
      <c r="E320" t="s">
        <v>405</v>
      </c>
      <c r="F320"/>
      <c r="G320">
        <v>2</v>
      </c>
      <c r="H320">
        <v>1000</v>
      </c>
      <c r="J320" cm="1">
        <f t="array" ref="J320">_xlfn.SWITCH(B320,1,75,2,61,3,49,4,37,5,25,6,13,7,4,8,1)</f>
        <v>25</v>
      </c>
      <c r="K320" t="str" cm="1">
        <f t="array" ref="K320">IFERROR(_xlfn.SWITCH(L320,2,_xlfn.XLOOKUP(C320,[1]ModifierDes!$B:$B,[1]ModifierDes!$C:$C),3,_xlfn.XLOOKUP(C320,[1]StuntDes!$B:$B,[1]StuntDes!$C:$C)),"")</f>
        <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432</v>
      </c>
      <c r="D321" t="s">
        <v>422</v>
      </c>
      <c r="E321" t="s">
        <v>405</v>
      </c>
      <c r="F321"/>
      <c r="G321">
        <v>2</v>
      </c>
      <c r="H321">
        <v>1000</v>
      </c>
      <c r="J321" cm="1">
        <f t="array" ref="J321">_xlfn.SWITCH(B321,1,75,2,61,3,49,4,37,5,25,6,13,7,4,8,1)</f>
        <v>13</v>
      </c>
      <c r="K321" t="str" cm="1">
        <f t="array" ref="K321">IFERROR(_xlfn.SWITCH(L321,2,_xlfn.XLOOKUP(C321,[1]ModifierDes!$B:$B,[1]ModifierDes!$C:$C),3,_xlfn.XLOOKUP(C321,[1]StuntDes!$B:$B,[1]StuntDes!$C:$C)),"")</f>
        <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432</v>
      </c>
      <c r="D322" t="s">
        <v>422</v>
      </c>
      <c r="E322" t="s">
        <v>405</v>
      </c>
      <c r="F322"/>
      <c r="G322">
        <v>2</v>
      </c>
      <c r="H322">
        <v>1000</v>
      </c>
      <c r="J322" cm="1">
        <f t="array" ref="J322">_xlfn.SWITCH(B322,1,75,2,61,3,49,4,37,5,25,6,13,7,4,8,1)</f>
        <v>4</v>
      </c>
      <c r="K322" t="str" cm="1">
        <f t="array" ref="K322">IFERROR(_xlfn.SWITCH(L322,2,_xlfn.XLOOKUP(C322,[1]ModifierDes!$B:$B,[1]ModifierDes!$C:$C),3,_xlfn.XLOOKUP(C322,[1]StuntDes!$B:$B,[1]StuntDes!$C:$C)),"")</f>
        <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432</v>
      </c>
      <c r="D323" t="s">
        <v>422</v>
      </c>
      <c r="E323" t="s">
        <v>405</v>
      </c>
      <c r="F323"/>
      <c r="G323">
        <v>2</v>
      </c>
      <c r="H323">
        <v>1000</v>
      </c>
      <c r="J323" cm="1">
        <f t="array" ref="J323">_xlfn.SWITCH(B323,1,75,2,61,3,49,4,37,5,25,6,13,7,4,8,1)</f>
        <v>1</v>
      </c>
      <c r="K323" t="str" cm="1">
        <f t="array" ref="K323">IFERROR(_xlfn.SWITCH(L323,2,_xlfn.XLOOKUP(C323,[1]ModifierDes!$B:$B,[1]ModifierDes!$C:$C),3,_xlfn.XLOOKUP(C323,[1]StuntDes!$B:$B,[1]StuntDes!$C:$C)),"")</f>
        <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433</v>
      </c>
      <c r="D324" t="s">
        <v>422</v>
      </c>
      <c r="E324" t="s">
        <v>405</v>
      </c>
      <c r="F324"/>
      <c r="G324">
        <v>2</v>
      </c>
      <c r="H324">
        <v>1000</v>
      </c>
      <c r="J324" cm="1">
        <f t="array" ref="J324">_xlfn.SWITCH(B324,1,75,2,61,3,49,4,37,5,25,6,13,7,4,8,1)</f>
        <v>75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433</v>
      </c>
      <c r="D325" t="s">
        <v>422</v>
      </c>
      <c r="E325" t="s">
        <v>405</v>
      </c>
      <c r="F325"/>
      <c r="G325">
        <v>2</v>
      </c>
      <c r="H325">
        <v>1000</v>
      </c>
      <c r="J325" cm="1">
        <f t="array" ref="J325">_xlfn.SWITCH(B325,1,75,2,61,3,49,4,37,5,25,6,13,7,4,8,1)</f>
        <v>61</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433</v>
      </c>
      <c r="D326" t="s">
        <v>422</v>
      </c>
      <c r="E326" t="s">
        <v>405</v>
      </c>
      <c r="F326"/>
      <c r="G326">
        <v>2</v>
      </c>
      <c r="H326">
        <v>1000</v>
      </c>
      <c r="J326" cm="1">
        <f t="array" ref="J326">_xlfn.SWITCH(B326,1,75,2,61,3,49,4,37,5,25,6,13,7,4,8,1)</f>
        <v>49</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433</v>
      </c>
      <c r="D327" t="s">
        <v>422</v>
      </c>
      <c r="E327" t="s">
        <v>405</v>
      </c>
      <c r="F327"/>
      <c r="G327">
        <v>2</v>
      </c>
      <c r="H327">
        <v>1000</v>
      </c>
      <c r="J327" cm="1">
        <f t="array" ref="J327">_xlfn.SWITCH(B327,1,75,2,61,3,49,4,37,5,25,6,13,7,4,8,1)</f>
        <v>37</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433</v>
      </c>
      <c r="D328" t="s">
        <v>422</v>
      </c>
      <c r="E328" t="s">
        <v>405</v>
      </c>
      <c r="F328"/>
      <c r="G328">
        <v>2</v>
      </c>
      <c r="H328">
        <v>1000</v>
      </c>
      <c r="J328" cm="1">
        <f t="array" ref="J328">_xlfn.SWITCH(B328,1,75,2,61,3,49,4,37,5,25,6,13,7,4,8,1)</f>
        <v>25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433</v>
      </c>
      <c r="D329" t="s">
        <v>422</v>
      </c>
      <c r="E329" t="s">
        <v>405</v>
      </c>
      <c r="F329"/>
      <c r="G329">
        <v>2</v>
      </c>
      <c r="H329">
        <v>1000</v>
      </c>
      <c r="J329" cm="1">
        <f t="array" ref="J329">_xlfn.SWITCH(B329,1,75,2,61,3,49,4,37,5,25,6,13,7,4,8,1)</f>
        <v>13</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433</v>
      </c>
      <c r="D330" t="s">
        <v>422</v>
      </c>
      <c r="E330" t="s">
        <v>405</v>
      </c>
      <c r="F330"/>
      <c r="G330">
        <v>2</v>
      </c>
      <c r="H330">
        <v>1000</v>
      </c>
      <c r="J330" cm="1">
        <f t="array" ref="J330">_xlfn.SWITCH(B330,1,75,2,61,3,49,4,37,5,25,6,13,7,4,8,1)</f>
        <v>4</v>
      </c>
      <c r="K330" t="str" cm="1">
        <f t="array" ref="K330">IFERROR(_xlfn.SWITCH(L330,2,_xlfn.XLOOKUP(C330,[1]ModifierDes!$B:$B,[1]ModifierDes!$C:$C),3,_xlfn.XLOOKUP(C330,[1]StuntDes!$B:$B,[1]StuntDes!$C:$C)),"")</f>
        <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433</v>
      </c>
      <c r="D331" t="s">
        <v>422</v>
      </c>
      <c r="E331" t="s">
        <v>405</v>
      </c>
      <c r="F331"/>
      <c r="G331">
        <v>2</v>
      </c>
      <c r="H331">
        <v>1000</v>
      </c>
      <c r="J331" cm="1">
        <f t="array" ref="J331">_xlfn.SWITCH(B331,1,75,2,61,3,49,4,37,5,25,6,13,7,4,8,1)</f>
        <v>1</v>
      </c>
      <c r="K331" t="str" cm="1">
        <f t="array" ref="K331">IFERROR(_xlfn.SWITCH(L331,2,_xlfn.XLOOKUP(C331,[1]ModifierDes!$B:$B,[1]ModifierDes!$C:$C),3,_xlfn.XLOOKUP(C331,[1]StuntDes!$B:$B,[1]StuntDes!$C:$C)),"")</f>
        <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434</v>
      </c>
      <c r="D332" t="s">
        <v>422</v>
      </c>
      <c r="E332" t="s">
        <v>405</v>
      </c>
      <c r="F332"/>
      <c r="G332">
        <v>2</v>
      </c>
      <c r="H332">
        <v>1000</v>
      </c>
      <c r="J332" cm="1">
        <f t="array" ref="J332">_xlfn.SWITCH(B332,1,75,2,61,3,49,4,37,5,25,6,13,7,4,8,1)</f>
        <v>75</v>
      </c>
      <c r="K332" t="str" cm="1">
        <f t="array" ref="K332">IFERROR(_xlfn.SWITCH(L332,2,_xlfn.XLOOKUP(C332,[1]ModifierDes!$B:$B,[1]ModifierDes!$C:$C),3,_xlfn.XLOOKUP(C332,[1]StuntDes!$B:$B,[1]StuntDes!$C:$C)),"")</f>
        <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434</v>
      </c>
      <c r="D333" t="s">
        <v>422</v>
      </c>
      <c r="E333" t="s">
        <v>405</v>
      </c>
      <c r="F333"/>
      <c r="G333">
        <v>2</v>
      </c>
      <c r="H333">
        <v>1000</v>
      </c>
      <c r="J333" cm="1">
        <f t="array" ref="J333">_xlfn.SWITCH(B333,1,75,2,61,3,49,4,37,5,25,6,13,7,4,8,1)</f>
        <v>61</v>
      </c>
      <c r="K333" t="str" cm="1">
        <f t="array" ref="K333">IFERROR(_xlfn.SWITCH(L333,2,_xlfn.XLOOKUP(C333,[1]ModifierDes!$B:$B,[1]ModifierDes!$C:$C),3,_xlfn.XLOOKUP(C333,[1]StuntDes!$B:$B,[1]StuntDes!$C:$C)),"")</f>
        <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434</v>
      </c>
      <c r="D334" t="s">
        <v>422</v>
      </c>
      <c r="E334" t="s">
        <v>405</v>
      </c>
      <c r="F334"/>
      <c r="G334">
        <v>2</v>
      </c>
      <c r="H334">
        <v>1000</v>
      </c>
      <c r="J334" cm="1">
        <f t="array" ref="J334">_xlfn.SWITCH(B334,1,75,2,61,3,49,4,37,5,25,6,13,7,4,8,1)</f>
        <v>49</v>
      </c>
      <c r="K334" t="str" cm="1">
        <f t="array" ref="K334">IFERROR(_xlfn.SWITCH(L334,2,_xlfn.XLOOKUP(C334,[1]ModifierDes!$B:$B,[1]ModifierDes!$C:$C),3,_xlfn.XLOOKUP(C334,[1]StuntDes!$B:$B,[1]StuntDes!$C:$C)),"")</f>
        <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434</v>
      </c>
      <c r="D335" t="s">
        <v>422</v>
      </c>
      <c r="E335" t="s">
        <v>405</v>
      </c>
      <c r="F335"/>
      <c r="G335">
        <v>2</v>
      </c>
      <c r="H335">
        <v>1000</v>
      </c>
      <c r="J335" cm="1">
        <f t="array" ref="J335">_xlfn.SWITCH(B335,1,75,2,61,3,49,4,37,5,25,6,13,7,4,8,1)</f>
        <v>37</v>
      </c>
      <c r="K335" t="str" cm="1">
        <f t="array" ref="K335">IFERROR(_xlfn.SWITCH(L335,2,_xlfn.XLOOKUP(C335,[1]ModifierDes!$B:$B,[1]ModifierDes!$C:$C),3,_xlfn.XLOOKUP(C335,[1]StuntDes!$B:$B,[1]StuntDes!$C:$C)),"")</f>
        <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434</v>
      </c>
      <c r="D336" t="s">
        <v>422</v>
      </c>
      <c r="E336" t="s">
        <v>405</v>
      </c>
      <c r="F336"/>
      <c r="G336">
        <v>2</v>
      </c>
      <c r="H336">
        <v>1000</v>
      </c>
      <c r="J336" cm="1">
        <f t="array" ref="J336">_xlfn.SWITCH(B336,1,75,2,61,3,49,4,37,5,25,6,13,7,4,8,1)</f>
        <v>25</v>
      </c>
      <c r="K336" t="str" cm="1">
        <f t="array" ref="K336">IFERROR(_xlfn.SWITCH(L336,2,_xlfn.XLOOKUP(C336,[1]ModifierDes!$B:$B,[1]ModifierDes!$C:$C),3,_xlfn.XLOOKUP(C336,[1]StuntDes!$B:$B,[1]StuntDes!$C:$C)),"")</f>
        <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434</v>
      </c>
      <c r="D337" t="s">
        <v>422</v>
      </c>
      <c r="E337" t="s">
        <v>405</v>
      </c>
      <c r="F337"/>
      <c r="G337">
        <v>2</v>
      </c>
      <c r="H337">
        <v>1000</v>
      </c>
      <c r="J337" cm="1">
        <f t="array" ref="J337">_xlfn.SWITCH(B337,1,75,2,61,3,49,4,37,5,25,6,13,7,4,8,1)</f>
        <v>13</v>
      </c>
      <c r="K337" t="str" cm="1">
        <f t="array" ref="K337">IFERROR(_xlfn.SWITCH(L337,2,_xlfn.XLOOKUP(C337,[1]ModifierDes!$B:$B,[1]ModifierDes!$C:$C),3,_xlfn.XLOOKUP(C337,[1]StuntDes!$B:$B,[1]StuntDes!$C:$C)),"")</f>
        <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434</v>
      </c>
      <c r="D338" t="s">
        <v>422</v>
      </c>
      <c r="E338" t="s">
        <v>405</v>
      </c>
      <c r="F338"/>
      <c r="G338">
        <v>2</v>
      </c>
      <c r="H338">
        <v>1000</v>
      </c>
      <c r="J338" cm="1">
        <f t="array" ref="J338">_xlfn.SWITCH(B338,1,75,2,61,3,49,4,37,5,25,6,13,7,4,8,1)</f>
        <v>4</v>
      </c>
      <c r="K338" t="str" cm="1">
        <f t="array" ref="K338">IFERROR(_xlfn.SWITCH(L338,2,_xlfn.XLOOKUP(C338,[1]ModifierDes!$B:$B,[1]ModifierDes!$C:$C),3,_xlfn.XLOOKUP(C338,[1]StuntDes!$B:$B,[1]StuntDes!$C:$C)),"")</f>
        <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434</v>
      </c>
      <c r="D339" t="s">
        <v>422</v>
      </c>
      <c r="E339" t="s">
        <v>405</v>
      </c>
      <c r="F339"/>
      <c r="G339">
        <v>2</v>
      </c>
      <c r="H339">
        <v>1000</v>
      </c>
      <c r="J339" cm="1">
        <f t="array" ref="J339">_xlfn.SWITCH(B339,1,75,2,61,3,49,4,37,5,25,6,13,7,4,8,1)</f>
        <v>1</v>
      </c>
      <c r="K339" t="str" cm="1">
        <f t="array" ref="K339">IFERROR(_xlfn.SWITCH(L339,2,_xlfn.XLOOKUP(C339,[1]ModifierDes!$B:$B,[1]ModifierDes!$C:$C),3,_xlfn.XLOOKUP(C339,[1]StuntDes!$B:$B,[1]StuntDes!$C:$C)),"")</f>
        <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435</v>
      </c>
      <c r="D340" t="s">
        <v>422</v>
      </c>
      <c r="E340" t="s">
        <v>405</v>
      </c>
      <c r="F340"/>
      <c r="G340">
        <v>2</v>
      </c>
      <c r="H340">
        <v>1000</v>
      </c>
      <c r="J340" cm="1">
        <f t="array" ref="J340">_xlfn.SWITCH(B340,1,75,2,61,3,49,4,37,5,25,6,13,7,4,8,1)</f>
        <v>75</v>
      </c>
      <c r="K340" t="str" cm="1">
        <f t="array" ref="K340">IFERROR(_xlfn.SWITCH(L340,2,_xlfn.XLOOKUP(C340,[1]ModifierDes!$B:$B,[1]ModifierDes!$C:$C),3,_xlfn.XLOOKUP(C340,[1]StuntDes!$B:$B,[1]StuntDes!$C:$C)),"")</f>
        <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435</v>
      </c>
      <c r="D341" t="s">
        <v>422</v>
      </c>
      <c r="E341" t="s">
        <v>405</v>
      </c>
      <c r="F341"/>
      <c r="G341">
        <v>2</v>
      </c>
      <c r="H341">
        <v>1000</v>
      </c>
      <c r="J341" cm="1">
        <f t="array" ref="J341">_xlfn.SWITCH(B341,1,75,2,61,3,49,4,37,5,25,6,13,7,4,8,1)</f>
        <v>61</v>
      </c>
      <c r="K341" t="str" cm="1">
        <f t="array" ref="K341">IFERROR(_xlfn.SWITCH(L341,2,_xlfn.XLOOKUP(C341,[1]ModifierDes!$B:$B,[1]ModifierDes!$C:$C),3,_xlfn.XLOOKUP(C341,[1]StuntDes!$B:$B,[1]StuntDes!$C:$C)),"")</f>
        <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435</v>
      </c>
      <c r="D342" t="s">
        <v>422</v>
      </c>
      <c r="E342" t="s">
        <v>405</v>
      </c>
      <c r="F342"/>
      <c r="G342">
        <v>2</v>
      </c>
      <c r="H342">
        <v>1000</v>
      </c>
      <c r="J342" cm="1">
        <f t="array" ref="J342">_xlfn.SWITCH(B342,1,75,2,61,3,49,4,37,5,25,6,13,7,4,8,1)</f>
        <v>49</v>
      </c>
      <c r="K342" t="str" cm="1">
        <f t="array" ref="K342">IFERROR(_xlfn.SWITCH(L342,2,_xlfn.XLOOKUP(C342,[1]ModifierDes!$B:$B,[1]ModifierDes!$C:$C),3,_xlfn.XLOOKUP(C342,[1]StuntDes!$B:$B,[1]StuntDes!$C:$C)),"")</f>
        <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435</v>
      </c>
      <c r="D343" t="s">
        <v>422</v>
      </c>
      <c r="E343" t="s">
        <v>405</v>
      </c>
      <c r="F343"/>
      <c r="G343">
        <v>2</v>
      </c>
      <c r="H343">
        <v>1000</v>
      </c>
      <c r="J343" cm="1">
        <f t="array" ref="J343">_xlfn.SWITCH(B343,1,75,2,61,3,49,4,37,5,25,6,13,7,4,8,1)</f>
        <v>37</v>
      </c>
      <c r="K343" t="str" cm="1">
        <f t="array" ref="K343">IFERROR(_xlfn.SWITCH(L343,2,_xlfn.XLOOKUP(C343,[1]ModifierDes!$B:$B,[1]ModifierDes!$C:$C),3,_xlfn.XLOOKUP(C343,[1]StuntDes!$B:$B,[1]StuntDes!$C:$C)),"")</f>
        <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435</v>
      </c>
      <c r="D344" t="s">
        <v>422</v>
      </c>
      <c r="E344" t="s">
        <v>405</v>
      </c>
      <c r="F344"/>
      <c r="G344">
        <v>2</v>
      </c>
      <c r="H344">
        <v>1000</v>
      </c>
      <c r="J344" cm="1">
        <f t="array" ref="J344">_xlfn.SWITCH(B344,1,75,2,61,3,49,4,37,5,25,6,13,7,4,8,1)</f>
        <v>25</v>
      </c>
      <c r="K344" t="str" cm="1">
        <f t="array" ref="K344">IFERROR(_xlfn.SWITCH(L344,2,_xlfn.XLOOKUP(C344,[1]ModifierDes!$B:$B,[1]ModifierDes!$C:$C),3,_xlfn.XLOOKUP(C344,[1]StuntDes!$B:$B,[1]StuntDes!$C:$C)),"")</f>
        <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435</v>
      </c>
      <c r="D345" t="s">
        <v>422</v>
      </c>
      <c r="E345" t="s">
        <v>405</v>
      </c>
      <c r="F345"/>
      <c r="G345">
        <v>2</v>
      </c>
      <c r="H345">
        <v>1000</v>
      </c>
      <c r="J345" cm="1">
        <f t="array" ref="J345">_xlfn.SWITCH(B345,1,75,2,61,3,49,4,37,5,25,6,13,7,4,8,1)</f>
        <v>13</v>
      </c>
      <c r="K345" t="str" cm="1">
        <f t="array" ref="K345">IFERROR(_xlfn.SWITCH(L345,2,_xlfn.XLOOKUP(C345,[1]ModifierDes!$B:$B,[1]ModifierDes!$C:$C),3,_xlfn.XLOOKUP(C345,[1]StuntDes!$B:$B,[1]StuntDes!$C:$C)),"")</f>
        <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435</v>
      </c>
      <c r="D346" t="s">
        <v>422</v>
      </c>
      <c r="E346" t="s">
        <v>405</v>
      </c>
      <c r="F346"/>
      <c r="G346">
        <v>2</v>
      </c>
      <c r="H346">
        <v>1000</v>
      </c>
      <c r="J346" cm="1">
        <f t="array" ref="J346">_xlfn.SWITCH(B346,1,75,2,61,3,49,4,37,5,25,6,13,7,4,8,1)</f>
        <v>4</v>
      </c>
      <c r="K346" t="str" cm="1">
        <f t="array" ref="K346">IFERROR(_xlfn.SWITCH(L346,2,_xlfn.XLOOKUP(C346,[1]ModifierDes!$B:$B,[1]ModifierDes!$C:$C),3,_xlfn.XLOOKUP(C346,[1]StuntDes!$B:$B,[1]StuntDes!$C:$C)),"")</f>
        <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435</v>
      </c>
      <c r="D347" t="s">
        <v>422</v>
      </c>
      <c r="E347" t="s">
        <v>405</v>
      </c>
      <c r="F347"/>
      <c r="G347">
        <v>2</v>
      </c>
      <c r="H347">
        <v>1000</v>
      </c>
      <c r="J347" cm="1">
        <f t="array" ref="J347">_xlfn.SWITCH(B347,1,75,2,61,3,49,4,37,5,25,6,13,7,4,8,1)</f>
        <v>1</v>
      </c>
      <c r="K347" t="str" cm="1">
        <f t="array" ref="K347">IFERROR(_xlfn.SWITCH(L347,2,_xlfn.XLOOKUP(C347,[1]ModifierDes!$B:$B,[1]ModifierDes!$C:$C),3,_xlfn.XLOOKUP(C347,[1]StuntDes!$B:$B,[1]StuntDes!$C:$C)),"")</f>
        <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436</v>
      </c>
      <c r="D348" t="s">
        <v>422</v>
      </c>
      <c r="E348" t="s">
        <v>405</v>
      </c>
      <c r="F348"/>
      <c r="G348">
        <v>2</v>
      </c>
      <c r="H348">
        <v>250</v>
      </c>
      <c r="J348" cm="1">
        <f t="array" ref="J348">_xlfn.SWITCH(B348,1,75,2,61,3,49,4,37,5,25,6,13,7,4,8,1)</f>
        <v>75</v>
      </c>
      <c r="K348" t="str" cm="1">
        <f t="array" ref="K348">IFERROR(_xlfn.SWITCH(L348,2,_xlfn.XLOOKUP(C348,[1]ModifierDes!$B:$B,[1]ModifierDes!$C:$C),3,_xlfn.XLOOKUP(C348,[1]StuntDes!$B:$B,[1]StuntDes!$C:$C)),"")</f>
        <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436</v>
      </c>
      <c r="D349" t="s">
        <v>422</v>
      </c>
      <c r="E349" t="s">
        <v>405</v>
      </c>
      <c r="F349"/>
      <c r="G349">
        <v>2</v>
      </c>
      <c r="H349">
        <v>250</v>
      </c>
      <c r="J349" cm="1">
        <f t="array" ref="J349">_xlfn.SWITCH(B349,1,75,2,61,3,49,4,37,5,25,6,13,7,4,8,1)</f>
        <v>61</v>
      </c>
      <c r="K349" t="str" cm="1">
        <f t="array" ref="K349">IFERROR(_xlfn.SWITCH(L349,2,_xlfn.XLOOKUP(C349,[1]ModifierDes!$B:$B,[1]ModifierDes!$C:$C),3,_xlfn.XLOOKUP(C349,[1]StuntDes!$B:$B,[1]StuntDes!$C:$C)),"")</f>
        <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436</v>
      </c>
      <c r="D350" t="s">
        <v>422</v>
      </c>
      <c r="E350" t="s">
        <v>405</v>
      </c>
      <c r="F350"/>
      <c r="G350">
        <v>2</v>
      </c>
      <c r="H350">
        <v>250</v>
      </c>
      <c r="J350" cm="1">
        <f t="array" ref="J350">_xlfn.SWITCH(B350,1,75,2,61,3,49,4,37,5,25,6,13,7,4,8,1)</f>
        <v>49</v>
      </c>
      <c r="K350" t="str" cm="1">
        <f t="array" ref="K350">IFERROR(_xlfn.SWITCH(L350,2,_xlfn.XLOOKUP(C350,[1]ModifierDes!$B:$B,[1]ModifierDes!$C:$C),3,_xlfn.XLOOKUP(C350,[1]StuntDes!$B:$B,[1]StuntDes!$C:$C)),"")</f>
        <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436</v>
      </c>
      <c r="D351" t="s">
        <v>422</v>
      </c>
      <c r="E351" t="s">
        <v>405</v>
      </c>
      <c r="F351"/>
      <c r="G351">
        <v>2</v>
      </c>
      <c r="H351">
        <v>250</v>
      </c>
      <c r="J351" cm="1">
        <f t="array" ref="J351">_xlfn.SWITCH(B351,1,75,2,61,3,49,4,37,5,25,6,13,7,4,8,1)</f>
        <v>37</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436</v>
      </c>
      <c r="D352" t="s">
        <v>422</v>
      </c>
      <c r="E352" t="s">
        <v>405</v>
      </c>
      <c r="F352"/>
      <c r="G352">
        <v>2</v>
      </c>
      <c r="H352">
        <v>250</v>
      </c>
      <c r="J352" cm="1">
        <f t="array" ref="J352">_xlfn.SWITCH(B352,1,75,2,61,3,49,4,37,5,25,6,13,7,4,8,1)</f>
        <v>25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436</v>
      </c>
      <c r="D353" t="s">
        <v>422</v>
      </c>
      <c r="E353" t="s">
        <v>405</v>
      </c>
      <c r="F353"/>
      <c r="G353">
        <v>2</v>
      </c>
      <c r="H353">
        <v>250</v>
      </c>
      <c r="J353" cm="1">
        <f t="array" ref="J353">_xlfn.SWITCH(B353,1,75,2,61,3,49,4,37,5,25,6,13,7,4,8,1)</f>
        <v>13</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436</v>
      </c>
      <c r="D354" t="s">
        <v>422</v>
      </c>
      <c r="E354" t="s">
        <v>405</v>
      </c>
      <c r="F354"/>
      <c r="G354">
        <v>2</v>
      </c>
      <c r="H354">
        <v>250</v>
      </c>
      <c r="J354" cm="1">
        <f t="array" ref="J354">_xlfn.SWITCH(B354,1,75,2,61,3,49,4,37,5,25,6,13,7,4,8,1)</f>
        <v>4</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436</v>
      </c>
      <c r="D355" t="s">
        <v>422</v>
      </c>
      <c r="E355" t="s">
        <v>405</v>
      </c>
      <c r="F355"/>
      <c r="G355">
        <v>2</v>
      </c>
      <c r="H355">
        <v>250</v>
      </c>
      <c r="J355" cm="1">
        <f t="array" ref="J355">_xlfn.SWITCH(B355,1,75,2,61,3,49,4,37,5,25,6,13,7,4,8,1)</f>
        <v>1</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411</v>
      </c>
      <c r="D356" t="s">
        <v>422</v>
      </c>
      <c r="E356" t="s">
        <v>405</v>
      </c>
      <c r="F356"/>
      <c r="G356">
        <v>2</v>
      </c>
      <c r="H356">
        <v>100</v>
      </c>
      <c r="I356"/>
      <c r="J356" cm="1">
        <f t="array" ref="J356">_xlfn.SWITCH(B356,1,75,2,61,3,49,4,37,5,25,6,13,7,4,8,1)</f>
        <v>75</v>
      </c>
      <c r="K356" t="str" cm="1">
        <f t="array" ref="K356">IFERROR(_xlfn.SWITCH(L356,2,_xlfn.XLOOKUP(C356,[1]ModifierDes!$B:$B,[1]ModifierDes!$C:$C),3,_xlfn.XLOOKUP(C356,[1]StuntDes!$B:$B,[1]StuntDes!$C:$C)),"")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411</v>
      </c>
      <c r="D357" t="s">
        <v>422</v>
      </c>
      <c r="E357" t="s">
        <v>405</v>
      </c>
      <c r="F357"/>
      <c r="G357">
        <v>2</v>
      </c>
      <c r="H357">
        <v>200</v>
      </c>
      <c r="I357"/>
      <c r="J357" cm="1">
        <f t="array" ref="J357">_xlfn.SWITCH(B357,1,75,2,61,3,49,4,37,5,25,6,13,7,4,8,1)</f>
        <v>61</v>
      </c>
      <c r="K357" t="str" cm="1">
        <f t="array" ref="K357">IFERROR(_xlfn.SWITCH(L357,2,_xlfn.XLOOKUP(C357,[1]ModifierDes!$B:$B,[1]ModifierDes!$C:$C),3,_xlfn.XLOOKUP(C357,[1]StuntDes!$B:$B,[1]StuntDes!$C:$C)),"")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411</v>
      </c>
      <c r="D358" t="s">
        <v>422</v>
      </c>
      <c r="E358" t="s">
        <v>405</v>
      </c>
      <c r="F358"/>
      <c r="G358">
        <v>2</v>
      </c>
      <c r="H358">
        <v>400</v>
      </c>
      <c r="I358"/>
      <c r="J358" cm="1">
        <f t="array" ref="J358">_xlfn.SWITCH(B358,1,75,2,61,3,49,4,37,5,25,6,13,7,4,8,1)</f>
        <v>49</v>
      </c>
      <c r="K358" t="str" cm="1">
        <f t="array" ref="K358">IFERROR(_xlfn.SWITCH(L358,2,_xlfn.XLOOKUP(C358,[1]ModifierDes!$B:$B,[1]ModifierDes!$C:$C),3,_xlfn.XLOOKUP(C358,[1]StuntDes!$B:$B,[1]StuntDes!$C:$C)),"")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411</v>
      </c>
      <c r="D359" t="s">
        <v>422</v>
      </c>
      <c r="E359" t="s">
        <v>405</v>
      </c>
      <c r="F359"/>
      <c r="G359">
        <v>2</v>
      </c>
      <c r="H359">
        <v>600</v>
      </c>
      <c r="I359"/>
      <c r="J359" cm="1">
        <f t="array" ref="J359">_xlfn.SWITCH(B359,1,75,2,61,3,49,4,37,5,25,6,13,7,4,8,1)</f>
        <v>37</v>
      </c>
      <c r="K359" t="str" cm="1">
        <f t="array" ref="K359">IFERROR(_xlfn.SWITCH(L359,2,_xlfn.XLOOKUP(C359,[1]ModifierDes!$B:$B,[1]ModifierDes!$C:$C),3,_xlfn.XLOOKUP(C359,[1]StuntDes!$B:$B,[1]StuntDes!$C:$C)),"")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411</v>
      </c>
      <c r="D360" t="s">
        <v>422</v>
      </c>
      <c r="E360" t="s">
        <v>405</v>
      </c>
      <c r="F360"/>
      <c r="G360">
        <v>2</v>
      </c>
      <c r="H360">
        <v>800</v>
      </c>
      <c r="I360"/>
      <c r="J360" cm="1">
        <f t="array" ref="J360">_xlfn.SWITCH(B360,1,75,2,61,3,49,4,37,5,25,6,13,7,4,8,1)</f>
        <v>25</v>
      </c>
      <c r="K360" t="str" cm="1">
        <f t="array" ref="K360">IFERROR(_xlfn.SWITCH(L360,2,_xlfn.XLOOKUP(C360,[1]ModifierDes!$B:$B,[1]ModifierDes!$C:$C),3,_xlfn.XLOOKUP(C360,[1]StuntDes!$B:$B,[1]StuntDes!$C:$C)),"")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411</v>
      </c>
      <c r="D361" t="s">
        <v>422</v>
      </c>
      <c r="E361" t="s">
        <v>405</v>
      </c>
      <c r="F361"/>
      <c r="G361">
        <v>2</v>
      </c>
      <c r="H361">
        <v>1000</v>
      </c>
      <c r="I361"/>
      <c r="J361" cm="1">
        <f t="array" ref="J361">_xlfn.SWITCH(B361,1,75,2,61,3,49,4,37,5,25,6,13,7,4,8,1)</f>
        <v>13</v>
      </c>
      <c r="K361" t="str" cm="1">
        <f t="array" ref="K361">IFERROR(_xlfn.SWITCH(L361,2,_xlfn.XLOOKUP(C361,[1]ModifierDes!$B:$B,[1]ModifierDes!$C:$C),3,_xlfn.XLOOKUP(C361,[1]StuntDes!$B:$B,[1]StuntDes!$C:$C)),"")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411</v>
      </c>
      <c r="D362" t="s">
        <v>422</v>
      </c>
      <c r="E362" t="s">
        <v>405</v>
      </c>
      <c r="F362"/>
      <c r="G362">
        <v>2</v>
      </c>
      <c r="H362">
        <v>1000</v>
      </c>
      <c r="I362"/>
      <c r="J362" cm="1">
        <f t="array" ref="J362">_xlfn.SWITCH(B362,1,75,2,61,3,49,4,37,5,25,6,13,7,4,8,1)</f>
        <v>4</v>
      </c>
      <c r="K362" t="str" cm="1">
        <f t="array" ref="K362">IFERROR(_xlfn.SWITCH(L362,2,_xlfn.XLOOKUP(C362,[1]ModifierDes!$B:$B,[1]ModifierDes!$C:$C),3,_xlfn.XLOOKUP(C362,[1]StuntDes!$B:$B,[1]StuntDes!$C:$C)),"")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411</v>
      </c>
      <c r="D363" t="s">
        <v>422</v>
      </c>
      <c r="E363" t="s">
        <v>405</v>
      </c>
      <c r="F363"/>
      <c r="G363">
        <v>2</v>
      </c>
      <c r="H363">
        <v>1000</v>
      </c>
      <c r="I363"/>
      <c r="J363" cm="1">
        <f t="array" ref="J363">_xlfn.SWITCH(B363,1,75,2,61,3,49,4,37,5,25,6,13,7,4,8,1)</f>
        <v>1</v>
      </c>
      <c r="K363" t="str" cm="1">
        <f t="array" ref="K363">IFERROR(_xlfn.SWITCH(L363,2,_xlfn.XLOOKUP(C363,[1]ModifierDes!$B:$B,[1]ModifierDes!$C:$C),3,_xlfn.XLOOKUP(C363,[1]StuntDes!$B:$B,[1]StuntDes!$C:$C)),"")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437</v>
      </c>
      <c r="D364" t="s">
        <v>422</v>
      </c>
      <c r="E364" t="s">
        <v>405</v>
      </c>
      <c r="F364"/>
      <c r="G364">
        <v>2</v>
      </c>
      <c r="H364">
        <v>100</v>
      </c>
      <c r="I364"/>
      <c r="J364" cm="1">
        <f t="array" ref="J364">_xlfn.SWITCH(B364,1,75,2,61,3,49,4,37,5,25,6,13,7,4,8,1)</f>
        <v>75</v>
      </c>
      <c r="K364" t="str" cm="1">
        <f t="array" ref="K364">IFERROR(_xlfn.SWITCH(L364,2,_xlfn.XLOOKUP(C364,[1]ModifierDes!$B:$B,[1]ModifierDes!$C:$C),3,_xlfn.XLOOKUP(C364,[1]StuntDes!$B:$B,[1]StuntDes!$C:$C)),"")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437</v>
      </c>
      <c r="D365" t="s">
        <v>422</v>
      </c>
      <c r="E365" t="s">
        <v>405</v>
      </c>
      <c r="F365"/>
      <c r="G365">
        <v>2</v>
      </c>
      <c r="H365">
        <v>200</v>
      </c>
      <c r="I365"/>
      <c r="J365" cm="1">
        <f t="array" ref="J365">_xlfn.SWITCH(B365,1,75,2,61,3,49,4,37,5,25,6,13,7,4,8,1)</f>
        <v>61</v>
      </c>
      <c r="K365" t="str" cm="1">
        <f t="array" ref="K365">IFERROR(_xlfn.SWITCH(L365,2,_xlfn.XLOOKUP(C365,[1]ModifierDes!$B:$B,[1]ModifierDes!$C:$C),3,_xlfn.XLOOKUP(C365,[1]StuntDes!$B:$B,[1]StuntDes!$C:$C)),"")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437</v>
      </c>
      <c r="D366" t="s">
        <v>422</v>
      </c>
      <c r="E366" t="s">
        <v>405</v>
      </c>
      <c r="F366"/>
      <c r="G366">
        <v>2</v>
      </c>
      <c r="H366">
        <v>400</v>
      </c>
      <c r="I366"/>
      <c r="J366" cm="1">
        <f t="array" ref="J366">_xlfn.SWITCH(B366,1,75,2,61,3,49,4,37,5,25,6,13,7,4,8,1)</f>
        <v>49</v>
      </c>
      <c r="K366" t="str" cm="1">
        <f t="array" ref="K366">IFERROR(_xlfn.SWITCH(L366,2,_xlfn.XLOOKUP(C366,[1]ModifierDes!$B:$B,[1]ModifierDes!$C:$C),3,_xlfn.XLOOKUP(C366,[1]StuntDes!$B:$B,[1]StuntDes!$C:$C)),"")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437</v>
      </c>
      <c r="D367" t="s">
        <v>422</v>
      </c>
      <c r="E367" t="s">
        <v>405</v>
      </c>
      <c r="F367"/>
      <c r="G367">
        <v>2</v>
      </c>
      <c r="H367">
        <v>600</v>
      </c>
      <c r="I367"/>
      <c r="J367" cm="1">
        <f t="array" ref="J367">_xlfn.SWITCH(B367,1,75,2,61,3,49,4,37,5,25,6,13,7,4,8,1)</f>
        <v>37</v>
      </c>
      <c r="K367" t="str" cm="1">
        <f t="array" ref="K367">IFERROR(_xlfn.SWITCH(L367,2,_xlfn.XLOOKUP(C367,[1]ModifierDes!$B:$B,[1]ModifierDes!$C:$C),3,_xlfn.XLOOKUP(C367,[1]StuntDes!$B:$B,[1]StuntDes!$C:$C)),"")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437</v>
      </c>
      <c r="D368" t="s">
        <v>422</v>
      </c>
      <c r="E368" t="s">
        <v>405</v>
      </c>
      <c r="F368"/>
      <c r="G368">
        <v>2</v>
      </c>
      <c r="H368">
        <v>800</v>
      </c>
      <c r="I368"/>
      <c r="J368" cm="1">
        <f t="array" ref="J368">_xlfn.SWITCH(B368,1,75,2,61,3,49,4,37,5,25,6,13,7,4,8,1)</f>
        <v>25</v>
      </c>
      <c r="K368" t="str" cm="1">
        <f t="array" ref="K368">IFERROR(_xlfn.SWITCH(L368,2,_xlfn.XLOOKUP(C368,[1]ModifierDes!$B:$B,[1]ModifierDes!$C:$C),3,_xlfn.XLOOKUP(C368,[1]StuntDes!$B:$B,[1]StuntDes!$C:$C)),"")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437</v>
      </c>
      <c r="D369" t="s">
        <v>422</v>
      </c>
      <c r="E369" t="s">
        <v>405</v>
      </c>
      <c r="F369"/>
      <c r="G369">
        <v>2</v>
      </c>
      <c r="H369">
        <v>1000</v>
      </c>
      <c r="I369"/>
      <c r="J369" cm="1">
        <f t="array" ref="J369">_xlfn.SWITCH(B369,1,75,2,61,3,49,4,37,5,25,6,13,7,4,8,1)</f>
        <v>13</v>
      </c>
      <c r="K369" t="str" cm="1">
        <f t="array" ref="K369">IFERROR(_xlfn.SWITCH(L369,2,_xlfn.XLOOKUP(C369,[1]ModifierDes!$B:$B,[1]ModifierDes!$C:$C),3,_xlfn.XLOOKUP(C369,[1]StuntDes!$B:$B,[1]StuntDes!$C:$C)),"")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437</v>
      </c>
      <c r="D370" t="s">
        <v>422</v>
      </c>
      <c r="E370" t="s">
        <v>405</v>
      </c>
      <c r="F370"/>
      <c r="G370">
        <v>2</v>
      </c>
      <c r="H370">
        <v>1000</v>
      </c>
      <c r="I370"/>
      <c r="J370" cm="1">
        <f t="array" ref="J370">_xlfn.SWITCH(B370,1,75,2,61,3,49,4,37,5,25,6,13,7,4,8,1)</f>
        <v>4</v>
      </c>
      <c r="K370" t="str" cm="1">
        <f t="array" ref="K370">IFERROR(_xlfn.SWITCH(L370,2,_xlfn.XLOOKUP(C370,[1]ModifierDes!$B:$B,[1]ModifierDes!$C:$C),3,_xlfn.XLOOKUP(C370,[1]StuntDes!$B:$B,[1]StuntDes!$C:$C)),"")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437</v>
      </c>
      <c r="D371" t="s">
        <v>422</v>
      </c>
      <c r="E371" t="s">
        <v>405</v>
      </c>
      <c r="F371"/>
      <c r="G371">
        <v>2</v>
      </c>
      <c r="H371">
        <v>1000</v>
      </c>
      <c r="I371"/>
      <c r="J371" cm="1">
        <f t="array" ref="J371">_xlfn.SWITCH(B371,1,75,2,61,3,49,4,37,5,25,6,13,7,4,8,1)</f>
        <v>1</v>
      </c>
      <c r="K371" t="str" cm="1">
        <f t="array" ref="K371">IFERROR(_xlfn.SWITCH(L371,2,_xlfn.XLOOKUP(C371,[1]ModifierDes!$B:$B,[1]ModifierDes!$C:$C),3,_xlfn.XLOOKUP(C371,[1]StuntDes!$B:$B,[1]StuntDes!$C:$C)),"")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412</v>
      </c>
      <c r="D372" t="s">
        <v>422</v>
      </c>
      <c r="E372" t="s">
        <v>405</v>
      </c>
      <c r="F372"/>
      <c r="G372">
        <v>2</v>
      </c>
      <c r="H372">
        <v>100</v>
      </c>
      <c r="I372"/>
      <c r="J372" cm="1">
        <f t="array" ref="J372">_xlfn.SWITCH(B372,1,75,2,61,3,49,4,37,5,25,6,13,7,4,8,1)</f>
        <v>75</v>
      </c>
      <c r="K372" t="str" cm="1">
        <f t="array" ref="K372">IFERROR(_xlfn.SWITCH(L372,2,_xlfn.XLOOKUP(C372,[1]ModifierDes!$B:$B,[1]ModifierDes!$C:$C),3,_xlfn.XLOOKUP(C372,[1]StuntDes!$B:$B,[1]StuntDes!$C:$C)),"")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412</v>
      </c>
      <c r="D373" t="s">
        <v>422</v>
      </c>
      <c r="E373" t="s">
        <v>405</v>
      </c>
      <c r="F373"/>
      <c r="G373">
        <v>2</v>
      </c>
      <c r="H373">
        <v>200</v>
      </c>
      <c r="I373"/>
      <c r="J373" cm="1">
        <f t="array" ref="J373">_xlfn.SWITCH(B373,1,75,2,61,3,49,4,37,5,25,6,13,7,4,8,1)</f>
        <v>61</v>
      </c>
      <c r="K373" t="str" cm="1">
        <f t="array" ref="K373">IFERROR(_xlfn.SWITCH(L373,2,_xlfn.XLOOKUP(C373,[1]ModifierDes!$B:$B,[1]ModifierDes!$C:$C),3,_xlfn.XLOOKUP(C373,[1]StuntDes!$B:$B,[1]StuntDes!$C:$C)),"")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412</v>
      </c>
      <c r="D374" t="s">
        <v>422</v>
      </c>
      <c r="E374" t="s">
        <v>405</v>
      </c>
      <c r="F374"/>
      <c r="G374">
        <v>2</v>
      </c>
      <c r="H374">
        <v>400</v>
      </c>
      <c r="I374"/>
      <c r="J374" cm="1">
        <f t="array" ref="J374">_xlfn.SWITCH(B374,1,75,2,61,3,49,4,37,5,25,6,13,7,4,8,1)</f>
        <v>49</v>
      </c>
      <c r="K374" t="str" cm="1">
        <f t="array" ref="K374">IFERROR(_xlfn.SWITCH(L374,2,_xlfn.XLOOKUP(C374,[1]ModifierDes!$B:$B,[1]ModifierDes!$C:$C),3,_xlfn.XLOOKUP(C374,[1]StuntDes!$B:$B,[1]StuntDes!$C:$C)),"")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412</v>
      </c>
      <c r="D375" t="s">
        <v>422</v>
      </c>
      <c r="E375" t="s">
        <v>405</v>
      </c>
      <c r="F375"/>
      <c r="G375">
        <v>2</v>
      </c>
      <c r="H375">
        <v>600</v>
      </c>
      <c r="I375"/>
      <c r="J375" cm="1">
        <f t="array" ref="J375">_xlfn.SWITCH(B375,1,75,2,61,3,49,4,37,5,25,6,13,7,4,8,1)</f>
        <v>37</v>
      </c>
      <c r="K375" t="str" cm="1">
        <f t="array" ref="K375">IFERROR(_xlfn.SWITCH(L375,2,_xlfn.XLOOKUP(C375,[1]ModifierDes!$B:$B,[1]ModifierDes!$C:$C),3,_xlfn.XLOOKUP(C375,[1]StuntDes!$B:$B,[1]StuntDes!$C:$C)),"")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412</v>
      </c>
      <c r="D376" t="s">
        <v>422</v>
      </c>
      <c r="E376" t="s">
        <v>405</v>
      </c>
      <c r="F376"/>
      <c r="G376">
        <v>2</v>
      </c>
      <c r="H376">
        <v>800</v>
      </c>
      <c r="I376"/>
      <c r="J376" cm="1">
        <f t="array" ref="J376">_xlfn.SWITCH(B376,1,75,2,61,3,49,4,37,5,25,6,13,7,4,8,1)</f>
        <v>25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412</v>
      </c>
      <c r="D377" t="s">
        <v>422</v>
      </c>
      <c r="E377" t="s">
        <v>405</v>
      </c>
      <c r="F377"/>
      <c r="G377">
        <v>2</v>
      </c>
      <c r="H377">
        <v>1000</v>
      </c>
      <c r="I377"/>
      <c r="J377" cm="1">
        <f t="array" ref="J377">_xlfn.SWITCH(B377,1,75,2,61,3,49,4,37,5,25,6,13,7,4,8,1)</f>
        <v>13</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412</v>
      </c>
      <c r="D378" t="s">
        <v>422</v>
      </c>
      <c r="E378" t="s">
        <v>405</v>
      </c>
      <c r="F378"/>
      <c r="G378">
        <v>2</v>
      </c>
      <c r="H378">
        <v>1000</v>
      </c>
      <c r="I378"/>
      <c r="J378" cm="1">
        <f t="array" ref="J378">_xlfn.SWITCH(B378,1,75,2,61,3,49,4,37,5,25,6,13,7,4,8,1)</f>
        <v>4</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412</v>
      </c>
      <c r="D379" t="s">
        <v>422</v>
      </c>
      <c r="E379" t="s">
        <v>405</v>
      </c>
      <c r="F379"/>
      <c r="G379">
        <v>2</v>
      </c>
      <c r="H379">
        <v>1000</v>
      </c>
      <c r="I379"/>
      <c r="J379" cm="1">
        <f t="array" ref="J379">_xlfn.SWITCH(B379,1,75,2,61,3,49,4,37,5,25,6,13,7,4,8,1)</f>
        <v>1</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438</v>
      </c>
      <c r="D380" t="s">
        <v>422</v>
      </c>
      <c r="E380" t="s">
        <v>405</v>
      </c>
      <c r="F380"/>
      <c r="G380">
        <v>2</v>
      </c>
      <c r="H380">
        <v>100</v>
      </c>
      <c r="I380"/>
      <c r="J380" cm="1">
        <f t="array" ref="J380">_xlfn.SWITCH(B380,1,75,2,61,3,49,4,37,5,25,6,13,7,4,8,1)</f>
        <v>75</v>
      </c>
      <c r="K380" t="str" cm="1">
        <f t="array" ref="K380">IFERROR(_xlfn.SWITCH(L380,2,_xlfn.XLOOKUP(C380,[1]ModifierDes!$B:$B,[1]ModifierDes!$C:$C),3,_xlfn.XLOOKUP(C380,[1]StuntDes!$B:$B,[1]StuntDes!$C:$C)),"")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438</v>
      </c>
      <c r="D381" t="s">
        <v>422</v>
      </c>
      <c r="E381" t="s">
        <v>405</v>
      </c>
      <c r="F381"/>
      <c r="G381">
        <v>2</v>
      </c>
      <c r="H381">
        <v>200</v>
      </c>
      <c r="I381"/>
      <c r="J381" cm="1">
        <f t="array" ref="J381">_xlfn.SWITCH(B381,1,75,2,61,3,49,4,37,5,25,6,13,7,4,8,1)</f>
        <v>61</v>
      </c>
      <c r="K381" t="str" cm="1">
        <f t="array" ref="K381">IFERROR(_xlfn.SWITCH(L381,2,_xlfn.XLOOKUP(C381,[1]ModifierDes!$B:$B,[1]ModifierDes!$C:$C),3,_xlfn.XLOOKUP(C381,[1]StuntDes!$B:$B,[1]StuntDes!$C:$C)),"")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438</v>
      </c>
      <c r="D382" t="s">
        <v>422</v>
      </c>
      <c r="E382" t="s">
        <v>405</v>
      </c>
      <c r="F382"/>
      <c r="G382">
        <v>2</v>
      </c>
      <c r="H382">
        <v>400</v>
      </c>
      <c r="I382"/>
      <c r="J382" cm="1">
        <f t="array" ref="J382">_xlfn.SWITCH(B382,1,75,2,61,3,49,4,37,5,25,6,13,7,4,8,1)</f>
        <v>49</v>
      </c>
      <c r="K382" t="str" cm="1">
        <f t="array" ref="K382">IFERROR(_xlfn.SWITCH(L382,2,_xlfn.XLOOKUP(C382,[1]ModifierDes!$B:$B,[1]ModifierDes!$C:$C),3,_xlfn.XLOOKUP(C382,[1]StuntDes!$B:$B,[1]StuntDes!$C:$C)),"")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438</v>
      </c>
      <c r="D383" t="s">
        <v>422</v>
      </c>
      <c r="E383" t="s">
        <v>405</v>
      </c>
      <c r="F383"/>
      <c r="G383">
        <v>2</v>
      </c>
      <c r="H383">
        <v>600</v>
      </c>
      <c r="I383"/>
      <c r="J383" cm="1">
        <f t="array" ref="J383">_xlfn.SWITCH(B383,1,75,2,61,3,49,4,37,5,25,6,13,7,4,8,1)</f>
        <v>37</v>
      </c>
      <c r="K383" t="str" cm="1">
        <f t="array" ref="K383">IFERROR(_xlfn.SWITCH(L383,2,_xlfn.XLOOKUP(C383,[1]ModifierDes!$B:$B,[1]ModifierDes!$C:$C),3,_xlfn.XLOOKUP(C383,[1]StuntDes!$B:$B,[1]StuntDes!$C:$C)),"")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438</v>
      </c>
      <c r="D384" t="s">
        <v>422</v>
      </c>
      <c r="E384" t="s">
        <v>405</v>
      </c>
      <c r="F384"/>
      <c r="G384">
        <v>2</v>
      </c>
      <c r="H384">
        <v>800</v>
      </c>
      <c r="I384"/>
      <c r="J384" cm="1">
        <f t="array" ref="J384">_xlfn.SWITCH(B384,1,75,2,61,3,49,4,37,5,25,6,13,7,4,8,1)</f>
        <v>25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438</v>
      </c>
      <c r="D385" t="s">
        <v>422</v>
      </c>
      <c r="E385" t="s">
        <v>405</v>
      </c>
      <c r="F385"/>
      <c r="G385">
        <v>2</v>
      </c>
      <c r="H385">
        <v>1000</v>
      </c>
      <c r="I385"/>
      <c r="J385" cm="1">
        <f t="array" ref="J385">_xlfn.SWITCH(B385,1,75,2,61,3,49,4,37,5,25,6,13,7,4,8,1)</f>
        <v>13</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438</v>
      </c>
      <c r="D386" t="s">
        <v>422</v>
      </c>
      <c r="E386" t="s">
        <v>405</v>
      </c>
      <c r="F386"/>
      <c r="G386">
        <v>2</v>
      </c>
      <c r="H386">
        <v>1000</v>
      </c>
      <c r="I386"/>
      <c r="J386" cm="1">
        <f t="array" ref="J386">_xlfn.SWITCH(B386,1,75,2,61,3,49,4,37,5,25,6,13,7,4,8,1)</f>
        <v>4</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438</v>
      </c>
      <c r="D387" t="s">
        <v>422</v>
      </c>
      <c r="E387" t="s">
        <v>405</v>
      </c>
      <c r="F387"/>
      <c r="G387">
        <v>2</v>
      </c>
      <c r="H387">
        <v>1000</v>
      </c>
      <c r="I387"/>
      <c r="J387" cm="1">
        <f t="array" ref="J387">_xlfn.SWITCH(B387,1,75,2,61,3,49,4,37,5,25,6,13,7,4,8,1)</f>
        <v>1</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398</v>
      </c>
      <c r="D388" t="s">
        <v>422</v>
      </c>
      <c r="E388" t="s">
        <v>405</v>
      </c>
      <c r="G388">
        <v>2</v>
      </c>
      <c r="H388">
        <v>1000</v>
      </c>
      <c r="J388" cm="1">
        <f t="array" ref="J388">_xlfn.SWITCH(B388,1,75,2,61,3,49,4,37,5,25,6,13,7,4,8,1)</f>
        <v>75</v>
      </c>
      <c r="K388" t="str" cm="1">
        <f t="array" ref="K388">IFERROR(_xlfn.SWITCH(L388,2,_xlfn.XLOOKUP(C388,[1]ModifierDes!$B:$B,[1]ModifierDes!$C:$C),3,_xlfn.XLOOKUP(C388,[1]StuntDes!$B:$B,[1]StuntDes!$C:$C)),"")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398</v>
      </c>
      <c r="D389" t="s">
        <v>422</v>
      </c>
      <c r="E389" t="s">
        <v>405</v>
      </c>
      <c r="G389">
        <v>2</v>
      </c>
      <c r="H389">
        <v>1000</v>
      </c>
      <c r="J389" cm="1">
        <f t="array" ref="J389">_xlfn.SWITCH(B389,1,75,2,61,3,49,4,37,5,25,6,13,7,4,8,1)</f>
        <v>61</v>
      </c>
      <c r="K389" t="str" cm="1">
        <f t="array" ref="K389">IFERROR(_xlfn.SWITCH(L389,2,_xlfn.XLOOKUP(C389,[1]ModifierDes!$B:$B,[1]ModifierDes!$C:$C),3,_xlfn.XLOOKUP(C389,[1]StuntDes!$B:$B,[1]StuntDes!$C:$C)),"")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398</v>
      </c>
      <c r="D390" t="s">
        <v>422</v>
      </c>
      <c r="E390" t="s">
        <v>405</v>
      </c>
      <c r="G390">
        <v>2</v>
      </c>
      <c r="H390">
        <v>1000</v>
      </c>
      <c r="J390" cm="1">
        <f t="array" ref="J390">_xlfn.SWITCH(B390,1,75,2,61,3,49,4,37,5,25,6,13,7,4,8,1)</f>
        <v>49</v>
      </c>
      <c r="K390" t="str" cm="1">
        <f t="array" ref="K390">IFERROR(_xlfn.SWITCH(L390,2,_xlfn.XLOOKUP(C390,[1]ModifierDes!$B:$B,[1]ModifierDes!$C:$C),3,_xlfn.XLOOKUP(C390,[1]StuntDes!$B:$B,[1]StuntDes!$C:$C)),"")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398</v>
      </c>
      <c r="D391" t="s">
        <v>422</v>
      </c>
      <c r="E391" t="s">
        <v>405</v>
      </c>
      <c r="G391">
        <v>2</v>
      </c>
      <c r="H391">
        <v>1000</v>
      </c>
      <c r="J391" cm="1">
        <f t="array" ref="J391">_xlfn.SWITCH(B391,1,75,2,61,3,49,4,37,5,25,6,13,7,4,8,1)</f>
        <v>37</v>
      </c>
      <c r="K391" t="str" cm="1">
        <f t="array" ref="K391">IFERROR(_xlfn.SWITCH(L391,2,_xlfn.XLOOKUP(C391,[1]ModifierDes!$B:$B,[1]ModifierDes!$C:$C),3,_xlfn.XLOOKUP(C391,[1]StuntDes!$B:$B,[1]StuntDes!$C:$C)),"")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398</v>
      </c>
      <c r="D392" t="s">
        <v>422</v>
      </c>
      <c r="E392" t="s">
        <v>405</v>
      </c>
      <c r="G392">
        <v>2</v>
      </c>
      <c r="H392">
        <v>1000</v>
      </c>
      <c r="J392" cm="1">
        <f t="array" ref="J392">_xlfn.SWITCH(B392,1,75,2,61,3,49,4,37,5,25,6,13,7,4,8,1)</f>
        <v>25</v>
      </c>
      <c r="K392" t="str" cm="1">
        <f t="array" ref="K392">IFERROR(_xlfn.SWITCH(L392,2,_xlfn.XLOOKUP(C392,[1]ModifierDes!$B:$B,[1]ModifierDes!$C:$C),3,_xlfn.XLOOKUP(C392,[1]StuntDes!$B:$B,[1]StuntDes!$C:$C)),"")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398</v>
      </c>
      <c r="D393" t="s">
        <v>422</v>
      </c>
      <c r="E393" t="s">
        <v>405</v>
      </c>
      <c r="G393">
        <v>2</v>
      </c>
      <c r="H393">
        <v>1000</v>
      </c>
      <c r="J393" cm="1">
        <f t="array" ref="J393">_xlfn.SWITCH(B393,1,75,2,61,3,49,4,37,5,25,6,13,7,4,8,1)</f>
        <v>13</v>
      </c>
      <c r="K393" t="str" cm="1">
        <f t="array" ref="K393">IFERROR(_xlfn.SWITCH(L393,2,_xlfn.XLOOKUP(C393,[1]ModifierDes!$B:$B,[1]ModifierDes!$C:$C),3,_xlfn.XLOOKUP(C393,[1]StuntDes!$B:$B,[1]StuntDes!$C:$C)),"")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398</v>
      </c>
      <c r="D394" t="s">
        <v>422</v>
      </c>
      <c r="E394" t="s">
        <v>405</v>
      </c>
      <c r="G394">
        <v>2</v>
      </c>
      <c r="H394">
        <v>1000</v>
      </c>
      <c r="J394" cm="1">
        <f t="array" ref="J394">_xlfn.SWITCH(B394,1,75,2,61,3,49,4,37,5,25,6,13,7,4,8,1)</f>
        <v>4</v>
      </c>
      <c r="K394" t="str" cm="1">
        <f t="array" ref="K394">IFERROR(_xlfn.SWITCH(L394,2,_xlfn.XLOOKUP(C394,[1]ModifierDes!$B:$B,[1]ModifierDes!$C:$C),3,_xlfn.XLOOKUP(C394,[1]StuntDes!$B:$B,[1]StuntDes!$C:$C)),"")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398</v>
      </c>
      <c r="D395" t="s">
        <v>422</v>
      </c>
      <c r="E395" t="s">
        <v>405</v>
      </c>
      <c r="G395">
        <v>2</v>
      </c>
      <c r="H395">
        <v>1000</v>
      </c>
      <c r="J395" cm="1">
        <f t="array" ref="J395">_xlfn.SWITCH(B395,1,75,2,61,3,49,4,37,5,25,6,13,7,4,8,1)</f>
        <v>1</v>
      </c>
      <c r="K395" t="str" cm="1">
        <f t="array" ref="K395">IFERROR(_xlfn.SWITCH(L395,2,_xlfn.XLOOKUP(C395,[1]ModifierDes!$B:$B,[1]ModifierDes!$C:$C),3,_xlfn.XLOOKUP(C395,[1]StuntDes!$B:$B,[1]StuntDes!$C:$C)),"")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439</v>
      </c>
      <c r="D396" t="s">
        <v>422</v>
      </c>
      <c r="E396" t="s">
        <v>405</v>
      </c>
      <c r="F396"/>
      <c r="G396">
        <v>2</v>
      </c>
      <c r="H396">
        <v>1000</v>
      </c>
      <c r="I396"/>
      <c r="J396" cm="1">
        <f t="array" ref="J396">_xlfn.SWITCH(B396,1,75,2,61,3,49,4,37,5,25,6,13,7,4,8,1)</f>
        <v>75</v>
      </c>
      <c r="K396" t="str" cm="1">
        <f t="array" ref="K396">IFERROR(_xlfn.SWITCH(L396,2,_xlfn.XLOOKUP(C396,[1]ModifierDes!$B:$B,[1]ModifierDes!$C:$C),3,_xlfn.XLOOKUP(C396,[1]StuntDes!$B:$B,[1]StuntDes!$C:$C)),"")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439</v>
      </c>
      <c r="D397" t="s">
        <v>422</v>
      </c>
      <c r="E397" t="s">
        <v>405</v>
      </c>
      <c r="F397"/>
      <c r="G397">
        <v>2</v>
      </c>
      <c r="H397">
        <v>1000</v>
      </c>
      <c r="I397"/>
      <c r="J397" cm="1">
        <f t="array" ref="J397">_xlfn.SWITCH(B397,1,75,2,61,3,49,4,37,5,25,6,13,7,4,8,1)</f>
        <v>61</v>
      </c>
      <c r="K397" t="str" cm="1">
        <f t="array" ref="K397">IFERROR(_xlfn.SWITCH(L397,2,_xlfn.XLOOKUP(C397,[1]ModifierDes!$B:$B,[1]ModifierDes!$C:$C),3,_xlfn.XLOOKUP(C397,[1]StuntDes!$B:$B,[1]StuntDes!$C:$C)),"")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439</v>
      </c>
      <c r="D398" t="s">
        <v>422</v>
      </c>
      <c r="E398" t="s">
        <v>405</v>
      </c>
      <c r="F398"/>
      <c r="G398">
        <v>2</v>
      </c>
      <c r="H398">
        <v>1000</v>
      </c>
      <c r="I398"/>
      <c r="J398" cm="1">
        <f t="array" ref="J398">_xlfn.SWITCH(B398,1,75,2,61,3,49,4,37,5,25,6,13,7,4,8,1)</f>
        <v>49</v>
      </c>
      <c r="K398" t="str" cm="1">
        <f t="array" ref="K398">IFERROR(_xlfn.SWITCH(L398,2,_xlfn.XLOOKUP(C398,[1]ModifierDes!$B:$B,[1]ModifierDes!$C:$C),3,_xlfn.XLOOKUP(C398,[1]StuntDes!$B:$B,[1]StuntDes!$C:$C)),"")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439</v>
      </c>
      <c r="D399" t="s">
        <v>422</v>
      </c>
      <c r="E399" t="s">
        <v>405</v>
      </c>
      <c r="F399"/>
      <c r="G399">
        <v>2</v>
      </c>
      <c r="H399">
        <v>1000</v>
      </c>
      <c r="I399"/>
      <c r="J399" cm="1">
        <f t="array" ref="J399">_xlfn.SWITCH(B399,1,75,2,61,3,49,4,37,5,25,6,13,7,4,8,1)</f>
        <v>37</v>
      </c>
      <c r="K399" t="str" cm="1">
        <f t="array" ref="K399">IFERROR(_xlfn.SWITCH(L399,2,_xlfn.XLOOKUP(C399,[1]ModifierDes!$B:$B,[1]ModifierDes!$C:$C),3,_xlfn.XLOOKUP(C399,[1]StuntDes!$B:$B,[1]StuntDes!$C:$C)),"")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439</v>
      </c>
      <c r="D400" t="s">
        <v>422</v>
      </c>
      <c r="E400" t="s">
        <v>405</v>
      </c>
      <c r="F400"/>
      <c r="G400">
        <v>2</v>
      </c>
      <c r="H400">
        <v>1000</v>
      </c>
      <c r="I400"/>
      <c r="J400" cm="1">
        <f t="array" ref="J400">_xlfn.SWITCH(B400,1,75,2,61,3,49,4,37,5,25,6,13,7,4,8,1)</f>
        <v>25</v>
      </c>
      <c r="K400" t="str" cm="1">
        <f t="array" ref="K400">IFERROR(_xlfn.SWITCH(L400,2,_xlfn.XLOOKUP(C400,[1]ModifierDes!$B:$B,[1]ModifierDes!$C:$C),3,_xlfn.XLOOKUP(C400,[1]StuntDes!$B:$B,[1]StuntDes!$C:$C)),"")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439</v>
      </c>
      <c r="D401" t="s">
        <v>422</v>
      </c>
      <c r="E401" t="s">
        <v>405</v>
      </c>
      <c r="F401"/>
      <c r="G401">
        <v>2</v>
      </c>
      <c r="H401">
        <v>1000</v>
      </c>
      <c r="I401"/>
      <c r="J401" cm="1">
        <f t="array" ref="J401">_xlfn.SWITCH(B401,1,75,2,61,3,49,4,37,5,25,6,13,7,4,8,1)</f>
        <v>13</v>
      </c>
      <c r="K401" t="str" cm="1">
        <f t="array" ref="K401">IFERROR(_xlfn.SWITCH(L401,2,_xlfn.XLOOKUP(C401,[1]ModifierDes!$B:$B,[1]ModifierDes!$C:$C),3,_xlfn.XLOOKUP(C401,[1]StuntDes!$B:$B,[1]StuntDes!$C:$C)),"")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439</v>
      </c>
      <c r="D402" t="s">
        <v>422</v>
      </c>
      <c r="E402" t="s">
        <v>405</v>
      </c>
      <c r="F402"/>
      <c r="G402">
        <v>2</v>
      </c>
      <c r="H402">
        <v>1000</v>
      </c>
      <c r="I402"/>
      <c r="J402" cm="1">
        <f t="array" ref="J402">_xlfn.SWITCH(B402,1,75,2,61,3,49,4,37,5,25,6,13,7,4,8,1)</f>
        <v>4</v>
      </c>
      <c r="K402" t="str" cm="1">
        <f t="array" ref="K402">IFERROR(_xlfn.SWITCH(L402,2,_xlfn.XLOOKUP(C402,[1]ModifierDes!$B:$B,[1]ModifierDes!$C:$C),3,_xlfn.XLOOKUP(C402,[1]StuntDes!$B:$B,[1]StuntDes!$C:$C)),"")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439</v>
      </c>
      <c r="D403" t="s">
        <v>422</v>
      </c>
      <c r="E403" t="s">
        <v>405</v>
      </c>
      <c r="F403"/>
      <c r="G403">
        <v>2</v>
      </c>
      <c r="H403">
        <v>1000</v>
      </c>
      <c r="I403"/>
      <c r="J403" cm="1">
        <f t="array" ref="J403">_xlfn.SWITCH(B403,1,75,2,61,3,49,4,37,5,25,6,13,7,4,8,1)</f>
        <v>1</v>
      </c>
      <c r="K403" t="str" cm="1">
        <f t="array" ref="K403">IFERROR(_xlfn.SWITCH(L403,2,_xlfn.XLOOKUP(C403,[1]ModifierDes!$B:$B,[1]ModifierDes!$C:$C),3,_xlfn.XLOOKUP(C403,[1]StuntDes!$B:$B,[1]StuntDes!$C:$C)),"")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419</v>
      </c>
      <c r="D404" t="s">
        <v>422</v>
      </c>
      <c r="E404" t="s">
        <v>405</v>
      </c>
      <c r="G404">
        <v>2</v>
      </c>
      <c r="H404">
        <v>1000</v>
      </c>
      <c r="J404" cm="1">
        <f t="array" ref="J404">_xlfn.SWITCH(B404,1,75,2,61,3,49,4,37,5,25,6,13,7,4,8,1)</f>
        <v>75</v>
      </c>
      <c r="K404" t="str" cm="1">
        <f t="array" ref="K404">IFERROR(_xlfn.SWITCH(L404,2,_xlfn.XLOOKUP(C404,[1]ModifierDes!$B:$B,[1]ModifierDes!$C:$C),3,_xlfn.XLOOKUP(C404,[1]StuntDes!$B:$B,[1]StuntDes!$C:$C)),"")</f>
        <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419</v>
      </c>
      <c r="D405" t="s">
        <v>422</v>
      </c>
      <c r="E405" t="s">
        <v>405</v>
      </c>
      <c r="G405">
        <v>2</v>
      </c>
      <c r="H405">
        <v>1000</v>
      </c>
      <c r="J405" cm="1">
        <f t="array" ref="J405">_xlfn.SWITCH(B405,1,75,2,61,3,49,4,37,5,25,6,13,7,4,8,1)</f>
        <v>61</v>
      </c>
      <c r="K405" t="str" cm="1">
        <f t="array" ref="K405">IFERROR(_xlfn.SWITCH(L405,2,_xlfn.XLOOKUP(C405,[1]ModifierDes!$B:$B,[1]ModifierDes!$C:$C),3,_xlfn.XLOOKUP(C405,[1]StuntDes!$B:$B,[1]StuntDes!$C:$C)),"")</f>
        <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419</v>
      </c>
      <c r="D406" t="s">
        <v>422</v>
      </c>
      <c r="E406" t="s">
        <v>405</v>
      </c>
      <c r="G406">
        <v>2</v>
      </c>
      <c r="H406">
        <v>1000</v>
      </c>
      <c r="J406" cm="1">
        <f t="array" ref="J406">_xlfn.SWITCH(B406,1,75,2,61,3,49,4,37,5,25,6,13,7,4,8,1)</f>
        <v>49</v>
      </c>
      <c r="K406" t="str" cm="1">
        <f t="array" ref="K406">IFERROR(_xlfn.SWITCH(L406,2,_xlfn.XLOOKUP(C406,[1]ModifierDes!$B:$B,[1]ModifierDes!$C:$C),3,_xlfn.XLOOKUP(C406,[1]StuntDes!$B:$B,[1]StuntDes!$C:$C)),"")</f>
        <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419</v>
      </c>
      <c r="D407" t="s">
        <v>422</v>
      </c>
      <c r="E407" t="s">
        <v>405</v>
      </c>
      <c r="G407">
        <v>2</v>
      </c>
      <c r="H407">
        <v>1000</v>
      </c>
      <c r="J407" cm="1">
        <f t="array" ref="J407">_xlfn.SWITCH(B407,1,75,2,61,3,49,4,37,5,25,6,13,7,4,8,1)</f>
        <v>37</v>
      </c>
      <c r="K407" t="str" cm="1">
        <f t="array" ref="K407">IFERROR(_xlfn.SWITCH(L407,2,_xlfn.XLOOKUP(C407,[1]ModifierDes!$B:$B,[1]ModifierDes!$C:$C),3,_xlfn.XLOOKUP(C407,[1]StuntDes!$B:$B,[1]StuntDes!$C:$C)),"")</f>
        <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419</v>
      </c>
      <c r="D408" t="s">
        <v>422</v>
      </c>
      <c r="E408" t="s">
        <v>405</v>
      </c>
      <c r="G408">
        <v>2</v>
      </c>
      <c r="H408">
        <v>1000</v>
      </c>
      <c r="J408" cm="1">
        <f t="array" ref="J408">_xlfn.SWITCH(B408,1,75,2,61,3,49,4,37,5,25,6,13,7,4,8,1)</f>
        <v>25</v>
      </c>
      <c r="K408" t="str" cm="1">
        <f t="array" ref="K408">IFERROR(_xlfn.SWITCH(L408,2,_xlfn.XLOOKUP(C408,[1]ModifierDes!$B:$B,[1]ModifierDes!$C:$C),3,_xlfn.XLOOKUP(C408,[1]StuntDes!$B:$B,[1]StuntDes!$C:$C)),"")</f>
        <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419</v>
      </c>
      <c r="D409" t="s">
        <v>422</v>
      </c>
      <c r="E409" t="s">
        <v>405</v>
      </c>
      <c r="G409">
        <v>2</v>
      </c>
      <c r="H409">
        <v>1000</v>
      </c>
      <c r="J409" cm="1">
        <f t="array" ref="J409">_xlfn.SWITCH(B409,1,75,2,61,3,49,4,37,5,25,6,13,7,4,8,1)</f>
        <v>13</v>
      </c>
      <c r="K409" t="str" cm="1">
        <f t="array" ref="K409">IFERROR(_xlfn.SWITCH(L409,2,_xlfn.XLOOKUP(C409,[1]ModifierDes!$B:$B,[1]ModifierDes!$C:$C),3,_xlfn.XLOOKUP(C409,[1]StuntDes!$B:$B,[1]StuntDes!$C:$C)),"")</f>
        <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419</v>
      </c>
      <c r="D410" t="s">
        <v>422</v>
      </c>
      <c r="E410" t="s">
        <v>405</v>
      </c>
      <c r="G410">
        <v>2</v>
      </c>
      <c r="H410">
        <v>1000</v>
      </c>
      <c r="J410" cm="1">
        <f t="array" ref="J410">_xlfn.SWITCH(B410,1,75,2,61,3,49,4,37,5,25,6,13,7,4,8,1)</f>
        <v>4</v>
      </c>
      <c r="K410" t="str" cm="1">
        <f t="array" ref="K410">IFERROR(_xlfn.SWITCH(L410,2,_xlfn.XLOOKUP(C410,[1]ModifierDes!$B:$B,[1]ModifierDes!$C:$C),3,_xlfn.XLOOKUP(C410,[1]StuntDes!$B:$B,[1]StuntDes!$C:$C)),"")</f>
        <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419</v>
      </c>
      <c r="D411" t="s">
        <v>422</v>
      </c>
      <c r="E411" t="s">
        <v>405</v>
      </c>
      <c r="G411">
        <v>2</v>
      </c>
      <c r="H411">
        <v>1000</v>
      </c>
      <c r="J411" cm="1">
        <f t="array" ref="J411">_xlfn.SWITCH(B411,1,75,2,61,3,49,4,37,5,25,6,13,7,4,8,1)</f>
        <v>1</v>
      </c>
      <c r="K411" t="str" cm="1">
        <f t="array" ref="K411">IFERROR(_xlfn.SWITCH(L411,2,_xlfn.XLOOKUP(C411,[1]ModifierDes!$B:$B,[1]ModifierDes!$C:$C),3,_xlfn.XLOOKUP(C411,[1]StuntDes!$B:$B,[1]StuntDes!$C:$C)),"")</f>
        <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440</v>
      </c>
      <c r="D412" t="s">
        <v>422</v>
      </c>
      <c r="E412" t="s">
        <v>405</v>
      </c>
      <c r="F412"/>
      <c r="G412">
        <v>2</v>
      </c>
      <c r="H412">
        <v>1000</v>
      </c>
      <c r="I412"/>
      <c r="J412" cm="1">
        <f t="array" ref="J412">_xlfn.SWITCH(B412,1,75,2,61,3,49,4,37,5,25,6,13,7,4,8,1)</f>
        <v>75</v>
      </c>
      <c r="K412" t="str" cm="1">
        <f t="array" ref="K412">IFERROR(_xlfn.SWITCH(L412,2,_xlfn.XLOOKUP(C412,[1]ModifierDes!$B:$B,[1]ModifierDes!$C:$C),3,_xlfn.XLOOKUP(C412,[1]StuntDes!$B:$B,[1]StuntDes!$C:$C)),"")</f>
        <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8</v>
      </c>
      <c r="R412">
        <v>10</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440</v>
      </c>
      <c r="D413" t="s">
        <v>422</v>
      </c>
      <c r="E413" t="s">
        <v>405</v>
      </c>
      <c r="F413"/>
      <c r="G413">
        <v>2</v>
      </c>
      <c r="H413">
        <v>1000</v>
      </c>
      <c r="I413"/>
      <c r="J413" cm="1">
        <f t="array" ref="J413">_xlfn.SWITCH(B413,1,75,2,61,3,49,4,37,5,25,6,13,7,4,8,1)</f>
        <v>61</v>
      </c>
      <c r="K413" t="str" cm="1">
        <f t="array" ref="K413">IFERROR(_xlfn.SWITCH(L413,2,_xlfn.XLOOKUP(C413,[1]ModifierDes!$B:$B,[1]ModifierDes!$C:$C),3,_xlfn.XLOOKUP(C413,[1]StuntDes!$B:$B,[1]StuntDes!$C:$C)),"")</f>
        <v/>
      </c>
      <c r="L413">
        <f t="shared" si="37"/>
        <v>1</v>
      </c>
      <c r="M413" s="10" t="str">
        <f>IFERROR(_xlfn.XLOOKUP(C413,[1]StuntDes!$B:$B,[1]StuntDes!$A:$A),"")</f>
        <v/>
      </c>
      <c r="N413" s="10" t="str">
        <f>IFERROR(_xlfn.XLOOKUP(C413,[1]ModifierDes!$B:$B,[1]ModifierDes!$A:$A),"")</f>
        <v/>
      </c>
      <c r="O413" s="10">
        <f>IFERROR(_xlfn.XLOOKUP(C413,[1]AttributeName!$C:$C,[1]AttributeName!$B:$B),"")</f>
        <v>10003</v>
      </c>
      <c r="P413" s="10"/>
      <c r="Q413">
        <v>7</v>
      </c>
      <c r="R413">
        <v>7</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440</v>
      </c>
      <c r="D414" t="s">
        <v>422</v>
      </c>
      <c r="E414" t="s">
        <v>405</v>
      </c>
      <c r="F414"/>
      <c r="G414">
        <v>2</v>
      </c>
      <c r="H414">
        <v>1000</v>
      </c>
      <c r="I414"/>
      <c r="J414" cm="1">
        <f t="array" ref="J414">_xlfn.SWITCH(B414,1,75,2,61,3,49,4,37,5,25,6,13,7,4,8,1)</f>
        <v>49</v>
      </c>
      <c r="K414" t="str" cm="1">
        <f t="array" ref="K414">IFERROR(_xlfn.SWITCH(L414,2,_xlfn.XLOOKUP(C414,[1]ModifierDes!$B:$B,[1]ModifierDes!$C:$C),3,_xlfn.XLOOKUP(C414,[1]StuntDes!$B:$B,[1]StuntDes!$C:$C)),"")</f>
        <v/>
      </c>
      <c r="L414">
        <f t="shared" si="37"/>
        <v>1</v>
      </c>
      <c r="M414" s="10" t="str">
        <f>IFERROR(_xlfn.XLOOKUP(C414,[1]StuntDes!$B:$B,[1]StuntDes!$A:$A),"")</f>
        <v/>
      </c>
      <c r="N414" s="10" t="str">
        <f>IFERROR(_xlfn.XLOOKUP(C414,[1]ModifierDes!$B:$B,[1]ModifierDes!$A:$A),"")</f>
        <v/>
      </c>
      <c r="O414" s="10">
        <f>IFERROR(_xlfn.XLOOKUP(C414,[1]AttributeName!$C:$C,[1]AttributeName!$B:$B),"")</f>
        <v>10003</v>
      </c>
      <c r="P414" s="10"/>
      <c r="Q414">
        <v>6</v>
      </c>
      <c r="R414">
        <v>6</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440</v>
      </c>
      <c r="D415" t="s">
        <v>422</v>
      </c>
      <c r="E415" t="s">
        <v>405</v>
      </c>
      <c r="F415"/>
      <c r="G415">
        <v>2</v>
      </c>
      <c r="H415">
        <v>1000</v>
      </c>
      <c r="I415"/>
      <c r="J415" cm="1">
        <f t="array" ref="J415">_xlfn.SWITCH(B415,1,75,2,61,3,49,4,37,5,25,6,13,7,4,8,1)</f>
        <v>37</v>
      </c>
      <c r="K415" t="str" cm="1">
        <f t="array" ref="K415">IFERROR(_xlfn.SWITCH(L415,2,_xlfn.XLOOKUP(C415,[1]ModifierDes!$B:$B,[1]ModifierDes!$C:$C),3,_xlfn.XLOOKUP(C415,[1]StuntDes!$B:$B,[1]StuntDes!$C:$C)),"")</f>
        <v/>
      </c>
      <c r="L415">
        <f t="shared" si="37"/>
        <v>1</v>
      </c>
      <c r="M415" s="10" t="str">
        <f>IFERROR(_xlfn.XLOOKUP(C415,[1]StuntDes!$B:$B,[1]StuntDes!$A:$A),"")</f>
        <v/>
      </c>
      <c r="N415" s="10" t="str">
        <f>IFERROR(_xlfn.XLOOKUP(C415,[1]ModifierDes!$B:$B,[1]ModifierDes!$A:$A),"")</f>
        <v/>
      </c>
      <c r="O415" s="10">
        <f>IFERROR(_xlfn.XLOOKUP(C415,[1]AttributeName!$C:$C,[1]AttributeName!$B:$B),"")</f>
        <v>10003</v>
      </c>
      <c r="P415" s="10"/>
      <c r="Q415">
        <v>5</v>
      </c>
      <c r="R415">
        <v>5</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440</v>
      </c>
      <c r="D416" t="s">
        <v>422</v>
      </c>
      <c r="E416" t="s">
        <v>405</v>
      </c>
      <c r="F416"/>
      <c r="G416">
        <v>2</v>
      </c>
      <c r="H416">
        <v>1000</v>
      </c>
      <c r="I416"/>
      <c r="J416" cm="1">
        <f t="array" ref="J416">_xlfn.SWITCH(B416,1,75,2,61,3,49,4,37,5,25,6,13,7,4,8,1)</f>
        <v>25</v>
      </c>
      <c r="K416" t="str" cm="1">
        <f t="array" ref="K416">IFERROR(_xlfn.SWITCH(L416,2,_xlfn.XLOOKUP(C416,[1]ModifierDes!$B:$B,[1]ModifierDes!$C:$C),3,_xlfn.XLOOKUP(C416,[1]StuntDes!$B:$B,[1]StuntDes!$C:$C)),"")</f>
        <v/>
      </c>
      <c r="L416">
        <f t="shared" si="37"/>
        <v>1</v>
      </c>
      <c r="M416" s="10" t="str">
        <f>IFERROR(_xlfn.XLOOKUP(C416,[1]StuntDes!$B:$B,[1]StuntDes!$A:$A),"")</f>
        <v/>
      </c>
      <c r="N416" s="10" t="str">
        <f>IFERROR(_xlfn.XLOOKUP(C416,[1]ModifierDes!$B:$B,[1]ModifierDes!$A:$A),"")</f>
        <v/>
      </c>
      <c r="O416" s="10">
        <f>IFERROR(_xlfn.XLOOKUP(C416,[1]AttributeName!$C:$C,[1]AttributeName!$B:$B),"")</f>
        <v>10003</v>
      </c>
      <c r="P416" s="10"/>
      <c r="Q416">
        <v>4</v>
      </c>
      <c r="R416">
        <v>4</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440</v>
      </c>
      <c r="D417" t="s">
        <v>422</v>
      </c>
      <c r="E417" t="s">
        <v>405</v>
      </c>
      <c r="F417"/>
      <c r="G417">
        <v>2</v>
      </c>
      <c r="H417">
        <v>1000</v>
      </c>
      <c r="I417"/>
      <c r="J417" cm="1">
        <f t="array" ref="J417">_xlfn.SWITCH(B417,1,75,2,61,3,49,4,37,5,25,6,13,7,4,8,1)</f>
        <v>13</v>
      </c>
      <c r="K417" t="str" cm="1">
        <f t="array" ref="K417">IFERROR(_xlfn.SWITCH(L417,2,_xlfn.XLOOKUP(C417,[1]ModifierDes!$B:$B,[1]ModifierDes!$C:$C),3,_xlfn.XLOOKUP(C417,[1]StuntDes!$B:$B,[1]StuntDes!$C:$C)),"")</f>
        <v/>
      </c>
      <c r="L417">
        <f t="shared" si="37"/>
        <v>1</v>
      </c>
      <c r="M417" s="10" t="str">
        <f>IFERROR(_xlfn.XLOOKUP(C417,[1]StuntDes!$B:$B,[1]StuntDes!$A:$A),"")</f>
        <v/>
      </c>
      <c r="N417" s="10" t="str">
        <f>IFERROR(_xlfn.XLOOKUP(C417,[1]ModifierDes!$B:$B,[1]ModifierDes!$A:$A),"")</f>
        <v/>
      </c>
      <c r="O417" s="10">
        <f>IFERROR(_xlfn.XLOOKUP(C417,[1]AttributeName!$C:$C,[1]AttributeName!$B:$B),"")</f>
        <v>10003</v>
      </c>
      <c r="P417" s="10"/>
      <c r="Q417">
        <v>3</v>
      </c>
      <c r="R417">
        <v>3</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440</v>
      </c>
      <c r="D418" t="s">
        <v>422</v>
      </c>
      <c r="E418" t="s">
        <v>405</v>
      </c>
      <c r="F418"/>
      <c r="G418">
        <v>2</v>
      </c>
      <c r="H418">
        <v>1000</v>
      </c>
      <c r="I418"/>
      <c r="J418" cm="1">
        <f t="array" ref="J418">_xlfn.SWITCH(B418,1,75,2,61,3,49,4,37,5,25,6,13,7,4,8,1)</f>
        <v>4</v>
      </c>
      <c r="K418" t="str" cm="1">
        <f t="array" ref="K418">IFERROR(_xlfn.SWITCH(L418,2,_xlfn.XLOOKUP(C418,[1]ModifierDes!$B:$B,[1]ModifierDes!$C:$C),3,_xlfn.XLOOKUP(C418,[1]StuntDes!$B:$B,[1]StuntDes!$C:$C)),"")</f>
        <v/>
      </c>
      <c r="L418">
        <f t="shared" si="37"/>
        <v>1</v>
      </c>
      <c r="M418" s="10" t="str">
        <f>IFERROR(_xlfn.XLOOKUP(C418,[1]StuntDes!$B:$B,[1]StuntDes!$A:$A),"")</f>
        <v/>
      </c>
      <c r="N418" s="10" t="str">
        <f>IFERROR(_xlfn.XLOOKUP(C418,[1]ModifierDes!$B:$B,[1]ModifierDes!$A:$A),"")</f>
        <v/>
      </c>
      <c r="O418" s="10">
        <f>IFERROR(_xlfn.XLOOKUP(C418,[1]AttributeName!$C:$C,[1]AttributeName!$B:$B),"")</f>
        <v>10003</v>
      </c>
      <c r="P418" s="10"/>
      <c r="Q418">
        <v>2</v>
      </c>
      <c r="R418">
        <v>2</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440</v>
      </c>
      <c r="D419" t="s">
        <v>422</v>
      </c>
      <c r="E419" t="s">
        <v>405</v>
      </c>
      <c r="F419"/>
      <c r="G419">
        <v>2</v>
      </c>
      <c r="H419">
        <v>1000</v>
      </c>
      <c r="I419"/>
      <c r="J419" cm="1">
        <f t="array" ref="J419">_xlfn.SWITCH(B419,1,75,2,61,3,49,4,37,5,25,6,13,7,4,8,1)</f>
        <v>1</v>
      </c>
      <c r="K419" t="str" cm="1">
        <f t="array" ref="K419">IFERROR(_xlfn.SWITCH(L419,2,_xlfn.XLOOKUP(C419,[1]ModifierDes!$B:$B,[1]ModifierDes!$C:$C),3,_xlfn.XLOOKUP(C419,[1]StuntDes!$B:$B,[1]StuntDes!$C:$C)),"")</f>
        <v/>
      </c>
      <c r="L419">
        <f t="shared" si="37"/>
        <v>1</v>
      </c>
      <c r="M419" s="10" t="str">
        <f>IFERROR(_xlfn.XLOOKUP(C419,[1]StuntDes!$B:$B,[1]StuntDes!$A:$A),"")</f>
        <v/>
      </c>
      <c r="N419" s="10" t="str">
        <f>IFERROR(_xlfn.XLOOKUP(C419,[1]ModifierDes!$B:$B,[1]ModifierDes!$A:$A),"")</f>
        <v/>
      </c>
      <c r="O419" s="10">
        <f>IFERROR(_xlfn.XLOOKUP(C419,[1]AttributeName!$C:$C,[1]AttributeName!$B:$B),"")</f>
        <v>10003</v>
      </c>
      <c r="P419" s="10"/>
      <c r="Q419">
        <v>1</v>
      </c>
      <c r="R419">
        <v>1</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441</v>
      </c>
      <c r="D420" t="s">
        <v>422</v>
      </c>
      <c r="E420" t="s">
        <v>405</v>
      </c>
      <c r="G420">
        <v>2</v>
      </c>
      <c r="H420">
        <v>1000</v>
      </c>
      <c r="I420"/>
      <c r="J420" cm="1">
        <f t="array" ref="J420">_xlfn.SWITCH(B420,1,75,2,61,3,49,4,37,5,25,6,13,7,4,8,1)</f>
        <v>75</v>
      </c>
      <c r="K420" t="str" cm="1">
        <f t="array" ref="K420">IFERROR(_xlfn.SWITCH(L420,2,_xlfn.XLOOKUP(C420,[1]ModifierDes!$B:$B,[1]ModifierDes!$C:$C),3,_xlfn.XLOOKUP(C420,[1]StuntDes!$B:$B,[1]StuntDes!$C:$C)),"")</f>
        <v/>
      </c>
      <c r="L420">
        <f t="shared" si="37"/>
        <v>1</v>
      </c>
      <c r="M420" s="10" t="str">
        <f>IFERROR(_xlfn.XLOOKUP(C420,[1]StuntDes!$B:$B,[1]StuntDes!$A:$A),"")</f>
        <v/>
      </c>
      <c r="N420" s="10" t="str">
        <f>IFERROR(_xlfn.XLOOKUP(C420,[1]ModifierDes!$B:$B,[1]ModifierDes!$A:$A),"")</f>
        <v/>
      </c>
      <c r="O420" s="10">
        <f>IFERROR(_xlfn.XLOOKUP(C420,[1]AttributeName!$C:$C,[1]AttributeName!$B:$B),"")</f>
        <v>10005</v>
      </c>
      <c r="P420" s="10"/>
      <c r="Q420">
        <v>8</v>
      </c>
      <c r="R420">
        <v>10</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441</v>
      </c>
      <c r="D421" t="s">
        <v>422</v>
      </c>
      <c r="E421" t="s">
        <v>405</v>
      </c>
      <c r="G421">
        <v>2</v>
      </c>
      <c r="H421">
        <v>1000</v>
      </c>
      <c r="I421"/>
      <c r="J421" cm="1">
        <f t="array" ref="J421">_xlfn.SWITCH(B421,1,75,2,61,3,49,4,37,5,25,6,13,7,4,8,1)</f>
        <v>61</v>
      </c>
      <c r="K421" t="str" cm="1">
        <f t="array" ref="K421">IFERROR(_xlfn.SWITCH(L421,2,_xlfn.XLOOKUP(C421,[1]ModifierDes!$B:$B,[1]ModifierDes!$C:$C),3,_xlfn.XLOOKUP(C421,[1]StuntDes!$B:$B,[1]StuntDes!$C:$C)),"")</f>
        <v/>
      </c>
      <c r="L421">
        <f t="shared" si="37"/>
        <v>1</v>
      </c>
      <c r="M421" s="10" t="str">
        <f>IFERROR(_xlfn.XLOOKUP(C421,[1]StuntDes!$B:$B,[1]StuntDes!$A:$A),"")</f>
        <v/>
      </c>
      <c r="N421" s="10" t="str">
        <f>IFERROR(_xlfn.XLOOKUP(C421,[1]ModifierDes!$B:$B,[1]ModifierDes!$A:$A),"")</f>
        <v/>
      </c>
      <c r="O421" s="10">
        <f>IFERROR(_xlfn.XLOOKUP(C421,[1]AttributeName!$C:$C,[1]AttributeName!$B:$B),"")</f>
        <v>10005</v>
      </c>
      <c r="P421" s="10"/>
      <c r="Q421">
        <v>7</v>
      </c>
      <c r="R421">
        <v>7</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441</v>
      </c>
      <c r="D422" t="s">
        <v>422</v>
      </c>
      <c r="E422" t="s">
        <v>405</v>
      </c>
      <c r="G422">
        <v>2</v>
      </c>
      <c r="H422">
        <v>1000</v>
      </c>
      <c r="I422"/>
      <c r="J422" cm="1">
        <f t="array" ref="J422">_xlfn.SWITCH(B422,1,75,2,61,3,49,4,37,5,25,6,13,7,4,8,1)</f>
        <v>49</v>
      </c>
      <c r="K422" t="str" cm="1">
        <f t="array" ref="K422">IFERROR(_xlfn.SWITCH(L422,2,_xlfn.XLOOKUP(C422,[1]ModifierDes!$B:$B,[1]ModifierDes!$C:$C),3,_xlfn.XLOOKUP(C422,[1]StuntDes!$B:$B,[1]StuntDes!$C:$C)),"")</f>
        <v/>
      </c>
      <c r="L422">
        <f t="shared" si="37"/>
        <v>1</v>
      </c>
      <c r="M422" s="10" t="str">
        <f>IFERROR(_xlfn.XLOOKUP(C422,[1]StuntDes!$B:$B,[1]StuntDes!$A:$A),"")</f>
        <v/>
      </c>
      <c r="N422" s="10" t="str">
        <f>IFERROR(_xlfn.XLOOKUP(C422,[1]ModifierDes!$B:$B,[1]ModifierDes!$A:$A),"")</f>
        <v/>
      </c>
      <c r="O422" s="10">
        <f>IFERROR(_xlfn.XLOOKUP(C422,[1]AttributeName!$C:$C,[1]AttributeName!$B:$B),"")</f>
        <v>10005</v>
      </c>
      <c r="P422" s="10"/>
      <c r="Q422">
        <v>6</v>
      </c>
      <c r="R422">
        <v>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441</v>
      </c>
      <c r="D423" t="s">
        <v>422</v>
      </c>
      <c r="E423" t="s">
        <v>405</v>
      </c>
      <c r="G423">
        <v>2</v>
      </c>
      <c r="H423">
        <v>1000</v>
      </c>
      <c r="I423"/>
      <c r="J423" cm="1">
        <f t="array" ref="J423">_xlfn.SWITCH(B423,1,75,2,61,3,49,4,37,5,25,6,13,7,4,8,1)</f>
        <v>37</v>
      </c>
      <c r="K423" t="str" cm="1">
        <f t="array" ref="K423">IFERROR(_xlfn.SWITCH(L423,2,_xlfn.XLOOKUP(C423,[1]ModifierDes!$B:$B,[1]ModifierDes!$C:$C),3,_xlfn.XLOOKUP(C423,[1]StuntDes!$B:$B,[1]StuntDes!$C:$C)),"")</f>
        <v/>
      </c>
      <c r="L423">
        <f t="shared" si="37"/>
        <v>1</v>
      </c>
      <c r="M423" s="10" t="str">
        <f>IFERROR(_xlfn.XLOOKUP(C423,[1]StuntDes!$B:$B,[1]StuntDes!$A:$A),"")</f>
        <v/>
      </c>
      <c r="N423" s="10" t="str">
        <f>IFERROR(_xlfn.XLOOKUP(C423,[1]ModifierDes!$B:$B,[1]ModifierDes!$A:$A),"")</f>
        <v/>
      </c>
      <c r="O423" s="10">
        <f>IFERROR(_xlfn.XLOOKUP(C423,[1]AttributeName!$C:$C,[1]AttributeName!$B:$B),"")</f>
        <v>10005</v>
      </c>
      <c r="P423" s="10"/>
      <c r="Q423">
        <v>5</v>
      </c>
      <c r="R423">
        <v>5</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441</v>
      </c>
      <c r="D424" t="s">
        <v>422</v>
      </c>
      <c r="E424" t="s">
        <v>405</v>
      </c>
      <c r="G424">
        <v>2</v>
      </c>
      <c r="H424">
        <v>1000</v>
      </c>
      <c r="I424"/>
      <c r="J424" cm="1">
        <f t="array" ref="J424">_xlfn.SWITCH(B424,1,75,2,61,3,49,4,37,5,25,6,13,7,4,8,1)</f>
        <v>25</v>
      </c>
      <c r="K424" t="str" cm="1">
        <f t="array" ref="K424">IFERROR(_xlfn.SWITCH(L424,2,_xlfn.XLOOKUP(C424,[1]ModifierDes!$B:$B,[1]ModifierDes!$C:$C),3,_xlfn.XLOOKUP(C424,[1]StuntDes!$B:$B,[1]StuntDes!$C:$C)),"")</f>
        <v/>
      </c>
      <c r="L424">
        <f t="shared" si="37"/>
        <v>1</v>
      </c>
      <c r="M424" s="10" t="str">
        <f>IFERROR(_xlfn.XLOOKUP(C424,[1]StuntDes!$B:$B,[1]StuntDes!$A:$A),"")</f>
        <v/>
      </c>
      <c r="N424" s="10" t="str">
        <f>IFERROR(_xlfn.XLOOKUP(C424,[1]ModifierDes!$B:$B,[1]ModifierDes!$A:$A),"")</f>
        <v/>
      </c>
      <c r="O424" s="10">
        <f>IFERROR(_xlfn.XLOOKUP(C424,[1]AttributeName!$C:$C,[1]AttributeName!$B:$B),"")</f>
        <v>10005</v>
      </c>
      <c r="P424" s="10"/>
      <c r="Q424">
        <v>4</v>
      </c>
      <c r="R424">
        <v>4</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441</v>
      </c>
      <c r="D425" t="s">
        <v>422</v>
      </c>
      <c r="E425" t="s">
        <v>405</v>
      </c>
      <c r="G425">
        <v>2</v>
      </c>
      <c r="H425">
        <v>1000</v>
      </c>
      <c r="I425"/>
      <c r="J425" cm="1">
        <f t="array" ref="J425">_xlfn.SWITCH(B425,1,75,2,61,3,49,4,37,5,25,6,13,7,4,8,1)</f>
        <v>13</v>
      </c>
      <c r="K425" t="str" cm="1">
        <f t="array" ref="K425">IFERROR(_xlfn.SWITCH(L425,2,_xlfn.XLOOKUP(C425,[1]ModifierDes!$B:$B,[1]ModifierDes!$C:$C),3,_xlfn.XLOOKUP(C425,[1]StuntDes!$B:$B,[1]StuntDes!$C:$C)),"")</f>
        <v/>
      </c>
      <c r="L425">
        <f t="shared" si="37"/>
        <v>1</v>
      </c>
      <c r="M425" s="10" t="str">
        <f>IFERROR(_xlfn.XLOOKUP(C425,[1]StuntDes!$B:$B,[1]StuntDes!$A:$A),"")</f>
        <v/>
      </c>
      <c r="N425" s="10" t="str">
        <f>IFERROR(_xlfn.XLOOKUP(C425,[1]ModifierDes!$B:$B,[1]ModifierDes!$A:$A),"")</f>
        <v/>
      </c>
      <c r="O425" s="10">
        <f>IFERROR(_xlfn.XLOOKUP(C425,[1]AttributeName!$C:$C,[1]AttributeName!$B:$B),"")</f>
        <v>10005</v>
      </c>
      <c r="P425" s="10"/>
      <c r="Q425">
        <v>3</v>
      </c>
      <c r="R425">
        <v>3</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441</v>
      </c>
      <c r="D426" t="s">
        <v>422</v>
      </c>
      <c r="E426" t="s">
        <v>405</v>
      </c>
      <c r="G426">
        <v>2</v>
      </c>
      <c r="H426">
        <v>1000</v>
      </c>
      <c r="I426"/>
      <c r="J426" cm="1">
        <f t="array" ref="J426">_xlfn.SWITCH(B426,1,75,2,61,3,49,4,37,5,25,6,13,7,4,8,1)</f>
        <v>4</v>
      </c>
      <c r="K426" t="str" cm="1">
        <f t="array" ref="K426">IFERROR(_xlfn.SWITCH(L426,2,_xlfn.XLOOKUP(C426,[1]ModifierDes!$B:$B,[1]ModifierDes!$C:$C),3,_xlfn.XLOOKUP(C426,[1]StuntDes!$B:$B,[1]StuntDes!$C:$C)),"")</f>
        <v/>
      </c>
      <c r="L426">
        <f t="shared" si="37"/>
        <v>1</v>
      </c>
      <c r="M426" s="10" t="str">
        <f>IFERROR(_xlfn.XLOOKUP(C426,[1]StuntDes!$B:$B,[1]StuntDes!$A:$A),"")</f>
        <v/>
      </c>
      <c r="N426" s="10" t="str">
        <f>IFERROR(_xlfn.XLOOKUP(C426,[1]ModifierDes!$B:$B,[1]ModifierDes!$A:$A),"")</f>
        <v/>
      </c>
      <c r="O426" s="10">
        <f>IFERROR(_xlfn.XLOOKUP(C426,[1]AttributeName!$C:$C,[1]AttributeName!$B:$B),"")</f>
        <v>10005</v>
      </c>
      <c r="P426" s="10"/>
      <c r="Q426">
        <v>2</v>
      </c>
      <c r="R426">
        <v>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441</v>
      </c>
      <c r="D427" t="s">
        <v>422</v>
      </c>
      <c r="E427" t="s">
        <v>405</v>
      </c>
      <c r="G427">
        <v>2</v>
      </c>
      <c r="H427">
        <v>1000</v>
      </c>
      <c r="I427"/>
      <c r="J427" cm="1">
        <f t="array" ref="J427">_xlfn.SWITCH(B427,1,75,2,61,3,49,4,37,5,25,6,13,7,4,8,1)</f>
        <v>1</v>
      </c>
      <c r="K427" t="str" cm="1">
        <f t="array" ref="K427">IFERROR(_xlfn.SWITCH(L427,2,_xlfn.XLOOKUP(C427,[1]ModifierDes!$B:$B,[1]ModifierDes!$C:$C),3,_xlfn.XLOOKUP(C427,[1]StuntDes!$B:$B,[1]StuntDes!$C:$C)),"")</f>
        <v/>
      </c>
      <c r="L427">
        <f t="shared" si="37"/>
        <v>1</v>
      </c>
      <c r="M427" s="10" t="str">
        <f>IFERROR(_xlfn.XLOOKUP(C427,[1]StuntDes!$B:$B,[1]StuntDes!$A:$A),"")</f>
        <v/>
      </c>
      <c r="N427" s="10" t="str">
        <f>IFERROR(_xlfn.XLOOKUP(C427,[1]ModifierDes!$B:$B,[1]ModifierDes!$A:$A),"")</f>
        <v/>
      </c>
      <c r="O427" s="10">
        <f>IFERROR(_xlfn.XLOOKUP(C427,[1]AttributeName!$C:$C,[1]AttributeName!$B:$B),"")</f>
        <v>10005</v>
      </c>
      <c r="P427" s="10"/>
      <c r="Q427">
        <v>1</v>
      </c>
      <c r="R427">
        <v>1</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402</v>
      </c>
      <c r="D428" t="s">
        <v>32</v>
      </c>
      <c r="E428" t="s">
        <v>388</v>
      </c>
      <c r="F428"/>
      <c r="G428">
        <v>1</v>
      </c>
      <c r="H428">
        <v>1000</v>
      </c>
      <c r="J428" cm="1">
        <f t="array" ref="J428">_xlfn.SWITCH(B428,1,75,2,61,3,49,4,37,5,25,6,13,7,4,8,1)</f>
        <v>75</v>
      </c>
      <c r="K428" t="str" cm="1">
        <f t="array" ref="K428">IFERROR(_xlfn.SWITCH(L428,2,_xlfn.XLOOKUP(C428,[1]ModifierDes!$B:$B,[1]ModifierDes!$C:$C),3,_xlfn.XLOOKUP(C428,[1]StuntDes!$B:$B,[1]StuntDes!$C:$C)),"")</f>
        <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402</v>
      </c>
      <c r="D429" t="s">
        <v>32</v>
      </c>
      <c r="E429" t="s">
        <v>388</v>
      </c>
      <c r="F429"/>
      <c r="G429">
        <v>1</v>
      </c>
      <c r="H429">
        <v>1000</v>
      </c>
      <c r="J429" cm="1">
        <f t="array" ref="J429">_xlfn.SWITCH(B429,1,75,2,61,3,49,4,37,5,25,6,13,7,4,8,1)</f>
        <v>61</v>
      </c>
      <c r="K429" t="str" cm="1">
        <f t="array" ref="K429">IFERROR(_xlfn.SWITCH(L429,2,_xlfn.XLOOKUP(C429,[1]ModifierDes!$B:$B,[1]ModifierDes!$C:$C),3,_xlfn.XLOOKUP(C429,[1]StuntDes!$B:$B,[1]StuntDes!$C:$C)),"")</f>
        <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402</v>
      </c>
      <c r="D430" t="s">
        <v>32</v>
      </c>
      <c r="E430" t="s">
        <v>388</v>
      </c>
      <c r="F430"/>
      <c r="G430">
        <v>1</v>
      </c>
      <c r="H430">
        <v>1000</v>
      </c>
      <c r="J430" cm="1">
        <f t="array" ref="J430">_xlfn.SWITCH(B430,1,75,2,61,3,49,4,37,5,25,6,13,7,4,8,1)</f>
        <v>49</v>
      </c>
      <c r="K430" t="str" cm="1">
        <f t="array" ref="K430">IFERROR(_xlfn.SWITCH(L430,2,_xlfn.XLOOKUP(C430,[1]ModifierDes!$B:$B,[1]ModifierDes!$C:$C),3,_xlfn.XLOOKUP(C430,[1]StuntDes!$B:$B,[1]StuntDes!$C:$C)),"")</f>
        <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402</v>
      </c>
      <c r="D431" t="s">
        <v>32</v>
      </c>
      <c r="E431" t="s">
        <v>388</v>
      </c>
      <c r="F431"/>
      <c r="G431">
        <v>1</v>
      </c>
      <c r="H431">
        <v>1000</v>
      </c>
      <c r="J431" cm="1">
        <f t="array" ref="J431">_xlfn.SWITCH(B431,1,75,2,61,3,49,4,37,5,25,6,13,7,4,8,1)</f>
        <v>37</v>
      </c>
      <c r="K431" t="str" cm="1">
        <f t="array" ref="K431">IFERROR(_xlfn.SWITCH(L431,2,_xlfn.XLOOKUP(C431,[1]ModifierDes!$B:$B,[1]ModifierDes!$C:$C),3,_xlfn.XLOOKUP(C431,[1]StuntDes!$B:$B,[1]StuntDes!$C:$C)),"")</f>
        <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402</v>
      </c>
      <c r="D432" t="s">
        <v>32</v>
      </c>
      <c r="E432" t="s">
        <v>388</v>
      </c>
      <c r="F432"/>
      <c r="G432">
        <v>1</v>
      </c>
      <c r="H432">
        <v>1000</v>
      </c>
      <c r="J432" cm="1">
        <f t="array" ref="J432">_xlfn.SWITCH(B432,1,75,2,61,3,49,4,37,5,25,6,13,7,4,8,1)</f>
        <v>25</v>
      </c>
      <c r="K432" t="str" cm="1">
        <f t="array" ref="K432">IFERROR(_xlfn.SWITCH(L432,2,_xlfn.XLOOKUP(C432,[1]ModifierDes!$B:$B,[1]ModifierDes!$C:$C),3,_xlfn.XLOOKUP(C432,[1]StuntDes!$B:$B,[1]StuntDes!$C:$C)),"")</f>
        <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402</v>
      </c>
      <c r="D433" t="s">
        <v>32</v>
      </c>
      <c r="E433" t="s">
        <v>388</v>
      </c>
      <c r="F433"/>
      <c r="G433">
        <v>1</v>
      </c>
      <c r="H433">
        <v>1000</v>
      </c>
      <c r="J433" cm="1">
        <f t="array" ref="J433">_xlfn.SWITCH(B433,1,75,2,61,3,49,4,37,5,25,6,13,7,4,8,1)</f>
        <v>13</v>
      </c>
      <c r="K433" t="str" cm="1">
        <f t="array" ref="K433">IFERROR(_xlfn.SWITCH(L433,2,_xlfn.XLOOKUP(C433,[1]ModifierDes!$B:$B,[1]ModifierDes!$C:$C),3,_xlfn.XLOOKUP(C433,[1]StuntDes!$B:$B,[1]StuntDes!$C:$C)),"")</f>
        <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402</v>
      </c>
      <c r="D434" t="s">
        <v>32</v>
      </c>
      <c r="E434" t="s">
        <v>388</v>
      </c>
      <c r="F434"/>
      <c r="G434">
        <v>1</v>
      </c>
      <c r="H434">
        <v>1000</v>
      </c>
      <c r="J434" cm="1">
        <f t="array" ref="J434">_xlfn.SWITCH(B434,1,75,2,61,3,49,4,37,5,25,6,13,7,4,8,1)</f>
        <v>4</v>
      </c>
      <c r="K434" t="str" cm="1">
        <f t="array" ref="K434">IFERROR(_xlfn.SWITCH(L434,2,_xlfn.XLOOKUP(C434,[1]ModifierDes!$B:$B,[1]ModifierDes!$C:$C),3,_xlfn.XLOOKUP(C434,[1]StuntDes!$B:$B,[1]StuntDes!$C:$C)),"")</f>
        <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402</v>
      </c>
      <c r="D435" t="s">
        <v>32</v>
      </c>
      <c r="E435" t="s">
        <v>388</v>
      </c>
      <c r="F435"/>
      <c r="G435">
        <v>1</v>
      </c>
      <c r="H435">
        <v>1000</v>
      </c>
      <c r="J435" cm="1">
        <f t="array" ref="J435">_xlfn.SWITCH(B435,1,75,2,61,3,49,4,37,5,25,6,13,7,4,8,1)</f>
        <v>1</v>
      </c>
      <c r="K435" t="str" cm="1">
        <f t="array" ref="K435">IFERROR(_xlfn.SWITCH(L435,2,_xlfn.XLOOKUP(C435,[1]ModifierDes!$B:$B,[1]ModifierDes!$C:$C),3,_xlfn.XLOOKUP(C435,[1]StuntDes!$B:$B,[1]StuntDes!$C:$C)),"")</f>
        <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403</v>
      </c>
      <c r="D436" t="s">
        <v>32</v>
      </c>
      <c r="E436" t="s">
        <v>388</v>
      </c>
      <c r="F436"/>
      <c r="G436">
        <v>1</v>
      </c>
      <c r="H436">
        <v>1000</v>
      </c>
      <c r="J436" cm="1">
        <f t="array" ref="J436">_xlfn.SWITCH(B436,1,75,2,61,3,49,4,37,5,25,6,13,7,4,8,1)</f>
        <v>75</v>
      </c>
      <c r="K436" t="str" cm="1">
        <f t="array" ref="K436">IFERROR(_xlfn.SWITCH(L436,2,_xlfn.XLOOKUP(C436,[1]ModifierDes!$B:$B,[1]ModifierDes!$C:$C),3,_xlfn.XLOOKUP(C436,[1]StuntDes!$B:$B,[1]StuntDes!$C:$C)),"")</f>
        <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403</v>
      </c>
      <c r="D437" t="s">
        <v>32</v>
      </c>
      <c r="E437" t="s">
        <v>388</v>
      </c>
      <c r="F437"/>
      <c r="G437">
        <v>1</v>
      </c>
      <c r="H437">
        <v>1000</v>
      </c>
      <c r="J437" cm="1">
        <f t="array" ref="J437">_xlfn.SWITCH(B437,1,75,2,61,3,49,4,37,5,25,6,13,7,4,8,1)</f>
        <v>61</v>
      </c>
      <c r="K437" t="str" cm="1">
        <f t="array" ref="K437">IFERROR(_xlfn.SWITCH(L437,2,_xlfn.XLOOKUP(C437,[1]ModifierDes!$B:$B,[1]ModifierDes!$C:$C),3,_xlfn.XLOOKUP(C437,[1]StuntDes!$B:$B,[1]StuntDes!$C:$C)),"")</f>
        <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403</v>
      </c>
      <c r="D438" t="s">
        <v>32</v>
      </c>
      <c r="E438" t="s">
        <v>388</v>
      </c>
      <c r="F438"/>
      <c r="G438">
        <v>1</v>
      </c>
      <c r="H438">
        <v>1000</v>
      </c>
      <c r="J438" cm="1">
        <f t="array" ref="J438">_xlfn.SWITCH(B438,1,75,2,61,3,49,4,37,5,25,6,13,7,4,8,1)</f>
        <v>49</v>
      </c>
      <c r="K438" t="str" cm="1">
        <f t="array" ref="K438">IFERROR(_xlfn.SWITCH(L438,2,_xlfn.XLOOKUP(C438,[1]ModifierDes!$B:$B,[1]ModifierDes!$C:$C),3,_xlfn.XLOOKUP(C438,[1]StuntDes!$B:$B,[1]StuntDes!$C:$C)),"")</f>
        <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403</v>
      </c>
      <c r="D439" t="s">
        <v>32</v>
      </c>
      <c r="E439" t="s">
        <v>388</v>
      </c>
      <c r="F439"/>
      <c r="G439">
        <v>1</v>
      </c>
      <c r="H439">
        <v>1000</v>
      </c>
      <c r="J439" cm="1">
        <f t="array" ref="J439">_xlfn.SWITCH(B439,1,75,2,61,3,49,4,37,5,25,6,13,7,4,8,1)</f>
        <v>37</v>
      </c>
      <c r="K439" t="str" cm="1">
        <f t="array" ref="K439">IFERROR(_xlfn.SWITCH(L439,2,_xlfn.XLOOKUP(C439,[1]ModifierDes!$B:$B,[1]ModifierDes!$C:$C),3,_xlfn.XLOOKUP(C439,[1]StuntDes!$B:$B,[1]StuntDes!$C:$C)),"")</f>
        <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403</v>
      </c>
      <c r="D440" t="s">
        <v>32</v>
      </c>
      <c r="E440" t="s">
        <v>388</v>
      </c>
      <c r="F440"/>
      <c r="G440">
        <v>1</v>
      </c>
      <c r="H440">
        <v>1000</v>
      </c>
      <c r="J440" cm="1">
        <f t="array" ref="J440">_xlfn.SWITCH(B440,1,75,2,61,3,49,4,37,5,25,6,13,7,4,8,1)</f>
        <v>25</v>
      </c>
      <c r="K440" t="str" cm="1">
        <f t="array" ref="K440">IFERROR(_xlfn.SWITCH(L440,2,_xlfn.XLOOKUP(C440,[1]ModifierDes!$B:$B,[1]ModifierDes!$C:$C),3,_xlfn.XLOOKUP(C440,[1]StuntDes!$B:$B,[1]StuntDes!$C:$C)),"")</f>
        <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403</v>
      </c>
      <c r="D441" t="s">
        <v>32</v>
      </c>
      <c r="E441" t="s">
        <v>388</v>
      </c>
      <c r="F441"/>
      <c r="G441">
        <v>1</v>
      </c>
      <c r="H441">
        <v>1000</v>
      </c>
      <c r="J441" cm="1">
        <f t="array" ref="J441">_xlfn.SWITCH(B441,1,75,2,61,3,49,4,37,5,25,6,13,7,4,8,1)</f>
        <v>13</v>
      </c>
      <c r="K441" t="str" cm="1">
        <f t="array" ref="K441">IFERROR(_xlfn.SWITCH(L441,2,_xlfn.XLOOKUP(C441,[1]ModifierDes!$B:$B,[1]ModifierDes!$C:$C),3,_xlfn.XLOOKUP(C441,[1]StuntDes!$B:$B,[1]StuntDes!$C:$C)),"")</f>
        <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403</v>
      </c>
      <c r="D442" t="s">
        <v>32</v>
      </c>
      <c r="E442" t="s">
        <v>388</v>
      </c>
      <c r="F442"/>
      <c r="G442">
        <v>1</v>
      </c>
      <c r="H442">
        <v>1000</v>
      </c>
      <c r="J442" cm="1">
        <f t="array" ref="J442">_xlfn.SWITCH(B442,1,75,2,61,3,49,4,37,5,25,6,13,7,4,8,1)</f>
        <v>4</v>
      </c>
      <c r="K442" t="str" cm="1">
        <f t="array" ref="K442">IFERROR(_xlfn.SWITCH(L442,2,_xlfn.XLOOKUP(C442,[1]ModifierDes!$B:$B,[1]ModifierDes!$C:$C),3,_xlfn.XLOOKUP(C442,[1]StuntDes!$B:$B,[1]StuntDes!$C:$C)),"")</f>
        <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403</v>
      </c>
      <c r="D443" t="s">
        <v>32</v>
      </c>
      <c r="E443" t="s">
        <v>388</v>
      </c>
      <c r="F443"/>
      <c r="G443">
        <v>1</v>
      </c>
      <c r="H443">
        <v>1000</v>
      </c>
      <c r="J443" cm="1">
        <f t="array" ref="J443">_xlfn.SWITCH(B443,1,75,2,61,3,49,4,37,5,25,6,13,7,4,8,1)</f>
        <v>1</v>
      </c>
      <c r="K443" t="str" cm="1">
        <f t="array" ref="K443">IFERROR(_xlfn.SWITCH(L443,2,_xlfn.XLOOKUP(C443,[1]ModifierDes!$B:$B,[1]ModifierDes!$C:$C),3,_xlfn.XLOOKUP(C443,[1]StuntDes!$B:$B,[1]StuntDes!$C:$C)),"")</f>
        <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423</v>
      </c>
      <c r="D444" t="s">
        <v>32</v>
      </c>
      <c r="E444" t="s">
        <v>388</v>
      </c>
      <c r="F444"/>
      <c r="G444">
        <v>1</v>
      </c>
      <c r="H444">
        <v>1000</v>
      </c>
      <c r="J444" cm="1">
        <f t="array" ref="J444">_xlfn.SWITCH(B444,1,75,2,61,3,49,4,37,5,25,6,13,7,4,8,1)</f>
        <v>75</v>
      </c>
      <c r="K444" t="str" cm="1">
        <f t="array" ref="K444">IFERROR(_xlfn.SWITCH(L444,2,_xlfn.XLOOKUP(C444,[1]ModifierDes!$B:$B,[1]ModifierDes!$C:$C),3,_xlfn.XLOOKUP(C444,[1]StuntDes!$B:$B,[1]StuntDes!$C:$C)),"")</f>
        <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423</v>
      </c>
      <c r="D445" t="s">
        <v>32</v>
      </c>
      <c r="E445" t="s">
        <v>388</v>
      </c>
      <c r="F445"/>
      <c r="G445">
        <v>1</v>
      </c>
      <c r="H445">
        <v>1000</v>
      </c>
      <c r="J445" cm="1">
        <f t="array" ref="J445">_xlfn.SWITCH(B445,1,75,2,61,3,49,4,37,5,25,6,13,7,4,8,1)</f>
        <v>61</v>
      </c>
      <c r="K445" t="str" cm="1">
        <f t="array" ref="K445">IFERROR(_xlfn.SWITCH(L445,2,_xlfn.XLOOKUP(C445,[1]ModifierDes!$B:$B,[1]ModifierDes!$C:$C),3,_xlfn.XLOOKUP(C445,[1]StuntDes!$B:$B,[1]StuntDes!$C:$C)),"")</f>
        <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423</v>
      </c>
      <c r="D446" t="s">
        <v>32</v>
      </c>
      <c r="E446" t="s">
        <v>388</v>
      </c>
      <c r="F446"/>
      <c r="G446">
        <v>1</v>
      </c>
      <c r="H446">
        <v>1000</v>
      </c>
      <c r="J446" cm="1">
        <f t="array" ref="J446">_xlfn.SWITCH(B446,1,75,2,61,3,49,4,37,5,25,6,13,7,4,8,1)</f>
        <v>49</v>
      </c>
      <c r="K446" t="str" cm="1">
        <f t="array" ref="K446">IFERROR(_xlfn.SWITCH(L446,2,_xlfn.XLOOKUP(C446,[1]ModifierDes!$B:$B,[1]ModifierDes!$C:$C),3,_xlfn.XLOOKUP(C446,[1]StuntDes!$B:$B,[1]StuntDes!$C:$C)),"")</f>
        <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423</v>
      </c>
      <c r="D447" t="s">
        <v>32</v>
      </c>
      <c r="E447" t="s">
        <v>388</v>
      </c>
      <c r="F447"/>
      <c r="G447">
        <v>1</v>
      </c>
      <c r="H447">
        <v>1000</v>
      </c>
      <c r="J447" cm="1">
        <f t="array" ref="J447">_xlfn.SWITCH(B447,1,75,2,61,3,49,4,37,5,25,6,13,7,4,8,1)</f>
        <v>37</v>
      </c>
      <c r="K447" t="str" cm="1">
        <f t="array" ref="K447">IFERROR(_xlfn.SWITCH(L447,2,_xlfn.XLOOKUP(C447,[1]ModifierDes!$B:$B,[1]ModifierDes!$C:$C),3,_xlfn.XLOOKUP(C447,[1]StuntDes!$B:$B,[1]StuntDes!$C:$C)),"")</f>
        <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423</v>
      </c>
      <c r="D448" t="s">
        <v>32</v>
      </c>
      <c r="E448" t="s">
        <v>388</v>
      </c>
      <c r="F448"/>
      <c r="G448">
        <v>1</v>
      </c>
      <c r="H448">
        <v>1000</v>
      </c>
      <c r="J448" cm="1">
        <f t="array" ref="J448">_xlfn.SWITCH(B448,1,75,2,61,3,49,4,37,5,25,6,13,7,4,8,1)</f>
        <v>25</v>
      </c>
      <c r="K448" t="str" cm="1">
        <f t="array" ref="K448">IFERROR(_xlfn.SWITCH(L448,2,_xlfn.XLOOKUP(C448,[1]ModifierDes!$B:$B,[1]ModifierDes!$C:$C),3,_xlfn.XLOOKUP(C448,[1]StuntDes!$B:$B,[1]StuntDes!$C:$C)),"")</f>
        <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423</v>
      </c>
      <c r="D449" t="s">
        <v>32</v>
      </c>
      <c r="E449" t="s">
        <v>388</v>
      </c>
      <c r="F449"/>
      <c r="G449">
        <v>1</v>
      </c>
      <c r="H449">
        <v>1000</v>
      </c>
      <c r="J449" cm="1">
        <f t="array" ref="J449">_xlfn.SWITCH(B449,1,75,2,61,3,49,4,37,5,25,6,13,7,4,8,1)</f>
        <v>13</v>
      </c>
      <c r="K449" t="str" cm="1">
        <f t="array" ref="K449">IFERROR(_xlfn.SWITCH(L449,2,_xlfn.XLOOKUP(C449,[1]ModifierDes!$B:$B,[1]ModifierDes!$C:$C),3,_xlfn.XLOOKUP(C449,[1]StuntDes!$B:$B,[1]StuntDes!$C:$C)),"")</f>
        <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423</v>
      </c>
      <c r="D450" t="s">
        <v>32</v>
      </c>
      <c r="E450" t="s">
        <v>388</v>
      </c>
      <c r="F450"/>
      <c r="G450">
        <v>1</v>
      </c>
      <c r="H450">
        <v>1000</v>
      </c>
      <c r="J450" cm="1">
        <f t="array" ref="J450">_xlfn.SWITCH(B450,1,75,2,61,3,49,4,37,5,25,6,13,7,4,8,1)</f>
        <v>4</v>
      </c>
      <c r="K450" t="str" cm="1">
        <f t="array" ref="K450">IFERROR(_xlfn.SWITCH(L450,2,_xlfn.XLOOKUP(C450,[1]ModifierDes!$B:$B,[1]ModifierDes!$C:$C),3,_xlfn.XLOOKUP(C450,[1]StuntDes!$B:$B,[1]StuntDes!$C:$C)),"")</f>
        <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423</v>
      </c>
      <c r="D451" t="s">
        <v>32</v>
      </c>
      <c r="E451" t="s">
        <v>388</v>
      </c>
      <c r="F451"/>
      <c r="G451">
        <v>1</v>
      </c>
      <c r="H451">
        <v>1000</v>
      </c>
      <c r="J451" cm="1">
        <f t="array" ref="J451">_xlfn.SWITCH(B451,1,75,2,61,3,49,4,37,5,25,6,13,7,4,8,1)</f>
        <v>1</v>
      </c>
      <c r="K451" t="str" cm="1">
        <f t="array" ref="K451">IFERROR(_xlfn.SWITCH(L451,2,_xlfn.XLOOKUP(C451,[1]ModifierDes!$B:$B,[1]ModifierDes!$C:$C),3,_xlfn.XLOOKUP(C451,[1]StuntDes!$B:$B,[1]StuntDes!$C:$C)),"")</f>
        <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424</v>
      </c>
      <c r="D452" t="s">
        <v>32</v>
      </c>
      <c r="E452" t="s">
        <v>388</v>
      </c>
      <c r="G452">
        <v>1</v>
      </c>
      <c r="H452">
        <v>250</v>
      </c>
      <c r="J452" cm="1">
        <f t="array" ref="J452">_xlfn.SWITCH(B452,1,75,2,61,3,49,4,37,5,25,6,13,7,4,8,1)</f>
        <v>75</v>
      </c>
      <c r="K452" t="str" cm="1">
        <f t="array" ref="K452">IFERROR(_xlfn.SWITCH(L452,2,_xlfn.XLOOKUP(C452,[1]ModifierDes!$B:$B,[1]ModifierDes!$C:$C),3,_xlfn.XLOOKUP(C452,[1]StuntDes!$B:$B,[1]StuntDes!$C:$C)),"")</f>
        <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424</v>
      </c>
      <c r="D453" t="s">
        <v>32</v>
      </c>
      <c r="E453" t="s">
        <v>388</v>
      </c>
      <c r="G453">
        <v>1</v>
      </c>
      <c r="H453">
        <v>500</v>
      </c>
      <c r="J453" cm="1">
        <f t="array" ref="J453">_xlfn.SWITCH(B453,1,75,2,61,3,49,4,37,5,25,6,13,7,4,8,1)</f>
        <v>61</v>
      </c>
      <c r="K453" t="str" cm="1">
        <f t="array" ref="K453">IFERROR(_xlfn.SWITCH(L453,2,_xlfn.XLOOKUP(C453,[1]ModifierDes!$B:$B,[1]ModifierDes!$C:$C),3,_xlfn.XLOOKUP(C453,[1]StuntDes!$B:$B,[1]StuntDes!$C:$C)),"")</f>
        <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424</v>
      </c>
      <c r="D454" t="s">
        <v>32</v>
      </c>
      <c r="E454" t="s">
        <v>388</v>
      </c>
      <c r="G454">
        <v>1</v>
      </c>
      <c r="H454">
        <v>1000</v>
      </c>
      <c r="J454" cm="1">
        <f t="array" ref="J454">_xlfn.SWITCH(B454,1,75,2,61,3,49,4,37,5,25,6,13,7,4,8,1)</f>
        <v>49</v>
      </c>
      <c r="K454" t="str" cm="1">
        <f t="array" ref="K454">IFERROR(_xlfn.SWITCH(L454,2,_xlfn.XLOOKUP(C454,[1]ModifierDes!$B:$B,[1]ModifierDes!$C:$C),3,_xlfn.XLOOKUP(C454,[1]StuntDes!$B:$B,[1]StuntDes!$C:$C)),"")</f>
        <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424</v>
      </c>
      <c r="D455" t="s">
        <v>32</v>
      </c>
      <c r="E455" t="s">
        <v>388</v>
      </c>
      <c r="G455">
        <v>1</v>
      </c>
      <c r="H455">
        <v>1000</v>
      </c>
      <c r="J455" cm="1">
        <f t="array" ref="J455">_xlfn.SWITCH(B455,1,75,2,61,3,49,4,37,5,25,6,13,7,4,8,1)</f>
        <v>37</v>
      </c>
      <c r="K455" t="str" cm="1">
        <f t="array" ref="K455">IFERROR(_xlfn.SWITCH(L455,2,_xlfn.XLOOKUP(C455,[1]ModifierDes!$B:$B,[1]ModifierDes!$C:$C),3,_xlfn.XLOOKUP(C455,[1]StuntDes!$B:$B,[1]StuntDes!$C:$C)),"")</f>
        <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424</v>
      </c>
      <c r="D456" t="s">
        <v>32</v>
      </c>
      <c r="E456" t="s">
        <v>388</v>
      </c>
      <c r="G456">
        <v>1</v>
      </c>
      <c r="H456">
        <v>1000</v>
      </c>
      <c r="J456" cm="1">
        <f t="array" ref="J456">_xlfn.SWITCH(B456,1,75,2,61,3,49,4,37,5,25,6,13,7,4,8,1)</f>
        <v>25</v>
      </c>
      <c r="K456" t="str" cm="1">
        <f t="array" ref="K456">IFERROR(_xlfn.SWITCH(L456,2,_xlfn.XLOOKUP(C456,[1]ModifierDes!$B:$B,[1]ModifierDes!$C:$C),3,_xlfn.XLOOKUP(C456,[1]StuntDes!$B:$B,[1]StuntDes!$C:$C)),"")</f>
        <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424</v>
      </c>
      <c r="D457" t="s">
        <v>32</v>
      </c>
      <c r="E457" t="s">
        <v>388</v>
      </c>
      <c r="G457">
        <v>1</v>
      </c>
      <c r="H457">
        <v>1000</v>
      </c>
      <c r="J457" cm="1">
        <f t="array" ref="J457">_xlfn.SWITCH(B457,1,75,2,61,3,49,4,37,5,25,6,13,7,4,8,1)</f>
        <v>13</v>
      </c>
      <c r="K457" t="str" cm="1">
        <f t="array" ref="K457">IFERROR(_xlfn.SWITCH(L457,2,_xlfn.XLOOKUP(C457,[1]ModifierDes!$B:$B,[1]ModifierDes!$C:$C),3,_xlfn.XLOOKUP(C457,[1]StuntDes!$B:$B,[1]StuntDes!$C:$C)),"")</f>
        <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424</v>
      </c>
      <c r="D458" t="s">
        <v>32</v>
      </c>
      <c r="E458" t="s">
        <v>388</v>
      </c>
      <c r="G458">
        <v>1</v>
      </c>
      <c r="H458">
        <v>1000</v>
      </c>
      <c r="J458" cm="1">
        <f t="array" ref="J458">_xlfn.SWITCH(B458,1,75,2,61,3,49,4,37,5,25,6,13,7,4,8,1)</f>
        <v>4</v>
      </c>
      <c r="K458" t="str" cm="1">
        <f t="array" ref="K458">IFERROR(_xlfn.SWITCH(L458,2,_xlfn.XLOOKUP(C458,[1]ModifierDes!$B:$B,[1]ModifierDes!$C:$C),3,_xlfn.XLOOKUP(C458,[1]StuntDes!$B:$B,[1]StuntDes!$C:$C)),"")</f>
        <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424</v>
      </c>
      <c r="D459" t="s">
        <v>32</v>
      </c>
      <c r="E459" t="s">
        <v>388</v>
      </c>
      <c r="G459">
        <v>1</v>
      </c>
      <c r="H459">
        <v>1000</v>
      </c>
      <c r="J459" cm="1">
        <f t="array" ref="J459">_xlfn.SWITCH(B459,1,75,2,61,3,49,4,37,5,25,6,13,7,4,8,1)</f>
        <v>1</v>
      </c>
      <c r="K459" t="str" cm="1">
        <f t="array" ref="K459">IFERROR(_xlfn.SWITCH(L459,2,_xlfn.XLOOKUP(C459,[1]ModifierDes!$B:$B,[1]ModifierDes!$C:$C),3,_xlfn.XLOOKUP(C459,[1]StuntDes!$B:$B,[1]StuntDes!$C:$C)),"")</f>
        <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425</v>
      </c>
      <c r="D460" t="s">
        <v>32</v>
      </c>
      <c r="E460" t="s">
        <v>388</v>
      </c>
      <c r="G460">
        <v>1</v>
      </c>
      <c r="H460">
        <v>250</v>
      </c>
      <c r="J460" cm="1">
        <f t="array" ref="J460">_xlfn.SWITCH(B460,1,75,2,61,3,49,4,37,5,25,6,13,7,4,8,1)</f>
        <v>75</v>
      </c>
      <c r="K460" t="str" cm="1">
        <f t="array" ref="K460">IFERROR(_xlfn.SWITCH(L460,2,_xlfn.XLOOKUP(C460,[1]ModifierDes!$B:$B,[1]ModifierDes!$C:$C),3,_xlfn.XLOOKUP(C460,[1]StuntDes!$B:$B,[1]StuntDes!$C:$C)),"")</f>
        <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425</v>
      </c>
      <c r="D461" t="s">
        <v>32</v>
      </c>
      <c r="E461" t="s">
        <v>388</v>
      </c>
      <c r="G461">
        <v>1</v>
      </c>
      <c r="H461">
        <v>500</v>
      </c>
      <c r="J461" cm="1">
        <f t="array" ref="J461">_xlfn.SWITCH(B461,1,75,2,61,3,49,4,37,5,25,6,13,7,4,8,1)</f>
        <v>61</v>
      </c>
      <c r="K461" t="str" cm="1">
        <f t="array" ref="K461">IFERROR(_xlfn.SWITCH(L461,2,_xlfn.XLOOKUP(C461,[1]ModifierDes!$B:$B,[1]ModifierDes!$C:$C),3,_xlfn.XLOOKUP(C461,[1]StuntDes!$B:$B,[1]StuntDes!$C:$C)),"")</f>
        <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425</v>
      </c>
      <c r="D462" t="s">
        <v>32</v>
      </c>
      <c r="E462" t="s">
        <v>388</v>
      </c>
      <c r="G462">
        <v>1</v>
      </c>
      <c r="H462">
        <v>1000</v>
      </c>
      <c r="J462" cm="1">
        <f t="array" ref="J462">_xlfn.SWITCH(B462,1,75,2,61,3,49,4,37,5,25,6,13,7,4,8,1)</f>
        <v>49</v>
      </c>
      <c r="K462" t="str" cm="1">
        <f t="array" ref="K462">IFERROR(_xlfn.SWITCH(L462,2,_xlfn.XLOOKUP(C462,[1]ModifierDes!$B:$B,[1]ModifierDes!$C:$C),3,_xlfn.XLOOKUP(C462,[1]StuntDes!$B:$B,[1]StuntDes!$C:$C)),"")</f>
        <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425</v>
      </c>
      <c r="D463" t="s">
        <v>32</v>
      </c>
      <c r="E463" t="s">
        <v>388</v>
      </c>
      <c r="G463">
        <v>1</v>
      </c>
      <c r="H463">
        <v>1000</v>
      </c>
      <c r="J463" cm="1">
        <f t="array" ref="J463">_xlfn.SWITCH(B463,1,75,2,61,3,49,4,37,5,25,6,13,7,4,8,1)</f>
        <v>37</v>
      </c>
      <c r="K463" t="str" cm="1">
        <f t="array" ref="K463">IFERROR(_xlfn.SWITCH(L463,2,_xlfn.XLOOKUP(C463,[1]ModifierDes!$B:$B,[1]ModifierDes!$C:$C),3,_xlfn.XLOOKUP(C463,[1]StuntDes!$B:$B,[1]StuntDes!$C:$C)),"")</f>
        <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425</v>
      </c>
      <c r="D464" t="s">
        <v>32</v>
      </c>
      <c r="E464" t="s">
        <v>388</v>
      </c>
      <c r="G464">
        <v>1</v>
      </c>
      <c r="H464">
        <v>1000</v>
      </c>
      <c r="J464" cm="1">
        <f t="array" ref="J464">_xlfn.SWITCH(B464,1,75,2,61,3,49,4,37,5,25,6,13,7,4,8,1)</f>
        <v>25</v>
      </c>
      <c r="K464" t="str" cm="1">
        <f t="array" ref="K464">IFERROR(_xlfn.SWITCH(L464,2,_xlfn.XLOOKUP(C464,[1]ModifierDes!$B:$B,[1]ModifierDes!$C:$C),3,_xlfn.XLOOKUP(C464,[1]StuntDes!$B:$B,[1]StuntDes!$C:$C)),"")</f>
        <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425</v>
      </c>
      <c r="D465" t="s">
        <v>32</v>
      </c>
      <c r="E465" t="s">
        <v>388</v>
      </c>
      <c r="G465">
        <v>1</v>
      </c>
      <c r="H465">
        <v>1000</v>
      </c>
      <c r="J465" cm="1">
        <f t="array" ref="J465">_xlfn.SWITCH(B465,1,75,2,61,3,49,4,37,5,25,6,13,7,4,8,1)</f>
        <v>13</v>
      </c>
      <c r="K465" t="str" cm="1">
        <f t="array" ref="K465">IFERROR(_xlfn.SWITCH(L465,2,_xlfn.XLOOKUP(C465,[1]ModifierDes!$B:$B,[1]ModifierDes!$C:$C),3,_xlfn.XLOOKUP(C465,[1]StuntDes!$B:$B,[1]StuntDes!$C:$C)),"")</f>
        <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425</v>
      </c>
      <c r="D466" t="s">
        <v>32</v>
      </c>
      <c r="E466" t="s">
        <v>388</v>
      </c>
      <c r="G466">
        <v>1</v>
      </c>
      <c r="H466">
        <v>1000</v>
      </c>
      <c r="J466" cm="1">
        <f t="array" ref="J466">_xlfn.SWITCH(B466,1,75,2,61,3,49,4,37,5,25,6,13,7,4,8,1)</f>
        <v>4</v>
      </c>
      <c r="K466" t="str" cm="1">
        <f t="array" ref="K466">IFERROR(_xlfn.SWITCH(L466,2,_xlfn.XLOOKUP(C466,[1]ModifierDes!$B:$B,[1]ModifierDes!$C:$C),3,_xlfn.XLOOKUP(C466,[1]StuntDes!$B:$B,[1]StuntDes!$C:$C)),"")</f>
        <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425</v>
      </c>
      <c r="D467" t="s">
        <v>32</v>
      </c>
      <c r="E467" t="s">
        <v>388</v>
      </c>
      <c r="G467">
        <v>1</v>
      </c>
      <c r="H467">
        <v>1000</v>
      </c>
      <c r="J467" cm="1">
        <f t="array" ref="J467">_xlfn.SWITCH(B467,1,75,2,61,3,49,4,37,5,25,6,13,7,4,8,1)</f>
        <v>1</v>
      </c>
      <c r="K467" t="str" cm="1">
        <f t="array" ref="K467">IFERROR(_xlfn.SWITCH(L467,2,_xlfn.XLOOKUP(C467,[1]ModifierDes!$B:$B,[1]ModifierDes!$C:$C),3,_xlfn.XLOOKUP(C467,[1]StuntDes!$B:$B,[1]StuntDes!$C:$C)),"")</f>
        <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96</v>
      </c>
      <c r="D468" t="s">
        <v>32</v>
      </c>
      <c r="E468" t="s">
        <v>388</v>
      </c>
      <c r="G468">
        <v>1</v>
      </c>
      <c r="H468">
        <v>1000</v>
      </c>
      <c r="J468" cm="1">
        <f t="array" ref="J468">_xlfn.SWITCH(B468,1,75,2,61,3,49,4,37,5,25,6,13,7,4,8,1)</f>
        <v>75</v>
      </c>
      <c r="K468" t="str" cm="1">
        <f t="array" ref="K468">IFERROR(_xlfn.SWITCH(L468,2,_xlfn.XLOOKUP(C468,[1]ModifierDes!$B:$B,[1]ModifierDes!$C:$C),3,_xlfn.XLOOKUP(C468,[1]StuntDes!$B:$B,[1]StuntDes!$C:$C)),"")</f>
        <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96</v>
      </c>
      <c r="D469" t="s">
        <v>32</v>
      </c>
      <c r="E469" t="s">
        <v>388</v>
      </c>
      <c r="G469">
        <v>1</v>
      </c>
      <c r="H469">
        <v>1000</v>
      </c>
      <c r="J469" cm="1">
        <f t="array" ref="J469">_xlfn.SWITCH(B469,1,75,2,61,3,49,4,37,5,25,6,13,7,4,8,1)</f>
        <v>61</v>
      </c>
      <c r="K469" t="str" cm="1">
        <f t="array" ref="K469">IFERROR(_xlfn.SWITCH(L469,2,_xlfn.XLOOKUP(C469,[1]ModifierDes!$B:$B,[1]ModifierDes!$C:$C),3,_xlfn.XLOOKUP(C469,[1]StuntDes!$B:$B,[1]StuntDes!$C:$C)),"")</f>
        <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96</v>
      </c>
      <c r="D470" t="s">
        <v>32</v>
      </c>
      <c r="E470" t="s">
        <v>388</v>
      </c>
      <c r="G470">
        <v>1</v>
      </c>
      <c r="H470">
        <v>1000</v>
      </c>
      <c r="J470" cm="1">
        <f t="array" ref="J470">_xlfn.SWITCH(B470,1,75,2,61,3,49,4,37,5,25,6,13,7,4,8,1)</f>
        <v>49</v>
      </c>
      <c r="K470" t="str" cm="1">
        <f t="array" ref="K470">IFERROR(_xlfn.SWITCH(L470,2,_xlfn.XLOOKUP(C470,[1]ModifierDes!$B:$B,[1]ModifierDes!$C:$C),3,_xlfn.XLOOKUP(C470,[1]StuntDes!$B:$B,[1]StuntDes!$C:$C)),"")</f>
        <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96</v>
      </c>
      <c r="D471" t="s">
        <v>32</v>
      </c>
      <c r="E471" t="s">
        <v>388</v>
      </c>
      <c r="G471">
        <v>1</v>
      </c>
      <c r="H471">
        <v>1000</v>
      </c>
      <c r="J471" cm="1">
        <f t="array" ref="J471">_xlfn.SWITCH(B471,1,75,2,61,3,49,4,37,5,25,6,13,7,4,8,1)</f>
        <v>37</v>
      </c>
      <c r="K471" t="str" cm="1">
        <f t="array" ref="K471">IFERROR(_xlfn.SWITCH(L471,2,_xlfn.XLOOKUP(C471,[1]ModifierDes!$B:$B,[1]ModifierDes!$C:$C),3,_xlfn.XLOOKUP(C471,[1]StuntDes!$B:$B,[1]StuntDes!$C:$C)),"")</f>
        <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96</v>
      </c>
      <c r="D472" t="s">
        <v>32</v>
      </c>
      <c r="E472" t="s">
        <v>388</v>
      </c>
      <c r="G472">
        <v>1</v>
      </c>
      <c r="H472">
        <v>1000</v>
      </c>
      <c r="J472" cm="1">
        <f t="array" ref="J472">_xlfn.SWITCH(B472,1,75,2,61,3,49,4,37,5,25,6,13,7,4,8,1)</f>
        <v>25</v>
      </c>
      <c r="K472" t="str" cm="1">
        <f t="array" ref="K472">IFERROR(_xlfn.SWITCH(L472,2,_xlfn.XLOOKUP(C472,[1]ModifierDes!$B:$B,[1]ModifierDes!$C:$C),3,_xlfn.XLOOKUP(C472,[1]StuntDes!$B:$B,[1]StuntDes!$C:$C)),"")</f>
        <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96</v>
      </c>
      <c r="D473" t="s">
        <v>32</v>
      </c>
      <c r="E473" t="s">
        <v>388</v>
      </c>
      <c r="G473">
        <v>1</v>
      </c>
      <c r="H473">
        <v>1000</v>
      </c>
      <c r="J473" cm="1">
        <f t="array" ref="J473">_xlfn.SWITCH(B473,1,75,2,61,3,49,4,37,5,25,6,13,7,4,8,1)</f>
        <v>13</v>
      </c>
      <c r="K473" t="str" cm="1">
        <f t="array" ref="K473">IFERROR(_xlfn.SWITCH(L473,2,_xlfn.XLOOKUP(C473,[1]ModifierDes!$B:$B,[1]ModifierDes!$C:$C),3,_xlfn.XLOOKUP(C473,[1]StuntDes!$B:$B,[1]StuntDes!$C:$C)),"")</f>
        <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96</v>
      </c>
      <c r="D474" t="s">
        <v>32</v>
      </c>
      <c r="E474" t="s">
        <v>388</v>
      </c>
      <c r="G474">
        <v>1</v>
      </c>
      <c r="H474">
        <v>1000</v>
      </c>
      <c r="J474" cm="1">
        <f t="array" ref="J474">_xlfn.SWITCH(B474,1,75,2,61,3,49,4,37,5,25,6,13,7,4,8,1)</f>
        <v>4</v>
      </c>
      <c r="K474" t="str" cm="1">
        <f t="array" ref="K474">IFERROR(_xlfn.SWITCH(L474,2,_xlfn.XLOOKUP(C474,[1]ModifierDes!$B:$B,[1]ModifierDes!$C:$C),3,_xlfn.XLOOKUP(C474,[1]StuntDes!$B:$B,[1]StuntDes!$C:$C)),"")</f>
        <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96</v>
      </c>
      <c r="D475" t="s">
        <v>32</v>
      </c>
      <c r="E475" t="s">
        <v>388</v>
      </c>
      <c r="G475">
        <v>1</v>
      </c>
      <c r="H475">
        <v>1000</v>
      </c>
      <c r="J475" cm="1">
        <f t="array" ref="J475">_xlfn.SWITCH(B475,1,75,2,61,3,49,4,37,5,25,6,13,7,4,8,1)</f>
        <v>1</v>
      </c>
      <c r="K475" t="str" cm="1">
        <f t="array" ref="K475">IFERROR(_xlfn.SWITCH(L475,2,_xlfn.XLOOKUP(C475,[1]ModifierDes!$B:$B,[1]ModifierDes!$C:$C),3,_xlfn.XLOOKUP(C475,[1]StuntDes!$B:$B,[1]StuntDes!$C:$C)),"")</f>
        <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426</v>
      </c>
      <c r="D476" t="s">
        <v>32</v>
      </c>
      <c r="E476" t="s">
        <v>388</v>
      </c>
      <c r="F476"/>
      <c r="G476">
        <v>1</v>
      </c>
      <c r="H476">
        <v>50</v>
      </c>
      <c r="I476">
        <v>3</v>
      </c>
      <c r="J476" cm="1">
        <f t="array" ref="J476">_xlfn.SWITCH(B476,1,75,2,61,3,49,4,37,5,25,6,13,7,4,8,1)</f>
        <v>75</v>
      </c>
      <c r="K476" t="str" cm="1">
        <f t="array" ref="K476">IFERROR(_xlfn.SWITCH(L476,2,_xlfn.XLOOKUP(C476,[1]ModifierDes!$B:$B,[1]ModifierDes!$C:$C),3,_xlfn.XLOOKUP(C476,[1]StuntDes!$B:$B,[1]StuntDes!$C:$C)),"")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427</v>
      </c>
      <c r="D477" t="s">
        <v>32</v>
      </c>
      <c r="E477" t="s">
        <v>388</v>
      </c>
      <c r="F477"/>
      <c r="G477">
        <v>1</v>
      </c>
      <c r="H477">
        <v>50</v>
      </c>
      <c r="I477">
        <v>3</v>
      </c>
      <c r="J477" cm="1">
        <f t="array" ref="J477">_xlfn.SWITCH(B477,1,75,2,61,3,49,4,37,5,25,6,13,7,4,8,1)</f>
        <v>75</v>
      </c>
      <c r="K477" t="str" cm="1">
        <f t="array" ref="K477">IFERROR(_xlfn.SWITCH(L477,2,_xlfn.XLOOKUP(C477,[1]ModifierDes!$B:$B,[1]ModifierDes!$C:$C),3,_xlfn.XLOOKUP(C477,[1]StuntDes!$B:$B,[1]StuntDes!$C:$C)),"")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428</v>
      </c>
      <c r="D478" t="s">
        <v>32</v>
      </c>
      <c r="E478" t="s">
        <v>388</v>
      </c>
      <c r="F478"/>
      <c r="G478">
        <v>1</v>
      </c>
      <c r="H478">
        <v>50</v>
      </c>
      <c r="I478">
        <v>3</v>
      </c>
      <c r="J478" cm="1">
        <f t="array" ref="J478">_xlfn.SWITCH(B478,1,75,2,61,3,49,4,37,5,25,6,13,7,4,8,1)</f>
        <v>75</v>
      </c>
      <c r="K478" t="str" cm="1">
        <f t="array" ref="K478">IFERROR(_xlfn.SWITCH(L478,2,_xlfn.XLOOKUP(C478,[1]ModifierDes!$B:$B,[1]ModifierDes!$C:$C),3,_xlfn.XLOOKUP(C478,[1]StuntDes!$B:$B,[1]StuntDes!$C:$C)),"")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429</v>
      </c>
      <c r="D479" t="s">
        <v>32</v>
      </c>
      <c r="E479" t="s">
        <v>388</v>
      </c>
      <c r="F479"/>
      <c r="G479">
        <v>1</v>
      </c>
      <c r="H479">
        <v>50</v>
      </c>
      <c r="I479">
        <v>3</v>
      </c>
      <c r="J479" cm="1">
        <f t="array" ref="J479">_xlfn.SWITCH(B479,1,75,2,61,3,49,4,37,5,25,6,13,7,4,8,1)</f>
        <v>75</v>
      </c>
      <c r="K479" t="str" cm="1">
        <f t="array" ref="K479">IFERROR(_xlfn.SWITCH(L479,2,_xlfn.XLOOKUP(C479,[1]ModifierDes!$B:$B,[1]ModifierDes!$C:$C),3,_xlfn.XLOOKUP(C479,[1]StuntDes!$B:$B,[1]StuntDes!$C:$C)),"")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430</v>
      </c>
      <c r="D480" t="s">
        <v>32</v>
      </c>
      <c r="E480" t="s">
        <v>388</v>
      </c>
      <c r="F480"/>
      <c r="G480">
        <v>1</v>
      </c>
      <c r="H480">
        <v>1000</v>
      </c>
      <c r="I480"/>
      <c r="J480" cm="1">
        <f t="array" ref="J480">_xlfn.SWITCH(B480,1,75,2,61,3,49,4,37,5,25,6,13,7,4,8,1)</f>
        <v>75</v>
      </c>
      <c r="K480" t="str" cm="1">
        <f t="array" ref="K480">IFERROR(_xlfn.SWITCH(L480,2,_xlfn.XLOOKUP(C480,[1]ModifierDes!$B:$B,[1]ModifierDes!$C:$C),3,_xlfn.XLOOKUP(C480,[1]StuntDes!$B:$B,[1]StuntDes!$C:$C)),"")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430</v>
      </c>
      <c r="D481" t="s">
        <v>32</v>
      </c>
      <c r="E481" t="s">
        <v>388</v>
      </c>
      <c r="F481"/>
      <c r="G481">
        <v>1</v>
      </c>
      <c r="H481">
        <v>1000</v>
      </c>
      <c r="I481"/>
      <c r="J481" cm="1">
        <f t="array" ref="J481">_xlfn.SWITCH(B481,1,75,2,61,3,49,4,37,5,25,6,13,7,4,8,1)</f>
        <v>61</v>
      </c>
      <c r="K481" t="str" cm="1">
        <f t="array" ref="K481">IFERROR(_xlfn.SWITCH(L481,2,_xlfn.XLOOKUP(C481,[1]ModifierDes!$B:$B,[1]ModifierDes!$C:$C),3,_xlfn.XLOOKUP(C481,[1]StuntDes!$B:$B,[1]StuntDes!$C:$C)),"")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430</v>
      </c>
      <c r="D482" t="s">
        <v>32</v>
      </c>
      <c r="E482" t="s">
        <v>388</v>
      </c>
      <c r="F482"/>
      <c r="G482">
        <v>1</v>
      </c>
      <c r="H482">
        <v>1000</v>
      </c>
      <c r="I482"/>
      <c r="J482" cm="1">
        <f t="array" ref="J482">_xlfn.SWITCH(B482,1,75,2,61,3,49,4,37,5,25,6,13,7,4,8,1)</f>
        <v>49</v>
      </c>
      <c r="K482" t="str" cm="1">
        <f t="array" ref="K482">IFERROR(_xlfn.SWITCH(L482,2,_xlfn.XLOOKUP(C482,[1]ModifierDes!$B:$B,[1]ModifierDes!$C:$C),3,_xlfn.XLOOKUP(C482,[1]StuntDes!$B:$B,[1]StuntDes!$C:$C)),"")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430</v>
      </c>
      <c r="D483" t="s">
        <v>32</v>
      </c>
      <c r="E483" t="s">
        <v>388</v>
      </c>
      <c r="F483"/>
      <c r="G483">
        <v>1</v>
      </c>
      <c r="H483">
        <v>1000</v>
      </c>
      <c r="I483"/>
      <c r="J483" cm="1">
        <f t="array" ref="J483">_xlfn.SWITCH(B483,1,75,2,61,3,49,4,37,5,25,6,13,7,4,8,1)</f>
        <v>37</v>
      </c>
      <c r="K483" t="str" cm="1">
        <f t="array" ref="K483">IFERROR(_xlfn.SWITCH(L483,2,_xlfn.XLOOKUP(C483,[1]ModifierDes!$B:$B,[1]ModifierDes!$C:$C),3,_xlfn.XLOOKUP(C483,[1]StuntDes!$B:$B,[1]StuntDes!$C:$C)),"")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430</v>
      </c>
      <c r="D484" t="s">
        <v>32</v>
      </c>
      <c r="E484" t="s">
        <v>388</v>
      </c>
      <c r="F484"/>
      <c r="G484">
        <v>1</v>
      </c>
      <c r="H484">
        <v>1000</v>
      </c>
      <c r="I484"/>
      <c r="J484" cm="1">
        <f t="array" ref="J484">_xlfn.SWITCH(B484,1,75,2,61,3,49,4,37,5,25,6,13,7,4,8,1)</f>
        <v>25</v>
      </c>
      <c r="K484" t="str" cm="1">
        <f t="array" ref="K484">IFERROR(_xlfn.SWITCH(L484,2,_xlfn.XLOOKUP(C484,[1]ModifierDes!$B:$B,[1]ModifierDes!$C:$C),3,_xlfn.XLOOKUP(C484,[1]StuntDes!$B:$B,[1]StuntDes!$C:$C)),"")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430</v>
      </c>
      <c r="D485" t="s">
        <v>32</v>
      </c>
      <c r="E485" t="s">
        <v>388</v>
      </c>
      <c r="F485"/>
      <c r="G485">
        <v>1</v>
      </c>
      <c r="H485">
        <v>1000</v>
      </c>
      <c r="I485"/>
      <c r="J485" cm="1">
        <f t="array" ref="J485">_xlfn.SWITCH(B485,1,75,2,61,3,49,4,37,5,25,6,13,7,4,8,1)</f>
        <v>13</v>
      </c>
      <c r="K485" t="str" cm="1">
        <f t="array" ref="K485">IFERROR(_xlfn.SWITCH(L485,2,_xlfn.XLOOKUP(C485,[1]ModifierDes!$B:$B,[1]ModifierDes!$C:$C),3,_xlfn.XLOOKUP(C485,[1]StuntDes!$B:$B,[1]StuntDes!$C:$C)),"")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430</v>
      </c>
      <c r="D486" t="s">
        <v>32</v>
      </c>
      <c r="E486" t="s">
        <v>388</v>
      </c>
      <c r="F486"/>
      <c r="G486">
        <v>1</v>
      </c>
      <c r="H486">
        <v>1000</v>
      </c>
      <c r="I486"/>
      <c r="J486" cm="1">
        <f t="array" ref="J486">_xlfn.SWITCH(B486,1,75,2,61,3,49,4,37,5,25,6,13,7,4,8,1)</f>
        <v>4</v>
      </c>
      <c r="K486" t="str" cm="1">
        <f t="array" ref="K486">IFERROR(_xlfn.SWITCH(L486,2,_xlfn.XLOOKUP(C486,[1]ModifierDes!$B:$B,[1]ModifierDes!$C:$C),3,_xlfn.XLOOKUP(C486,[1]StuntDes!$B:$B,[1]StuntDes!$C:$C)),"")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430</v>
      </c>
      <c r="D487" t="s">
        <v>32</v>
      </c>
      <c r="E487" t="s">
        <v>388</v>
      </c>
      <c r="F487"/>
      <c r="G487">
        <v>1</v>
      </c>
      <c r="H487">
        <v>1000</v>
      </c>
      <c r="I487"/>
      <c r="J487" cm="1">
        <f t="array" ref="J487">_xlfn.SWITCH(B487,1,75,2,61,3,49,4,37,5,25,6,13,7,4,8,1)</f>
        <v>1</v>
      </c>
      <c r="K487" t="str" cm="1">
        <f t="array" ref="K487">IFERROR(_xlfn.SWITCH(L487,2,_xlfn.XLOOKUP(C487,[1]ModifierDes!$B:$B,[1]ModifierDes!$C:$C),3,_xlfn.XLOOKUP(C487,[1]StuntDes!$B:$B,[1]StuntDes!$C:$C)),"")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431</v>
      </c>
      <c r="D488" t="s">
        <v>32</v>
      </c>
      <c r="E488" t="s">
        <v>388</v>
      </c>
      <c r="G488">
        <v>1</v>
      </c>
      <c r="H488">
        <v>1000</v>
      </c>
      <c r="I488"/>
      <c r="J488" cm="1">
        <f t="array" ref="J488">_xlfn.SWITCH(B488,1,75,2,61,3,49,4,37,5,25,6,13,7,4,8,1)</f>
        <v>75</v>
      </c>
      <c r="K488" t="str" cm="1">
        <f t="array" ref="K488">IFERROR(_xlfn.SWITCH(L488,2,_xlfn.XLOOKUP(C488,[1]ModifierDes!$B:$B,[1]ModifierDes!$C:$C),3,_xlfn.XLOOKUP(C488,[1]StuntDes!$B:$B,[1]StuntDes!$C:$C)),"")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431</v>
      </c>
      <c r="D489" t="s">
        <v>32</v>
      </c>
      <c r="E489" t="s">
        <v>388</v>
      </c>
      <c r="G489">
        <v>1</v>
      </c>
      <c r="H489">
        <v>1000</v>
      </c>
      <c r="I489"/>
      <c r="J489" cm="1">
        <f t="array" ref="J489">_xlfn.SWITCH(B489,1,75,2,61,3,49,4,37,5,25,6,13,7,4,8,1)</f>
        <v>61</v>
      </c>
      <c r="K489" t="str" cm="1">
        <f t="array" ref="K489">IFERROR(_xlfn.SWITCH(L489,2,_xlfn.XLOOKUP(C489,[1]ModifierDes!$B:$B,[1]ModifierDes!$C:$C),3,_xlfn.XLOOKUP(C489,[1]StuntDes!$B:$B,[1]StuntDes!$C:$C)),"")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431</v>
      </c>
      <c r="D490" t="s">
        <v>32</v>
      </c>
      <c r="E490" t="s">
        <v>388</v>
      </c>
      <c r="G490">
        <v>1</v>
      </c>
      <c r="H490">
        <v>1000</v>
      </c>
      <c r="I490"/>
      <c r="J490" cm="1">
        <f t="array" ref="J490">_xlfn.SWITCH(B490,1,75,2,61,3,49,4,37,5,25,6,13,7,4,8,1)</f>
        <v>49</v>
      </c>
      <c r="K490" t="str" cm="1">
        <f t="array" ref="K490">IFERROR(_xlfn.SWITCH(L490,2,_xlfn.XLOOKUP(C490,[1]ModifierDes!$B:$B,[1]ModifierDes!$C:$C),3,_xlfn.XLOOKUP(C490,[1]StuntDes!$B:$B,[1]StuntDes!$C:$C)),"")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431</v>
      </c>
      <c r="D491" t="s">
        <v>32</v>
      </c>
      <c r="E491" t="s">
        <v>388</v>
      </c>
      <c r="G491">
        <v>1</v>
      </c>
      <c r="H491">
        <v>1000</v>
      </c>
      <c r="I491"/>
      <c r="J491" cm="1">
        <f t="array" ref="J491">_xlfn.SWITCH(B491,1,75,2,61,3,49,4,37,5,25,6,13,7,4,8,1)</f>
        <v>37</v>
      </c>
      <c r="K491" t="str" cm="1">
        <f t="array" ref="K491">IFERROR(_xlfn.SWITCH(L491,2,_xlfn.XLOOKUP(C491,[1]ModifierDes!$B:$B,[1]ModifierDes!$C:$C),3,_xlfn.XLOOKUP(C491,[1]StuntDes!$B:$B,[1]StuntDes!$C:$C)),"")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431</v>
      </c>
      <c r="D492" t="s">
        <v>32</v>
      </c>
      <c r="E492" t="s">
        <v>388</v>
      </c>
      <c r="G492">
        <v>1</v>
      </c>
      <c r="H492">
        <v>1000</v>
      </c>
      <c r="I492"/>
      <c r="J492" cm="1">
        <f t="array" ref="J492">_xlfn.SWITCH(B492,1,75,2,61,3,49,4,37,5,25,6,13,7,4,8,1)</f>
        <v>25</v>
      </c>
      <c r="K492" t="str" cm="1">
        <f t="array" ref="K492">IFERROR(_xlfn.SWITCH(L492,2,_xlfn.XLOOKUP(C492,[1]ModifierDes!$B:$B,[1]ModifierDes!$C:$C),3,_xlfn.XLOOKUP(C492,[1]StuntDes!$B:$B,[1]StuntDes!$C:$C)),"")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431</v>
      </c>
      <c r="D493" t="s">
        <v>32</v>
      </c>
      <c r="E493" t="s">
        <v>388</v>
      </c>
      <c r="G493">
        <v>1</v>
      </c>
      <c r="H493">
        <v>1000</v>
      </c>
      <c r="I493"/>
      <c r="J493" cm="1">
        <f t="array" ref="J493">_xlfn.SWITCH(B493,1,75,2,61,3,49,4,37,5,25,6,13,7,4,8,1)</f>
        <v>13</v>
      </c>
      <c r="K493" t="str" cm="1">
        <f t="array" ref="K493">IFERROR(_xlfn.SWITCH(L493,2,_xlfn.XLOOKUP(C493,[1]ModifierDes!$B:$B,[1]ModifierDes!$C:$C),3,_xlfn.XLOOKUP(C493,[1]StuntDes!$B:$B,[1]StuntDes!$C:$C)),"")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431</v>
      </c>
      <c r="D494" t="s">
        <v>32</v>
      </c>
      <c r="E494" t="s">
        <v>388</v>
      </c>
      <c r="G494">
        <v>1</v>
      </c>
      <c r="H494">
        <v>1000</v>
      </c>
      <c r="I494"/>
      <c r="J494" cm="1">
        <f t="array" ref="J494">_xlfn.SWITCH(B494,1,75,2,61,3,49,4,37,5,25,6,13,7,4,8,1)</f>
        <v>4</v>
      </c>
      <c r="K494" t="str" cm="1">
        <f t="array" ref="K494">IFERROR(_xlfn.SWITCH(L494,2,_xlfn.XLOOKUP(C494,[1]ModifierDes!$B:$B,[1]ModifierDes!$C:$C),3,_xlfn.XLOOKUP(C494,[1]StuntDes!$B:$B,[1]StuntDes!$C:$C)),"")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431</v>
      </c>
      <c r="D495" t="s">
        <v>32</v>
      </c>
      <c r="E495" t="s">
        <v>388</v>
      </c>
      <c r="G495">
        <v>1</v>
      </c>
      <c r="H495">
        <v>1000</v>
      </c>
      <c r="I495"/>
      <c r="J495" cm="1">
        <f t="array" ref="J495">_xlfn.SWITCH(B495,1,75,2,61,3,49,4,37,5,25,6,13,7,4,8,1)</f>
        <v>1</v>
      </c>
      <c r="K495" t="str" cm="1">
        <f t="array" ref="K495">IFERROR(_xlfn.SWITCH(L495,2,_xlfn.XLOOKUP(C495,[1]ModifierDes!$B:$B,[1]ModifierDes!$C:$C),3,_xlfn.XLOOKUP(C495,[1]StuntDes!$B:$B,[1]StuntDes!$C:$C)),"")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432</v>
      </c>
      <c r="D496" t="s">
        <v>32</v>
      </c>
      <c r="E496" t="s">
        <v>405</v>
      </c>
      <c r="F496"/>
      <c r="G496">
        <v>2</v>
      </c>
      <c r="H496">
        <v>1000</v>
      </c>
      <c r="J496" cm="1">
        <f t="array" ref="J496">_xlfn.SWITCH(B496,1,75,2,61,3,49,4,37,5,25,6,13,7,4,8,1)</f>
        <v>75</v>
      </c>
      <c r="K496" t="str" cm="1">
        <f t="array" ref="K496">IFERROR(_xlfn.SWITCH(L496,2,_xlfn.XLOOKUP(C496,[1]ModifierDes!$B:$B,[1]ModifierDes!$C:$C),3,_xlfn.XLOOKUP(C496,[1]StuntDes!$B:$B,[1]StuntDes!$C:$C)),"")</f>
        <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432</v>
      </c>
      <c r="D497" t="s">
        <v>32</v>
      </c>
      <c r="E497" t="s">
        <v>405</v>
      </c>
      <c r="F497"/>
      <c r="G497">
        <v>2</v>
      </c>
      <c r="H497">
        <v>1000</v>
      </c>
      <c r="J497" cm="1">
        <f t="array" ref="J497">_xlfn.SWITCH(B497,1,75,2,61,3,49,4,37,5,25,6,13,7,4,8,1)</f>
        <v>61</v>
      </c>
      <c r="K497" t="str" cm="1">
        <f t="array" ref="K497">IFERROR(_xlfn.SWITCH(L497,2,_xlfn.XLOOKUP(C497,[1]ModifierDes!$B:$B,[1]ModifierDes!$C:$C),3,_xlfn.XLOOKUP(C497,[1]StuntDes!$B:$B,[1]StuntDes!$C:$C)),"")</f>
        <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432</v>
      </c>
      <c r="D498" t="s">
        <v>32</v>
      </c>
      <c r="E498" t="s">
        <v>405</v>
      </c>
      <c r="F498"/>
      <c r="G498">
        <v>2</v>
      </c>
      <c r="H498">
        <v>1000</v>
      </c>
      <c r="J498" cm="1">
        <f t="array" ref="J498">_xlfn.SWITCH(B498,1,75,2,61,3,49,4,37,5,25,6,13,7,4,8,1)</f>
        <v>49</v>
      </c>
      <c r="K498" t="str" cm="1">
        <f t="array" ref="K498">IFERROR(_xlfn.SWITCH(L498,2,_xlfn.XLOOKUP(C498,[1]ModifierDes!$B:$B,[1]ModifierDes!$C:$C),3,_xlfn.XLOOKUP(C498,[1]StuntDes!$B:$B,[1]StuntDes!$C:$C)),"")</f>
        <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432</v>
      </c>
      <c r="D499" t="s">
        <v>32</v>
      </c>
      <c r="E499" t="s">
        <v>405</v>
      </c>
      <c r="F499"/>
      <c r="G499">
        <v>2</v>
      </c>
      <c r="H499">
        <v>1000</v>
      </c>
      <c r="J499" cm="1">
        <f t="array" ref="J499">_xlfn.SWITCH(B499,1,75,2,61,3,49,4,37,5,25,6,13,7,4,8,1)</f>
        <v>37</v>
      </c>
      <c r="K499" t="str" cm="1">
        <f t="array" ref="K499">IFERROR(_xlfn.SWITCH(L499,2,_xlfn.XLOOKUP(C499,[1]ModifierDes!$B:$B,[1]ModifierDes!$C:$C),3,_xlfn.XLOOKUP(C499,[1]StuntDes!$B:$B,[1]StuntDes!$C:$C)),"")</f>
        <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432</v>
      </c>
      <c r="D500" t="s">
        <v>32</v>
      </c>
      <c r="E500" t="s">
        <v>405</v>
      </c>
      <c r="F500"/>
      <c r="G500">
        <v>2</v>
      </c>
      <c r="H500">
        <v>1000</v>
      </c>
      <c r="J500" cm="1">
        <f t="array" ref="J500">_xlfn.SWITCH(B500,1,75,2,61,3,49,4,37,5,25,6,13,7,4,8,1)</f>
        <v>25</v>
      </c>
      <c r="K500" t="str" cm="1">
        <f t="array" ref="K500">IFERROR(_xlfn.SWITCH(L500,2,_xlfn.XLOOKUP(C500,[1]ModifierDes!$B:$B,[1]ModifierDes!$C:$C),3,_xlfn.XLOOKUP(C500,[1]StuntDes!$B:$B,[1]StuntDes!$C:$C)),"")</f>
        <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432</v>
      </c>
      <c r="D501" t="s">
        <v>32</v>
      </c>
      <c r="E501" t="s">
        <v>405</v>
      </c>
      <c r="F501"/>
      <c r="G501">
        <v>2</v>
      </c>
      <c r="H501">
        <v>1000</v>
      </c>
      <c r="J501" cm="1">
        <f t="array" ref="J501">_xlfn.SWITCH(B501,1,75,2,61,3,49,4,37,5,25,6,13,7,4,8,1)</f>
        <v>13</v>
      </c>
      <c r="K501" t="str" cm="1">
        <f t="array" ref="K501">IFERROR(_xlfn.SWITCH(L501,2,_xlfn.XLOOKUP(C501,[1]ModifierDes!$B:$B,[1]ModifierDes!$C:$C),3,_xlfn.XLOOKUP(C501,[1]StuntDes!$B:$B,[1]StuntDes!$C:$C)),"")</f>
        <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432</v>
      </c>
      <c r="D502" t="s">
        <v>32</v>
      </c>
      <c r="E502" t="s">
        <v>405</v>
      </c>
      <c r="F502"/>
      <c r="G502">
        <v>2</v>
      </c>
      <c r="H502">
        <v>1000</v>
      </c>
      <c r="J502" cm="1">
        <f t="array" ref="J502">_xlfn.SWITCH(B502,1,75,2,61,3,49,4,37,5,25,6,13,7,4,8,1)</f>
        <v>4</v>
      </c>
      <c r="K502" t="str" cm="1">
        <f t="array" ref="K502">IFERROR(_xlfn.SWITCH(L502,2,_xlfn.XLOOKUP(C502,[1]ModifierDes!$B:$B,[1]ModifierDes!$C:$C),3,_xlfn.XLOOKUP(C502,[1]StuntDes!$B:$B,[1]StuntDes!$C:$C)),"")</f>
        <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432</v>
      </c>
      <c r="D503" t="s">
        <v>32</v>
      </c>
      <c r="E503" t="s">
        <v>405</v>
      </c>
      <c r="F503"/>
      <c r="G503">
        <v>2</v>
      </c>
      <c r="H503">
        <v>1000</v>
      </c>
      <c r="J503" cm="1">
        <f t="array" ref="J503">_xlfn.SWITCH(B503,1,75,2,61,3,49,4,37,5,25,6,13,7,4,8,1)</f>
        <v>1</v>
      </c>
      <c r="K503" t="str" cm="1">
        <f t="array" ref="K503">IFERROR(_xlfn.SWITCH(L503,2,_xlfn.XLOOKUP(C503,[1]ModifierDes!$B:$B,[1]ModifierDes!$C:$C),3,_xlfn.XLOOKUP(C503,[1]StuntDes!$B:$B,[1]StuntDes!$C:$C)),"")</f>
        <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433</v>
      </c>
      <c r="D504" t="s">
        <v>32</v>
      </c>
      <c r="E504" t="s">
        <v>405</v>
      </c>
      <c r="F504"/>
      <c r="G504">
        <v>2</v>
      </c>
      <c r="H504">
        <v>1000</v>
      </c>
      <c r="J504" cm="1">
        <f t="array" ref="J504">_xlfn.SWITCH(B504,1,75,2,61,3,49,4,37,5,25,6,13,7,4,8,1)</f>
        <v>75</v>
      </c>
      <c r="K504" t="str" cm="1">
        <f t="array" ref="K504">IFERROR(_xlfn.SWITCH(L504,2,_xlfn.XLOOKUP(C504,[1]ModifierDes!$B:$B,[1]ModifierDes!$C:$C),3,_xlfn.XLOOKUP(C504,[1]StuntDes!$B:$B,[1]StuntDes!$C:$C)),"")</f>
        <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433</v>
      </c>
      <c r="D505" t="s">
        <v>32</v>
      </c>
      <c r="E505" t="s">
        <v>405</v>
      </c>
      <c r="F505"/>
      <c r="G505">
        <v>2</v>
      </c>
      <c r="H505">
        <v>1000</v>
      </c>
      <c r="J505" cm="1">
        <f t="array" ref="J505">_xlfn.SWITCH(B505,1,75,2,61,3,49,4,37,5,25,6,13,7,4,8,1)</f>
        <v>61</v>
      </c>
      <c r="K505" t="str" cm="1">
        <f t="array" ref="K505">IFERROR(_xlfn.SWITCH(L505,2,_xlfn.XLOOKUP(C505,[1]ModifierDes!$B:$B,[1]ModifierDes!$C:$C),3,_xlfn.XLOOKUP(C505,[1]StuntDes!$B:$B,[1]StuntDes!$C:$C)),"")</f>
        <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433</v>
      </c>
      <c r="D506" t="s">
        <v>32</v>
      </c>
      <c r="E506" t="s">
        <v>405</v>
      </c>
      <c r="F506"/>
      <c r="G506">
        <v>2</v>
      </c>
      <c r="H506">
        <v>1000</v>
      </c>
      <c r="J506" cm="1">
        <f t="array" ref="J506">_xlfn.SWITCH(B506,1,75,2,61,3,49,4,37,5,25,6,13,7,4,8,1)</f>
        <v>49</v>
      </c>
      <c r="K506" t="str" cm="1">
        <f t="array" ref="K506">IFERROR(_xlfn.SWITCH(L506,2,_xlfn.XLOOKUP(C506,[1]ModifierDes!$B:$B,[1]ModifierDes!$C:$C),3,_xlfn.XLOOKUP(C506,[1]StuntDes!$B:$B,[1]StuntDes!$C:$C)),"")</f>
        <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433</v>
      </c>
      <c r="D507" t="s">
        <v>32</v>
      </c>
      <c r="E507" t="s">
        <v>405</v>
      </c>
      <c r="F507"/>
      <c r="G507">
        <v>2</v>
      </c>
      <c r="H507">
        <v>1000</v>
      </c>
      <c r="J507" cm="1">
        <f t="array" ref="J507">_xlfn.SWITCH(B507,1,75,2,61,3,49,4,37,5,25,6,13,7,4,8,1)</f>
        <v>37</v>
      </c>
      <c r="K507" t="str" cm="1">
        <f t="array" ref="K507">IFERROR(_xlfn.SWITCH(L507,2,_xlfn.XLOOKUP(C507,[1]ModifierDes!$B:$B,[1]ModifierDes!$C:$C),3,_xlfn.XLOOKUP(C507,[1]StuntDes!$B:$B,[1]StuntDes!$C:$C)),"")</f>
        <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433</v>
      </c>
      <c r="D508" t="s">
        <v>32</v>
      </c>
      <c r="E508" t="s">
        <v>405</v>
      </c>
      <c r="F508"/>
      <c r="G508">
        <v>2</v>
      </c>
      <c r="H508">
        <v>1000</v>
      </c>
      <c r="J508" cm="1">
        <f t="array" ref="J508">_xlfn.SWITCH(B508,1,75,2,61,3,49,4,37,5,25,6,13,7,4,8,1)</f>
        <v>25</v>
      </c>
      <c r="K508" t="str" cm="1">
        <f t="array" ref="K508">IFERROR(_xlfn.SWITCH(L508,2,_xlfn.XLOOKUP(C508,[1]ModifierDes!$B:$B,[1]ModifierDes!$C:$C),3,_xlfn.XLOOKUP(C508,[1]StuntDes!$B:$B,[1]StuntDes!$C:$C)),"")</f>
        <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433</v>
      </c>
      <c r="D509" t="s">
        <v>32</v>
      </c>
      <c r="E509" t="s">
        <v>405</v>
      </c>
      <c r="F509"/>
      <c r="G509">
        <v>2</v>
      </c>
      <c r="H509">
        <v>1000</v>
      </c>
      <c r="J509" cm="1">
        <f t="array" ref="J509">_xlfn.SWITCH(B509,1,75,2,61,3,49,4,37,5,25,6,13,7,4,8,1)</f>
        <v>13</v>
      </c>
      <c r="K509" t="str" cm="1">
        <f t="array" ref="K509">IFERROR(_xlfn.SWITCH(L509,2,_xlfn.XLOOKUP(C509,[1]ModifierDes!$B:$B,[1]ModifierDes!$C:$C),3,_xlfn.XLOOKUP(C509,[1]StuntDes!$B:$B,[1]StuntDes!$C:$C)),"")</f>
        <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433</v>
      </c>
      <c r="D510" t="s">
        <v>32</v>
      </c>
      <c r="E510" t="s">
        <v>405</v>
      </c>
      <c r="F510"/>
      <c r="G510">
        <v>2</v>
      </c>
      <c r="H510">
        <v>1000</v>
      </c>
      <c r="J510" cm="1">
        <f t="array" ref="J510">_xlfn.SWITCH(B510,1,75,2,61,3,49,4,37,5,25,6,13,7,4,8,1)</f>
        <v>4</v>
      </c>
      <c r="K510" t="str" cm="1">
        <f t="array" ref="K510">IFERROR(_xlfn.SWITCH(L510,2,_xlfn.XLOOKUP(C510,[1]ModifierDes!$B:$B,[1]ModifierDes!$C:$C),3,_xlfn.XLOOKUP(C510,[1]StuntDes!$B:$B,[1]StuntDes!$C:$C)),"")</f>
        <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433</v>
      </c>
      <c r="D511" t="s">
        <v>32</v>
      </c>
      <c r="E511" t="s">
        <v>405</v>
      </c>
      <c r="F511"/>
      <c r="G511">
        <v>2</v>
      </c>
      <c r="H511">
        <v>1000</v>
      </c>
      <c r="J511" cm="1">
        <f t="array" ref="J511">_xlfn.SWITCH(B511,1,75,2,61,3,49,4,37,5,25,6,13,7,4,8,1)</f>
        <v>1</v>
      </c>
      <c r="K511" t="str" cm="1">
        <f t="array" ref="K511">IFERROR(_xlfn.SWITCH(L511,2,_xlfn.XLOOKUP(C511,[1]ModifierDes!$B:$B,[1]ModifierDes!$C:$C),3,_xlfn.XLOOKUP(C511,[1]StuntDes!$B:$B,[1]StuntDes!$C:$C)),"")</f>
        <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434</v>
      </c>
      <c r="D512" t="s">
        <v>32</v>
      </c>
      <c r="E512" t="s">
        <v>405</v>
      </c>
      <c r="F512"/>
      <c r="G512">
        <v>2</v>
      </c>
      <c r="H512">
        <v>1000</v>
      </c>
      <c r="J512" cm="1">
        <f t="array" ref="J512">_xlfn.SWITCH(B512,1,75,2,61,3,49,4,37,5,25,6,13,7,4,8,1)</f>
        <v>75</v>
      </c>
      <c r="K512" t="str" cm="1">
        <f t="array" ref="K512">IFERROR(_xlfn.SWITCH(L512,2,_xlfn.XLOOKUP(C512,[1]ModifierDes!$B:$B,[1]ModifierDes!$C:$C),3,_xlfn.XLOOKUP(C512,[1]StuntDes!$B:$B,[1]StuntDes!$C:$C)),"")</f>
        <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434</v>
      </c>
      <c r="D513" t="s">
        <v>32</v>
      </c>
      <c r="E513" t="s">
        <v>405</v>
      </c>
      <c r="F513"/>
      <c r="G513">
        <v>2</v>
      </c>
      <c r="H513">
        <v>1000</v>
      </c>
      <c r="J513" cm="1">
        <f t="array" ref="J513">_xlfn.SWITCH(B513,1,75,2,61,3,49,4,37,5,25,6,13,7,4,8,1)</f>
        <v>61</v>
      </c>
      <c r="K513" t="str" cm="1">
        <f t="array" ref="K513">IFERROR(_xlfn.SWITCH(L513,2,_xlfn.XLOOKUP(C513,[1]ModifierDes!$B:$B,[1]ModifierDes!$C:$C),3,_xlfn.XLOOKUP(C513,[1]StuntDes!$B:$B,[1]StuntDes!$C:$C)),"")</f>
        <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434</v>
      </c>
      <c r="D514" t="s">
        <v>32</v>
      </c>
      <c r="E514" t="s">
        <v>405</v>
      </c>
      <c r="F514"/>
      <c r="G514">
        <v>2</v>
      </c>
      <c r="H514">
        <v>1000</v>
      </c>
      <c r="J514" cm="1">
        <f t="array" ref="J514">_xlfn.SWITCH(B514,1,75,2,61,3,49,4,37,5,25,6,13,7,4,8,1)</f>
        <v>49</v>
      </c>
      <c r="K514" t="str" cm="1">
        <f t="array" ref="K514">IFERROR(_xlfn.SWITCH(L514,2,_xlfn.XLOOKUP(C514,[1]ModifierDes!$B:$B,[1]ModifierDes!$C:$C),3,_xlfn.XLOOKUP(C514,[1]StuntDes!$B:$B,[1]StuntDes!$C:$C)),"")</f>
        <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434</v>
      </c>
      <c r="D515" t="s">
        <v>32</v>
      </c>
      <c r="E515" t="s">
        <v>405</v>
      </c>
      <c r="F515"/>
      <c r="G515">
        <v>2</v>
      </c>
      <c r="H515">
        <v>1000</v>
      </c>
      <c r="J515" cm="1">
        <f t="array" ref="J515">_xlfn.SWITCH(B515,1,75,2,61,3,49,4,37,5,25,6,13,7,4,8,1)</f>
        <v>37</v>
      </c>
      <c r="K515" t="str" cm="1">
        <f t="array" ref="K515">IFERROR(_xlfn.SWITCH(L515,2,_xlfn.XLOOKUP(C515,[1]ModifierDes!$B:$B,[1]ModifierDes!$C:$C),3,_xlfn.XLOOKUP(C515,[1]StuntDes!$B:$B,[1]StuntDes!$C:$C)),"")</f>
        <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434</v>
      </c>
      <c r="D516" t="s">
        <v>32</v>
      </c>
      <c r="E516" t="s">
        <v>405</v>
      </c>
      <c r="F516"/>
      <c r="G516">
        <v>2</v>
      </c>
      <c r="H516">
        <v>1000</v>
      </c>
      <c r="J516" cm="1">
        <f t="array" ref="J516">_xlfn.SWITCH(B516,1,75,2,61,3,49,4,37,5,25,6,13,7,4,8,1)</f>
        <v>25</v>
      </c>
      <c r="K516" t="str" cm="1">
        <f t="array" ref="K516">IFERROR(_xlfn.SWITCH(L516,2,_xlfn.XLOOKUP(C516,[1]ModifierDes!$B:$B,[1]ModifierDes!$C:$C),3,_xlfn.XLOOKUP(C516,[1]StuntDes!$B:$B,[1]StuntDes!$C:$C)),"")</f>
        <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434</v>
      </c>
      <c r="D517" t="s">
        <v>32</v>
      </c>
      <c r="E517" t="s">
        <v>405</v>
      </c>
      <c r="F517"/>
      <c r="G517">
        <v>2</v>
      </c>
      <c r="H517">
        <v>1000</v>
      </c>
      <c r="J517" cm="1">
        <f t="array" ref="J517">_xlfn.SWITCH(B517,1,75,2,61,3,49,4,37,5,25,6,13,7,4,8,1)</f>
        <v>13</v>
      </c>
      <c r="K517" t="str" cm="1">
        <f t="array" ref="K517">IFERROR(_xlfn.SWITCH(L517,2,_xlfn.XLOOKUP(C517,[1]ModifierDes!$B:$B,[1]ModifierDes!$C:$C),3,_xlfn.XLOOKUP(C517,[1]StuntDes!$B:$B,[1]StuntDes!$C:$C)),"")</f>
        <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434</v>
      </c>
      <c r="D518" t="s">
        <v>32</v>
      </c>
      <c r="E518" t="s">
        <v>405</v>
      </c>
      <c r="F518"/>
      <c r="G518">
        <v>2</v>
      </c>
      <c r="H518">
        <v>1000</v>
      </c>
      <c r="J518" cm="1">
        <f t="array" ref="J518">_xlfn.SWITCH(B518,1,75,2,61,3,49,4,37,5,25,6,13,7,4,8,1)</f>
        <v>4</v>
      </c>
      <c r="K518" t="str" cm="1">
        <f t="array" ref="K518">IFERROR(_xlfn.SWITCH(L518,2,_xlfn.XLOOKUP(C518,[1]ModifierDes!$B:$B,[1]ModifierDes!$C:$C),3,_xlfn.XLOOKUP(C518,[1]StuntDes!$B:$B,[1]StuntDes!$C:$C)),"")</f>
        <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434</v>
      </c>
      <c r="D519" t="s">
        <v>32</v>
      </c>
      <c r="E519" t="s">
        <v>405</v>
      </c>
      <c r="F519"/>
      <c r="G519">
        <v>2</v>
      </c>
      <c r="H519">
        <v>1000</v>
      </c>
      <c r="J519" cm="1">
        <f t="array" ref="J519">_xlfn.SWITCH(B519,1,75,2,61,3,49,4,37,5,25,6,13,7,4,8,1)</f>
        <v>1</v>
      </c>
      <c r="K519" t="str" cm="1">
        <f t="array" ref="K519">IFERROR(_xlfn.SWITCH(L519,2,_xlfn.XLOOKUP(C519,[1]ModifierDes!$B:$B,[1]ModifierDes!$C:$C),3,_xlfn.XLOOKUP(C519,[1]StuntDes!$B:$B,[1]StuntDes!$C:$C)),"")</f>
        <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435</v>
      </c>
      <c r="D520" t="s">
        <v>32</v>
      </c>
      <c r="E520" t="s">
        <v>405</v>
      </c>
      <c r="F520"/>
      <c r="G520">
        <v>2</v>
      </c>
      <c r="H520">
        <v>1000</v>
      </c>
      <c r="J520" cm="1">
        <f t="array" ref="J520">_xlfn.SWITCH(B520,1,75,2,61,3,49,4,37,5,25,6,13,7,4,8,1)</f>
        <v>75</v>
      </c>
      <c r="K520" t="str" cm="1">
        <f t="array" ref="K520">IFERROR(_xlfn.SWITCH(L520,2,_xlfn.XLOOKUP(C520,[1]ModifierDes!$B:$B,[1]ModifierDes!$C:$C),3,_xlfn.XLOOKUP(C520,[1]StuntDes!$B:$B,[1]StuntDes!$C:$C)),"")</f>
        <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435</v>
      </c>
      <c r="D521" t="s">
        <v>32</v>
      </c>
      <c r="E521" t="s">
        <v>405</v>
      </c>
      <c r="F521"/>
      <c r="G521">
        <v>2</v>
      </c>
      <c r="H521">
        <v>1000</v>
      </c>
      <c r="J521" cm="1">
        <f t="array" ref="J521">_xlfn.SWITCH(B521,1,75,2,61,3,49,4,37,5,25,6,13,7,4,8,1)</f>
        <v>61</v>
      </c>
      <c r="K521" t="str" cm="1">
        <f t="array" ref="K521">IFERROR(_xlfn.SWITCH(L521,2,_xlfn.XLOOKUP(C521,[1]ModifierDes!$B:$B,[1]ModifierDes!$C:$C),3,_xlfn.XLOOKUP(C521,[1]StuntDes!$B:$B,[1]StuntDes!$C:$C)),"")</f>
        <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435</v>
      </c>
      <c r="D522" t="s">
        <v>32</v>
      </c>
      <c r="E522" t="s">
        <v>405</v>
      </c>
      <c r="F522"/>
      <c r="G522">
        <v>2</v>
      </c>
      <c r="H522">
        <v>1000</v>
      </c>
      <c r="J522" cm="1">
        <f t="array" ref="J522">_xlfn.SWITCH(B522,1,75,2,61,3,49,4,37,5,25,6,13,7,4,8,1)</f>
        <v>49</v>
      </c>
      <c r="K522" t="str" cm="1">
        <f t="array" ref="K522">IFERROR(_xlfn.SWITCH(L522,2,_xlfn.XLOOKUP(C522,[1]ModifierDes!$B:$B,[1]ModifierDes!$C:$C),3,_xlfn.XLOOKUP(C522,[1]StuntDes!$B:$B,[1]StuntDes!$C:$C)),"")</f>
        <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435</v>
      </c>
      <c r="D523" t="s">
        <v>32</v>
      </c>
      <c r="E523" t="s">
        <v>405</v>
      </c>
      <c r="F523"/>
      <c r="G523">
        <v>2</v>
      </c>
      <c r="H523">
        <v>1000</v>
      </c>
      <c r="J523" cm="1">
        <f t="array" ref="J523">_xlfn.SWITCH(B523,1,75,2,61,3,49,4,37,5,25,6,13,7,4,8,1)</f>
        <v>37</v>
      </c>
      <c r="K523" t="str" cm="1">
        <f t="array" ref="K523">IFERROR(_xlfn.SWITCH(L523,2,_xlfn.XLOOKUP(C523,[1]ModifierDes!$B:$B,[1]ModifierDes!$C:$C),3,_xlfn.XLOOKUP(C523,[1]StuntDes!$B:$B,[1]StuntDes!$C:$C)),"")</f>
        <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435</v>
      </c>
      <c r="D524" t="s">
        <v>32</v>
      </c>
      <c r="E524" t="s">
        <v>405</v>
      </c>
      <c r="F524"/>
      <c r="G524">
        <v>2</v>
      </c>
      <c r="H524">
        <v>1000</v>
      </c>
      <c r="J524" cm="1">
        <f t="array" ref="J524">_xlfn.SWITCH(B524,1,75,2,61,3,49,4,37,5,25,6,13,7,4,8,1)</f>
        <v>25</v>
      </c>
      <c r="K524" t="str" cm="1">
        <f t="array" ref="K524">IFERROR(_xlfn.SWITCH(L524,2,_xlfn.XLOOKUP(C524,[1]ModifierDes!$B:$B,[1]ModifierDes!$C:$C),3,_xlfn.XLOOKUP(C524,[1]StuntDes!$B:$B,[1]StuntDes!$C:$C)),"")</f>
        <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435</v>
      </c>
      <c r="D525" t="s">
        <v>32</v>
      </c>
      <c r="E525" t="s">
        <v>405</v>
      </c>
      <c r="F525"/>
      <c r="G525">
        <v>2</v>
      </c>
      <c r="H525">
        <v>1000</v>
      </c>
      <c r="J525" cm="1">
        <f t="array" ref="J525">_xlfn.SWITCH(B525,1,75,2,61,3,49,4,37,5,25,6,13,7,4,8,1)</f>
        <v>13</v>
      </c>
      <c r="K525" t="str" cm="1">
        <f t="array" ref="K525">IFERROR(_xlfn.SWITCH(L525,2,_xlfn.XLOOKUP(C525,[1]ModifierDes!$B:$B,[1]ModifierDes!$C:$C),3,_xlfn.XLOOKUP(C525,[1]StuntDes!$B:$B,[1]StuntDes!$C:$C)),"")</f>
        <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435</v>
      </c>
      <c r="D526" t="s">
        <v>32</v>
      </c>
      <c r="E526" t="s">
        <v>405</v>
      </c>
      <c r="F526"/>
      <c r="G526">
        <v>2</v>
      </c>
      <c r="H526">
        <v>1000</v>
      </c>
      <c r="J526" cm="1">
        <f t="array" ref="J526">_xlfn.SWITCH(B526,1,75,2,61,3,49,4,37,5,25,6,13,7,4,8,1)</f>
        <v>4</v>
      </c>
      <c r="K526" t="str" cm="1">
        <f t="array" ref="K526">IFERROR(_xlfn.SWITCH(L526,2,_xlfn.XLOOKUP(C526,[1]ModifierDes!$B:$B,[1]ModifierDes!$C:$C),3,_xlfn.XLOOKUP(C526,[1]StuntDes!$B:$B,[1]StuntDes!$C:$C)),"")</f>
        <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435</v>
      </c>
      <c r="D527" t="s">
        <v>32</v>
      </c>
      <c r="E527" t="s">
        <v>405</v>
      </c>
      <c r="F527"/>
      <c r="G527">
        <v>2</v>
      </c>
      <c r="H527">
        <v>1000</v>
      </c>
      <c r="J527" cm="1">
        <f t="array" ref="J527">_xlfn.SWITCH(B527,1,75,2,61,3,49,4,37,5,25,6,13,7,4,8,1)</f>
        <v>1</v>
      </c>
      <c r="K527" t="str" cm="1">
        <f t="array" ref="K527">IFERROR(_xlfn.SWITCH(L527,2,_xlfn.XLOOKUP(C527,[1]ModifierDes!$B:$B,[1]ModifierDes!$C:$C),3,_xlfn.XLOOKUP(C527,[1]StuntDes!$B:$B,[1]StuntDes!$C:$C)),"")</f>
        <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436</v>
      </c>
      <c r="D528" t="s">
        <v>32</v>
      </c>
      <c r="E528" t="s">
        <v>405</v>
      </c>
      <c r="F528"/>
      <c r="G528">
        <v>2</v>
      </c>
      <c r="H528">
        <v>250</v>
      </c>
      <c r="J528" cm="1">
        <f t="array" ref="J528">_xlfn.SWITCH(B528,1,75,2,61,3,49,4,37,5,25,6,13,7,4,8,1)</f>
        <v>75</v>
      </c>
      <c r="K528" t="str" cm="1">
        <f t="array" ref="K528">IFERROR(_xlfn.SWITCH(L528,2,_xlfn.XLOOKUP(C528,[1]ModifierDes!$B:$B,[1]ModifierDes!$C:$C),3,_xlfn.XLOOKUP(C528,[1]StuntDes!$B:$B,[1]StuntDes!$C:$C)),"")</f>
        <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436</v>
      </c>
      <c r="D529" t="s">
        <v>32</v>
      </c>
      <c r="E529" t="s">
        <v>405</v>
      </c>
      <c r="F529"/>
      <c r="G529">
        <v>2</v>
      </c>
      <c r="H529">
        <v>250</v>
      </c>
      <c r="J529" cm="1">
        <f t="array" ref="J529">_xlfn.SWITCH(B529,1,75,2,61,3,49,4,37,5,25,6,13,7,4,8,1)</f>
        <v>61</v>
      </c>
      <c r="K529" t="str" cm="1">
        <f t="array" ref="K529">IFERROR(_xlfn.SWITCH(L529,2,_xlfn.XLOOKUP(C529,[1]ModifierDes!$B:$B,[1]ModifierDes!$C:$C),3,_xlfn.XLOOKUP(C529,[1]StuntDes!$B:$B,[1]StuntDes!$C:$C)),"")</f>
        <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436</v>
      </c>
      <c r="D530" t="s">
        <v>32</v>
      </c>
      <c r="E530" t="s">
        <v>405</v>
      </c>
      <c r="F530"/>
      <c r="G530">
        <v>2</v>
      </c>
      <c r="H530">
        <v>250</v>
      </c>
      <c r="J530" cm="1">
        <f t="array" ref="J530">_xlfn.SWITCH(B530,1,75,2,61,3,49,4,37,5,25,6,13,7,4,8,1)</f>
        <v>49</v>
      </c>
      <c r="K530" t="str" cm="1">
        <f t="array" ref="K530">IFERROR(_xlfn.SWITCH(L530,2,_xlfn.XLOOKUP(C530,[1]ModifierDes!$B:$B,[1]ModifierDes!$C:$C),3,_xlfn.XLOOKUP(C530,[1]StuntDes!$B:$B,[1]StuntDes!$C:$C)),"")</f>
        <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436</v>
      </c>
      <c r="D531" t="s">
        <v>32</v>
      </c>
      <c r="E531" t="s">
        <v>405</v>
      </c>
      <c r="F531"/>
      <c r="G531">
        <v>2</v>
      </c>
      <c r="H531">
        <v>250</v>
      </c>
      <c r="J531" cm="1">
        <f t="array" ref="J531">_xlfn.SWITCH(B531,1,75,2,61,3,49,4,37,5,25,6,13,7,4,8,1)</f>
        <v>37</v>
      </c>
      <c r="K531" t="str" cm="1">
        <f t="array" ref="K531">IFERROR(_xlfn.SWITCH(L531,2,_xlfn.XLOOKUP(C531,[1]ModifierDes!$B:$B,[1]ModifierDes!$C:$C),3,_xlfn.XLOOKUP(C531,[1]StuntDes!$B:$B,[1]StuntDes!$C:$C)),"")</f>
        <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436</v>
      </c>
      <c r="D532" t="s">
        <v>32</v>
      </c>
      <c r="E532" t="s">
        <v>405</v>
      </c>
      <c r="F532"/>
      <c r="G532">
        <v>2</v>
      </c>
      <c r="H532">
        <v>250</v>
      </c>
      <c r="J532" cm="1">
        <f t="array" ref="J532">_xlfn.SWITCH(B532,1,75,2,61,3,49,4,37,5,25,6,13,7,4,8,1)</f>
        <v>25</v>
      </c>
      <c r="K532" t="str" cm="1">
        <f t="array" ref="K532">IFERROR(_xlfn.SWITCH(L532,2,_xlfn.XLOOKUP(C532,[1]ModifierDes!$B:$B,[1]ModifierDes!$C:$C),3,_xlfn.XLOOKUP(C532,[1]StuntDes!$B:$B,[1]StuntDes!$C:$C)),"")</f>
        <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436</v>
      </c>
      <c r="D533" t="s">
        <v>32</v>
      </c>
      <c r="E533" t="s">
        <v>405</v>
      </c>
      <c r="F533"/>
      <c r="G533">
        <v>2</v>
      </c>
      <c r="H533">
        <v>250</v>
      </c>
      <c r="J533" cm="1">
        <f t="array" ref="J533">_xlfn.SWITCH(B533,1,75,2,61,3,49,4,37,5,25,6,13,7,4,8,1)</f>
        <v>13</v>
      </c>
      <c r="K533" t="str" cm="1">
        <f t="array" ref="K533">IFERROR(_xlfn.SWITCH(L533,2,_xlfn.XLOOKUP(C533,[1]ModifierDes!$B:$B,[1]ModifierDes!$C:$C),3,_xlfn.XLOOKUP(C533,[1]StuntDes!$B:$B,[1]StuntDes!$C:$C)),"")</f>
        <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436</v>
      </c>
      <c r="D534" t="s">
        <v>32</v>
      </c>
      <c r="E534" t="s">
        <v>405</v>
      </c>
      <c r="F534"/>
      <c r="G534">
        <v>2</v>
      </c>
      <c r="H534">
        <v>250</v>
      </c>
      <c r="J534" cm="1">
        <f t="array" ref="J534">_xlfn.SWITCH(B534,1,75,2,61,3,49,4,37,5,25,6,13,7,4,8,1)</f>
        <v>4</v>
      </c>
      <c r="K534" t="str" cm="1">
        <f t="array" ref="K534">IFERROR(_xlfn.SWITCH(L534,2,_xlfn.XLOOKUP(C534,[1]ModifierDes!$B:$B,[1]ModifierDes!$C:$C),3,_xlfn.XLOOKUP(C534,[1]StuntDes!$B:$B,[1]StuntDes!$C:$C)),"")</f>
        <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436</v>
      </c>
      <c r="D535" t="s">
        <v>32</v>
      </c>
      <c r="E535" t="s">
        <v>405</v>
      </c>
      <c r="F535"/>
      <c r="G535">
        <v>2</v>
      </c>
      <c r="H535">
        <v>1000</v>
      </c>
      <c r="J535" cm="1">
        <f t="array" ref="J535">_xlfn.SWITCH(B535,1,75,2,61,3,49,4,37,5,25,6,13,7,4,8,1)</f>
        <v>1</v>
      </c>
      <c r="K535" t="str" cm="1">
        <f t="array" ref="K535">IFERROR(_xlfn.SWITCH(L535,2,_xlfn.XLOOKUP(C535,[1]ModifierDes!$B:$B,[1]ModifierDes!$C:$C),3,_xlfn.XLOOKUP(C535,[1]StuntDes!$B:$B,[1]StuntDes!$C:$C)),"")</f>
        <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411</v>
      </c>
      <c r="D536" t="s">
        <v>32</v>
      </c>
      <c r="E536" t="s">
        <v>405</v>
      </c>
      <c r="G536">
        <v>2</v>
      </c>
      <c r="H536">
        <v>100</v>
      </c>
      <c r="I536"/>
      <c r="J536" cm="1">
        <f t="array" ref="J536">_xlfn.SWITCH(B536,1,75,2,61,3,49,4,37,5,25,6,13,7,4,8,1)</f>
        <v>75</v>
      </c>
      <c r="K536" t="str" cm="1">
        <f t="array" ref="K536">IFERROR(_xlfn.SWITCH(L536,2,_xlfn.XLOOKUP(C536,[1]ModifierDes!$B:$B,[1]ModifierDes!$C:$C),3,_xlfn.XLOOKUP(C536,[1]StuntDes!$B:$B,[1]StuntDes!$C:$C)),"")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411</v>
      </c>
      <c r="D537" t="s">
        <v>32</v>
      </c>
      <c r="E537" t="s">
        <v>405</v>
      </c>
      <c r="G537">
        <v>2</v>
      </c>
      <c r="H537">
        <v>200</v>
      </c>
      <c r="I537"/>
      <c r="J537" cm="1">
        <f t="array" ref="J537">_xlfn.SWITCH(B537,1,75,2,61,3,49,4,37,5,25,6,13,7,4,8,1)</f>
        <v>61</v>
      </c>
      <c r="K537" t="str" cm="1">
        <f t="array" ref="K537">IFERROR(_xlfn.SWITCH(L537,2,_xlfn.XLOOKUP(C537,[1]ModifierDes!$B:$B,[1]ModifierDes!$C:$C),3,_xlfn.XLOOKUP(C537,[1]StuntDes!$B:$B,[1]StuntDes!$C:$C)),"")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411</v>
      </c>
      <c r="D538" t="s">
        <v>32</v>
      </c>
      <c r="E538" t="s">
        <v>405</v>
      </c>
      <c r="G538">
        <v>2</v>
      </c>
      <c r="H538">
        <v>400</v>
      </c>
      <c r="I538"/>
      <c r="J538" cm="1">
        <f t="array" ref="J538">_xlfn.SWITCH(B538,1,75,2,61,3,49,4,37,5,25,6,13,7,4,8,1)</f>
        <v>49</v>
      </c>
      <c r="K538" t="str" cm="1">
        <f t="array" ref="K538">IFERROR(_xlfn.SWITCH(L538,2,_xlfn.XLOOKUP(C538,[1]ModifierDes!$B:$B,[1]ModifierDes!$C:$C),3,_xlfn.XLOOKUP(C538,[1]StuntDes!$B:$B,[1]StuntDes!$C:$C)),"")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411</v>
      </c>
      <c r="D539" t="s">
        <v>32</v>
      </c>
      <c r="E539" t="s">
        <v>405</v>
      </c>
      <c r="G539">
        <v>2</v>
      </c>
      <c r="H539">
        <v>600</v>
      </c>
      <c r="I539"/>
      <c r="J539" cm="1">
        <f t="array" ref="J539">_xlfn.SWITCH(B539,1,75,2,61,3,49,4,37,5,25,6,13,7,4,8,1)</f>
        <v>37</v>
      </c>
      <c r="K539" t="str" cm="1">
        <f t="array" ref="K539">IFERROR(_xlfn.SWITCH(L539,2,_xlfn.XLOOKUP(C539,[1]ModifierDes!$B:$B,[1]ModifierDes!$C:$C),3,_xlfn.XLOOKUP(C539,[1]StuntDes!$B:$B,[1]StuntDes!$C:$C)),"")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411</v>
      </c>
      <c r="D540" t="s">
        <v>32</v>
      </c>
      <c r="E540" t="s">
        <v>405</v>
      </c>
      <c r="G540">
        <v>2</v>
      </c>
      <c r="H540">
        <v>800</v>
      </c>
      <c r="I540"/>
      <c r="J540" cm="1">
        <f t="array" ref="J540">_xlfn.SWITCH(B540,1,75,2,61,3,49,4,37,5,25,6,13,7,4,8,1)</f>
        <v>25</v>
      </c>
      <c r="K540" t="str" cm="1">
        <f t="array" ref="K540">IFERROR(_xlfn.SWITCH(L540,2,_xlfn.XLOOKUP(C540,[1]ModifierDes!$B:$B,[1]ModifierDes!$C:$C),3,_xlfn.XLOOKUP(C540,[1]StuntDes!$B:$B,[1]StuntDes!$C:$C)),"")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411</v>
      </c>
      <c r="D541" t="s">
        <v>32</v>
      </c>
      <c r="E541" t="s">
        <v>405</v>
      </c>
      <c r="G541">
        <v>2</v>
      </c>
      <c r="H541">
        <v>1000</v>
      </c>
      <c r="I541"/>
      <c r="J541" cm="1">
        <f t="array" ref="J541">_xlfn.SWITCH(B541,1,75,2,61,3,49,4,37,5,25,6,13,7,4,8,1)</f>
        <v>13</v>
      </c>
      <c r="K541" t="str" cm="1">
        <f t="array" ref="K541">IFERROR(_xlfn.SWITCH(L541,2,_xlfn.XLOOKUP(C541,[1]ModifierDes!$B:$B,[1]ModifierDes!$C:$C),3,_xlfn.XLOOKUP(C541,[1]StuntDes!$B:$B,[1]StuntDes!$C:$C)),"")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411</v>
      </c>
      <c r="D542" t="s">
        <v>32</v>
      </c>
      <c r="E542" t="s">
        <v>405</v>
      </c>
      <c r="G542">
        <v>2</v>
      </c>
      <c r="H542">
        <v>1000</v>
      </c>
      <c r="I542"/>
      <c r="J542" cm="1">
        <f t="array" ref="J542">_xlfn.SWITCH(B542,1,75,2,61,3,49,4,37,5,25,6,13,7,4,8,1)</f>
        <v>4</v>
      </c>
      <c r="K542" t="str" cm="1">
        <f t="array" ref="K542">IFERROR(_xlfn.SWITCH(L542,2,_xlfn.XLOOKUP(C542,[1]ModifierDes!$B:$B,[1]ModifierDes!$C:$C),3,_xlfn.XLOOKUP(C542,[1]StuntDes!$B:$B,[1]StuntDes!$C:$C)),"")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411</v>
      </c>
      <c r="D543" t="s">
        <v>32</v>
      </c>
      <c r="E543" t="s">
        <v>405</v>
      </c>
      <c r="G543">
        <v>2</v>
      </c>
      <c r="H543">
        <v>1000</v>
      </c>
      <c r="I543"/>
      <c r="J543" cm="1">
        <f t="array" ref="J543">_xlfn.SWITCH(B543,1,75,2,61,3,49,4,37,5,25,6,13,7,4,8,1)</f>
        <v>1</v>
      </c>
      <c r="K543" t="str" cm="1">
        <f t="array" ref="K543">IFERROR(_xlfn.SWITCH(L543,2,_xlfn.XLOOKUP(C543,[1]ModifierDes!$B:$B,[1]ModifierDes!$C:$C),3,_xlfn.XLOOKUP(C543,[1]StuntDes!$B:$B,[1]StuntDes!$C:$C)),"")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437</v>
      </c>
      <c r="D544" t="s">
        <v>32</v>
      </c>
      <c r="E544" t="s">
        <v>405</v>
      </c>
      <c r="G544">
        <v>2</v>
      </c>
      <c r="H544">
        <v>100</v>
      </c>
      <c r="I544"/>
      <c r="J544" cm="1">
        <f t="array" ref="J544">_xlfn.SWITCH(B544,1,75,2,61,3,49,4,37,5,25,6,13,7,4,8,1)</f>
        <v>75</v>
      </c>
      <c r="K544" t="str" cm="1">
        <f t="array" ref="K544">IFERROR(_xlfn.SWITCH(L544,2,_xlfn.XLOOKUP(C544,[1]ModifierDes!$B:$B,[1]ModifierDes!$C:$C),3,_xlfn.XLOOKUP(C544,[1]StuntDes!$B:$B,[1]StuntDes!$C:$C)),"")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437</v>
      </c>
      <c r="D545" t="s">
        <v>32</v>
      </c>
      <c r="E545" t="s">
        <v>405</v>
      </c>
      <c r="G545">
        <v>2</v>
      </c>
      <c r="H545">
        <v>200</v>
      </c>
      <c r="I545"/>
      <c r="J545" cm="1">
        <f t="array" ref="J545">_xlfn.SWITCH(B545,1,75,2,61,3,49,4,37,5,25,6,13,7,4,8,1)</f>
        <v>61</v>
      </c>
      <c r="K545" t="str" cm="1">
        <f t="array" ref="K545">IFERROR(_xlfn.SWITCH(L545,2,_xlfn.XLOOKUP(C545,[1]ModifierDes!$B:$B,[1]ModifierDes!$C:$C),3,_xlfn.XLOOKUP(C545,[1]StuntDes!$B:$B,[1]StuntDes!$C:$C)),"")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437</v>
      </c>
      <c r="D546" t="s">
        <v>32</v>
      </c>
      <c r="E546" t="s">
        <v>405</v>
      </c>
      <c r="G546">
        <v>2</v>
      </c>
      <c r="H546">
        <v>400</v>
      </c>
      <c r="I546"/>
      <c r="J546" cm="1">
        <f t="array" ref="J546">_xlfn.SWITCH(B546,1,75,2,61,3,49,4,37,5,25,6,13,7,4,8,1)</f>
        <v>49</v>
      </c>
      <c r="K546" t="str" cm="1">
        <f t="array" ref="K546">IFERROR(_xlfn.SWITCH(L546,2,_xlfn.XLOOKUP(C546,[1]ModifierDes!$B:$B,[1]ModifierDes!$C:$C),3,_xlfn.XLOOKUP(C546,[1]StuntDes!$B:$B,[1]StuntDes!$C:$C)),"")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437</v>
      </c>
      <c r="D547" t="s">
        <v>32</v>
      </c>
      <c r="E547" t="s">
        <v>405</v>
      </c>
      <c r="G547">
        <v>2</v>
      </c>
      <c r="H547">
        <v>600</v>
      </c>
      <c r="I547"/>
      <c r="J547" cm="1">
        <f t="array" ref="J547">_xlfn.SWITCH(B547,1,75,2,61,3,49,4,37,5,25,6,13,7,4,8,1)</f>
        <v>37</v>
      </c>
      <c r="K547" t="str" cm="1">
        <f t="array" ref="K547">IFERROR(_xlfn.SWITCH(L547,2,_xlfn.XLOOKUP(C547,[1]ModifierDes!$B:$B,[1]ModifierDes!$C:$C),3,_xlfn.XLOOKUP(C547,[1]StuntDes!$B:$B,[1]StuntDes!$C:$C)),"")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437</v>
      </c>
      <c r="D548" t="s">
        <v>32</v>
      </c>
      <c r="E548" t="s">
        <v>405</v>
      </c>
      <c r="G548">
        <v>2</v>
      </c>
      <c r="H548">
        <v>800</v>
      </c>
      <c r="I548"/>
      <c r="J548" cm="1">
        <f t="array" ref="J548">_xlfn.SWITCH(B548,1,75,2,61,3,49,4,37,5,25,6,13,7,4,8,1)</f>
        <v>25</v>
      </c>
      <c r="K548" t="str" cm="1">
        <f t="array" ref="K548">IFERROR(_xlfn.SWITCH(L548,2,_xlfn.XLOOKUP(C548,[1]ModifierDes!$B:$B,[1]ModifierDes!$C:$C),3,_xlfn.XLOOKUP(C548,[1]StuntDes!$B:$B,[1]StuntDes!$C:$C)),"")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437</v>
      </c>
      <c r="D549" t="s">
        <v>32</v>
      </c>
      <c r="E549" t="s">
        <v>405</v>
      </c>
      <c r="G549">
        <v>2</v>
      </c>
      <c r="H549">
        <v>1000</v>
      </c>
      <c r="I549"/>
      <c r="J549" cm="1">
        <f t="array" ref="J549">_xlfn.SWITCH(B549,1,75,2,61,3,49,4,37,5,25,6,13,7,4,8,1)</f>
        <v>13</v>
      </c>
      <c r="K549" t="str" cm="1">
        <f t="array" ref="K549">IFERROR(_xlfn.SWITCH(L549,2,_xlfn.XLOOKUP(C549,[1]ModifierDes!$B:$B,[1]ModifierDes!$C:$C),3,_xlfn.XLOOKUP(C549,[1]StuntDes!$B:$B,[1]StuntDes!$C:$C)),"")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437</v>
      </c>
      <c r="D550" t="s">
        <v>32</v>
      </c>
      <c r="E550" t="s">
        <v>405</v>
      </c>
      <c r="G550">
        <v>2</v>
      </c>
      <c r="H550">
        <v>1000</v>
      </c>
      <c r="I550"/>
      <c r="J550" cm="1">
        <f t="array" ref="J550">_xlfn.SWITCH(B550,1,75,2,61,3,49,4,37,5,25,6,13,7,4,8,1)</f>
        <v>4</v>
      </c>
      <c r="K550" t="str" cm="1">
        <f t="array" ref="K550">IFERROR(_xlfn.SWITCH(L550,2,_xlfn.XLOOKUP(C550,[1]ModifierDes!$B:$B,[1]ModifierDes!$C:$C),3,_xlfn.XLOOKUP(C550,[1]StuntDes!$B:$B,[1]StuntDes!$C:$C)),"")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437</v>
      </c>
      <c r="D551" t="s">
        <v>32</v>
      </c>
      <c r="E551" t="s">
        <v>405</v>
      </c>
      <c r="G551">
        <v>2</v>
      </c>
      <c r="H551">
        <v>1000</v>
      </c>
      <c r="I551"/>
      <c r="J551" cm="1">
        <f t="array" ref="J551">_xlfn.SWITCH(B551,1,75,2,61,3,49,4,37,5,25,6,13,7,4,8,1)</f>
        <v>1</v>
      </c>
      <c r="K551" t="str" cm="1">
        <f t="array" ref="K551">IFERROR(_xlfn.SWITCH(L551,2,_xlfn.XLOOKUP(C551,[1]ModifierDes!$B:$B,[1]ModifierDes!$C:$C),3,_xlfn.XLOOKUP(C551,[1]StuntDes!$B:$B,[1]StuntDes!$C:$C)),"")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412</v>
      </c>
      <c r="D552" t="s">
        <v>32</v>
      </c>
      <c r="E552" t="s">
        <v>405</v>
      </c>
      <c r="F552"/>
      <c r="G552">
        <v>2</v>
      </c>
      <c r="H552">
        <v>100</v>
      </c>
      <c r="I552"/>
      <c r="J552" cm="1">
        <f t="array" ref="J552">_xlfn.SWITCH(B552,1,75,2,61,3,49,4,37,5,25,6,13,7,4,8,1)</f>
        <v>75</v>
      </c>
      <c r="K552" t="str" cm="1">
        <f t="array" ref="K552">IFERROR(_xlfn.SWITCH(L552,2,_xlfn.XLOOKUP(C552,[1]ModifierDes!$B:$B,[1]ModifierDes!$C:$C),3,_xlfn.XLOOKUP(C552,[1]StuntDes!$B:$B,[1]StuntDes!$C:$C)),"")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412</v>
      </c>
      <c r="D553" t="s">
        <v>32</v>
      </c>
      <c r="E553" t="s">
        <v>405</v>
      </c>
      <c r="F553"/>
      <c r="G553">
        <v>2</v>
      </c>
      <c r="H553">
        <v>200</v>
      </c>
      <c r="I553"/>
      <c r="J553" cm="1">
        <f t="array" ref="J553">_xlfn.SWITCH(B553,1,75,2,61,3,49,4,37,5,25,6,13,7,4,8,1)</f>
        <v>61</v>
      </c>
      <c r="K553" t="str" cm="1">
        <f t="array" ref="K553">IFERROR(_xlfn.SWITCH(L553,2,_xlfn.XLOOKUP(C553,[1]ModifierDes!$B:$B,[1]ModifierDes!$C:$C),3,_xlfn.XLOOKUP(C553,[1]StuntDes!$B:$B,[1]StuntDes!$C:$C)),"")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412</v>
      </c>
      <c r="D554" t="s">
        <v>32</v>
      </c>
      <c r="E554" t="s">
        <v>405</v>
      </c>
      <c r="F554"/>
      <c r="G554">
        <v>2</v>
      </c>
      <c r="H554">
        <v>400</v>
      </c>
      <c r="I554"/>
      <c r="J554" cm="1">
        <f t="array" ref="J554">_xlfn.SWITCH(B554,1,75,2,61,3,49,4,37,5,25,6,13,7,4,8,1)</f>
        <v>49</v>
      </c>
      <c r="K554" t="str" cm="1">
        <f t="array" ref="K554">IFERROR(_xlfn.SWITCH(L554,2,_xlfn.XLOOKUP(C554,[1]ModifierDes!$B:$B,[1]ModifierDes!$C:$C),3,_xlfn.XLOOKUP(C554,[1]StuntDes!$B:$B,[1]StuntDes!$C:$C)),"")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412</v>
      </c>
      <c r="D555" t="s">
        <v>32</v>
      </c>
      <c r="E555" t="s">
        <v>405</v>
      </c>
      <c r="F555"/>
      <c r="G555">
        <v>2</v>
      </c>
      <c r="H555">
        <v>600</v>
      </c>
      <c r="I555"/>
      <c r="J555" cm="1">
        <f t="array" ref="J555">_xlfn.SWITCH(B555,1,75,2,61,3,49,4,37,5,25,6,13,7,4,8,1)</f>
        <v>37</v>
      </c>
      <c r="K555" t="str" cm="1">
        <f t="array" ref="K555">IFERROR(_xlfn.SWITCH(L555,2,_xlfn.XLOOKUP(C555,[1]ModifierDes!$B:$B,[1]ModifierDes!$C:$C),3,_xlfn.XLOOKUP(C555,[1]StuntDes!$B:$B,[1]StuntDes!$C:$C)),"")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412</v>
      </c>
      <c r="D556" t="s">
        <v>32</v>
      </c>
      <c r="E556" t="s">
        <v>405</v>
      </c>
      <c r="F556"/>
      <c r="G556">
        <v>2</v>
      </c>
      <c r="H556">
        <v>800</v>
      </c>
      <c r="I556"/>
      <c r="J556" cm="1">
        <f t="array" ref="J556">_xlfn.SWITCH(B556,1,75,2,61,3,49,4,37,5,25,6,13,7,4,8,1)</f>
        <v>25</v>
      </c>
      <c r="K556" t="str" cm="1">
        <f t="array" ref="K556">IFERROR(_xlfn.SWITCH(L556,2,_xlfn.XLOOKUP(C556,[1]ModifierDes!$B:$B,[1]ModifierDes!$C:$C),3,_xlfn.XLOOKUP(C556,[1]StuntDes!$B:$B,[1]StuntDes!$C:$C)),"")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412</v>
      </c>
      <c r="D557" t="s">
        <v>32</v>
      </c>
      <c r="E557" t="s">
        <v>405</v>
      </c>
      <c r="F557"/>
      <c r="G557">
        <v>2</v>
      </c>
      <c r="H557">
        <v>1000</v>
      </c>
      <c r="I557"/>
      <c r="J557" cm="1">
        <f t="array" ref="J557">_xlfn.SWITCH(B557,1,75,2,61,3,49,4,37,5,25,6,13,7,4,8,1)</f>
        <v>13</v>
      </c>
      <c r="K557" t="str" cm="1">
        <f t="array" ref="K557">IFERROR(_xlfn.SWITCH(L557,2,_xlfn.XLOOKUP(C557,[1]ModifierDes!$B:$B,[1]ModifierDes!$C:$C),3,_xlfn.XLOOKUP(C557,[1]StuntDes!$B:$B,[1]StuntDes!$C:$C)),"")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412</v>
      </c>
      <c r="D558" t="s">
        <v>32</v>
      </c>
      <c r="E558" t="s">
        <v>405</v>
      </c>
      <c r="F558"/>
      <c r="G558">
        <v>2</v>
      </c>
      <c r="H558">
        <v>1000</v>
      </c>
      <c r="I558"/>
      <c r="J558" cm="1">
        <f t="array" ref="J558">_xlfn.SWITCH(B558,1,75,2,61,3,49,4,37,5,25,6,13,7,4,8,1)</f>
        <v>4</v>
      </c>
      <c r="K558" t="str" cm="1">
        <f t="array" ref="K558">IFERROR(_xlfn.SWITCH(L558,2,_xlfn.XLOOKUP(C558,[1]ModifierDes!$B:$B,[1]ModifierDes!$C:$C),3,_xlfn.XLOOKUP(C558,[1]StuntDes!$B:$B,[1]StuntDes!$C:$C)),"")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412</v>
      </c>
      <c r="D559" t="s">
        <v>32</v>
      </c>
      <c r="E559" t="s">
        <v>405</v>
      </c>
      <c r="F559"/>
      <c r="G559">
        <v>2</v>
      </c>
      <c r="H559">
        <v>1000</v>
      </c>
      <c r="I559"/>
      <c r="J559" cm="1">
        <f t="array" ref="J559">_xlfn.SWITCH(B559,1,75,2,61,3,49,4,37,5,25,6,13,7,4,8,1)</f>
        <v>1</v>
      </c>
      <c r="K559" t="str" cm="1">
        <f t="array" ref="K559">IFERROR(_xlfn.SWITCH(L559,2,_xlfn.XLOOKUP(C559,[1]ModifierDes!$B:$B,[1]ModifierDes!$C:$C),3,_xlfn.XLOOKUP(C559,[1]StuntDes!$B:$B,[1]StuntDes!$C:$C)),"")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438</v>
      </c>
      <c r="D560" t="s">
        <v>32</v>
      </c>
      <c r="E560" t="s">
        <v>405</v>
      </c>
      <c r="F560"/>
      <c r="G560">
        <v>2</v>
      </c>
      <c r="H560">
        <v>100</v>
      </c>
      <c r="I560"/>
      <c r="J560" cm="1">
        <f t="array" ref="J560">_xlfn.SWITCH(B560,1,75,2,61,3,49,4,37,5,25,6,13,7,4,8,1)</f>
        <v>75</v>
      </c>
      <c r="K560" t="str" cm="1">
        <f t="array" ref="K560">IFERROR(_xlfn.SWITCH(L560,2,_xlfn.XLOOKUP(C560,[1]ModifierDes!$B:$B,[1]ModifierDes!$C:$C),3,_xlfn.XLOOKUP(C560,[1]StuntDes!$B:$B,[1]StuntDes!$C:$C)),"")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438</v>
      </c>
      <c r="D561" t="s">
        <v>32</v>
      </c>
      <c r="E561" t="s">
        <v>405</v>
      </c>
      <c r="F561"/>
      <c r="G561">
        <v>2</v>
      </c>
      <c r="H561">
        <v>200</v>
      </c>
      <c r="I561"/>
      <c r="J561" cm="1">
        <f t="array" ref="J561">_xlfn.SWITCH(B561,1,75,2,61,3,49,4,37,5,25,6,13,7,4,8,1)</f>
        <v>61</v>
      </c>
      <c r="K561" t="str" cm="1">
        <f t="array" ref="K561">IFERROR(_xlfn.SWITCH(L561,2,_xlfn.XLOOKUP(C561,[1]ModifierDes!$B:$B,[1]ModifierDes!$C:$C),3,_xlfn.XLOOKUP(C561,[1]StuntDes!$B:$B,[1]StuntDes!$C:$C)),"")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438</v>
      </c>
      <c r="D562" t="s">
        <v>32</v>
      </c>
      <c r="E562" t="s">
        <v>405</v>
      </c>
      <c r="F562"/>
      <c r="G562">
        <v>2</v>
      </c>
      <c r="H562">
        <v>400</v>
      </c>
      <c r="I562"/>
      <c r="J562" cm="1">
        <f t="array" ref="J562">_xlfn.SWITCH(B562,1,75,2,61,3,49,4,37,5,25,6,13,7,4,8,1)</f>
        <v>49</v>
      </c>
      <c r="K562" t="str" cm="1">
        <f t="array" ref="K562">IFERROR(_xlfn.SWITCH(L562,2,_xlfn.XLOOKUP(C562,[1]ModifierDes!$B:$B,[1]ModifierDes!$C:$C),3,_xlfn.XLOOKUP(C562,[1]StuntDes!$B:$B,[1]StuntDes!$C:$C)),"")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438</v>
      </c>
      <c r="D563" t="s">
        <v>32</v>
      </c>
      <c r="E563" t="s">
        <v>405</v>
      </c>
      <c r="F563"/>
      <c r="G563">
        <v>2</v>
      </c>
      <c r="H563">
        <v>600</v>
      </c>
      <c r="I563"/>
      <c r="J563" cm="1">
        <f t="array" ref="J563">_xlfn.SWITCH(B563,1,75,2,61,3,49,4,37,5,25,6,13,7,4,8,1)</f>
        <v>37</v>
      </c>
      <c r="K563" t="str" cm="1">
        <f t="array" ref="K563">IFERROR(_xlfn.SWITCH(L563,2,_xlfn.XLOOKUP(C563,[1]ModifierDes!$B:$B,[1]ModifierDes!$C:$C),3,_xlfn.XLOOKUP(C563,[1]StuntDes!$B:$B,[1]StuntDes!$C:$C)),"")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438</v>
      </c>
      <c r="D564" t="s">
        <v>32</v>
      </c>
      <c r="E564" t="s">
        <v>405</v>
      </c>
      <c r="F564"/>
      <c r="G564">
        <v>2</v>
      </c>
      <c r="H564">
        <v>800</v>
      </c>
      <c r="I564"/>
      <c r="J564" cm="1">
        <f t="array" ref="J564">_xlfn.SWITCH(B564,1,75,2,61,3,49,4,37,5,25,6,13,7,4,8,1)</f>
        <v>25</v>
      </c>
      <c r="K564" t="str" cm="1">
        <f t="array" ref="K564">IFERROR(_xlfn.SWITCH(L564,2,_xlfn.XLOOKUP(C564,[1]ModifierDes!$B:$B,[1]ModifierDes!$C:$C),3,_xlfn.XLOOKUP(C564,[1]StuntDes!$B:$B,[1]StuntDes!$C:$C)),"")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438</v>
      </c>
      <c r="D565" t="s">
        <v>32</v>
      </c>
      <c r="E565" t="s">
        <v>405</v>
      </c>
      <c r="F565"/>
      <c r="G565">
        <v>2</v>
      </c>
      <c r="H565">
        <v>1000</v>
      </c>
      <c r="I565"/>
      <c r="J565" cm="1">
        <f t="array" ref="J565">_xlfn.SWITCH(B565,1,75,2,61,3,49,4,37,5,25,6,13,7,4,8,1)</f>
        <v>13</v>
      </c>
      <c r="K565" t="str" cm="1">
        <f t="array" ref="K565">IFERROR(_xlfn.SWITCH(L565,2,_xlfn.XLOOKUP(C565,[1]ModifierDes!$B:$B,[1]ModifierDes!$C:$C),3,_xlfn.XLOOKUP(C565,[1]StuntDes!$B:$B,[1]StuntDes!$C:$C)),"")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438</v>
      </c>
      <c r="D566" t="s">
        <v>32</v>
      </c>
      <c r="E566" t="s">
        <v>405</v>
      </c>
      <c r="F566"/>
      <c r="G566">
        <v>2</v>
      </c>
      <c r="H566">
        <v>1000</v>
      </c>
      <c r="I566"/>
      <c r="J566" cm="1">
        <f t="array" ref="J566">_xlfn.SWITCH(B566,1,75,2,61,3,49,4,37,5,25,6,13,7,4,8,1)</f>
        <v>4</v>
      </c>
      <c r="K566" t="str" cm="1">
        <f t="array" ref="K566">IFERROR(_xlfn.SWITCH(L566,2,_xlfn.XLOOKUP(C566,[1]ModifierDes!$B:$B,[1]ModifierDes!$C:$C),3,_xlfn.XLOOKUP(C566,[1]StuntDes!$B:$B,[1]StuntDes!$C:$C)),"")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438</v>
      </c>
      <c r="D567" t="s">
        <v>32</v>
      </c>
      <c r="E567" t="s">
        <v>405</v>
      </c>
      <c r="F567"/>
      <c r="G567">
        <v>2</v>
      </c>
      <c r="H567">
        <v>1000</v>
      </c>
      <c r="I567"/>
      <c r="J567" cm="1">
        <f t="array" ref="J567">_xlfn.SWITCH(B567,1,75,2,61,3,49,4,37,5,25,6,13,7,4,8,1)</f>
        <v>1</v>
      </c>
      <c r="K567" t="str" cm="1">
        <f t="array" ref="K567">IFERROR(_xlfn.SWITCH(L567,2,_xlfn.XLOOKUP(C567,[1]ModifierDes!$B:$B,[1]ModifierDes!$C:$C),3,_xlfn.XLOOKUP(C567,[1]StuntDes!$B:$B,[1]StuntDes!$C:$C)),"")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398</v>
      </c>
      <c r="D568" t="s">
        <v>32</v>
      </c>
      <c r="E568" t="s">
        <v>405</v>
      </c>
      <c r="F568"/>
      <c r="G568">
        <v>2</v>
      </c>
      <c r="H568">
        <v>1000</v>
      </c>
      <c r="I568"/>
      <c r="J568" cm="1">
        <f t="array" ref="J568">_xlfn.SWITCH(B568,1,75,2,61,3,49,4,37,5,25,6,13,7,4,8,1)</f>
        <v>75</v>
      </c>
      <c r="K568" t="str" cm="1">
        <f t="array" ref="K568">IFERROR(_xlfn.SWITCH(L568,2,_xlfn.XLOOKUP(C568,[1]ModifierDes!$B:$B,[1]ModifierDes!$C:$C),3,_xlfn.XLOOKUP(C568,[1]StuntDes!$B:$B,[1]StuntDes!$C:$C)),"")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398</v>
      </c>
      <c r="D569" t="s">
        <v>32</v>
      </c>
      <c r="E569" t="s">
        <v>405</v>
      </c>
      <c r="F569"/>
      <c r="G569">
        <v>2</v>
      </c>
      <c r="H569">
        <v>1000</v>
      </c>
      <c r="I569"/>
      <c r="J569" cm="1">
        <f t="array" ref="J569">_xlfn.SWITCH(B569,1,75,2,61,3,49,4,37,5,25,6,13,7,4,8,1)</f>
        <v>61</v>
      </c>
      <c r="K569" t="str" cm="1">
        <f t="array" ref="K569">IFERROR(_xlfn.SWITCH(L569,2,_xlfn.XLOOKUP(C569,[1]ModifierDes!$B:$B,[1]ModifierDes!$C:$C),3,_xlfn.XLOOKUP(C569,[1]StuntDes!$B:$B,[1]StuntDes!$C:$C)),"")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398</v>
      </c>
      <c r="D570" t="s">
        <v>32</v>
      </c>
      <c r="E570" t="s">
        <v>405</v>
      </c>
      <c r="F570"/>
      <c r="G570">
        <v>2</v>
      </c>
      <c r="H570">
        <v>1000</v>
      </c>
      <c r="I570"/>
      <c r="J570" cm="1">
        <f t="array" ref="J570">_xlfn.SWITCH(B570,1,75,2,61,3,49,4,37,5,25,6,13,7,4,8,1)</f>
        <v>49</v>
      </c>
      <c r="K570" t="str" cm="1">
        <f t="array" ref="K570">IFERROR(_xlfn.SWITCH(L570,2,_xlfn.XLOOKUP(C570,[1]ModifierDes!$B:$B,[1]ModifierDes!$C:$C),3,_xlfn.XLOOKUP(C570,[1]StuntDes!$B:$B,[1]StuntDes!$C:$C)),"")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398</v>
      </c>
      <c r="D571" t="s">
        <v>32</v>
      </c>
      <c r="E571" t="s">
        <v>405</v>
      </c>
      <c r="F571"/>
      <c r="G571">
        <v>2</v>
      </c>
      <c r="H571">
        <v>1000</v>
      </c>
      <c r="I571"/>
      <c r="J571" cm="1">
        <f t="array" ref="J571">_xlfn.SWITCH(B571,1,75,2,61,3,49,4,37,5,25,6,13,7,4,8,1)</f>
        <v>37</v>
      </c>
      <c r="K571" t="str" cm="1">
        <f t="array" ref="K571">IFERROR(_xlfn.SWITCH(L571,2,_xlfn.XLOOKUP(C571,[1]ModifierDes!$B:$B,[1]ModifierDes!$C:$C),3,_xlfn.XLOOKUP(C571,[1]StuntDes!$B:$B,[1]StuntDes!$C:$C)),"")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398</v>
      </c>
      <c r="D572" t="s">
        <v>32</v>
      </c>
      <c r="E572" t="s">
        <v>405</v>
      </c>
      <c r="F572"/>
      <c r="G572">
        <v>2</v>
      </c>
      <c r="H572">
        <v>1000</v>
      </c>
      <c r="I572"/>
      <c r="J572" cm="1">
        <f t="array" ref="J572">_xlfn.SWITCH(B572,1,75,2,61,3,49,4,37,5,25,6,13,7,4,8,1)</f>
        <v>25</v>
      </c>
      <c r="K572" t="str" cm="1">
        <f t="array" ref="K572">IFERROR(_xlfn.SWITCH(L572,2,_xlfn.XLOOKUP(C572,[1]ModifierDes!$B:$B,[1]ModifierDes!$C:$C),3,_xlfn.XLOOKUP(C572,[1]StuntDes!$B:$B,[1]StuntDes!$C:$C)),"")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398</v>
      </c>
      <c r="D573" t="s">
        <v>32</v>
      </c>
      <c r="E573" t="s">
        <v>405</v>
      </c>
      <c r="F573"/>
      <c r="G573">
        <v>2</v>
      </c>
      <c r="H573">
        <v>1000</v>
      </c>
      <c r="I573"/>
      <c r="J573" cm="1">
        <f t="array" ref="J573">_xlfn.SWITCH(B573,1,75,2,61,3,49,4,37,5,25,6,13,7,4,8,1)</f>
        <v>13</v>
      </c>
      <c r="K573" t="str" cm="1">
        <f t="array" ref="K573">IFERROR(_xlfn.SWITCH(L573,2,_xlfn.XLOOKUP(C573,[1]ModifierDes!$B:$B,[1]ModifierDes!$C:$C),3,_xlfn.XLOOKUP(C573,[1]StuntDes!$B:$B,[1]StuntDes!$C:$C)),"")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398</v>
      </c>
      <c r="D574" t="s">
        <v>32</v>
      </c>
      <c r="E574" t="s">
        <v>405</v>
      </c>
      <c r="F574"/>
      <c r="G574">
        <v>2</v>
      </c>
      <c r="H574">
        <v>1000</v>
      </c>
      <c r="I574"/>
      <c r="J574" cm="1">
        <f t="array" ref="J574">_xlfn.SWITCH(B574,1,75,2,61,3,49,4,37,5,25,6,13,7,4,8,1)</f>
        <v>4</v>
      </c>
      <c r="K574" t="str" cm="1">
        <f t="array" ref="K574">IFERROR(_xlfn.SWITCH(L574,2,_xlfn.XLOOKUP(C574,[1]ModifierDes!$B:$B,[1]ModifierDes!$C:$C),3,_xlfn.XLOOKUP(C574,[1]StuntDes!$B:$B,[1]StuntDes!$C:$C)),"")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398</v>
      </c>
      <c r="D575" t="s">
        <v>32</v>
      </c>
      <c r="E575" t="s">
        <v>405</v>
      </c>
      <c r="F575"/>
      <c r="G575">
        <v>2</v>
      </c>
      <c r="H575">
        <v>1000</v>
      </c>
      <c r="I575"/>
      <c r="J575" cm="1">
        <f t="array" ref="J575">_xlfn.SWITCH(B575,1,75,2,61,3,49,4,37,5,25,6,13,7,4,8,1)</f>
        <v>1</v>
      </c>
      <c r="K575" t="str" cm="1">
        <f t="array" ref="K575">IFERROR(_xlfn.SWITCH(L575,2,_xlfn.XLOOKUP(C575,[1]ModifierDes!$B:$B,[1]ModifierDes!$C:$C),3,_xlfn.XLOOKUP(C575,[1]StuntDes!$B:$B,[1]StuntDes!$C:$C)),"")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439</v>
      </c>
      <c r="D576" t="s">
        <v>32</v>
      </c>
      <c r="E576" t="s">
        <v>405</v>
      </c>
      <c r="F576"/>
      <c r="G576">
        <v>2</v>
      </c>
      <c r="H576">
        <v>1000</v>
      </c>
      <c r="I576"/>
      <c r="J576" cm="1">
        <f t="array" ref="J576">_xlfn.SWITCH(B576,1,75,2,61,3,49,4,37,5,25,6,13,7,4,8,1)</f>
        <v>75</v>
      </c>
      <c r="K576" t="str" cm="1">
        <f t="array" ref="K576">IFERROR(_xlfn.SWITCH(L576,2,_xlfn.XLOOKUP(C576,[1]ModifierDes!$B:$B,[1]ModifierDes!$C:$C),3,_xlfn.XLOOKUP(C576,[1]StuntDes!$B:$B,[1]StuntDes!$C:$C)),"")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439</v>
      </c>
      <c r="D577" t="s">
        <v>32</v>
      </c>
      <c r="E577" t="s">
        <v>405</v>
      </c>
      <c r="F577"/>
      <c r="G577">
        <v>2</v>
      </c>
      <c r="H577">
        <v>1000</v>
      </c>
      <c r="I577"/>
      <c r="J577" cm="1">
        <f t="array" ref="J577">_xlfn.SWITCH(B577,1,75,2,61,3,49,4,37,5,25,6,13,7,4,8,1)</f>
        <v>61</v>
      </c>
      <c r="K577" t="str" cm="1">
        <f t="array" ref="K577">IFERROR(_xlfn.SWITCH(L577,2,_xlfn.XLOOKUP(C577,[1]ModifierDes!$B:$B,[1]ModifierDes!$C:$C),3,_xlfn.XLOOKUP(C577,[1]StuntDes!$B:$B,[1]StuntDes!$C:$C)),"")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439</v>
      </c>
      <c r="D578" t="s">
        <v>32</v>
      </c>
      <c r="E578" t="s">
        <v>405</v>
      </c>
      <c r="F578"/>
      <c r="G578">
        <v>2</v>
      </c>
      <c r="H578">
        <v>1000</v>
      </c>
      <c r="I578"/>
      <c r="J578" cm="1">
        <f t="array" ref="J578">_xlfn.SWITCH(B578,1,75,2,61,3,49,4,37,5,25,6,13,7,4,8,1)</f>
        <v>49</v>
      </c>
      <c r="K578" t="str" cm="1">
        <f t="array" ref="K578">IFERROR(_xlfn.SWITCH(L578,2,_xlfn.XLOOKUP(C578,[1]ModifierDes!$B:$B,[1]ModifierDes!$C:$C),3,_xlfn.XLOOKUP(C578,[1]StuntDes!$B:$B,[1]StuntDes!$C:$C)),"")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439</v>
      </c>
      <c r="D579" t="s">
        <v>32</v>
      </c>
      <c r="E579" t="s">
        <v>405</v>
      </c>
      <c r="F579"/>
      <c r="G579">
        <v>2</v>
      </c>
      <c r="H579">
        <v>1000</v>
      </c>
      <c r="I579"/>
      <c r="J579" cm="1">
        <f t="array" ref="J579">_xlfn.SWITCH(B579,1,75,2,61,3,49,4,37,5,25,6,13,7,4,8,1)</f>
        <v>37</v>
      </c>
      <c r="K579" t="str" cm="1">
        <f t="array" ref="K579">IFERROR(_xlfn.SWITCH(L579,2,_xlfn.XLOOKUP(C579,[1]ModifierDes!$B:$B,[1]ModifierDes!$C:$C),3,_xlfn.XLOOKUP(C579,[1]StuntDes!$B:$B,[1]StuntDes!$C:$C)),"")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439</v>
      </c>
      <c r="D580" t="s">
        <v>32</v>
      </c>
      <c r="E580" t="s">
        <v>405</v>
      </c>
      <c r="F580"/>
      <c r="G580">
        <v>2</v>
      </c>
      <c r="H580">
        <v>1000</v>
      </c>
      <c r="I580"/>
      <c r="J580" cm="1">
        <f t="array" ref="J580">_xlfn.SWITCH(B580,1,75,2,61,3,49,4,37,5,25,6,13,7,4,8,1)</f>
        <v>25</v>
      </c>
      <c r="K580" t="str" cm="1">
        <f t="array" ref="K580">IFERROR(_xlfn.SWITCH(L580,2,_xlfn.XLOOKUP(C580,[1]ModifierDes!$B:$B,[1]ModifierDes!$C:$C),3,_xlfn.XLOOKUP(C580,[1]StuntDes!$B:$B,[1]StuntDes!$C:$C)),"")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439</v>
      </c>
      <c r="D581" t="s">
        <v>32</v>
      </c>
      <c r="E581" t="s">
        <v>405</v>
      </c>
      <c r="F581"/>
      <c r="G581">
        <v>2</v>
      </c>
      <c r="H581">
        <v>1000</v>
      </c>
      <c r="I581"/>
      <c r="J581" cm="1">
        <f t="array" ref="J581">_xlfn.SWITCH(B581,1,75,2,61,3,49,4,37,5,25,6,13,7,4,8,1)</f>
        <v>13</v>
      </c>
      <c r="K581" t="str" cm="1">
        <f t="array" ref="K581">IFERROR(_xlfn.SWITCH(L581,2,_xlfn.XLOOKUP(C581,[1]ModifierDes!$B:$B,[1]ModifierDes!$C:$C),3,_xlfn.XLOOKUP(C581,[1]StuntDes!$B:$B,[1]StuntDes!$C:$C)),"")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439</v>
      </c>
      <c r="D582" t="s">
        <v>32</v>
      </c>
      <c r="E582" t="s">
        <v>405</v>
      </c>
      <c r="F582"/>
      <c r="G582">
        <v>2</v>
      </c>
      <c r="H582">
        <v>1000</v>
      </c>
      <c r="I582"/>
      <c r="J582" cm="1">
        <f t="array" ref="J582">_xlfn.SWITCH(B582,1,75,2,61,3,49,4,37,5,25,6,13,7,4,8,1)</f>
        <v>4</v>
      </c>
      <c r="K582" t="str" cm="1">
        <f t="array" ref="K582">IFERROR(_xlfn.SWITCH(L582,2,_xlfn.XLOOKUP(C582,[1]ModifierDes!$B:$B,[1]ModifierDes!$C:$C),3,_xlfn.XLOOKUP(C582,[1]StuntDes!$B:$B,[1]StuntDes!$C:$C)),"")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439</v>
      </c>
      <c r="D583" t="s">
        <v>32</v>
      </c>
      <c r="E583" t="s">
        <v>405</v>
      </c>
      <c r="F583"/>
      <c r="G583">
        <v>2</v>
      </c>
      <c r="H583">
        <v>1000</v>
      </c>
      <c r="I583"/>
      <c r="J583" cm="1">
        <f t="array" ref="J583">_xlfn.SWITCH(B583,1,75,2,61,3,49,4,37,5,25,6,13,7,4,8,1)</f>
        <v>1</v>
      </c>
      <c r="K583" t="str" cm="1">
        <f t="array" ref="K583">IFERROR(_xlfn.SWITCH(L583,2,_xlfn.XLOOKUP(C583,[1]ModifierDes!$B:$B,[1]ModifierDes!$C:$C),3,_xlfn.XLOOKUP(C583,[1]StuntDes!$B:$B,[1]StuntDes!$C:$C)),"")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419</v>
      </c>
      <c r="D584" t="s">
        <v>32</v>
      </c>
      <c r="E584" t="s">
        <v>405</v>
      </c>
      <c r="F584"/>
      <c r="G584">
        <v>2</v>
      </c>
      <c r="H584">
        <v>1000</v>
      </c>
      <c r="I584"/>
      <c r="J584" cm="1">
        <f t="array" ref="J584">_xlfn.SWITCH(B584,1,75,2,61,3,49,4,37,5,25,6,13,7,4,8,1)</f>
        <v>75</v>
      </c>
      <c r="K584" t="str" cm="1">
        <f t="array" ref="K584">IFERROR(_xlfn.SWITCH(L584,2,_xlfn.XLOOKUP(C584,[1]ModifierDes!$B:$B,[1]ModifierDes!$C:$C),3,_xlfn.XLOOKUP(C584,[1]StuntDes!$B:$B,[1]StuntDes!$C:$C)),"")</f>
        <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419</v>
      </c>
      <c r="D585" t="s">
        <v>32</v>
      </c>
      <c r="E585" t="s">
        <v>405</v>
      </c>
      <c r="F585"/>
      <c r="G585">
        <v>2</v>
      </c>
      <c r="H585">
        <v>1000</v>
      </c>
      <c r="I585"/>
      <c r="J585" cm="1">
        <f t="array" ref="J585">_xlfn.SWITCH(B585,1,75,2,61,3,49,4,37,5,25,6,13,7,4,8,1)</f>
        <v>61</v>
      </c>
      <c r="K585" t="str" cm="1">
        <f t="array" ref="K585">IFERROR(_xlfn.SWITCH(L585,2,_xlfn.XLOOKUP(C585,[1]ModifierDes!$B:$B,[1]ModifierDes!$C:$C),3,_xlfn.XLOOKUP(C585,[1]StuntDes!$B:$B,[1]StuntDes!$C:$C)),"")</f>
        <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419</v>
      </c>
      <c r="D586" t="s">
        <v>32</v>
      </c>
      <c r="E586" t="s">
        <v>405</v>
      </c>
      <c r="F586"/>
      <c r="G586">
        <v>2</v>
      </c>
      <c r="H586">
        <v>1000</v>
      </c>
      <c r="I586"/>
      <c r="J586" cm="1">
        <f t="array" ref="J586">_xlfn.SWITCH(B586,1,75,2,61,3,49,4,37,5,25,6,13,7,4,8,1)</f>
        <v>49</v>
      </c>
      <c r="K586" t="str" cm="1">
        <f t="array" ref="K586">IFERROR(_xlfn.SWITCH(L586,2,_xlfn.XLOOKUP(C586,[1]ModifierDes!$B:$B,[1]ModifierDes!$C:$C),3,_xlfn.XLOOKUP(C586,[1]StuntDes!$B:$B,[1]StuntDes!$C:$C)),"")</f>
        <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419</v>
      </c>
      <c r="D587" t="s">
        <v>32</v>
      </c>
      <c r="E587" t="s">
        <v>405</v>
      </c>
      <c r="F587"/>
      <c r="G587">
        <v>2</v>
      </c>
      <c r="H587">
        <v>1000</v>
      </c>
      <c r="I587"/>
      <c r="J587" cm="1">
        <f t="array" ref="J587">_xlfn.SWITCH(B587,1,75,2,61,3,49,4,37,5,25,6,13,7,4,8,1)</f>
        <v>37</v>
      </c>
      <c r="K587" t="str" cm="1">
        <f t="array" ref="K587">IFERROR(_xlfn.SWITCH(L587,2,_xlfn.XLOOKUP(C587,[1]ModifierDes!$B:$B,[1]ModifierDes!$C:$C),3,_xlfn.XLOOKUP(C587,[1]StuntDes!$B:$B,[1]StuntDes!$C:$C)),"")</f>
        <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419</v>
      </c>
      <c r="D588" t="s">
        <v>32</v>
      </c>
      <c r="E588" t="s">
        <v>405</v>
      </c>
      <c r="F588"/>
      <c r="G588">
        <v>2</v>
      </c>
      <c r="H588">
        <v>1000</v>
      </c>
      <c r="I588"/>
      <c r="J588" cm="1">
        <f t="array" ref="J588">_xlfn.SWITCH(B588,1,75,2,61,3,49,4,37,5,25,6,13,7,4,8,1)</f>
        <v>25</v>
      </c>
      <c r="K588" t="str" cm="1">
        <f t="array" ref="K588">IFERROR(_xlfn.SWITCH(L588,2,_xlfn.XLOOKUP(C588,[1]ModifierDes!$B:$B,[1]ModifierDes!$C:$C),3,_xlfn.XLOOKUP(C588,[1]StuntDes!$B:$B,[1]StuntDes!$C:$C)),"")</f>
        <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419</v>
      </c>
      <c r="D589" t="s">
        <v>32</v>
      </c>
      <c r="E589" t="s">
        <v>405</v>
      </c>
      <c r="F589"/>
      <c r="G589">
        <v>2</v>
      </c>
      <c r="H589">
        <v>1000</v>
      </c>
      <c r="I589"/>
      <c r="J589" cm="1">
        <f t="array" ref="J589">_xlfn.SWITCH(B589,1,75,2,61,3,49,4,37,5,25,6,13,7,4,8,1)</f>
        <v>13</v>
      </c>
      <c r="K589" t="str" cm="1">
        <f t="array" ref="K589">IFERROR(_xlfn.SWITCH(L589,2,_xlfn.XLOOKUP(C589,[1]ModifierDes!$B:$B,[1]ModifierDes!$C:$C),3,_xlfn.XLOOKUP(C589,[1]StuntDes!$B:$B,[1]StuntDes!$C:$C)),"")</f>
        <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419</v>
      </c>
      <c r="D590" t="s">
        <v>32</v>
      </c>
      <c r="E590" t="s">
        <v>405</v>
      </c>
      <c r="F590"/>
      <c r="G590">
        <v>2</v>
      </c>
      <c r="H590">
        <v>1000</v>
      </c>
      <c r="I590"/>
      <c r="J590" cm="1">
        <f t="array" ref="J590">_xlfn.SWITCH(B590,1,75,2,61,3,49,4,37,5,25,6,13,7,4,8,1)</f>
        <v>4</v>
      </c>
      <c r="K590" t="str" cm="1">
        <f t="array" ref="K590">IFERROR(_xlfn.SWITCH(L590,2,_xlfn.XLOOKUP(C590,[1]ModifierDes!$B:$B,[1]ModifierDes!$C:$C),3,_xlfn.XLOOKUP(C590,[1]StuntDes!$B:$B,[1]StuntDes!$C:$C)),"")</f>
        <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419</v>
      </c>
      <c r="D591" t="s">
        <v>32</v>
      </c>
      <c r="E591" t="s">
        <v>405</v>
      </c>
      <c r="F591"/>
      <c r="G591">
        <v>2</v>
      </c>
      <c r="H591">
        <v>1000</v>
      </c>
      <c r="I591"/>
      <c r="J591" cm="1">
        <f t="array" ref="J591">_xlfn.SWITCH(B591,1,75,2,61,3,49,4,37,5,25,6,13,7,4,8,1)</f>
        <v>1</v>
      </c>
      <c r="K591" t="str" cm="1">
        <f t="array" ref="K591">IFERROR(_xlfn.SWITCH(L591,2,_xlfn.XLOOKUP(C591,[1]ModifierDes!$B:$B,[1]ModifierDes!$C:$C),3,_xlfn.XLOOKUP(C591,[1]StuntDes!$B:$B,[1]StuntDes!$C:$C)),"")</f>
        <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440</v>
      </c>
      <c r="D592" t="s">
        <v>32</v>
      </c>
      <c r="E592" t="s">
        <v>405</v>
      </c>
      <c r="F592"/>
      <c r="G592">
        <v>2</v>
      </c>
      <c r="H592">
        <v>1000</v>
      </c>
      <c r="I592"/>
      <c r="J592" cm="1">
        <f t="array" ref="J592">_xlfn.SWITCH(B592,1,75,2,61,3,49,4,37,5,25,6,13,7,4,8,1)</f>
        <v>75</v>
      </c>
      <c r="K592" t="str" cm="1">
        <f t="array" ref="K592">IFERROR(_xlfn.SWITCH(L592,2,_xlfn.XLOOKUP(C592,[1]ModifierDes!$B:$B,[1]ModifierDes!$C:$C),3,_xlfn.XLOOKUP(C592,[1]StuntDes!$B:$B,[1]StuntDes!$C:$C)),"")</f>
        <v/>
      </c>
      <c r="L592">
        <f t="shared" si="48"/>
        <v>1</v>
      </c>
      <c r="M592" s="10" t="str">
        <f>IFERROR(_xlfn.XLOOKUP(C592,[1]StuntDes!$B:$B,[1]StuntDes!$A:$A),"")</f>
        <v/>
      </c>
      <c r="N592" s="10" t="str">
        <f>IFERROR(_xlfn.XLOOKUP(C592,[1]ModifierDes!$B:$B,[1]ModifierDes!$A:$A),"")</f>
        <v/>
      </c>
      <c r="O592" s="10">
        <f>IFERROR(_xlfn.XLOOKUP(C592,[1]AttributeName!$C:$C,[1]AttributeName!$B:$B),"")</f>
        <v>10003</v>
      </c>
      <c r="P592" s="10"/>
      <c r="Q592">
        <v>8</v>
      </c>
      <c r="R592">
        <v>10</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440</v>
      </c>
      <c r="D593" t="s">
        <v>32</v>
      </c>
      <c r="E593" t="s">
        <v>405</v>
      </c>
      <c r="F593"/>
      <c r="G593">
        <v>2</v>
      </c>
      <c r="H593">
        <v>1000</v>
      </c>
      <c r="I593"/>
      <c r="J593" cm="1">
        <f t="array" ref="J593">_xlfn.SWITCH(B593,1,75,2,61,3,49,4,37,5,25,6,13,7,4,8,1)</f>
        <v>61</v>
      </c>
      <c r="K593" t="str" cm="1">
        <f t="array" ref="K593">IFERROR(_xlfn.SWITCH(L593,2,_xlfn.XLOOKUP(C593,[1]ModifierDes!$B:$B,[1]ModifierDes!$C:$C),3,_xlfn.XLOOKUP(C593,[1]StuntDes!$B:$B,[1]StuntDes!$C:$C)),"")</f>
        <v/>
      </c>
      <c r="L593">
        <f t="shared" si="48"/>
        <v>1</v>
      </c>
      <c r="M593" s="10" t="str">
        <f>IFERROR(_xlfn.XLOOKUP(C593,[1]StuntDes!$B:$B,[1]StuntDes!$A:$A),"")</f>
        <v/>
      </c>
      <c r="N593" s="10" t="str">
        <f>IFERROR(_xlfn.XLOOKUP(C593,[1]ModifierDes!$B:$B,[1]ModifierDes!$A:$A),"")</f>
        <v/>
      </c>
      <c r="O593" s="10">
        <f>IFERROR(_xlfn.XLOOKUP(C593,[1]AttributeName!$C:$C,[1]AttributeName!$B:$B),"")</f>
        <v>10003</v>
      </c>
      <c r="P593" s="10"/>
      <c r="Q593">
        <v>7</v>
      </c>
      <c r="R593">
        <v>7</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440</v>
      </c>
      <c r="D594" t="s">
        <v>32</v>
      </c>
      <c r="E594" t="s">
        <v>405</v>
      </c>
      <c r="F594"/>
      <c r="G594">
        <v>2</v>
      </c>
      <c r="H594">
        <v>1000</v>
      </c>
      <c r="I594"/>
      <c r="J594" cm="1">
        <f t="array" ref="J594">_xlfn.SWITCH(B594,1,75,2,61,3,49,4,37,5,25,6,13,7,4,8,1)</f>
        <v>49</v>
      </c>
      <c r="K594" t="str" cm="1">
        <f t="array" ref="K594">IFERROR(_xlfn.SWITCH(L594,2,_xlfn.XLOOKUP(C594,[1]ModifierDes!$B:$B,[1]ModifierDes!$C:$C),3,_xlfn.XLOOKUP(C594,[1]StuntDes!$B:$B,[1]StuntDes!$C:$C)),"")</f>
        <v/>
      </c>
      <c r="L594">
        <f t="shared" si="48"/>
        <v>1</v>
      </c>
      <c r="M594" s="10" t="str">
        <f>IFERROR(_xlfn.XLOOKUP(C594,[1]StuntDes!$B:$B,[1]StuntDes!$A:$A),"")</f>
        <v/>
      </c>
      <c r="N594" s="10" t="str">
        <f>IFERROR(_xlfn.XLOOKUP(C594,[1]ModifierDes!$B:$B,[1]ModifierDes!$A:$A),"")</f>
        <v/>
      </c>
      <c r="O594" s="10">
        <f>IFERROR(_xlfn.XLOOKUP(C594,[1]AttributeName!$C:$C,[1]AttributeName!$B:$B),"")</f>
        <v>10003</v>
      </c>
      <c r="P594" s="10"/>
      <c r="Q594">
        <v>6</v>
      </c>
      <c r="R594">
        <v>6</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440</v>
      </c>
      <c r="D595" t="s">
        <v>32</v>
      </c>
      <c r="E595" t="s">
        <v>405</v>
      </c>
      <c r="F595"/>
      <c r="G595">
        <v>2</v>
      </c>
      <c r="H595">
        <v>1000</v>
      </c>
      <c r="I595"/>
      <c r="J595" cm="1">
        <f t="array" ref="J595">_xlfn.SWITCH(B595,1,75,2,61,3,49,4,37,5,25,6,13,7,4,8,1)</f>
        <v>37</v>
      </c>
      <c r="K595" t="str" cm="1">
        <f t="array" ref="K595">IFERROR(_xlfn.SWITCH(L595,2,_xlfn.XLOOKUP(C595,[1]ModifierDes!$B:$B,[1]ModifierDes!$C:$C),3,_xlfn.XLOOKUP(C595,[1]StuntDes!$B:$B,[1]StuntDes!$C:$C)),"")</f>
        <v/>
      </c>
      <c r="L595">
        <f t="shared" si="48"/>
        <v>1</v>
      </c>
      <c r="M595" s="10" t="str">
        <f>IFERROR(_xlfn.XLOOKUP(C595,[1]StuntDes!$B:$B,[1]StuntDes!$A:$A),"")</f>
        <v/>
      </c>
      <c r="N595" s="10" t="str">
        <f>IFERROR(_xlfn.XLOOKUP(C595,[1]ModifierDes!$B:$B,[1]ModifierDes!$A:$A),"")</f>
        <v/>
      </c>
      <c r="O595" s="10">
        <f>IFERROR(_xlfn.XLOOKUP(C595,[1]AttributeName!$C:$C,[1]AttributeName!$B:$B),"")</f>
        <v>10003</v>
      </c>
      <c r="P595" s="10"/>
      <c r="Q595">
        <v>5</v>
      </c>
      <c r="R595">
        <v>5</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440</v>
      </c>
      <c r="D596" t="s">
        <v>32</v>
      </c>
      <c r="E596" t="s">
        <v>405</v>
      </c>
      <c r="F596"/>
      <c r="G596">
        <v>2</v>
      </c>
      <c r="H596">
        <v>1000</v>
      </c>
      <c r="I596"/>
      <c r="J596" cm="1">
        <f t="array" ref="J596">_xlfn.SWITCH(B596,1,75,2,61,3,49,4,37,5,25,6,13,7,4,8,1)</f>
        <v>25</v>
      </c>
      <c r="K596" t="str" cm="1">
        <f t="array" ref="K596">IFERROR(_xlfn.SWITCH(L596,2,_xlfn.XLOOKUP(C596,[1]ModifierDes!$B:$B,[1]ModifierDes!$C:$C),3,_xlfn.XLOOKUP(C596,[1]StuntDes!$B:$B,[1]StuntDes!$C:$C)),"")</f>
        <v/>
      </c>
      <c r="L596">
        <f t="shared" si="48"/>
        <v>1</v>
      </c>
      <c r="M596" s="10" t="str">
        <f>IFERROR(_xlfn.XLOOKUP(C596,[1]StuntDes!$B:$B,[1]StuntDes!$A:$A),"")</f>
        <v/>
      </c>
      <c r="N596" s="10" t="str">
        <f>IFERROR(_xlfn.XLOOKUP(C596,[1]ModifierDes!$B:$B,[1]ModifierDes!$A:$A),"")</f>
        <v/>
      </c>
      <c r="O596" s="10">
        <f>IFERROR(_xlfn.XLOOKUP(C596,[1]AttributeName!$C:$C,[1]AttributeName!$B:$B),"")</f>
        <v>10003</v>
      </c>
      <c r="P596" s="10"/>
      <c r="Q596">
        <v>4</v>
      </c>
      <c r="R596">
        <v>4</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440</v>
      </c>
      <c r="D597" t="s">
        <v>32</v>
      </c>
      <c r="E597" t="s">
        <v>405</v>
      </c>
      <c r="F597"/>
      <c r="G597">
        <v>2</v>
      </c>
      <c r="H597">
        <v>1000</v>
      </c>
      <c r="I597"/>
      <c r="J597" cm="1">
        <f t="array" ref="J597">_xlfn.SWITCH(B597,1,75,2,61,3,49,4,37,5,25,6,13,7,4,8,1)</f>
        <v>13</v>
      </c>
      <c r="K597" t="str" cm="1">
        <f t="array" ref="K597">IFERROR(_xlfn.SWITCH(L597,2,_xlfn.XLOOKUP(C597,[1]ModifierDes!$B:$B,[1]ModifierDes!$C:$C),3,_xlfn.XLOOKUP(C597,[1]StuntDes!$B:$B,[1]StuntDes!$C:$C)),"")</f>
        <v/>
      </c>
      <c r="L597">
        <f t="shared" si="48"/>
        <v>1</v>
      </c>
      <c r="M597" s="10" t="str">
        <f>IFERROR(_xlfn.XLOOKUP(C597,[1]StuntDes!$B:$B,[1]StuntDes!$A:$A),"")</f>
        <v/>
      </c>
      <c r="N597" s="10" t="str">
        <f>IFERROR(_xlfn.XLOOKUP(C597,[1]ModifierDes!$B:$B,[1]ModifierDes!$A:$A),"")</f>
        <v/>
      </c>
      <c r="O597" s="10">
        <f>IFERROR(_xlfn.XLOOKUP(C597,[1]AttributeName!$C:$C,[1]AttributeName!$B:$B),"")</f>
        <v>10003</v>
      </c>
      <c r="P597" s="10"/>
      <c r="Q597">
        <v>3</v>
      </c>
      <c r="R597">
        <v>3</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440</v>
      </c>
      <c r="D598" t="s">
        <v>32</v>
      </c>
      <c r="E598" t="s">
        <v>405</v>
      </c>
      <c r="F598"/>
      <c r="G598">
        <v>2</v>
      </c>
      <c r="H598">
        <v>1000</v>
      </c>
      <c r="I598"/>
      <c r="J598" cm="1">
        <f t="array" ref="J598">_xlfn.SWITCH(B598,1,75,2,61,3,49,4,37,5,25,6,13,7,4,8,1)</f>
        <v>4</v>
      </c>
      <c r="K598" t="str" cm="1">
        <f t="array" ref="K598">IFERROR(_xlfn.SWITCH(L598,2,_xlfn.XLOOKUP(C598,[1]ModifierDes!$B:$B,[1]ModifierDes!$C:$C),3,_xlfn.XLOOKUP(C598,[1]StuntDes!$B:$B,[1]StuntDes!$C:$C)),"")</f>
        <v/>
      </c>
      <c r="L598">
        <f t="shared" si="48"/>
        <v>1</v>
      </c>
      <c r="M598" s="10" t="str">
        <f>IFERROR(_xlfn.XLOOKUP(C598,[1]StuntDes!$B:$B,[1]StuntDes!$A:$A),"")</f>
        <v/>
      </c>
      <c r="N598" s="10" t="str">
        <f>IFERROR(_xlfn.XLOOKUP(C598,[1]ModifierDes!$B:$B,[1]ModifierDes!$A:$A),"")</f>
        <v/>
      </c>
      <c r="O598" s="10">
        <f>IFERROR(_xlfn.XLOOKUP(C598,[1]AttributeName!$C:$C,[1]AttributeName!$B:$B),"")</f>
        <v>10003</v>
      </c>
      <c r="P598" s="10"/>
      <c r="Q598">
        <v>2</v>
      </c>
      <c r="R598">
        <v>2</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440</v>
      </c>
      <c r="D599" t="s">
        <v>32</v>
      </c>
      <c r="E599" t="s">
        <v>405</v>
      </c>
      <c r="F599"/>
      <c r="G599">
        <v>2</v>
      </c>
      <c r="H599">
        <v>1000</v>
      </c>
      <c r="I599"/>
      <c r="J599" cm="1">
        <f t="array" ref="J599">_xlfn.SWITCH(B599,1,75,2,61,3,49,4,37,5,25,6,13,7,4,8,1)</f>
        <v>1</v>
      </c>
      <c r="K599" t="str" cm="1">
        <f t="array" ref="K599">IFERROR(_xlfn.SWITCH(L599,2,_xlfn.XLOOKUP(C599,[1]ModifierDes!$B:$B,[1]ModifierDes!$C:$C),3,_xlfn.XLOOKUP(C599,[1]StuntDes!$B:$B,[1]StuntDes!$C:$C)),"")</f>
        <v/>
      </c>
      <c r="L599">
        <f t="shared" si="48"/>
        <v>1</v>
      </c>
      <c r="M599" s="10" t="str">
        <f>IFERROR(_xlfn.XLOOKUP(C599,[1]StuntDes!$B:$B,[1]StuntDes!$A:$A),"")</f>
        <v/>
      </c>
      <c r="N599" s="10" t="str">
        <f>IFERROR(_xlfn.XLOOKUP(C599,[1]ModifierDes!$B:$B,[1]ModifierDes!$A:$A),"")</f>
        <v/>
      </c>
      <c r="O599" s="10">
        <f>IFERROR(_xlfn.XLOOKUP(C599,[1]AttributeName!$C:$C,[1]AttributeName!$B:$B),"")</f>
        <v>10003</v>
      </c>
      <c r="P599" s="10"/>
      <c r="Q599">
        <v>1</v>
      </c>
      <c r="R599">
        <v>1</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441</v>
      </c>
      <c r="D600" t="s">
        <v>32</v>
      </c>
      <c r="E600" t="s">
        <v>405</v>
      </c>
      <c r="G600">
        <v>2</v>
      </c>
      <c r="H600">
        <v>1000</v>
      </c>
      <c r="J600" cm="1">
        <f t="array" ref="J600">_xlfn.SWITCH(B600,1,75,2,61,3,49,4,37,5,25,6,13,7,4,8,1)</f>
        <v>75</v>
      </c>
      <c r="K600" t="str" cm="1">
        <f t="array" ref="K600">IFERROR(_xlfn.SWITCH(L600,2,_xlfn.XLOOKUP(C600,[1]ModifierDes!$B:$B,[1]ModifierDes!$C:$C),3,_xlfn.XLOOKUP(C600,[1]StuntDes!$B:$B,[1]StuntDes!$C:$C)),"")</f>
        <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8</v>
      </c>
      <c r="R600">
        <v>10</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441</v>
      </c>
      <c r="D601" t="s">
        <v>32</v>
      </c>
      <c r="E601" t="s">
        <v>405</v>
      </c>
      <c r="G601">
        <v>2</v>
      </c>
      <c r="H601">
        <v>1000</v>
      </c>
      <c r="J601" cm="1">
        <f t="array" ref="J601">_xlfn.SWITCH(B601,1,75,2,61,3,49,4,37,5,25,6,13,7,4,8,1)</f>
        <v>61</v>
      </c>
      <c r="K601" t="str" cm="1">
        <f t="array" ref="K601">IFERROR(_xlfn.SWITCH(L601,2,_xlfn.XLOOKUP(C601,[1]ModifierDes!$B:$B,[1]ModifierDes!$C:$C),3,_xlfn.XLOOKUP(C601,[1]StuntDes!$B:$B,[1]StuntDes!$C:$C)),"")</f>
        <v/>
      </c>
      <c r="L601">
        <f t="shared" si="51"/>
        <v>1</v>
      </c>
      <c r="M601" s="10" t="str">
        <f>IFERROR(_xlfn.XLOOKUP(C601,[1]StuntDes!$B:$B,[1]StuntDes!$A:$A),"")</f>
        <v/>
      </c>
      <c r="N601" s="10" t="str">
        <f>IFERROR(_xlfn.XLOOKUP(C601,[1]ModifierDes!$B:$B,[1]ModifierDes!$A:$A),"")</f>
        <v/>
      </c>
      <c r="O601" s="10">
        <f>IFERROR(_xlfn.XLOOKUP(C601,[1]AttributeName!$C:$C,[1]AttributeName!$B:$B),"")</f>
        <v>10005</v>
      </c>
      <c r="P601" s="10"/>
      <c r="Q601">
        <v>7</v>
      </c>
      <c r="R601">
        <v>7</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441</v>
      </c>
      <c r="D602" t="s">
        <v>32</v>
      </c>
      <c r="E602" t="s">
        <v>405</v>
      </c>
      <c r="G602">
        <v>2</v>
      </c>
      <c r="H602">
        <v>1000</v>
      </c>
      <c r="J602" cm="1">
        <f t="array" ref="J602">_xlfn.SWITCH(B602,1,75,2,61,3,49,4,37,5,25,6,13,7,4,8,1)</f>
        <v>49</v>
      </c>
      <c r="K602" t="str" cm="1">
        <f t="array" ref="K602">IFERROR(_xlfn.SWITCH(L602,2,_xlfn.XLOOKUP(C602,[1]ModifierDes!$B:$B,[1]ModifierDes!$C:$C),3,_xlfn.XLOOKUP(C602,[1]StuntDes!$B:$B,[1]StuntDes!$C:$C)),"")</f>
        <v/>
      </c>
      <c r="L602">
        <f t="shared" si="51"/>
        <v>1</v>
      </c>
      <c r="M602" s="10" t="str">
        <f>IFERROR(_xlfn.XLOOKUP(C602,[1]StuntDes!$B:$B,[1]StuntDes!$A:$A),"")</f>
        <v/>
      </c>
      <c r="N602" s="10" t="str">
        <f>IFERROR(_xlfn.XLOOKUP(C602,[1]ModifierDes!$B:$B,[1]ModifierDes!$A:$A),"")</f>
        <v/>
      </c>
      <c r="O602" s="10">
        <f>IFERROR(_xlfn.XLOOKUP(C602,[1]AttributeName!$C:$C,[1]AttributeName!$B:$B),"")</f>
        <v>10005</v>
      </c>
      <c r="P602" s="10"/>
      <c r="Q602">
        <v>6</v>
      </c>
      <c r="R602">
        <v>6</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441</v>
      </c>
      <c r="D603" t="s">
        <v>32</v>
      </c>
      <c r="E603" t="s">
        <v>405</v>
      </c>
      <c r="G603">
        <v>2</v>
      </c>
      <c r="H603">
        <v>1000</v>
      </c>
      <c r="J603" cm="1">
        <f t="array" ref="J603">_xlfn.SWITCH(B603,1,75,2,61,3,49,4,37,5,25,6,13,7,4,8,1)</f>
        <v>37</v>
      </c>
      <c r="K603" t="str" cm="1">
        <f t="array" ref="K603">IFERROR(_xlfn.SWITCH(L603,2,_xlfn.XLOOKUP(C603,[1]ModifierDes!$B:$B,[1]ModifierDes!$C:$C),3,_xlfn.XLOOKUP(C603,[1]StuntDes!$B:$B,[1]StuntDes!$C:$C)),"")</f>
        <v/>
      </c>
      <c r="L603">
        <f t="shared" si="51"/>
        <v>1</v>
      </c>
      <c r="M603" s="10" t="str">
        <f>IFERROR(_xlfn.XLOOKUP(C603,[1]StuntDes!$B:$B,[1]StuntDes!$A:$A),"")</f>
        <v/>
      </c>
      <c r="N603" s="10" t="str">
        <f>IFERROR(_xlfn.XLOOKUP(C603,[1]ModifierDes!$B:$B,[1]ModifierDes!$A:$A),"")</f>
        <v/>
      </c>
      <c r="O603" s="10">
        <f>IFERROR(_xlfn.XLOOKUP(C603,[1]AttributeName!$C:$C,[1]AttributeName!$B:$B),"")</f>
        <v>10005</v>
      </c>
      <c r="P603" s="10"/>
      <c r="Q603">
        <v>5</v>
      </c>
      <c r="R603">
        <v>5</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441</v>
      </c>
      <c r="D604" t="s">
        <v>32</v>
      </c>
      <c r="E604" t="s">
        <v>405</v>
      </c>
      <c r="G604">
        <v>2</v>
      </c>
      <c r="H604">
        <v>1000</v>
      </c>
      <c r="J604" cm="1">
        <f t="array" ref="J604">_xlfn.SWITCH(B604,1,75,2,61,3,49,4,37,5,25,6,13,7,4,8,1)</f>
        <v>25</v>
      </c>
      <c r="K604" t="str" cm="1">
        <f t="array" ref="K604">IFERROR(_xlfn.SWITCH(L604,2,_xlfn.XLOOKUP(C604,[1]ModifierDes!$B:$B,[1]ModifierDes!$C:$C),3,_xlfn.XLOOKUP(C604,[1]StuntDes!$B:$B,[1]StuntDes!$C:$C)),"")</f>
        <v/>
      </c>
      <c r="L604">
        <f t="shared" si="51"/>
        <v>1</v>
      </c>
      <c r="M604" s="10" t="str">
        <f>IFERROR(_xlfn.XLOOKUP(C604,[1]StuntDes!$B:$B,[1]StuntDes!$A:$A),"")</f>
        <v/>
      </c>
      <c r="N604" s="10" t="str">
        <f>IFERROR(_xlfn.XLOOKUP(C604,[1]ModifierDes!$B:$B,[1]ModifierDes!$A:$A),"")</f>
        <v/>
      </c>
      <c r="O604" s="10">
        <f>IFERROR(_xlfn.XLOOKUP(C604,[1]AttributeName!$C:$C,[1]AttributeName!$B:$B),"")</f>
        <v>10005</v>
      </c>
      <c r="P604" s="10"/>
      <c r="Q604">
        <v>4</v>
      </c>
      <c r="R604">
        <v>4</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441</v>
      </c>
      <c r="D605" t="s">
        <v>32</v>
      </c>
      <c r="E605" t="s">
        <v>405</v>
      </c>
      <c r="G605">
        <v>2</v>
      </c>
      <c r="H605">
        <v>1000</v>
      </c>
      <c r="J605" cm="1">
        <f t="array" ref="J605">_xlfn.SWITCH(B605,1,75,2,61,3,49,4,37,5,25,6,13,7,4,8,1)</f>
        <v>13</v>
      </c>
      <c r="K605" t="str" cm="1">
        <f t="array" ref="K605">IFERROR(_xlfn.SWITCH(L605,2,_xlfn.XLOOKUP(C605,[1]ModifierDes!$B:$B,[1]ModifierDes!$C:$C),3,_xlfn.XLOOKUP(C605,[1]StuntDes!$B:$B,[1]StuntDes!$C:$C)),"")</f>
        <v/>
      </c>
      <c r="L605">
        <f t="shared" si="51"/>
        <v>1</v>
      </c>
      <c r="M605" s="10" t="str">
        <f>IFERROR(_xlfn.XLOOKUP(C605,[1]StuntDes!$B:$B,[1]StuntDes!$A:$A),"")</f>
        <v/>
      </c>
      <c r="N605" s="10" t="str">
        <f>IFERROR(_xlfn.XLOOKUP(C605,[1]ModifierDes!$B:$B,[1]ModifierDes!$A:$A),"")</f>
        <v/>
      </c>
      <c r="O605" s="10">
        <f>IFERROR(_xlfn.XLOOKUP(C605,[1]AttributeName!$C:$C,[1]AttributeName!$B:$B),"")</f>
        <v>10005</v>
      </c>
      <c r="P605" s="10"/>
      <c r="Q605">
        <v>3</v>
      </c>
      <c r="R605">
        <v>3</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441</v>
      </c>
      <c r="D606" t="s">
        <v>32</v>
      </c>
      <c r="E606" t="s">
        <v>405</v>
      </c>
      <c r="G606">
        <v>2</v>
      </c>
      <c r="H606">
        <v>1000</v>
      </c>
      <c r="J606" cm="1">
        <f t="array" ref="J606">_xlfn.SWITCH(B606,1,75,2,61,3,49,4,37,5,25,6,13,7,4,8,1)</f>
        <v>4</v>
      </c>
      <c r="K606" t="str" cm="1">
        <f t="array" ref="K606">IFERROR(_xlfn.SWITCH(L606,2,_xlfn.XLOOKUP(C606,[1]ModifierDes!$B:$B,[1]ModifierDes!$C:$C),3,_xlfn.XLOOKUP(C606,[1]StuntDes!$B:$B,[1]StuntDes!$C:$C)),"")</f>
        <v/>
      </c>
      <c r="L606">
        <f t="shared" si="51"/>
        <v>1</v>
      </c>
      <c r="M606" s="10" t="str">
        <f>IFERROR(_xlfn.XLOOKUP(C606,[1]StuntDes!$B:$B,[1]StuntDes!$A:$A),"")</f>
        <v/>
      </c>
      <c r="N606" s="10" t="str">
        <f>IFERROR(_xlfn.XLOOKUP(C606,[1]ModifierDes!$B:$B,[1]ModifierDes!$A:$A),"")</f>
        <v/>
      </c>
      <c r="O606" s="10">
        <f>IFERROR(_xlfn.XLOOKUP(C606,[1]AttributeName!$C:$C,[1]AttributeName!$B:$B),"")</f>
        <v>10005</v>
      </c>
      <c r="P606" s="10"/>
      <c r="Q606">
        <v>2</v>
      </c>
      <c r="R606">
        <v>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441</v>
      </c>
      <c r="D607" t="s">
        <v>32</v>
      </c>
      <c r="E607" t="s">
        <v>405</v>
      </c>
      <c r="G607">
        <v>2</v>
      </c>
      <c r="H607">
        <v>1000</v>
      </c>
      <c r="J607" cm="1">
        <f t="array" ref="J607">_xlfn.SWITCH(B607,1,75,2,61,3,49,4,37,5,25,6,13,7,4,8,1)</f>
        <v>1</v>
      </c>
      <c r="K607" t="str" cm="1">
        <f t="array" ref="K607">IFERROR(_xlfn.SWITCH(L607,2,_xlfn.XLOOKUP(C607,[1]ModifierDes!$B:$B,[1]ModifierDes!$C:$C),3,_xlfn.XLOOKUP(C607,[1]StuntDes!$B:$B,[1]StuntDes!$C:$C)),"")</f>
        <v/>
      </c>
      <c r="L607">
        <f t="shared" si="51"/>
        <v>1</v>
      </c>
      <c r="M607" s="10" t="str">
        <f>IFERROR(_xlfn.XLOOKUP(C607,[1]StuntDes!$B:$B,[1]StuntDes!$A:$A),"")</f>
        <v/>
      </c>
      <c r="N607" s="10" t="str">
        <f>IFERROR(_xlfn.XLOOKUP(C607,[1]ModifierDes!$B:$B,[1]ModifierDes!$A:$A),"")</f>
        <v/>
      </c>
      <c r="O607" s="10">
        <f>IFERROR(_xlfn.XLOOKUP(C607,[1]AttributeName!$C:$C,[1]AttributeName!$B:$B),"")</f>
        <v>10005</v>
      </c>
      <c r="P607" s="10"/>
      <c r="Q607">
        <v>1</v>
      </c>
      <c r="R607">
        <v>1</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402</v>
      </c>
      <c r="D608" t="s">
        <v>33</v>
      </c>
      <c r="E608" t="s">
        <v>388</v>
      </c>
      <c r="F608"/>
      <c r="G608">
        <v>1</v>
      </c>
      <c r="H608">
        <v>1000</v>
      </c>
      <c r="J608" cm="1">
        <f t="array" ref="J608">_xlfn.SWITCH(B608,1,75,2,61,3,49,4,37,5,25,6,13,7,4,8,1)</f>
        <v>75</v>
      </c>
      <c r="K608" t="str" cm="1">
        <f t="array" ref="K608">IFERROR(_xlfn.SWITCH(L608,2,_xlfn.XLOOKUP(C608,[1]ModifierDes!$B:$B,[1]ModifierDes!$C:$C),3,_xlfn.XLOOKUP(C608,[1]StuntDes!$B:$B,[1]StuntDes!$C:$C)),"")</f>
        <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402</v>
      </c>
      <c r="D609" t="s">
        <v>33</v>
      </c>
      <c r="E609" t="s">
        <v>388</v>
      </c>
      <c r="F609"/>
      <c r="G609">
        <v>1</v>
      </c>
      <c r="H609">
        <v>1000</v>
      </c>
      <c r="J609" cm="1">
        <f t="array" ref="J609">_xlfn.SWITCH(B609,1,75,2,61,3,49,4,37,5,25,6,13,7,4,8,1)</f>
        <v>61</v>
      </c>
      <c r="K609" t="str" cm="1">
        <f t="array" ref="K609">IFERROR(_xlfn.SWITCH(L609,2,_xlfn.XLOOKUP(C609,[1]ModifierDes!$B:$B,[1]ModifierDes!$C:$C),3,_xlfn.XLOOKUP(C609,[1]StuntDes!$B:$B,[1]StuntDes!$C:$C)),"")</f>
        <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402</v>
      </c>
      <c r="D610" t="s">
        <v>33</v>
      </c>
      <c r="E610" t="s">
        <v>388</v>
      </c>
      <c r="F610"/>
      <c r="G610">
        <v>1</v>
      </c>
      <c r="H610">
        <v>1000</v>
      </c>
      <c r="J610" cm="1">
        <f t="array" ref="J610">_xlfn.SWITCH(B610,1,75,2,61,3,49,4,37,5,25,6,13,7,4,8,1)</f>
        <v>49</v>
      </c>
      <c r="K610" t="str" cm="1">
        <f t="array" ref="K610">IFERROR(_xlfn.SWITCH(L610,2,_xlfn.XLOOKUP(C610,[1]ModifierDes!$B:$B,[1]ModifierDes!$C:$C),3,_xlfn.XLOOKUP(C610,[1]StuntDes!$B:$B,[1]StuntDes!$C:$C)),"")</f>
        <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402</v>
      </c>
      <c r="D611" t="s">
        <v>33</v>
      </c>
      <c r="E611" t="s">
        <v>388</v>
      </c>
      <c r="F611"/>
      <c r="G611">
        <v>1</v>
      </c>
      <c r="H611">
        <v>1000</v>
      </c>
      <c r="J611" cm="1">
        <f t="array" ref="J611">_xlfn.SWITCH(B611,1,75,2,61,3,49,4,37,5,25,6,13,7,4,8,1)</f>
        <v>37</v>
      </c>
      <c r="K611" t="str" cm="1">
        <f t="array" ref="K611">IFERROR(_xlfn.SWITCH(L611,2,_xlfn.XLOOKUP(C611,[1]ModifierDes!$B:$B,[1]ModifierDes!$C:$C),3,_xlfn.XLOOKUP(C611,[1]StuntDes!$B:$B,[1]StuntDes!$C:$C)),"")</f>
        <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402</v>
      </c>
      <c r="D612" t="s">
        <v>33</v>
      </c>
      <c r="E612" t="s">
        <v>388</v>
      </c>
      <c r="F612"/>
      <c r="G612">
        <v>1</v>
      </c>
      <c r="H612">
        <v>1000</v>
      </c>
      <c r="J612" cm="1">
        <f t="array" ref="J612">_xlfn.SWITCH(B612,1,75,2,61,3,49,4,37,5,25,6,13,7,4,8,1)</f>
        <v>25</v>
      </c>
      <c r="K612" t="str" cm="1">
        <f t="array" ref="K612">IFERROR(_xlfn.SWITCH(L612,2,_xlfn.XLOOKUP(C612,[1]ModifierDes!$B:$B,[1]ModifierDes!$C:$C),3,_xlfn.XLOOKUP(C612,[1]StuntDes!$B:$B,[1]StuntDes!$C:$C)),"")</f>
        <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402</v>
      </c>
      <c r="D613" t="s">
        <v>33</v>
      </c>
      <c r="E613" t="s">
        <v>388</v>
      </c>
      <c r="F613"/>
      <c r="G613">
        <v>1</v>
      </c>
      <c r="H613">
        <v>1000</v>
      </c>
      <c r="J613" cm="1">
        <f t="array" ref="J613">_xlfn.SWITCH(B613,1,75,2,61,3,49,4,37,5,25,6,13,7,4,8,1)</f>
        <v>13</v>
      </c>
      <c r="K613" t="str" cm="1">
        <f t="array" ref="K613">IFERROR(_xlfn.SWITCH(L613,2,_xlfn.XLOOKUP(C613,[1]ModifierDes!$B:$B,[1]ModifierDes!$C:$C),3,_xlfn.XLOOKUP(C613,[1]StuntDes!$B:$B,[1]StuntDes!$C:$C)),"")</f>
        <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402</v>
      </c>
      <c r="D614" t="s">
        <v>33</v>
      </c>
      <c r="E614" t="s">
        <v>388</v>
      </c>
      <c r="F614"/>
      <c r="G614">
        <v>1</v>
      </c>
      <c r="H614">
        <v>1000</v>
      </c>
      <c r="J614" cm="1">
        <f t="array" ref="J614">_xlfn.SWITCH(B614,1,75,2,61,3,49,4,37,5,25,6,13,7,4,8,1)</f>
        <v>4</v>
      </c>
      <c r="K614" t="str" cm="1">
        <f t="array" ref="K614">IFERROR(_xlfn.SWITCH(L614,2,_xlfn.XLOOKUP(C614,[1]ModifierDes!$B:$B,[1]ModifierDes!$C:$C),3,_xlfn.XLOOKUP(C614,[1]StuntDes!$B:$B,[1]StuntDes!$C:$C)),"")</f>
        <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402</v>
      </c>
      <c r="D615" t="s">
        <v>33</v>
      </c>
      <c r="E615" t="s">
        <v>388</v>
      </c>
      <c r="F615"/>
      <c r="G615">
        <v>1</v>
      </c>
      <c r="H615">
        <v>1000</v>
      </c>
      <c r="J615" cm="1">
        <f t="array" ref="J615">_xlfn.SWITCH(B615,1,75,2,61,3,49,4,37,5,25,6,13,7,4,8,1)</f>
        <v>1</v>
      </c>
      <c r="K615" t="str" cm="1">
        <f t="array" ref="K615">IFERROR(_xlfn.SWITCH(L615,2,_xlfn.XLOOKUP(C615,[1]ModifierDes!$B:$B,[1]ModifierDes!$C:$C),3,_xlfn.XLOOKUP(C615,[1]StuntDes!$B:$B,[1]StuntDes!$C:$C)),"")</f>
        <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403</v>
      </c>
      <c r="D616" t="s">
        <v>33</v>
      </c>
      <c r="E616" t="s">
        <v>388</v>
      </c>
      <c r="F616"/>
      <c r="G616">
        <v>1</v>
      </c>
      <c r="H616">
        <v>1000</v>
      </c>
      <c r="J616" cm="1">
        <f t="array" ref="J616">_xlfn.SWITCH(B616,1,75,2,61,3,49,4,37,5,25,6,13,7,4,8,1)</f>
        <v>75</v>
      </c>
      <c r="K616" t="str" cm="1">
        <f t="array" ref="K616">IFERROR(_xlfn.SWITCH(L616,2,_xlfn.XLOOKUP(C616,[1]ModifierDes!$B:$B,[1]ModifierDes!$C:$C),3,_xlfn.XLOOKUP(C616,[1]StuntDes!$B:$B,[1]StuntDes!$C:$C)),"")</f>
        <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403</v>
      </c>
      <c r="D617" t="s">
        <v>33</v>
      </c>
      <c r="E617" t="s">
        <v>388</v>
      </c>
      <c r="F617"/>
      <c r="G617">
        <v>1</v>
      </c>
      <c r="H617">
        <v>1000</v>
      </c>
      <c r="J617" cm="1">
        <f t="array" ref="J617">_xlfn.SWITCH(B617,1,75,2,61,3,49,4,37,5,25,6,13,7,4,8,1)</f>
        <v>61</v>
      </c>
      <c r="K617" t="str" cm="1">
        <f t="array" ref="K617">IFERROR(_xlfn.SWITCH(L617,2,_xlfn.XLOOKUP(C617,[1]ModifierDes!$B:$B,[1]ModifierDes!$C:$C),3,_xlfn.XLOOKUP(C617,[1]StuntDes!$B:$B,[1]StuntDes!$C:$C)),"")</f>
        <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403</v>
      </c>
      <c r="D618" t="s">
        <v>33</v>
      </c>
      <c r="E618" t="s">
        <v>388</v>
      </c>
      <c r="F618"/>
      <c r="G618">
        <v>1</v>
      </c>
      <c r="H618">
        <v>1000</v>
      </c>
      <c r="J618" cm="1">
        <f t="array" ref="J618">_xlfn.SWITCH(B618,1,75,2,61,3,49,4,37,5,25,6,13,7,4,8,1)</f>
        <v>49</v>
      </c>
      <c r="K618" t="str" cm="1">
        <f t="array" ref="K618">IFERROR(_xlfn.SWITCH(L618,2,_xlfn.XLOOKUP(C618,[1]ModifierDes!$B:$B,[1]ModifierDes!$C:$C),3,_xlfn.XLOOKUP(C618,[1]StuntDes!$B:$B,[1]StuntDes!$C:$C)),"")</f>
        <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403</v>
      </c>
      <c r="D619" t="s">
        <v>33</v>
      </c>
      <c r="E619" t="s">
        <v>388</v>
      </c>
      <c r="F619"/>
      <c r="G619">
        <v>1</v>
      </c>
      <c r="H619">
        <v>1000</v>
      </c>
      <c r="J619" cm="1">
        <f t="array" ref="J619">_xlfn.SWITCH(B619,1,75,2,61,3,49,4,37,5,25,6,13,7,4,8,1)</f>
        <v>37</v>
      </c>
      <c r="K619" t="str" cm="1">
        <f t="array" ref="K619">IFERROR(_xlfn.SWITCH(L619,2,_xlfn.XLOOKUP(C619,[1]ModifierDes!$B:$B,[1]ModifierDes!$C:$C),3,_xlfn.XLOOKUP(C619,[1]StuntDes!$B:$B,[1]StuntDes!$C:$C)),"")</f>
        <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403</v>
      </c>
      <c r="D620" t="s">
        <v>33</v>
      </c>
      <c r="E620" t="s">
        <v>388</v>
      </c>
      <c r="F620"/>
      <c r="G620">
        <v>1</v>
      </c>
      <c r="H620">
        <v>1000</v>
      </c>
      <c r="J620" cm="1">
        <f t="array" ref="J620">_xlfn.SWITCH(B620,1,75,2,61,3,49,4,37,5,25,6,13,7,4,8,1)</f>
        <v>25</v>
      </c>
      <c r="K620" t="str" cm="1">
        <f t="array" ref="K620">IFERROR(_xlfn.SWITCH(L620,2,_xlfn.XLOOKUP(C620,[1]ModifierDes!$B:$B,[1]ModifierDes!$C:$C),3,_xlfn.XLOOKUP(C620,[1]StuntDes!$B:$B,[1]StuntDes!$C:$C)),"")</f>
        <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403</v>
      </c>
      <c r="D621" t="s">
        <v>33</v>
      </c>
      <c r="E621" t="s">
        <v>388</v>
      </c>
      <c r="F621"/>
      <c r="G621">
        <v>1</v>
      </c>
      <c r="H621">
        <v>1000</v>
      </c>
      <c r="J621" cm="1">
        <f t="array" ref="J621">_xlfn.SWITCH(B621,1,75,2,61,3,49,4,37,5,25,6,13,7,4,8,1)</f>
        <v>13</v>
      </c>
      <c r="K621" t="str" cm="1">
        <f t="array" ref="K621">IFERROR(_xlfn.SWITCH(L621,2,_xlfn.XLOOKUP(C621,[1]ModifierDes!$B:$B,[1]ModifierDes!$C:$C),3,_xlfn.XLOOKUP(C621,[1]StuntDes!$B:$B,[1]StuntDes!$C:$C)),"")</f>
        <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403</v>
      </c>
      <c r="D622" t="s">
        <v>33</v>
      </c>
      <c r="E622" t="s">
        <v>388</v>
      </c>
      <c r="F622"/>
      <c r="G622">
        <v>1</v>
      </c>
      <c r="H622">
        <v>1000</v>
      </c>
      <c r="J622" cm="1">
        <f t="array" ref="J622">_xlfn.SWITCH(B622,1,75,2,61,3,49,4,37,5,25,6,13,7,4,8,1)</f>
        <v>4</v>
      </c>
      <c r="K622" t="str" cm="1">
        <f t="array" ref="K622">IFERROR(_xlfn.SWITCH(L622,2,_xlfn.XLOOKUP(C622,[1]ModifierDes!$B:$B,[1]ModifierDes!$C:$C),3,_xlfn.XLOOKUP(C622,[1]StuntDes!$B:$B,[1]StuntDes!$C:$C)),"")</f>
        <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403</v>
      </c>
      <c r="D623" t="s">
        <v>33</v>
      </c>
      <c r="E623" t="s">
        <v>388</v>
      </c>
      <c r="F623"/>
      <c r="G623">
        <v>1</v>
      </c>
      <c r="H623">
        <v>1000</v>
      </c>
      <c r="J623" cm="1">
        <f t="array" ref="J623">_xlfn.SWITCH(B623,1,75,2,61,3,49,4,37,5,25,6,13,7,4,8,1)</f>
        <v>1</v>
      </c>
      <c r="K623" t="str" cm="1">
        <f t="array" ref="K623">IFERROR(_xlfn.SWITCH(L623,2,_xlfn.XLOOKUP(C623,[1]ModifierDes!$B:$B,[1]ModifierDes!$C:$C),3,_xlfn.XLOOKUP(C623,[1]StuntDes!$B:$B,[1]StuntDes!$C:$C)),"")</f>
        <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423</v>
      </c>
      <c r="D624" t="s">
        <v>33</v>
      </c>
      <c r="E624" t="s">
        <v>388</v>
      </c>
      <c r="F624"/>
      <c r="G624">
        <v>1</v>
      </c>
      <c r="H624">
        <v>1000</v>
      </c>
      <c r="J624" cm="1">
        <f t="array" ref="J624">_xlfn.SWITCH(B624,1,75,2,61,3,49,4,37,5,25,6,13,7,4,8,1)</f>
        <v>75</v>
      </c>
      <c r="K624" t="str" cm="1">
        <f t="array" ref="K624">IFERROR(_xlfn.SWITCH(L624,2,_xlfn.XLOOKUP(C624,[1]ModifierDes!$B:$B,[1]ModifierDes!$C:$C),3,_xlfn.XLOOKUP(C624,[1]StuntDes!$B:$B,[1]StuntDes!$C:$C)),"")</f>
        <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423</v>
      </c>
      <c r="D625" t="s">
        <v>33</v>
      </c>
      <c r="E625" t="s">
        <v>388</v>
      </c>
      <c r="F625"/>
      <c r="G625">
        <v>1</v>
      </c>
      <c r="H625">
        <v>1000</v>
      </c>
      <c r="J625" cm="1">
        <f t="array" ref="J625">_xlfn.SWITCH(B625,1,75,2,61,3,49,4,37,5,25,6,13,7,4,8,1)</f>
        <v>61</v>
      </c>
      <c r="K625" t="str" cm="1">
        <f t="array" ref="K625">IFERROR(_xlfn.SWITCH(L625,2,_xlfn.XLOOKUP(C625,[1]ModifierDes!$B:$B,[1]ModifierDes!$C:$C),3,_xlfn.XLOOKUP(C625,[1]StuntDes!$B:$B,[1]StuntDes!$C:$C)),"")</f>
        <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423</v>
      </c>
      <c r="D626" t="s">
        <v>33</v>
      </c>
      <c r="E626" t="s">
        <v>388</v>
      </c>
      <c r="F626"/>
      <c r="G626">
        <v>1</v>
      </c>
      <c r="H626">
        <v>1000</v>
      </c>
      <c r="J626" cm="1">
        <f t="array" ref="J626">_xlfn.SWITCH(B626,1,75,2,61,3,49,4,37,5,25,6,13,7,4,8,1)</f>
        <v>49</v>
      </c>
      <c r="K626" t="str" cm="1">
        <f t="array" ref="K626">IFERROR(_xlfn.SWITCH(L626,2,_xlfn.XLOOKUP(C626,[1]ModifierDes!$B:$B,[1]ModifierDes!$C:$C),3,_xlfn.XLOOKUP(C626,[1]StuntDes!$B:$B,[1]StuntDes!$C:$C)),"")</f>
        <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423</v>
      </c>
      <c r="D627" t="s">
        <v>33</v>
      </c>
      <c r="E627" t="s">
        <v>388</v>
      </c>
      <c r="F627"/>
      <c r="G627">
        <v>1</v>
      </c>
      <c r="H627">
        <v>1000</v>
      </c>
      <c r="J627" cm="1">
        <f t="array" ref="J627">_xlfn.SWITCH(B627,1,75,2,61,3,49,4,37,5,25,6,13,7,4,8,1)</f>
        <v>37</v>
      </c>
      <c r="K627" t="str" cm="1">
        <f t="array" ref="K627">IFERROR(_xlfn.SWITCH(L627,2,_xlfn.XLOOKUP(C627,[1]ModifierDes!$B:$B,[1]ModifierDes!$C:$C),3,_xlfn.XLOOKUP(C627,[1]StuntDes!$B:$B,[1]StuntDes!$C:$C)),"")</f>
        <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423</v>
      </c>
      <c r="D628" t="s">
        <v>33</v>
      </c>
      <c r="E628" t="s">
        <v>388</v>
      </c>
      <c r="F628"/>
      <c r="G628">
        <v>1</v>
      </c>
      <c r="H628">
        <v>1000</v>
      </c>
      <c r="J628" cm="1">
        <f t="array" ref="J628">_xlfn.SWITCH(B628,1,75,2,61,3,49,4,37,5,25,6,13,7,4,8,1)</f>
        <v>25</v>
      </c>
      <c r="K628" t="str" cm="1">
        <f t="array" ref="K628">IFERROR(_xlfn.SWITCH(L628,2,_xlfn.XLOOKUP(C628,[1]ModifierDes!$B:$B,[1]ModifierDes!$C:$C),3,_xlfn.XLOOKUP(C628,[1]StuntDes!$B:$B,[1]StuntDes!$C:$C)),"")</f>
        <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423</v>
      </c>
      <c r="D629" t="s">
        <v>33</v>
      </c>
      <c r="E629" t="s">
        <v>388</v>
      </c>
      <c r="F629"/>
      <c r="G629">
        <v>1</v>
      </c>
      <c r="H629">
        <v>1000</v>
      </c>
      <c r="J629" cm="1">
        <f t="array" ref="J629">_xlfn.SWITCH(B629,1,75,2,61,3,49,4,37,5,25,6,13,7,4,8,1)</f>
        <v>13</v>
      </c>
      <c r="K629" t="str" cm="1">
        <f t="array" ref="K629">IFERROR(_xlfn.SWITCH(L629,2,_xlfn.XLOOKUP(C629,[1]ModifierDes!$B:$B,[1]ModifierDes!$C:$C),3,_xlfn.XLOOKUP(C629,[1]StuntDes!$B:$B,[1]StuntDes!$C:$C)),"")</f>
        <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423</v>
      </c>
      <c r="D630" t="s">
        <v>33</v>
      </c>
      <c r="E630" t="s">
        <v>388</v>
      </c>
      <c r="F630"/>
      <c r="G630">
        <v>1</v>
      </c>
      <c r="H630">
        <v>1000</v>
      </c>
      <c r="J630" cm="1">
        <f t="array" ref="J630">_xlfn.SWITCH(B630,1,75,2,61,3,49,4,37,5,25,6,13,7,4,8,1)</f>
        <v>4</v>
      </c>
      <c r="K630" t="str" cm="1">
        <f t="array" ref="K630">IFERROR(_xlfn.SWITCH(L630,2,_xlfn.XLOOKUP(C630,[1]ModifierDes!$B:$B,[1]ModifierDes!$C:$C),3,_xlfn.XLOOKUP(C630,[1]StuntDes!$B:$B,[1]StuntDes!$C:$C)),"")</f>
        <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423</v>
      </c>
      <c r="D631" t="s">
        <v>33</v>
      </c>
      <c r="E631" t="s">
        <v>388</v>
      </c>
      <c r="F631"/>
      <c r="G631">
        <v>1</v>
      </c>
      <c r="H631">
        <v>1000</v>
      </c>
      <c r="J631" cm="1">
        <f t="array" ref="J631">_xlfn.SWITCH(B631,1,75,2,61,3,49,4,37,5,25,6,13,7,4,8,1)</f>
        <v>1</v>
      </c>
      <c r="K631" t="str" cm="1">
        <f t="array" ref="K631">IFERROR(_xlfn.SWITCH(L631,2,_xlfn.XLOOKUP(C631,[1]ModifierDes!$B:$B,[1]ModifierDes!$C:$C),3,_xlfn.XLOOKUP(C631,[1]StuntDes!$B:$B,[1]StuntDes!$C:$C)),"")</f>
        <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424</v>
      </c>
      <c r="D632" t="s">
        <v>33</v>
      </c>
      <c r="E632" t="s">
        <v>388</v>
      </c>
      <c r="G632">
        <v>1</v>
      </c>
      <c r="H632">
        <v>250</v>
      </c>
      <c r="J632" cm="1">
        <f t="array" ref="J632">_xlfn.SWITCH(B632,1,75,2,61,3,49,4,37,5,25,6,13,7,4,8,1)</f>
        <v>75</v>
      </c>
      <c r="K632" t="str" cm="1">
        <f t="array" ref="K632">IFERROR(_xlfn.SWITCH(L632,2,_xlfn.XLOOKUP(C632,[1]ModifierDes!$B:$B,[1]ModifierDes!$C:$C),3,_xlfn.XLOOKUP(C632,[1]StuntDes!$B:$B,[1]StuntDes!$C:$C)),"")</f>
        <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424</v>
      </c>
      <c r="D633" t="s">
        <v>33</v>
      </c>
      <c r="E633" t="s">
        <v>388</v>
      </c>
      <c r="G633">
        <v>1</v>
      </c>
      <c r="H633">
        <v>500</v>
      </c>
      <c r="J633" cm="1">
        <f t="array" ref="J633">_xlfn.SWITCH(B633,1,75,2,61,3,49,4,37,5,25,6,13,7,4,8,1)</f>
        <v>61</v>
      </c>
      <c r="K633" t="str" cm="1">
        <f t="array" ref="K633">IFERROR(_xlfn.SWITCH(L633,2,_xlfn.XLOOKUP(C633,[1]ModifierDes!$B:$B,[1]ModifierDes!$C:$C),3,_xlfn.XLOOKUP(C633,[1]StuntDes!$B:$B,[1]StuntDes!$C:$C)),"")</f>
        <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424</v>
      </c>
      <c r="D634" t="s">
        <v>33</v>
      </c>
      <c r="E634" t="s">
        <v>388</v>
      </c>
      <c r="G634">
        <v>1</v>
      </c>
      <c r="H634">
        <v>1000</v>
      </c>
      <c r="J634" cm="1">
        <f t="array" ref="J634">_xlfn.SWITCH(B634,1,75,2,61,3,49,4,37,5,25,6,13,7,4,8,1)</f>
        <v>49</v>
      </c>
      <c r="K634" t="str" cm="1">
        <f t="array" ref="K634">IFERROR(_xlfn.SWITCH(L634,2,_xlfn.XLOOKUP(C634,[1]ModifierDes!$B:$B,[1]ModifierDes!$C:$C),3,_xlfn.XLOOKUP(C634,[1]StuntDes!$B:$B,[1]StuntDes!$C:$C)),"")</f>
        <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424</v>
      </c>
      <c r="D635" t="s">
        <v>33</v>
      </c>
      <c r="E635" t="s">
        <v>388</v>
      </c>
      <c r="G635">
        <v>1</v>
      </c>
      <c r="H635">
        <v>1000</v>
      </c>
      <c r="J635" cm="1">
        <f t="array" ref="J635">_xlfn.SWITCH(B635,1,75,2,61,3,49,4,37,5,25,6,13,7,4,8,1)</f>
        <v>37</v>
      </c>
      <c r="K635" t="str" cm="1">
        <f t="array" ref="K635">IFERROR(_xlfn.SWITCH(L635,2,_xlfn.XLOOKUP(C635,[1]ModifierDes!$B:$B,[1]ModifierDes!$C:$C),3,_xlfn.XLOOKUP(C635,[1]StuntDes!$B:$B,[1]StuntDes!$C:$C)),"")</f>
        <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424</v>
      </c>
      <c r="D636" t="s">
        <v>33</v>
      </c>
      <c r="E636" t="s">
        <v>388</v>
      </c>
      <c r="G636">
        <v>1</v>
      </c>
      <c r="H636">
        <v>1000</v>
      </c>
      <c r="J636" cm="1">
        <f t="array" ref="J636">_xlfn.SWITCH(B636,1,75,2,61,3,49,4,37,5,25,6,13,7,4,8,1)</f>
        <v>25</v>
      </c>
      <c r="K636" t="str" cm="1">
        <f t="array" ref="K636">IFERROR(_xlfn.SWITCH(L636,2,_xlfn.XLOOKUP(C636,[1]ModifierDes!$B:$B,[1]ModifierDes!$C:$C),3,_xlfn.XLOOKUP(C636,[1]StuntDes!$B:$B,[1]StuntDes!$C:$C)),"")</f>
        <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424</v>
      </c>
      <c r="D637" t="s">
        <v>33</v>
      </c>
      <c r="E637" t="s">
        <v>388</v>
      </c>
      <c r="G637">
        <v>1</v>
      </c>
      <c r="H637">
        <v>1000</v>
      </c>
      <c r="J637" cm="1">
        <f t="array" ref="J637">_xlfn.SWITCH(B637,1,75,2,61,3,49,4,37,5,25,6,13,7,4,8,1)</f>
        <v>13</v>
      </c>
      <c r="K637" t="str" cm="1">
        <f t="array" ref="K637">IFERROR(_xlfn.SWITCH(L637,2,_xlfn.XLOOKUP(C637,[1]ModifierDes!$B:$B,[1]ModifierDes!$C:$C),3,_xlfn.XLOOKUP(C637,[1]StuntDes!$B:$B,[1]StuntDes!$C:$C)),"")</f>
        <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424</v>
      </c>
      <c r="D638" t="s">
        <v>33</v>
      </c>
      <c r="E638" t="s">
        <v>388</v>
      </c>
      <c r="G638">
        <v>1</v>
      </c>
      <c r="H638">
        <v>1000</v>
      </c>
      <c r="J638" cm="1">
        <f t="array" ref="J638">_xlfn.SWITCH(B638,1,75,2,61,3,49,4,37,5,25,6,13,7,4,8,1)</f>
        <v>4</v>
      </c>
      <c r="K638" t="str" cm="1">
        <f t="array" ref="K638">IFERROR(_xlfn.SWITCH(L638,2,_xlfn.XLOOKUP(C638,[1]ModifierDes!$B:$B,[1]ModifierDes!$C:$C),3,_xlfn.XLOOKUP(C638,[1]StuntDes!$B:$B,[1]StuntDes!$C:$C)),"")</f>
        <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424</v>
      </c>
      <c r="D639" t="s">
        <v>33</v>
      </c>
      <c r="E639" t="s">
        <v>388</v>
      </c>
      <c r="G639">
        <v>1</v>
      </c>
      <c r="H639">
        <v>1000</v>
      </c>
      <c r="J639" cm="1">
        <f t="array" ref="J639">_xlfn.SWITCH(B639,1,75,2,61,3,49,4,37,5,25,6,13,7,4,8,1)</f>
        <v>1</v>
      </c>
      <c r="K639" t="str" cm="1">
        <f t="array" ref="K639">IFERROR(_xlfn.SWITCH(L639,2,_xlfn.XLOOKUP(C639,[1]ModifierDes!$B:$B,[1]ModifierDes!$C:$C),3,_xlfn.XLOOKUP(C639,[1]StuntDes!$B:$B,[1]StuntDes!$C:$C)),"")</f>
        <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425</v>
      </c>
      <c r="D640" t="s">
        <v>33</v>
      </c>
      <c r="E640" t="s">
        <v>388</v>
      </c>
      <c r="G640">
        <v>1</v>
      </c>
      <c r="H640">
        <v>250</v>
      </c>
      <c r="J640" cm="1">
        <f t="array" ref="J640">_xlfn.SWITCH(B640,1,75,2,61,3,49,4,37,5,25,6,13,7,4,8,1)</f>
        <v>75</v>
      </c>
      <c r="K640" t="str" cm="1">
        <f t="array" ref="K640">IFERROR(_xlfn.SWITCH(L640,2,_xlfn.XLOOKUP(C640,[1]ModifierDes!$B:$B,[1]ModifierDes!$C:$C),3,_xlfn.XLOOKUP(C640,[1]StuntDes!$B:$B,[1]StuntDes!$C:$C)),"")</f>
        <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425</v>
      </c>
      <c r="D641" t="s">
        <v>33</v>
      </c>
      <c r="E641" t="s">
        <v>388</v>
      </c>
      <c r="G641">
        <v>1</v>
      </c>
      <c r="H641">
        <v>500</v>
      </c>
      <c r="J641" cm="1">
        <f t="array" ref="J641">_xlfn.SWITCH(B641,1,75,2,61,3,49,4,37,5,25,6,13,7,4,8,1)</f>
        <v>61</v>
      </c>
      <c r="K641" t="str" cm="1">
        <f t="array" ref="K641">IFERROR(_xlfn.SWITCH(L641,2,_xlfn.XLOOKUP(C641,[1]ModifierDes!$B:$B,[1]ModifierDes!$C:$C),3,_xlfn.XLOOKUP(C641,[1]StuntDes!$B:$B,[1]StuntDes!$C:$C)),"")</f>
        <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425</v>
      </c>
      <c r="D642" t="s">
        <v>33</v>
      </c>
      <c r="E642" t="s">
        <v>388</v>
      </c>
      <c r="G642">
        <v>1</v>
      </c>
      <c r="H642">
        <v>1000</v>
      </c>
      <c r="J642" cm="1">
        <f t="array" ref="J642">_xlfn.SWITCH(B642,1,75,2,61,3,49,4,37,5,25,6,13,7,4,8,1)</f>
        <v>49</v>
      </c>
      <c r="K642" t="str" cm="1">
        <f t="array" ref="K642">IFERROR(_xlfn.SWITCH(L642,2,_xlfn.XLOOKUP(C642,[1]ModifierDes!$B:$B,[1]ModifierDes!$C:$C),3,_xlfn.XLOOKUP(C642,[1]StuntDes!$B:$B,[1]StuntDes!$C:$C)),"")</f>
        <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425</v>
      </c>
      <c r="D643" t="s">
        <v>33</v>
      </c>
      <c r="E643" t="s">
        <v>388</v>
      </c>
      <c r="G643">
        <v>1</v>
      </c>
      <c r="H643">
        <v>1000</v>
      </c>
      <c r="J643" cm="1">
        <f t="array" ref="J643">_xlfn.SWITCH(B643,1,75,2,61,3,49,4,37,5,25,6,13,7,4,8,1)</f>
        <v>37</v>
      </c>
      <c r="K643" t="str" cm="1">
        <f t="array" ref="K643">IFERROR(_xlfn.SWITCH(L643,2,_xlfn.XLOOKUP(C643,[1]ModifierDes!$B:$B,[1]ModifierDes!$C:$C),3,_xlfn.XLOOKUP(C643,[1]StuntDes!$B:$B,[1]StuntDes!$C:$C)),"")</f>
        <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425</v>
      </c>
      <c r="D644" t="s">
        <v>33</v>
      </c>
      <c r="E644" t="s">
        <v>388</v>
      </c>
      <c r="G644">
        <v>1</v>
      </c>
      <c r="H644">
        <v>1000</v>
      </c>
      <c r="J644" cm="1">
        <f t="array" ref="J644">_xlfn.SWITCH(B644,1,75,2,61,3,49,4,37,5,25,6,13,7,4,8,1)</f>
        <v>25</v>
      </c>
      <c r="K644" t="str" cm="1">
        <f t="array" ref="K644">IFERROR(_xlfn.SWITCH(L644,2,_xlfn.XLOOKUP(C644,[1]ModifierDes!$B:$B,[1]ModifierDes!$C:$C),3,_xlfn.XLOOKUP(C644,[1]StuntDes!$B:$B,[1]StuntDes!$C:$C)),"")</f>
        <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425</v>
      </c>
      <c r="D645" t="s">
        <v>33</v>
      </c>
      <c r="E645" t="s">
        <v>388</v>
      </c>
      <c r="G645">
        <v>1</v>
      </c>
      <c r="H645">
        <v>1000</v>
      </c>
      <c r="J645" cm="1">
        <f t="array" ref="J645">_xlfn.SWITCH(B645,1,75,2,61,3,49,4,37,5,25,6,13,7,4,8,1)</f>
        <v>13</v>
      </c>
      <c r="K645" t="str" cm="1">
        <f t="array" ref="K645">IFERROR(_xlfn.SWITCH(L645,2,_xlfn.XLOOKUP(C645,[1]ModifierDes!$B:$B,[1]ModifierDes!$C:$C),3,_xlfn.XLOOKUP(C645,[1]StuntDes!$B:$B,[1]StuntDes!$C:$C)),"")</f>
        <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425</v>
      </c>
      <c r="D646" t="s">
        <v>33</v>
      </c>
      <c r="E646" t="s">
        <v>388</v>
      </c>
      <c r="G646">
        <v>1</v>
      </c>
      <c r="H646">
        <v>1000</v>
      </c>
      <c r="J646" cm="1">
        <f t="array" ref="J646">_xlfn.SWITCH(B646,1,75,2,61,3,49,4,37,5,25,6,13,7,4,8,1)</f>
        <v>4</v>
      </c>
      <c r="K646" t="str" cm="1">
        <f t="array" ref="K646">IFERROR(_xlfn.SWITCH(L646,2,_xlfn.XLOOKUP(C646,[1]ModifierDes!$B:$B,[1]ModifierDes!$C:$C),3,_xlfn.XLOOKUP(C646,[1]StuntDes!$B:$B,[1]StuntDes!$C:$C)),"")</f>
        <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425</v>
      </c>
      <c r="D647" t="s">
        <v>33</v>
      </c>
      <c r="E647" t="s">
        <v>388</v>
      </c>
      <c r="G647">
        <v>1</v>
      </c>
      <c r="H647">
        <v>1000</v>
      </c>
      <c r="J647" cm="1">
        <f t="array" ref="J647">_xlfn.SWITCH(B647,1,75,2,61,3,49,4,37,5,25,6,13,7,4,8,1)</f>
        <v>1</v>
      </c>
      <c r="K647" t="str" cm="1">
        <f t="array" ref="K647">IFERROR(_xlfn.SWITCH(L647,2,_xlfn.XLOOKUP(C647,[1]ModifierDes!$B:$B,[1]ModifierDes!$C:$C),3,_xlfn.XLOOKUP(C647,[1]StuntDes!$B:$B,[1]StuntDes!$C:$C)),"")</f>
        <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96</v>
      </c>
      <c r="D648" t="s">
        <v>33</v>
      </c>
      <c r="E648" t="s">
        <v>388</v>
      </c>
      <c r="G648">
        <v>1</v>
      </c>
      <c r="H648">
        <v>1000</v>
      </c>
      <c r="J648" cm="1">
        <f t="array" ref="J648">_xlfn.SWITCH(B648,1,75,2,61,3,49,4,37,5,25,6,13,7,4,8,1)</f>
        <v>75</v>
      </c>
      <c r="K648" t="str" cm="1">
        <f t="array" ref="K648">IFERROR(_xlfn.SWITCH(L648,2,_xlfn.XLOOKUP(C648,[1]ModifierDes!$B:$B,[1]ModifierDes!$C:$C),3,_xlfn.XLOOKUP(C648,[1]StuntDes!$B:$B,[1]StuntDes!$C:$C)),"")</f>
        <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96</v>
      </c>
      <c r="D649" t="s">
        <v>33</v>
      </c>
      <c r="E649" t="s">
        <v>388</v>
      </c>
      <c r="G649">
        <v>1</v>
      </c>
      <c r="H649">
        <v>1000</v>
      </c>
      <c r="J649" cm="1">
        <f t="array" ref="J649">_xlfn.SWITCH(B649,1,75,2,61,3,49,4,37,5,25,6,13,7,4,8,1)</f>
        <v>61</v>
      </c>
      <c r="K649" t="str" cm="1">
        <f t="array" ref="K649">IFERROR(_xlfn.SWITCH(L649,2,_xlfn.XLOOKUP(C649,[1]ModifierDes!$B:$B,[1]ModifierDes!$C:$C),3,_xlfn.XLOOKUP(C649,[1]StuntDes!$B:$B,[1]StuntDes!$C:$C)),"")</f>
        <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96</v>
      </c>
      <c r="D650" t="s">
        <v>33</v>
      </c>
      <c r="E650" t="s">
        <v>388</v>
      </c>
      <c r="G650">
        <v>1</v>
      </c>
      <c r="H650">
        <v>1000</v>
      </c>
      <c r="J650" cm="1">
        <f t="array" ref="J650">_xlfn.SWITCH(B650,1,75,2,61,3,49,4,37,5,25,6,13,7,4,8,1)</f>
        <v>49</v>
      </c>
      <c r="K650" t="str" cm="1">
        <f t="array" ref="K650">IFERROR(_xlfn.SWITCH(L650,2,_xlfn.XLOOKUP(C650,[1]ModifierDes!$B:$B,[1]ModifierDes!$C:$C),3,_xlfn.XLOOKUP(C650,[1]StuntDes!$B:$B,[1]StuntDes!$C:$C)),"")</f>
        <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96</v>
      </c>
      <c r="D651" t="s">
        <v>33</v>
      </c>
      <c r="E651" t="s">
        <v>388</v>
      </c>
      <c r="G651">
        <v>1</v>
      </c>
      <c r="H651">
        <v>1000</v>
      </c>
      <c r="J651" cm="1">
        <f t="array" ref="J651">_xlfn.SWITCH(B651,1,75,2,61,3,49,4,37,5,25,6,13,7,4,8,1)</f>
        <v>37</v>
      </c>
      <c r="K651" t="str" cm="1">
        <f t="array" ref="K651">IFERROR(_xlfn.SWITCH(L651,2,_xlfn.XLOOKUP(C651,[1]ModifierDes!$B:$B,[1]ModifierDes!$C:$C),3,_xlfn.XLOOKUP(C651,[1]StuntDes!$B:$B,[1]StuntDes!$C:$C)),"")</f>
        <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96</v>
      </c>
      <c r="D652" t="s">
        <v>33</v>
      </c>
      <c r="E652" t="s">
        <v>388</v>
      </c>
      <c r="G652">
        <v>1</v>
      </c>
      <c r="H652">
        <v>1000</v>
      </c>
      <c r="J652" cm="1">
        <f t="array" ref="J652">_xlfn.SWITCH(B652,1,75,2,61,3,49,4,37,5,25,6,13,7,4,8,1)</f>
        <v>25</v>
      </c>
      <c r="K652" t="str" cm="1">
        <f t="array" ref="K652">IFERROR(_xlfn.SWITCH(L652,2,_xlfn.XLOOKUP(C652,[1]ModifierDes!$B:$B,[1]ModifierDes!$C:$C),3,_xlfn.XLOOKUP(C652,[1]StuntDes!$B:$B,[1]StuntDes!$C:$C)),"")</f>
        <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96</v>
      </c>
      <c r="D653" t="s">
        <v>33</v>
      </c>
      <c r="E653" t="s">
        <v>388</v>
      </c>
      <c r="G653">
        <v>1</v>
      </c>
      <c r="H653">
        <v>1000</v>
      </c>
      <c r="J653" cm="1">
        <f t="array" ref="J653">_xlfn.SWITCH(B653,1,75,2,61,3,49,4,37,5,25,6,13,7,4,8,1)</f>
        <v>13</v>
      </c>
      <c r="K653" t="str" cm="1">
        <f t="array" ref="K653">IFERROR(_xlfn.SWITCH(L653,2,_xlfn.XLOOKUP(C653,[1]ModifierDes!$B:$B,[1]ModifierDes!$C:$C),3,_xlfn.XLOOKUP(C653,[1]StuntDes!$B:$B,[1]StuntDes!$C:$C)),"")</f>
        <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96</v>
      </c>
      <c r="D654" t="s">
        <v>33</v>
      </c>
      <c r="E654" t="s">
        <v>388</v>
      </c>
      <c r="G654">
        <v>1</v>
      </c>
      <c r="H654">
        <v>1000</v>
      </c>
      <c r="J654" cm="1">
        <f t="array" ref="J654">_xlfn.SWITCH(B654,1,75,2,61,3,49,4,37,5,25,6,13,7,4,8,1)</f>
        <v>4</v>
      </c>
      <c r="K654" t="str" cm="1">
        <f t="array" ref="K654">IFERROR(_xlfn.SWITCH(L654,2,_xlfn.XLOOKUP(C654,[1]ModifierDes!$B:$B,[1]ModifierDes!$C:$C),3,_xlfn.XLOOKUP(C654,[1]StuntDes!$B:$B,[1]StuntDes!$C:$C)),"")</f>
        <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96</v>
      </c>
      <c r="D655" t="s">
        <v>33</v>
      </c>
      <c r="E655" t="s">
        <v>388</v>
      </c>
      <c r="G655">
        <v>1</v>
      </c>
      <c r="H655">
        <v>1000</v>
      </c>
      <c r="J655" cm="1">
        <f t="array" ref="J655">_xlfn.SWITCH(B655,1,75,2,61,3,49,4,37,5,25,6,13,7,4,8,1)</f>
        <v>1</v>
      </c>
      <c r="K655" t="str" cm="1">
        <f t="array" ref="K655">IFERROR(_xlfn.SWITCH(L655,2,_xlfn.XLOOKUP(C655,[1]ModifierDes!$B:$B,[1]ModifierDes!$C:$C),3,_xlfn.XLOOKUP(C655,[1]StuntDes!$B:$B,[1]StuntDes!$C:$C)),"")</f>
        <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426</v>
      </c>
      <c r="D656" t="s">
        <v>33</v>
      </c>
      <c r="E656" t="s">
        <v>388</v>
      </c>
      <c r="F656"/>
      <c r="G656">
        <v>1</v>
      </c>
      <c r="H656">
        <v>50</v>
      </c>
      <c r="I656">
        <v>3</v>
      </c>
      <c r="J656" cm="1">
        <f t="array" ref="J656">_xlfn.SWITCH(B656,1,75,2,61,3,49,4,37,5,25,6,13,7,4,8,1)</f>
        <v>75</v>
      </c>
      <c r="K656" t="str" cm="1">
        <f t="array" ref="K656">IFERROR(_xlfn.SWITCH(L656,2,_xlfn.XLOOKUP(C656,[1]ModifierDes!$B:$B,[1]ModifierDes!$C:$C),3,_xlfn.XLOOKUP(C656,[1]StuntDes!$B:$B,[1]StuntDes!$C:$C)),"")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427</v>
      </c>
      <c r="D657" t="s">
        <v>33</v>
      </c>
      <c r="E657" t="s">
        <v>388</v>
      </c>
      <c r="F657"/>
      <c r="G657">
        <v>1</v>
      </c>
      <c r="H657">
        <v>50</v>
      </c>
      <c r="I657">
        <v>3</v>
      </c>
      <c r="J657" cm="1">
        <f t="array" ref="J657">_xlfn.SWITCH(B657,1,75,2,61,3,49,4,37,5,25,6,13,7,4,8,1)</f>
        <v>75</v>
      </c>
      <c r="K657" t="str" cm="1">
        <f t="array" ref="K657">IFERROR(_xlfn.SWITCH(L657,2,_xlfn.XLOOKUP(C657,[1]ModifierDes!$B:$B,[1]ModifierDes!$C:$C),3,_xlfn.XLOOKUP(C657,[1]StuntDes!$B:$B,[1]StuntDes!$C:$C)),"")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428</v>
      </c>
      <c r="D658" t="s">
        <v>33</v>
      </c>
      <c r="E658" t="s">
        <v>388</v>
      </c>
      <c r="F658"/>
      <c r="G658">
        <v>1</v>
      </c>
      <c r="H658">
        <v>50</v>
      </c>
      <c r="I658">
        <v>3</v>
      </c>
      <c r="J658" cm="1">
        <f t="array" ref="J658">_xlfn.SWITCH(B658,1,75,2,61,3,49,4,37,5,25,6,13,7,4,8,1)</f>
        <v>75</v>
      </c>
      <c r="K658" t="str" cm="1">
        <f t="array" ref="K658">IFERROR(_xlfn.SWITCH(L658,2,_xlfn.XLOOKUP(C658,[1]ModifierDes!$B:$B,[1]ModifierDes!$C:$C),3,_xlfn.XLOOKUP(C658,[1]StuntDes!$B:$B,[1]StuntDes!$C:$C)),"")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429</v>
      </c>
      <c r="D659" t="s">
        <v>33</v>
      </c>
      <c r="E659" t="s">
        <v>388</v>
      </c>
      <c r="F659"/>
      <c r="G659">
        <v>1</v>
      </c>
      <c r="H659">
        <v>50</v>
      </c>
      <c r="I659">
        <v>3</v>
      </c>
      <c r="J659" cm="1">
        <f t="array" ref="J659">_xlfn.SWITCH(B659,1,75,2,61,3,49,4,37,5,25,6,13,7,4,8,1)</f>
        <v>75</v>
      </c>
      <c r="K659" t="str" cm="1">
        <f t="array" ref="K659">IFERROR(_xlfn.SWITCH(L659,2,_xlfn.XLOOKUP(C659,[1]ModifierDes!$B:$B,[1]ModifierDes!$C:$C),3,_xlfn.XLOOKUP(C659,[1]StuntDes!$B:$B,[1]StuntDes!$C:$C)),"")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430</v>
      </c>
      <c r="D660" t="s">
        <v>33</v>
      </c>
      <c r="E660" t="s">
        <v>388</v>
      </c>
      <c r="F660"/>
      <c r="G660">
        <v>1</v>
      </c>
      <c r="H660">
        <v>1000</v>
      </c>
      <c r="I660"/>
      <c r="J660" cm="1">
        <f t="array" ref="J660">_xlfn.SWITCH(B660,1,75,2,61,3,49,4,37,5,25,6,13,7,4,8,1)</f>
        <v>75</v>
      </c>
      <c r="K660" t="str" cm="1">
        <f t="array" ref="K660">IFERROR(_xlfn.SWITCH(L660,2,_xlfn.XLOOKUP(C660,[1]ModifierDes!$B:$B,[1]ModifierDes!$C:$C),3,_xlfn.XLOOKUP(C660,[1]StuntDes!$B:$B,[1]StuntDes!$C:$C)),"")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430</v>
      </c>
      <c r="D661" t="s">
        <v>33</v>
      </c>
      <c r="E661" t="s">
        <v>388</v>
      </c>
      <c r="F661"/>
      <c r="G661">
        <v>1</v>
      </c>
      <c r="H661">
        <v>1000</v>
      </c>
      <c r="I661"/>
      <c r="J661" cm="1">
        <f t="array" ref="J661">_xlfn.SWITCH(B661,1,75,2,61,3,49,4,37,5,25,6,13,7,4,8,1)</f>
        <v>61</v>
      </c>
      <c r="K661" t="str" cm="1">
        <f t="array" ref="K661">IFERROR(_xlfn.SWITCH(L661,2,_xlfn.XLOOKUP(C661,[1]ModifierDes!$B:$B,[1]ModifierDes!$C:$C),3,_xlfn.XLOOKUP(C661,[1]StuntDes!$B:$B,[1]StuntDes!$C:$C)),"")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430</v>
      </c>
      <c r="D662" t="s">
        <v>33</v>
      </c>
      <c r="E662" t="s">
        <v>388</v>
      </c>
      <c r="F662"/>
      <c r="G662">
        <v>1</v>
      </c>
      <c r="H662">
        <v>1000</v>
      </c>
      <c r="I662"/>
      <c r="J662" cm="1">
        <f t="array" ref="J662">_xlfn.SWITCH(B662,1,75,2,61,3,49,4,37,5,25,6,13,7,4,8,1)</f>
        <v>49</v>
      </c>
      <c r="K662" t="str" cm="1">
        <f t="array" ref="K662">IFERROR(_xlfn.SWITCH(L662,2,_xlfn.XLOOKUP(C662,[1]ModifierDes!$B:$B,[1]ModifierDes!$C:$C),3,_xlfn.XLOOKUP(C662,[1]StuntDes!$B:$B,[1]StuntDes!$C:$C)),"")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430</v>
      </c>
      <c r="D663" t="s">
        <v>33</v>
      </c>
      <c r="E663" t="s">
        <v>388</v>
      </c>
      <c r="F663"/>
      <c r="G663">
        <v>1</v>
      </c>
      <c r="H663">
        <v>1000</v>
      </c>
      <c r="I663"/>
      <c r="J663" cm="1">
        <f t="array" ref="J663">_xlfn.SWITCH(B663,1,75,2,61,3,49,4,37,5,25,6,13,7,4,8,1)</f>
        <v>37</v>
      </c>
      <c r="K663" t="str" cm="1">
        <f t="array" ref="K663">IFERROR(_xlfn.SWITCH(L663,2,_xlfn.XLOOKUP(C663,[1]ModifierDes!$B:$B,[1]ModifierDes!$C:$C),3,_xlfn.XLOOKUP(C663,[1]StuntDes!$B:$B,[1]StuntDes!$C:$C)),"")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430</v>
      </c>
      <c r="D664" t="s">
        <v>33</v>
      </c>
      <c r="E664" t="s">
        <v>388</v>
      </c>
      <c r="F664"/>
      <c r="G664">
        <v>1</v>
      </c>
      <c r="H664">
        <v>1000</v>
      </c>
      <c r="I664"/>
      <c r="J664" cm="1">
        <f t="array" ref="J664">_xlfn.SWITCH(B664,1,75,2,61,3,49,4,37,5,25,6,13,7,4,8,1)</f>
        <v>25</v>
      </c>
      <c r="K664" t="str" cm="1">
        <f t="array" ref="K664">IFERROR(_xlfn.SWITCH(L664,2,_xlfn.XLOOKUP(C664,[1]ModifierDes!$B:$B,[1]ModifierDes!$C:$C),3,_xlfn.XLOOKUP(C664,[1]StuntDes!$B:$B,[1]StuntDes!$C:$C)),"")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430</v>
      </c>
      <c r="D665" t="s">
        <v>33</v>
      </c>
      <c r="E665" t="s">
        <v>388</v>
      </c>
      <c r="F665"/>
      <c r="G665">
        <v>1</v>
      </c>
      <c r="H665">
        <v>1000</v>
      </c>
      <c r="I665"/>
      <c r="J665" cm="1">
        <f t="array" ref="J665">_xlfn.SWITCH(B665,1,75,2,61,3,49,4,37,5,25,6,13,7,4,8,1)</f>
        <v>13</v>
      </c>
      <c r="K665" t="str" cm="1">
        <f t="array" ref="K665">IFERROR(_xlfn.SWITCH(L665,2,_xlfn.XLOOKUP(C665,[1]ModifierDes!$B:$B,[1]ModifierDes!$C:$C),3,_xlfn.XLOOKUP(C665,[1]StuntDes!$B:$B,[1]StuntDes!$C:$C)),"")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430</v>
      </c>
      <c r="D666" t="s">
        <v>33</v>
      </c>
      <c r="E666" t="s">
        <v>388</v>
      </c>
      <c r="F666"/>
      <c r="G666">
        <v>1</v>
      </c>
      <c r="H666">
        <v>1000</v>
      </c>
      <c r="I666"/>
      <c r="J666" cm="1">
        <f t="array" ref="J666">_xlfn.SWITCH(B666,1,75,2,61,3,49,4,37,5,25,6,13,7,4,8,1)</f>
        <v>4</v>
      </c>
      <c r="K666" t="str" cm="1">
        <f t="array" ref="K666">IFERROR(_xlfn.SWITCH(L666,2,_xlfn.XLOOKUP(C666,[1]ModifierDes!$B:$B,[1]ModifierDes!$C:$C),3,_xlfn.XLOOKUP(C666,[1]StuntDes!$B:$B,[1]StuntDes!$C:$C)),"")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430</v>
      </c>
      <c r="D667" t="s">
        <v>33</v>
      </c>
      <c r="E667" t="s">
        <v>388</v>
      </c>
      <c r="F667"/>
      <c r="G667">
        <v>1</v>
      </c>
      <c r="H667">
        <v>1000</v>
      </c>
      <c r="I667"/>
      <c r="J667" cm="1">
        <f t="array" ref="J667">_xlfn.SWITCH(B667,1,75,2,61,3,49,4,37,5,25,6,13,7,4,8,1)</f>
        <v>1</v>
      </c>
      <c r="K667" t="str" cm="1">
        <f t="array" ref="K667">IFERROR(_xlfn.SWITCH(L667,2,_xlfn.XLOOKUP(C667,[1]ModifierDes!$B:$B,[1]ModifierDes!$C:$C),3,_xlfn.XLOOKUP(C667,[1]StuntDes!$B:$B,[1]StuntDes!$C:$C)),"")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431</v>
      </c>
      <c r="D668" t="s">
        <v>33</v>
      </c>
      <c r="E668" t="s">
        <v>388</v>
      </c>
      <c r="F668"/>
      <c r="G668">
        <v>1</v>
      </c>
      <c r="H668">
        <v>1000</v>
      </c>
      <c r="I668"/>
      <c r="J668" cm="1">
        <f t="array" ref="J668">_xlfn.SWITCH(B668,1,75,2,61,3,49,4,37,5,25,6,13,7,4,8,1)</f>
        <v>75</v>
      </c>
      <c r="K668" t="str" cm="1">
        <f t="array" ref="K668">IFERROR(_xlfn.SWITCH(L668,2,_xlfn.XLOOKUP(C668,[1]ModifierDes!$B:$B,[1]ModifierDes!$C:$C),3,_xlfn.XLOOKUP(C668,[1]StuntDes!$B:$B,[1]StuntDes!$C:$C)),"")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431</v>
      </c>
      <c r="D669" t="s">
        <v>33</v>
      </c>
      <c r="E669" t="s">
        <v>388</v>
      </c>
      <c r="F669"/>
      <c r="G669">
        <v>1</v>
      </c>
      <c r="H669">
        <v>1000</v>
      </c>
      <c r="I669"/>
      <c r="J669" cm="1">
        <f t="array" ref="J669">_xlfn.SWITCH(B669,1,75,2,61,3,49,4,37,5,25,6,13,7,4,8,1)</f>
        <v>61</v>
      </c>
      <c r="K669" t="str" cm="1">
        <f t="array" ref="K669">IFERROR(_xlfn.SWITCH(L669,2,_xlfn.XLOOKUP(C669,[1]ModifierDes!$B:$B,[1]ModifierDes!$C:$C),3,_xlfn.XLOOKUP(C669,[1]StuntDes!$B:$B,[1]StuntDes!$C:$C)),"")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431</v>
      </c>
      <c r="D670" t="s">
        <v>33</v>
      </c>
      <c r="E670" t="s">
        <v>388</v>
      </c>
      <c r="F670"/>
      <c r="G670">
        <v>1</v>
      </c>
      <c r="H670">
        <v>1000</v>
      </c>
      <c r="I670"/>
      <c r="J670" cm="1">
        <f t="array" ref="J670">_xlfn.SWITCH(B670,1,75,2,61,3,49,4,37,5,25,6,13,7,4,8,1)</f>
        <v>49</v>
      </c>
      <c r="K670" t="str" cm="1">
        <f t="array" ref="K670">IFERROR(_xlfn.SWITCH(L670,2,_xlfn.XLOOKUP(C670,[1]ModifierDes!$B:$B,[1]ModifierDes!$C:$C),3,_xlfn.XLOOKUP(C670,[1]StuntDes!$B:$B,[1]StuntDes!$C:$C)),"")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431</v>
      </c>
      <c r="D671" t="s">
        <v>33</v>
      </c>
      <c r="E671" t="s">
        <v>388</v>
      </c>
      <c r="F671"/>
      <c r="G671">
        <v>1</v>
      </c>
      <c r="H671">
        <v>1000</v>
      </c>
      <c r="I671"/>
      <c r="J671" cm="1">
        <f t="array" ref="J671">_xlfn.SWITCH(B671,1,75,2,61,3,49,4,37,5,25,6,13,7,4,8,1)</f>
        <v>37</v>
      </c>
      <c r="K671" t="str" cm="1">
        <f t="array" ref="K671">IFERROR(_xlfn.SWITCH(L671,2,_xlfn.XLOOKUP(C671,[1]ModifierDes!$B:$B,[1]ModifierDes!$C:$C),3,_xlfn.XLOOKUP(C671,[1]StuntDes!$B:$B,[1]StuntDes!$C:$C)),"")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431</v>
      </c>
      <c r="D672" t="s">
        <v>33</v>
      </c>
      <c r="E672" t="s">
        <v>388</v>
      </c>
      <c r="F672"/>
      <c r="G672">
        <v>1</v>
      </c>
      <c r="H672">
        <v>1000</v>
      </c>
      <c r="I672"/>
      <c r="J672" cm="1">
        <f t="array" ref="J672">_xlfn.SWITCH(B672,1,75,2,61,3,49,4,37,5,25,6,13,7,4,8,1)</f>
        <v>25</v>
      </c>
      <c r="K672" t="str" cm="1">
        <f t="array" ref="K672">IFERROR(_xlfn.SWITCH(L672,2,_xlfn.XLOOKUP(C672,[1]ModifierDes!$B:$B,[1]ModifierDes!$C:$C),3,_xlfn.XLOOKUP(C672,[1]StuntDes!$B:$B,[1]StuntDes!$C:$C)),"")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431</v>
      </c>
      <c r="D673" t="s">
        <v>33</v>
      </c>
      <c r="E673" t="s">
        <v>388</v>
      </c>
      <c r="F673"/>
      <c r="G673">
        <v>1</v>
      </c>
      <c r="H673">
        <v>1000</v>
      </c>
      <c r="I673"/>
      <c r="J673" cm="1">
        <f t="array" ref="J673">_xlfn.SWITCH(B673,1,75,2,61,3,49,4,37,5,25,6,13,7,4,8,1)</f>
        <v>13</v>
      </c>
      <c r="K673" t="str" cm="1">
        <f t="array" ref="K673">IFERROR(_xlfn.SWITCH(L673,2,_xlfn.XLOOKUP(C673,[1]ModifierDes!$B:$B,[1]ModifierDes!$C:$C),3,_xlfn.XLOOKUP(C673,[1]StuntDes!$B:$B,[1]StuntDes!$C:$C)),"")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431</v>
      </c>
      <c r="D674" t="s">
        <v>33</v>
      </c>
      <c r="E674" t="s">
        <v>388</v>
      </c>
      <c r="F674"/>
      <c r="G674">
        <v>1</v>
      </c>
      <c r="H674">
        <v>1000</v>
      </c>
      <c r="I674"/>
      <c r="J674" cm="1">
        <f t="array" ref="J674">_xlfn.SWITCH(B674,1,75,2,61,3,49,4,37,5,25,6,13,7,4,8,1)</f>
        <v>4</v>
      </c>
      <c r="K674" t="str" cm="1">
        <f t="array" ref="K674">IFERROR(_xlfn.SWITCH(L674,2,_xlfn.XLOOKUP(C674,[1]ModifierDes!$B:$B,[1]ModifierDes!$C:$C),3,_xlfn.XLOOKUP(C674,[1]StuntDes!$B:$B,[1]StuntDes!$C:$C)),"")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431</v>
      </c>
      <c r="D675" t="s">
        <v>33</v>
      </c>
      <c r="E675" t="s">
        <v>388</v>
      </c>
      <c r="F675"/>
      <c r="G675">
        <v>1</v>
      </c>
      <c r="H675">
        <v>1000</v>
      </c>
      <c r="I675"/>
      <c r="J675" cm="1">
        <f t="array" ref="J675">_xlfn.SWITCH(B675,1,75,2,61,3,49,4,37,5,25,6,13,7,4,8,1)</f>
        <v>1</v>
      </c>
      <c r="K675" t="str" cm="1">
        <f t="array" ref="K675">IFERROR(_xlfn.SWITCH(L675,2,_xlfn.XLOOKUP(C675,[1]ModifierDes!$B:$B,[1]ModifierDes!$C:$C),3,_xlfn.XLOOKUP(C675,[1]StuntDes!$B:$B,[1]StuntDes!$C:$C)),"")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432</v>
      </c>
      <c r="D676" t="s">
        <v>33</v>
      </c>
      <c r="E676" t="s">
        <v>405</v>
      </c>
      <c r="F676"/>
      <c r="G676">
        <v>2</v>
      </c>
      <c r="H676">
        <v>1000</v>
      </c>
      <c r="J676" cm="1">
        <f t="array" ref="J676">_xlfn.SWITCH(B676,1,75,2,61,3,49,4,37,5,25,6,13,7,4,8,1)</f>
        <v>75</v>
      </c>
      <c r="K676" t="str" cm="1">
        <f t="array" ref="K676">IFERROR(_xlfn.SWITCH(L676,2,_xlfn.XLOOKUP(C676,[1]ModifierDes!$B:$B,[1]ModifierDes!$C:$C),3,_xlfn.XLOOKUP(C676,[1]StuntDes!$B:$B,[1]StuntDes!$C:$C)),"")</f>
        <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432</v>
      </c>
      <c r="D677" t="s">
        <v>33</v>
      </c>
      <c r="E677" t="s">
        <v>405</v>
      </c>
      <c r="F677"/>
      <c r="G677">
        <v>2</v>
      </c>
      <c r="H677">
        <v>1000</v>
      </c>
      <c r="J677" cm="1">
        <f t="array" ref="J677">_xlfn.SWITCH(B677,1,75,2,61,3,49,4,37,5,25,6,13,7,4,8,1)</f>
        <v>61</v>
      </c>
      <c r="K677" t="str" cm="1">
        <f t="array" ref="K677">IFERROR(_xlfn.SWITCH(L677,2,_xlfn.XLOOKUP(C677,[1]ModifierDes!$B:$B,[1]ModifierDes!$C:$C),3,_xlfn.XLOOKUP(C677,[1]StuntDes!$B:$B,[1]StuntDes!$C:$C)),"")</f>
        <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432</v>
      </c>
      <c r="D678" t="s">
        <v>33</v>
      </c>
      <c r="E678" t="s">
        <v>405</v>
      </c>
      <c r="F678"/>
      <c r="G678">
        <v>2</v>
      </c>
      <c r="H678">
        <v>1000</v>
      </c>
      <c r="J678" cm="1">
        <f t="array" ref="J678">_xlfn.SWITCH(B678,1,75,2,61,3,49,4,37,5,25,6,13,7,4,8,1)</f>
        <v>49</v>
      </c>
      <c r="K678" t="str" cm="1">
        <f t="array" ref="K678">IFERROR(_xlfn.SWITCH(L678,2,_xlfn.XLOOKUP(C678,[1]ModifierDes!$B:$B,[1]ModifierDes!$C:$C),3,_xlfn.XLOOKUP(C678,[1]StuntDes!$B:$B,[1]StuntDes!$C:$C)),"")</f>
        <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432</v>
      </c>
      <c r="D679" t="s">
        <v>33</v>
      </c>
      <c r="E679" t="s">
        <v>405</v>
      </c>
      <c r="F679"/>
      <c r="G679">
        <v>2</v>
      </c>
      <c r="H679">
        <v>1000</v>
      </c>
      <c r="J679" cm="1">
        <f t="array" ref="J679">_xlfn.SWITCH(B679,1,75,2,61,3,49,4,37,5,25,6,13,7,4,8,1)</f>
        <v>37</v>
      </c>
      <c r="K679" t="str" cm="1">
        <f t="array" ref="K679">IFERROR(_xlfn.SWITCH(L679,2,_xlfn.XLOOKUP(C679,[1]ModifierDes!$B:$B,[1]ModifierDes!$C:$C),3,_xlfn.XLOOKUP(C679,[1]StuntDes!$B:$B,[1]StuntDes!$C:$C)),"")</f>
        <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432</v>
      </c>
      <c r="D680" t="s">
        <v>33</v>
      </c>
      <c r="E680" t="s">
        <v>405</v>
      </c>
      <c r="F680"/>
      <c r="G680">
        <v>2</v>
      </c>
      <c r="H680">
        <v>1000</v>
      </c>
      <c r="J680" cm="1">
        <f t="array" ref="J680">_xlfn.SWITCH(B680,1,75,2,61,3,49,4,37,5,25,6,13,7,4,8,1)</f>
        <v>25</v>
      </c>
      <c r="K680" t="str" cm="1">
        <f t="array" ref="K680">IFERROR(_xlfn.SWITCH(L680,2,_xlfn.XLOOKUP(C680,[1]ModifierDes!$B:$B,[1]ModifierDes!$C:$C),3,_xlfn.XLOOKUP(C680,[1]StuntDes!$B:$B,[1]StuntDes!$C:$C)),"")</f>
        <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432</v>
      </c>
      <c r="D681" t="s">
        <v>33</v>
      </c>
      <c r="E681" t="s">
        <v>405</v>
      </c>
      <c r="F681"/>
      <c r="G681">
        <v>2</v>
      </c>
      <c r="H681">
        <v>1000</v>
      </c>
      <c r="J681" cm="1">
        <f t="array" ref="J681">_xlfn.SWITCH(B681,1,75,2,61,3,49,4,37,5,25,6,13,7,4,8,1)</f>
        <v>13</v>
      </c>
      <c r="K681" t="str" cm="1">
        <f t="array" ref="K681">IFERROR(_xlfn.SWITCH(L681,2,_xlfn.XLOOKUP(C681,[1]ModifierDes!$B:$B,[1]ModifierDes!$C:$C),3,_xlfn.XLOOKUP(C681,[1]StuntDes!$B:$B,[1]StuntDes!$C:$C)),"")</f>
        <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432</v>
      </c>
      <c r="D682" t="s">
        <v>33</v>
      </c>
      <c r="E682" t="s">
        <v>405</v>
      </c>
      <c r="F682"/>
      <c r="G682">
        <v>2</v>
      </c>
      <c r="H682">
        <v>1000</v>
      </c>
      <c r="J682" cm="1">
        <f t="array" ref="J682">_xlfn.SWITCH(B682,1,75,2,61,3,49,4,37,5,25,6,13,7,4,8,1)</f>
        <v>4</v>
      </c>
      <c r="K682" t="str" cm="1">
        <f t="array" ref="K682">IFERROR(_xlfn.SWITCH(L682,2,_xlfn.XLOOKUP(C682,[1]ModifierDes!$B:$B,[1]ModifierDes!$C:$C),3,_xlfn.XLOOKUP(C682,[1]StuntDes!$B:$B,[1]StuntDes!$C:$C)),"")</f>
        <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432</v>
      </c>
      <c r="D683" t="s">
        <v>33</v>
      </c>
      <c r="E683" t="s">
        <v>405</v>
      </c>
      <c r="F683"/>
      <c r="G683">
        <v>2</v>
      </c>
      <c r="H683">
        <v>1000</v>
      </c>
      <c r="J683" cm="1">
        <f t="array" ref="J683">_xlfn.SWITCH(B683,1,75,2,61,3,49,4,37,5,25,6,13,7,4,8,1)</f>
        <v>1</v>
      </c>
      <c r="K683" t="str" cm="1">
        <f t="array" ref="K683">IFERROR(_xlfn.SWITCH(L683,2,_xlfn.XLOOKUP(C683,[1]ModifierDes!$B:$B,[1]ModifierDes!$C:$C),3,_xlfn.XLOOKUP(C683,[1]StuntDes!$B:$B,[1]StuntDes!$C:$C)),"")</f>
        <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433</v>
      </c>
      <c r="D684" t="s">
        <v>33</v>
      </c>
      <c r="E684" t="s">
        <v>405</v>
      </c>
      <c r="F684"/>
      <c r="G684">
        <v>2</v>
      </c>
      <c r="H684">
        <v>1000</v>
      </c>
      <c r="J684" cm="1">
        <f t="array" ref="J684">_xlfn.SWITCH(B684,1,75,2,61,3,49,4,37,5,25,6,13,7,4,8,1)</f>
        <v>75</v>
      </c>
      <c r="K684" t="str" cm="1">
        <f t="array" ref="K684">IFERROR(_xlfn.SWITCH(L684,2,_xlfn.XLOOKUP(C684,[1]ModifierDes!$B:$B,[1]ModifierDes!$C:$C),3,_xlfn.XLOOKUP(C684,[1]StuntDes!$B:$B,[1]StuntDes!$C:$C)),"")</f>
        <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433</v>
      </c>
      <c r="D685" t="s">
        <v>33</v>
      </c>
      <c r="E685" t="s">
        <v>405</v>
      </c>
      <c r="F685"/>
      <c r="G685">
        <v>2</v>
      </c>
      <c r="H685">
        <v>1000</v>
      </c>
      <c r="J685" cm="1">
        <f t="array" ref="J685">_xlfn.SWITCH(B685,1,75,2,61,3,49,4,37,5,25,6,13,7,4,8,1)</f>
        <v>61</v>
      </c>
      <c r="K685" t="str" cm="1">
        <f t="array" ref="K685">IFERROR(_xlfn.SWITCH(L685,2,_xlfn.XLOOKUP(C685,[1]ModifierDes!$B:$B,[1]ModifierDes!$C:$C),3,_xlfn.XLOOKUP(C685,[1]StuntDes!$B:$B,[1]StuntDes!$C:$C)),"")</f>
        <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433</v>
      </c>
      <c r="D686" t="s">
        <v>33</v>
      </c>
      <c r="E686" t="s">
        <v>405</v>
      </c>
      <c r="F686"/>
      <c r="G686">
        <v>2</v>
      </c>
      <c r="H686">
        <v>1000</v>
      </c>
      <c r="J686" cm="1">
        <f t="array" ref="J686">_xlfn.SWITCH(B686,1,75,2,61,3,49,4,37,5,25,6,13,7,4,8,1)</f>
        <v>49</v>
      </c>
      <c r="K686" t="str" cm="1">
        <f t="array" ref="K686">IFERROR(_xlfn.SWITCH(L686,2,_xlfn.XLOOKUP(C686,[1]ModifierDes!$B:$B,[1]ModifierDes!$C:$C),3,_xlfn.XLOOKUP(C686,[1]StuntDes!$B:$B,[1]StuntDes!$C:$C)),"")</f>
        <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433</v>
      </c>
      <c r="D687" t="s">
        <v>33</v>
      </c>
      <c r="E687" t="s">
        <v>405</v>
      </c>
      <c r="F687"/>
      <c r="G687">
        <v>2</v>
      </c>
      <c r="H687">
        <v>1000</v>
      </c>
      <c r="J687" cm="1">
        <f t="array" ref="J687">_xlfn.SWITCH(B687,1,75,2,61,3,49,4,37,5,25,6,13,7,4,8,1)</f>
        <v>37</v>
      </c>
      <c r="K687" t="str" cm="1">
        <f t="array" ref="K687">IFERROR(_xlfn.SWITCH(L687,2,_xlfn.XLOOKUP(C687,[1]ModifierDes!$B:$B,[1]ModifierDes!$C:$C),3,_xlfn.XLOOKUP(C687,[1]StuntDes!$B:$B,[1]StuntDes!$C:$C)),"")</f>
        <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433</v>
      </c>
      <c r="D688" t="s">
        <v>33</v>
      </c>
      <c r="E688" t="s">
        <v>405</v>
      </c>
      <c r="F688"/>
      <c r="G688">
        <v>2</v>
      </c>
      <c r="H688">
        <v>1000</v>
      </c>
      <c r="J688" cm="1">
        <f t="array" ref="J688">_xlfn.SWITCH(B688,1,75,2,61,3,49,4,37,5,25,6,13,7,4,8,1)</f>
        <v>25</v>
      </c>
      <c r="K688" t="str" cm="1">
        <f t="array" ref="K688">IFERROR(_xlfn.SWITCH(L688,2,_xlfn.XLOOKUP(C688,[1]ModifierDes!$B:$B,[1]ModifierDes!$C:$C),3,_xlfn.XLOOKUP(C688,[1]StuntDes!$B:$B,[1]StuntDes!$C:$C)),"")</f>
        <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433</v>
      </c>
      <c r="D689" t="s">
        <v>33</v>
      </c>
      <c r="E689" t="s">
        <v>405</v>
      </c>
      <c r="F689"/>
      <c r="G689">
        <v>2</v>
      </c>
      <c r="H689">
        <v>1000</v>
      </c>
      <c r="J689" cm="1">
        <f t="array" ref="J689">_xlfn.SWITCH(B689,1,75,2,61,3,49,4,37,5,25,6,13,7,4,8,1)</f>
        <v>13</v>
      </c>
      <c r="K689" t="str" cm="1">
        <f t="array" ref="K689">IFERROR(_xlfn.SWITCH(L689,2,_xlfn.XLOOKUP(C689,[1]ModifierDes!$B:$B,[1]ModifierDes!$C:$C),3,_xlfn.XLOOKUP(C689,[1]StuntDes!$B:$B,[1]StuntDes!$C:$C)),"")</f>
        <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433</v>
      </c>
      <c r="D690" t="s">
        <v>33</v>
      </c>
      <c r="E690" t="s">
        <v>405</v>
      </c>
      <c r="F690"/>
      <c r="G690">
        <v>2</v>
      </c>
      <c r="H690">
        <v>1000</v>
      </c>
      <c r="J690" cm="1">
        <f t="array" ref="J690">_xlfn.SWITCH(B690,1,75,2,61,3,49,4,37,5,25,6,13,7,4,8,1)</f>
        <v>4</v>
      </c>
      <c r="K690" t="str" cm="1">
        <f t="array" ref="K690">IFERROR(_xlfn.SWITCH(L690,2,_xlfn.XLOOKUP(C690,[1]ModifierDes!$B:$B,[1]ModifierDes!$C:$C),3,_xlfn.XLOOKUP(C690,[1]StuntDes!$B:$B,[1]StuntDes!$C:$C)),"")</f>
        <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433</v>
      </c>
      <c r="D691" t="s">
        <v>33</v>
      </c>
      <c r="E691" t="s">
        <v>405</v>
      </c>
      <c r="F691"/>
      <c r="G691">
        <v>2</v>
      </c>
      <c r="H691">
        <v>1000</v>
      </c>
      <c r="J691" cm="1">
        <f t="array" ref="J691">_xlfn.SWITCH(B691,1,75,2,61,3,49,4,37,5,25,6,13,7,4,8,1)</f>
        <v>1</v>
      </c>
      <c r="K691" t="str" cm="1">
        <f t="array" ref="K691">IFERROR(_xlfn.SWITCH(L691,2,_xlfn.XLOOKUP(C691,[1]ModifierDes!$B:$B,[1]ModifierDes!$C:$C),3,_xlfn.XLOOKUP(C691,[1]StuntDes!$B:$B,[1]StuntDes!$C:$C)),"")</f>
        <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434</v>
      </c>
      <c r="D692" t="s">
        <v>33</v>
      </c>
      <c r="E692" t="s">
        <v>405</v>
      </c>
      <c r="F692"/>
      <c r="G692">
        <v>2</v>
      </c>
      <c r="H692">
        <v>1000</v>
      </c>
      <c r="J692" cm="1">
        <f t="array" ref="J692">_xlfn.SWITCH(B692,1,75,2,61,3,49,4,37,5,25,6,13,7,4,8,1)</f>
        <v>75</v>
      </c>
      <c r="K692" t="str" cm="1">
        <f t="array" ref="K692">IFERROR(_xlfn.SWITCH(L692,2,_xlfn.XLOOKUP(C692,[1]ModifierDes!$B:$B,[1]ModifierDes!$C:$C),3,_xlfn.XLOOKUP(C692,[1]StuntDes!$B:$B,[1]StuntDes!$C:$C)),"")</f>
        <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434</v>
      </c>
      <c r="D693" t="s">
        <v>33</v>
      </c>
      <c r="E693" t="s">
        <v>405</v>
      </c>
      <c r="F693"/>
      <c r="G693">
        <v>2</v>
      </c>
      <c r="H693">
        <v>1000</v>
      </c>
      <c r="J693" cm="1">
        <f t="array" ref="J693">_xlfn.SWITCH(B693,1,75,2,61,3,49,4,37,5,25,6,13,7,4,8,1)</f>
        <v>61</v>
      </c>
      <c r="K693" t="str" cm="1">
        <f t="array" ref="K693">IFERROR(_xlfn.SWITCH(L693,2,_xlfn.XLOOKUP(C693,[1]ModifierDes!$B:$B,[1]ModifierDes!$C:$C),3,_xlfn.XLOOKUP(C693,[1]StuntDes!$B:$B,[1]StuntDes!$C:$C)),"")</f>
        <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434</v>
      </c>
      <c r="D694" t="s">
        <v>33</v>
      </c>
      <c r="E694" t="s">
        <v>405</v>
      </c>
      <c r="F694"/>
      <c r="G694">
        <v>2</v>
      </c>
      <c r="H694">
        <v>1000</v>
      </c>
      <c r="J694" cm="1">
        <f t="array" ref="J694">_xlfn.SWITCH(B694,1,75,2,61,3,49,4,37,5,25,6,13,7,4,8,1)</f>
        <v>49</v>
      </c>
      <c r="K694" t="str" cm="1">
        <f t="array" ref="K694">IFERROR(_xlfn.SWITCH(L694,2,_xlfn.XLOOKUP(C694,[1]ModifierDes!$B:$B,[1]ModifierDes!$C:$C),3,_xlfn.XLOOKUP(C694,[1]StuntDes!$B:$B,[1]StuntDes!$C:$C)),"")</f>
        <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434</v>
      </c>
      <c r="D695" t="s">
        <v>33</v>
      </c>
      <c r="E695" t="s">
        <v>405</v>
      </c>
      <c r="F695"/>
      <c r="G695">
        <v>2</v>
      </c>
      <c r="H695">
        <v>1000</v>
      </c>
      <c r="J695" cm="1">
        <f t="array" ref="J695">_xlfn.SWITCH(B695,1,75,2,61,3,49,4,37,5,25,6,13,7,4,8,1)</f>
        <v>37</v>
      </c>
      <c r="K695" t="str" cm="1">
        <f t="array" ref="K695">IFERROR(_xlfn.SWITCH(L695,2,_xlfn.XLOOKUP(C695,[1]ModifierDes!$B:$B,[1]ModifierDes!$C:$C),3,_xlfn.XLOOKUP(C695,[1]StuntDes!$B:$B,[1]StuntDes!$C:$C)),"")</f>
        <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434</v>
      </c>
      <c r="D696" t="s">
        <v>33</v>
      </c>
      <c r="E696" t="s">
        <v>405</v>
      </c>
      <c r="F696"/>
      <c r="G696">
        <v>2</v>
      </c>
      <c r="H696">
        <v>1000</v>
      </c>
      <c r="J696" cm="1">
        <f t="array" ref="J696">_xlfn.SWITCH(B696,1,75,2,61,3,49,4,37,5,25,6,13,7,4,8,1)</f>
        <v>25</v>
      </c>
      <c r="K696" t="str" cm="1">
        <f t="array" ref="K696">IFERROR(_xlfn.SWITCH(L696,2,_xlfn.XLOOKUP(C696,[1]ModifierDes!$B:$B,[1]ModifierDes!$C:$C),3,_xlfn.XLOOKUP(C696,[1]StuntDes!$B:$B,[1]StuntDes!$C:$C)),"")</f>
        <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434</v>
      </c>
      <c r="D697" t="s">
        <v>33</v>
      </c>
      <c r="E697" t="s">
        <v>405</v>
      </c>
      <c r="F697"/>
      <c r="G697">
        <v>2</v>
      </c>
      <c r="H697">
        <v>1000</v>
      </c>
      <c r="J697" cm="1">
        <f t="array" ref="J697">_xlfn.SWITCH(B697,1,75,2,61,3,49,4,37,5,25,6,13,7,4,8,1)</f>
        <v>13</v>
      </c>
      <c r="K697" t="str" cm="1">
        <f t="array" ref="K697">IFERROR(_xlfn.SWITCH(L697,2,_xlfn.XLOOKUP(C697,[1]ModifierDes!$B:$B,[1]ModifierDes!$C:$C),3,_xlfn.XLOOKUP(C697,[1]StuntDes!$B:$B,[1]StuntDes!$C:$C)),"")</f>
        <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434</v>
      </c>
      <c r="D698" t="s">
        <v>33</v>
      </c>
      <c r="E698" t="s">
        <v>405</v>
      </c>
      <c r="F698"/>
      <c r="G698">
        <v>2</v>
      </c>
      <c r="H698">
        <v>1000</v>
      </c>
      <c r="J698" cm="1">
        <f t="array" ref="J698">_xlfn.SWITCH(B698,1,75,2,61,3,49,4,37,5,25,6,13,7,4,8,1)</f>
        <v>4</v>
      </c>
      <c r="K698" t="str" cm="1">
        <f t="array" ref="K698">IFERROR(_xlfn.SWITCH(L698,2,_xlfn.XLOOKUP(C698,[1]ModifierDes!$B:$B,[1]ModifierDes!$C:$C),3,_xlfn.XLOOKUP(C698,[1]StuntDes!$B:$B,[1]StuntDes!$C:$C)),"")</f>
        <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434</v>
      </c>
      <c r="D699" t="s">
        <v>33</v>
      </c>
      <c r="E699" t="s">
        <v>405</v>
      </c>
      <c r="F699"/>
      <c r="G699">
        <v>2</v>
      </c>
      <c r="H699">
        <v>1000</v>
      </c>
      <c r="J699" cm="1">
        <f t="array" ref="J699">_xlfn.SWITCH(B699,1,75,2,61,3,49,4,37,5,25,6,13,7,4,8,1)</f>
        <v>1</v>
      </c>
      <c r="K699" t="str" cm="1">
        <f t="array" ref="K699">IFERROR(_xlfn.SWITCH(L699,2,_xlfn.XLOOKUP(C699,[1]ModifierDes!$B:$B,[1]ModifierDes!$C:$C),3,_xlfn.XLOOKUP(C699,[1]StuntDes!$B:$B,[1]StuntDes!$C:$C)),"")</f>
        <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435</v>
      </c>
      <c r="D700" t="s">
        <v>33</v>
      </c>
      <c r="E700" t="s">
        <v>405</v>
      </c>
      <c r="F700"/>
      <c r="G700">
        <v>2</v>
      </c>
      <c r="H700">
        <v>1000</v>
      </c>
      <c r="J700" cm="1">
        <f t="array" ref="J700">_xlfn.SWITCH(B700,1,75,2,61,3,49,4,37,5,25,6,13,7,4,8,1)</f>
        <v>75</v>
      </c>
      <c r="K700" t="str" cm="1">
        <f t="array" ref="K700">IFERROR(_xlfn.SWITCH(L700,2,_xlfn.XLOOKUP(C700,[1]ModifierDes!$B:$B,[1]ModifierDes!$C:$C),3,_xlfn.XLOOKUP(C700,[1]StuntDes!$B:$B,[1]StuntDes!$C:$C)),"")</f>
        <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435</v>
      </c>
      <c r="D701" t="s">
        <v>33</v>
      </c>
      <c r="E701" t="s">
        <v>405</v>
      </c>
      <c r="F701"/>
      <c r="G701">
        <v>2</v>
      </c>
      <c r="H701">
        <v>1000</v>
      </c>
      <c r="J701" cm="1">
        <f t="array" ref="J701">_xlfn.SWITCH(B701,1,75,2,61,3,49,4,37,5,25,6,13,7,4,8,1)</f>
        <v>61</v>
      </c>
      <c r="K701" t="str" cm="1">
        <f t="array" ref="K701">IFERROR(_xlfn.SWITCH(L701,2,_xlfn.XLOOKUP(C701,[1]ModifierDes!$B:$B,[1]ModifierDes!$C:$C),3,_xlfn.XLOOKUP(C701,[1]StuntDes!$B:$B,[1]StuntDes!$C:$C)),"")</f>
        <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435</v>
      </c>
      <c r="D702" t="s">
        <v>33</v>
      </c>
      <c r="E702" t="s">
        <v>405</v>
      </c>
      <c r="F702"/>
      <c r="G702">
        <v>2</v>
      </c>
      <c r="H702">
        <v>1000</v>
      </c>
      <c r="J702" cm="1">
        <f t="array" ref="J702">_xlfn.SWITCH(B702,1,75,2,61,3,49,4,37,5,25,6,13,7,4,8,1)</f>
        <v>49</v>
      </c>
      <c r="K702" t="str" cm="1">
        <f t="array" ref="K702">IFERROR(_xlfn.SWITCH(L702,2,_xlfn.XLOOKUP(C702,[1]ModifierDes!$B:$B,[1]ModifierDes!$C:$C),3,_xlfn.XLOOKUP(C702,[1]StuntDes!$B:$B,[1]StuntDes!$C:$C)),"")</f>
        <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435</v>
      </c>
      <c r="D703" t="s">
        <v>33</v>
      </c>
      <c r="E703" t="s">
        <v>405</v>
      </c>
      <c r="F703"/>
      <c r="G703">
        <v>2</v>
      </c>
      <c r="H703">
        <v>1000</v>
      </c>
      <c r="J703" cm="1">
        <f t="array" ref="J703">_xlfn.SWITCH(B703,1,75,2,61,3,49,4,37,5,25,6,13,7,4,8,1)</f>
        <v>37</v>
      </c>
      <c r="K703" t="str" cm="1">
        <f t="array" ref="K703">IFERROR(_xlfn.SWITCH(L703,2,_xlfn.XLOOKUP(C703,[1]ModifierDes!$B:$B,[1]ModifierDes!$C:$C),3,_xlfn.XLOOKUP(C703,[1]StuntDes!$B:$B,[1]StuntDes!$C:$C)),"")</f>
        <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435</v>
      </c>
      <c r="D704" t="s">
        <v>33</v>
      </c>
      <c r="E704" t="s">
        <v>405</v>
      </c>
      <c r="F704"/>
      <c r="G704">
        <v>2</v>
      </c>
      <c r="H704">
        <v>1000</v>
      </c>
      <c r="J704" cm="1">
        <f t="array" ref="J704">_xlfn.SWITCH(B704,1,75,2,61,3,49,4,37,5,25,6,13,7,4,8,1)</f>
        <v>25</v>
      </c>
      <c r="K704" t="str" cm="1">
        <f t="array" ref="K704">IFERROR(_xlfn.SWITCH(L704,2,_xlfn.XLOOKUP(C704,[1]ModifierDes!$B:$B,[1]ModifierDes!$C:$C),3,_xlfn.XLOOKUP(C704,[1]StuntDes!$B:$B,[1]StuntDes!$C:$C)),"")</f>
        <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435</v>
      </c>
      <c r="D705" t="s">
        <v>33</v>
      </c>
      <c r="E705" t="s">
        <v>405</v>
      </c>
      <c r="F705"/>
      <c r="G705">
        <v>2</v>
      </c>
      <c r="H705">
        <v>1000</v>
      </c>
      <c r="J705" cm="1">
        <f t="array" ref="J705">_xlfn.SWITCH(B705,1,75,2,61,3,49,4,37,5,25,6,13,7,4,8,1)</f>
        <v>13</v>
      </c>
      <c r="K705" t="str" cm="1">
        <f t="array" ref="K705">IFERROR(_xlfn.SWITCH(L705,2,_xlfn.XLOOKUP(C705,[1]ModifierDes!$B:$B,[1]ModifierDes!$C:$C),3,_xlfn.XLOOKUP(C705,[1]StuntDes!$B:$B,[1]StuntDes!$C:$C)),"")</f>
        <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435</v>
      </c>
      <c r="D706" t="s">
        <v>33</v>
      </c>
      <c r="E706" t="s">
        <v>405</v>
      </c>
      <c r="F706"/>
      <c r="G706">
        <v>2</v>
      </c>
      <c r="H706">
        <v>1000</v>
      </c>
      <c r="J706" cm="1">
        <f t="array" ref="J706">_xlfn.SWITCH(B706,1,75,2,61,3,49,4,37,5,25,6,13,7,4,8,1)</f>
        <v>4</v>
      </c>
      <c r="K706" t="str" cm="1">
        <f t="array" ref="K706">IFERROR(_xlfn.SWITCH(L706,2,_xlfn.XLOOKUP(C706,[1]ModifierDes!$B:$B,[1]ModifierDes!$C:$C),3,_xlfn.XLOOKUP(C706,[1]StuntDes!$B:$B,[1]StuntDes!$C:$C)),"")</f>
        <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435</v>
      </c>
      <c r="D707" t="s">
        <v>33</v>
      </c>
      <c r="E707" t="s">
        <v>405</v>
      </c>
      <c r="F707"/>
      <c r="G707">
        <v>2</v>
      </c>
      <c r="H707">
        <v>1000</v>
      </c>
      <c r="J707" cm="1">
        <f t="array" ref="J707">_xlfn.SWITCH(B707,1,75,2,61,3,49,4,37,5,25,6,13,7,4,8,1)</f>
        <v>1</v>
      </c>
      <c r="K707" t="str" cm="1">
        <f t="array" ref="K707">IFERROR(_xlfn.SWITCH(L707,2,_xlfn.XLOOKUP(C707,[1]ModifierDes!$B:$B,[1]ModifierDes!$C:$C),3,_xlfn.XLOOKUP(C707,[1]StuntDes!$B:$B,[1]StuntDes!$C:$C)),"")</f>
        <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436</v>
      </c>
      <c r="D708" t="s">
        <v>33</v>
      </c>
      <c r="E708" t="s">
        <v>405</v>
      </c>
      <c r="F708"/>
      <c r="G708">
        <v>2</v>
      </c>
      <c r="H708">
        <v>250</v>
      </c>
      <c r="J708" cm="1">
        <f t="array" ref="J708">_xlfn.SWITCH(B708,1,75,2,61,3,49,4,37,5,25,6,13,7,4,8,1)</f>
        <v>75</v>
      </c>
      <c r="K708" t="str" cm="1">
        <f t="array" ref="K708">IFERROR(_xlfn.SWITCH(L708,2,_xlfn.XLOOKUP(C708,[1]ModifierDes!$B:$B,[1]ModifierDes!$C:$C),3,_xlfn.XLOOKUP(C708,[1]StuntDes!$B:$B,[1]StuntDes!$C:$C)),"")</f>
        <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436</v>
      </c>
      <c r="D709" t="s">
        <v>33</v>
      </c>
      <c r="E709" t="s">
        <v>405</v>
      </c>
      <c r="F709"/>
      <c r="G709">
        <v>2</v>
      </c>
      <c r="H709">
        <v>250</v>
      </c>
      <c r="J709" cm="1">
        <f t="array" ref="J709">_xlfn.SWITCH(B709,1,75,2,61,3,49,4,37,5,25,6,13,7,4,8,1)</f>
        <v>61</v>
      </c>
      <c r="K709" t="str" cm="1">
        <f t="array" ref="K709">IFERROR(_xlfn.SWITCH(L709,2,_xlfn.XLOOKUP(C709,[1]ModifierDes!$B:$B,[1]ModifierDes!$C:$C),3,_xlfn.XLOOKUP(C709,[1]StuntDes!$B:$B,[1]StuntDes!$C:$C)),"")</f>
        <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436</v>
      </c>
      <c r="D710" t="s">
        <v>33</v>
      </c>
      <c r="E710" t="s">
        <v>405</v>
      </c>
      <c r="F710"/>
      <c r="G710">
        <v>2</v>
      </c>
      <c r="H710">
        <v>250</v>
      </c>
      <c r="J710" cm="1">
        <f t="array" ref="J710">_xlfn.SWITCH(B710,1,75,2,61,3,49,4,37,5,25,6,13,7,4,8,1)</f>
        <v>49</v>
      </c>
      <c r="K710" t="str" cm="1">
        <f t="array" ref="K710">IFERROR(_xlfn.SWITCH(L710,2,_xlfn.XLOOKUP(C710,[1]ModifierDes!$B:$B,[1]ModifierDes!$C:$C),3,_xlfn.XLOOKUP(C710,[1]StuntDes!$B:$B,[1]StuntDes!$C:$C)),"")</f>
        <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436</v>
      </c>
      <c r="D711" t="s">
        <v>33</v>
      </c>
      <c r="E711" t="s">
        <v>405</v>
      </c>
      <c r="F711"/>
      <c r="G711">
        <v>2</v>
      </c>
      <c r="H711">
        <v>250</v>
      </c>
      <c r="J711" cm="1">
        <f t="array" ref="J711">_xlfn.SWITCH(B711,1,75,2,61,3,49,4,37,5,25,6,13,7,4,8,1)</f>
        <v>37</v>
      </c>
      <c r="K711" t="str" cm="1">
        <f t="array" ref="K711">IFERROR(_xlfn.SWITCH(L711,2,_xlfn.XLOOKUP(C711,[1]ModifierDes!$B:$B,[1]ModifierDes!$C:$C),3,_xlfn.XLOOKUP(C711,[1]StuntDes!$B:$B,[1]StuntDes!$C:$C)),"")</f>
        <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436</v>
      </c>
      <c r="D712" t="s">
        <v>33</v>
      </c>
      <c r="E712" t="s">
        <v>405</v>
      </c>
      <c r="F712"/>
      <c r="G712">
        <v>2</v>
      </c>
      <c r="H712">
        <v>250</v>
      </c>
      <c r="J712" cm="1">
        <f t="array" ref="J712">_xlfn.SWITCH(B712,1,75,2,61,3,49,4,37,5,25,6,13,7,4,8,1)</f>
        <v>25</v>
      </c>
      <c r="K712" t="str" cm="1">
        <f t="array" ref="K712">IFERROR(_xlfn.SWITCH(L712,2,_xlfn.XLOOKUP(C712,[1]ModifierDes!$B:$B,[1]ModifierDes!$C:$C),3,_xlfn.XLOOKUP(C712,[1]StuntDes!$B:$B,[1]StuntDes!$C:$C)),"")</f>
        <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436</v>
      </c>
      <c r="D713" t="s">
        <v>33</v>
      </c>
      <c r="E713" t="s">
        <v>405</v>
      </c>
      <c r="F713"/>
      <c r="G713">
        <v>2</v>
      </c>
      <c r="H713">
        <v>250</v>
      </c>
      <c r="J713" cm="1">
        <f t="array" ref="J713">_xlfn.SWITCH(B713,1,75,2,61,3,49,4,37,5,25,6,13,7,4,8,1)</f>
        <v>13</v>
      </c>
      <c r="K713" t="str" cm="1">
        <f t="array" ref="K713">IFERROR(_xlfn.SWITCH(L713,2,_xlfn.XLOOKUP(C713,[1]ModifierDes!$B:$B,[1]ModifierDes!$C:$C),3,_xlfn.XLOOKUP(C713,[1]StuntDes!$B:$B,[1]StuntDes!$C:$C)),"")</f>
        <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436</v>
      </c>
      <c r="D714" t="s">
        <v>33</v>
      </c>
      <c r="E714" t="s">
        <v>405</v>
      </c>
      <c r="F714"/>
      <c r="G714">
        <v>2</v>
      </c>
      <c r="H714">
        <v>250</v>
      </c>
      <c r="J714" cm="1">
        <f t="array" ref="J714">_xlfn.SWITCH(B714,1,75,2,61,3,49,4,37,5,25,6,13,7,4,8,1)</f>
        <v>4</v>
      </c>
      <c r="K714" t="str" cm="1">
        <f t="array" ref="K714">IFERROR(_xlfn.SWITCH(L714,2,_xlfn.XLOOKUP(C714,[1]ModifierDes!$B:$B,[1]ModifierDes!$C:$C),3,_xlfn.XLOOKUP(C714,[1]StuntDes!$B:$B,[1]StuntDes!$C:$C)),"")</f>
        <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436</v>
      </c>
      <c r="D715" t="s">
        <v>33</v>
      </c>
      <c r="E715" t="s">
        <v>405</v>
      </c>
      <c r="F715"/>
      <c r="G715">
        <v>2</v>
      </c>
      <c r="H715">
        <v>250</v>
      </c>
      <c r="J715" cm="1">
        <f t="array" ref="J715">_xlfn.SWITCH(B715,1,75,2,61,3,49,4,37,5,25,6,13,7,4,8,1)</f>
        <v>1</v>
      </c>
      <c r="K715" t="str" cm="1">
        <f t="array" ref="K715">IFERROR(_xlfn.SWITCH(L715,2,_xlfn.XLOOKUP(C715,[1]ModifierDes!$B:$B,[1]ModifierDes!$C:$C),3,_xlfn.XLOOKUP(C715,[1]StuntDes!$B:$B,[1]StuntDes!$C:$C)),"")</f>
        <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411</v>
      </c>
      <c r="D716" t="s">
        <v>33</v>
      </c>
      <c r="E716" t="s">
        <v>405</v>
      </c>
      <c r="F716"/>
      <c r="G716">
        <v>2</v>
      </c>
      <c r="H716">
        <v>100</v>
      </c>
      <c r="I716"/>
      <c r="J716" cm="1">
        <f t="array" ref="J716">_xlfn.SWITCH(B716,1,75,2,61,3,49,4,37,5,25,6,13,7,4,8,1)</f>
        <v>75</v>
      </c>
      <c r="K716" t="str" cm="1">
        <f t="array" ref="K716">IFERROR(_xlfn.SWITCH(L716,2,_xlfn.XLOOKUP(C716,[1]ModifierDes!$B:$B,[1]ModifierDes!$C:$C),3,_xlfn.XLOOKUP(C716,[1]StuntDes!$B:$B,[1]StuntDes!$C:$C)),"")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411</v>
      </c>
      <c r="D717" t="s">
        <v>33</v>
      </c>
      <c r="E717" t="s">
        <v>405</v>
      </c>
      <c r="F717"/>
      <c r="G717">
        <v>2</v>
      </c>
      <c r="H717">
        <v>200</v>
      </c>
      <c r="I717"/>
      <c r="J717" cm="1">
        <f t="array" ref="J717">_xlfn.SWITCH(B717,1,75,2,61,3,49,4,37,5,25,6,13,7,4,8,1)</f>
        <v>61</v>
      </c>
      <c r="K717" t="str" cm="1">
        <f t="array" ref="K717">IFERROR(_xlfn.SWITCH(L717,2,_xlfn.XLOOKUP(C717,[1]ModifierDes!$B:$B,[1]ModifierDes!$C:$C),3,_xlfn.XLOOKUP(C717,[1]StuntDes!$B:$B,[1]StuntDes!$C:$C)),"")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411</v>
      </c>
      <c r="D718" t="s">
        <v>33</v>
      </c>
      <c r="E718" t="s">
        <v>405</v>
      </c>
      <c r="F718"/>
      <c r="G718">
        <v>2</v>
      </c>
      <c r="H718">
        <v>400</v>
      </c>
      <c r="I718"/>
      <c r="J718" cm="1">
        <f t="array" ref="J718">_xlfn.SWITCH(B718,1,75,2,61,3,49,4,37,5,25,6,13,7,4,8,1)</f>
        <v>49</v>
      </c>
      <c r="K718" t="str" cm="1">
        <f t="array" ref="K718">IFERROR(_xlfn.SWITCH(L718,2,_xlfn.XLOOKUP(C718,[1]ModifierDes!$B:$B,[1]ModifierDes!$C:$C),3,_xlfn.XLOOKUP(C718,[1]StuntDes!$B:$B,[1]StuntDes!$C:$C)),"")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411</v>
      </c>
      <c r="D719" t="s">
        <v>33</v>
      </c>
      <c r="E719" t="s">
        <v>405</v>
      </c>
      <c r="F719"/>
      <c r="G719">
        <v>2</v>
      </c>
      <c r="H719">
        <v>600</v>
      </c>
      <c r="I719"/>
      <c r="J719" cm="1">
        <f t="array" ref="J719">_xlfn.SWITCH(B719,1,75,2,61,3,49,4,37,5,25,6,13,7,4,8,1)</f>
        <v>37</v>
      </c>
      <c r="K719" t="str" cm="1">
        <f t="array" ref="K719">IFERROR(_xlfn.SWITCH(L719,2,_xlfn.XLOOKUP(C719,[1]ModifierDes!$B:$B,[1]ModifierDes!$C:$C),3,_xlfn.XLOOKUP(C719,[1]StuntDes!$B:$B,[1]StuntDes!$C:$C)),"")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411</v>
      </c>
      <c r="D720" t="s">
        <v>33</v>
      </c>
      <c r="E720" t="s">
        <v>405</v>
      </c>
      <c r="F720"/>
      <c r="G720">
        <v>2</v>
      </c>
      <c r="H720">
        <v>800</v>
      </c>
      <c r="I720"/>
      <c r="J720" cm="1">
        <f t="array" ref="J720">_xlfn.SWITCH(B720,1,75,2,61,3,49,4,37,5,25,6,13,7,4,8,1)</f>
        <v>25</v>
      </c>
      <c r="K720" t="str" cm="1">
        <f t="array" ref="K720">IFERROR(_xlfn.SWITCH(L720,2,_xlfn.XLOOKUP(C720,[1]ModifierDes!$B:$B,[1]ModifierDes!$C:$C),3,_xlfn.XLOOKUP(C720,[1]StuntDes!$B:$B,[1]StuntDes!$C:$C)),"")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411</v>
      </c>
      <c r="D721" t="s">
        <v>33</v>
      </c>
      <c r="E721" t="s">
        <v>405</v>
      </c>
      <c r="F721"/>
      <c r="G721">
        <v>2</v>
      </c>
      <c r="H721">
        <v>1000</v>
      </c>
      <c r="I721"/>
      <c r="J721" cm="1">
        <f t="array" ref="J721">_xlfn.SWITCH(B721,1,75,2,61,3,49,4,37,5,25,6,13,7,4,8,1)</f>
        <v>13</v>
      </c>
      <c r="K721" t="str" cm="1">
        <f t="array" ref="K721">IFERROR(_xlfn.SWITCH(L721,2,_xlfn.XLOOKUP(C721,[1]ModifierDes!$B:$B,[1]ModifierDes!$C:$C),3,_xlfn.XLOOKUP(C721,[1]StuntDes!$B:$B,[1]StuntDes!$C:$C)),"")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411</v>
      </c>
      <c r="D722" t="s">
        <v>33</v>
      </c>
      <c r="E722" t="s">
        <v>405</v>
      </c>
      <c r="F722"/>
      <c r="G722">
        <v>2</v>
      </c>
      <c r="H722">
        <v>1000</v>
      </c>
      <c r="I722"/>
      <c r="J722" cm="1">
        <f t="array" ref="J722">_xlfn.SWITCH(B722,1,75,2,61,3,49,4,37,5,25,6,13,7,4,8,1)</f>
        <v>4</v>
      </c>
      <c r="K722" t="str" cm="1">
        <f t="array" ref="K722">IFERROR(_xlfn.SWITCH(L722,2,_xlfn.XLOOKUP(C722,[1]ModifierDes!$B:$B,[1]ModifierDes!$C:$C),3,_xlfn.XLOOKUP(C722,[1]StuntDes!$B:$B,[1]StuntDes!$C:$C)),"")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411</v>
      </c>
      <c r="D723" t="s">
        <v>33</v>
      </c>
      <c r="E723" t="s">
        <v>405</v>
      </c>
      <c r="F723"/>
      <c r="G723">
        <v>2</v>
      </c>
      <c r="H723">
        <v>1000</v>
      </c>
      <c r="I723"/>
      <c r="J723" cm="1">
        <f t="array" ref="J723">_xlfn.SWITCH(B723,1,75,2,61,3,49,4,37,5,25,6,13,7,4,8,1)</f>
        <v>1</v>
      </c>
      <c r="K723" t="str" cm="1">
        <f t="array" ref="K723">IFERROR(_xlfn.SWITCH(L723,2,_xlfn.XLOOKUP(C723,[1]ModifierDes!$B:$B,[1]ModifierDes!$C:$C),3,_xlfn.XLOOKUP(C723,[1]StuntDes!$B:$B,[1]StuntDes!$C:$C)),"")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437</v>
      </c>
      <c r="D724" t="s">
        <v>33</v>
      </c>
      <c r="E724" t="s">
        <v>405</v>
      </c>
      <c r="F724"/>
      <c r="G724">
        <v>2</v>
      </c>
      <c r="H724">
        <v>100</v>
      </c>
      <c r="I724"/>
      <c r="J724" cm="1">
        <f t="array" ref="J724">_xlfn.SWITCH(B724,1,75,2,61,3,49,4,37,5,25,6,13,7,4,8,1)</f>
        <v>75</v>
      </c>
      <c r="K724" t="str" cm="1">
        <f t="array" ref="K724">IFERROR(_xlfn.SWITCH(L724,2,_xlfn.XLOOKUP(C724,[1]ModifierDes!$B:$B,[1]ModifierDes!$C:$C),3,_xlfn.XLOOKUP(C724,[1]StuntDes!$B:$B,[1]StuntDes!$C:$C)),"")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437</v>
      </c>
      <c r="D725" t="s">
        <v>33</v>
      </c>
      <c r="E725" t="s">
        <v>405</v>
      </c>
      <c r="F725"/>
      <c r="G725">
        <v>2</v>
      </c>
      <c r="H725">
        <v>200</v>
      </c>
      <c r="I725"/>
      <c r="J725" cm="1">
        <f t="array" ref="J725">_xlfn.SWITCH(B725,1,75,2,61,3,49,4,37,5,25,6,13,7,4,8,1)</f>
        <v>61</v>
      </c>
      <c r="K725" t="str" cm="1">
        <f t="array" ref="K725">IFERROR(_xlfn.SWITCH(L725,2,_xlfn.XLOOKUP(C725,[1]ModifierDes!$B:$B,[1]ModifierDes!$C:$C),3,_xlfn.XLOOKUP(C725,[1]StuntDes!$B:$B,[1]StuntDes!$C:$C)),"")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437</v>
      </c>
      <c r="D726" t="s">
        <v>33</v>
      </c>
      <c r="E726" t="s">
        <v>405</v>
      </c>
      <c r="F726"/>
      <c r="G726">
        <v>2</v>
      </c>
      <c r="H726">
        <v>400</v>
      </c>
      <c r="I726"/>
      <c r="J726" cm="1">
        <f t="array" ref="J726">_xlfn.SWITCH(B726,1,75,2,61,3,49,4,37,5,25,6,13,7,4,8,1)</f>
        <v>49</v>
      </c>
      <c r="K726" t="str" cm="1">
        <f t="array" ref="K726">IFERROR(_xlfn.SWITCH(L726,2,_xlfn.XLOOKUP(C726,[1]ModifierDes!$B:$B,[1]ModifierDes!$C:$C),3,_xlfn.XLOOKUP(C726,[1]StuntDes!$B:$B,[1]StuntDes!$C:$C)),"")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437</v>
      </c>
      <c r="D727" t="s">
        <v>33</v>
      </c>
      <c r="E727" t="s">
        <v>405</v>
      </c>
      <c r="F727"/>
      <c r="G727">
        <v>2</v>
      </c>
      <c r="H727">
        <v>600</v>
      </c>
      <c r="I727"/>
      <c r="J727" cm="1">
        <f t="array" ref="J727">_xlfn.SWITCH(B727,1,75,2,61,3,49,4,37,5,25,6,13,7,4,8,1)</f>
        <v>37</v>
      </c>
      <c r="K727" t="str" cm="1">
        <f t="array" ref="K727">IFERROR(_xlfn.SWITCH(L727,2,_xlfn.XLOOKUP(C727,[1]ModifierDes!$B:$B,[1]ModifierDes!$C:$C),3,_xlfn.XLOOKUP(C727,[1]StuntDes!$B:$B,[1]StuntDes!$C:$C)),"")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437</v>
      </c>
      <c r="D728" t="s">
        <v>33</v>
      </c>
      <c r="E728" t="s">
        <v>405</v>
      </c>
      <c r="F728"/>
      <c r="G728">
        <v>2</v>
      </c>
      <c r="H728">
        <v>800</v>
      </c>
      <c r="I728"/>
      <c r="J728" cm="1">
        <f t="array" ref="J728">_xlfn.SWITCH(B728,1,75,2,61,3,49,4,37,5,25,6,13,7,4,8,1)</f>
        <v>25</v>
      </c>
      <c r="K728" t="str" cm="1">
        <f t="array" ref="K728">IFERROR(_xlfn.SWITCH(L728,2,_xlfn.XLOOKUP(C728,[1]ModifierDes!$B:$B,[1]ModifierDes!$C:$C),3,_xlfn.XLOOKUP(C728,[1]StuntDes!$B:$B,[1]StuntDes!$C:$C)),"")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437</v>
      </c>
      <c r="D729" t="s">
        <v>33</v>
      </c>
      <c r="E729" t="s">
        <v>405</v>
      </c>
      <c r="F729"/>
      <c r="G729">
        <v>2</v>
      </c>
      <c r="H729">
        <v>1000</v>
      </c>
      <c r="I729"/>
      <c r="J729" cm="1">
        <f t="array" ref="J729">_xlfn.SWITCH(B729,1,75,2,61,3,49,4,37,5,25,6,13,7,4,8,1)</f>
        <v>13</v>
      </c>
      <c r="K729" t="str" cm="1">
        <f t="array" ref="K729">IFERROR(_xlfn.SWITCH(L729,2,_xlfn.XLOOKUP(C729,[1]ModifierDes!$B:$B,[1]ModifierDes!$C:$C),3,_xlfn.XLOOKUP(C729,[1]StuntDes!$B:$B,[1]StuntDes!$C:$C)),"")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437</v>
      </c>
      <c r="D730" t="s">
        <v>33</v>
      </c>
      <c r="E730" t="s">
        <v>405</v>
      </c>
      <c r="F730"/>
      <c r="G730">
        <v>2</v>
      </c>
      <c r="H730">
        <v>1000</v>
      </c>
      <c r="I730"/>
      <c r="J730" cm="1">
        <f t="array" ref="J730">_xlfn.SWITCH(B730,1,75,2,61,3,49,4,37,5,25,6,13,7,4,8,1)</f>
        <v>4</v>
      </c>
      <c r="K730" t="str" cm="1">
        <f t="array" ref="K730">IFERROR(_xlfn.SWITCH(L730,2,_xlfn.XLOOKUP(C730,[1]ModifierDes!$B:$B,[1]ModifierDes!$C:$C),3,_xlfn.XLOOKUP(C730,[1]StuntDes!$B:$B,[1]StuntDes!$C:$C)),"")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437</v>
      </c>
      <c r="D731" t="s">
        <v>33</v>
      </c>
      <c r="E731" t="s">
        <v>405</v>
      </c>
      <c r="F731"/>
      <c r="G731">
        <v>2</v>
      </c>
      <c r="H731">
        <v>1000</v>
      </c>
      <c r="I731"/>
      <c r="J731" cm="1">
        <f t="array" ref="J731">_xlfn.SWITCH(B731,1,75,2,61,3,49,4,37,5,25,6,13,7,4,8,1)</f>
        <v>1</v>
      </c>
      <c r="K731" t="str" cm="1">
        <f t="array" ref="K731">IFERROR(_xlfn.SWITCH(L731,2,_xlfn.XLOOKUP(C731,[1]ModifierDes!$B:$B,[1]ModifierDes!$C:$C),3,_xlfn.XLOOKUP(C731,[1]StuntDes!$B:$B,[1]StuntDes!$C:$C)),"")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412</v>
      </c>
      <c r="D732" t="s">
        <v>33</v>
      </c>
      <c r="E732" t="s">
        <v>405</v>
      </c>
      <c r="F732"/>
      <c r="G732">
        <v>2</v>
      </c>
      <c r="H732">
        <v>100</v>
      </c>
      <c r="I732"/>
      <c r="J732" cm="1">
        <f t="array" ref="J732">_xlfn.SWITCH(B732,1,75,2,61,3,49,4,37,5,25,6,13,7,4,8,1)</f>
        <v>75</v>
      </c>
      <c r="K732" t="str" cm="1">
        <f t="array" ref="K732">IFERROR(_xlfn.SWITCH(L732,2,_xlfn.XLOOKUP(C732,[1]ModifierDes!$B:$B,[1]ModifierDes!$C:$C),3,_xlfn.XLOOKUP(C732,[1]StuntDes!$B:$B,[1]StuntDes!$C:$C)),"")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412</v>
      </c>
      <c r="D733" t="s">
        <v>33</v>
      </c>
      <c r="E733" t="s">
        <v>405</v>
      </c>
      <c r="F733"/>
      <c r="G733">
        <v>2</v>
      </c>
      <c r="H733">
        <v>200</v>
      </c>
      <c r="I733"/>
      <c r="J733" cm="1">
        <f t="array" ref="J733">_xlfn.SWITCH(B733,1,75,2,61,3,49,4,37,5,25,6,13,7,4,8,1)</f>
        <v>61</v>
      </c>
      <c r="K733" t="str" cm="1">
        <f t="array" ref="K733">IFERROR(_xlfn.SWITCH(L733,2,_xlfn.XLOOKUP(C733,[1]ModifierDes!$B:$B,[1]ModifierDes!$C:$C),3,_xlfn.XLOOKUP(C733,[1]StuntDes!$B:$B,[1]StuntDes!$C:$C)),"")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412</v>
      </c>
      <c r="D734" t="s">
        <v>33</v>
      </c>
      <c r="E734" t="s">
        <v>405</v>
      </c>
      <c r="F734"/>
      <c r="G734">
        <v>2</v>
      </c>
      <c r="H734">
        <v>400</v>
      </c>
      <c r="I734"/>
      <c r="J734" cm="1">
        <f t="array" ref="J734">_xlfn.SWITCH(B734,1,75,2,61,3,49,4,37,5,25,6,13,7,4,8,1)</f>
        <v>49</v>
      </c>
      <c r="K734" t="str" cm="1">
        <f t="array" ref="K734">IFERROR(_xlfn.SWITCH(L734,2,_xlfn.XLOOKUP(C734,[1]ModifierDes!$B:$B,[1]ModifierDes!$C:$C),3,_xlfn.XLOOKUP(C734,[1]StuntDes!$B:$B,[1]StuntDes!$C:$C)),"")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412</v>
      </c>
      <c r="D735" t="s">
        <v>33</v>
      </c>
      <c r="E735" t="s">
        <v>405</v>
      </c>
      <c r="F735"/>
      <c r="G735">
        <v>2</v>
      </c>
      <c r="H735">
        <v>600</v>
      </c>
      <c r="I735"/>
      <c r="J735" cm="1">
        <f t="array" ref="J735">_xlfn.SWITCH(B735,1,75,2,61,3,49,4,37,5,25,6,13,7,4,8,1)</f>
        <v>37</v>
      </c>
      <c r="K735" t="str" cm="1">
        <f t="array" ref="K735">IFERROR(_xlfn.SWITCH(L735,2,_xlfn.XLOOKUP(C735,[1]ModifierDes!$B:$B,[1]ModifierDes!$C:$C),3,_xlfn.XLOOKUP(C735,[1]StuntDes!$B:$B,[1]StuntDes!$C:$C)),"")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412</v>
      </c>
      <c r="D736" t="s">
        <v>33</v>
      </c>
      <c r="E736" t="s">
        <v>405</v>
      </c>
      <c r="F736"/>
      <c r="G736">
        <v>2</v>
      </c>
      <c r="H736">
        <v>800</v>
      </c>
      <c r="I736"/>
      <c r="J736" cm="1">
        <f t="array" ref="J736">_xlfn.SWITCH(B736,1,75,2,61,3,49,4,37,5,25,6,13,7,4,8,1)</f>
        <v>25</v>
      </c>
      <c r="K736" t="str" cm="1">
        <f t="array" ref="K736">IFERROR(_xlfn.SWITCH(L736,2,_xlfn.XLOOKUP(C736,[1]ModifierDes!$B:$B,[1]ModifierDes!$C:$C),3,_xlfn.XLOOKUP(C736,[1]StuntDes!$B:$B,[1]StuntDes!$C:$C)),"")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412</v>
      </c>
      <c r="D737" t="s">
        <v>33</v>
      </c>
      <c r="E737" t="s">
        <v>405</v>
      </c>
      <c r="F737"/>
      <c r="G737">
        <v>2</v>
      </c>
      <c r="H737">
        <v>1000</v>
      </c>
      <c r="I737"/>
      <c r="J737" cm="1">
        <f t="array" ref="J737">_xlfn.SWITCH(B737,1,75,2,61,3,49,4,37,5,25,6,13,7,4,8,1)</f>
        <v>13</v>
      </c>
      <c r="K737" t="str" cm="1">
        <f t="array" ref="K737">IFERROR(_xlfn.SWITCH(L737,2,_xlfn.XLOOKUP(C737,[1]ModifierDes!$B:$B,[1]ModifierDes!$C:$C),3,_xlfn.XLOOKUP(C737,[1]StuntDes!$B:$B,[1]StuntDes!$C:$C)),"")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412</v>
      </c>
      <c r="D738" t="s">
        <v>33</v>
      </c>
      <c r="E738" t="s">
        <v>405</v>
      </c>
      <c r="F738"/>
      <c r="G738">
        <v>2</v>
      </c>
      <c r="H738">
        <v>1000</v>
      </c>
      <c r="I738"/>
      <c r="J738" cm="1">
        <f t="array" ref="J738">_xlfn.SWITCH(B738,1,75,2,61,3,49,4,37,5,25,6,13,7,4,8,1)</f>
        <v>4</v>
      </c>
      <c r="K738" t="str" cm="1">
        <f t="array" ref="K738">IFERROR(_xlfn.SWITCH(L738,2,_xlfn.XLOOKUP(C738,[1]ModifierDes!$B:$B,[1]ModifierDes!$C:$C),3,_xlfn.XLOOKUP(C738,[1]StuntDes!$B:$B,[1]StuntDes!$C:$C)),"")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412</v>
      </c>
      <c r="D739" t="s">
        <v>33</v>
      </c>
      <c r="E739" t="s">
        <v>405</v>
      </c>
      <c r="F739"/>
      <c r="G739">
        <v>2</v>
      </c>
      <c r="H739">
        <v>1000</v>
      </c>
      <c r="I739"/>
      <c r="J739" cm="1">
        <f t="array" ref="J739">_xlfn.SWITCH(B739,1,75,2,61,3,49,4,37,5,25,6,13,7,4,8,1)</f>
        <v>1</v>
      </c>
      <c r="K739" t="str" cm="1">
        <f t="array" ref="K739">IFERROR(_xlfn.SWITCH(L739,2,_xlfn.XLOOKUP(C739,[1]ModifierDes!$B:$B,[1]ModifierDes!$C:$C),3,_xlfn.XLOOKUP(C739,[1]StuntDes!$B:$B,[1]StuntDes!$C:$C)),"")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438</v>
      </c>
      <c r="D740" t="s">
        <v>33</v>
      </c>
      <c r="E740" t="s">
        <v>405</v>
      </c>
      <c r="F740"/>
      <c r="G740">
        <v>2</v>
      </c>
      <c r="H740">
        <v>100</v>
      </c>
      <c r="I740"/>
      <c r="J740" cm="1">
        <f t="array" ref="J740">_xlfn.SWITCH(B740,1,75,2,61,3,49,4,37,5,25,6,13,7,4,8,1)</f>
        <v>75</v>
      </c>
      <c r="K740" t="str" cm="1">
        <f t="array" ref="K740">IFERROR(_xlfn.SWITCH(L740,2,_xlfn.XLOOKUP(C740,[1]ModifierDes!$B:$B,[1]ModifierDes!$C:$C),3,_xlfn.XLOOKUP(C740,[1]StuntDes!$B:$B,[1]StuntDes!$C:$C)),"")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438</v>
      </c>
      <c r="D741" t="s">
        <v>33</v>
      </c>
      <c r="E741" t="s">
        <v>405</v>
      </c>
      <c r="F741"/>
      <c r="G741">
        <v>2</v>
      </c>
      <c r="H741">
        <v>200</v>
      </c>
      <c r="I741"/>
      <c r="J741" cm="1">
        <f t="array" ref="J741">_xlfn.SWITCH(B741,1,75,2,61,3,49,4,37,5,25,6,13,7,4,8,1)</f>
        <v>61</v>
      </c>
      <c r="K741" t="str" cm="1">
        <f t="array" ref="K741">IFERROR(_xlfn.SWITCH(L741,2,_xlfn.XLOOKUP(C741,[1]ModifierDes!$B:$B,[1]ModifierDes!$C:$C),3,_xlfn.XLOOKUP(C741,[1]StuntDes!$B:$B,[1]StuntDes!$C:$C)),"")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438</v>
      </c>
      <c r="D742" t="s">
        <v>33</v>
      </c>
      <c r="E742" t="s">
        <v>405</v>
      </c>
      <c r="F742"/>
      <c r="G742">
        <v>2</v>
      </c>
      <c r="H742">
        <v>400</v>
      </c>
      <c r="I742"/>
      <c r="J742" cm="1">
        <f t="array" ref="J742">_xlfn.SWITCH(B742,1,75,2,61,3,49,4,37,5,25,6,13,7,4,8,1)</f>
        <v>49</v>
      </c>
      <c r="K742" t="str" cm="1">
        <f t="array" ref="K742">IFERROR(_xlfn.SWITCH(L742,2,_xlfn.XLOOKUP(C742,[1]ModifierDes!$B:$B,[1]ModifierDes!$C:$C),3,_xlfn.XLOOKUP(C742,[1]StuntDes!$B:$B,[1]StuntDes!$C:$C)),"")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438</v>
      </c>
      <c r="D743" t="s">
        <v>33</v>
      </c>
      <c r="E743" t="s">
        <v>405</v>
      </c>
      <c r="F743"/>
      <c r="G743">
        <v>2</v>
      </c>
      <c r="H743">
        <v>600</v>
      </c>
      <c r="I743"/>
      <c r="J743" cm="1">
        <f t="array" ref="J743">_xlfn.SWITCH(B743,1,75,2,61,3,49,4,37,5,25,6,13,7,4,8,1)</f>
        <v>37</v>
      </c>
      <c r="K743" t="str" cm="1">
        <f t="array" ref="K743">IFERROR(_xlfn.SWITCH(L743,2,_xlfn.XLOOKUP(C743,[1]ModifierDes!$B:$B,[1]ModifierDes!$C:$C),3,_xlfn.XLOOKUP(C743,[1]StuntDes!$B:$B,[1]StuntDes!$C:$C)),"")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438</v>
      </c>
      <c r="D744" t="s">
        <v>33</v>
      </c>
      <c r="E744" t="s">
        <v>405</v>
      </c>
      <c r="F744"/>
      <c r="G744">
        <v>2</v>
      </c>
      <c r="H744">
        <v>800</v>
      </c>
      <c r="I744"/>
      <c r="J744" cm="1">
        <f t="array" ref="J744">_xlfn.SWITCH(B744,1,75,2,61,3,49,4,37,5,25,6,13,7,4,8,1)</f>
        <v>25</v>
      </c>
      <c r="K744" t="str" cm="1">
        <f t="array" ref="K744">IFERROR(_xlfn.SWITCH(L744,2,_xlfn.XLOOKUP(C744,[1]ModifierDes!$B:$B,[1]ModifierDes!$C:$C),3,_xlfn.XLOOKUP(C744,[1]StuntDes!$B:$B,[1]StuntDes!$C:$C)),"")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438</v>
      </c>
      <c r="D745" t="s">
        <v>33</v>
      </c>
      <c r="E745" t="s">
        <v>405</v>
      </c>
      <c r="F745"/>
      <c r="G745">
        <v>2</v>
      </c>
      <c r="H745">
        <v>1000</v>
      </c>
      <c r="I745"/>
      <c r="J745" cm="1">
        <f t="array" ref="J745">_xlfn.SWITCH(B745,1,75,2,61,3,49,4,37,5,25,6,13,7,4,8,1)</f>
        <v>13</v>
      </c>
      <c r="K745" t="str" cm="1">
        <f t="array" ref="K745">IFERROR(_xlfn.SWITCH(L745,2,_xlfn.XLOOKUP(C745,[1]ModifierDes!$B:$B,[1]ModifierDes!$C:$C),3,_xlfn.XLOOKUP(C745,[1]StuntDes!$B:$B,[1]StuntDes!$C:$C)),"")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438</v>
      </c>
      <c r="D746" t="s">
        <v>33</v>
      </c>
      <c r="E746" t="s">
        <v>405</v>
      </c>
      <c r="F746"/>
      <c r="G746">
        <v>2</v>
      </c>
      <c r="H746">
        <v>1000</v>
      </c>
      <c r="I746"/>
      <c r="J746" cm="1">
        <f t="array" ref="J746">_xlfn.SWITCH(B746,1,75,2,61,3,49,4,37,5,25,6,13,7,4,8,1)</f>
        <v>4</v>
      </c>
      <c r="K746" t="str" cm="1">
        <f t="array" ref="K746">IFERROR(_xlfn.SWITCH(L746,2,_xlfn.XLOOKUP(C746,[1]ModifierDes!$B:$B,[1]ModifierDes!$C:$C),3,_xlfn.XLOOKUP(C746,[1]StuntDes!$B:$B,[1]StuntDes!$C:$C)),"")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438</v>
      </c>
      <c r="D747" t="s">
        <v>33</v>
      </c>
      <c r="E747" t="s">
        <v>405</v>
      </c>
      <c r="F747"/>
      <c r="G747">
        <v>2</v>
      </c>
      <c r="H747">
        <v>1000</v>
      </c>
      <c r="I747"/>
      <c r="J747" cm="1">
        <f t="array" ref="J747">_xlfn.SWITCH(B747,1,75,2,61,3,49,4,37,5,25,6,13,7,4,8,1)</f>
        <v>1</v>
      </c>
      <c r="K747" t="str" cm="1">
        <f t="array" ref="K747">IFERROR(_xlfn.SWITCH(L747,2,_xlfn.XLOOKUP(C747,[1]ModifierDes!$B:$B,[1]ModifierDes!$C:$C),3,_xlfn.XLOOKUP(C747,[1]StuntDes!$B:$B,[1]StuntDes!$C:$C)),"")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398</v>
      </c>
      <c r="D748" t="s">
        <v>33</v>
      </c>
      <c r="E748" t="s">
        <v>405</v>
      </c>
      <c r="F748"/>
      <c r="G748">
        <v>2</v>
      </c>
      <c r="H748">
        <v>1000</v>
      </c>
      <c r="I748"/>
      <c r="J748" cm="1">
        <f t="array" ref="J748">_xlfn.SWITCH(B748,1,75,2,61,3,49,4,37,5,25,6,13,7,4,8,1)</f>
        <v>75</v>
      </c>
      <c r="K748" t="str" cm="1">
        <f t="array" ref="K748">IFERROR(_xlfn.SWITCH(L748,2,_xlfn.XLOOKUP(C748,[1]ModifierDes!$B:$B,[1]ModifierDes!$C:$C),3,_xlfn.XLOOKUP(C748,[1]StuntDes!$B:$B,[1]StuntDes!$C:$C)),"")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398</v>
      </c>
      <c r="D749" t="s">
        <v>33</v>
      </c>
      <c r="E749" t="s">
        <v>405</v>
      </c>
      <c r="F749"/>
      <c r="G749">
        <v>2</v>
      </c>
      <c r="H749">
        <v>1000</v>
      </c>
      <c r="I749"/>
      <c r="J749" cm="1">
        <f t="array" ref="J749">_xlfn.SWITCH(B749,1,75,2,61,3,49,4,37,5,25,6,13,7,4,8,1)</f>
        <v>61</v>
      </c>
      <c r="K749" t="str" cm="1">
        <f t="array" ref="K749">IFERROR(_xlfn.SWITCH(L749,2,_xlfn.XLOOKUP(C749,[1]ModifierDes!$B:$B,[1]ModifierDes!$C:$C),3,_xlfn.XLOOKUP(C749,[1]StuntDes!$B:$B,[1]StuntDes!$C:$C)),"")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398</v>
      </c>
      <c r="D750" t="s">
        <v>33</v>
      </c>
      <c r="E750" t="s">
        <v>405</v>
      </c>
      <c r="F750"/>
      <c r="G750">
        <v>2</v>
      </c>
      <c r="H750">
        <v>1000</v>
      </c>
      <c r="I750"/>
      <c r="J750" cm="1">
        <f t="array" ref="J750">_xlfn.SWITCH(B750,1,75,2,61,3,49,4,37,5,25,6,13,7,4,8,1)</f>
        <v>49</v>
      </c>
      <c r="K750" t="str" cm="1">
        <f t="array" ref="K750">IFERROR(_xlfn.SWITCH(L750,2,_xlfn.XLOOKUP(C750,[1]ModifierDes!$B:$B,[1]ModifierDes!$C:$C),3,_xlfn.XLOOKUP(C750,[1]StuntDes!$B:$B,[1]StuntDes!$C:$C)),"")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398</v>
      </c>
      <c r="D751" t="s">
        <v>33</v>
      </c>
      <c r="E751" t="s">
        <v>405</v>
      </c>
      <c r="F751"/>
      <c r="G751">
        <v>2</v>
      </c>
      <c r="H751">
        <v>1000</v>
      </c>
      <c r="I751"/>
      <c r="J751" cm="1">
        <f t="array" ref="J751">_xlfn.SWITCH(B751,1,75,2,61,3,49,4,37,5,25,6,13,7,4,8,1)</f>
        <v>37</v>
      </c>
      <c r="K751" t="str" cm="1">
        <f t="array" ref="K751">IFERROR(_xlfn.SWITCH(L751,2,_xlfn.XLOOKUP(C751,[1]ModifierDes!$B:$B,[1]ModifierDes!$C:$C),3,_xlfn.XLOOKUP(C751,[1]StuntDes!$B:$B,[1]StuntDes!$C:$C)),"")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398</v>
      </c>
      <c r="D752" t="s">
        <v>33</v>
      </c>
      <c r="E752" t="s">
        <v>405</v>
      </c>
      <c r="F752"/>
      <c r="G752">
        <v>2</v>
      </c>
      <c r="H752">
        <v>1000</v>
      </c>
      <c r="I752"/>
      <c r="J752" cm="1">
        <f t="array" ref="J752">_xlfn.SWITCH(B752,1,75,2,61,3,49,4,37,5,25,6,13,7,4,8,1)</f>
        <v>25</v>
      </c>
      <c r="K752" t="str" cm="1">
        <f t="array" ref="K752">IFERROR(_xlfn.SWITCH(L752,2,_xlfn.XLOOKUP(C752,[1]ModifierDes!$B:$B,[1]ModifierDes!$C:$C),3,_xlfn.XLOOKUP(C752,[1]StuntDes!$B:$B,[1]StuntDes!$C:$C)),"")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398</v>
      </c>
      <c r="D753" t="s">
        <v>33</v>
      </c>
      <c r="E753" t="s">
        <v>405</v>
      </c>
      <c r="F753"/>
      <c r="G753">
        <v>2</v>
      </c>
      <c r="H753">
        <v>1000</v>
      </c>
      <c r="I753"/>
      <c r="J753" cm="1">
        <f t="array" ref="J753">_xlfn.SWITCH(B753,1,75,2,61,3,49,4,37,5,25,6,13,7,4,8,1)</f>
        <v>13</v>
      </c>
      <c r="K753" t="str" cm="1">
        <f t="array" ref="K753">IFERROR(_xlfn.SWITCH(L753,2,_xlfn.XLOOKUP(C753,[1]ModifierDes!$B:$B,[1]ModifierDes!$C:$C),3,_xlfn.XLOOKUP(C753,[1]StuntDes!$B:$B,[1]StuntDes!$C:$C)),"")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398</v>
      </c>
      <c r="D754" t="s">
        <v>33</v>
      </c>
      <c r="E754" t="s">
        <v>405</v>
      </c>
      <c r="F754"/>
      <c r="G754">
        <v>2</v>
      </c>
      <c r="H754">
        <v>1000</v>
      </c>
      <c r="I754"/>
      <c r="J754" cm="1">
        <f t="array" ref="J754">_xlfn.SWITCH(B754,1,75,2,61,3,49,4,37,5,25,6,13,7,4,8,1)</f>
        <v>4</v>
      </c>
      <c r="K754" t="str" cm="1">
        <f t="array" ref="K754">IFERROR(_xlfn.SWITCH(L754,2,_xlfn.XLOOKUP(C754,[1]ModifierDes!$B:$B,[1]ModifierDes!$C:$C),3,_xlfn.XLOOKUP(C754,[1]StuntDes!$B:$B,[1]StuntDes!$C:$C)),"")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398</v>
      </c>
      <c r="D755" t="s">
        <v>33</v>
      </c>
      <c r="E755" t="s">
        <v>405</v>
      </c>
      <c r="F755"/>
      <c r="G755">
        <v>2</v>
      </c>
      <c r="H755">
        <v>1000</v>
      </c>
      <c r="I755"/>
      <c r="J755" cm="1">
        <f t="array" ref="J755">_xlfn.SWITCH(B755,1,75,2,61,3,49,4,37,5,25,6,13,7,4,8,1)</f>
        <v>1</v>
      </c>
      <c r="K755" t="str" cm="1">
        <f t="array" ref="K755">IFERROR(_xlfn.SWITCH(L755,2,_xlfn.XLOOKUP(C755,[1]ModifierDes!$B:$B,[1]ModifierDes!$C:$C),3,_xlfn.XLOOKUP(C755,[1]StuntDes!$B:$B,[1]StuntDes!$C:$C)),"")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439</v>
      </c>
      <c r="D756" t="s">
        <v>33</v>
      </c>
      <c r="E756" t="s">
        <v>405</v>
      </c>
      <c r="G756">
        <v>2</v>
      </c>
      <c r="H756">
        <v>1000</v>
      </c>
      <c r="J756" cm="1">
        <f t="array" ref="J756">_xlfn.SWITCH(B756,1,75,2,61,3,49,4,37,5,25,6,13,7,4,8,1)</f>
        <v>75</v>
      </c>
      <c r="K756" t="str" cm="1">
        <f t="array" ref="K756">IFERROR(_xlfn.SWITCH(L756,2,_xlfn.XLOOKUP(C756,[1]ModifierDes!$B:$B,[1]ModifierDes!$C:$C),3,_xlfn.XLOOKUP(C756,[1]StuntDes!$B:$B,[1]StuntDes!$C:$C)),"")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439</v>
      </c>
      <c r="D757" t="s">
        <v>33</v>
      </c>
      <c r="E757" t="s">
        <v>405</v>
      </c>
      <c r="G757">
        <v>2</v>
      </c>
      <c r="H757">
        <v>1000</v>
      </c>
      <c r="J757" cm="1">
        <f t="array" ref="J757">_xlfn.SWITCH(B757,1,75,2,61,3,49,4,37,5,25,6,13,7,4,8,1)</f>
        <v>61</v>
      </c>
      <c r="K757" t="str" cm="1">
        <f t="array" ref="K757">IFERROR(_xlfn.SWITCH(L757,2,_xlfn.XLOOKUP(C757,[1]ModifierDes!$B:$B,[1]ModifierDes!$C:$C),3,_xlfn.XLOOKUP(C757,[1]StuntDes!$B:$B,[1]StuntDes!$C:$C)),"")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439</v>
      </c>
      <c r="D758" t="s">
        <v>33</v>
      </c>
      <c r="E758" t="s">
        <v>405</v>
      </c>
      <c r="G758">
        <v>2</v>
      </c>
      <c r="H758">
        <v>1000</v>
      </c>
      <c r="J758" cm="1">
        <f t="array" ref="J758">_xlfn.SWITCH(B758,1,75,2,61,3,49,4,37,5,25,6,13,7,4,8,1)</f>
        <v>49</v>
      </c>
      <c r="K758" t="str" cm="1">
        <f t="array" ref="K758">IFERROR(_xlfn.SWITCH(L758,2,_xlfn.XLOOKUP(C758,[1]ModifierDes!$B:$B,[1]ModifierDes!$C:$C),3,_xlfn.XLOOKUP(C758,[1]StuntDes!$B:$B,[1]StuntDes!$C:$C)),"")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439</v>
      </c>
      <c r="D759" t="s">
        <v>33</v>
      </c>
      <c r="E759" t="s">
        <v>405</v>
      </c>
      <c r="G759">
        <v>2</v>
      </c>
      <c r="H759">
        <v>1000</v>
      </c>
      <c r="J759" cm="1">
        <f t="array" ref="J759">_xlfn.SWITCH(B759,1,75,2,61,3,49,4,37,5,25,6,13,7,4,8,1)</f>
        <v>37</v>
      </c>
      <c r="K759" t="str" cm="1">
        <f t="array" ref="K759">IFERROR(_xlfn.SWITCH(L759,2,_xlfn.XLOOKUP(C759,[1]ModifierDes!$B:$B,[1]ModifierDes!$C:$C),3,_xlfn.XLOOKUP(C759,[1]StuntDes!$B:$B,[1]StuntDes!$C:$C)),"")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439</v>
      </c>
      <c r="D760" t="s">
        <v>33</v>
      </c>
      <c r="E760" t="s">
        <v>405</v>
      </c>
      <c r="G760">
        <v>2</v>
      </c>
      <c r="H760">
        <v>1000</v>
      </c>
      <c r="J760" cm="1">
        <f t="array" ref="J760">_xlfn.SWITCH(B760,1,75,2,61,3,49,4,37,5,25,6,13,7,4,8,1)</f>
        <v>25</v>
      </c>
      <c r="K760" t="str" cm="1">
        <f t="array" ref="K760">IFERROR(_xlfn.SWITCH(L760,2,_xlfn.XLOOKUP(C760,[1]ModifierDes!$B:$B,[1]ModifierDes!$C:$C),3,_xlfn.XLOOKUP(C760,[1]StuntDes!$B:$B,[1]StuntDes!$C:$C)),"")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439</v>
      </c>
      <c r="D761" t="s">
        <v>33</v>
      </c>
      <c r="E761" t="s">
        <v>405</v>
      </c>
      <c r="G761">
        <v>2</v>
      </c>
      <c r="H761">
        <v>1000</v>
      </c>
      <c r="J761" cm="1">
        <f t="array" ref="J761">_xlfn.SWITCH(B761,1,75,2,61,3,49,4,37,5,25,6,13,7,4,8,1)</f>
        <v>13</v>
      </c>
      <c r="K761" t="str" cm="1">
        <f t="array" ref="K761">IFERROR(_xlfn.SWITCH(L761,2,_xlfn.XLOOKUP(C761,[1]ModifierDes!$B:$B,[1]ModifierDes!$C:$C),3,_xlfn.XLOOKUP(C761,[1]StuntDes!$B:$B,[1]StuntDes!$C:$C)),"")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439</v>
      </c>
      <c r="D762" t="s">
        <v>33</v>
      </c>
      <c r="E762" t="s">
        <v>405</v>
      </c>
      <c r="G762">
        <v>2</v>
      </c>
      <c r="H762">
        <v>1000</v>
      </c>
      <c r="J762" cm="1">
        <f t="array" ref="J762">_xlfn.SWITCH(B762,1,75,2,61,3,49,4,37,5,25,6,13,7,4,8,1)</f>
        <v>4</v>
      </c>
      <c r="K762" t="str" cm="1">
        <f t="array" ref="K762">IFERROR(_xlfn.SWITCH(L762,2,_xlfn.XLOOKUP(C762,[1]ModifierDes!$B:$B,[1]ModifierDes!$C:$C),3,_xlfn.XLOOKUP(C762,[1]StuntDes!$B:$B,[1]StuntDes!$C:$C)),"")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439</v>
      </c>
      <c r="D763" t="s">
        <v>33</v>
      </c>
      <c r="E763" t="s">
        <v>405</v>
      </c>
      <c r="G763">
        <v>2</v>
      </c>
      <c r="H763">
        <v>1000</v>
      </c>
      <c r="J763" cm="1">
        <f t="array" ref="J763">_xlfn.SWITCH(B763,1,75,2,61,3,49,4,37,5,25,6,13,7,4,8,1)</f>
        <v>1</v>
      </c>
      <c r="K763" t="str" cm="1">
        <f t="array" ref="K763">IFERROR(_xlfn.SWITCH(L763,2,_xlfn.XLOOKUP(C763,[1]ModifierDes!$B:$B,[1]ModifierDes!$C:$C),3,_xlfn.XLOOKUP(C763,[1]StuntDes!$B:$B,[1]StuntDes!$C:$C)),"")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419</v>
      </c>
      <c r="D764" t="s">
        <v>33</v>
      </c>
      <c r="E764" t="s">
        <v>405</v>
      </c>
      <c r="F764"/>
      <c r="G764">
        <v>2</v>
      </c>
      <c r="H764">
        <v>1000</v>
      </c>
      <c r="I764"/>
      <c r="J764" cm="1">
        <f t="array" ref="J764">_xlfn.SWITCH(B764,1,75,2,61,3,49,4,37,5,25,6,13,7,4,8,1)</f>
        <v>75</v>
      </c>
      <c r="K764" t="str" cm="1">
        <f t="array" ref="K764">IFERROR(_xlfn.SWITCH(L764,2,_xlfn.XLOOKUP(C764,[1]ModifierDes!$B:$B,[1]ModifierDes!$C:$C),3,_xlfn.XLOOKUP(C764,[1]StuntDes!$B:$B,[1]StuntDes!$C:$C)),"")</f>
        <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419</v>
      </c>
      <c r="D765" t="s">
        <v>33</v>
      </c>
      <c r="E765" t="s">
        <v>405</v>
      </c>
      <c r="F765"/>
      <c r="G765">
        <v>2</v>
      </c>
      <c r="H765">
        <v>1000</v>
      </c>
      <c r="I765"/>
      <c r="J765" cm="1">
        <f t="array" ref="J765">_xlfn.SWITCH(B765,1,75,2,61,3,49,4,37,5,25,6,13,7,4,8,1)</f>
        <v>61</v>
      </c>
      <c r="K765" t="str" cm="1">
        <f t="array" ref="K765">IFERROR(_xlfn.SWITCH(L765,2,_xlfn.XLOOKUP(C765,[1]ModifierDes!$B:$B,[1]ModifierDes!$C:$C),3,_xlfn.XLOOKUP(C765,[1]StuntDes!$B:$B,[1]StuntDes!$C:$C)),"")</f>
        <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419</v>
      </c>
      <c r="D766" t="s">
        <v>33</v>
      </c>
      <c r="E766" t="s">
        <v>405</v>
      </c>
      <c r="F766"/>
      <c r="G766">
        <v>2</v>
      </c>
      <c r="H766">
        <v>1000</v>
      </c>
      <c r="I766"/>
      <c r="J766" cm="1">
        <f t="array" ref="J766">_xlfn.SWITCH(B766,1,75,2,61,3,49,4,37,5,25,6,13,7,4,8,1)</f>
        <v>49</v>
      </c>
      <c r="K766" t="str" cm="1">
        <f t="array" ref="K766">IFERROR(_xlfn.SWITCH(L766,2,_xlfn.XLOOKUP(C766,[1]ModifierDes!$B:$B,[1]ModifierDes!$C:$C),3,_xlfn.XLOOKUP(C766,[1]StuntDes!$B:$B,[1]StuntDes!$C:$C)),"")</f>
        <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419</v>
      </c>
      <c r="D767" t="s">
        <v>33</v>
      </c>
      <c r="E767" t="s">
        <v>405</v>
      </c>
      <c r="F767"/>
      <c r="G767">
        <v>2</v>
      </c>
      <c r="H767">
        <v>1000</v>
      </c>
      <c r="I767"/>
      <c r="J767" cm="1">
        <f t="array" ref="J767">_xlfn.SWITCH(B767,1,75,2,61,3,49,4,37,5,25,6,13,7,4,8,1)</f>
        <v>37</v>
      </c>
      <c r="K767" t="str" cm="1">
        <f t="array" ref="K767">IFERROR(_xlfn.SWITCH(L767,2,_xlfn.XLOOKUP(C767,[1]ModifierDes!$B:$B,[1]ModifierDes!$C:$C),3,_xlfn.XLOOKUP(C767,[1]StuntDes!$B:$B,[1]StuntDes!$C:$C)),"")</f>
        <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419</v>
      </c>
      <c r="D768" t="s">
        <v>33</v>
      </c>
      <c r="E768" t="s">
        <v>405</v>
      </c>
      <c r="F768"/>
      <c r="G768">
        <v>2</v>
      </c>
      <c r="H768">
        <v>1000</v>
      </c>
      <c r="I768"/>
      <c r="J768" cm="1">
        <f t="array" ref="J768">_xlfn.SWITCH(B768,1,75,2,61,3,49,4,37,5,25,6,13,7,4,8,1)</f>
        <v>25</v>
      </c>
      <c r="K768" t="str" cm="1">
        <f t="array" ref="K768">IFERROR(_xlfn.SWITCH(L768,2,_xlfn.XLOOKUP(C768,[1]ModifierDes!$B:$B,[1]ModifierDes!$C:$C),3,_xlfn.XLOOKUP(C768,[1]StuntDes!$B:$B,[1]StuntDes!$C:$C)),"")</f>
        <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419</v>
      </c>
      <c r="D769" t="s">
        <v>33</v>
      </c>
      <c r="E769" t="s">
        <v>405</v>
      </c>
      <c r="F769"/>
      <c r="G769">
        <v>2</v>
      </c>
      <c r="H769">
        <v>1000</v>
      </c>
      <c r="I769"/>
      <c r="J769" cm="1">
        <f t="array" ref="J769">_xlfn.SWITCH(B769,1,75,2,61,3,49,4,37,5,25,6,13,7,4,8,1)</f>
        <v>13</v>
      </c>
      <c r="K769" t="str" cm="1">
        <f t="array" ref="K769">IFERROR(_xlfn.SWITCH(L769,2,_xlfn.XLOOKUP(C769,[1]ModifierDes!$B:$B,[1]ModifierDes!$C:$C),3,_xlfn.XLOOKUP(C769,[1]StuntDes!$B:$B,[1]StuntDes!$C:$C)),"")</f>
        <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419</v>
      </c>
      <c r="D770" t="s">
        <v>33</v>
      </c>
      <c r="E770" t="s">
        <v>405</v>
      </c>
      <c r="F770"/>
      <c r="G770">
        <v>2</v>
      </c>
      <c r="H770">
        <v>1000</v>
      </c>
      <c r="I770"/>
      <c r="J770" cm="1">
        <f t="array" ref="J770">_xlfn.SWITCH(B770,1,75,2,61,3,49,4,37,5,25,6,13,7,4,8,1)</f>
        <v>4</v>
      </c>
      <c r="K770" t="str" cm="1">
        <f t="array" ref="K770">IFERROR(_xlfn.SWITCH(L770,2,_xlfn.XLOOKUP(C770,[1]ModifierDes!$B:$B,[1]ModifierDes!$C:$C),3,_xlfn.XLOOKUP(C770,[1]StuntDes!$B:$B,[1]StuntDes!$C:$C)),"")</f>
        <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419</v>
      </c>
      <c r="D771" t="s">
        <v>33</v>
      </c>
      <c r="E771" t="s">
        <v>405</v>
      </c>
      <c r="F771"/>
      <c r="G771">
        <v>2</v>
      </c>
      <c r="H771">
        <v>1000</v>
      </c>
      <c r="I771"/>
      <c r="J771" cm="1">
        <f t="array" ref="J771">_xlfn.SWITCH(B771,1,75,2,61,3,49,4,37,5,25,6,13,7,4,8,1)</f>
        <v>1</v>
      </c>
      <c r="K771" t="str" cm="1">
        <f t="array" ref="K771">IFERROR(_xlfn.SWITCH(L771,2,_xlfn.XLOOKUP(C771,[1]ModifierDes!$B:$B,[1]ModifierDes!$C:$C),3,_xlfn.XLOOKUP(C771,[1]StuntDes!$B:$B,[1]StuntDes!$C:$C)),"")</f>
        <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440</v>
      </c>
      <c r="D772" t="s">
        <v>33</v>
      </c>
      <c r="E772" t="s">
        <v>405</v>
      </c>
      <c r="F772"/>
      <c r="G772">
        <v>2</v>
      </c>
      <c r="H772">
        <v>1000</v>
      </c>
      <c r="I772"/>
      <c r="J772" cm="1">
        <f t="array" ref="J772">_xlfn.SWITCH(B772,1,75,2,61,3,49,4,37,5,25,6,13,7,4,8,1)</f>
        <v>75</v>
      </c>
      <c r="K772" t="str" cm="1">
        <f t="array" ref="K772">IFERROR(_xlfn.SWITCH(L772,2,_xlfn.XLOOKUP(C772,[1]ModifierDes!$B:$B,[1]ModifierDes!$C:$C),3,_xlfn.XLOOKUP(C772,[1]StuntDes!$B:$B,[1]StuntDes!$C:$C)),"")</f>
        <v/>
      </c>
      <c r="L772">
        <f t="shared" si="66"/>
        <v>1</v>
      </c>
      <c r="M772" s="10" t="str">
        <f>IFERROR(_xlfn.XLOOKUP(C772,[1]StuntDes!$B:$B,[1]StuntDes!$A:$A),"")</f>
        <v/>
      </c>
      <c r="N772" s="10" t="str">
        <f>IFERROR(_xlfn.XLOOKUP(C772,[1]ModifierDes!$B:$B,[1]ModifierDes!$A:$A),"")</f>
        <v/>
      </c>
      <c r="O772" s="10">
        <f>IFERROR(_xlfn.XLOOKUP(C772,[1]AttributeName!$C:$C,[1]AttributeName!$B:$B),"")</f>
        <v>10003</v>
      </c>
      <c r="P772" s="10"/>
      <c r="Q772">
        <v>8</v>
      </c>
      <c r="R772">
        <v>10</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440</v>
      </c>
      <c r="D773" t="s">
        <v>33</v>
      </c>
      <c r="E773" t="s">
        <v>405</v>
      </c>
      <c r="F773"/>
      <c r="G773">
        <v>2</v>
      </c>
      <c r="H773">
        <v>1000</v>
      </c>
      <c r="I773"/>
      <c r="J773" cm="1">
        <f t="array" ref="J773">_xlfn.SWITCH(B773,1,75,2,61,3,49,4,37,5,25,6,13,7,4,8,1)</f>
        <v>61</v>
      </c>
      <c r="K773" t="str" cm="1">
        <f t="array" ref="K773">IFERROR(_xlfn.SWITCH(L773,2,_xlfn.XLOOKUP(C773,[1]ModifierDes!$B:$B,[1]ModifierDes!$C:$C),3,_xlfn.XLOOKUP(C773,[1]StuntDes!$B:$B,[1]StuntDes!$C:$C)),"")</f>
        <v/>
      </c>
      <c r="L773">
        <f t="shared" si="66"/>
        <v>1</v>
      </c>
      <c r="M773" s="10" t="str">
        <f>IFERROR(_xlfn.XLOOKUP(C773,[1]StuntDes!$B:$B,[1]StuntDes!$A:$A),"")</f>
        <v/>
      </c>
      <c r="N773" s="10" t="str">
        <f>IFERROR(_xlfn.XLOOKUP(C773,[1]ModifierDes!$B:$B,[1]ModifierDes!$A:$A),"")</f>
        <v/>
      </c>
      <c r="O773" s="10">
        <f>IFERROR(_xlfn.XLOOKUP(C773,[1]AttributeName!$C:$C,[1]AttributeName!$B:$B),"")</f>
        <v>10003</v>
      </c>
      <c r="P773" s="10"/>
      <c r="Q773">
        <v>7</v>
      </c>
      <c r="R773">
        <v>7</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440</v>
      </c>
      <c r="D774" t="s">
        <v>33</v>
      </c>
      <c r="E774" t="s">
        <v>405</v>
      </c>
      <c r="F774"/>
      <c r="G774">
        <v>2</v>
      </c>
      <c r="H774">
        <v>1000</v>
      </c>
      <c r="I774"/>
      <c r="J774" cm="1">
        <f t="array" ref="J774">_xlfn.SWITCH(B774,1,75,2,61,3,49,4,37,5,25,6,13,7,4,8,1)</f>
        <v>49</v>
      </c>
      <c r="K774" t="str" cm="1">
        <f t="array" ref="K774">IFERROR(_xlfn.SWITCH(L774,2,_xlfn.XLOOKUP(C774,[1]ModifierDes!$B:$B,[1]ModifierDes!$C:$C),3,_xlfn.XLOOKUP(C774,[1]StuntDes!$B:$B,[1]StuntDes!$C:$C)),"")</f>
        <v/>
      </c>
      <c r="L774">
        <f t="shared" si="66"/>
        <v>1</v>
      </c>
      <c r="M774" s="10" t="str">
        <f>IFERROR(_xlfn.XLOOKUP(C774,[1]StuntDes!$B:$B,[1]StuntDes!$A:$A),"")</f>
        <v/>
      </c>
      <c r="N774" s="10" t="str">
        <f>IFERROR(_xlfn.XLOOKUP(C774,[1]ModifierDes!$B:$B,[1]ModifierDes!$A:$A),"")</f>
        <v/>
      </c>
      <c r="O774" s="10">
        <f>IFERROR(_xlfn.XLOOKUP(C774,[1]AttributeName!$C:$C,[1]AttributeName!$B:$B),"")</f>
        <v>10003</v>
      </c>
      <c r="P774" s="10"/>
      <c r="Q774">
        <v>6</v>
      </c>
      <c r="R774">
        <v>6</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440</v>
      </c>
      <c r="D775" t="s">
        <v>33</v>
      </c>
      <c r="E775" t="s">
        <v>405</v>
      </c>
      <c r="F775"/>
      <c r="G775">
        <v>2</v>
      </c>
      <c r="H775">
        <v>1000</v>
      </c>
      <c r="I775"/>
      <c r="J775" cm="1">
        <f t="array" ref="J775">_xlfn.SWITCH(B775,1,75,2,61,3,49,4,37,5,25,6,13,7,4,8,1)</f>
        <v>37</v>
      </c>
      <c r="K775" t="str" cm="1">
        <f t="array" ref="K775">IFERROR(_xlfn.SWITCH(L775,2,_xlfn.XLOOKUP(C775,[1]ModifierDes!$B:$B,[1]ModifierDes!$C:$C),3,_xlfn.XLOOKUP(C775,[1]StuntDes!$B:$B,[1]StuntDes!$C:$C)),"")</f>
        <v/>
      </c>
      <c r="L775">
        <f t="shared" si="66"/>
        <v>1</v>
      </c>
      <c r="M775" s="10" t="str">
        <f>IFERROR(_xlfn.XLOOKUP(C775,[1]StuntDes!$B:$B,[1]StuntDes!$A:$A),"")</f>
        <v/>
      </c>
      <c r="N775" s="10" t="str">
        <f>IFERROR(_xlfn.XLOOKUP(C775,[1]ModifierDes!$B:$B,[1]ModifierDes!$A:$A),"")</f>
        <v/>
      </c>
      <c r="O775" s="10">
        <f>IFERROR(_xlfn.XLOOKUP(C775,[1]AttributeName!$C:$C,[1]AttributeName!$B:$B),"")</f>
        <v>10003</v>
      </c>
      <c r="P775" s="10"/>
      <c r="Q775">
        <v>5</v>
      </c>
      <c r="R775">
        <v>5</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440</v>
      </c>
      <c r="D776" t="s">
        <v>33</v>
      </c>
      <c r="E776" t="s">
        <v>405</v>
      </c>
      <c r="F776"/>
      <c r="G776">
        <v>2</v>
      </c>
      <c r="H776">
        <v>1000</v>
      </c>
      <c r="I776"/>
      <c r="J776" cm="1">
        <f t="array" ref="J776">_xlfn.SWITCH(B776,1,75,2,61,3,49,4,37,5,25,6,13,7,4,8,1)</f>
        <v>25</v>
      </c>
      <c r="K776" t="str" cm="1">
        <f t="array" ref="K776">IFERROR(_xlfn.SWITCH(L776,2,_xlfn.XLOOKUP(C776,[1]ModifierDes!$B:$B,[1]ModifierDes!$C:$C),3,_xlfn.XLOOKUP(C776,[1]StuntDes!$B:$B,[1]StuntDes!$C:$C)),"")</f>
        <v/>
      </c>
      <c r="L776">
        <f t="shared" si="66"/>
        <v>1</v>
      </c>
      <c r="M776" s="10" t="str">
        <f>IFERROR(_xlfn.XLOOKUP(C776,[1]StuntDes!$B:$B,[1]StuntDes!$A:$A),"")</f>
        <v/>
      </c>
      <c r="N776" s="10" t="str">
        <f>IFERROR(_xlfn.XLOOKUP(C776,[1]ModifierDes!$B:$B,[1]ModifierDes!$A:$A),"")</f>
        <v/>
      </c>
      <c r="O776" s="10">
        <f>IFERROR(_xlfn.XLOOKUP(C776,[1]AttributeName!$C:$C,[1]AttributeName!$B:$B),"")</f>
        <v>10003</v>
      </c>
      <c r="P776" s="10"/>
      <c r="Q776">
        <v>4</v>
      </c>
      <c r="R776">
        <v>4</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440</v>
      </c>
      <c r="D777" t="s">
        <v>33</v>
      </c>
      <c r="E777" t="s">
        <v>405</v>
      </c>
      <c r="F777"/>
      <c r="G777">
        <v>2</v>
      </c>
      <c r="H777">
        <v>1000</v>
      </c>
      <c r="I777"/>
      <c r="J777" cm="1">
        <f t="array" ref="J777">_xlfn.SWITCH(B777,1,75,2,61,3,49,4,37,5,25,6,13,7,4,8,1)</f>
        <v>13</v>
      </c>
      <c r="K777" t="str" cm="1">
        <f t="array" ref="K777">IFERROR(_xlfn.SWITCH(L777,2,_xlfn.XLOOKUP(C777,[1]ModifierDes!$B:$B,[1]ModifierDes!$C:$C),3,_xlfn.XLOOKUP(C777,[1]StuntDes!$B:$B,[1]StuntDes!$C:$C)),"")</f>
        <v/>
      </c>
      <c r="L777">
        <f t="shared" si="66"/>
        <v>1</v>
      </c>
      <c r="M777" s="10" t="str">
        <f>IFERROR(_xlfn.XLOOKUP(C777,[1]StuntDes!$B:$B,[1]StuntDes!$A:$A),"")</f>
        <v/>
      </c>
      <c r="N777" s="10" t="str">
        <f>IFERROR(_xlfn.XLOOKUP(C777,[1]ModifierDes!$B:$B,[1]ModifierDes!$A:$A),"")</f>
        <v/>
      </c>
      <c r="O777" s="10">
        <f>IFERROR(_xlfn.XLOOKUP(C777,[1]AttributeName!$C:$C,[1]AttributeName!$B:$B),"")</f>
        <v>10003</v>
      </c>
      <c r="P777" s="10"/>
      <c r="Q777">
        <v>3</v>
      </c>
      <c r="R777">
        <v>3</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440</v>
      </c>
      <c r="D778" t="s">
        <v>33</v>
      </c>
      <c r="E778" t="s">
        <v>405</v>
      </c>
      <c r="F778"/>
      <c r="G778">
        <v>2</v>
      </c>
      <c r="H778">
        <v>1000</v>
      </c>
      <c r="I778"/>
      <c r="J778" cm="1">
        <f t="array" ref="J778">_xlfn.SWITCH(B778,1,75,2,61,3,49,4,37,5,25,6,13,7,4,8,1)</f>
        <v>4</v>
      </c>
      <c r="K778" t="str" cm="1">
        <f t="array" ref="K778">IFERROR(_xlfn.SWITCH(L778,2,_xlfn.XLOOKUP(C778,[1]ModifierDes!$B:$B,[1]ModifierDes!$C:$C),3,_xlfn.XLOOKUP(C778,[1]StuntDes!$B:$B,[1]StuntDes!$C:$C)),"")</f>
        <v/>
      </c>
      <c r="L778">
        <f t="shared" si="66"/>
        <v>1</v>
      </c>
      <c r="M778" s="10" t="str">
        <f>IFERROR(_xlfn.XLOOKUP(C778,[1]StuntDes!$B:$B,[1]StuntDes!$A:$A),"")</f>
        <v/>
      </c>
      <c r="N778" s="10" t="str">
        <f>IFERROR(_xlfn.XLOOKUP(C778,[1]ModifierDes!$B:$B,[1]ModifierDes!$A:$A),"")</f>
        <v/>
      </c>
      <c r="O778" s="10">
        <f>IFERROR(_xlfn.XLOOKUP(C778,[1]AttributeName!$C:$C,[1]AttributeName!$B:$B),"")</f>
        <v>10003</v>
      </c>
      <c r="P778" s="10"/>
      <c r="Q778">
        <v>2</v>
      </c>
      <c r="R778">
        <v>2</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440</v>
      </c>
      <c r="D779" t="s">
        <v>33</v>
      </c>
      <c r="E779" t="s">
        <v>405</v>
      </c>
      <c r="F779"/>
      <c r="G779">
        <v>2</v>
      </c>
      <c r="H779">
        <v>1000</v>
      </c>
      <c r="I779"/>
      <c r="J779" cm="1">
        <f t="array" ref="J779">_xlfn.SWITCH(B779,1,75,2,61,3,49,4,37,5,25,6,13,7,4,8,1)</f>
        <v>1</v>
      </c>
      <c r="K779" t="str" cm="1">
        <f t="array" ref="K779">IFERROR(_xlfn.SWITCH(L779,2,_xlfn.XLOOKUP(C779,[1]ModifierDes!$B:$B,[1]ModifierDes!$C:$C),3,_xlfn.XLOOKUP(C779,[1]StuntDes!$B:$B,[1]StuntDes!$C:$C)),"")</f>
        <v/>
      </c>
      <c r="L779">
        <f t="shared" si="66"/>
        <v>1</v>
      </c>
      <c r="M779" s="10" t="str">
        <f>IFERROR(_xlfn.XLOOKUP(C779,[1]StuntDes!$B:$B,[1]StuntDes!$A:$A),"")</f>
        <v/>
      </c>
      <c r="N779" s="10" t="str">
        <f>IFERROR(_xlfn.XLOOKUP(C779,[1]ModifierDes!$B:$B,[1]ModifierDes!$A:$A),"")</f>
        <v/>
      </c>
      <c r="O779" s="10">
        <f>IFERROR(_xlfn.XLOOKUP(C779,[1]AttributeName!$C:$C,[1]AttributeName!$B:$B),"")</f>
        <v>10003</v>
      </c>
      <c r="P779" s="10"/>
      <c r="Q779">
        <v>1</v>
      </c>
      <c r="R779">
        <v>1</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441</v>
      </c>
      <c r="D780" t="s">
        <v>33</v>
      </c>
      <c r="E780" t="s">
        <v>405</v>
      </c>
      <c r="G780">
        <v>2</v>
      </c>
      <c r="H780">
        <v>1000</v>
      </c>
      <c r="J780" cm="1">
        <f t="array" ref="J780">_xlfn.SWITCH(B780,1,75,2,61,3,49,4,37,5,25,6,13,7,4,8,1)</f>
        <v>75</v>
      </c>
      <c r="K780" t="str" cm="1">
        <f t="array" ref="K780">IFERROR(_xlfn.SWITCH(L780,2,_xlfn.XLOOKUP(C780,[1]ModifierDes!$B:$B,[1]ModifierDes!$C:$C),3,_xlfn.XLOOKUP(C780,[1]StuntDes!$B:$B,[1]StuntDes!$C:$C)),"")</f>
        <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8</v>
      </c>
      <c r="R780">
        <v>10</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441</v>
      </c>
      <c r="D781" t="s">
        <v>33</v>
      </c>
      <c r="E781" t="s">
        <v>405</v>
      </c>
      <c r="G781">
        <v>2</v>
      </c>
      <c r="H781">
        <v>1000</v>
      </c>
      <c r="J781" cm="1">
        <f t="array" ref="J781">_xlfn.SWITCH(B781,1,75,2,61,3,49,4,37,5,25,6,13,7,4,8,1)</f>
        <v>61</v>
      </c>
      <c r="K781" t="str" cm="1">
        <f t="array" ref="K781">IFERROR(_xlfn.SWITCH(L781,2,_xlfn.XLOOKUP(C781,[1]ModifierDes!$B:$B,[1]ModifierDes!$C:$C),3,_xlfn.XLOOKUP(C781,[1]StuntDes!$B:$B,[1]StuntDes!$C:$C)),"")</f>
        <v/>
      </c>
      <c r="L781">
        <f t="shared" si="67"/>
        <v>1</v>
      </c>
      <c r="M781" s="10" t="str">
        <f>IFERROR(_xlfn.XLOOKUP(C781,[1]StuntDes!$B:$B,[1]StuntDes!$A:$A),"")</f>
        <v/>
      </c>
      <c r="N781" s="10" t="str">
        <f>IFERROR(_xlfn.XLOOKUP(C781,[1]ModifierDes!$B:$B,[1]ModifierDes!$A:$A),"")</f>
        <v/>
      </c>
      <c r="O781" s="10">
        <f>IFERROR(_xlfn.XLOOKUP(C781,[1]AttributeName!$C:$C,[1]AttributeName!$B:$B),"")</f>
        <v>10005</v>
      </c>
      <c r="P781" s="10"/>
      <c r="Q781">
        <v>7</v>
      </c>
      <c r="R781">
        <v>7</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441</v>
      </c>
      <c r="D782" t="s">
        <v>33</v>
      </c>
      <c r="E782" t="s">
        <v>405</v>
      </c>
      <c r="G782">
        <v>2</v>
      </c>
      <c r="H782">
        <v>1000</v>
      </c>
      <c r="J782" cm="1">
        <f t="array" ref="J782">_xlfn.SWITCH(B782,1,75,2,61,3,49,4,37,5,25,6,13,7,4,8,1)</f>
        <v>49</v>
      </c>
      <c r="K782" t="str" cm="1">
        <f t="array" ref="K782">IFERROR(_xlfn.SWITCH(L782,2,_xlfn.XLOOKUP(C782,[1]ModifierDes!$B:$B,[1]ModifierDes!$C:$C),3,_xlfn.XLOOKUP(C782,[1]StuntDes!$B:$B,[1]StuntDes!$C:$C)),"")</f>
        <v/>
      </c>
      <c r="L782">
        <f t="shared" si="67"/>
        <v>1</v>
      </c>
      <c r="M782" s="10" t="str">
        <f>IFERROR(_xlfn.XLOOKUP(C782,[1]StuntDes!$B:$B,[1]StuntDes!$A:$A),"")</f>
        <v/>
      </c>
      <c r="N782" s="10" t="str">
        <f>IFERROR(_xlfn.XLOOKUP(C782,[1]ModifierDes!$B:$B,[1]ModifierDes!$A:$A),"")</f>
        <v/>
      </c>
      <c r="O782" s="10">
        <f>IFERROR(_xlfn.XLOOKUP(C782,[1]AttributeName!$C:$C,[1]AttributeName!$B:$B),"")</f>
        <v>10005</v>
      </c>
      <c r="P782" s="10"/>
      <c r="Q782">
        <v>6</v>
      </c>
      <c r="R782">
        <v>6</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441</v>
      </c>
      <c r="D783" t="s">
        <v>33</v>
      </c>
      <c r="E783" t="s">
        <v>405</v>
      </c>
      <c r="G783">
        <v>2</v>
      </c>
      <c r="H783">
        <v>1000</v>
      </c>
      <c r="J783" cm="1">
        <f t="array" ref="J783">_xlfn.SWITCH(B783,1,75,2,61,3,49,4,37,5,25,6,13,7,4,8,1)</f>
        <v>37</v>
      </c>
      <c r="K783" t="str" cm="1">
        <f t="array" ref="K783">IFERROR(_xlfn.SWITCH(L783,2,_xlfn.XLOOKUP(C783,[1]ModifierDes!$B:$B,[1]ModifierDes!$C:$C),3,_xlfn.XLOOKUP(C783,[1]StuntDes!$B:$B,[1]StuntDes!$C:$C)),"")</f>
        <v/>
      </c>
      <c r="L783">
        <f t="shared" si="67"/>
        <v>1</v>
      </c>
      <c r="M783" s="10" t="str">
        <f>IFERROR(_xlfn.XLOOKUP(C783,[1]StuntDes!$B:$B,[1]StuntDes!$A:$A),"")</f>
        <v/>
      </c>
      <c r="N783" s="10" t="str">
        <f>IFERROR(_xlfn.XLOOKUP(C783,[1]ModifierDes!$B:$B,[1]ModifierDes!$A:$A),"")</f>
        <v/>
      </c>
      <c r="O783" s="10">
        <f>IFERROR(_xlfn.XLOOKUP(C783,[1]AttributeName!$C:$C,[1]AttributeName!$B:$B),"")</f>
        <v>10005</v>
      </c>
      <c r="P783" s="10"/>
      <c r="Q783">
        <v>5</v>
      </c>
      <c r="R783">
        <v>5</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441</v>
      </c>
      <c r="D784" t="s">
        <v>33</v>
      </c>
      <c r="E784" t="s">
        <v>405</v>
      </c>
      <c r="G784">
        <v>2</v>
      </c>
      <c r="H784">
        <v>1000</v>
      </c>
      <c r="J784" cm="1">
        <f t="array" ref="J784">_xlfn.SWITCH(B784,1,75,2,61,3,49,4,37,5,25,6,13,7,4,8,1)</f>
        <v>25</v>
      </c>
      <c r="K784" t="str" cm="1">
        <f t="array" ref="K784">IFERROR(_xlfn.SWITCH(L784,2,_xlfn.XLOOKUP(C784,[1]ModifierDes!$B:$B,[1]ModifierDes!$C:$C),3,_xlfn.XLOOKUP(C784,[1]StuntDes!$B:$B,[1]StuntDes!$C:$C)),"")</f>
        <v/>
      </c>
      <c r="L784">
        <f t="shared" si="67"/>
        <v>1</v>
      </c>
      <c r="M784" s="10" t="str">
        <f>IFERROR(_xlfn.XLOOKUP(C784,[1]StuntDes!$B:$B,[1]StuntDes!$A:$A),"")</f>
        <v/>
      </c>
      <c r="N784" s="10" t="str">
        <f>IFERROR(_xlfn.XLOOKUP(C784,[1]ModifierDes!$B:$B,[1]ModifierDes!$A:$A),"")</f>
        <v/>
      </c>
      <c r="O784" s="10">
        <f>IFERROR(_xlfn.XLOOKUP(C784,[1]AttributeName!$C:$C,[1]AttributeName!$B:$B),"")</f>
        <v>10005</v>
      </c>
      <c r="P784" s="10"/>
      <c r="Q784">
        <v>4</v>
      </c>
      <c r="R784">
        <v>4</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441</v>
      </c>
      <c r="D785" t="s">
        <v>33</v>
      </c>
      <c r="E785" t="s">
        <v>405</v>
      </c>
      <c r="G785">
        <v>2</v>
      </c>
      <c r="H785">
        <v>1000</v>
      </c>
      <c r="J785" cm="1">
        <f t="array" ref="J785">_xlfn.SWITCH(B785,1,75,2,61,3,49,4,37,5,25,6,13,7,4,8,1)</f>
        <v>13</v>
      </c>
      <c r="K785" t="str" cm="1">
        <f t="array" ref="K785">IFERROR(_xlfn.SWITCH(L785,2,_xlfn.XLOOKUP(C785,[1]ModifierDes!$B:$B,[1]ModifierDes!$C:$C),3,_xlfn.XLOOKUP(C785,[1]StuntDes!$B:$B,[1]StuntDes!$C:$C)),"")</f>
        <v/>
      </c>
      <c r="L785">
        <f t="shared" si="67"/>
        <v>1</v>
      </c>
      <c r="M785" s="10" t="str">
        <f>IFERROR(_xlfn.XLOOKUP(C785,[1]StuntDes!$B:$B,[1]StuntDes!$A:$A),"")</f>
        <v/>
      </c>
      <c r="N785" s="10" t="str">
        <f>IFERROR(_xlfn.XLOOKUP(C785,[1]ModifierDes!$B:$B,[1]ModifierDes!$A:$A),"")</f>
        <v/>
      </c>
      <c r="O785" s="10">
        <f>IFERROR(_xlfn.XLOOKUP(C785,[1]AttributeName!$C:$C,[1]AttributeName!$B:$B),"")</f>
        <v>10005</v>
      </c>
      <c r="P785" s="10"/>
      <c r="Q785">
        <v>3</v>
      </c>
      <c r="R785">
        <v>3</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441</v>
      </c>
      <c r="D786" t="s">
        <v>33</v>
      </c>
      <c r="E786" t="s">
        <v>405</v>
      </c>
      <c r="G786">
        <v>2</v>
      </c>
      <c r="H786">
        <v>1000</v>
      </c>
      <c r="J786" cm="1">
        <f t="array" ref="J786">_xlfn.SWITCH(B786,1,75,2,61,3,49,4,37,5,25,6,13,7,4,8,1)</f>
        <v>4</v>
      </c>
      <c r="K786" t="str" cm="1">
        <f t="array" ref="K786">IFERROR(_xlfn.SWITCH(L786,2,_xlfn.XLOOKUP(C786,[1]ModifierDes!$B:$B,[1]ModifierDes!$C:$C),3,_xlfn.XLOOKUP(C786,[1]StuntDes!$B:$B,[1]StuntDes!$C:$C)),"")</f>
        <v/>
      </c>
      <c r="L786">
        <f t="shared" si="67"/>
        <v>1</v>
      </c>
      <c r="M786" s="10" t="str">
        <f>IFERROR(_xlfn.XLOOKUP(C786,[1]StuntDes!$B:$B,[1]StuntDes!$A:$A),"")</f>
        <v/>
      </c>
      <c r="N786" s="10" t="str">
        <f>IFERROR(_xlfn.XLOOKUP(C786,[1]ModifierDes!$B:$B,[1]ModifierDes!$A:$A),"")</f>
        <v/>
      </c>
      <c r="O786" s="10">
        <f>IFERROR(_xlfn.XLOOKUP(C786,[1]AttributeName!$C:$C,[1]AttributeName!$B:$B),"")</f>
        <v>10005</v>
      </c>
      <c r="P786" s="10"/>
      <c r="Q786">
        <v>2</v>
      </c>
      <c r="R786">
        <v>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441</v>
      </c>
      <c r="D787" t="s">
        <v>33</v>
      </c>
      <c r="E787" t="s">
        <v>405</v>
      </c>
      <c r="G787">
        <v>2</v>
      </c>
      <c r="H787">
        <v>1000</v>
      </c>
      <c r="J787" cm="1">
        <f t="array" ref="J787">_xlfn.SWITCH(B787,1,75,2,61,3,49,4,37,5,25,6,13,7,4,8,1)</f>
        <v>1</v>
      </c>
      <c r="K787" t="str" cm="1">
        <f t="array" ref="K787">IFERROR(_xlfn.SWITCH(L787,2,_xlfn.XLOOKUP(C787,[1]ModifierDes!$B:$B,[1]ModifierDes!$C:$C),3,_xlfn.XLOOKUP(C787,[1]StuntDes!$B:$B,[1]StuntDes!$C:$C)),"")</f>
        <v/>
      </c>
      <c r="L787">
        <f t="shared" si="67"/>
        <v>1</v>
      </c>
      <c r="M787" s="10" t="str">
        <f>IFERROR(_xlfn.XLOOKUP(C787,[1]StuntDes!$B:$B,[1]StuntDes!$A:$A),"")</f>
        <v/>
      </c>
      <c r="N787" s="10" t="str">
        <f>IFERROR(_xlfn.XLOOKUP(C787,[1]ModifierDes!$B:$B,[1]ModifierDes!$A:$A),"")</f>
        <v/>
      </c>
      <c r="O787" s="10">
        <f>IFERROR(_xlfn.XLOOKUP(C787,[1]AttributeName!$C:$C,[1]AttributeName!$B:$B),"")</f>
        <v>10005</v>
      </c>
      <c r="P787" s="10"/>
      <c r="Q787">
        <v>1</v>
      </c>
      <c r="R787">
        <v>1</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402</v>
      </c>
      <c r="D788" t="s">
        <v>34</v>
      </c>
      <c r="E788" t="s">
        <v>388</v>
      </c>
      <c r="F788"/>
      <c r="G788">
        <v>1</v>
      </c>
      <c r="H788">
        <v>1000</v>
      </c>
      <c r="J788" cm="1">
        <f t="array" ref="J788">_xlfn.SWITCH(B788,1,75,2,61,3,49,4,37,5,25,6,13,7,4,8,1)</f>
        <v>75</v>
      </c>
      <c r="K788" t="str" cm="1">
        <f t="array" ref="K788">IFERROR(_xlfn.SWITCH(L788,2,_xlfn.XLOOKUP(C788,[1]ModifierDes!$B:$B,[1]ModifierDes!$C:$C),3,_xlfn.XLOOKUP(C788,[1]StuntDes!$B:$B,[1]StuntDes!$C:$C)),"")</f>
        <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402</v>
      </c>
      <c r="D789" t="s">
        <v>34</v>
      </c>
      <c r="E789" t="s">
        <v>388</v>
      </c>
      <c r="F789"/>
      <c r="G789">
        <v>1</v>
      </c>
      <c r="H789">
        <v>1000</v>
      </c>
      <c r="J789" cm="1">
        <f t="array" ref="J789">_xlfn.SWITCH(B789,1,75,2,61,3,49,4,37,5,25,6,13,7,4,8,1)</f>
        <v>61</v>
      </c>
      <c r="K789" t="str" cm="1">
        <f t="array" ref="K789">IFERROR(_xlfn.SWITCH(L789,2,_xlfn.XLOOKUP(C789,[1]ModifierDes!$B:$B,[1]ModifierDes!$C:$C),3,_xlfn.XLOOKUP(C789,[1]StuntDes!$B:$B,[1]StuntDes!$C:$C)),"")</f>
        <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402</v>
      </c>
      <c r="D790" t="s">
        <v>34</v>
      </c>
      <c r="E790" t="s">
        <v>388</v>
      </c>
      <c r="F790"/>
      <c r="G790">
        <v>1</v>
      </c>
      <c r="H790">
        <v>1000</v>
      </c>
      <c r="J790" cm="1">
        <f t="array" ref="J790">_xlfn.SWITCH(B790,1,75,2,61,3,49,4,37,5,25,6,13,7,4,8,1)</f>
        <v>49</v>
      </c>
      <c r="K790" t="str" cm="1">
        <f t="array" ref="K790">IFERROR(_xlfn.SWITCH(L790,2,_xlfn.XLOOKUP(C790,[1]ModifierDes!$B:$B,[1]ModifierDes!$C:$C),3,_xlfn.XLOOKUP(C790,[1]StuntDes!$B:$B,[1]StuntDes!$C:$C)),"")</f>
        <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402</v>
      </c>
      <c r="D791" t="s">
        <v>34</v>
      </c>
      <c r="E791" t="s">
        <v>388</v>
      </c>
      <c r="F791"/>
      <c r="G791">
        <v>1</v>
      </c>
      <c r="H791">
        <v>1000</v>
      </c>
      <c r="J791" cm="1">
        <f t="array" ref="J791">_xlfn.SWITCH(B791,1,75,2,61,3,49,4,37,5,25,6,13,7,4,8,1)</f>
        <v>37</v>
      </c>
      <c r="K791" t="str" cm="1">
        <f t="array" ref="K791">IFERROR(_xlfn.SWITCH(L791,2,_xlfn.XLOOKUP(C791,[1]ModifierDes!$B:$B,[1]ModifierDes!$C:$C),3,_xlfn.XLOOKUP(C791,[1]StuntDes!$B:$B,[1]StuntDes!$C:$C)),"")</f>
        <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402</v>
      </c>
      <c r="D792" t="s">
        <v>34</v>
      </c>
      <c r="E792" t="s">
        <v>388</v>
      </c>
      <c r="F792"/>
      <c r="G792">
        <v>1</v>
      </c>
      <c r="H792">
        <v>1000</v>
      </c>
      <c r="J792" cm="1">
        <f t="array" ref="J792">_xlfn.SWITCH(B792,1,75,2,61,3,49,4,37,5,25,6,13,7,4,8,1)</f>
        <v>25</v>
      </c>
      <c r="K792" t="str" cm="1">
        <f t="array" ref="K792">IFERROR(_xlfn.SWITCH(L792,2,_xlfn.XLOOKUP(C792,[1]ModifierDes!$B:$B,[1]ModifierDes!$C:$C),3,_xlfn.XLOOKUP(C792,[1]StuntDes!$B:$B,[1]StuntDes!$C:$C)),"")</f>
        <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402</v>
      </c>
      <c r="D793" t="s">
        <v>34</v>
      </c>
      <c r="E793" t="s">
        <v>388</v>
      </c>
      <c r="F793"/>
      <c r="G793">
        <v>1</v>
      </c>
      <c r="H793">
        <v>1000</v>
      </c>
      <c r="J793" cm="1">
        <f t="array" ref="J793">_xlfn.SWITCH(B793,1,75,2,61,3,49,4,37,5,25,6,13,7,4,8,1)</f>
        <v>13</v>
      </c>
      <c r="K793" t="str" cm="1">
        <f t="array" ref="K793">IFERROR(_xlfn.SWITCH(L793,2,_xlfn.XLOOKUP(C793,[1]ModifierDes!$B:$B,[1]ModifierDes!$C:$C),3,_xlfn.XLOOKUP(C793,[1]StuntDes!$B:$B,[1]StuntDes!$C:$C)),"")</f>
        <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402</v>
      </c>
      <c r="D794" t="s">
        <v>34</v>
      </c>
      <c r="E794" t="s">
        <v>388</v>
      </c>
      <c r="F794"/>
      <c r="G794">
        <v>1</v>
      </c>
      <c r="H794">
        <v>1000</v>
      </c>
      <c r="J794" cm="1">
        <f t="array" ref="J794">_xlfn.SWITCH(B794,1,75,2,61,3,49,4,37,5,25,6,13,7,4,8,1)</f>
        <v>4</v>
      </c>
      <c r="K794" t="str" cm="1">
        <f t="array" ref="K794">IFERROR(_xlfn.SWITCH(L794,2,_xlfn.XLOOKUP(C794,[1]ModifierDes!$B:$B,[1]ModifierDes!$C:$C),3,_xlfn.XLOOKUP(C794,[1]StuntDes!$B:$B,[1]StuntDes!$C:$C)),"")</f>
        <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402</v>
      </c>
      <c r="D795" t="s">
        <v>34</v>
      </c>
      <c r="E795" t="s">
        <v>388</v>
      </c>
      <c r="F795"/>
      <c r="G795">
        <v>1</v>
      </c>
      <c r="H795">
        <v>1000</v>
      </c>
      <c r="J795" cm="1">
        <f t="array" ref="J795">_xlfn.SWITCH(B795,1,75,2,61,3,49,4,37,5,25,6,13,7,4,8,1)</f>
        <v>1</v>
      </c>
      <c r="K795" t="str" cm="1">
        <f t="array" ref="K795">IFERROR(_xlfn.SWITCH(L795,2,_xlfn.XLOOKUP(C795,[1]ModifierDes!$B:$B,[1]ModifierDes!$C:$C),3,_xlfn.XLOOKUP(C795,[1]StuntDes!$B:$B,[1]StuntDes!$C:$C)),"")</f>
        <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403</v>
      </c>
      <c r="D796" t="s">
        <v>34</v>
      </c>
      <c r="E796" t="s">
        <v>388</v>
      </c>
      <c r="F796"/>
      <c r="G796">
        <v>1</v>
      </c>
      <c r="H796">
        <v>1000</v>
      </c>
      <c r="J796" cm="1">
        <f t="array" ref="J796">_xlfn.SWITCH(B796,1,75,2,61,3,49,4,37,5,25,6,13,7,4,8,1)</f>
        <v>75</v>
      </c>
      <c r="K796" t="str" cm="1">
        <f t="array" ref="K796">IFERROR(_xlfn.SWITCH(L796,2,_xlfn.XLOOKUP(C796,[1]ModifierDes!$B:$B,[1]ModifierDes!$C:$C),3,_xlfn.XLOOKUP(C796,[1]StuntDes!$B:$B,[1]StuntDes!$C:$C)),"")</f>
        <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403</v>
      </c>
      <c r="D797" t="s">
        <v>34</v>
      </c>
      <c r="E797" t="s">
        <v>388</v>
      </c>
      <c r="F797"/>
      <c r="G797">
        <v>1</v>
      </c>
      <c r="H797">
        <v>1000</v>
      </c>
      <c r="J797" cm="1">
        <f t="array" ref="J797">_xlfn.SWITCH(B797,1,75,2,61,3,49,4,37,5,25,6,13,7,4,8,1)</f>
        <v>61</v>
      </c>
      <c r="K797" t="str" cm="1">
        <f t="array" ref="K797">IFERROR(_xlfn.SWITCH(L797,2,_xlfn.XLOOKUP(C797,[1]ModifierDes!$B:$B,[1]ModifierDes!$C:$C),3,_xlfn.XLOOKUP(C797,[1]StuntDes!$B:$B,[1]StuntDes!$C:$C)),"")</f>
        <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403</v>
      </c>
      <c r="D798" t="s">
        <v>34</v>
      </c>
      <c r="E798" t="s">
        <v>388</v>
      </c>
      <c r="F798"/>
      <c r="G798">
        <v>1</v>
      </c>
      <c r="H798">
        <v>1000</v>
      </c>
      <c r="J798" cm="1">
        <f t="array" ref="J798">_xlfn.SWITCH(B798,1,75,2,61,3,49,4,37,5,25,6,13,7,4,8,1)</f>
        <v>49</v>
      </c>
      <c r="K798" t="str" cm="1">
        <f t="array" ref="K798">IFERROR(_xlfn.SWITCH(L798,2,_xlfn.XLOOKUP(C798,[1]ModifierDes!$B:$B,[1]ModifierDes!$C:$C),3,_xlfn.XLOOKUP(C798,[1]StuntDes!$B:$B,[1]StuntDes!$C:$C)),"")</f>
        <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403</v>
      </c>
      <c r="D799" t="s">
        <v>34</v>
      </c>
      <c r="E799" t="s">
        <v>388</v>
      </c>
      <c r="F799"/>
      <c r="G799">
        <v>1</v>
      </c>
      <c r="H799">
        <v>1000</v>
      </c>
      <c r="J799" cm="1">
        <f t="array" ref="J799">_xlfn.SWITCH(B799,1,75,2,61,3,49,4,37,5,25,6,13,7,4,8,1)</f>
        <v>37</v>
      </c>
      <c r="K799" t="str" cm="1">
        <f t="array" ref="K799">IFERROR(_xlfn.SWITCH(L799,2,_xlfn.XLOOKUP(C799,[1]ModifierDes!$B:$B,[1]ModifierDes!$C:$C),3,_xlfn.XLOOKUP(C799,[1]StuntDes!$B:$B,[1]StuntDes!$C:$C)),"")</f>
        <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403</v>
      </c>
      <c r="D800" t="s">
        <v>34</v>
      </c>
      <c r="E800" t="s">
        <v>388</v>
      </c>
      <c r="F800"/>
      <c r="G800">
        <v>1</v>
      </c>
      <c r="H800">
        <v>1000</v>
      </c>
      <c r="J800" cm="1">
        <f t="array" ref="J800">_xlfn.SWITCH(B800,1,75,2,61,3,49,4,37,5,25,6,13,7,4,8,1)</f>
        <v>25</v>
      </c>
      <c r="K800" t="str" cm="1">
        <f t="array" ref="K800">IFERROR(_xlfn.SWITCH(L800,2,_xlfn.XLOOKUP(C800,[1]ModifierDes!$B:$B,[1]ModifierDes!$C:$C),3,_xlfn.XLOOKUP(C800,[1]StuntDes!$B:$B,[1]StuntDes!$C:$C)),"")</f>
        <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403</v>
      </c>
      <c r="D801" t="s">
        <v>34</v>
      </c>
      <c r="E801" t="s">
        <v>388</v>
      </c>
      <c r="F801"/>
      <c r="G801">
        <v>1</v>
      </c>
      <c r="H801">
        <v>1000</v>
      </c>
      <c r="J801" cm="1">
        <f t="array" ref="J801">_xlfn.SWITCH(B801,1,75,2,61,3,49,4,37,5,25,6,13,7,4,8,1)</f>
        <v>13</v>
      </c>
      <c r="K801" t="str" cm="1">
        <f t="array" ref="K801">IFERROR(_xlfn.SWITCH(L801,2,_xlfn.XLOOKUP(C801,[1]ModifierDes!$B:$B,[1]ModifierDes!$C:$C),3,_xlfn.XLOOKUP(C801,[1]StuntDes!$B:$B,[1]StuntDes!$C:$C)),"")</f>
        <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403</v>
      </c>
      <c r="D802" t="s">
        <v>34</v>
      </c>
      <c r="E802" t="s">
        <v>388</v>
      </c>
      <c r="F802"/>
      <c r="G802">
        <v>1</v>
      </c>
      <c r="H802">
        <v>1000</v>
      </c>
      <c r="J802" cm="1">
        <f t="array" ref="J802">_xlfn.SWITCH(B802,1,75,2,61,3,49,4,37,5,25,6,13,7,4,8,1)</f>
        <v>4</v>
      </c>
      <c r="K802" t="str" cm="1">
        <f t="array" ref="K802">IFERROR(_xlfn.SWITCH(L802,2,_xlfn.XLOOKUP(C802,[1]ModifierDes!$B:$B,[1]ModifierDes!$C:$C),3,_xlfn.XLOOKUP(C802,[1]StuntDes!$B:$B,[1]StuntDes!$C:$C)),"")</f>
        <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403</v>
      </c>
      <c r="D803" t="s">
        <v>34</v>
      </c>
      <c r="E803" t="s">
        <v>388</v>
      </c>
      <c r="F803"/>
      <c r="G803">
        <v>1</v>
      </c>
      <c r="H803">
        <v>1000</v>
      </c>
      <c r="J803" cm="1">
        <f t="array" ref="J803">_xlfn.SWITCH(B803,1,75,2,61,3,49,4,37,5,25,6,13,7,4,8,1)</f>
        <v>1</v>
      </c>
      <c r="K803" t="str" cm="1">
        <f t="array" ref="K803">IFERROR(_xlfn.SWITCH(L803,2,_xlfn.XLOOKUP(C803,[1]ModifierDes!$B:$B,[1]ModifierDes!$C:$C),3,_xlfn.XLOOKUP(C803,[1]StuntDes!$B:$B,[1]StuntDes!$C:$C)),"")</f>
        <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423</v>
      </c>
      <c r="D804" t="s">
        <v>34</v>
      </c>
      <c r="E804" t="s">
        <v>388</v>
      </c>
      <c r="G804">
        <v>1</v>
      </c>
      <c r="H804">
        <v>1000</v>
      </c>
      <c r="J804" cm="1">
        <f t="array" ref="J804">_xlfn.SWITCH(B804,1,75,2,61,3,49,4,37,5,25,6,13,7,4,8,1)</f>
        <v>75</v>
      </c>
      <c r="K804" t="str" cm="1">
        <f t="array" ref="K804">IFERROR(_xlfn.SWITCH(L804,2,_xlfn.XLOOKUP(C804,[1]ModifierDes!$B:$B,[1]ModifierDes!$C:$C),3,_xlfn.XLOOKUP(C804,[1]StuntDes!$B:$B,[1]StuntDes!$C:$C)),"")</f>
        <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423</v>
      </c>
      <c r="D805" t="s">
        <v>34</v>
      </c>
      <c r="E805" t="s">
        <v>388</v>
      </c>
      <c r="G805">
        <v>1</v>
      </c>
      <c r="H805">
        <v>1000</v>
      </c>
      <c r="J805" cm="1">
        <f t="array" ref="J805">_xlfn.SWITCH(B805,1,75,2,61,3,49,4,37,5,25,6,13,7,4,8,1)</f>
        <v>61</v>
      </c>
      <c r="K805" t="str" cm="1">
        <f t="array" ref="K805">IFERROR(_xlfn.SWITCH(L805,2,_xlfn.XLOOKUP(C805,[1]ModifierDes!$B:$B,[1]ModifierDes!$C:$C),3,_xlfn.XLOOKUP(C805,[1]StuntDes!$B:$B,[1]StuntDes!$C:$C)),"")</f>
        <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423</v>
      </c>
      <c r="D806" t="s">
        <v>34</v>
      </c>
      <c r="E806" t="s">
        <v>388</v>
      </c>
      <c r="G806">
        <v>1</v>
      </c>
      <c r="H806">
        <v>1000</v>
      </c>
      <c r="J806" cm="1">
        <f t="array" ref="J806">_xlfn.SWITCH(B806,1,75,2,61,3,49,4,37,5,25,6,13,7,4,8,1)</f>
        <v>49</v>
      </c>
      <c r="K806" t="str" cm="1">
        <f t="array" ref="K806">IFERROR(_xlfn.SWITCH(L806,2,_xlfn.XLOOKUP(C806,[1]ModifierDes!$B:$B,[1]ModifierDes!$C:$C),3,_xlfn.XLOOKUP(C806,[1]StuntDes!$B:$B,[1]StuntDes!$C:$C)),"")</f>
        <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423</v>
      </c>
      <c r="D807" t="s">
        <v>34</v>
      </c>
      <c r="E807" t="s">
        <v>388</v>
      </c>
      <c r="G807">
        <v>1</v>
      </c>
      <c r="H807">
        <v>1000</v>
      </c>
      <c r="J807" cm="1">
        <f t="array" ref="J807">_xlfn.SWITCH(B807,1,75,2,61,3,49,4,37,5,25,6,13,7,4,8,1)</f>
        <v>37</v>
      </c>
      <c r="K807" t="str" cm="1">
        <f t="array" ref="K807">IFERROR(_xlfn.SWITCH(L807,2,_xlfn.XLOOKUP(C807,[1]ModifierDes!$B:$B,[1]ModifierDes!$C:$C),3,_xlfn.XLOOKUP(C807,[1]StuntDes!$B:$B,[1]StuntDes!$C:$C)),"")</f>
        <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423</v>
      </c>
      <c r="D808" t="s">
        <v>34</v>
      </c>
      <c r="E808" t="s">
        <v>388</v>
      </c>
      <c r="G808">
        <v>1</v>
      </c>
      <c r="H808">
        <v>1000</v>
      </c>
      <c r="J808" cm="1">
        <f t="array" ref="J808">_xlfn.SWITCH(B808,1,75,2,61,3,49,4,37,5,25,6,13,7,4,8,1)</f>
        <v>25</v>
      </c>
      <c r="K808" t="str" cm="1">
        <f t="array" ref="K808">IFERROR(_xlfn.SWITCH(L808,2,_xlfn.XLOOKUP(C808,[1]ModifierDes!$B:$B,[1]ModifierDes!$C:$C),3,_xlfn.XLOOKUP(C808,[1]StuntDes!$B:$B,[1]StuntDes!$C:$C)),"")</f>
        <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423</v>
      </c>
      <c r="D809" t="s">
        <v>34</v>
      </c>
      <c r="E809" t="s">
        <v>388</v>
      </c>
      <c r="G809">
        <v>1</v>
      </c>
      <c r="H809">
        <v>1000</v>
      </c>
      <c r="J809" cm="1">
        <f t="array" ref="J809">_xlfn.SWITCH(B809,1,75,2,61,3,49,4,37,5,25,6,13,7,4,8,1)</f>
        <v>13</v>
      </c>
      <c r="K809" t="str" cm="1">
        <f t="array" ref="K809">IFERROR(_xlfn.SWITCH(L809,2,_xlfn.XLOOKUP(C809,[1]ModifierDes!$B:$B,[1]ModifierDes!$C:$C),3,_xlfn.XLOOKUP(C809,[1]StuntDes!$B:$B,[1]StuntDes!$C:$C)),"")</f>
        <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423</v>
      </c>
      <c r="D810" t="s">
        <v>34</v>
      </c>
      <c r="E810" t="s">
        <v>388</v>
      </c>
      <c r="G810">
        <v>1</v>
      </c>
      <c r="H810">
        <v>1000</v>
      </c>
      <c r="J810" cm="1">
        <f t="array" ref="J810">_xlfn.SWITCH(B810,1,75,2,61,3,49,4,37,5,25,6,13,7,4,8,1)</f>
        <v>4</v>
      </c>
      <c r="K810" t="str" cm="1">
        <f t="array" ref="K810">IFERROR(_xlfn.SWITCH(L810,2,_xlfn.XLOOKUP(C810,[1]ModifierDes!$B:$B,[1]ModifierDes!$C:$C),3,_xlfn.XLOOKUP(C810,[1]StuntDes!$B:$B,[1]StuntDes!$C:$C)),"")</f>
        <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423</v>
      </c>
      <c r="D811" t="s">
        <v>34</v>
      </c>
      <c r="E811" t="s">
        <v>388</v>
      </c>
      <c r="G811">
        <v>1</v>
      </c>
      <c r="H811">
        <v>1000</v>
      </c>
      <c r="J811" cm="1">
        <f t="array" ref="J811">_xlfn.SWITCH(B811,1,75,2,61,3,49,4,37,5,25,6,13,7,4,8,1)</f>
        <v>1</v>
      </c>
      <c r="K811" t="str" cm="1">
        <f t="array" ref="K811">IFERROR(_xlfn.SWITCH(L811,2,_xlfn.XLOOKUP(C811,[1]ModifierDes!$B:$B,[1]ModifierDes!$C:$C),3,_xlfn.XLOOKUP(C811,[1]StuntDes!$B:$B,[1]StuntDes!$C:$C)),"")</f>
        <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424</v>
      </c>
      <c r="D812" t="s">
        <v>34</v>
      </c>
      <c r="E812" t="s">
        <v>388</v>
      </c>
      <c r="G812">
        <v>1</v>
      </c>
      <c r="H812">
        <v>250</v>
      </c>
      <c r="J812" cm="1">
        <f t="array" ref="J812">_xlfn.SWITCH(B812,1,75,2,61,3,49,4,37,5,25,6,13,7,4,8,1)</f>
        <v>75</v>
      </c>
      <c r="K812" t="str" cm="1">
        <f t="array" ref="K812">IFERROR(_xlfn.SWITCH(L812,2,_xlfn.XLOOKUP(C812,[1]ModifierDes!$B:$B,[1]ModifierDes!$C:$C),3,_xlfn.XLOOKUP(C812,[1]StuntDes!$B:$B,[1]StuntDes!$C:$C)),"")</f>
        <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424</v>
      </c>
      <c r="D813" t="s">
        <v>34</v>
      </c>
      <c r="E813" t="s">
        <v>388</v>
      </c>
      <c r="G813">
        <v>1</v>
      </c>
      <c r="H813">
        <v>250</v>
      </c>
      <c r="J813" cm="1">
        <f t="array" ref="J813">_xlfn.SWITCH(B813,1,75,2,61,3,49,4,37,5,25,6,13,7,4,8,1)</f>
        <v>61</v>
      </c>
      <c r="K813" t="str" cm="1">
        <f t="array" ref="K813">IFERROR(_xlfn.SWITCH(L813,2,_xlfn.XLOOKUP(C813,[1]ModifierDes!$B:$B,[1]ModifierDes!$C:$C),3,_xlfn.XLOOKUP(C813,[1]StuntDes!$B:$B,[1]StuntDes!$C:$C)),"")</f>
        <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424</v>
      </c>
      <c r="D814" t="s">
        <v>34</v>
      </c>
      <c r="E814" t="s">
        <v>388</v>
      </c>
      <c r="G814">
        <v>1</v>
      </c>
      <c r="H814">
        <v>250</v>
      </c>
      <c r="J814" cm="1">
        <f t="array" ref="J814">_xlfn.SWITCH(B814,1,75,2,61,3,49,4,37,5,25,6,13,7,4,8,1)</f>
        <v>49</v>
      </c>
      <c r="K814" t="str" cm="1">
        <f t="array" ref="K814">IFERROR(_xlfn.SWITCH(L814,2,_xlfn.XLOOKUP(C814,[1]ModifierDes!$B:$B,[1]ModifierDes!$C:$C),3,_xlfn.XLOOKUP(C814,[1]StuntDes!$B:$B,[1]StuntDes!$C:$C)),"")</f>
        <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424</v>
      </c>
      <c r="D815" t="s">
        <v>34</v>
      </c>
      <c r="E815" t="s">
        <v>388</v>
      </c>
      <c r="G815">
        <v>1</v>
      </c>
      <c r="H815">
        <v>250</v>
      </c>
      <c r="J815" cm="1">
        <f t="array" ref="J815">_xlfn.SWITCH(B815,1,75,2,61,3,49,4,37,5,25,6,13,7,4,8,1)</f>
        <v>37</v>
      </c>
      <c r="K815" t="str" cm="1">
        <f t="array" ref="K815">IFERROR(_xlfn.SWITCH(L815,2,_xlfn.XLOOKUP(C815,[1]ModifierDes!$B:$B,[1]ModifierDes!$C:$C),3,_xlfn.XLOOKUP(C815,[1]StuntDes!$B:$B,[1]StuntDes!$C:$C)),"")</f>
        <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424</v>
      </c>
      <c r="D816" t="s">
        <v>34</v>
      </c>
      <c r="E816" t="s">
        <v>388</v>
      </c>
      <c r="G816">
        <v>1</v>
      </c>
      <c r="H816">
        <v>250</v>
      </c>
      <c r="J816" cm="1">
        <f t="array" ref="J816">_xlfn.SWITCH(B816,1,75,2,61,3,49,4,37,5,25,6,13,7,4,8,1)</f>
        <v>25</v>
      </c>
      <c r="K816" t="str" cm="1">
        <f t="array" ref="K816">IFERROR(_xlfn.SWITCH(L816,2,_xlfn.XLOOKUP(C816,[1]ModifierDes!$B:$B,[1]ModifierDes!$C:$C),3,_xlfn.XLOOKUP(C816,[1]StuntDes!$B:$B,[1]StuntDes!$C:$C)),"")</f>
        <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424</v>
      </c>
      <c r="D817" t="s">
        <v>34</v>
      </c>
      <c r="E817" t="s">
        <v>388</v>
      </c>
      <c r="G817">
        <v>1</v>
      </c>
      <c r="H817">
        <v>250</v>
      </c>
      <c r="J817" cm="1">
        <f t="array" ref="J817">_xlfn.SWITCH(B817,1,75,2,61,3,49,4,37,5,25,6,13,7,4,8,1)</f>
        <v>13</v>
      </c>
      <c r="K817" t="str" cm="1">
        <f t="array" ref="K817">IFERROR(_xlfn.SWITCH(L817,2,_xlfn.XLOOKUP(C817,[1]ModifierDes!$B:$B,[1]ModifierDes!$C:$C),3,_xlfn.XLOOKUP(C817,[1]StuntDes!$B:$B,[1]StuntDes!$C:$C)),"")</f>
        <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424</v>
      </c>
      <c r="D818" t="s">
        <v>34</v>
      </c>
      <c r="E818" t="s">
        <v>388</v>
      </c>
      <c r="G818">
        <v>1</v>
      </c>
      <c r="H818">
        <v>250</v>
      </c>
      <c r="J818" cm="1">
        <f t="array" ref="J818">_xlfn.SWITCH(B818,1,75,2,61,3,49,4,37,5,25,6,13,7,4,8,1)</f>
        <v>4</v>
      </c>
      <c r="K818" t="str" cm="1">
        <f t="array" ref="K818">IFERROR(_xlfn.SWITCH(L818,2,_xlfn.XLOOKUP(C818,[1]ModifierDes!$B:$B,[1]ModifierDes!$C:$C),3,_xlfn.XLOOKUP(C818,[1]StuntDes!$B:$B,[1]StuntDes!$C:$C)),"")</f>
        <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424</v>
      </c>
      <c r="D819" t="s">
        <v>34</v>
      </c>
      <c r="E819" t="s">
        <v>388</v>
      </c>
      <c r="G819">
        <v>1</v>
      </c>
      <c r="H819">
        <v>250</v>
      </c>
      <c r="J819" cm="1">
        <f t="array" ref="J819">_xlfn.SWITCH(B819,1,75,2,61,3,49,4,37,5,25,6,13,7,4,8,1)</f>
        <v>1</v>
      </c>
      <c r="K819" t="str" cm="1">
        <f t="array" ref="K819">IFERROR(_xlfn.SWITCH(L819,2,_xlfn.XLOOKUP(C819,[1]ModifierDes!$B:$B,[1]ModifierDes!$C:$C),3,_xlfn.XLOOKUP(C819,[1]StuntDes!$B:$B,[1]StuntDes!$C:$C)),"")</f>
        <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425</v>
      </c>
      <c r="D820" t="s">
        <v>34</v>
      </c>
      <c r="E820" t="s">
        <v>388</v>
      </c>
      <c r="G820">
        <v>1</v>
      </c>
      <c r="H820">
        <v>250</v>
      </c>
      <c r="J820" cm="1">
        <f t="array" ref="J820">_xlfn.SWITCH(B820,1,75,2,61,3,49,4,37,5,25,6,13,7,4,8,1)</f>
        <v>75</v>
      </c>
      <c r="K820" t="str" cm="1">
        <f t="array" ref="K820">IFERROR(_xlfn.SWITCH(L820,2,_xlfn.XLOOKUP(C820,[1]ModifierDes!$B:$B,[1]ModifierDes!$C:$C),3,_xlfn.XLOOKUP(C820,[1]StuntDes!$B:$B,[1]StuntDes!$C:$C)),"")</f>
        <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425</v>
      </c>
      <c r="D821" t="s">
        <v>34</v>
      </c>
      <c r="E821" t="s">
        <v>388</v>
      </c>
      <c r="G821">
        <v>1</v>
      </c>
      <c r="H821">
        <v>250</v>
      </c>
      <c r="J821" cm="1">
        <f t="array" ref="J821">_xlfn.SWITCH(B821,1,75,2,61,3,49,4,37,5,25,6,13,7,4,8,1)</f>
        <v>61</v>
      </c>
      <c r="K821" t="str" cm="1">
        <f t="array" ref="K821">IFERROR(_xlfn.SWITCH(L821,2,_xlfn.XLOOKUP(C821,[1]ModifierDes!$B:$B,[1]ModifierDes!$C:$C),3,_xlfn.XLOOKUP(C821,[1]StuntDes!$B:$B,[1]StuntDes!$C:$C)),"")</f>
        <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425</v>
      </c>
      <c r="D822" t="s">
        <v>34</v>
      </c>
      <c r="E822" t="s">
        <v>388</v>
      </c>
      <c r="G822">
        <v>1</v>
      </c>
      <c r="H822">
        <v>250</v>
      </c>
      <c r="J822" cm="1">
        <f t="array" ref="J822">_xlfn.SWITCH(B822,1,75,2,61,3,49,4,37,5,25,6,13,7,4,8,1)</f>
        <v>49</v>
      </c>
      <c r="K822" t="str" cm="1">
        <f t="array" ref="K822">IFERROR(_xlfn.SWITCH(L822,2,_xlfn.XLOOKUP(C822,[1]ModifierDes!$B:$B,[1]ModifierDes!$C:$C),3,_xlfn.XLOOKUP(C822,[1]StuntDes!$B:$B,[1]StuntDes!$C:$C)),"")</f>
        <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425</v>
      </c>
      <c r="D823" t="s">
        <v>34</v>
      </c>
      <c r="E823" t="s">
        <v>388</v>
      </c>
      <c r="G823">
        <v>1</v>
      </c>
      <c r="H823">
        <v>250</v>
      </c>
      <c r="J823" cm="1">
        <f t="array" ref="J823">_xlfn.SWITCH(B823,1,75,2,61,3,49,4,37,5,25,6,13,7,4,8,1)</f>
        <v>37</v>
      </c>
      <c r="K823" t="str" cm="1">
        <f t="array" ref="K823">IFERROR(_xlfn.SWITCH(L823,2,_xlfn.XLOOKUP(C823,[1]ModifierDes!$B:$B,[1]ModifierDes!$C:$C),3,_xlfn.XLOOKUP(C823,[1]StuntDes!$B:$B,[1]StuntDes!$C:$C)),"")</f>
        <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425</v>
      </c>
      <c r="D824" t="s">
        <v>34</v>
      </c>
      <c r="E824" t="s">
        <v>388</v>
      </c>
      <c r="G824">
        <v>1</v>
      </c>
      <c r="H824">
        <v>250</v>
      </c>
      <c r="J824" cm="1">
        <f t="array" ref="J824">_xlfn.SWITCH(B824,1,75,2,61,3,49,4,37,5,25,6,13,7,4,8,1)</f>
        <v>25</v>
      </c>
      <c r="K824" t="str" cm="1">
        <f t="array" ref="K824">IFERROR(_xlfn.SWITCH(L824,2,_xlfn.XLOOKUP(C824,[1]ModifierDes!$B:$B,[1]ModifierDes!$C:$C),3,_xlfn.XLOOKUP(C824,[1]StuntDes!$B:$B,[1]StuntDes!$C:$C)),"")</f>
        <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425</v>
      </c>
      <c r="D825" t="s">
        <v>34</v>
      </c>
      <c r="E825" t="s">
        <v>388</v>
      </c>
      <c r="G825">
        <v>1</v>
      </c>
      <c r="H825">
        <v>250</v>
      </c>
      <c r="J825" cm="1">
        <f t="array" ref="J825">_xlfn.SWITCH(B825,1,75,2,61,3,49,4,37,5,25,6,13,7,4,8,1)</f>
        <v>13</v>
      </c>
      <c r="K825" t="str" cm="1">
        <f t="array" ref="K825">IFERROR(_xlfn.SWITCH(L825,2,_xlfn.XLOOKUP(C825,[1]ModifierDes!$B:$B,[1]ModifierDes!$C:$C),3,_xlfn.XLOOKUP(C825,[1]StuntDes!$B:$B,[1]StuntDes!$C:$C)),"")</f>
        <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425</v>
      </c>
      <c r="D826" t="s">
        <v>34</v>
      </c>
      <c r="E826" t="s">
        <v>388</v>
      </c>
      <c r="G826">
        <v>1</v>
      </c>
      <c r="H826">
        <v>250</v>
      </c>
      <c r="J826" cm="1">
        <f t="array" ref="J826">_xlfn.SWITCH(B826,1,75,2,61,3,49,4,37,5,25,6,13,7,4,8,1)</f>
        <v>4</v>
      </c>
      <c r="K826" t="str" cm="1">
        <f t="array" ref="K826">IFERROR(_xlfn.SWITCH(L826,2,_xlfn.XLOOKUP(C826,[1]ModifierDes!$B:$B,[1]ModifierDes!$C:$C),3,_xlfn.XLOOKUP(C826,[1]StuntDes!$B:$B,[1]StuntDes!$C:$C)),"")</f>
        <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425</v>
      </c>
      <c r="D827" t="s">
        <v>34</v>
      </c>
      <c r="E827" t="s">
        <v>388</v>
      </c>
      <c r="G827">
        <v>1</v>
      </c>
      <c r="H827">
        <v>250</v>
      </c>
      <c r="J827" cm="1">
        <f t="array" ref="J827">_xlfn.SWITCH(B827,1,75,2,61,3,49,4,37,5,25,6,13,7,4,8,1)</f>
        <v>1</v>
      </c>
      <c r="K827" t="str" cm="1">
        <f t="array" ref="K827">IFERROR(_xlfn.SWITCH(L827,2,_xlfn.XLOOKUP(C827,[1]ModifierDes!$B:$B,[1]ModifierDes!$C:$C),3,_xlfn.XLOOKUP(C827,[1]StuntDes!$B:$B,[1]StuntDes!$C:$C)),"")</f>
        <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96</v>
      </c>
      <c r="D828" t="s">
        <v>34</v>
      </c>
      <c r="E828" t="s">
        <v>388</v>
      </c>
      <c r="F828"/>
      <c r="G828">
        <v>1</v>
      </c>
      <c r="H828">
        <v>1000</v>
      </c>
      <c r="J828" cm="1">
        <f t="array" ref="J828">_xlfn.SWITCH(B828,1,75,2,61,3,49,4,37,5,25,6,13,7,4,8,1)</f>
        <v>75</v>
      </c>
      <c r="K828" t="str" cm="1">
        <f t="array" ref="K828">IFERROR(_xlfn.SWITCH(L828,2,_xlfn.XLOOKUP(C828,[1]ModifierDes!$B:$B,[1]ModifierDes!$C:$C),3,_xlfn.XLOOKUP(C828,[1]StuntDes!$B:$B,[1]StuntDes!$C:$C)),"")</f>
        <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96</v>
      </c>
      <c r="D829" t="s">
        <v>34</v>
      </c>
      <c r="E829" t="s">
        <v>388</v>
      </c>
      <c r="F829"/>
      <c r="G829">
        <v>1</v>
      </c>
      <c r="H829">
        <v>1000</v>
      </c>
      <c r="J829" cm="1">
        <f t="array" ref="J829">_xlfn.SWITCH(B829,1,75,2,61,3,49,4,37,5,25,6,13,7,4,8,1)</f>
        <v>61</v>
      </c>
      <c r="K829" t="str" cm="1">
        <f t="array" ref="K829">IFERROR(_xlfn.SWITCH(L829,2,_xlfn.XLOOKUP(C829,[1]ModifierDes!$B:$B,[1]ModifierDes!$C:$C),3,_xlfn.XLOOKUP(C829,[1]StuntDes!$B:$B,[1]StuntDes!$C:$C)),"")</f>
        <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96</v>
      </c>
      <c r="D830" t="s">
        <v>34</v>
      </c>
      <c r="E830" t="s">
        <v>388</v>
      </c>
      <c r="F830"/>
      <c r="G830">
        <v>1</v>
      </c>
      <c r="H830">
        <v>1000</v>
      </c>
      <c r="J830" cm="1">
        <f t="array" ref="J830">_xlfn.SWITCH(B830,1,75,2,61,3,49,4,37,5,25,6,13,7,4,8,1)</f>
        <v>49</v>
      </c>
      <c r="K830" t="str" cm="1">
        <f t="array" ref="K830">IFERROR(_xlfn.SWITCH(L830,2,_xlfn.XLOOKUP(C830,[1]ModifierDes!$B:$B,[1]ModifierDes!$C:$C),3,_xlfn.XLOOKUP(C830,[1]StuntDes!$B:$B,[1]StuntDes!$C:$C)),"")</f>
        <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96</v>
      </c>
      <c r="D831" t="s">
        <v>34</v>
      </c>
      <c r="E831" t="s">
        <v>388</v>
      </c>
      <c r="F831"/>
      <c r="G831">
        <v>1</v>
      </c>
      <c r="H831">
        <v>1000</v>
      </c>
      <c r="J831" cm="1">
        <f t="array" ref="J831">_xlfn.SWITCH(B831,1,75,2,61,3,49,4,37,5,25,6,13,7,4,8,1)</f>
        <v>37</v>
      </c>
      <c r="K831" t="str" cm="1">
        <f t="array" ref="K831">IFERROR(_xlfn.SWITCH(L831,2,_xlfn.XLOOKUP(C831,[1]ModifierDes!$B:$B,[1]ModifierDes!$C:$C),3,_xlfn.XLOOKUP(C831,[1]StuntDes!$B:$B,[1]StuntDes!$C:$C)),"")</f>
        <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96</v>
      </c>
      <c r="D832" t="s">
        <v>34</v>
      </c>
      <c r="E832" t="s">
        <v>388</v>
      </c>
      <c r="F832"/>
      <c r="G832">
        <v>1</v>
      </c>
      <c r="H832">
        <v>1000</v>
      </c>
      <c r="J832" cm="1">
        <f t="array" ref="J832">_xlfn.SWITCH(B832,1,75,2,61,3,49,4,37,5,25,6,13,7,4,8,1)</f>
        <v>25</v>
      </c>
      <c r="K832" t="str" cm="1">
        <f t="array" ref="K832">IFERROR(_xlfn.SWITCH(L832,2,_xlfn.XLOOKUP(C832,[1]ModifierDes!$B:$B,[1]ModifierDes!$C:$C),3,_xlfn.XLOOKUP(C832,[1]StuntDes!$B:$B,[1]StuntDes!$C:$C)),"")</f>
        <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96</v>
      </c>
      <c r="D833" t="s">
        <v>34</v>
      </c>
      <c r="E833" t="s">
        <v>388</v>
      </c>
      <c r="F833"/>
      <c r="G833">
        <v>1</v>
      </c>
      <c r="H833">
        <v>1000</v>
      </c>
      <c r="J833" cm="1">
        <f t="array" ref="J833">_xlfn.SWITCH(B833,1,75,2,61,3,49,4,37,5,25,6,13,7,4,8,1)</f>
        <v>13</v>
      </c>
      <c r="K833" t="str" cm="1">
        <f t="array" ref="K833">IFERROR(_xlfn.SWITCH(L833,2,_xlfn.XLOOKUP(C833,[1]ModifierDes!$B:$B,[1]ModifierDes!$C:$C),3,_xlfn.XLOOKUP(C833,[1]StuntDes!$B:$B,[1]StuntDes!$C:$C)),"")</f>
        <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96</v>
      </c>
      <c r="D834" t="s">
        <v>34</v>
      </c>
      <c r="E834" t="s">
        <v>388</v>
      </c>
      <c r="F834"/>
      <c r="G834">
        <v>1</v>
      </c>
      <c r="H834">
        <v>1000</v>
      </c>
      <c r="J834" cm="1">
        <f t="array" ref="J834">_xlfn.SWITCH(B834,1,75,2,61,3,49,4,37,5,25,6,13,7,4,8,1)</f>
        <v>4</v>
      </c>
      <c r="K834" t="str" cm="1">
        <f t="array" ref="K834">IFERROR(_xlfn.SWITCH(L834,2,_xlfn.XLOOKUP(C834,[1]ModifierDes!$B:$B,[1]ModifierDes!$C:$C),3,_xlfn.XLOOKUP(C834,[1]StuntDes!$B:$B,[1]StuntDes!$C:$C)),"")</f>
        <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96</v>
      </c>
      <c r="D835" t="s">
        <v>34</v>
      </c>
      <c r="E835" t="s">
        <v>388</v>
      </c>
      <c r="F835"/>
      <c r="G835">
        <v>1</v>
      </c>
      <c r="H835">
        <v>1000</v>
      </c>
      <c r="J835" cm="1">
        <f t="array" ref="J835">_xlfn.SWITCH(B835,1,75,2,61,3,49,4,37,5,25,6,13,7,4,8,1)</f>
        <v>1</v>
      </c>
      <c r="K835" t="str" cm="1">
        <f t="array" ref="K835">IFERROR(_xlfn.SWITCH(L835,2,_xlfn.XLOOKUP(C835,[1]ModifierDes!$B:$B,[1]ModifierDes!$C:$C),3,_xlfn.XLOOKUP(C835,[1]StuntDes!$B:$B,[1]StuntDes!$C:$C)),"")</f>
        <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442</v>
      </c>
      <c r="D836" t="s">
        <v>34</v>
      </c>
      <c r="E836" t="s">
        <v>388</v>
      </c>
      <c r="F836"/>
      <c r="G836">
        <v>1</v>
      </c>
      <c r="H836">
        <v>1000</v>
      </c>
      <c r="I836"/>
      <c r="J836" cm="1">
        <f t="array" ref="J836">_xlfn.SWITCH(B836,1,75,2,61,3,49,4,37,5,25,6,13,7,4,8,1)</f>
        <v>75</v>
      </c>
      <c r="K836" t="str" cm="1">
        <f t="array" ref="K836">IFERROR(_xlfn.SWITCH(L836,2,_xlfn.XLOOKUP(C836,[1]ModifierDes!$B:$B,[1]ModifierDes!$C:$C),3,_xlfn.XLOOKUP(C836,[1]StuntDes!$B:$B,[1]StuntDes!$C:$C)),"")</f>
        <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442</v>
      </c>
      <c r="D837" t="s">
        <v>34</v>
      </c>
      <c r="E837" t="s">
        <v>388</v>
      </c>
      <c r="F837"/>
      <c r="G837">
        <v>1</v>
      </c>
      <c r="H837">
        <v>1000</v>
      </c>
      <c r="I837"/>
      <c r="J837" cm="1">
        <f t="array" ref="J837">_xlfn.SWITCH(B837,1,75,2,61,3,49,4,37,5,25,6,13,7,4,8,1)</f>
        <v>61</v>
      </c>
      <c r="K837" t="str" cm="1">
        <f t="array" ref="K837">IFERROR(_xlfn.SWITCH(L837,2,_xlfn.XLOOKUP(C837,[1]ModifierDes!$B:$B,[1]ModifierDes!$C:$C),3,_xlfn.XLOOKUP(C837,[1]StuntDes!$B:$B,[1]StuntDes!$C:$C)),"")</f>
        <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442</v>
      </c>
      <c r="D838" t="s">
        <v>34</v>
      </c>
      <c r="E838" t="s">
        <v>388</v>
      </c>
      <c r="F838"/>
      <c r="G838">
        <v>1</v>
      </c>
      <c r="H838">
        <v>1000</v>
      </c>
      <c r="I838"/>
      <c r="J838" cm="1">
        <f t="array" ref="J838">_xlfn.SWITCH(B838,1,75,2,61,3,49,4,37,5,25,6,13,7,4,8,1)</f>
        <v>49</v>
      </c>
      <c r="K838" t="str" cm="1">
        <f t="array" ref="K838">IFERROR(_xlfn.SWITCH(L838,2,_xlfn.XLOOKUP(C838,[1]ModifierDes!$B:$B,[1]ModifierDes!$C:$C),3,_xlfn.XLOOKUP(C838,[1]StuntDes!$B:$B,[1]StuntDes!$C:$C)),"")</f>
        <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442</v>
      </c>
      <c r="D839" t="s">
        <v>34</v>
      </c>
      <c r="E839" t="s">
        <v>388</v>
      </c>
      <c r="F839"/>
      <c r="G839">
        <v>1</v>
      </c>
      <c r="H839">
        <v>1000</v>
      </c>
      <c r="I839"/>
      <c r="J839" cm="1">
        <f t="array" ref="J839">_xlfn.SWITCH(B839,1,75,2,61,3,49,4,37,5,25,6,13,7,4,8,1)</f>
        <v>37</v>
      </c>
      <c r="K839" t="str" cm="1">
        <f t="array" ref="K839">IFERROR(_xlfn.SWITCH(L839,2,_xlfn.XLOOKUP(C839,[1]ModifierDes!$B:$B,[1]ModifierDes!$C:$C),3,_xlfn.XLOOKUP(C839,[1]StuntDes!$B:$B,[1]StuntDes!$C:$C)),"")</f>
        <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442</v>
      </c>
      <c r="D840" t="s">
        <v>34</v>
      </c>
      <c r="E840" t="s">
        <v>388</v>
      </c>
      <c r="F840"/>
      <c r="G840">
        <v>1</v>
      </c>
      <c r="H840">
        <v>1000</v>
      </c>
      <c r="I840"/>
      <c r="J840" cm="1">
        <f t="array" ref="J840">_xlfn.SWITCH(B840,1,75,2,61,3,49,4,37,5,25,6,13,7,4,8,1)</f>
        <v>25</v>
      </c>
      <c r="K840" t="str" cm="1">
        <f t="array" ref="K840">IFERROR(_xlfn.SWITCH(L840,2,_xlfn.XLOOKUP(C840,[1]ModifierDes!$B:$B,[1]ModifierDes!$C:$C),3,_xlfn.XLOOKUP(C840,[1]StuntDes!$B:$B,[1]StuntDes!$C:$C)),"")</f>
        <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442</v>
      </c>
      <c r="D841" t="s">
        <v>34</v>
      </c>
      <c r="E841" t="s">
        <v>388</v>
      </c>
      <c r="F841"/>
      <c r="G841">
        <v>1</v>
      </c>
      <c r="H841">
        <v>1000</v>
      </c>
      <c r="I841"/>
      <c r="J841" cm="1">
        <f t="array" ref="J841">_xlfn.SWITCH(B841,1,75,2,61,3,49,4,37,5,25,6,13,7,4,8,1)</f>
        <v>13</v>
      </c>
      <c r="K841" t="str" cm="1">
        <f t="array" ref="K841">IFERROR(_xlfn.SWITCH(L841,2,_xlfn.XLOOKUP(C841,[1]ModifierDes!$B:$B,[1]ModifierDes!$C:$C),3,_xlfn.XLOOKUP(C841,[1]StuntDes!$B:$B,[1]StuntDes!$C:$C)),"")</f>
        <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442</v>
      </c>
      <c r="D842" t="s">
        <v>34</v>
      </c>
      <c r="E842" t="s">
        <v>388</v>
      </c>
      <c r="F842"/>
      <c r="G842">
        <v>1</v>
      </c>
      <c r="H842">
        <v>1000</v>
      </c>
      <c r="I842"/>
      <c r="J842" cm="1">
        <f t="array" ref="J842">_xlfn.SWITCH(B842,1,75,2,61,3,49,4,37,5,25,6,13,7,4,8,1)</f>
        <v>4</v>
      </c>
      <c r="K842" t="str" cm="1">
        <f t="array" ref="K842">IFERROR(_xlfn.SWITCH(L842,2,_xlfn.XLOOKUP(C842,[1]ModifierDes!$B:$B,[1]ModifierDes!$C:$C),3,_xlfn.XLOOKUP(C842,[1]StuntDes!$B:$B,[1]StuntDes!$C:$C)),"")</f>
        <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442</v>
      </c>
      <c r="D843" t="s">
        <v>34</v>
      </c>
      <c r="E843" t="s">
        <v>388</v>
      </c>
      <c r="F843"/>
      <c r="G843">
        <v>1</v>
      </c>
      <c r="H843">
        <v>1000</v>
      </c>
      <c r="I843"/>
      <c r="J843" cm="1">
        <f t="array" ref="J843">_xlfn.SWITCH(B843,1,75,2,61,3,49,4,37,5,25,6,13,7,4,8,1)</f>
        <v>1</v>
      </c>
      <c r="K843" t="str" cm="1">
        <f t="array" ref="K843">IFERROR(_xlfn.SWITCH(L843,2,_xlfn.XLOOKUP(C843,[1]ModifierDes!$B:$B,[1]ModifierDes!$C:$C),3,_xlfn.XLOOKUP(C843,[1]StuntDes!$B:$B,[1]StuntDes!$C:$C)),"")</f>
        <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432</v>
      </c>
      <c r="D844" t="s">
        <v>34</v>
      </c>
      <c r="E844" t="s">
        <v>405</v>
      </c>
      <c r="F844"/>
      <c r="G844">
        <v>2</v>
      </c>
      <c r="H844">
        <v>1000</v>
      </c>
      <c r="J844" cm="1">
        <f t="array" ref="J844">_xlfn.SWITCH(B844,1,75,2,61,3,49,4,37,5,25,6,13,7,4,8,1)</f>
        <v>75</v>
      </c>
      <c r="K844" t="str" cm="1">
        <f t="array" ref="K844">IFERROR(_xlfn.SWITCH(L844,2,_xlfn.XLOOKUP(C844,[1]ModifierDes!$B:$B,[1]ModifierDes!$C:$C),3,_xlfn.XLOOKUP(C844,[1]StuntDes!$B:$B,[1]StuntDes!$C:$C)),"")</f>
        <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432</v>
      </c>
      <c r="D845" t="s">
        <v>34</v>
      </c>
      <c r="E845" t="s">
        <v>405</v>
      </c>
      <c r="F845"/>
      <c r="G845">
        <v>2</v>
      </c>
      <c r="H845">
        <v>1000</v>
      </c>
      <c r="J845" cm="1">
        <f t="array" ref="J845">_xlfn.SWITCH(B845,1,75,2,61,3,49,4,37,5,25,6,13,7,4,8,1)</f>
        <v>61</v>
      </c>
      <c r="K845" t="str" cm="1">
        <f t="array" ref="K845">IFERROR(_xlfn.SWITCH(L845,2,_xlfn.XLOOKUP(C845,[1]ModifierDes!$B:$B,[1]ModifierDes!$C:$C),3,_xlfn.XLOOKUP(C845,[1]StuntDes!$B:$B,[1]StuntDes!$C:$C)),"")</f>
        <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432</v>
      </c>
      <c r="D846" t="s">
        <v>34</v>
      </c>
      <c r="E846" t="s">
        <v>405</v>
      </c>
      <c r="F846"/>
      <c r="G846">
        <v>2</v>
      </c>
      <c r="H846">
        <v>1000</v>
      </c>
      <c r="J846" cm="1">
        <f t="array" ref="J846">_xlfn.SWITCH(B846,1,75,2,61,3,49,4,37,5,25,6,13,7,4,8,1)</f>
        <v>49</v>
      </c>
      <c r="K846" t="str" cm="1">
        <f t="array" ref="K846">IFERROR(_xlfn.SWITCH(L846,2,_xlfn.XLOOKUP(C846,[1]ModifierDes!$B:$B,[1]ModifierDes!$C:$C),3,_xlfn.XLOOKUP(C846,[1]StuntDes!$B:$B,[1]StuntDes!$C:$C)),"")</f>
        <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432</v>
      </c>
      <c r="D847" t="s">
        <v>34</v>
      </c>
      <c r="E847" t="s">
        <v>405</v>
      </c>
      <c r="F847"/>
      <c r="G847">
        <v>2</v>
      </c>
      <c r="H847">
        <v>1000</v>
      </c>
      <c r="J847" cm="1">
        <f t="array" ref="J847">_xlfn.SWITCH(B847,1,75,2,61,3,49,4,37,5,25,6,13,7,4,8,1)</f>
        <v>37</v>
      </c>
      <c r="K847" t="str" cm="1">
        <f t="array" ref="K847">IFERROR(_xlfn.SWITCH(L847,2,_xlfn.XLOOKUP(C847,[1]ModifierDes!$B:$B,[1]ModifierDes!$C:$C),3,_xlfn.XLOOKUP(C847,[1]StuntDes!$B:$B,[1]StuntDes!$C:$C)),"")</f>
        <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432</v>
      </c>
      <c r="D848" t="s">
        <v>34</v>
      </c>
      <c r="E848" t="s">
        <v>405</v>
      </c>
      <c r="F848"/>
      <c r="G848">
        <v>2</v>
      </c>
      <c r="H848">
        <v>1000</v>
      </c>
      <c r="J848" cm="1">
        <f t="array" ref="J848">_xlfn.SWITCH(B848,1,75,2,61,3,49,4,37,5,25,6,13,7,4,8,1)</f>
        <v>25</v>
      </c>
      <c r="K848" t="str" cm="1">
        <f t="array" ref="K848">IFERROR(_xlfn.SWITCH(L848,2,_xlfn.XLOOKUP(C848,[1]ModifierDes!$B:$B,[1]ModifierDes!$C:$C),3,_xlfn.XLOOKUP(C848,[1]StuntDes!$B:$B,[1]StuntDes!$C:$C)),"")</f>
        <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432</v>
      </c>
      <c r="D849" t="s">
        <v>34</v>
      </c>
      <c r="E849" t="s">
        <v>405</v>
      </c>
      <c r="F849"/>
      <c r="G849">
        <v>2</v>
      </c>
      <c r="H849">
        <v>1000</v>
      </c>
      <c r="J849" cm="1">
        <f t="array" ref="J849">_xlfn.SWITCH(B849,1,75,2,61,3,49,4,37,5,25,6,13,7,4,8,1)</f>
        <v>13</v>
      </c>
      <c r="K849" t="str" cm="1">
        <f t="array" ref="K849">IFERROR(_xlfn.SWITCH(L849,2,_xlfn.XLOOKUP(C849,[1]ModifierDes!$B:$B,[1]ModifierDes!$C:$C),3,_xlfn.XLOOKUP(C849,[1]StuntDes!$B:$B,[1]StuntDes!$C:$C)),"")</f>
        <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432</v>
      </c>
      <c r="D850" t="s">
        <v>34</v>
      </c>
      <c r="E850" t="s">
        <v>405</v>
      </c>
      <c r="F850"/>
      <c r="G850">
        <v>2</v>
      </c>
      <c r="H850">
        <v>1000</v>
      </c>
      <c r="J850" cm="1">
        <f t="array" ref="J850">_xlfn.SWITCH(B850,1,75,2,61,3,49,4,37,5,25,6,13,7,4,8,1)</f>
        <v>4</v>
      </c>
      <c r="K850" t="str" cm="1">
        <f t="array" ref="K850">IFERROR(_xlfn.SWITCH(L850,2,_xlfn.XLOOKUP(C850,[1]ModifierDes!$B:$B,[1]ModifierDes!$C:$C),3,_xlfn.XLOOKUP(C850,[1]StuntDes!$B:$B,[1]StuntDes!$C:$C)),"")</f>
        <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432</v>
      </c>
      <c r="D851" t="s">
        <v>34</v>
      </c>
      <c r="E851" t="s">
        <v>405</v>
      </c>
      <c r="F851"/>
      <c r="G851">
        <v>2</v>
      </c>
      <c r="H851">
        <v>1000</v>
      </c>
      <c r="J851" cm="1">
        <f t="array" ref="J851">_xlfn.SWITCH(B851,1,75,2,61,3,49,4,37,5,25,6,13,7,4,8,1)</f>
        <v>1</v>
      </c>
      <c r="K851" t="str" cm="1">
        <f t="array" ref="K851">IFERROR(_xlfn.SWITCH(L851,2,_xlfn.XLOOKUP(C851,[1]ModifierDes!$B:$B,[1]ModifierDes!$C:$C),3,_xlfn.XLOOKUP(C851,[1]StuntDes!$B:$B,[1]StuntDes!$C:$C)),"")</f>
        <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433</v>
      </c>
      <c r="D852" t="s">
        <v>34</v>
      </c>
      <c r="E852" t="s">
        <v>405</v>
      </c>
      <c r="F852"/>
      <c r="G852">
        <v>2</v>
      </c>
      <c r="H852">
        <v>1000</v>
      </c>
      <c r="J852" cm="1">
        <f t="array" ref="J852">_xlfn.SWITCH(B852,1,75,2,61,3,49,4,37,5,25,6,13,7,4,8,1)</f>
        <v>75</v>
      </c>
      <c r="K852" t="str" cm="1">
        <f t="array" ref="K852">IFERROR(_xlfn.SWITCH(L852,2,_xlfn.XLOOKUP(C852,[1]ModifierDes!$B:$B,[1]ModifierDes!$C:$C),3,_xlfn.XLOOKUP(C852,[1]StuntDes!$B:$B,[1]StuntDes!$C:$C)),"")</f>
        <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433</v>
      </c>
      <c r="D853" t="s">
        <v>34</v>
      </c>
      <c r="E853" t="s">
        <v>405</v>
      </c>
      <c r="F853"/>
      <c r="G853">
        <v>2</v>
      </c>
      <c r="H853">
        <v>1000</v>
      </c>
      <c r="J853" cm="1">
        <f t="array" ref="J853">_xlfn.SWITCH(B853,1,75,2,61,3,49,4,37,5,25,6,13,7,4,8,1)</f>
        <v>61</v>
      </c>
      <c r="K853" t="str" cm="1">
        <f t="array" ref="K853">IFERROR(_xlfn.SWITCH(L853,2,_xlfn.XLOOKUP(C853,[1]ModifierDes!$B:$B,[1]ModifierDes!$C:$C),3,_xlfn.XLOOKUP(C853,[1]StuntDes!$B:$B,[1]StuntDes!$C:$C)),"")</f>
        <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433</v>
      </c>
      <c r="D854" t="s">
        <v>34</v>
      </c>
      <c r="E854" t="s">
        <v>405</v>
      </c>
      <c r="F854"/>
      <c r="G854">
        <v>2</v>
      </c>
      <c r="H854">
        <v>1000</v>
      </c>
      <c r="J854" cm="1">
        <f t="array" ref="J854">_xlfn.SWITCH(B854,1,75,2,61,3,49,4,37,5,25,6,13,7,4,8,1)</f>
        <v>49</v>
      </c>
      <c r="K854" t="str" cm="1">
        <f t="array" ref="K854">IFERROR(_xlfn.SWITCH(L854,2,_xlfn.XLOOKUP(C854,[1]ModifierDes!$B:$B,[1]ModifierDes!$C:$C),3,_xlfn.XLOOKUP(C854,[1]StuntDes!$B:$B,[1]StuntDes!$C:$C)),"")</f>
        <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433</v>
      </c>
      <c r="D855" t="s">
        <v>34</v>
      </c>
      <c r="E855" t="s">
        <v>405</v>
      </c>
      <c r="F855"/>
      <c r="G855">
        <v>2</v>
      </c>
      <c r="H855">
        <v>1000</v>
      </c>
      <c r="J855" cm="1">
        <f t="array" ref="J855">_xlfn.SWITCH(B855,1,75,2,61,3,49,4,37,5,25,6,13,7,4,8,1)</f>
        <v>37</v>
      </c>
      <c r="K855" t="str" cm="1">
        <f t="array" ref="K855">IFERROR(_xlfn.SWITCH(L855,2,_xlfn.XLOOKUP(C855,[1]ModifierDes!$B:$B,[1]ModifierDes!$C:$C),3,_xlfn.XLOOKUP(C855,[1]StuntDes!$B:$B,[1]StuntDes!$C:$C)),"")</f>
        <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433</v>
      </c>
      <c r="D856" t="s">
        <v>34</v>
      </c>
      <c r="E856" t="s">
        <v>405</v>
      </c>
      <c r="F856"/>
      <c r="G856">
        <v>2</v>
      </c>
      <c r="H856">
        <v>1000</v>
      </c>
      <c r="J856" cm="1">
        <f t="array" ref="J856">_xlfn.SWITCH(B856,1,75,2,61,3,49,4,37,5,25,6,13,7,4,8,1)</f>
        <v>25</v>
      </c>
      <c r="K856" t="str" cm="1">
        <f t="array" ref="K856">IFERROR(_xlfn.SWITCH(L856,2,_xlfn.XLOOKUP(C856,[1]ModifierDes!$B:$B,[1]ModifierDes!$C:$C),3,_xlfn.XLOOKUP(C856,[1]StuntDes!$B:$B,[1]StuntDes!$C:$C)),"")</f>
        <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433</v>
      </c>
      <c r="D857" t="s">
        <v>34</v>
      </c>
      <c r="E857" t="s">
        <v>405</v>
      </c>
      <c r="F857"/>
      <c r="G857">
        <v>2</v>
      </c>
      <c r="H857">
        <v>1000</v>
      </c>
      <c r="J857" cm="1">
        <f t="array" ref="J857">_xlfn.SWITCH(B857,1,75,2,61,3,49,4,37,5,25,6,13,7,4,8,1)</f>
        <v>13</v>
      </c>
      <c r="K857" t="str" cm="1">
        <f t="array" ref="K857">IFERROR(_xlfn.SWITCH(L857,2,_xlfn.XLOOKUP(C857,[1]ModifierDes!$B:$B,[1]ModifierDes!$C:$C),3,_xlfn.XLOOKUP(C857,[1]StuntDes!$B:$B,[1]StuntDes!$C:$C)),"")</f>
        <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433</v>
      </c>
      <c r="D858" t="s">
        <v>34</v>
      </c>
      <c r="E858" t="s">
        <v>405</v>
      </c>
      <c r="F858"/>
      <c r="G858">
        <v>2</v>
      </c>
      <c r="H858">
        <v>1000</v>
      </c>
      <c r="J858" cm="1">
        <f t="array" ref="J858">_xlfn.SWITCH(B858,1,75,2,61,3,49,4,37,5,25,6,13,7,4,8,1)</f>
        <v>4</v>
      </c>
      <c r="K858" t="str" cm="1">
        <f t="array" ref="K858">IFERROR(_xlfn.SWITCH(L858,2,_xlfn.XLOOKUP(C858,[1]ModifierDes!$B:$B,[1]ModifierDes!$C:$C),3,_xlfn.XLOOKUP(C858,[1]StuntDes!$B:$B,[1]StuntDes!$C:$C)),"")</f>
        <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433</v>
      </c>
      <c r="D859" t="s">
        <v>34</v>
      </c>
      <c r="E859" t="s">
        <v>405</v>
      </c>
      <c r="F859"/>
      <c r="G859">
        <v>2</v>
      </c>
      <c r="H859">
        <v>1000</v>
      </c>
      <c r="J859" cm="1">
        <f t="array" ref="J859">_xlfn.SWITCH(B859,1,75,2,61,3,49,4,37,5,25,6,13,7,4,8,1)</f>
        <v>1</v>
      </c>
      <c r="K859" t="str" cm="1">
        <f t="array" ref="K859">IFERROR(_xlfn.SWITCH(L859,2,_xlfn.XLOOKUP(C859,[1]ModifierDes!$B:$B,[1]ModifierDes!$C:$C),3,_xlfn.XLOOKUP(C859,[1]StuntDes!$B:$B,[1]StuntDes!$C:$C)),"")</f>
        <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434</v>
      </c>
      <c r="D860" t="s">
        <v>34</v>
      </c>
      <c r="E860" t="s">
        <v>405</v>
      </c>
      <c r="F860"/>
      <c r="G860">
        <v>2</v>
      </c>
      <c r="H860">
        <v>1000</v>
      </c>
      <c r="J860" cm="1">
        <f t="array" ref="J860">_xlfn.SWITCH(B860,1,75,2,61,3,49,4,37,5,25,6,13,7,4,8,1)</f>
        <v>75</v>
      </c>
      <c r="K860" t="str" cm="1">
        <f t="array" ref="K860">IFERROR(_xlfn.SWITCH(L860,2,_xlfn.XLOOKUP(C860,[1]ModifierDes!$B:$B,[1]ModifierDes!$C:$C),3,_xlfn.XLOOKUP(C860,[1]StuntDes!$B:$B,[1]StuntDes!$C:$C)),"")</f>
        <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434</v>
      </c>
      <c r="D861" t="s">
        <v>34</v>
      </c>
      <c r="E861" t="s">
        <v>405</v>
      </c>
      <c r="F861"/>
      <c r="G861">
        <v>2</v>
      </c>
      <c r="H861">
        <v>1000</v>
      </c>
      <c r="J861" cm="1">
        <f t="array" ref="J861">_xlfn.SWITCH(B861,1,75,2,61,3,49,4,37,5,25,6,13,7,4,8,1)</f>
        <v>61</v>
      </c>
      <c r="K861" t="str" cm="1">
        <f t="array" ref="K861">IFERROR(_xlfn.SWITCH(L861,2,_xlfn.XLOOKUP(C861,[1]ModifierDes!$B:$B,[1]ModifierDes!$C:$C),3,_xlfn.XLOOKUP(C861,[1]StuntDes!$B:$B,[1]StuntDes!$C:$C)),"")</f>
        <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434</v>
      </c>
      <c r="D862" t="s">
        <v>34</v>
      </c>
      <c r="E862" t="s">
        <v>405</v>
      </c>
      <c r="F862"/>
      <c r="G862">
        <v>2</v>
      </c>
      <c r="H862">
        <v>1000</v>
      </c>
      <c r="J862" cm="1">
        <f t="array" ref="J862">_xlfn.SWITCH(B862,1,75,2,61,3,49,4,37,5,25,6,13,7,4,8,1)</f>
        <v>49</v>
      </c>
      <c r="K862" t="str" cm="1">
        <f t="array" ref="K862">IFERROR(_xlfn.SWITCH(L862,2,_xlfn.XLOOKUP(C862,[1]ModifierDes!$B:$B,[1]ModifierDes!$C:$C),3,_xlfn.XLOOKUP(C862,[1]StuntDes!$B:$B,[1]StuntDes!$C:$C)),"")</f>
        <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434</v>
      </c>
      <c r="D863" t="s">
        <v>34</v>
      </c>
      <c r="E863" t="s">
        <v>405</v>
      </c>
      <c r="F863"/>
      <c r="G863">
        <v>2</v>
      </c>
      <c r="H863">
        <v>1000</v>
      </c>
      <c r="J863" cm="1">
        <f t="array" ref="J863">_xlfn.SWITCH(B863,1,75,2,61,3,49,4,37,5,25,6,13,7,4,8,1)</f>
        <v>37</v>
      </c>
      <c r="K863" t="str" cm="1">
        <f t="array" ref="K863">IFERROR(_xlfn.SWITCH(L863,2,_xlfn.XLOOKUP(C863,[1]ModifierDes!$B:$B,[1]ModifierDes!$C:$C),3,_xlfn.XLOOKUP(C863,[1]StuntDes!$B:$B,[1]StuntDes!$C:$C)),"")</f>
        <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434</v>
      </c>
      <c r="D864" t="s">
        <v>34</v>
      </c>
      <c r="E864" t="s">
        <v>405</v>
      </c>
      <c r="F864"/>
      <c r="G864">
        <v>2</v>
      </c>
      <c r="H864">
        <v>1000</v>
      </c>
      <c r="J864" cm="1">
        <f t="array" ref="J864">_xlfn.SWITCH(B864,1,75,2,61,3,49,4,37,5,25,6,13,7,4,8,1)</f>
        <v>25</v>
      </c>
      <c r="K864" t="str" cm="1">
        <f t="array" ref="K864">IFERROR(_xlfn.SWITCH(L864,2,_xlfn.XLOOKUP(C864,[1]ModifierDes!$B:$B,[1]ModifierDes!$C:$C),3,_xlfn.XLOOKUP(C864,[1]StuntDes!$B:$B,[1]StuntDes!$C:$C)),"")</f>
        <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434</v>
      </c>
      <c r="D865" t="s">
        <v>34</v>
      </c>
      <c r="E865" t="s">
        <v>405</v>
      </c>
      <c r="F865"/>
      <c r="G865">
        <v>2</v>
      </c>
      <c r="H865">
        <v>1000</v>
      </c>
      <c r="J865" cm="1">
        <f t="array" ref="J865">_xlfn.SWITCH(B865,1,75,2,61,3,49,4,37,5,25,6,13,7,4,8,1)</f>
        <v>13</v>
      </c>
      <c r="K865" t="str" cm="1">
        <f t="array" ref="K865">IFERROR(_xlfn.SWITCH(L865,2,_xlfn.XLOOKUP(C865,[1]ModifierDes!$B:$B,[1]ModifierDes!$C:$C),3,_xlfn.XLOOKUP(C865,[1]StuntDes!$B:$B,[1]StuntDes!$C:$C)),"")</f>
        <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434</v>
      </c>
      <c r="D866" t="s">
        <v>34</v>
      </c>
      <c r="E866" t="s">
        <v>405</v>
      </c>
      <c r="F866"/>
      <c r="G866">
        <v>2</v>
      </c>
      <c r="H866">
        <v>1000</v>
      </c>
      <c r="J866" cm="1">
        <f t="array" ref="J866">_xlfn.SWITCH(B866,1,75,2,61,3,49,4,37,5,25,6,13,7,4,8,1)</f>
        <v>4</v>
      </c>
      <c r="K866" t="str" cm="1">
        <f t="array" ref="K866">IFERROR(_xlfn.SWITCH(L866,2,_xlfn.XLOOKUP(C866,[1]ModifierDes!$B:$B,[1]ModifierDes!$C:$C),3,_xlfn.XLOOKUP(C866,[1]StuntDes!$B:$B,[1]StuntDes!$C:$C)),"")</f>
        <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434</v>
      </c>
      <c r="D867" t="s">
        <v>34</v>
      </c>
      <c r="E867" t="s">
        <v>405</v>
      </c>
      <c r="F867"/>
      <c r="G867">
        <v>2</v>
      </c>
      <c r="H867">
        <v>1000</v>
      </c>
      <c r="J867" cm="1">
        <f t="array" ref="J867">_xlfn.SWITCH(B867,1,75,2,61,3,49,4,37,5,25,6,13,7,4,8,1)</f>
        <v>1</v>
      </c>
      <c r="K867" t="str" cm="1">
        <f t="array" ref="K867">IFERROR(_xlfn.SWITCH(L867,2,_xlfn.XLOOKUP(C867,[1]ModifierDes!$B:$B,[1]ModifierDes!$C:$C),3,_xlfn.XLOOKUP(C867,[1]StuntDes!$B:$B,[1]StuntDes!$C:$C)),"")</f>
        <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435</v>
      </c>
      <c r="D868" t="s">
        <v>34</v>
      </c>
      <c r="E868" t="s">
        <v>405</v>
      </c>
      <c r="F868"/>
      <c r="G868">
        <v>2</v>
      </c>
      <c r="H868">
        <v>1000</v>
      </c>
      <c r="J868" cm="1">
        <f t="array" ref="J868">_xlfn.SWITCH(B868,1,75,2,61,3,49,4,37,5,25,6,13,7,4,8,1)</f>
        <v>75</v>
      </c>
      <c r="K868" t="str" cm="1">
        <f t="array" ref="K868">IFERROR(_xlfn.SWITCH(L868,2,_xlfn.XLOOKUP(C868,[1]ModifierDes!$B:$B,[1]ModifierDes!$C:$C),3,_xlfn.XLOOKUP(C868,[1]StuntDes!$B:$B,[1]StuntDes!$C:$C)),"")</f>
        <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435</v>
      </c>
      <c r="D869" t="s">
        <v>34</v>
      </c>
      <c r="E869" t="s">
        <v>405</v>
      </c>
      <c r="F869"/>
      <c r="G869">
        <v>2</v>
      </c>
      <c r="H869">
        <v>1000</v>
      </c>
      <c r="J869" cm="1">
        <f t="array" ref="J869">_xlfn.SWITCH(B869,1,75,2,61,3,49,4,37,5,25,6,13,7,4,8,1)</f>
        <v>61</v>
      </c>
      <c r="K869" t="str" cm="1">
        <f t="array" ref="K869">IFERROR(_xlfn.SWITCH(L869,2,_xlfn.XLOOKUP(C869,[1]ModifierDes!$B:$B,[1]ModifierDes!$C:$C),3,_xlfn.XLOOKUP(C869,[1]StuntDes!$B:$B,[1]StuntDes!$C:$C)),"")</f>
        <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435</v>
      </c>
      <c r="D870" t="s">
        <v>34</v>
      </c>
      <c r="E870" t="s">
        <v>405</v>
      </c>
      <c r="F870"/>
      <c r="G870">
        <v>2</v>
      </c>
      <c r="H870">
        <v>1000</v>
      </c>
      <c r="J870" cm="1">
        <f t="array" ref="J870">_xlfn.SWITCH(B870,1,75,2,61,3,49,4,37,5,25,6,13,7,4,8,1)</f>
        <v>49</v>
      </c>
      <c r="K870" t="str" cm="1">
        <f t="array" ref="K870">IFERROR(_xlfn.SWITCH(L870,2,_xlfn.XLOOKUP(C870,[1]ModifierDes!$B:$B,[1]ModifierDes!$C:$C),3,_xlfn.XLOOKUP(C870,[1]StuntDes!$B:$B,[1]StuntDes!$C:$C)),"")</f>
        <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435</v>
      </c>
      <c r="D871" t="s">
        <v>34</v>
      </c>
      <c r="E871" t="s">
        <v>405</v>
      </c>
      <c r="F871"/>
      <c r="G871">
        <v>2</v>
      </c>
      <c r="H871">
        <v>1000</v>
      </c>
      <c r="J871" cm="1">
        <f t="array" ref="J871">_xlfn.SWITCH(B871,1,75,2,61,3,49,4,37,5,25,6,13,7,4,8,1)</f>
        <v>37</v>
      </c>
      <c r="K871" t="str" cm="1">
        <f t="array" ref="K871">IFERROR(_xlfn.SWITCH(L871,2,_xlfn.XLOOKUP(C871,[1]ModifierDes!$B:$B,[1]ModifierDes!$C:$C),3,_xlfn.XLOOKUP(C871,[1]StuntDes!$B:$B,[1]StuntDes!$C:$C)),"")</f>
        <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435</v>
      </c>
      <c r="D872" t="s">
        <v>34</v>
      </c>
      <c r="E872" t="s">
        <v>405</v>
      </c>
      <c r="F872"/>
      <c r="G872">
        <v>2</v>
      </c>
      <c r="H872">
        <v>1000</v>
      </c>
      <c r="J872" cm="1">
        <f t="array" ref="J872">_xlfn.SWITCH(B872,1,75,2,61,3,49,4,37,5,25,6,13,7,4,8,1)</f>
        <v>25</v>
      </c>
      <c r="K872" t="str" cm="1">
        <f t="array" ref="K872">IFERROR(_xlfn.SWITCH(L872,2,_xlfn.XLOOKUP(C872,[1]ModifierDes!$B:$B,[1]ModifierDes!$C:$C),3,_xlfn.XLOOKUP(C872,[1]StuntDes!$B:$B,[1]StuntDes!$C:$C)),"")</f>
        <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435</v>
      </c>
      <c r="D873" t="s">
        <v>34</v>
      </c>
      <c r="E873" t="s">
        <v>405</v>
      </c>
      <c r="F873"/>
      <c r="G873">
        <v>2</v>
      </c>
      <c r="H873">
        <v>1000</v>
      </c>
      <c r="J873" cm="1">
        <f t="array" ref="J873">_xlfn.SWITCH(B873,1,75,2,61,3,49,4,37,5,25,6,13,7,4,8,1)</f>
        <v>13</v>
      </c>
      <c r="K873" t="str" cm="1">
        <f t="array" ref="K873">IFERROR(_xlfn.SWITCH(L873,2,_xlfn.XLOOKUP(C873,[1]ModifierDes!$B:$B,[1]ModifierDes!$C:$C),3,_xlfn.XLOOKUP(C873,[1]StuntDes!$B:$B,[1]StuntDes!$C:$C)),"")</f>
        <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435</v>
      </c>
      <c r="D874" t="s">
        <v>34</v>
      </c>
      <c r="E874" t="s">
        <v>405</v>
      </c>
      <c r="F874"/>
      <c r="G874">
        <v>2</v>
      </c>
      <c r="H874">
        <v>1000</v>
      </c>
      <c r="J874" cm="1">
        <f t="array" ref="J874">_xlfn.SWITCH(B874,1,75,2,61,3,49,4,37,5,25,6,13,7,4,8,1)</f>
        <v>4</v>
      </c>
      <c r="K874" t="str" cm="1">
        <f t="array" ref="K874">IFERROR(_xlfn.SWITCH(L874,2,_xlfn.XLOOKUP(C874,[1]ModifierDes!$B:$B,[1]ModifierDes!$C:$C),3,_xlfn.XLOOKUP(C874,[1]StuntDes!$B:$B,[1]StuntDes!$C:$C)),"")</f>
        <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435</v>
      </c>
      <c r="D875" t="s">
        <v>34</v>
      </c>
      <c r="E875" t="s">
        <v>405</v>
      </c>
      <c r="F875"/>
      <c r="G875">
        <v>2</v>
      </c>
      <c r="H875">
        <v>1000</v>
      </c>
      <c r="J875" cm="1">
        <f t="array" ref="J875">_xlfn.SWITCH(B875,1,75,2,61,3,49,4,37,5,25,6,13,7,4,8,1)</f>
        <v>1</v>
      </c>
      <c r="K875" t="str" cm="1">
        <f t="array" ref="K875">IFERROR(_xlfn.SWITCH(L875,2,_xlfn.XLOOKUP(C875,[1]ModifierDes!$B:$B,[1]ModifierDes!$C:$C),3,_xlfn.XLOOKUP(C875,[1]StuntDes!$B:$B,[1]StuntDes!$C:$C)),"")</f>
        <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436</v>
      </c>
      <c r="D876" t="s">
        <v>34</v>
      </c>
      <c r="E876" t="s">
        <v>405</v>
      </c>
      <c r="F876"/>
      <c r="G876">
        <v>2</v>
      </c>
      <c r="H876">
        <v>250</v>
      </c>
      <c r="J876" cm="1">
        <f t="array" ref="J876">_xlfn.SWITCH(B876,1,75,2,61,3,49,4,37,5,25,6,13,7,4,8,1)</f>
        <v>75</v>
      </c>
      <c r="K876" t="str" cm="1">
        <f t="array" ref="K876">IFERROR(_xlfn.SWITCH(L876,2,_xlfn.XLOOKUP(C876,[1]ModifierDes!$B:$B,[1]ModifierDes!$C:$C),3,_xlfn.XLOOKUP(C876,[1]StuntDes!$B:$B,[1]StuntDes!$C:$C)),"")</f>
        <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436</v>
      </c>
      <c r="D877" t="s">
        <v>34</v>
      </c>
      <c r="E877" t="s">
        <v>405</v>
      </c>
      <c r="F877"/>
      <c r="G877">
        <v>2</v>
      </c>
      <c r="H877">
        <v>250</v>
      </c>
      <c r="J877" cm="1">
        <f t="array" ref="J877">_xlfn.SWITCH(B877,1,75,2,61,3,49,4,37,5,25,6,13,7,4,8,1)</f>
        <v>61</v>
      </c>
      <c r="K877" t="str" cm="1">
        <f t="array" ref="K877">IFERROR(_xlfn.SWITCH(L877,2,_xlfn.XLOOKUP(C877,[1]ModifierDes!$B:$B,[1]ModifierDes!$C:$C),3,_xlfn.XLOOKUP(C877,[1]StuntDes!$B:$B,[1]StuntDes!$C:$C)),"")</f>
        <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436</v>
      </c>
      <c r="D878" t="s">
        <v>34</v>
      </c>
      <c r="E878" t="s">
        <v>405</v>
      </c>
      <c r="F878"/>
      <c r="G878">
        <v>2</v>
      </c>
      <c r="H878">
        <v>250</v>
      </c>
      <c r="J878" cm="1">
        <f t="array" ref="J878">_xlfn.SWITCH(B878,1,75,2,61,3,49,4,37,5,25,6,13,7,4,8,1)</f>
        <v>49</v>
      </c>
      <c r="K878" t="str" cm="1">
        <f t="array" ref="K878">IFERROR(_xlfn.SWITCH(L878,2,_xlfn.XLOOKUP(C878,[1]ModifierDes!$B:$B,[1]ModifierDes!$C:$C),3,_xlfn.XLOOKUP(C878,[1]StuntDes!$B:$B,[1]StuntDes!$C:$C)),"")</f>
        <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436</v>
      </c>
      <c r="D879" t="s">
        <v>34</v>
      </c>
      <c r="E879" t="s">
        <v>405</v>
      </c>
      <c r="F879"/>
      <c r="G879">
        <v>2</v>
      </c>
      <c r="H879">
        <v>250</v>
      </c>
      <c r="J879" cm="1">
        <f t="array" ref="J879">_xlfn.SWITCH(B879,1,75,2,61,3,49,4,37,5,25,6,13,7,4,8,1)</f>
        <v>37</v>
      </c>
      <c r="K879" t="str" cm="1">
        <f t="array" ref="K879">IFERROR(_xlfn.SWITCH(L879,2,_xlfn.XLOOKUP(C879,[1]ModifierDes!$B:$B,[1]ModifierDes!$C:$C),3,_xlfn.XLOOKUP(C879,[1]StuntDes!$B:$B,[1]StuntDes!$C:$C)),"")</f>
        <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436</v>
      </c>
      <c r="D880" t="s">
        <v>34</v>
      </c>
      <c r="E880" t="s">
        <v>405</v>
      </c>
      <c r="F880"/>
      <c r="G880">
        <v>2</v>
      </c>
      <c r="H880">
        <v>250</v>
      </c>
      <c r="J880" cm="1">
        <f t="array" ref="J880">_xlfn.SWITCH(B880,1,75,2,61,3,49,4,37,5,25,6,13,7,4,8,1)</f>
        <v>25</v>
      </c>
      <c r="K880" t="str" cm="1">
        <f t="array" ref="K880">IFERROR(_xlfn.SWITCH(L880,2,_xlfn.XLOOKUP(C880,[1]ModifierDes!$B:$B,[1]ModifierDes!$C:$C),3,_xlfn.XLOOKUP(C880,[1]StuntDes!$B:$B,[1]StuntDes!$C:$C)),"")</f>
        <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436</v>
      </c>
      <c r="D881" t="s">
        <v>34</v>
      </c>
      <c r="E881" t="s">
        <v>405</v>
      </c>
      <c r="F881"/>
      <c r="G881">
        <v>2</v>
      </c>
      <c r="H881">
        <v>250</v>
      </c>
      <c r="J881" cm="1">
        <f t="array" ref="J881">_xlfn.SWITCH(B881,1,75,2,61,3,49,4,37,5,25,6,13,7,4,8,1)</f>
        <v>13</v>
      </c>
      <c r="K881" t="str" cm="1">
        <f t="array" ref="K881">IFERROR(_xlfn.SWITCH(L881,2,_xlfn.XLOOKUP(C881,[1]ModifierDes!$B:$B,[1]ModifierDes!$C:$C),3,_xlfn.XLOOKUP(C881,[1]StuntDes!$B:$B,[1]StuntDes!$C:$C)),"")</f>
        <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436</v>
      </c>
      <c r="D882" t="s">
        <v>34</v>
      </c>
      <c r="E882" t="s">
        <v>405</v>
      </c>
      <c r="F882"/>
      <c r="G882">
        <v>2</v>
      </c>
      <c r="H882">
        <v>250</v>
      </c>
      <c r="J882" cm="1">
        <f t="array" ref="J882">_xlfn.SWITCH(B882,1,75,2,61,3,49,4,37,5,25,6,13,7,4,8,1)</f>
        <v>4</v>
      </c>
      <c r="K882" t="str" cm="1">
        <f t="array" ref="K882">IFERROR(_xlfn.SWITCH(L882,2,_xlfn.XLOOKUP(C882,[1]ModifierDes!$B:$B,[1]ModifierDes!$C:$C),3,_xlfn.XLOOKUP(C882,[1]StuntDes!$B:$B,[1]StuntDes!$C:$C)),"")</f>
        <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436</v>
      </c>
      <c r="D883" t="s">
        <v>34</v>
      </c>
      <c r="E883" t="s">
        <v>405</v>
      </c>
      <c r="F883"/>
      <c r="G883">
        <v>2</v>
      </c>
      <c r="H883">
        <v>250</v>
      </c>
      <c r="J883" cm="1">
        <f t="array" ref="J883">_xlfn.SWITCH(B883,1,75,2,61,3,49,4,37,5,25,6,13,7,4,8,1)</f>
        <v>1</v>
      </c>
      <c r="K883" t="str" cm="1">
        <f t="array" ref="K883">IFERROR(_xlfn.SWITCH(L883,2,_xlfn.XLOOKUP(C883,[1]ModifierDes!$B:$B,[1]ModifierDes!$C:$C),3,_xlfn.XLOOKUP(C883,[1]StuntDes!$B:$B,[1]StuntDes!$C:$C)),"")</f>
        <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411</v>
      </c>
      <c r="D884" t="s">
        <v>34</v>
      </c>
      <c r="E884" t="s">
        <v>405</v>
      </c>
      <c r="F884"/>
      <c r="G884">
        <v>2</v>
      </c>
      <c r="H884">
        <v>100</v>
      </c>
      <c r="I884">
        <v>3</v>
      </c>
      <c r="J884" cm="1">
        <f t="array" ref="J884">_xlfn.SWITCH(B884,1,75,2,61,3,49,4,37,5,25,6,13,7,4,8,1)</f>
        <v>75</v>
      </c>
      <c r="K884" t="str" cm="1">
        <f t="array" ref="K884">IFERROR(_xlfn.SWITCH(L884,2,_xlfn.XLOOKUP(C884,[1]ModifierDes!$B:$B,[1]ModifierDes!$C:$C),3,_xlfn.XLOOKUP(C884,[1]StuntDes!$B:$B,[1]StuntDes!$C:$C)),"")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411</v>
      </c>
      <c r="D885" t="s">
        <v>34</v>
      </c>
      <c r="E885" t="s">
        <v>405</v>
      </c>
      <c r="F885"/>
      <c r="G885">
        <v>2</v>
      </c>
      <c r="H885">
        <v>200</v>
      </c>
      <c r="I885">
        <v>3</v>
      </c>
      <c r="J885" cm="1">
        <f t="array" ref="J885">_xlfn.SWITCH(B885,1,75,2,61,3,49,4,37,5,25,6,13,7,4,8,1)</f>
        <v>61</v>
      </c>
      <c r="K885" t="str" cm="1">
        <f t="array" ref="K885">IFERROR(_xlfn.SWITCH(L885,2,_xlfn.XLOOKUP(C885,[1]ModifierDes!$B:$B,[1]ModifierDes!$C:$C),3,_xlfn.XLOOKUP(C885,[1]StuntDes!$B:$B,[1]StuntDes!$C:$C)),"")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411</v>
      </c>
      <c r="D886" t="s">
        <v>34</v>
      </c>
      <c r="E886" t="s">
        <v>405</v>
      </c>
      <c r="F886"/>
      <c r="G886">
        <v>2</v>
      </c>
      <c r="H886">
        <v>400</v>
      </c>
      <c r="I886">
        <v>3</v>
      </c>
      <c r="J886" cm="1">
        <f t="array" ref="J886">_xlfn.SWITCH(B886,1,75,2,61,3,49,4,37,5,25,6,13,7,4,8,1)</f>
        <v>49</v>
      </c>
      <c r="K886" t="str" cm="1">
        <f t="array" ref="K886">IFERROR(_xlfn.SWITCH(L886,2,_xlfn.XLOOKUP(C886,[1]ModifierDes!$B:$B,[1]ModifierDes!$C:$C),3,_xlfn.XLOOKUP(C886,[1]StuntDes!$B:$B,[1]StuntDes!$C:$C)),"")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411</v>
      </c>
      <c r="D887" t="s">
        <v>34</v>
      </c>
      <c r="E887" t="s">
        <v>405</v>
      </c>
      <c r="F887"/>
      <c r="G887">
        <v>2</v>
      </c>
      <c r="H887">
        <v>600</v>
      </c>
      <c r="I887">
        <v>3</v>
      </c>
      <c r="J887" cm="1">
        <f t="array" ref="J887">_xlfn.SWITCH(B887,1,75,2,61,3,49,4,37,5,25,6,13,7,4,8,1)</f>
        <v>37</v>
      </c>
      <c r="K887" t="str" cm="1">
        <f t="array" ref="K887">IFERROR(_xlfn.SWITCH(L887,2,_xlfn.XLOOKUP(C887,[1]ModifierDes!$B:$B,[1]ModifierDes!$C:$C),3,_xlfn.XLOOKUP(C887,[1]StuntDes!$B:$B,[1]StuntDes!$C:$C)),"")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411</v>
      </c>
      <c r="D888" t="s">
        <v>34</v>
      </c>
      <c r="E888" t="s">
        <v>405</v>
      </c>
      <c r="F888"/>
      <c r="G888">
        <v>2</v>
      </c>
      <c r="H888">
        <v>800</v>
      </c>
      <c r="I888">
        <v>3</v>
      </c>
      <c r="J888" cm="1">
        <f t="array" ref="J888">_xlfn.SWITCH(B888,1,75,2,61,3,49,4,37,5,25,6,13,7,4,8,1)</f>
        <v>25</v>
      </c>
      <c r="K888" t="str" cm="1">
        <f t="array" ref="K888">IFERROR(_xlfn.SWITCH(L888,2,_xlfn.XLOOKUP(C888,[1]ModifierDes!$B:$B,[1]ModifierDes!$C:$C),3,_xlfn.XLOOKUP(C888,[1]StuntDes!$B:$B,[1]StuntDes!$C:$C)),"")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411</v>
      </c>
      <c r="D889" t="s">
        <v>34</v>
      </c>
      <c r="E889" t="s">
        <v>405</v>
      </c>
      <c r="F889"/>
      <c r="G889">
        <v>2</v>
      </c>
      <c r="H889">
        <v>1000</v>
      </c>
      <c r="I889">
        <v>3</v>
      </c>
      <c r="J889" cm="1">
        <f t="array" ref="J889">_xlfn.SWITCH(B889,1,75,2,61,3,49,4,37,5,25,6,13,7,4,8,1)</f>
        <v>13</v>
      </c>
      <c r="K889" t="str" cm="1">
        <f t="array" ref="K889">IFERROR(_xlfn.SWITCH(L889,2,_xlfn.XLOOKUP(C889,[1]ModifierDes!$B:$B,[1]ModifierDes!$C:$C),3,_xlfn.XLOOKUP(C889,[1]StuntDes!$B:$B,[1]StuntDes!$C:$C)),"")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411</v>
      </c>
      <c r="D890" t="s">
        <v>34</v>
      </c>
      <c r="E890" t="s">
        <v>405</v>
      </c>
      <c r="F890"/>
      <c r="G890">
        <v>2</v>
      </c>
      <c r="H890">
        <v>1000</v>
      </c>
      <c r="I890">
        <v>3</v>
      </c>
      <c r="J890" cm="1">
        <f t="array" ref="J890">_xlfn.SWITCH(B890,1,75,2,61,3,49,4,37,5,25,6,13,7,4,8,1)</f>
        <v>4</v>
      </c>
      <c r="K890" t="str" cm="1">
        <f t="array" ref="K890">IFERROR(_xlfn.SWITCH(L890,2,_xlfn.XLOOKUP(C890,[1]ModifierDes!$B:$B,[1]ModifierDes!$C:$C),3,_xlfn.XLOOKUP(C890,[1]StuntDes!$B:$B,[1]StuntDes!$C:$C)),"")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411</v>
      </c>
      <c r="D891" t="s">
        <v>34</v>
      </c>
      <c r="E891" t="s">
        <v>405</v>
      </c>
      <c r="F891"/>
      <c r="G891">
        <v>2</v>
      </c>
      <c r="H891">
        <v>1000</v>
      </c>
      <c r="I891">
        <v>3</v>
      </c>
      <c r="J891" cm="1">
        <f t="array" ref="J891">_xlfn.SWITCH(B891,1,75,2,61,3,49,4,37,5,25,6,13,7,4,8,1)</f>
        <v>1</v>
      </c>
      <c r="K891" t="str" cm="1">
        <f t="array" ref="K891">IFERROR(_xlfn.SWITCH(L891,2,_xlfn.XLOOKUP(C891,[1]ModifierDes!$B:$B,[1]ModifierDes!$C:$C),3,_xlfn.XLOOKUP(C891,[1]StuntDes!$B:$B,[1]StuntDes!$C:$C)),"")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437</v>
      </c>
      <c r="D892" t="s">
        <v>34</v>
      </c>
      <c r="E892" t="s">
        <v>405</v>
      </c>
      <c r="F892"/>
      <c r="G892">
        <v>2</v>
      </c>
      <c r="H892">
        <v>100</v>
      </c>
      <c r="I892">
        <v>3</v>
      </c>
      <c r="J892" cm="1">
        <f t="array" ref="J892">_xlfn.SWITCH(B892,1,75,2,61,3,49,4,37,5,25,6,13,7,4,8,1)</f>
        <v>75</v>
      </c>
      <c r="K892" t="str" cm="1">
        <f t="array" ref="K892">IFERROR(_xlfn.SWITCH(L892,2,_xlfn.XLOOKUP(C892,[1]ModifierDes!$B:$B,[1]ModifierDes!$C:$C),3,_xlfn.XLOOKUP(C892,[1]StuntDes!$B:$B,[1]StuntDes!$C:$C)),"")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437</v>
      </c>
      <c r="D893" t="s">
        <v>34</v>
      </c>
      <c r="E893" t="s">
        <v>405</v>
      </c>
      <c r="F893"/>
      <c r="G893">
        <v>2</v>
      </c>
      <c r="H893">
        <v>200</v>
      </c>
      <c r="I893">
        <v>3</v>
      </c>
      <c r="J893" cm="1">
        <f t="array" ref="J893">_xlfn.SWITCH(B893,1,75,2,61,3,49,4,37,5,25,6,13,7,4,8,1)</f>
        <v>61</v>
      </c>
      <c r="K893" t="str" cm="1">
        <f t="array" ref="K893">IFERROR(_xlfn.SWITCH(L893,2,_xlfn.XLOOKUP(C893,[1]ModifierDes!$B:$B,[1]ModifierDes!$C:$C),3,_xlfn.XLOOKUP(C893,[1]StuntDes!$B:$B,[1]StuntDes!$C:$C)),"")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437</v>
      </c>
      <c r="D894" t="s">
        <v>34</v>
      </c>
      <c r="E894" t="s">
        <v>405</v>
      </c>
      <c r="F894"/>
      <c r="G894">
        <v>2</v>
      </c>
      <c r="H894">
        <v>400</v>
      </c>
      <c r="I894">
        <v>3</v>
      </c>
      <c r="J894" cm="1">
        <f t="array" ref="J894">_xlfn.SWITCH(B894,1,75,2,61,3,49,4,37,5,25,6,13,7,4,8,1)</f>
        <v>49</v>
      </c>
      <c r="K894" t="str" cm="1">
        <f t="array" ref="K894">IFERROR(_xlfn.SWITCH(L894,2,_xlfn.XLOOKUP(C894,[1]ModifierDes!$B:$B,[1]ModifierDes!$C:$C),3,_xlfn.XLOOKUP(C894,[1]StuntDes!$B:$B,[1]StuntDes!$C:$C)),"")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437</v>
      </c>
      <c r="D895" t="s">
        <v>34</v>
      </c>
      <c r="E895" t="s">
        <v>405</v>
      </c>
      <c r="F895"/>
      <c r="G895">
        <v>2</v>
      </c>
      <c r="H895">
        <v>600</v>
      </c>
      <c r="I895">
        <v>3</v>
      </c>
      <c r="J895" cm="1">
        <f t="array" ref="J895">_xlfn.SWITCH(B895,1,75,2,61,3,49,4,37,5,25,6,13,7,4,8,1)</f>
        <v>37</v>
      </c>
      <c r="K895" t="str" cm="1">
        <f t="array" ref="K895">IFERROR(_xlfn.SWITCH(L895,2,_xlfn.XLOOKUP(C895,[1]ModifierDes!$B:$B,[1]ModifierDes!$C:$C),3,_xlfn.XLOOKUP(C895,[1]StuntDes!$B:$B,[1]StuntDes!$C:$C)),"")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437</v>
      </c>
      <c r="D896" t="s">
        <v>34</v>
      </c>
      <c r="E896" t="s">
        <v>405</v>
      </c>
      <c r="F896"/>
      <c r="G896">
        <v>2</v>
      </c>
      <c r="H896">
        <v>800</v>
      </c>
      <c r="I896">
        <v>3</v>
      </c>
      <c r="J896" cm="1">
        <f t="array" ref="J896">_xlfn.SWITCH(B896,1,75,2,61,3,49,4,37,5,25,6,13,7,4,8,1)</f>
        <v>25</v>
      </c>
      <c r="K896" t="str" cm="1">
        <f t="array" ref="K896">IFERROR(_xlfn.SWITCH(L896,2,_xlfn.XLOOKUP(C896,[1]ModifierDes!$B:$B,[1]ModifierDes!$C:$C),3,_xlfn.XLOOKUP(C896,[1]StuntDes!$B:$B,[1]StuntDes!$C:$C)),"")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437</v>
      </c>
      <c r="D897" t="s">
        <v>34</v>
      </c>
      <c r="E897" t="s">
        <v>405</v>
      </c>
      <c r="F897"/>
      <c r="G897">
        <v>2</v>
      </c>
      <c r="H897">
        <v>1000</v>
      </c>
      <c r="I897">
        <v>3</v>
      </c>
      <c r="J897" cm="1">
        <f t="array" ref="J897">_xlfn.SWITCH(B897,1,75,2,61,3,49,4,37,5,25,6,13,7,4,8,1)</f>
        <v>13</v>
      </c>
      <c r="K897" t="str" cm="1">
        <f t="array" ref="K897">IFERROR(_xlfn.SWITCH(L897,2,_xlfn.XLOOKUP(C897,[1]ModifierDes!$B:$B,[1]ModifierDes!$C:$C),3,_xlfn.XLOOKUP(C897,[1]StuntDes!$B:$B,[1]StuntDes!$C:$C)),"")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437</v>
      </c>
      <c r="D898" t="s">
        <v>34</v>
      </c>
      <c r="E898" t="s">
        <v>405</v>
      </c>
      <c r="F898"/>
      <c r="G898">
        <v>2</v>
      </c>
      <c r="H898">
        <v>1000</v>
      </c>
      <c r="I898">
        <v>3</v>
      </c>
      <c r="J898" cm="1">
        <f t="array" ref="J898">_xlfn.SWITCH(B898,1,75,2,61,3,49,4,37,5,25,6,13,7,4,8,1)</f>
        <v>4</v>
      </c>
      <c r="K898" t="str" cm="1">
        <f t="array" ref="K898">IFERROR(_xlfn.SWITCH(L898,2,_xlfn.XLOOKUP(C898,[1]ModifierDes!$B:$B,[1]ModifierDes!$C:$C),3,_xlfn.XLOOKUP(C898,[1]StuntDes!$B:$B,[1]StuntDes!$C:$C)),"")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437</v>
      </c>
      <c r="D899" t="s">
        <v>34</v>
      </c>
      <c r="E899" t="s">
        <v>405</v>
      </c>
      <c r="F899"/>
      <c r="G899">
        <v>2</v>
      </c>
      <c r="H899">
        <v>1000</v>
      </c>
      <c r="I899">
        <v>3</v>
      </c>
      <c r="J899" cm="1">
        <f t="array" ref="J899">_xlfn.SWITCH(B899,1,75,2,61,3,49,4,37,5,25,6,13,7,4,8,1)</f>
        <v>1</v>
      </c>
      <c r="K899" t="str" cm="1">
        <f t="array" ref="K899">IFERROR(_xlfn.SWITCH(L899,2,_xlfn.XLOOKUP(C899,[1]ModifierDes!$B:$B,[1]ModifierDes!$C:$C),3,_xlfn.XLOOKUP(C899,[1]StuntDes!$B:$B,[1]StuntDes!$C:$C)),"")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412</v>
      </c>
      <c r="D900" t="s">
        <v>34</v>
      </c>
      <c r="E900" t="s">
        <v>405</v>
      </c>
      <c r="G900">
        <v>2</v>
      </c>
      <c r="H900">
        <v>100</v>
      </c>
      <c r="I900">
        <v>3</v>
      </c>
      <c r="J900" cm="1">
        <f t="array" ref="J900">_xlfn.SWITCH(B900,1,75,2,61,3,49,4,37,5,25,6,13,7,4,8,1)</f>
        <v>75</v>
      </c>
      <c r="K900" t="str" cm="1">
        <f t="array" ref="K900">IFERROR(_xlfn.SWITCH(L900,2,_xlfn.XLOOKUP(C900,[1]ModifierDes!$B:$B,[1]ModifierDes!$C:$C),3,_xlfn.XLOOKUP(C900,[1]StuntDes!$B:$B,[1]StuntDes!$C:$C)),"")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412</v>
      </c>
      <c r="D901" t="s">
        <v>34</v>
      </c>
      <c r="E901" t="s">
        <v>405</v>
      </c>
      <c r="G901">
        <v>2</v>
      </c>
      <c r="H901">
        <v>200</v>
      </c>
      <c r="I901">
        <v>3</v>
      </c>
      <c r="J901" cm="1">
        <f t="array" ref="J901">_xlfn.SWITCH(B901,1,75,2,61,3,49,4,37,5,25,6,13,7,4,8,1)</f>
        <v>61</v>
      </c>
      <c r="K901" t="str" cm="1">
        <f t="array" ref="K901">IFERROR(_xlfn.SWITCH(L901,2,_xlfn.XLOOKUP(C901,[1]ModifierDes!$B:$B,[1]ModifierDes!$C:$C),3,_xlfn.XLOOKUP(C901,[1]StuntDes!$B:$B,[1]StuntDes!$C:$C)),"")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412</v>
      </c>
      <c r="D902" t="s">
        <v>34</v>
      </c>
      <c r="E902" t="s">
        <v>405</v>
      </c>
      <c r="G902">
        <v>2</v>
      </c>
      <c r="H902">
        <v>400</v>
      </c>
      <c r="I902">
        <v>3</v>
      </c>
      <c r="J902" cm="1">
        <f t="array" ref="J902">_xlfn.SWITCH(B902,1,75,2,61,3,49,4,37,5,25,6,13,7,4,8,1)</f>
        <v>49</v>
      </c>
      <c r="K902" t="str" cm="1">
        <f t="array" ref="K902">IFERROR(_xlfn.SWITCH(L902,2,_xlfn.XLOOKUP(C902,[1]ModifierDes!$B:$B,[1]ModifierDes!$C:$C),3,_xlfn.XLOOKUP(C902,[1]StuntDes!$B:$B,[1]StuntDes!$C:$C)),"")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412</v>
      </c>
      <c r="D903" t="s">
        <v>34</v>
      </c>
      <c r="E903" t="s">
        <v>405</v>
      </c>
      <c r="G903">
        <v>2</v>
      </c>
      <c r="H903">
        <v>600</v>
      </c>
      <c r="I903">
        <v>3</v>
      </c>
      <c r="J903" cm="1">
        <f t="array" ref="J903">_xlfn.SWITCH(B903,1,75,2,61,3,49,4,37,5,25,6,13,7,4,8,1)</f>
        <v>37</v>
      </c>
      <c r="K903" t="str" cm="1">
        <f t="array" ref="K903">IFERROR(_xlfn.SWITCH(L903,2,_xlfn.XLOOKUP(C903,[1]ModifierDes!$B:$B,[1]ModifierDes!$C:$C),3,_xlfn.XLOOKUP(C903,[1]StuntDes!$B:$B,[1]StuntDes!$C:$C)),"")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412</v>
      </c>
      <c r="D904" t="s">
        <v>34</v>
      </c>
      <c r="E904" t="s">
        <v>405</v>
      </c>
      <c r="G904">
        <v>2</v>
      </c>
      <c r="H904">
        <v>800</v>
      </c>
      <c r="I904">
        <v>3</v>
      </c>
      <c r="J904" cm="1">
        <f t="array" ref="J904">_xlfn.SWITCH(B904,1,75,2,61,3,49,4,37,5,25,6,13,7,4,8,1)</f>
        <v>25</v>
      </c>
      <c r="K904" t="str" cm="1">
        <f t="array" ref="K904">IFERROR(_xlfn.SWITCH(L904,2,_xlfn.XLOOKUP(C904,[1]ModifierDes!$B:$B,[1]ModifierDes!$C:$C),3,_xlfn.XLOOKUP(C904,[1]StuntDes!$B:$B,[1]StuntDes!$C:$C)),"")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412</v>
      </c>
      <c r="D905" t="s">
        <v>34</v>
      </c>
      <c r="E905" t="s">
        <v>405</v>
      </c>
      <c r="G905">
        <v>2</v>
      </c>
      <c r="H905">
        <v>1000</v>
      </c>
      <c r="I905">
        <v>3</v>
      </c>
      <c r="J905" cm="1">
        <f t="array" ref="J905">_xlfn.SWITCH(B905,1,75,2,61,3,49,4,37,5,25,6,13,7,4,8,1)</f>
        <v>13</v>
      </c>
      <c r="K905" t="str" cm="1">
        <f t="array" ref="K905">IFERROR(_xlfn.SWITCH(L905,2,_xlfn.XLOOKUP(C905,[1]ModifierDes!$B:$B,[1]ModifierDes!$C:$C),3,_xlfn.XLOOKUP(C905,[1]StuntDes!$B:$B,[1]StuntDes!$C:$C)),"")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412</v>
      </c>
      <c r="D906" t="s">
        <v>34</v>
      </c>
      <c r="E906" t="s">
        <v>405</v>
      </c>
      <c r="G906">
        <v>2</v>
      </c>
      <c r="H906">
        <v>1000</v>
      </c>
      <c r="I906">
        <v>3</v>
      </c>
      <c r="J906" cm="1">
        <f t="array" ref="J906">_xlfn.SWITCH(B906,1,75,2,61,3,49,4,37,5,25,6,13,7,4,8,1)</f>
        <v>4</v>
      </c>
      <c r="K906" t="str" cm="1">
        <f t="array" ref="K906">IFERROR(_xlfn.SWITCH(L906,2,_xlfn.XLOOKUP(C906,[1]ModifierDes!$B:$B,[1]ModifierDes!$C:$C),3,_xlfn.XLOOKUP(C906,[1]StuntDes!$B:$B,[1]StuntDes!$C:$C)),"")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412</v>
      </c>
      <c r="D907" t="s">
        <v>34</v>
      </c>
      <c r="E907" t="s">
        <v>405</v>
      </c>
      <c r="G907">
        <v>2</v>
      </c>
      <c r="H907">
        <v>1000</v>
      </c>
      <c r="I907">
        <v>3</v>
      </c>
      <c r="J907" cm="1">
        <f t="array" ref="J907">_xlfn.SWITCH(B907,1,75,2,61,3,49,4,37,5,25,6,13,7,4,8,1)</f>
        <v>1</v>
      </c>
      <c r="K907" t="str" cm="1">
        <f t="array" ref="K907">IFERROR(_xlfn.SWITCH(L907,2,_xlfn.XLOOKUP(C907,[1]ModifierDes!$B:$B,[1]ModifierDes!$C:$C),3,_xlfn.XLOOKUP(C907,[1]StuntDes!$B:$B,[1]StuntDes!$C:$C)),"")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438</v>
      </c>
      <c r="D908" t="s">
        <v>34</v>
      </c>
      <c r="E908" t="s">
        <v>405</v>
      </c>
      <c r="G908">
        <v>2</v>
      </c>
      <c r="H908">
        <v>100</v>
      </c>
      <c r="I908">
        <v>3</v>
      </c>
      <c r="J908" cm="1">
        <f t="array" ref="J908">_xlfn.SWITCH(B908,1,75,2,61,3,49,4,37,5,25,6,13,7,4,8,1)</f>
        <v>75</v>
      </c>
      <c r="K908" t="str" cm="1">
        <f t="array" ref="K908">IFERROR(_xlfn.SWITCH(L908,2,_xlfn.XLOOKUP(C908,[1]ModifierDes!$B:$B,[1]ModifierDes!$C:$C),3,_xlfn.XLOOKUP(C908,[1]StuntDes!$B:$B,[1]StuntDes!$C:$C)),"")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438</v>
      </c>
      <c r="D909" t="s">
        <v>34</v>
      </c>
      <c r="E909" t="s">
        <v>405</v>
      </c>
      <c r="G909">
        <v>2</v>
      </c>
      <c r="H909">
        <v>200</v>
      </c>
      <c r="I909">
        <v>3</v>
      </c>
      <c r="J909" cm="1">
        <f t="array" ref="J909">_xlfn.SWITCH(B909,1,75,2,61,3,49,4,37,5,25,6,13,7,4,8,1)</f>
        <v>61</v>
      </c>
      <c r="K909" t="str" cm="1">
        <f t="array" ref="K909">IFERROR(_xlfn.SWITCH(L909,2,_xlfn.XLOOKUP(C909,[1]ModifierDes!$B:$B,[1]ModifierDes!$C:$C),3,_xlfn.XLOOKUP(C909,[1]StuntDes!$B:$B,[1]StuntDes!$C:$C)),"")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438</v>
      </c>
      <c r="D910" t="s">
        <v>34</v>
      </c>
      <c r="E910" t="s">
        <v>405</v>
      </c>
      <c r="G910">
        <v>2</v>
      </c>
      <c r="H910">
        <v>400</v>
      </c>
      <c r="I910">
        <v>3</v>
      </c>
      <c r="J910" cm="1">
        <f t="array" ref="J910">_xlfn.SWITCH(B910,1,75,2,61,3,49,4,37,5,25,6,13,7,4,8,1)</f>
        <v>49</v>
      </c>
      <c r="K910" t="str" cm="1">
        <f t="array" ref="K910">IFERROR(_xlfn.SWITCH(L910,2,_xlfn.XLOOKUP(C910,[1]ModifierDes!$B:$B,[1]ModifierDes!$C:$C),3,_xlfn.XLOOKUP(C910,[1]StuntDes!$B:$B,[1]StuntDes!$C:$C)),"")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438</v>
      </c>
      <c r="D911" t="s">
        <v>34</v>
      </c>
      <c r="E911" t="s">
        <v>405</v>
      </c>
      <c r="G911">
        <v>2</v>
      </c>
      <c r="H911">
        <v>600</v>
      </c>
      <c r="I911">
        <v>3</v>
      </c>
      <c r="J911" cm="1">
        <f t="array" ref="J911">_xlfn.SWITCH(B911,1,75,2,61,3,49,4,37,5,25,6,13,7,4,8,1)</f>
        <v>37</v>
      </c>
      <c r="K911" t="str" cm="1">
        <f t="array" ref="K911">IFERROR(_xlfn.SWITCH(L911,2,_xlfn.XLOOKUP(C911,[1]ModifierDes!$B:$B,[1]ModifierDes!$C:$C),3,_xlfn.XLOOKUP(C911,[1]StuntDes!$B:$B,[1]StuntDes!$C:$C)),"")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438</v>
      </c>
      <c r="D912" t="s">
        <v>34</v>
      </c>
      <c r="E912" t="s">
        <v>405</v>
      </c>
      <c r="G912">
        <v>2</v>
      </c>
      <c r="H912">
        <v>800</v>
      </c>
      <c r="I912">
        <v>3</v>
      </c>
      <c r="J912" cm="1">
        <f t="array" ref="J912">_xlfn.SWITCH(B912,1,75,2,61,3,49,4,37,5,25,6,13,7,4,8,1)</f>
        <v>25</v>
      </c>
      <c r="K912" t="str" cm="1">
        <f t="array" ref="K912">IFERROR(_xlfn.SWITCH(L912,2,_xlfn.XLOOKUP(C912,[1]ModifierDes!$B:$B,[1]ModifierDes!$C:$C),3,_xlfn.XLOOKUP(C912,[1]StuntDes!$B:$B,[1]StuntDes!$C:$C)),"")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438</v>
      </c>
      <c r="D913" t="s">
        <v>34</v>
      </c>
      <c r="E913" t="s">
        <v>405</v>
      </c>
      <c r="G913">
        <v>2</v>
      </c>
      <c r="H913">
        <v>1000</v>
      </c>
      <c r="I913">
        <v>3</v>
      </c>
      <c r="J913" cm="1">
        <f t="array" ref="J913">_xlfn.SWITCH(B913,1,75,2,61,3,49,4,37,5,25,6,13,7,4,8,1)</f>
        <v>13</v>
      </c>
      <c r="K913" t="str" cm="1">
        <f t="array" ref="K913">IFERROR(_xlfn.SWITCH(L913,2,_xlfn.XLOOKUP(C913,[1]ModifierDes!$B:$B,[1]ModifierDes!$C:$C),3,_xlfn.XLOOKUP(C913,[1]StuntDes!$B:$B,[1]StuntDes!$C:$C)),"")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438</v>
      </c>
      <c r="D914" t="s">
        <v>34</v>
      </c>
      <c r="E914" t="s">
        <v>405</v>
      </c>
      <c r="G914">
        <v>2</v>
      </c>
      <c r="H914">
        <v>1000</v>
      </c>
      <c r="I914">
        <v>3</v>
      </c>
      <c r="J914" cm="1">
        <f t="array" ref="J914">_xlfn.SWITCH(B914,1,75,2,61,3,49,4,37,5,25,6,13,7,4,8,1)</f>
        <v>4</v>
      </c>
      <c r="K914" t="str" cm="1">
        <f t="array" ref="K914">IFERROR(_xlfn.SWITCH(L914,2,_xlfn.XLOOKUP(C914,[1]ModifierDes!$B:$B,[1]ModifierDes!$C:$C),3,_xlfn.XLOOKUP(C914,[1]StuntDes!$B:$B,[1]StuntDes!$C:$C)),"")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438</v>
      </c>
      <c r="D915" t="s">
        <v>34</v>
      </c>
      <c r="E915" t="s">
        <v>405</v>
      </c>
      <c r="G915">
        <v>2</v>
      </c>
      <c r="H915">
        <v>1000</v>
      </c>
      <c r="I915">
        <v>3</v>
      </c>
      <c r="J915" cm="1">
        <f t="array" ref="J915">_xlfn.SWITCH(B915,1,75,2,61,3,49,4,37,5,25,6,13,7,4,8,1)</f>
        <v>1</v>
      </c>
      <c r="K915" t="str" cm="1">
        <f t="array" ref="K915">IFERROR(_xlfn.SWITCH(L915,2,_xlfn.XLOOKUP(C915,[1]ModifierDes!$B:$B,[1]ModifierDes!$C:$C),3,_xlfn.XLOOKUP(C915,[1]StuntDes!$B:$B,[1]StuntDes!$C:$C)),"")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398</v>
      </c>
      <c r="D916" t="s">
        <v>33</v>
      </c>
      <c r="E916" t="s">
        <v>405</v>
      </c>
      <c r="G916">
        <v>2</v>
      </c>
      <c r="H916">
        <v>1000</v>
      </c>
      <c r="J916" cm="1">
        <f t="array" ref="J916">_xlfn.SWITCH(B916,1,75,2,61,3,49,4,37,5,25,6,13,7,4,8,1)</f>
        <v>75</v>
      </c>
      <c r="K916" t="str" cm="1">
        <f t="array" ref="K916">IFERROR(_xlfn.SWITCH(L916,2,_xlfn.XLOOKUP(C916,[1]ModifierDes!$B:$B,[1]ModifierDes!$C:$C),3,_xlfn.XLOOKUP(C916,[1]StuntDes!$B:$B,[1]StuntDes!$C:$C)),"")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398</v>
      </c>
      <c r="D917" t="s">
        <v>33</v>
      </c>
      <c r="E917" t="s">
        <v>405</v>
      </c>
      <c r="G917">
        <v>2</v>
      </c>
      <c r="H917">
        <v>1000</v>
      </c>
      <c r="J917" cm="1">
        <f t="array" ref="J917">_xlfn.SWITCH(B917,1,75,2,61,3,49,4,37,5,25,6,13,7,4,8,1)</f>
        <v>61</v>
      </c>
      <c r="K917" t="str" cm="1">
        <f t="array" ref="K917">IFERROR(_xlfn.SWITCH(L917,2,_xlfn.XLOOKUP(C917,[1]ModifierDes!$B:$B,[1]ModifierDes!$C:$C),3,_xlfn.XLOOKUP(C917,[1]StuntDes!$B:$B,[1]StuntDes!$C:$C)),"")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398</v>
      </c>
      <c r="D918" t="s">
        <v>33</v>
      </c>
      <c r="E918" t="s">
        <v>405</v>
      </c>
      <c r="G918">
        <v>2</v>
      </c>
      <c r="H918">
        <v>1000</v>
      </c>
      <c r="J918" cm="1">
        <f t="array" ref="J918">_xlfn.SWITCH(B918,1,75,2,61,3,49,4,37,5,25,6,13,7,4,8,1)</f>
        <v>49</v>
      </c>
      <c r="K918" t="str" cm="1">
        <f t="array" ref="K918">IFERROR(_xlfn.SWITCH(L918,2,_xlfn.XLOOKUP(C918,[1]ModifierDes!$B:$B,[1]ModifierDes!$C:$C),3,_xlfn.XLOOKUP(C918,[1]StuntDes!$B:$B,[1]StuntDes!$C:$C)),"")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398</v>
      </c>
      <c r="D919" t="s">
        <v>33</v>
      </c>
      <c r="E919" t="s">
        <v>405</v>
      </c>
      <c r="G919">
        <v>2</v>
      </c>
      <c r="H919">
        <v>1000</v>
      </c>
      <c r="J919" cm="1">
        <f t="array" ref="J919">_xlfn.SWITCH(B919,1,75,2,61,3,49,4,37,5,25,6,13,7,4,8,1)</f>
        <v>37</v>
      </c>
      <c r="K919" t="str" cm="1">
        <f t="array" ref="K919">IFERROR(_xlfn.SWITCH(L919,2,_xlfn.XLOOKUP(C919,[1]ModifierDes!$B:$B,[1]ModifierDes!$C:$C),3,_xlfn.XLOOKUP(C919,[1]StuntDes!$B:$B,[1]StuntDes!$C:$C)),"")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398</v>
      </c>
      <c r="D920" t="s">
        <v>33</v>
      </c>
      <c r="E920" t="s">
        <v>405</v>
      </c>
      <c r="G920">
        <v>2</v>
      </c>
      <c r="H920">
        <v>1000</v>
      </c>
      <c r="J920" cm="1">
        <f t="array" ref="J920">_xlfn.SWITCH(B920,1,75,2,61,3,49,4,37,5,25,6,13,7,4,8,1)</f>
        <v>25</v>
      </c>
      <c r="K920" t="str" cm="1">
        <f t="array" ref="K920">IFERROR(_xlfn.SWITCH(L920,2,_xlfn.XLOOKUP(C920,[1]ModifierDes!$B:$B,[1]ModifierDes!$C:$C),3,_xlfn.XLOOKUP(C920,[1]StuntDes!$B:$B,[1]StuntDes!$C:$C)),"")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398</v>
      </c>
      <c r="D921" t="s">
        <v>33</v>
      </c>
      <c r="E921" t="s">
        <v>405</v>
      </c>
      <c r="G921">
        <v>2</v>
      </c>
      <c r="H921">
        <v>1000</v>
      </c>
      <c r="J921" cm="1">
        <f t="array" ref="J921">_xlfn.SWITCH(B921,1,75,2,61,3,49,4,37,5,25,6,13,7,4,8,1)</f>
        <v>13</v>
      </c>
      <c r="K921" t="str" cm="1">
        <f t="array" ref="K921">IFERROR(_xlfn.SWITCH(L921,2,_xlfn.XLOOKUP(C921,[1]ModifierDes!$B:$B,[1]ModifierDes!$C:$C),3,_xlfn.XLOOKUP(C921,[1]StuntDes!$B:$B,[1]StuntDes!$C:$C)),"")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398</v>
      </c>
      <c r="D922" t="s">
        <v>33</v>
      </c>
      <c r="E922" t="s">
        <v>405</v>
      </c>
      <c r="G922">
        <v>2</v>
      </c>
      <c r="H922">
        <v>1000</v>
      </c>
      <c r="J922" cm="1">
        <f t="array" ref="J922">_xlfn.SWITCH(B922,1,75,2,61,3,49,4,37,5,25,6,13,7,4,8,1)</f>
        <v>4</v>
      </c>
      <c r="K922" t="str" cm="1">
        <f t="array" ref="K922">IFERROR(_xlfn.SWITCH(L922,2,_xlfn.XLOOKUP(C922,[1]ModifierDes!$B:$B,[1]ModifierDes!$C:$C),3,_xlfn.XLOOKUP(C922,[1]StuntDes!$B:$B,[1]StuntDes!$C:$C)),"")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398</v>
      </c>
      <c r="D923" t="s">
        <v>33</v>
      </c>
      <c r="E923" t="s">
        <v>405</v>
      </c>
      <c r="G923">
        <v>2</v>
      </c>
      <c r="H923">
        <v>1000</v>
      </c>
      <c r="J923" cm="1">
        <f t="array" ref="J923">_xlfn.SWITCH(B923,1,75,2,61,3,49,4,37,5,25,6,13,7,4,8,1)</f>
        <v>1</v>
      </c>
      <c r="K923" t="str" cm="1">
        <f t="array" ref="K923">IFERROR(_xlfn.SWITCH(L923,2,_xlfn.XLOOKUP(C923,[1]ModifierDes!$B:$B,[1]ModifierDes!$C:$C),3,_xlfn.XLOOKUP(C923,[1]StuntDes!$B:$B,[1]StuntDes!$C:$C)),"")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439</v>
      </c>
      <c r="D924" t="s">
        <v>33</v>
      </c>
      <c r="E924" t="s">
        <v>405</v>
      </c>
      <c r="G924">
        <v>2</v>
      </c>
      <c r="H924">
        <v>1000</v>
      </c>
      <c r="J924" cm="1">
        <f t="array" ref="J924">_xlfn.SWITCH(B924,1,75,2,61,3,49,4,37,5,25,6,13,7,4,8,1)</f>
        <v>75</v>
      </c>
      <c r="K924" t="str" cm="1">
        <f t="array" ref="K924">IFERROR(_xlfn.SWITCH(L924,2,_xlfn.XLOOKUP(C924,[1]ModifierDes!$B:$B,[1]ModifierDes!$C:$C),3,_xlfn.XLOOKUP(C924,[1]StuntDes!$B:$B,[1]StuntDes!$C:$C)),"")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439</v>
      </c>
      <c r="D925" t="s">
        <v>33</v>
      </c>
      <c r="E925" t="s">
        <v>405</v>
      </c>
      <c r="G925">
        <v>2</v>
      </c>
      <c r="H925">
        <v>1000</v>
      </c>
      <c r="J925" cm="1">
        <f t="array" ref="J925">_xlfn.SWITCH(B925,1,75,2,61,3,49,4,37,5,25,6,13,7,4,8,1)</f>
        <v>61</v>
      </c>
      <c r="K925" t="str" cm="1">
        <f t="array" ref="K925">IFERROR(_xlfn.SWITCH(L925,2,_xlfn.XLOOKUP(C925,[1]ModifierDes!$B:$B,[1]ModifierDes!$C:$C),3,_xlfn.XLOOKUP(C925,[1]StuntDes!$B:$B,[1]StuntDes!$C:$C)),"")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439</v>
      </c>
      <c r="D926" t="s">
        <v>33</v>
      </c>
      <c r="E926" t="s">
        <v>405</v>
      </c>
      <c r="G926">
        <v>2</v>
      </c>
      <c r="H926">
        <v>1000</v>
      </c>
      <c r="J926" cm="1">
        <f t="array" ref="J926">_xlfn.SWITCH(B926,1,75,2,61,3,49,4,37,5,25,6,13,7,4,8,1)</f>
        <v>49</v>
      </c>
      <c r="K926" t="str" cm="1">
        <f t="array" ref="K926">IFERROR(_xlfn.SWITCH(L926,2,_xlfn.XLOOKUP(C926,[1]ModifierDes!$B:$B,[1]ModifierDes!$C:$C),3,_xlfn.XLOOKUP(C926,[1]StuntDes!$B:$B,[1]StuntDes!$C:$C)),"")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439</v>
      </c>
      <c r="D927" t="s">
        <v>33</v>
      </c>
      <c r="E927" t="s">
        <v>405</v>
      </c>
      <c r="G927">
        <v>2</v>
      </c>
      <c r="H927">
        <v>1000</v>
      </c>
      <c r="J927" cm="1">
        <f t="array" ref="J927">_xlfn.SWITCH(B927,1,75,2,61,3,49,4,37,5,25,6,13,7,4,8,1)</f>
        <v>37</v>
      </c>
      <c r="K927" t="str" cm="1">
        <f t="array" ref="K927">IFERROR(_xlfn.SWITCH(L927,2,_xlfn.XLOOKUP(C927,[1]ModifierDes!$B:$B,[1]ModifierDes!$C:$C),3,_xlfn.XLOOKUP(C927,[1]StuntDes!$B:$B,[1]StuntDes!$C:$C)),"")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439</v>
      </c>
      <c r="D928" t="s">
        <v>33</v>
      </c>
      <c r="E928" t="s">
        <v>405</v>
      </c>
      <c r="G928">
        <v>2</v>
      </c>
      <c r="H928">
        <v>1000</v>
      </c>
      <c r="J928" cm="1">
        <f t="array" ref="J928">_xlfn.SWITCH(B928,1,75,2,61,3,49,4,37,5,25,6,13,7,4,8,1)</f>
        <v>25</v>
      </c>
      <c r="K928" t="str" cm="1">
        <f t="array" ref="K928">IFERROR(_xlfn.SWITCH(L928,2,_xlfn.XLOOKUP(C928,[1]ModifierDes!$B:$B,[1]ModifierDes!$C:$C),3,_xlfn.XLOOKUP(C928,[1]StuntDes!$B:$B,[1]StuntDes!$C:$C)),"")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439</v>
      </c>
      <c r="D929" t="s">
        <v>33</v>
      </c>
      <c r="E929" t="s">
        <v>405</v>
      </c>
      <c r="G929">
        <v>2</v>
      </c>
      <c r="H929">
        <v>1000</v>
      </c>
      <c r="J929" cm="1">
        <f t="array" ref="J929">_xlfn.SWITCH(B929,1,75,2,61,3,49,4,37,5,25,6,13,7,4,8,1)</f>
        <v>13</v>
      </c>
      <c r="K929" t="str" cm="1">
        <f t="array" ref="K929">IFERROR(_xlfn.SWITCH(L929,2,_xlfn.XLOOKUP(C929,[1]ModifierDes!$B:$B,[1]ModifierDes!$C:$C),3,_xlfn.XLOOKUP(C929,[1]StuntDes!$B:$B,[1]StuntDes!$C:$C)),"")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439</v>
      </c>
      <c r="D930" t="s">
        <v>33</v>
      </c>
      <c r="E930" t="s">
        <v>405</v>
      </c>
      <c r="G930">
        <v>2</v>
      </c>
      <c r="H930">
        <v>1000</v>
      </c>
      <c r="J930" cm="1">
        <f t="array" ref="J930">_xlfn.SWITCH(B930,1,75,2,61,3,49,4,37,5,25,6,13,7,4,8,1)</f>
        <v>4</v>
      </c>
      <c r="K930" t="str" cm="1">
        <f t="array" ref="K930">IFERROR(_xlfn.SWITCH(L930,2,_xlfn.XLOOKUP(C930,[1]ModifierDes!$B:$B,[1]ModifierDes!$C:$C),3,_xlfn.XLOOKUP(C930,[1]StuntDes!$B:$B,[1]StuntDes!$C:$C)),"")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439</v>
      </c>
      <c r="D931" t="s">
        <v>33</v>
      </c>
      <c r="E931" t="s">
        <v>405</v>
      </c>
      <c r="G931">
        <v>2</v>
      </c>
      <c r="H931">
        <v>1000</v>
      </c>
      <c r="J931" cm="1">
        <f t="array" ref="J931">_xlfn.SWITCH(B931,1,75,2,61,3,49,4,37,5,25,6,13,7,4,8,1)</f>
        <v>1</v>
      </c>
      <c r="K931" t="str" cm="1">
        <f t="array" ref="K931">IFERROR(_xlfn.SWITCH(L931,2,_xlfn.XLOOKUP(C931,[1]ModifierDes!$B:$B,[1]ModifierDes!$C:$C),3,_xlfn.XLOOKUP(C931,[1]StuntDes!$B:$B,[1]StuntDes!$C:$C)),"")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419</v>
      </c>
      <c r="D932" t="s">
        <v>34</v>
      </c>
      <c r="E932" t="s">
        <v>405</v>
      </c>
      <c r="F932"/>
      <c r="G932">
        <v>2</v>
      </c>
      <c r="H932">
        <v>1000</v>
      </c>
      <c r="I932"/>
      <c r="J932" cm="1">
        <f t="array" ref="J932">_xlfn.SWITCH(B932,1,75,2,61,3,49,4,37,5,25,6,13,7,4,8,1)</f>
        <v>75</v>
      </c>
      <c r="K932" t="str" cm="1">
        <f t="array" ref="K932">IFERROR(_xlfn.SWITCH(L932,2,_xlfn.XLOOKUP(C932,[1]ModifierDes!$B:$B,[1]ModifierDes!$C:$C),3,_xlfn.XLOOKUP(C932,[1]StuntDes!$B:$B,[1]StuntDes!$C:$C)),"")</f>
        <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419</v>
      </c>
      <c r="D933" t="s">
        <v>34</v>
      </c>
      <c r="E933" t="s">
        <v>405</v>
      </c>
      <c r="F933"/>
      <c r="G933">
        <v>2</v>
      </c>
      <c r="H933">
        <v>1000</v>
      </c>
      <c r="I933"/>
      <c r="J933" cm="1">
        <f t="array" ref="J933">_xlfn.SWITCH(B933,1,75,2,61,3,49,4,37,5,25,6,13,7,4,8,1)</f>
        <v>61</v>
      </c>
      <c r="K933" t="str" cm="1">
        <f t="array" ref="K933">IFERROR(_xlfn.SWITCH(L933,2,_xlfn.XLOOKUP(C933,[1]ModifierDes!$B:$B,[1]ModifierDes!$C:$C),3,_xlfn.XLOOKUP(C933,[1]StuntDes!$B:$B,[1]StuntDes!$C:$C)),"")</f>
        <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419</v>
      </c>
      <c r="D934" t="s">
        <v>34</v>
      </c>
      <c r="E934" t="s">
        <v>405</v>
      </c>
      <c r="F934"/>
      <c r="G934">
        <v>2</v>
      </c>
      <c r="H934">
        <v>1000</v>
      </c>
      <c r="I934"/>
      <c r="J934" cm="1">
        <f t="array" ref="J934">_xlfn.SWITCH(B934,1,75,2,61,3,49,4,37,5,25,6,13,7,4,8,1)</f>
        <v>49</v>
      </c>
      <c r="K934" t="str" cm="1">
        <f t="array" ref="K934">IFERROR(_xlfn.SWITCH(L934,2,_xlfn.XLOOKUP(C934,[1]ModifierDes!$B:$B,[1]ModifierDes!$C:$C),3,_xlfn.XLOOKUP(C934,[1]StuntDes!$B:$B,[1]StuntDes!$C:$C)),"")</f>
        <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419</v>
      </c>
      <c r="D935" t="s">
        <v>34</v>
      </c>
      <c r="E935" t="s">
        <v>405</v>
      </c>
      <c r="F935"/>
      <c r="G935">
        <v>2</v>
      </c>
      <c r="H935">
        <v>1000</v>
      </c>
      <c r="I935"/>
      <c r="J935" cm="1">
        <f t="array" ref="J935">_xlfn.SWITCH(B935,1,75,2,61,3,49,4,37,5,25,6,13,7,4,8,1)</f>
        <v>37</v>
      </c>
      <c r="K935" t="str" cm="1">
        <f t="array" ref="K935">IFERROR(_xlfn.SWITCH(L935,2,_xlfn.XLOOKUP(C935,[1]ModifierDes!$B:$B,[1]ModifierDes!$C:$C),3,_xlfn.XLOOKUP(C935,[1]StuntDes!$B:$B,[1]StuntDes!$C:$C)),"")</f>
        <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419</v>
      </c>
      <c r="D936" t="s">
        <v>34</v>
      </c>
      <c r="E936" t="s">
        <v>405</v>
      </c>
      <c r="F936"/>
      <c r="G936">
        <v>2</v>
      </c>
      <c r="H936">
        <v>1000</v>
      </c>
      <c r="I936"/>
      <c r="J936" cm="1">
        <f t="array" ref="J936">_xlfn.SWITCH(B936,1,75,2,61,3,49,4,37,5,25,6,13,7,4,8,1)</f>
        <v>25</v>
      </c>
      <c r="K936" t="str" cm="1">
        <f t="array" ref="K936">IFERROR(_xlfn.SWITCH(L936,2,_xlfn.XLOOKUP(C936,[1]ModifierDes!$B:$B,[1]ModifierDes!$C:$C),3,_xlfn.XLOOKUP(C936,[1]StuntDes!$B:$B,[1]StuntDes!$C:$C)),"")</f>
        <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419</v>
      </c>
      <c r="D937" t="s">
        <v>34</v>
      </c>
      <c r="E937" t="s">
        <v>405</v>
      </c>
      <c r="F937"/>
      <c r="G937">
        <v>2</v>
      </c>
      <c r="H937">
        <v>1000</v>
      </c>
      <c r="I937"/>
      <c r="J937" cm="1">
        <f t="array" ref="J937">_xlfn.SWITCH(B937,1,75,2,61,3,49,4,37,5,25,6,13,7,4,8,1)</f>
        <v>13</v>
      </c>
      <c r="K937" t="str" cm="1">
        <f t="array" ref="K937">IFERROR(_xlfn.SWITCH(L937,2,_xlfn.XLOOKUP(C937,[1]ModifierDes!$B:$B,[1]ModifierDes!$C:$C),3,_xlfn.XLOOKUP(C937,[1]StuntDes!$B:$B,[1]StuntDes!$C:$C)),"")</f>
        <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419</v>
      </c>
      <c r="D938" t="s">
        <v>34</v>
      </c>
      <c r="E938" t="s">
        <v>405</v>
      </c>
      <c r="F938"/>
      <c r="G938">
        <v>2</v>
      </c>
      <c r="H938">
        <v>1000</v>
      </c>
      <c r="I938"/>
      <c r="J938" cm="1">
        <f t="array" ref="J938">_xlfn.SWITCH(B938,1,75,2,61,3,49,4,37,5,25,6,13,7,4,8,1)</f>
        <v>4</v>
      </c>
      <c r="K938" t="str" cm="1">
        <f t="array" ref="K938">IFERROR(_xlfn.SWITCH(L938,2,_xlfn.XLOOKUP(C938,[1]ModifierDes!$B:$B,[1]ModifierDes!$C:$C),3,_xlfn.XLOOKUP(C938,[1]StuntDes!$B:$B,[1]StuntDes!$C:$C)),"")</f>
        <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419</v>
      </c>
      <c r="D939" t="s">
        <v>34</v>
      </c>
      <c r="E939" t="s">
        <v>405</v>
      </c>
      <c r="F939"/>
      <c r="G939">
        <v>2</v>
      </c>
      <c r="H939">
        <v>1000</v>
      </c>
      <c r="I939"/>
      <c r="J939" cm="1">
        <f t="array" ref="J939">_xlfn.SWITCH(B939,1,75,2,61,3,49,4,37,5,25,6,13,7,4,8,1)</f>
        <v>1</v>
      </c>
      <c r="K939" t="str" cm="1">
        <f t="array" ref="K939">IFERROR(_xlfn.SWITCH(L939,2,_xlfn.XLOOKUP(C939,[1]ModifierDes!$B:$B,[1]ModifierDes!$C:$C),3,_xlfn.XLOOKUP(C939,[1]StuntDes!$B:$B,[1]StuntDes!$C:$C)),"")</f>
        <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440</v>
      </c>
      <c r="D940" t="s">
        <v>34</v>
      </c>
      <c r="E940" t="s">
        <v>405</v>
      </c>
      <c r="F940"/>
      <c r="G940">
        <v>2</v>
      </c>
      <c r="H940">
        <v>1000</v>
      </c>
      <c r="I940"/>
      <c r="J940" cm="1">
        <f t="array" ref="J940">_xlfn.SWITCH(B940,1,75,2,61,3,49,4,37,5,25,6,13,7,4,8,1)</f>
        <v>75</v>
      </c>
      <c r="K940" t="str" cm="1">
        <f t="array" ref="K940">IFERROR(_xlfn.SWITCH(L940,2,_xlfn.XLOOKUP(C940,[1]ModifierDes!$B:$B,[1]ModifierDes!$C:$C),3,_xlfn.XLOOKUP(C940,[1]StuntDes!$B:$B,[1]StuntDes!$C:$C)),"")</f>
        <v/>
      </c>
      <c r="L940">
        <f t="shared" si="80"/>
        <v>1</v>
      </c>
      <c r="M940" s="10" t="str">
        <f>IFERROR(_xlfn.XLOOKUP(C940,[1]StuntDes!$B:$B,[1]StuntDes!$A:$A),"")</f>
        <v/>
      </c>
      <c r="N940" s="10" t="str">
        <f>IFERROR(_xlfn.XLOOKUP(C940,[1]ModifierDes!$B:$B,[1]ModifierDes!$A:$A),"")</f>
        <v/>
      </c>
      <c r="O940" s="10">
        <f>IFERROR(_xlfn.XLOOKUP(C940,[1]AttributeName!$C:$C,[1]AttributeName!$B:$B),"")</f>
        <v>10003</v>
      </c>
      <c r="P940" s="10"/>
      <c r="Q940">
        <v>8</v>
      </c>
      <c r="R940">
        <v>10</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440</v>
      </c>
      <c r="D941" t="s">
        <v>34</v>
      </c>
      <c r="E941" t="s">
        <v>405</v>
      </c>
      <c r="F941"/>
      <c r="G941">
        <v>2</v>
      </c>
      <c r="H941">
        <v>1000</v>
      </c>
      <c r="I941"/>
      <c r="J941" cm="1">
        <f t="array" ref="J941">_xlfn.SWITCH(B941,1,75,2,61,3,49,4,37,5,25,6,13,7,4,8,1)</f>
        <v>61</v>
      </c>
      <c r="K941" t="str" cm="1">
        <f t="array" ref="K941">IFERROR(_xlfn.SWITCH(L941,2,_xlfn.XLOOKUP(C941,[1]ModifierDes!$B:$B,[1]ModifierDes!$C:$C),3,_xlfn.XLOOKUP(C941,[1]StuntDes!$B:$B,[1]StuntDes!$C:$C)),"")</f>
        <v/>
      </c>
      <c r="L941">
        <f t="shared" si="80"/>
        <v>1</v>
      </c>
      <c r="M941" s="10" t="str">
        <f>IFERROR(_xlfn.XLOOKUP(C941,[1]StuntDes!$B:$B,[1]StuntDes!$A:$A),"")</f>
        <v/>
      </c>
      <c r="N941" s="10" t="str">
        <f>IFERROR(_xlfn.XLOOKUP(C941,[1]ModifierDes!$B:$B,[1]ModifierDes!$A:$A),"")</f>
        <v/>
      </c>
      <c r="O941" s="10">
        <f>IFERROR(_xlfn.XLOOKUP(C941,[1]AttributeName!$C:$C,[1]AttributeName!$B:$B),"")</f>
        <v>10003</v>
      </c>
      <c r="P941" s="10"/>
      <c r="Q941">
        <v>7</v>
      </c>
      <c r="R941">
        <v>7</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440</v>
      </c>
      <c r="D942" t="s">
        <v>34</v>
      </c>
      <c r="E942" t="s">
        <v>405</v>
      </c>
      <c r="F942"/>
      <c r="G942">
        <v>2</v>
      </c>
      <c r="H942">
        <v>1000</v>
      </c>
      <c r="I942"/>
      <c r="J942" cm="1">
        <f t="array" ref="J942">_xlfn.SWITCH(B942,1,75,2,61,3,49,4,37,5,25,6,13,7,4,8,1)</f>
        <v>49</v>
      </c>
      <c r="K942" t="str" cm="1">
        <f t="array" ref="K942">IFERROR(_xlfn.SWITCH(L942,2,_xlfn.XLOOKUP(C942,[1]ModifierDes!$B:$B,[1]ModifierDes!$C:$C),3,_xlfn.XLOOKUP(C942,[1]StuntDes!$B:$B,[1]StuntDes!$C:$C)),"")</f>
        <v/>
      </c>
      <c r="L942">
        <f t="shared" si="80"/>
        <v>1</v>
      </c>
      <c r="M942" s="10" t="str">
        <f>IFERROR(_xlfn.XLOOKUP(C942,[1]StuntDes!$B:$B,[1]StuntDes!$A:$A),"")</f>
        <v/>
      </c>
      <c r="N942" s="10" t="str">
        <f>IFERROR(_xlfn.XLOOKUP(C942,[1]ModifierDes!$B:$B,[1]ModifierDes!$A:$A),"")</f>
        <v/>
      </c>
      <c r="O942" s="10">
        <f>IFERROR(_xlfn.XLOOKUP(C942,[1]AttributeName!$C:$C,[1]AttributeName!$B:$B),"")</f>
        <v>10003</v>
      </c>
      <c r="P942" s="10"/>
      <c r="Q942">
        <v>6</v>
      </c>
      <c r="R942">
        <v>6</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440</v>
      </c>
      <c r="D943" t="s">
        <v>34</v>
      </c>
      <c r="E943" t="s">
        <v>405</v>
      </c>
      <c r="F943"/>
      <c r="G943">
        <v>2</v>
      </c>
      <c r="H943">
        <v>1000</v>
      </c>
      <c r="I943"/>
      <c r="J943" cm="1">
        <f t="array" ref="J943">_xlfn.SWITCH(B943,1,75,2,61,3,49,4,37,5,25,6,13,7,4,8,1)</f>
        <v>37</v>
      </c>
      <c r="K943" t="str" cm="1">
        <f t="array" ref="K943">IFERROR(_xlfn.SWITCH(L943,2,_xlfn.XLOOKUP(C943,[1]ModifierDes!$B:$B,[1]ModifierDes!$C:$C),3,_xlfn.XLOOKUP(C943,[1]StuntDes!$B:$B,[1]StuntDes!$C:$C)),"")</f>
        <v/>
      </c>
      <c r="L943">
        <f t="shared" si="80"/>
        <v>1</v>
      </c>
      <c r="M943" s="10" t="str">
        <f>IFERROR(_xlfn.XLOOKUP(C943,[1]StuntDes!$B:$B,[1]StuntDes!$A:$A),"")</f>
        <v/>
      </c>
      <c r="N943" s="10" t="str">
        <f>IFERROR(_xlfn.XLOOKUP(C943,[1]ModifierDes!$B:$B,[1]ModifierDes!$A:$A),"")</f>
        <v/>
      </c>
      <c r="O943" s="10">
        <f>IFERROR(_xlfn.XLOOKUP(C943,[1]AttributeName!$C:$C,[1]AttributeName!$B:$B),"")</f>
        <v>10003</v>
      </c>
      <c r="P943" s="10"/>
      <c r="Q943">
        <v>5</v>
      </c>
      <c r="R943">
        <v>5</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440</v>
      </c>
      <c r="D944" t="s">
        <v>34</v>
      </c>
      <c r="E944" t="s">
        <v>405</v>
      </c>
      <c r="F944"/>
      <c r="G944">
        <v>2</v>
      </c>
      <c r="H944">
        <v>1000</v>
      </c>
      <c r="I944"/>
      <c r="J944" cm="1">
        <f t="array" ref="J944">_xlfn.SWITCH(B944,1,75,2,61,3,49,4,37,5,25,6,13,7,4,8,1)</f>
        <v>25</v>
      </c>
      <c r="K944" t="str" cm="1">
        <f t="array" ref="K944">IFERROR(_xlfn.SWITCH(L944,2,_xlfn.XLOOKUP(C944,[1]ModifierDes!$B:$B,[1]ModifierDes!$C:$C),3,_xlfn.XLOOKUP(C944,[1]StuntDes!$B:$B,[1]StuntDes!$C:$C)),"")</f>
        <v/>
      </c>
      <c r="L944">
        <f t="shared" si="80"/>
        <v>1</v>
      </c>
      <c r="M944" s="10" t="str">
        <f>IFERROR(_xlfn.XLOOKUP(C944,[1]StuntDes!$B:$B,[1]StuntDes!$A:$A),"")</f>
        <v/>
      </c>
      <c r="N944" s="10" t="str">
        <f>IFERROR(_xlfn.XLOOKUP(C944,[1]ModifierDes!$B:$B,[1]ModifierDes!$A:$A),"")</f>
        <v/>
      </c>
      <c r="O944" s="10">
        <f>IFERROR(_xlfn.XLOOKUP(C944,[1]AttributeName!$C:$C,[1]AttributeName!$B:$B),"")</f>
        <v>10003</v>
      </c>
      <c r="P944" s="10"/>
      <c r="Q944">
        <v>4</v>
      </c>
      <c r="R944">
        <v>4</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440</v>
      </c>
      <c r="D945" t="s">
        <v>34</v>
      </c>
      <c r="E945" t="s">
        <v>405</v>
      </c>
      <c r="F945"/>
      <c r="G945">
        <v>2</v>
      </c>
      <c r="H945">
        <v>1000</v>
      </c>
      <c r="I945"/>
      <c r="J945" cm="1">
        <f t="array" ref="J945">_xlfn.SWITCH(B945,1,75,2,61,3,49,4,37,5,25,6,13,7,4,8,1)</f>
        <v>13</v>
      </c>
      <c r="K945" t="str" cm="1">
        <f t="array" ref="K945">IFERROR(_xlfn.SWITCH(L945,2,_xlfn.XLOOKUP(C945,[1]ModifierDes!$B:$B,[1]ModifierDes!$C:$C),3,_xlfn.XLOOKUP(C945,[1]StuntDes!$B:$B,[1]StuntDes!$C:$C)),"")</f>
        <v/>
      </c>
      <c r="L945">
        <f t="shared" si="80"/>
        <v>1</v>
      </c>
      <c r="M945" s="10" t="str">
        <f>IFERROR(_xlfn.XLOOKUP(C945,[1]StuntDes!$B:$B,[1]StuntDes!$A:$A),"")</f>
        <v/>
      </c>
      <c r="N945" s="10" t="str">
        <f>IFERROR(_xlfn.XLOOKUP(C945,[1]ModifierDes!$B:$B,[1]ModifierDes!$A:$A),"")</f>
        <v/>
      </c>
      <c r="O945" s="10">
        <f>IFERROR(_xlfn.XLOOKUP(C945,[1]AttributeName!$C:$C,[1]AttributeName!$B:$B),"")</f>
        <v>10003</v>
      </c>
      <c r="P945" s="10"/>
      <c r="Q945">
        <v>3</v>
      </c>
      <c r="R945">
        <v>3</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440</v>
      </c>
      <c r="D946" t="s">
        <v>34</v>
      </c>
      <c r="E946" t="s">
        <v>405</v>
      </c>
      <c r="F946"/>
      <c r="G946">
        <v>2</v>
      </c>
      <c r="H946">
        <v>1000</v>
      </c>
      <c r="I946"/>
      <c r="J946" cm="1">
        <f t="array" ref="J946">_xlfn.SWITCH(B946,1,75,2,61,3,49,4,37,5,25,6,13,7,4,8,1)</f>
        <v>4</v>
      </c>
      <c r="K946" t="str" cm="1">
        <f t="array" ref="K946">IFERROR(_xlfn.SWITCH(L946,2,_xlfn.XLOOKUP(C946,[1]ModifierDes!$B:$B,[1]ModifierDes!$C:$C),3,_xlfn.XLOOKUP(C946,[1]StuntDes!$B:$B,[1]StuntDes!$C:$C)),"")</f>
        <v/>
      </c>
      <c r="L946">
        <f t="shared" si="80"/>
        <v>1</v>
      </c>
      <c r="M946" s="10" t="str">
        <f>IFERROR(_xlfn.XLOOKUP(C946,[1]StuntDes!$B:$B,[1]StuntDes!$A:$A),"")</f>
        <v/>
      </c>
      <c r="N946" s="10" t="str">
        <f>IFERROR(_xlfn.XLOOKUP(C946,[1]ModifierDes!$B:$B,[1]ModifierDes!$A:$A),"")</f>
        <v/>
      </c>
      <c r="O946" s="10">
        <f>IFERROR(_xlfn.XLOOKUP(C946,[1]AttributeName!$C:$C,[1]AttributeName!$B:$B),"")</f>
        <v>10003</v>
      </c>
      <c r="P946" s="10"/>
      <c r="Q946">
        <v>2</v>
      </c>
      <c r="R946">
        <v>2</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440</v>
      </c>
      <c r="D947" t="s">
        <v>34</v>
      </c>
      <c r="E947" t="s">
        <v>405</v>
      </c>
      <c r="F947"/>
      <c r="G947">
        <v>2</v>
      </c>
      <c r="H947">
        <v>1000</v>
      </c>
      <c r="I947"/>
      <c r="J947" cm="1">
        <f t="array" ref="J947">_xlfn.SWITCH(B947,1,75,2,61,3,49,4,37,5,25,6,13,7,4,8,1)</f>
        <v>1</v>
      </c>
      <c r="K947" t="str" cm="1">
        <f t="array" ref="K947">IFERROR(_xlfn.SWITCH(L947,2,_xlfn.XLOOKUP(C947,[1]ModifierDes!$B:$B,[1]ModifierDes!$C:$C),3,_xlfn.XLOOKUP(C947,[1]StuntDes!$B:$B,[1]StuntDes!$C:$C)),"")</f>
        <v/>
      </c>
      <c r="L947">
        <f t="shared" si="80"/>
        <v>1</v>
      </c>
      <c r="M947" s="10" t="str">
        <f>IFERROR(_xlfn.XLOOKUP(C947,[1]StuntDes!$B:$B,[1]StuntDes!$A:$A),"")</f>
        <v/>
      </c>
      <c r="N947" s="10" t="str">
        <f>IFERROR(_xlfn.XLOOKUP(C947,[1]ModifierDes!$B:$B,[1]ModifierDes!$A:$A),"")</f>
        <v/>
      </c>
      <c r="O947" s="10">
        <f>IFERROR(_xlfn.XLOOKUP(C947,[1]AttributeName!$C:$C,[1]AttributeName!$B:$B),"")</f>
        <v>10003</v>
      </c>
      <c r="P947" s="10"/>
      <c r="Q947">
        <v>1</v>
      </c>
      <c r="R947">
        <v>1</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441</v>
      </c>
      <c r="D948" t="s">
        <v>34</v>
      </c>
      <c r="E948" t="s">
        <v>405</v>
      </c>
      <c r="G948">
        <v>2</v>
      </c>
      <c r="H948">
        <v>1000</v>
      </c>
      <c r="J948" cm="1">
        <f t="array" ref="J948">_xlfn.SWITCH(B948,1,75,2,61,3,49,4,37,5,25,6,13,7,4,8,1)</f>
        <v>75</v>
      </c>
      <c r="K948" t="str" cm="1">
        <f t="array" ref="K948">IFERROR(_xlfn.SWITCH(L948,2,_xlfn.XLOOKUP(C948,[1]ModifierDes!$B:$B,[1]ModifierDes!$C:$C),3,_xlfn.XLOOKUP(C948,[1]StuntDes!$B:$B,[1]StuntDes!$C:$C)),"")</f>
        <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8</v>
      </c>
      <c r="R948">
        <v>10</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441</v>
      </c>
      <c r="D949" t="s">
        <v>34</v>
      </c>
      <c r="E949" t="s">
        <v>405</v>
      </c>
      <c r="G949">
        <v>2</v>
      </c>
      <c r="H949">
        <v>1000</v>
      </c>
      <c r="J949" cm="1">
        <f t="array" ref="J949">_xlfn.SWITCH(B949,1,75,2,61,3,49,4,37,5,25,6,13,7,4,8,1)</f>
        <v>61</v>
      </c>
      <c r="K949" t="str" cm="1">
        <f t="array" ref="K949">IFERROR(_xlfn.SWITCH(L949,2,_xlfn.XLOOKUP(C949,[1]ModifierDes!$B:$B,[1]ModifierDes!$C:$C),3,_xlfn.XLOOKUP(C949,[1]StuntDes!$B:$B,[1]StuntDes!$C:$C)),"")</f>
        <v/>
      </c>
      <c r="L949">
        <f t="shared" si="82"/>
        <v>1</v>
      </c>
      <c r="M949" s="10" t="str">
        <f>IFERROR(_xlfn.XLOOKUP(C949,[1]StuntDes!$B:$B,[1]StuntDes!$A:$A),"")</f>
        <v/>
      </c>
      <c r="N949" s="10" t="str">
        <f>IFERROR(_xlfn.XLOOKUP(C949,[1]ModifierDes!$B:$B,[1]ModifierDes!$A:$A),"")</f>
        <v/>
      </c>
      <c r="O949" s="10">
        <f>IFERROR(_xlfn.XLOOKUP(C949,[1]AttributeName!$C:$C,[1]AttributeName!$B:$B),"")</f>
        <v>10005</v>
      </c>
      <c r="P949" s="10"/>
      <c r="Q949">
        <v>7</v>
      </c>
      <c r="R949">
        <v>7</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441</v>
      </c>
      <c r="D950" t="s">
        <v>34</v>
      </c>
      <c r="E950" t="s">
        <v>405</v>
      </c>
      <c r="G950">
        <v>2</v>
      </c>
      <c r="H950">
        <v>1000</v>
      </c>
      <c r="J950" cm="1">
        <f t="array" ref="J950">_xlfn.SWITCH(B950,1,75,2,61,3,49,4,37,5,25,6,13,7,4,8,1)</f>
        <v>49</v>
      </c>
      <c r="K950" t="str" cm="1">
        <f t="array" ref="K950">IFERROR(_xlfn.SWITCH(L950,2,_xlfn.XLOOKUP(C950,[1]ModifierDes!$B:$B,[1]ModifierDes!$C:$C),3,_xlfn.XLOOKUP(C950,[1]StuntDes!$B:$B,[1]StuntDes!$C:$C)),"")</f>
        <v/>
      </c>
      <c r="L950">
        <f t="shared" si="82"/>
        <v>1</v>
      </c>
      <c r="M950" s="10" t="str">
        <f>IFERROR(_xlfn.XLOOKUP(C950,[1]StuntDes!$B:$B,[1]StuntDes!$A:$A),"")</f>
        <v/>
      </c>
      <c r="N950" s="10" t="str">
        <f>IFERROR(_xlfn.XLOOKUP(C950,[1]ModifierDes!$B:$B,[1]ModifierDes!$A:$A),"")</f>
        <v/>
      </c>
      <c r="O950" s="10">
        <f>IFERROR(_xlfn.XLOOKUP(C950,[1]AttributeName!$C:$C,[1]AttributeName!$B:$B),"")</f>
        <v>10005</v>
      </c>
      <c r="P950" s="10"/>
      <c r="Q950">
        <v>6</v>
      </c>
      <c r="R950">
        <v>6</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441</v>
      </c>
      <c r="D951" t="s">
        <v>34</v>
      </c>
      <c r="E951" t="s">
        <v>405</v>
      </c>
      <c r="G951">
        <v>2</v>
      </c>
      <c r="H951">
        <v>1000</v>
      </c>
      <c r="J951" cm="1">
        <f t="array" ref="J951">_xlfn.SWITCH(B951,1,75,2,61,3,49,4,37,5,25,6,13,7,4,8,1)</f>
        <v>37</v>
      </c>
      <c r="K951" t="str" cm="1">
        <f t="array" ref="K951">IFERROR(_xlfn.SWITCH(L951,2,_xlfn.XLOOKUP(C951,[1]ModifierDes!$B:$B,[1]ModifierDes!$C:$C),3,_xlfn.XLOOKUP(C951,[1]StuntDes!$B:$B,[1]StuntDes!$C:$C)),"")</f>
        <v/>
      </c>
      <c r="L951">
        <f t="shared" si="82"/>
        <v>1</v>
      </c>
      <c r="M951" s="10" t="str">
        <f>IFERROR(_xlfn.XLOOKUP(C951,[1]StuntDes!$B:$B,[1]StuntDes!$A:$A),"")</f>
        <v/>
      </c>
      <c r="N951" s="10" t="str">
        <f>IFERROR(_xlfn.XLOOKUP(C951,[1]ModifierDes!$B:$B,[1]ModifierDes!$A:$A),"")</f>
        <v/>
      </c>
      <c r="O951" s="10">
        <f>IFERROR(_xlfn.XLOOKUP(C951,[1]AttributeName!$C:$C,[1]AttributeName!$B:$B),"")</f>
        <v>10005</v>
      </c>
      <c r="P951" s="10"/>
      <c r="Q951">
        <v>5</v>
      </c>
      <c r="R951">
        <v>5</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441</v>
      </c>
      <c r="D952" t="s">
        <v>34</v>
      </c>
      <c r="E952" t="s">
        <v>405</v>
      </c>
      <c r="G952">
        <v>2</v>
      </c>
      <c r="H952">
        <v>1000</v>
      </c>
      <c r="J952" cm="1">
        <f t="array" ref="J952">_xlfn.SWITCH(B952,1,75,2,61,3,49,4,37,5,25,6,13,7,4,8,1)</f>
        <v>25</v>
      </c>
      <c r="K952" t="str" cm="1">
        <f t="array" ref="K952">IFERROR(_xlfn.SWITCH(L952,2,_xlfn.XLOOKUP(C952,[1]ModifierDes!$B:$B,[1]ModifierDes!$C:$C),3,_xlfn.XLOOKUP(C952,[1]StuntDes!$B:$B,[1]StuntDes!$C:$C)),"")</f>
        <v/>
      </c>
      <c r="L952">
        <f t="shared" si="82"/>
        <v>1</v>
      </c>
      <c r="M952" s="10" t="str">
        <f>IFERROR(_xlfn.XLOOKUP(C952,[1]StuntDes!$B:$B,[1]StuntDes!$A:$A),"")</f>
        <v/>
      </c>
      <c r="N952" s="10" t="str">
        <f>IFERROR(_xlfn.XLOOKUP(C952,[1]ModifierDes!$B:$B,[1]ModifierDes!$A:$A),"")</f>
        <v/>
      </c>
      <c r="O952" s="10">
        <f>IFERROR(_xlfn.XLOOKUP(C952,[1]AttributeName!$C:$C,[1]AttributeName!$B:$B),"")</f>
        <v>10005</v>
      </c>
      <c r="P952" s="10"/>
      <c r="Q952">
        <v>4</v>
      </c>
      <c r="R952">
        <v>4</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441</v>
      </c>
      <c r="D953" t="s">
        <v>34</v>
      </c>
      <c r="E953" t="s">
        <v>405</v>
      </c>
      <c r="G953">
        <v>2</v>
      </c>
      <c r="H953">
        <v>1000</v>
      </c>
      <c r="J953" cm="1">
        <f t="array" ref="J953">_xlfn.SWITCH(B953,1,75,2,61,3,49,4,37,5,25,6,13,7,4,8,1)</f>
        <v>13</v>
      </c>
      <c r="K953" t="str" cm="1">
        <f t="array" ref="K953">IFERROR(_xlfn.SWITCH(L953,2,_xlfn.XLOOKUP(C953,[1]ModifierDes!$B:$B,[1]ModifierDes!$C:$C),3,_xlfn.XLOOKUP(C953,[1]StuntDes!$B:$B,[1]StuntDes!$C:$C)),"")</f>
        <v/>
      </c>
      <c r="L953">
        <f t="shared" si="82"/>
        <v>1</v>
      </c>
      <c r="M953" s="10" t="str">
        <f>IFERROR(_xlfn.XLOOKUP(C953,[1]StuntDes!$B:$B,[1]StuntDes!$A:$A),"")</f>
        <v/>
      </c>
      <c r="N953" s="10" t="str">
        <f>IFERROR(_xlfn.XLOOKUP(C953,[1]ModifierDes!$B:$B,[1]ModifierDes!$A:$A),"")</f>
        <v/>
      </c>
      <c r="O953" s="10">
        <f>IFERROR(_xlfn.XLOOKUP(C953,[1]AttributeName!$C:$C,[1]AttributeName!$B:$B),"")</f>
        <v>10005</v>
      </c>
      <c r="P953" s="10"/>
      <c r="Q953">
        <v>3</v>
      </c>
      <c r="R953">
        <v>3</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441</v>
      </c>
      <c r="D954" t="s">
        <v>34</v>
      </c>
      <c r="E954" t="s">
        <v>405</v>
      </c>
      <c r="G954">
        <v>2</v>
      </c>
      <c r="H954">
        <v>1000</v>
      </c>
      <c r="J954" cm="1">
        <f t="array" ref="J954">_xlfn.SWITCH(B954,1,75,2,61,3,49,4,37,5,25,6,13,7,4,8,1)</f>
        <v>4</v>
      </c>
      <c r="K954" t="str" cm="1">
        <f t="array" ref="K954">IFERROR(_xlfn.SWITCH(L954,2,_xlfn.XLOOKUP(C954,[1]ModifierDes!$B:$B,[1]ModifierDes!$C:$C),3,_xlfn.XLOOKUP(C954,[1]StuntDes!$B:$B,[1]StuntDes!$C:$C)),"")</f>
        <v/>
      </c>
      <c r="L954">
        <f t="shared" si="82"/>
        <v>1</v>
      </c>
      <c r="M954" s="10" t="str">
        <f>IFERROR(_xlfn.XLOOKUP(C954,[1]StuntDes!$B:$B,[1]StuntDes!$A:$A),"")</f>
        <v/>
      </c>
      <c r="N954" s="10" t="str">
        <f>IFERROR(_xlfn.XLOOKUP(C954,[1]ModifierDes!$B:$B,[1]ModifierDes!$A:$A),"")</f>
        <v/>
      </c>
      <c r="O954" s="10">
        <f>IFERROR(_xlfn.XLOOKUP(C954,[1]AttributeName!$C:$C,[1]AttributeName!$B:$B),"")</f>
        <v>10005</v>
      </c>
      <c r="P954" s="10"/>
      <c r="Q954">
        <v>2</v>
      </c>
      <c r="R954">
        <v>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441</v>
      </c>
      <c r="D955" t="s">
        <v>34</v>
      </c>
      <c r="E955" t="s">
        <v>405</v>
      </c>
      <c r="G955">
        <v>2</v>
      </c>
      <c r="H955">
        <v>1000</v>
      </c>
      <c r="J955" cm="1">
        <f t="array" ref="J955">_xlfn.SWITCH(B955,1,75,2,61,3,49,4,37,5,25,6,13,7,4,8,1)</f>
        <v>1</v>
      </c>
      <c r="K955" t="str" cm="1">
        <f t="array" ref="K955">IFERROR(_xlfn.SWITCH(L955,2,_xlfn.XLOOKUP(C955,[1]ModifierDes!$B:$B,[1]ModifierDes!$C:$C),3,_xlfn.XLOOKUP(C955,[1]StuntDes!$B:$B,[1]StuntDes!$C:$C)),"")</f>
        <v/>
      </c>
      <c r="L955">
        <f t="shared" si="82"/>
        <v>1</v>
      </c>
      <c r="M955" s="10" t="str">
        <f>IFERROR(_xlfn.XLOOKUP(C955,[1]StuntDes!$B:$B,[1]StuntDes!$A:$A),"")</f>
        <v/>
      </c>
      <c r="N955" s="10" t="str">
        <f>IFERROR(_xlfn.XLOOKUP(C955,[1]ModifierDes!$B:$B,[1]ModifierDes!$A:$A),"")</f>
        <v/>
      </c>
      <c r="O955" s="10">
        <f>IFERROR(_xlfn.XLOOKUP(C955,[1]AttributeName!$C:$C,[1]AttributeName!$B:$B),"")</f>
        <v>10005</v>
      </c>
      <c r="P955" s="10"/>
      <c r="Q955">
        <v>1</v>
      </c>
      <c r="R955">
        <v>1</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402</v>
      </c>
      <c r="D956" t="s">
        <v>35</v>
      </c>
      <c r="E956" t="s">
        <v>388</v>
      </c>
      <c r="F956"/>
      <c r="G956">
        <v>1</v>
      </c>
      <c r="H956">
        <v>1000</v>
      </c>
      <c r="I956"/>
      <c r="J956" cm="1">
        <f t="array" ref="J956">_xlfn.SWITCH(B956,1,75,2,61,3,49,4,37,5,25,6,13,7,4,8,1)</f>
        <v>75</v>
      </c>
      <c r="K956" t="str" cm="1">
        <f t="array" ref="K956">IFERROR(_xlfn.SWITCH(L956,2,_xlfn.XLOOKUP(C956,[1]ModifierDes!$B:$B,[1]ModifierDes!$C:$C),3,_xlfn.XLOOKUP(C956,[1]StuntDes!$B:$B,[1]StuntDes!$C:$C)),"")</f>
        <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402</v>
      </c>
      <c r="D957" t="s">
        <v>35</v>
      </c>
      <c r="E957" t="s">
        <v>388</v>
      </c>
      <c r="F957"/>
      <c r="G957">
        <v>1</v>
      </c>
      <c r="H957">
        <v>1000</v>
      </c>
      <c r="I957"/>
      <c r="J957" cm="1">
        <f t="array" ref="J957">_xlfn.SWITCH(B957,1,75,2,61,3,49,4,37,5,25,6,13,7,4,8,1)</f>
        <v>61</v>
      </c>
      <c r="K957" t="str" cm="1">
        <f t="array" ref="K957">IFERROR(_xlfn.SWITCH(L957,2,_xlfn.XLOOKUP(C957,[1]ModifierDes!$B:$B,[1]ModifierDes!$C:$C),3,_xlfn.XLOOKUP(C957,[1]StuntDes!$B:$B,[1]StuntDes!$C:$C)),"")</f>
        <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402</v>
      </c>
      <c r="D958" t="s">
        <v>35</v>
      </c>
      <c r="E958" t="s">
        <v>388</v>
      </c>
      <c r="F958"/>
      <c r="G958">
        <v>1</v>
      </c>
      <c r="H958">
        <v>1000</v>
      </c>
      <c r="I958"/>
      <c r="J958" cm="1">
        <f t="array" ref="J958">_xlfn.SWITCH(B958,1,75,2,61,3,49,4,37,5,25,6,13,7,4,8,1)</f>
        <v>49</v>
      </c>
      <c r="K958" t="str" cm="1">
        <f t="array" ref="K958">IFERROR(_xlfn.SWITCH(L958,2,_xlfn.XLOOKUP(C958,[1]ModifierDes!$B:$B,[1]ModifierDes!$C:$C),3,_xlfn.XLOOKUP(C958,[1]StuntDes!$B:$B,[1]StuntDes!$C:$C)),"")</f>
        <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402</v>
      </c>
      <c r="D959" t="s">
        <v>35</v>
      </c>
      <c r="E959" t="s">
        <v>388</v>
      </c>
      <c r="F959"/>
      <c r="G959">
        <v>1</v>
      </c>
      <c r="H959">
        <v>1000</v>
      </c>
      <c r="I959"/>
      <c r="J959" cm="1">
        <f t="array" ref="J959">_xlfn.SWITCH(B959,1,75,2,61,3,49,4,37,5,25,6,13,7,4,8,1)</f>
        <v>37</v>
      </c>
      <c r="K959" t="str" cm="1">
        <f t="array" ref="K959">IFERROR(_xlfn.SWITCH(L959,2,_xlfn.XLOOKUP(C959,[1]ModifierDes!$B:$B,[1]ModifierDes!$C:$C),3,_xlfn.XLOOKUP(C959,[1]StuntDes!$B:$B,[1]StuntDes!$C:$C)),"")</f>
        <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402</v>
      </c>
      <c r="D960" t="s">
        <v>35</v>
      </c>
      <c r="E960" t="s">
        <v>388</v>
      </c>
      <c r="F960"/>
      <c r="G960">
        <v>1</v>
      </c>
      <c r="H960">
        <v>1000</v>
      </c>
      <c r="I960"/>
      <c r="J960" cm="1">
        <f t="array" ref="J960">_xlfn.SWITCH(B960,1,75,2,61,3,49,4,37,5,25,6,13,7,4,8,1)</f>
        <v>25</v>
      </c>
      <c r="K960" t="str" cm="1">
        <f t="array" ref="K960">IFERROR(_xlfn.SWITCH(L960,2,_xlfn.XLOOKUP(C960,[1]ModifierDes!$B:$B,[1]ModifierDes!$C:$C),3,_xlfn.XLOOKUP(C960,[1]StuntDes!$B:$B,[1]StuntDes!$C:$C)),"")</f>
        <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402</v>
      </c>
      <c r="D961" t="s">
        <v>35</v>
      </c>
      <c r="E961" t="s">
        <v>388</v>
      </c>
      <c r="F961"/>
      <c r="G961">
        <v>1</v>
      </c>
      <c r="H961">
        <v>1000</v>
      </c>
      <c r="I961"/>
      <c r="J961" cm="1">
        <f t="array" ref="J961">_xlfn.SWITCH(B961,1,75,2,61,3,49,4,37,5,25,6,13,7,4,8,1)</f>
        <v>13</v>
      </c>
      <c r="K961" t="str" cm="1">
        <f t="array" ref="K961">IFERROR(_xlfn.SWITCH(L961,2,_xlfn.XLOOKUP(C961,[1]ModifierDes!$B:$B,[1]ModifierDes!$C:$C),3,_xlfn.XLOOKUP(C961,[1]StuntDes!$B:$B,[1]StuntDes!$C:$C)),"")</f>
        <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402</v>
      </c>
      <c r="D962" t="s">
        <v>35</v>
      </c>
      <c r="E962" t="s">
        <v>388</v>
      </c>
      <c r="F962"/>
      <c r="G962">
        <v>1</v>
      </c>
      <c r="H962">
        <v>1000</v>
      </c>
      <c r="I962"/>
      <c r="J962" cm="1">
        <f t="array" ref="J962">_xlfn.SWITCH(B962,1,75,2,61,3,49,4,37,5,25,6,13,7,4,8,1)</f>
        <v>4</v>
      </c>
      <c r="K962" t="str" cm="1">
        <f t="array" ref="K962">IFERROR(_xlfn.SWITCH(L962,2,_xlfn.XLOOKUP(C962,[1]ModifierDes!$B:$B,[1]ModifierDes!$C:$C),3,_xlfn.XLOOKUP(C962,[1]StuntDes!$B:$B,[1]StuntDes!$C:$C)),"")</f>
        <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402</v>
      </c>
      <c r="D963" t="s">
        <v>35</v>
      </c>
      <c r="E963" t="s">
        <v>388</v>
      </c>
      <c r="F963"/>
      <c r="G963">
        <v>1</v>
      </c>
      <c r="H963">
        <v>1000</v>
      </c>
      <c r="I963"/>
      <c r="J963" cm="1">
        <f t="array" ref="J963">_xlfn.SWITCH(B963,1,75,2,61,3,49,4,37,5,25,6,13,7,4,8,1)</f>
        <v>1</v>
      </c>
      <c r="K963" t="str" cm="1">
        <f t="array" ref="K963">IFERROR(_xlfn.SWITCH(L963,2,_xlfn.XLOOKUP(C963,[1]ModifierDes!$B:$B,[1]ModifierDes!$C:$C),3,_xlfn.XLOOKUP(C963,[1]StuntDes!$B:$B,[1]StuntDes!$C:$C)),"")</f>
        <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403</v>
      </c>
      <c r="D964" t="s">
        <v>35</v>
      </c>
      <c r="E964" t="s">
        <v>388</v>
      </c>
      <c r="F964"/>
      <c r="G964">
        <v>1</v>
      </c>
      <c r="H964">
        <v>1000</v>
      </c>
      <c r="I964"/>
      <c r="J964" cm="1">
        <f t="array" ref="J964">_xlfn.SWITCH(B964,1,75,2,61,3,49,4,37,5,25,6,13,7,4,8,1)</f>
        <v>75</v>
      </c>
      <c r="K964" t="str" cm="1">
        <f t="array" ref="K964">IFERROR(_xlfn.SWITCH(L964,2,_xlfn.XLOOKUP(C964,[1]ModifierDes!$B:$B,[1]ModifierDes!$C:$C),3,_xlfn.XLOOKUP(C964,[1]StuntDes!$B:$B,[1]StuntDes!$C:$C)),"")</f>
        <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403</v>
      </c>
      <c r="D965" t="s">
        <v>35</v>
      </c>
      <c r="E965" t="s">
        <v>388</v>
      </c>
      <c r="F965"/>
      <c r="G965">
        <v>1</v>
      </c>
      <c r="H965">
        <v>1000</v>
      </c>
      <c r="I965"/>
      <c r="J965" cm="1">
        <f t="array" ref="J965">_xlfn.SWITCH(B965,1,75,2,61,3,49,4,37,5,25,6,13,7,4,8,1)</f>
        <v>61</v>
      </c>
      <c r="K965" t="str" cm="1">
        <f t="array" ref="K965">IFERROR(_xlfn.SWITCH(L965,2,_xlfn.XLOOKUP(C965,[1]ModifierDes!$B:$B,[1]ModifierDes!$C:$C),3,_xlfn.XLOOKUP(C965,[1]StuntDes!$B:$B,[1]StuntDes!$C:$C)),"")</f>
        <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403</v>
      </c>
      <c r="D966" t="s">
        <v>35</v>
      </c>
      <c r="E966" t="s">
        <v>388</v>
      </c>
      <c r="F966"/>
      <c r="G966">
        <v>1</v>
      </c>
      <c r="H966">
        <v>1000</v>
      </c>
      <c r="I966"/>
      <c r="J966" cm="1">
        <f t="array" ref="J966">_xlfn.SWITCH(B966,1,75,2,61,3,49,4,37,5,25,6,13,7,4,8,1)</f>
        <v>49</v>
      </c>
      <c r="K966" t="str" cm="1">
        <f t="array" ref="K966">IFERROR(_xlfn.SWITCH(L966,2,_xlfn.XLOOKUP(C966,[1]ModifierDes!$B:$B,[1]ModifierDes!$C:$C),3,_xlfn.XLOOKUP(C966,[1]StuntDes!$B:$B,[1]StuntDes!$C:$C)),"")</f>
        <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403</v>
      </c>
      <c r="D967" t="s">
        <v>35</v>
      </c>
      <c r="E967" t="s">
        <v>388</v>
      </c>
      <c r="F967"/>
      <c r="G967">
        <v>1</v>
      </c>
      <c r="H967">
        <v>1000</v>
      </c>
      <c r="I967"/>
      <c r="J967" cm="1">
        <f t="array" ref="J967">_xlfn.SWITCH(B967,1,75,2,61,3,49,4,37,5,25,6,13,7,4,8,1)</f>
        <v>37</v>
      </c>
      <c r="K967" t="str" cm="1">
        <f t="array" ref="K967">IFERROR(_xlfn.SWITCH(L967,2,_xlfn.XLOOKUP(C967,[1]ModifierDes!$B:$B,[1]ModifierDes!$C:$C),3,_xlfn.XLOOKUP(C967,[1]StuntDes!$B:$B,[1]StuntDes!$C:$C)),"")</f>
        <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403</v>
      </c>
      <c r="D968" t="s">
        <v>35</v>
      </c>
      <c r="E968" t="s">
        <v>388</v>
      </c>
      <c r="F968"/>
      <c r="G968">
        <v>1</v>
      </c>
      <c r="H968">
        <v>1000</v>
      </c>
      <c r="I968"/>
      <c r="J968" cm="1">
        <f t="array" ref="J968">_xlfn.SWITCH(B968,1,75,2,61,3,49,4,37,5,25,6,13,7,4,8,1)</f>
        <v>25</v>
      </c>
      <c r="K968" t="str" cm="1">
        <f t="array" ref="K968">IFERROR(_xlfn.SWITCH(L968,2,_xlfn.XLOOKUP(C968,[1]ModifierDes!$B:$B,[1]ModifierDes!$C:$C),3,_xlfn.XLOOKUP(C968,[1]StuntDes!$B:$B,[1]StuntDes!$C:$C)),"")</f>
        <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403</v>
      </c>
      <c r="D969" t="s">
        <v>35</v>
      </c>
      <c r="E969" t="s">
        <v>388</v>
      </c>
      <c r="F969"/>
      <c r="G969">
        <v>1</v>
      </c>
      <c r="H969">
        <v>1000</v>
      </c>
      <c r="I969"/>
      <c r="J969" cm="1">
        <f t="array" ref="J969">_xlfn.SWITCH(B969,1,75,2,61,3,49,4,37,5,25,6,13,7,4,8,1)</f>
        <v>13</v>
      </c>
      <c r="K969" t="str" cm="1">
        <f t="array" ref="K969">IFERROR(_xlfn.SWITCH(L969,2,_xlfn.XLOOKUP(C969,[1]ModifierDes!$B:$B,[1]ModifierDes!$C:$C),3,_xlfn.XLOOKUP(C969,[1]StuntDes!$B:$B,[1]StuntDes!$C:$C)),"")</f>
        <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403</v>
      </c>
      <c r="D970" t="s">
        <v>35</v>
      </c>
      <c r="E970" t="s">
        <v>388</v>
      </c>
      <c r="F970"/>
      <c r="G970">
        <v>1</v>
      </c>
      <c r="H970">
        <v>1000</v>
      </c>
      <c r="I970"/>
      <c r="J970" cm="1">
        <f t="array" ref="J970">_xlfn.SWITCH(B970,1,75,2,61,3,49,4,37,5,25,6,13,7,4,8,1)</f>
        <v>4</v>
      </c>
      <c r="K970" t="str" cm="1">
        <f t="array" ref="K970">IFERROR(_xlfn.SWITCH(L970,2,_xlfn.XLOOKUP(C970,[1]ModifierDes!$B:$B,[1]ModifierDes!$C:$C),3,_xlfn.XLOOKUP(C970,[1]StuntDes!$B:$B,[1]StuntDes!$C:$C)),"")</f>
        <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403</v>
      </c>
      <c r="D971" t="s">
        <v>35</v>
      </c>
      <c r="E971" t="s">
        <v>388</v>
      </c>
      <c r="F971"/>
      <c r="G971">
        <v>1</v>
      </c>
      <c r="H971">
        <v>1000</v>
      </c>
      <c r="I971"/>
      <c r="J971" cm="1">
        <f t="array" ref="J971">_xlfn.SWITCH(B971,1,75,2,61,3,49,4,37,5,25,6,13,7,4,8,1)</f>
        <v>1</v>
      </c>
      <c r="K971" t="str" cm="1">
        <f t="array" ref="K971">IFERROR(_xlfn.SWITCH(L971,2,_xlfn.XLOOKUP(C971,[1]ModifierDes!$B:$B,[1]ModifierDes!$C:$C),3,_xlfn.XLOOKUP(C971,[1]StuntDes!$B:$B,[1]StuntDes!$C:$C)),"")</f>
        <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423</v>
      </c>
      <c r="D972" t="s">
        <v>35</v>
      </c>
      <c r="E972" t="s">
        <v>388</v>
      </c>
      <c r="F972"/>
      <c r="G972">
        <v>1</v>
      </c>
      <c r="H972">
        <v>1000</v>
      </c>
      <c r="I972"/>
      <c r="J972" cm="1">
        <f t="array" ref="J972">_xlfn.SWITCH(B972,1,75,2,61,3,49,4,37,5,25,6,13,7,4,8,1)</f>
        <v>75</v>
      </c>
      <c r="K972" t="str" cm="1">
        <f t="array" ref="K972">IFERROR(_xlfn.SWITCH(L972,2,_xlfn.XLOOKUP(C972,[1]ModifierDes!$B:$B,[1]ModifierDes!$C:$C),3,_xlfn.XLOOKUP(C972,[1]StuntDes!$B:$B,[1]StuntDes!$C:$C)),"")</f>
        <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423</v>
      </c>
      <c r="D973" t="s">
        <v>35</v>
      </c>
      <c r="E973" t="s">
        <v>388</v>
      </c>
      <c r="F973"/>
      <c r="G973">
        <v>1</v>
      </c>
      <c r="H973">
        <v>1000</v>
      </c>
      <c r="I973"/>
      <c r="J973" cm="1">
        <f t="array" ref="J973">_xlfn.SWITCH(B973,1,75,2,61,3,49,4,37,5,25,6,13,7,4,8,1)</f>
        <v>61</v>
      </c>
      <c r="K973" t="str" cm="1">
        <f t="array" ref="K973">IFERROR(_xlfn.SWITCH(L973,2,_xlfn.XLOOKUP(C973,[1]ModifierDes!$B:$B,[1]ModifierDes!$C:$C),3,_xlfn.XLOOKUP(C973,[1]StuntDes!$B:$B,[1]StuntDes!$C:$C)),"")</f>
        <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423</v>
      </c>
      <c r="D974" t="s">
        <v>35</v>
      </c>
      <c r="E974" t="s">
        <v>388</v>
      </c>
      <c r="F974"/>
      <c r="G974">
        <v>1</v>
      </c>
      <c r="H974">
        <v>1000</v>
      </c>
      <c r="I974"/>
      <c r="J974" cm="1">
        <f t="array" ref="J974">_xlfn.SWITCH(B974,1,75,2,61,3,49,4,37,5,25,6,13,7,4,8,1)</f>
        <v>49</v>
      </c>
      <c r="K974" t="str" cm="1">
        <f t="array" ref="K974">IFERROR(_xlfn.SWITCH(L974,2,_xlfn.XLOOKUP(C974,[1]ModifierDes!$B:$B,[1]ModifierDes!$C:$C),3,_xlfn.XLOOKUP(C974,[1]StuntDes!$B:$B,[1]StuntDes!$C:$C)),"")</f>
        <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423</v>
      </c>
      <c r="D975" t="s">
        <v>35</v>
      </c>
      <c r="E975" t="s">
        <v>388</v>
      </c>
      <c r="F975"/>
      <c r="G975">
        <v>1</v>
      </c>
      <c r="H975">
        <v>1000</v>
      </c>
      <c r="I975"/>
      <c r="J975" cm="1">
        <f t="array" ref="J975">_xlfn.SWITCH(B975,1,75,2,61,3,49,4,37,5,25,6,13,7,4,8,1)</f>
        <v>37</v>
      </c>
      <c r="K975" t="str" cm="1">
        <f t="array" ref="K975">IFERROR(_xlfn.SWITCH(L975,2,_xlfn.XLOOKUP(C975,[1]ModifierDes!$B:$B,[1]ModifierDes!$C:$C),3,_xlfn.XLOOKUP(C975,[1]StuntDes!$B:$B,[1]StuntDes!$C:$C)),"")</f>
        <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423</v>
      </c>
      <c r="D976" t="s">
        <v>35</v>
      </c>
      <c r="E976" t="s">
        <v>388</v>
      </c>
      <c r="F976"/>
      <c r="G976">
        <v>1</v>
      </c>
      <c r="H976">
        <v>1000</v>
      </c>
      <c r="I976"/>
      <c r="J976" cm="1">
        <f t="array" ref="J976">_xlfn.SWITCH(B976,1,75,2,61,3,49,4,37,5,25,6,13,7,4,8,1)</f>
        <v>25</v>
      </c>
      <c r="K976" t="str" cm="1">
        <f t="array" ref="K976">IFERROR(_xlfn.SWITCH(L976,2,_xlfn.XLOOKUP(C976,[1]ModifierDes!$B:$B,[1]ModifierDes!$C:$C),3,_xlfn.XLOOKUP(C976,[1]StuntDes!$B:$B,[1]StuntDes!$C:$C)),"")</f>
        <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423</v>
      </c>
      <c r="D977" t="s">
        <v>35</v>
      </c>
      <c r="E977" t="s">
        <v>388</v>
      </c>
      <c r="F977"/>
      <c r="G977">
        <v>1</v>
      </c>
      <c r="H977">
        <v>1000</v>
      </c>
      <c r="I977"/>
      <c r="J977" cm="1">
        <f t="array" ref="J977">_xlfn.SWITCH(B977,1,75,2,61,3,49,4,37,5,25,6,13,7,4,8,1)</f>
        <v>13</v>
      </c>
      <c r="K977" t="str" cm="1">
        <f t="array" ref="K977">IFERROR(_xlfn.SWITCH(L977,2,_xlfn.XLOOKUP(C977,[1]ModifierDes!$B:$B,[1]ModifierDes!$C:$C),3,_xlfn.XLOOKUP(C977,[1]StuntDes!$B:$B,[1]StuntDes!$C:$C)),"")</f>
        <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423</v>
      </c>
      <c r="D978" t="s">
        <v>35</v>
      </c>
      <c r="E978" t="s">
        <v>388</v>
      </c>
      <c r="F978"/>
      <c r="G978">
        <v>1</v>
      </c>
      <c r="H978">
        <v>1000</v>
      </c>
      <c r="I978"/>
      <c r="J978" cm="1">
        <f t="array" ref="J978">_xlfn.SWITCH(B978,1,75,2,61,3,49,4,37,5,25,6,13,7,4,8,1)</f>
        <v>4</v>
      </c>
      <c r="K978" t="str" cm="1">
        <f t="array" ref="K978">IFERROR(_xlfn.SWITCH(L978,2,_xlfn.XLOOKUP(C978,[1]ModifierDes!$B:$B,[1]ModifierDes!$C:$C),3,_xlfn.XLOOKUP(C978,[1]StuntDes!$B:$B,[1]StuntDes!$C:$C)),"")</f>
        <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423</v>
      </c>
      <c r="D979" t="s">
        <v>35</v>
      </c>
      <c r="E979" t="s">
        <v>388</v>
      </c>
      <c r="F979"/>
      <c r="G979">
        <v>1</v>
      </c>
      <c r="H979">
        <v>1000</v>
      </c>
      <c r="I979"/>
      <c r="J979" cm="1">
        <f t="array" ref="J979">_xlfn.SWITCH(B979,1,75,2,61,3,49,4,37,5,25,6,13,7,4,8,1)</f>
        <v>1</v>
      </c>
      <c r="K979" t="str" cm="1">
        <f t="array" ref="K979">IFERROR(_xlfn.SWITCH(L979,2,_xlfn.XLOOKUP(C979,[1]ModifierDes!$B:$B,[1]ModifierDes!$C:$C),3,_xlfn.XLOOKUP(C979,[1]StuntDes!$B:$B,[1]StuntDes!$C:$C)),"")</f>
        <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424</v>
      </c>
      <c r="D980" t="s">
        <v>35</v>
      </c>
      <c r="E980" t="s">
        <v>388</v>
      </c>
      <c r="F980"/>
      <c r="G980">
        <v>1</v>
      </c>
      <c r="H980">
        <v>250</v>
      </c>
      <c r="I980"/>
      <c r="J980" cm="1">
        <f t="array" ref="J980">_xlfn.SWITCH(B980,1,75,2,61,3,49,4,37,5,25,6,13,7,4,8,1)</f>
        <v>75</v>
      </c>
      <c r="K980" t="str" cm="1">
        <f t="array" ref="K980">IFERROR(_xlfn.SWITCH(L980,2,_xlfn.XLOOKUP(C980,[1]ModifierDes!$B:$B,[1]ModifierDes!$C:$C),3,_xlfn.XLOOKUP(C980,[1]StuntDes!$B:$B,[1]StuntDes!$C:$C)),"")</f>
        <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424</v>
      </c>
      <c r="D981" t="s">
        <v>35</v>
      </c>
      <c r="E981" t="s">
        <v>388</v>
      </c>
      <c r="F981"/>
      <c r="G981">
        <v>1</v>
      </c>
      <c r="H981">
        <v>250</v>
      </c>
      <c r="I981"/>
      <c r="J981" cm="1">
        <f t="array" ref="J981">_xlfn.SWITCH(B981,1,75,2,61,3,49,4,37,5,25,6,13,7,4,8,1)</f>
        <v>61</v>
      </c>
      <c r="K981" t="str" cm="1">
        <f t="array" ref="K981">IFERROR(_xlfn.SWITCH(L981,2,_xlfn.XLOOKUP(C981,[1]ModifierDes!$B:$B,[1]ModifierDes!$C:$C),3,_xlfn.XLOOKUP(C981,[1]StuntDes!$B:$B,[1]StuntDes!$C:$C)),"")</f>
        <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424</v>
      </c>
      <c r="D982" t="s">
        <v>35</v>
      </c>
      <c r="E982" t="s">
        <v>388</v>
      </c>
      <c r="F982"/>
      <c r="G982">
        <v>1</v>
      </c>
      <c r="H982">
        <v>250</v>
      </c>
      <c r="I982"/>
      <c r="J982" cm="1">
        <f t="array" ref="J982">_xlfn.SWITCH(B982,1,75,2,61,3,49,4,37,5,25,6,13,7,4,8,1)</f>
        <v>49</v>
      </c>
      <c r="K982" t="str" cm="1">
        <f t="array" ref="K982">IFERROR(_xlfn.SWITCH(L982,2,_xlfn.XLOOKUP(C982,[1]ModifierDes!$B:$B,[1]ModifierDes!$C:$C),3,_xlfn.XLOOKUP(C982,[1]StuntDes!$B:$B,[1]StuntDes!$C:$C)),"")</f>
        <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424</v>
      </c>
      <c r="D983" t="s">
        <v>35</v>
      </c>
      <c r="E983" t="s">
        <v>388</v>
      </c>
      <c r="F983"/>
      <c r="G983">
        <v>1</v>
      </c>
      <c r="H983">
        <v>250</v>
      </c>
      <c r="I983"/>
      <c r="J983" cm="1">
        <f t="array" ref="J983">_xlfn.SWITCH(B983,1,75,2,61,3,49,4,37,5,25,6,13,7,4,8,1)</f>
        <v>37</v>
      </c>
      <c r="K983" t="str" cm="1">
        <f t="array" ref="K983">IFERROR(_xlfn.SWITCH(L983,2,_xlfn.XLOOKUP(C983,[1]ModifierDes!$B:$B,[1]ModifierDes!$C:$C),3,_xlfn.XLOOKUP(C983,[1]StuntDes!$B:$B,[1]StuntDes!$C:$C)),"")</f>
        <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424</v>
      </c>
      <c r="D984" t="s">
        <v>35</v>
      </c>
      <c r="E984" t="s">
        <v>388</v>
      </c>
      <c r="F984"/>
      <c r="G984">
        <v>1</v>
      </c>
      <c r="H984">
        <v>250</v>
      </c>
      <c r="I984"/>
      <c r="J984" cm="1">
        <f t="array" ref="J984">_xlfn.SWITCH(B984,1,75,2,61,3,49,4,37,5,25,6,13,7,4,8,1)</f>
        <v>25</v>
      </c>
      <c r="K984" t="str" cm="1">
        <f t="array" ref="K984">IFERROR(_xlfn.SWITCH(L984,2,_xlfn.XLOOKUP(C984,[1]ModifierDes!$B:$B,[1]ModifierDes!$C:$C),3,_xlfn.XLOOKUP(C984,[1]StuntDes!$B:$B,[1]StuntDes!$C:$C)),"")</f>
        <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424</v>
      </c>
      <c r="D985" t="s">
        <v>35</v>
      </c>
      <c r="E985" t="s">
        <v>388</v>
      </c>
      <c r="F985"/>
      <c r="G985">
        <v>1</v>
      </c>
      <c r="H985">
        <v>250</v>
      </c>
      <c r="I985"/>
      <c r="J985" cm="1">
        <f t="array" ref="J985">_xlfn.SWITCH(B985,1,75,2,61,3,49,4,37,5,25,6,13,7,4,8,1)</f>
        <v>13</v>
      </c>
      <c r="K985" t="str" cm="1">
        <f t="array" ref="K985">IFERROR(_xlfn.SWITCH(L985,2,_xlfn.XLOOKUP(C985,[1]ModifierDes!$B:$B,[1]ModifierDes!$C:$C),3,_xlfn.XLOOKUP(C985,[1]StuntDes!$B:$B,[1]StuntDes!$C:$C)),"")</f>
        <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424</v>
      </c>
      <c r="D986" t="s">
        <v>35</v>
      </c>
      <c r="E986" t="s">
        <v>388</v>
      </c>
      <c r="F986"/>
      <c r="G986">
        <v>1</v>
      </c>
      <c r="H986">
        <v>250</v>
      </c>
      <c r="I986"/>
      <c r="J986" cm="1">
        <f t="array" ref="J986">_xlfn.SWITCH(B986,1,75,2,61,3,49,4,37,5,25,6,13,7,4,8,1)</f>
        <v>4</v>
      </c>
      <c r="K986" t="str" cm="1">
        <f t="array" ref="K986">IFERROR(_xlfn.SWITCH(L986,2,_xlfn.XLOOKUP(C986,[1]ModifierDes!$B:$B,[1]ModifierDes!$C:$C),3,_xlfn.XLOOKUP(C986,[1]StuntDes!$B:$B,[1]StuntDes!$C:$C)),"")</f>
        <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424</v>
      </c>
      <c r="D987" t="s">
        <v>35</v>
      </c>
      <c r="E987" t="s">
        <v>388</v>
      </c>
      <c r="F987"/>
      <c r="G987">
        <v>1</v>
      </c>
      <c r="H987">
        <v>250</v>
      </c>
      <c r="I987"/>
      <c r="J987" cm="1">
        <f t="array" ref="J987">_xlfn.SWITCH(B987,1,75,2,61,3,49,4,37,5,25,6,13,7,4,8,1)</f>
        <v>1</v>
      </c>
      <c r="K987" t="str" cm="1">
        <f t="array" ref="K987">IFERROR(_xlfn.SWITCH(L987,2,_xlfn.XLOOKUP(C987,[1]ModifierDes!$B:$B,[1]ModifierDes!$C:$C),3,_xlfn.XLOOKUP(C987,[1]StuntDes!$B:$B,[1]StuntDes!$C:$C)),"")</f>
        <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425</v>
      </c>
      <c r="D988" t="s">
        <v>35</v>
      </c>
      <c r="E988" t="s">
        <v>388</v>
      </c>
      <c r="G988">
        <v>1</v>
      </c>
      <c r="H988">
        <v>250</v>
      </c>
      <c r="J988" cm="1">
        <f t="array" ref="J988">_xlfn.SWITCH(B988,1,75,2,61,3,49,4,37,5,25,6,13,7,4,8,1)</f>
        <v>75</v>
      </c>
      <c r="K988" t="str" cm="1">
        <f t="array" ref="K988">IFERROR(_xlfn.SWITCH(L988,2,_xlfn.XLOOKUP(C988,[1]ModifierDes!$B:$B,[1]ModifierDes!$C:$C),3,_xlfn.XLOOKUP(C988,[1]StuntDes!$B:$B,[1]StuntDes!$C:$C)),"")</f>
        <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425</v>
      </c>
      <c r="D989" t="s">
        <v>35</v>
      </c>
      <c r="E989" t="s">
        <v>388</v>
      </c>
      <c r="G989">
        <v>1</v>
      </c>
      <c r="H989">
        <v>250</v>
      </c>
      <c r="J989" cm="1">
        <f t="array" ref="J989">_xlfn.SWITCH(B989,1,75,2,61,3,49,4,37,5,25,6,13,7,4,8,1)</f>
        <v>61</v>
      </c>
      <c r="K989" t="str" cm="1">
        <f t="array" ref="K989">IFERROR(_xlfn.SWITCH(L989,2,_xlfn.XLOOKUP(C989,[1]ModifierDes!$B:$B,[1]ModifierDes!$C:$C),3,_xlfn.XLOOKUP(C989,[1]StuntDes!$B:$B,[1]StuntDes!$C:$C)),"")</f>
        <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425</v>
      </c>
      <c r="D990" t="s">
        <v>35</v>
      </c>
      <c r="E990" t="s">
        <v>388</v>
      </c>
      <c r="G990">
        <v>1</v>
      </c>
      <c r="H990">
        <v>250</v>
      </c>
      <c r="J990" cm="1">
        <f t="array" ref="J990">_xlfn.SWITCH(B990,1,75,2,61,3,49,4,37,5,25,6,13,7,4,8,1)</f>
        <v>49</v>
      </c>
      <c r="K990" t="str" cm="1">
        <f t="array" ref="K990">IFERROR(_xlfn.SWITCH(L990,2,_xlfn.XLOOKUP(C990,[1]ModifierDes!$B:$B,[1]ModifierDes!$C:$C),3,_xlfn.XLOOKUP(C990,[1]StuntDes!$B:$B,[1]StuntDes!$C:$C)),"")</f>
        <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425</v>
      </c>
      <c r="D991" t="s">
        <v>35</v>
      </c>
      <c r="E991" t="s">
        <v>388</v>
      </c>
      <c r="G991">
        <v>1</v>
      </c>
      <c r="H991">
        <v>250</v>
      </c>
      <c r="J991" cm="1">
        <f t="array" ref="J991">_xlfn.SWITCH(B991,1,75,2,61,3,49,4,37,5,25,6,13,7,4,8,1)</f>
        <v>37</v>
      </c>
      <c r="K991" t="str" cm="1">
        <f t="array" ref="K991">IFERROR(_xlfn.SWITCH(L991,2,_xlfn.XLOOKUP(C991,[1]ModifierDes!$B:$B,[1]ModifierDes!$C:$C),3,_xlfn.XLOOKUP(C991,[1]StuntDes!$B:$B,[1]StuntDes!$C:$C)),"")</f>
        <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425</v>
      </c>
      <c r="D992" t="s">
        <v>35</v>
      </c>
      <c r="E992" t="s">
        <v>388</v>
      </c>
      <c r="G992">
        <v>1</v>
      </c>
      <c r="H992">
        <v>250</v>
      </c>
      <c r="J992" cm="1">
        <f t="array" ref="J992">_xlfn.SWITCH(B992,1,75,2,61,3,49,4,37,5,25,6,13,7,4,8,1)</f>
        <v>25</v>
      </c>
      <c r="K992" t="str" cm="1">
        <f t="array" ref="K992">IFERROR(_xlfn.SWITCH(L992,2,_xlfn.XLOOKUP(C992,[1]ModifierDes!$B:$B,[1]ModifierDes!$C:$C),3,_xlfn.XLOOKUP(C992,[1]StuntDes!$B:$B,[1]StuntDes!$C:$C)),"")</f>
        <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425</v>
      </c>
      <c r="D993" t="s">
        <v>35</v>
      </c>
      <c r="E993" t="s">
        <v>388</v>
      </c>
      <c r="G993">
        <v>1</v>
      </c>
      <c r="H993">
        <v>250</v>
      </c>
      <c r="J993" cm="1">
        <f t="array" ref="J993">_xlfn.SWITCH(B993,1,75,2,61,3,49,4,37,5,25,6,13,7,4,8,1)</f>
        <v>13</v>
      </c>
      <c r="K993" t="str" cm="1">
        <f t="array" ref="K993">IFERROR(_xlfn.SWITCH(L993,2,_xlfn.XLOOKUP(C993,[1]ModifierDes!$B:$B,[1]ModifierDes!$C:$C),3,_xlfn.XLOOKUP(C993,[1]StuntDes!$B:$B,[1]StuntDes!$C:$C)),"")</f>
        <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425</v>
      </c>
      <c r="D994" t="s">
        <v>35</v>
      </c>
      <c r="E994" t="s">
        <v>388</v>
      </c>
      <c r="G994">
        <v>1</v>
      </c>
      <c r="H994">
        <v>250</v>
      </c>
      <c r="J994" cm="1">
        <f t="array" ref="J994">_xlfn.SWITCH(B994,1,75,2,61,3,49,4,37,5,25,6,13,7,4,8,1)</f>
        <v>4</v>
      </c>
      <c r="K994" t="str" cm="1">
        <f t="array" ref="K994">IFERROR(_xlfn.SWITCH(L994,2,_xlfn.XLOOKUP(C994,[1]ModifierDes!$B:$B,[1]ModifierDes!$C:$C),3,_xlfn.XLOOKUP(C994,[1]StuntDes!$B:$B,[1]StuntDes!$C:$C)),"")</f>
        <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425</v>
      </c>
      <c r="D995" t="s">
        <v>35</v>
      </c>
      <c r="E995" t="s">
        <v>388</v>
      </c>
      <c r="G995">
        <v>1</v>
      </c>
      <c r="H995">
        <v>250</v>
      </c>
      <c r="J995" cm="1">
        <f t="array" ref="J995">_xlfn.SWITCH(B995,1,75,2,61,3,49,4,37,5,25,6,13,7,4,8,1)</f>
        <v>1</v>
      </c>
      <c r="K995" t="str" cm="1">
        <f t="array" ref="K995">IFERROR(_xlfn.SWITCH(L995,2,_xlfn.XLOOKUP(C995,[1]ModifierDes!$B:$B,[1]ModifierDes!$C:$C),3,_xlfn.XLOOKUP(C995,[1]StuntDes!$B:$B,[1]StuntDes!$C:$C)),"")</f>
        <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96</v>
      </c>
      <c r="D996" t="s">
        <v>35</v>
      </c>
      <c r="E996" t="s">
        <v>388</v>
      </c>
      <c r="F996"/>
      <c r="G996">
        <v>1</v>
      </c>
      <c r="H996">
        <v>1000</v>
      </c>
      <c r="I996"/>
      <c r="J996" cm="1">
        <f t="array" ref="J996">_xlfn.SWITCH(B996,1,75,2,61,3,49,4,37,5,25,6,13,7,4,8,1)</f>
        <v>75</v>
      </c>
      <c r="K996" t="str" cm="1">
        <f t="array" ref="K996">IFERROR(_xlfn.SWITCH(L996,2,_xlfn.XLOOKUP(C996,[1]ModifierDes!$B:$B,[1]ModifierDes!$C:$C),3,_xlfn.XLOOKUP(C996,[1]StuntDes!$B:$B,[1]StuntDes!$C:$C)),"")</f>
        <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96</v>
      </c>
      <c r="D997" t="s">
        <v>35</v>
      </c>
      <c r="E997" t="s">
        <v>388</v>
      </c>
      <c r="F997"/>
      <c r="G997">
        <v>1</v>
      </c>
      <c r="H997">
        <v>1000</v>
      </c>
      <c r="I997"/>
      <c r="J997" cm="1">
        <f t="array" ref="J997">_xlfn.SWITCH(B997,1,75,2,61,3,49,4,37,5,25,6,13,7,4,8,1)</f>
        <v>61</v>
      </c>
      <c r="K997" t="str" cm="1">
        <f t="array" ref="K997">IFERROR(_xlfn.SWITCH(L997,2,_xlfn.XLOOKUP(C997,[1]ModifierDes!$B:$B,[1]ModifierDes!$C:$C),3,_xlfn.XLOOKUP(C997,[1]StuntDes!$B:$B,[1]StuntDes!$C:$C)),"")</f>
        <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96</v>
      </c>
      <c r="D998" t="s">
        <v>35</v>
      </c>
      <c r="E998" t="s">
        <v>388</v>
      </c>
      <c r="F998"/>
      <c r="G998">
        <v>1</v>
      </c>
      <c r="H998">
        <v>1000</v>
      </c>
      <c r="I998"/>
      <c r="J998" cm="1">
        <f t="array" ref="J998">_xlfn.SWITCH(B998,1,75,2,61,3,49,4,37,5,25,6,13,7,4,8,1)</f>
        <v>49</v>
      </c>
      <c r="K998" t="str" cm="1">
        <f t="array" ref="K998">IFERROR(_xlfn.SWITCH(L998,2,_xlfn.XLOOKUP(C998,[1]ModifierDes!$B:$B,[1]ModifierDes!$C:$C),3,_xlfn.XLOOKUP(C998,[1]StuntDes!$B:$B,[1]StuntDes!$C:$C)),"")</f>
        <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96</v>
      </c>
      <c r="D999" t="s">
        <v>35</v>
      </c>
      <c r="E999" t="s">
        <v>388</v>
      </c>
      <c r="F999"/>
      <c r="G999">
        <v>1</v>
      </c>
      <c r="H999">
        <v>1000</v>
      </c>
      <c r="I999"/>
      <c r="J999" cm="1">
        <f t="array" ref="J999">_xlfn.SWITCH(B999,1,75,2,61,3,49,4,37,5,25,6,13,7,4,8,1)</f>
        <v>37</v>
      </c>
      <c r="K999" t="str" cm="1">
        <f t="array" ref="K999">IFERROR(_xlfn.SWITCH(L999,2,_xlfn.XLOOKUP(C999,[1]ModifierDes!$B:$B,[1]ModifierDes!$C:$C),3,_xlfn.XLOOKUP(C999,[1]StuntDes!$B:$B,[1]StuntDes!$C:$C)),"")</f>
        <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96</v>
      </c>
      <c r="D1000" t="s">
        <v>35</v>
      </c>
      <c r="E1000" t="s">
        <v>388</v>
      </c>
      <c r="F1000"/>
      <c r="G1000">
        <v>1</v>
      </c>
      <c r="H1000">
        <v>1000</v>
      </c>
      <c r="I1000"/>
      <c r="J1000" cm="1">
        <f t="array" ref="J1000">_xlfn.SWITCH(B1000,1,75,2,61,3,49,4,37,5,25,6,13,7,4,8,1)</f>
        <v>25</v>
      </c>
      <c r="K1000" t="str" cm="1">
        <f t="array" ref="K1000">IFERROR(_xlfn.SWITCH(L1000,2,_xlfn.XLOOKUP(C1000,[1]ModifierDes!$B:$B,[1]ModifierDes!$C:$C),3,_xlfn.XLOOKUP(C1000,[1]StuntDes!$B:$B,[1]StuntDes!$C:$C)),"")</f>
        <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96</v>
      </c>
      <c r="D1001" t="s">
        <v>35</v>
      </c>
      <c r="E1001" t="s">
        <v>388</v>
      </c>
      <c r="F1001"/>
      <c r="G1001">
        <v>1</v>
      </c>
      <c r="H1001">
        <v>1000</v>
      </c>
      <c r="I1001"/>
      <c r="J1001" cm="1">
        <f t="array" ref="J1001">_xlfn.SWITCH(B1001,1,75,2,61,3,49,4,37,5,25,6,13,7,4,8,1)</f>
        <v>13</v>
      </c>
      <c r="K1001" t="str" cm="1">
        <f t="array" ref="K1001">IFERROR(_xlfn.SWITCH(L1001,2,_xlfn.XLOOKUP(C1001,[1]ModifierDes!$B:$B,[1]ModifierDes!$C:$C),3,_xlfn.XLOOKUP(C1001,[1]StuntDes!$B:$B,[1]StuntDes!$C:$C)),"")</f>
        <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96</v>
      </c>
      <c r="D1002" t="s">
        <v>35</v>
      </c>
      <c r="E1002" t="s">
        <v>388</v>
      </c>
      <c r="F1002"/>
      <c r="G1002">
        <v>1</v>
      </c>
      <c r="H1002">
        <v>1000</v>
      </c>
      <c r="I1002"/>
      <c r="J1002" cm="1">
        <f t="array" ref="J1002">_xlfn.SWITCH(B1002,1,75,2,61,3,49,4,37,5,25,6,13,7,4,8,1)</f>
        <v>4</v>
      </c>
      <c r="K1002" t="str" cm="1">
        <f t="array" ref="K1002">IFERROR(_xlfn.SWITCH(L1002,2,_xlfn.XLOOKUP(C1002,[1]ModifierDes!$B:$B,[1]ModifierDes!$C:$C),3,_xlfn.XLOOKUP(C1002,[1]StuntDes!$B:$B,[1]StuntDes!$C:$C)),"")</f>
        <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96</v>
      </c>
      <c r="D1003" t="s">
        <v>35</v>
      </c>
      <c r="E1003" t="s">
        <v>388</v>
      </c>
      <c r="F1003"/>
      <c r="G1003">
        <v>1</v>
      </c>
      <c r="H1003">
        <v>1000</v>
      </c>
      <c r="I1003"/>
      <c r="J1003" cm="1">
        <f t="array" ref="J1003">_xlfn.SWITCH(B1003,1,75,2,61,3,49,4,37,5,25,6,13,7,4,8,1)</f>
        <v>1</v>
      </c>
      <c r="K1003" t="str" cm="1">
        <f t="array" ref="K1003">IFERROR(_xlfn.SWITCH(L1003,2,_xlfn.XLOOKUP(C1003,[1]ModifierDes!$B:$B,[1]ModifierDes!$C:$C),3,_xlfn.XLOOKUP(C1003,[1]StuntDes!$B:$B,[1]StuntDes!$C:$C)),"")</f>
        <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393</v>
      </c>
      <c r="D1004" t="s">
        <v>35</v>
      </c>
      <c r="E1004" t="s">
        <v>388</v>
      </c>
      <c r="F1004"/>
      <c r="G1004">
        <v>1</v>
      </c>
      <c r="H1004">
        <v>100</v>
      </c>
      <c r="I1004"/>
      <c r="J1004" cm="1">
        <f t="array" ref="J1004">_xlfn.SWITCH(B1004,1,75,2,61,3,49,4,37,5,25,6,13,7,4,8,1)</f>
        <v>75</v>
      </c>
      <c r="K1004" t="str" cm="1">
        <f t="array" ref="K1004">IFERROR(_xlfn.SWITCH(L1004,2,_xlfn.XLOOKUP(C1004,[1]ModifierDes!$B:$B,[1]ModifierDes!$C:$C),3,_xlfn.XLOOKUP(C1004,[1]StuntDes!$B:$B,[1]StuntDes!$C:$C)),"")</f>
        <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393</v>
      </c>
      <c r="D1005" t="s">
        <v>35</v>
      </c>
      <c r="E1005" t="s">
        <v>388</v>
      </c>
      <c r="F1005"/>
      <c r="G1005">
        <v>1</v>
      </c>
      <c r="H1005">
        <v>200</v>
      </c>
      <c r="I1005"/>
      <c r="J1005" cm="1">
        <f t="array" ref="J1005">_xlfn.SWITCH(B1005,1,75,2,61,3,49,4,37,5,25,6,13,7,4,8,1)</f>
        <v>61</v>
      </c>
      <c r="K1005" t="str" cm="1">
        <f t="array" ref="K1005">IFERROR(_xlfn.SWITCH(L1005,2,_xlfn.XLOOKUP(C1005,[1]ModifierDes!$B:$B,[1]ModifierDes!$C:$C),3,_xlfn.XLOOKUP(C1005,[1]StuntDes!$B:$B,[1]StuntDes!$C:$C)),"")</f>
        <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393</v>
      </c>
      <c r="D1006" t="s">
        <v>35</v>
      </c>
      <c r="E1006" t="s">
        <v>388</v>
      </c>
      <c r="F1006"/>
      <c r="G1006">
        <v>1</v>
      </c>
      <c r="H1006">
        <v>400</v>
      </c>
      <c r="I1006"/>
      <c r="J1006" cm="1">
        <f t="array" ref="J1006">_xlfn.SWITCH(B1006,1,75,2,61,3,49,4,37,5,25,6,13,7,4,8,1)</f>
        <v>49</v>
      </c>
      <c r="K1006" t="str" cm="1">
        <f t="array" ref="K1006">IFERROR(_xlfn.SWITCH(L1006,2,_xlfn.XLOOKUP(C1006,[1]ModifierDes!$B:$B,[1]ModifierDes!$C:$C),3,_xlfn.XLOOKUP(C1006,[1]StuntDes!$B:$B,[1]StuntDes!$C:$C)),"")</f>
        <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393</v>
      </c>
      <c r="D1007" t="s">
        <v>35</v>
      </c>
      <c r="E1007" t="s">
        <v>388</v>
      </c>
      <c r="F1007"/>
      <c r="G1007">
        <v>1</v>
      </c>
      <c r="H1007">
        <v>600</v>
      </c>
      <c r="I1007"/>
      <c r="J1007" cm="1">
        <f t="array" ref="J1007">_xlfn.SWITCH(B1007,1,75,2,61,3,49,4,37,5,25,6,13,7,4,8,1)</f>
        <v>37</v>
      </c>
      <c r="K1007" t="str" cm="1">
        <f t="array" ref="K1007">IFERROR(_xlfn.SWITCH(L1007,2,_xlfn.XLOOKUP(C1007,[1]ModifierDes!$B:$B,[1]ModifierDes!$C:$C),3,_xlfn.XLOOKUP(C1007,[1]StuntDes!$B:$B,[1]StuntDes!$C:$C)),"")</f>
        <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393</v>
      </c>
      <c r="D1008" t="s">
        <v>35</v>
      </c>
      <c r="E1008" t="s">
        <v>388</v>
      </c>
      <c r="F1008"/>
      <c r="G1008">
        <v>1</v>
      </c>
      <c r="H1008">
        <v>800</v>
      </c>
      <c r="I1008"/>
      <c r="J1008" cm="1">
        <f t="array" ref="J1008">_xlfn.SWITCH(B1008,1,75,2,61,3,49,4,37,5,25,6,13,7,4,8,1)</f>
        <v>25</v>
      </c>
      <c r="K1008" t="str" cm="1">
        <f t="array" ref="K1008">IFERROR(_xlfn.SWITCH(L1008,2,_xlfn.XLOOKUP(C1008,[1]ModifierDes!$B:$B,[1]ModifierDes!$C:$C),3,_xlfn.XLOOKUP(C1008,[1]StuntDes!$B:$B,[1]StuntDes!$C:$C)),"")</f>
        <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393</v>
      </c>
      <c r="D1009" t="s">
        <v>35</v>
      </c>
      <c r="E1009" t="s">
        <v>388</v>
      </c>
      <c r="F1009"/>
      <c r="G1009">
        <v>1</v>
      </c>
      <c r="H1009">
        <v>1000</v>
      </c>
      <c r="I1009"/>
      <c r="J1009" cm="1">
        <f t="array" ref="J1009">_xlfn.SWITCH(B1009,1,75,2,61,3,49,4,37,5,25,6,13,7,4,8,1)</f>
        <v>13</v>
      </c>
      <c r="K1009" t="str" cm="1">
        <f t="array" ref="K1009">IFERROR(_xlfn.SWITCH(L1009,2,_xlfn.XLOOKUP(C1009,[1]ModifierDes!$B:$B,[1]ModifierDes!$C:$C),3,_xlfn.XLOOKUP(C1009,[1]StuntDes!$B:$B,[1]StuntDes!$C:$C)),"")</f>
        <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393</v>
      </c>
      <c r="D1010" t="s">
        <v>35</v>
      </c>
      <c r="E1010" t="s">
        <v>388</v>
      </c>
      <c r="F1010"/>
      <c r="G1010">
        <v>1</v>
      </c>
      <c r="H1010">
        <v>1000</v>
      </c>
      <c r="I1010"/>
      <c r="J1010" cm="1">
        <f t="array" ref="J1010">_xlfn.SWITCH(B1010,1,75,2,61,3,49,4,37,5,25,6,13,7,4,8,1)</f>
        <v>4</v>
      </c>
      <c r="K1010" t="str" cm="1">
        <f t="array" ref="K1010">IFERROR(_xlfn.SWITCH(L1010,2,_xlfn.XLOOKUP(C1010,[1]ModifierDes!$B:$B,[1]ModifierDes!$C:$C),3,_xlfn.XLOOKUP(C1010,[1]StuntDes!$B:$B,[1]StuntDes!$C:$C)),"")</f>
        <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393</v>
      </c>
      <c r="D1011" t="s">
        <v>35</v>
      </c>
      <c r="E1011" t="s">
        <v>388</v>
      </c>
      <c r="F1011"/>
      <c r="G1011">
        <v>1</v>
      </c>
      <c r="H1011">
        <v>1000</v>
      </c>
      <c r="I1011"/>
      <c r="J1011" cm="1">
        <f t="array" ref="J1011">_xlfn.SWITCH(B1011,1,75,2,61,3,49,4,37,5,25,6,13,7,4,8,1)</f>
        <v>1</v>
      </c>
      <c r="K1011" t="str" cm="1">
        <f t="array" ref="K1011">IFERROR(_xlfn.SWITCH(L1011,2,_xlfn.XLOOKUP(C1011,[1]ModifierDes!$B:$B,[1]ModifierDes!$C:$C),3,_xlfn.XLOOKUP(C1011,[1]StuntDes!$B:$B,[1]StuntDes!$C:$C)),"")</f>
        <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394</v>
      </c>
      <c r="D1012" t="s">
        <v>35</v>
      </c>
      <c r="E1012" t="s">
        <v>388</v>
      </c>
      <c r="F1012"/>
      <c r="G1012">
        <v>1</v>
      </c>
      <c r="H1012">
        <v>100</v>
      </c>
      <c r="I1012"/>
      <c r="J1012" cm="1">
        <f t="array" ref="J1012">_xlfn.SWITCH(B1012,1,75,2,61,3,49,4,37,5,25,6,13,7,4,8,1)</f>
        <v>75</v>
      </c>
      <c r="K1012" t="str" cm="1">
        <f t="array" ref="K1012">IFERROR(_xlfn.SWITCH(L1012,2,_xlfn.XLOOKUP(C1012,[1]ModifierDes!$B:$B,[1]ModifierDes!$C:$C),3,_xlfn.XLOOKUP(C1012,[1]StuntDes!$B:$B,[1]StuntDes!$C:$C)),"")</f>
        <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394</v>
      </c>
      <c r="D1013" t="s">
        <v>35</v>
      </c>
      <c r="E1013" t="s">
        <v>388</v>
      </c>
      <c r="F1013"/>
      <c r="G1013">
        <v>1</v>
      </c>
      <c r="H1013">
        <v>200</v>
      </c>
      <c r="I1013"/>
      <c r="J1013" cm="1">
        <f t="array" ref="J1013">_xlfn.SWITCH(B1013,1,75,2,61,3,49,4,37,5,25,6,13,7,4,8,1)</f>
        <v>61</v>
      </c>
      <c r="K1013" t="str" cm="1">
        <f t="array" ref="K1013">IFERROR(_xlfn.SWITCH(L1013,2,_xlfn.XLOOKUP(C1013,[1]ModifierDes!$B:$B,[1]ModifierDes!$C:$C),3,_xlfn.XLOOKUP(C1013,[1]StuntDes!$B:$B,[1]StuntDes!$C:$C)),"")</f>
        <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394</v>
      </c>
      <c r="D1014" t="s">
        <v>35</v>
      </c>
      <c r="E1014" t="s">
        <v>388</v>
      </c>
      <c r="F1014"/>
      <c r="G1014">
        <v>1</v>
      </c>
      <c r="H1014">
        <v>400</v>
      </c>
      <c r="I1014"/>
      <c r="J1014" cm="1">
        <f t="array" ref="J1014">_xlfn.SWITCH(B1014,1,75,2,61,3,49,4,37,5,25,6,13,7,4,8,1)</f>
        <v>49</v>
      </c>
      <c r="K1014" t="str" cm="1">
        <f t="array" ref="K1014">IFERROR(_xlfn.SWITCH(L1014,2,_xlfn.XLOOKUP(C1014,[1]ModifierDes!$B:$B,[1]ModifierDes!$C:$C),3,_xlfn.XLOOKUP(C1014,[1]StuntDes!$B:$B,[1]StuntDes!$C:$C)),"")</f>
        <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394</v>
      </c>
      <c r="D1015" t="s">
        <v>35</v>
      </c>
      <c r="E1015" t="s">
        <v>388</v>
      </c>
      <c r="F1015"/>
      <c r="G1015">
        <v>1</v>
      </c>
      <c r="H1015">
        <v>600</v>
      </c>
      <c r="I1015"/>
      <c r="J1015" cm="1">
        <f t="array" ref="J1015">_xlfn.SWITCH(B1015,1,75,2,61,3,49,4,37,5,25,6,13,7,4,8,1)</f>
        <v>37</v>
      </c>
      <c r="K1015" t="str" cm="1">
        <f t="array" ref="K1015">IFERROR(_xlfn.SWITCH(L1015,2,_xlfn.XLOOKUP(C1015,[1]ModifierDes!$B:$B,[1]ModifierDes!$C:$C),3,_xlfn.XLOOKUP(C1015,[1]StuntDes!$B:$B,[1]StuntDes!$C:$C)),"")</f>
        <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394</v>
      </c>
      <c r="D1016" t="s">
        <v>35</v>
      </c>
      <c r="E1016" t="s">
        <v>388</v>
      </c>
      <c r="F1016"/>
      <c r="G1016">
        <v>1</v>
      </c>
      <c r="H1016">
        <v>800</v>
      </c>
      <c r="I1016"/>
      <c r="J1016" cm="1">
        <f t="array" ref="J1016">_xlfn.SWITCH(B1016,1,75,2,61,3,49,4,37,5,25,6,13,7,4,8,1)</f>
        <v>25</v>
      </c>
      <c r="K1016" t="str" cm="1">
        <f t="array" ref="K1016">IFERROR(_xlfn.SWITCH(L1016,2,_xlfn.XLOOKUP(C1016,[1]ModifierDes!$B:$B,[1]ModifierDes!$C:$C),3,_xlfn.XLOOKUP(C1016,[1]StuntDes!$B:$B,[1]StuntDes!$C:$C)),"")</f>
        <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394</v>
      </c>
      <c r="D1017" t="s">
        <v>35</v>
      </c>
      <c r="E1017" t="s">
        <v>388</v>
      </c>
      <c r="F1017"/>
      <c r="G1017">
        <v>1</v>
      </c>
      <c r="H1017">
        <v>1000</v>
      </c>
      <c r="I1017"/>
      <c r="J1017" cm="1">
        <f t="array" ref="J1017">_xlfn.SWITCH(B1017,1,75,2,61,3,49,4,37,5,25,6,13,7,4,8,1)</f>
        <v>13</v>
      </c>
      <c r="K1017" t="str" cm="1">
        <f t="array" ref="K1017">IFERROR(_xlfn.SWITCH(L1017,2,_xlfn.XLOOKUP(C1017,[1]ModifierDes!$B:$B,[1]ModifierDes!$C:$C),3,_xlfn.XLOOKUP(C1017,[1]StuntDes!$B:$B,[1]StuntDes!$C:$C)),"")</f>
        <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394</v>
      </c>
      <c r="D1018" t="s">
        <v>35</v>
      </c>
      <c r="E1018" t="s">
        <v>388</v>
      </c>
      <c r="F1018"/>
      <c r="G1018">
        <v>1</v>
      </c>
      <c r="H1018">
        <v>1000</v>
      </c>
      <c r="I1018"/>
      <c r="J1018" cm="1">
        <f t="array" ref="J1018">_xlfn.SWITCH(B1018,1,75,2,61,3,49,4,37,5,25,6,13,7,4,8,1)</f>
        <v>4</v>
      </c>
      <c r="K1018" t="str" cm="1">
        <f t="array" ref="K1018">IFERROR(_xlfn.SWITCH(L1018,2,_xlfn.XLOOKUP(C1018,[1]ModifierDes!$B:$B,[1]ModifierDes!$C:$C),3,_xlfn.XLOOKUP(C1018,[1]StuntDes!$B:$B,[1]StuntDes!$C:$C)),"")</f>
        <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394</v>
      </c>
      <c r="D1019" t="s">
        <v>35</v>
      </c>
      <c r="E1019" t="s">
        <v>388</v>
      </c>
      <c r="F1019"/>
      <c r="G1019">
        <v>1</v>
      </c>
      <c r="H1019">
        <v>1000</v>
      </c>
      <c r="I1019"/>
      <c r="J1019" cm="1">
        <f t="array" ref="J1019">_xlfn.SWITCH(B1019,1,75,2,61,3,49,4,37,5,25,6,13,7,4,8,1)</f>
        <v>1</v>
      </c>
      <c r="K1019" t="str" cm="1">
        <f t="array" ref="K1019">IFERROR(_xlfn.SWITCH(L1019,2,_xlfn.XLOOKUP(C1019,[1]ModifierDes!$B:$B,[1]ModifierDes!$C:$C),3,_xlfn.XLOOKUP(C1019,[1]StuntDes!$B:$B,[1]StuntDes!$C:$C)),"")</f>
        <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395</v>
      </c>
      <c r="D1020" t="s">
        <v>35</v>
      </c>
      <c r="E1020" t="s">
        <v>388</v>
      </c>
      <c r="F1020"/>
      <c r="G1020">
        <v>1</v>
      </c>
      <c r="H1020">
        <v>100</v>
      </c>
      <c r="I1020"/>
      <c r="J1020" cm="1">
        <f t="array" ref="J1020">_xlfn.SWITCH(B1020,1,75,2,61,3,49,4,37,5,25,6,13,7,4,8,1)</f>
        <v>75</v>
      </c>
      <c r="K1020" t="str" cm="1">
        <f t="array" ref="K1020">IFERROR(_xlfn.SWITCH(L1020,2,_xlfn.XLOOKUP(C1020,[1]ModifierDes!$B:$B,[1]ModifierDes!$C:$C),3,_xlfn.XLOOKUP(C1020,[1]StuntDes!$B:$B,[1]StuntDes!$C:$C)),"")</f>
        <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395</v>
      </c>
      <c r="D1021" t="s">
        <v>35</v>
      </c>
      <c r="E1021" t="s">
        <v>388</v>
      </c>
      <c r="F1021"/>
      <c r="G1021">
        <v>1</v>
      </c>
      <c r="H1021">
        <v>200</v>
      </c>
      <c r="I1021"/>
      <c r="J1021" cm="1">
        <f t="array" ref="J1021">_xlfn.SWITCH(B1021,1,75,2,61,3,49,4,37,5,25,6,13,7,4,8,1)</f>
        <v>61</v>
      </c>
      <c r="K1021" t="str" cm="1">
        <f t="array" ref="K1021">IFERROR(_xlfn.SWITCH(L1021,2,_xlfn.XLOOKUP(C1021,[1]ModifierDes!$B:$B,[1]ModifierDes!$C:$C),3,_xlfn.XLOOKUP(C1021,[1]StuntDes!$B:$B,[1]StuntDes!$C:$C)),"")</f>
        <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395</v>
      </c>
      <c r="D1022" t="s">
        <v>35</v>
      </c>
      <c r="E1022" t="s">
        <v>388</v>
      </c>
      <c r="F1022"/>
      <c r="G1022">
        <v>1</v>
      </c>
      <c r="H1022">
        <v>400</v>
      </c>
      <c r="I1022"/>
      <c r="J1022" cm="1">
        <f t="array" ref="J1022">_xlfn.SWITCH(B1022,1,75,2,61,3,49,4,37,5,25,6,13,7,4,8,1)</f>
        <v>49</v>
      </c>
      <c r="K1022" t="str" cm="1">
        <f t="array" ref="K1022">IFERROR(_xlfn.SWITCH(L1022,2,_xlfn.XLOOKUP(C1022,[1]ModifierDes!$B:$B,[1]ModifierDes!$C:$C),3,_xlfn.XLOOKUP(C1022,[1]StuntDes!$B:$B,[1]StuntDes!$C:$C)),"")</f>
        <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395</v>
      </c>
      <c r="D1023" t="s">
        <v>35</v>
      </c>
      <c r="E1023" t="s">
        <v>388</v>
      </c>
      <c r="F1023"/>
      <c r="G1023">
        <v>1</v>
      </c>
      <c r="H1023">
        <v>600</v>
      </c>
      <c r="I1023"/>
      <c r="J1023" cm="1">
        <f t="array" ref="J1023">_xlfn.SWITCH(B1023,1,75,2,61,3,49,4,37,5,25,6,13,7,4,8,1)</f>
        <v>37</v>
      </c>
      <c r="K1023" t="str" cm="1">
        <f t="array" ref="K1023">IFERROR(_xlfn.SWITCH(L1023,2,_xlfn.XLOOKUP(C1023,[1]ModifierDes!$B:$B,[1]ModifierDes!$C:$C),3,_xlfn.XLOOKUP(C1023,[1]StuntDes!$B:$B,[1]StuntDes!$C:$C)),"")</f>
        <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395</v>
      </c>
      <c r="D1024" t="s">
        <v>35</v>
      </c>
      <c r="E1024" t="s">
        <v>388</v>
      </c>
      <c r="F1024"/>
      <c r="G1024">
        <v>1</v>
      </c>
      <c r="H1024">
        <v>800</v>
      </c>
      <c r="I1024"/>
      <c r="J1024" cm="1">
        <f t="array" ref="J1024">_xlfn.SWITCH(B1024,1,75,2,61,3,49,4,37,5,25,6,13,7,4,8,1)</f>
        <v>25</v>
      </c>
      <c r="K1024" t="str" cm="1">
        <f t="array" ref="K1024">IFERROR(_xlfn.SWITCH(L1024,2,_xlfn.XLOOKUP(C1024,[1]ModifierDes!$B:$B,[1]ModifierDes!$C:$C),3,_xlfn.XLOOKUP(C1024,[1]StuntDes!$B:$B,[1]StuntDes!$C:$C)),"")</f>
        <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395</v>
      </c>
      <c r="D1025" t="s">
        <v>35</v>
      </c>
      <c r="E1025" t="s">
        <v>388</v>
      </c>
      <c r="F1025"/>
      <c r="G1025">
        <v>1</v>
      </c>
      <c r="H1025">
        <v>1000</v>
      </c>
      <c r="I1025"/>
      <c r="J1025" cm="1">
        <f t="array" ref="J1025">_xlfn.SWITCH(B1025,1,75,2,61,3,49,4,37,5,25,6,13,7,4,8,1)</f>
        <v>13</v>
      </c>
      <c r="K1025" t="str" cm="1">
        <f t="array" ref="K1025">IFERROR(_xlfn.SWITCH(L1025,2,_xlfn.XLOOKUP(C1025,[1]ModifierDes!$B:$B,[1]ModifierDes!$C:$C),3,_xlfn.XLOOKUP(C1025,[1]StuntDes!$B:$B,[1]StuntDes!$C:$C)),"")</f>
        <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395</v>
      </c>
      <c r="D1026" t="s">
        <v>35</v>
      </c>
      <c r="E1026" t="s">
        <v>388</v>
      </c>
      <c r="F1026"/>
      <c r="G1026">
        <v>1</v>
      </c>
      <c r="H1026">
        <v>1000</v>
      </c>
      <c r="I1026"/>
      <c r="J1026" cm="1">
        <f t="array" ref="J1026">_xlfn.SWITCH(B1026,1,75,2,61,3,49,4,37,5,25,6,13,7,4,8,1)</f>
        <v>4</v>
      </c>
      <c r="K1026" t="str" cm="1">
        <f t="array" ref="K1026">IFERROR(_xlfn.SWITCH(L1026,2,_xlfn.XLOOKUP(C1026,[1]ModifierDes!$B:$B,[1]ModifierDes!$C:$C),3,_xlfn.XLOOKUP(C1026,[1]StuntDes!$B:$B,[1]StuntDes!$C:$C)),"")</f>
        <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395</v>
      </c>
      <c r="D1027" t="s">
        <v>35</v>
      </c>
      <c r="E1027" t="s">
        <v>388</v>
      </c>
      <c r="F1027"/>
      <c r="G1027">
        <v>1</v>
      </c>
      <c r="H1027">
        <v>1000</v>
      </c>
      <c r="I1027"/>
      <c r="J1027" cm="1">
        <f t="array" ref="J1027">_xlfn.SWITCH(B1027,1,75,2,61,3,49,4,37,5,25,6,13,7,4,8,1)</f>
        <v>1</v>
      </c>
      <c r="K1027" t="str" cm="1">
        <f t="array" ref="K1027">IFERROR(_xlfn.SWITCH(L1027,2,_xlfn.XLOOKUP(C1027,[1]ModifierDes!$B:$B,[1]ModifierDes!$C:$C),3,_xlfn.XLOOKUP(C1027,[1]StuntDes!$B:$B,[1]StuntDes!$C:$C)),"")</f>
        <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396</v>
      </c>
      <c r="D1028" t="s">
        <v>35</v>
      </c>
      <c r="E1028" t="s">
        <v>388</v>
      </c>
      <c r="F1028"/>
      <c r="G1028">
        <v>1</v>
      </c>
      <c r="H1028">
        <v>100</v>
      </c>
      <c r="I1028"/>
      <c r="J1028" cm="1">
        <f t="array" ref="J1028">_xlfn.SWITCH(B1028,1,75,2,61,3,49,4,37,5,25,6,13,7,4,8,1)</f>
        <v>75</v>
      </c>
      <c r="K1028" t="str" cm="1">
        <f t="array" ref="K1028">IFERROR(_xlfn.SWITCH(L1028,2,_xlfn.XLOOKUP(C1028,[1]ModifierDes!$B:$B,[1]ModifierDes!$C:$C),3,_xlfn.XLOOKUP(C1028,[1]StuntDes!$B:$B,[1]StuntDes!$C:$C)),"")</f>
        <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396</v>
      </c>
      <c r="D1029" t="s">
        <v>35</v>
      </c>
      <c r="E1029" t="s">
        <v>388</v>
      </c>
      <c r="F1029"/>
      <c r="G1029">
        <v>1</v>
      </c>
      <c r="H1029">
        <v>200</v>
      </c>
      <c r="I1029"/>
      <c r="J1029" cm="1">
        <f t="array" ref="J1029">_xlfn.SWITCH(B1029,1,75,2,61,3,49,4,37,5,25,6,13,7,4,8,1)</f>
        <v>61</v>
      </c>
      <c r="K1029" t="str" cm="1">
        <f t="array" ref="K1029">IFERROR(_xlfn.SWITCH(L1029,2,_xlfn.XLOOKUP(C1029,[1]ModifierDes!$B:$B,[1]ModifierDes!$C:$C),3,_xlfn.XLOOKUP(C1029,[1]StuntDes!$B:$B,[1]StuntDes!$C:$C)),"")</f>
        <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396</v>
      </c>
      <c r="D1030" t="s">
        <v>35</v>
      </c>
      <c r="E1030" t="s">
        <v>388</v>
      </c>
      <c r="F1030"/>
      <c r="G1030">
        <v>1</v>
      </c>
      <c r="H1030">
        <v>400</v>
      </c>
      <c r="I1030"/>
      <c r="J1030" cm="1">
        <f t="array" ref="J1030">_xlfn.SWITCH(B1030,1,75,2,61,3,49,4,37,5,25,6,13,7,4,8,1)</f>
        <v>49</v>
      </c>
      <c r="K1030" t="str" cm="1">
        <f t="array" ref="K1030">IFERROR(_xlfn.SWITCH(L1030,2,_xlfn.XLOOKUP(C1030,[1]ModifierDes!$B:$B,[1]ModifierDes!$C:$C),3,_xlfn.XLOOKUP(C1030,[1]StuntDes!$B:$B,[1]StuntDes!$C:$C)),"")</f>
        <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396</v>
      </c>
      <c r="D1031" t="s">
        <v>35</v>
      </c>
      <c r="E1031" t="s">
        <v>388</v>
      </c>
      <c r="F1031"/>
      <c r="G1031">
        <v>1</v>
      </c>
      <c r="H1031">
        <v>600</v>
      </c>
      <c r="I1031"/>
      <c r="J1031" cm="1">
        <f t="array" ref="J1031">_xlfn.SWITCH(B1031,1,75,2,61,3,49,4,37,5,25,6,13,7,4,8,1)</f>
        <v>37</v>
      </c>
      <c r="K1031" t="str" cm="1">
        <f t="array" ref="K1031">IFERROR(_xlfn.SWITCH(L1031,2,_xlfn.XLOOKUP(C1031,[1]ModifierDes!$B:$B,[1]ModifierDes!$C:$C),3,_xlfn.XLOOKUP(C1031,[1]StuntDes!$B:$B,[1]StuntDes!$C:$C)),"")</f>
        <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396</v>
      </c>
      <c r="D1032" t="s">
        <v>35</v>
      </c>
      <c r="E1032" t="s">
        <v>388</v>
      </c>
      <c r="F1032"/>
      <c r="G1032">
        <v>1</v>
      </c>
      <c r="H1032">
        <v>800</v>
      </c>
      <c r="I1032"/>
      <c r="J1032" cm="1">
        <f t="array" ref="J1032">_xlfn.SWITCH(B1032,1,75,2,61,3,49,4,37,5,25,6,13,7,4,8,1)</f>
        <v>25</v>
      </c>
      <c r="K1032" t="str" cm="1">
        <f t="array" ref="K1032">IFERROR(_xlfn.SWITCH(L1032,2,_xlfn.XLOOKUP(C1032,[1]ModifierDes!$B:$B,[1]ModifierDes!$C:$C),3,_xlfn.XLOOKUP(C1032,[1]StuntDes!$B:$B,[1]StuntDes!$C:$C)),"")</f>
        <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396</v>
      </c>
      <c r="D1033" t="s">
        <v>35</v>
      </c>
      <c r="E1033" t="s">
        <v>388</v>
      </c>
      <c r="F1033"/>
      <c r="G1033">
        <v>1</v>
      </c>
      <c r="H1033">
        <v>1000</v>
      </c>
      <c r="I1033"/>
      <c r="J1033" cm="1">
        <f t="array" ref="J1033">_xlfn.SWITCH(B1033,1,75,2,61,3,49,4,37,5,25,6,13,7,4,8,1)</f>
        <v>13</v>
      </c>
      <c r="K1033" t="str" cm="1">
        <f t="array" ref="K1033">IFERROR(_xlfn.SWITCH(L1033,2,_xlfn.XLOOKUP(C1033,[1]ModifierDes!$B:$B,[1]ModifierDes!$C:$C),3,_xlfn.XLOOKUP(C1033,[1]StuntDes!$B:$B,[1]StuntDes!$C:$C)),"")</f>
        <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396</v>
      </c>
      <c r="D1034" t="s">
        <v>35</v>
      </c>
      <c r="E1034" t="s">
        <v>388</v>
      </c>
      <c r="F1034"/>
      <c r="G1034">
        <v>1</v>
      </c>
      <c r="H1034">
        <v>1000</v>
      </c>
      <c r="I1034"/>
      <c r="J1034" cm="1">
        <f t="array" ref="J1034">_xlfn.SWITCH(B1034,1,75,2,61,3,49,4,37,5,25,6,13,7,4,8,1)</f>
        <v>4</v>
      </c>
      <c r="K1034" t="str" cm="1">
        <f t="array" ref="K1034">IFERROR(_xlfn.SWITCH(L1034,2,_xlfn.XLOOKUP(C1034,[1]ModifierDes!$B:$B,[1]ModifierDes!$C:$C),3,_xlfn.XLOOKUP(C1034,[1]StuntDes!$B:$B,[1]StuntDes!$C:$C)),"")</f>
        <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396</v>
      </c>
      <c r="D1035" t="s">
        <v>35</v>
      </c>
      <c r="E1035" t="s">
        <v>388</v>
      </c>
      <c r="F1035"/>
      <c r="G1035">
        <v>1</v>
      </c>
      <c r="H1035">
        <v>1000</v>
      </c>
      <c r="I1035"/>
      <c r="J1035" cm="1">
        <f t="array" ref="J1035">_xlfn.SWITCH(B1035,1,75,2,61,3,49,4,37,5,25,6,13,7,4,8,1)</f>
        <v>1</v>
      </c>
      <c r="K1035" t="str" cm="1">
        <f t="array" ref="K1035">IFERROR(_xlfn.SWITCH(L1035,2,_xlfn.XLOOKUP(C1035,[1]ModifierDes!$B:$B,[1]ModifierDes!$C:$C),3,_xlfn.XLOOKUP(C1035,[1]StuntDes!$B:$B,[1]StuntDes!$C:$C)),"")</f>
        <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397</v>
      </c>
      <c r="D1036" t="s">
        <v>35</v>
      </c>
      <c r="E1036" t="s">
        <v>388</v>
      </c>
      <c r="F1036"/>
      <c r="G1036">
        <v>1</v>
      </c>
      <c r="H1036">
        <v>100</v>
      </c>
      <c r="I1036"/>
      <c r="J1036" cm="1">
        <f t="array" ref="J1036">_xlfn.SWITCH(B1036,1,75,2,61,3,49,4,37,5,25,6,13,7,4,8,1)</f>
        <v>75</v>
      </c>
      <c r="K1036" t="str" cm="1">
        <f t="array" ref="K1036">IFERROR(_xlfn.SWITCH(L1036,2,_xlfn.XLOOKUP(C1036,[1]ModifierDes!$B:$B,[1]ModifierDes!$C:$C),3,_xlfn.XLOOKUP(C1036,[1]StuntDes!$B:$B,[1]StuntDes!$C:$C)),"")</f>
        <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397</v>
      </c>
      <c r="D1037" t="s">
        <v>35</v>
      </c>
      <c r="E1037" t="s">
        <v>388</v>
      </c>
      <c r="F1037"/>
      <c r="G1037">
        <v>1</v>
      </c>
      <c r="H1037">
        <v>200</v>
      </c>
      <c r="I1037"/>
      <c r="J1037" cm="1">
        <f t="array" ref="J1037">_xlfn.SWITCH(B1037,1,75,2,61,3,49,4,37,5,25,6,13,7,4,8,1)</f>
        <v>61</v>
      </c>
      <c r="K1037" t="str" cm="1">
        <f t="array" ref="K1037">IFERROR(_xlfn.SWITCH(L1037,2,_xlfn.XLOOKUP(C1037,[1]ModifierDes!$B:$B,[1]ModifierDes!$C:$C),3,_xlfn.XLOOKUP(C1037,[1]StuntDes!$B:$B,[1]StuntDes!$C:$C)),"")</f>
        <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397</v>
      </c>
      <c r="D1038" t="s">
        <v>35</v>
      </c>
      <c r="E1038" t="s">
        <v>388</v>
      </c>
      <c r="F1038"/>
      <c r="G1038">
        <v>1</v>
      </c>
      <c r="H1038">
        <v>400</v>
      </c>
      <c r="I1038"/>
      <c r="J1038" cm="1">
        <f t="array" ref="J1038">_xlfn.SWITCH(B1038,1,75,2,61,3,49,4,37,5,25,6,13,7,4,8,1)</f>
        <v>49</v>
      </c>
      <c r="K1038" t="str" cm="1">
        <f t="array" ref="K1038">IFERROR(_xlfn.SWITCH(L1038,2,_xlfn.XLOOKUP(C1038,[1]ModifierDes!$B:$B,[1]ModifierDes!$C:$C),3,_xlfn.XLOOKUP(C1038,[1]StuntDes!$B:$B,[1]StuntDes!$C:$C)),"")</f>
        <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397</v>
      </c>
      <c r="D1039" t="s">
        <v>35</v>
      </c>
      <c r="E1039" t="s">
        <v>388</v>
      </c>
      <c r="F1039"/>
      <c r="G1039">
        <v>1</v>
      </c>
      <c r="H1039">
        <v>600</v>
      </c>
      <c r="I1039"/>
      <c r="J1039" cm="1">
        <f t="array" ref="J1039">_xlfn.SWITCH(B1039,1,75,2,61,3,49,4,37,5,25,6,13,7,4,8,1)</f>
        <v>37</v>
      </c>
      <c r="K1039" t="str" cm="1">
        <f t="array" ref="K1039">IFERROR(_xlfn.SWITCH(L1039,2,_xlfn.XLOOKUP(C1039,[1]ModifierDes!$B:$B,[1]ModifierDes!$C:$C),3,_xlfn.XLOOKUP(C1039,[1]StuntDes!$B:$B,[1]StuntDes!$C:$C)),"")</f>
        <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397</v>
      </c>
      <c r="D1040" t="s">
        <v>35</v>
      </c>
      <c r="E1040" t="s">
        <v>388</v>
      </c>
      <c r="F1040"/>
      <c r="G1040">
        <v>1</v>
      </c>
      <c r="H1040">
        <v>800</v>
      </c>
      <c r="I1040"/>
      <c r="J1040" cm="1">
        <f t="array" ref="J1040">_xlfn.SWITCH(B1040,1,75,2,61,3,49,4,37,5,25,6,13,7,4,8,1)</f>
        <v>25</v>
      </c>
      <c r="K1040" t="str" cm="1">
        <f t="array" ref="K1040">IFERROR(_xlfn.SWITCH(L1040,2,_xlfn.XLOOKUP(C1040,[1]ModifierDes!$B:$B,[1]ModifierDes!$C:$C),3,_xlfn.XLOOKUP(C1040,[1]StuntDes!$B:$B,[1]StuntDes!$C:$C)),"")</f>
        <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397</v>
      </c>
      <c r="D1041" t="s">
        <v>35</v>
      </c>
      <c r="E1041" t="s">
        <v>388</v>
      </c>
      <c r="F1041"/>
      <c r="G1041">
        <v>1</v>
      </c>
      <c r="H1041">
        <v>1000</v>
      </c>
      <c r="I1041"/>
      <c r="J1041" cm="1">
        <f t="array" ref="J1041">_xlfn.SWITCH(B1041,1,75,2,61,3,49,4,37,5,25,6,13,7,4,8,1)</f>
        <v>13</v>
      </c>
      <c r="K1041" t="str" cm="1">
        <f t="array" ref="K1041">IFERROR(_xlfn.SWITCH(L1041,2,_xlfn.XLOOKUP(C1041,[1]ModifierDes!$B:$B,[1]ModifierDes!$C:$C),3,_xlfn.XLOOKUP(C1041,[1]StuntDes!$B:$B,[1]StuntDes!$C:$C)),"")</f>
        <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397</v>
      </c>
      <c r="D1042" t="s">
        <v>35</v>
      </c>
      <c r="E1042" t="s">
        <v>388</v>
      </c>
      <c r="F1042"/>
      <c r="G1042">
        <v>1</v>
      </c>
      <c r="H1042">
        <v>1000</v>
      </c>
      <c r="I1042"/>
      <c r="J1042" cm="1">
        <f t="array" ref="J1042">_xlfn.SWITCH(B1042,1,75,2,61,3,49,4,37,5,25,6,13,7,4,8,1)</f>
        <v>4</v>
      </c>
      <c r="K1042" t="str" cm="1">
        <f t="array" ref="K1042">IFERROR(_xlfn.SWITCH(L1042,2,_xlfn.XLOOKUP(C1042,[1]ModifierDes!$B:$B,[1]ModifierDes!$C:$C),3,_xlfn.XLOOKUP(C1042,[1]StuntDes!$B:$B,[1]StuntDes!$C:$C)),"")</f>
        <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397</v>
      </c>
      <c r="D1043" t="s">
        <v>35</v>
      </c>
      <c r="E1043" t="s">
        <v>388</v>
      </c>
      <c r="F1043"/>
      <c r="G1043">
        <v>1</v>
      </c>
      <c r="H1043">
        <v>1000</v>
      </c>
      <c r="I1043"/>
      <c r="J1043" cm="1">
        <f t="array" ref="J1043">_xlfn.SWITCH(B1043,1,75,2,61,3,49,4,37,5,25,6,13,7,4,8,1)</f>
        <v>1</v>
      </c>
      <c r="K1043" t="str" cm="1">
        <f t="array" ref="K1043">IFERROR(_xlfn.SWITCH(L1043,2,_xlfn.XLOOKUP(C1043,[1]ModifierDes!$B:$B,[1]ModifierDes!$C:$C),3,_xlfn.XLOOKUP(C1043,[1]StuntDes!$B:$B,[1]StuntDes!$C:$C)),"")</f>
        <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432</v>
      </c>
      <c r="D1044" t="s">
        <v>35</v>
      </c>
      <c r="E1044" s="13" t="s">
        <v>405</v>
      </c>
      <c r="F1044"/>
      <c r="G1044">
        <v>2</v>
      </c>
      <c r="H1044">
        <v>1000</v>
      </c>
      <c r="J1044" cm="1">
        <f t="array" ref="J1044">_xlfn.SWITCH(B1044,1,75,2,61,3,49,4,37,5,25,6,13,7,4,8,1)</f>
        <v>75</v>
      </c>
      <c r="K1044" t="str" cm="1">
        <f t="array" ref="K1044">IFERROR(_xlfn.SWITCH(L1044,2,_xlfn.XLOOKUP(C1044,[1]ModifierDes!$B:$B,[1]ModifierDes!$C:$C),3,_xlfn.XLOOKUP(C1044,[1]StuntDes!$B:$B,[1]StuntDes!$C:$C)),"")</f>
        <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432</v>
      </c>
      <c r="D1045" t="s">
        <v>35</v>
      </c>
      <c r="E1045" s="13" t="s">
        <v>405</v>
      </c>
      <c r="F1045"/>
      <c r="G1045">
        <v>2</v>
      </c>
      <c r="H1045">
        <v>1000</v>
      </c>
      <c r="J1045" cm="1">
        <f t="array" ref="J1045">_xlfn.SWITCH(B1045,1,75,2,61,3,49,4,37,5,25,6,13,7,4,8,1)</f>
        <v>61</v>
      </c>
      <c r="K1045" t="str" cm="1">
        <f t="array" ref="K1045">IFERROR(_xlfn.SWITCH(L1045,2,_xlfn.XLOOKUP(C1045,[1]ModifierDes!$B:$B,[1]ModifierDes!$C:$C),3,_xlfn.XLOOKUP(C1045,[1]StuntDes!$B:$B,[1]StuntDes!$C:$C)),"")</f>
        <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432</v>
      </c>
      <c r="D1046" t="s">
        <v>35</v>
      </c>
      <c r="E1046" s="13" t="s">
        <v>405</v>
      </c>
      <c r="F1046"/>
      <c r="G1046">
        <v>2</v>
      </c>
      <c r="H1046">
        <v>1000</v>
      </c>
      <c r="J1046" cm="1">
        <f t="array" ref="J1046">_xlfn.SWITCH(B1046,1,75,2,61,3,49,4,37,5,25,6,13,7,4,8,1)</f>
        <v>49</v>
      </c>
      <c r="K1046" t="str" cm="1">
        <f t="array" ref="K1046">IFERROR(_xlfn.SWITCH(L1046,2,_xlfn.XLOOKUP(C1046,[1]ModifierDes!$B:$B,[1]ModifierDes!$C:$C),3,_xlfn.XLOOKUP(C1046,[1]StuntDes!$B:$B,[1]StuntDes!$C:$C)),"")</f>
        <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432</v>
      </c>
      <c r="D1047" t="s">
        <v>35</v>
      </c>
      <c r="E1047" s="13" t="s">
        <v>405</v>
      </c>
      <c r="F1047"/>
      <c r="G1047">
        <v>2</v>
      </c>
      <c r="H1047">
        <v>1000</v>
      </c>
      <c r="J1047" cm="1">
        <f t="array" ref="J1047">_xlfn.SWITCH(B1047,1,75,2,61,3,49,4,37,5,25,6,13,7,4,8,1)</f>
        <v>37</v>
      </c>
      <c r="K1047" t="str" cm="1">
        <f t="array" ref="K1047">IFERROR(_xlfn.SWITCH(L1047,2,_xlfn.XLOOKUP(C1047,[1]ModifierDes!$B:$B,[1]ModifierDes!$C:$C),3,_xlfn.XLOOKUP(C1047,[1]StuntDes!$B:$B,[1]StuntDes!$C:$C)),"")</f>
        <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432</v>
      </c>
      <c r="D1048" t="s">
        <v>35</v>
      </c>
      <c r="E1048" s="13" t="s">
        <v>405</v>
      </c>
      <c r="F1048"/>
      <c r="G1048">
        <v>2</v>
      </c>
      <c r="H1048">
        <v>1000</v>
      </c>
      <c r="J1048" cm="1">
        <f t="array" ref="J1048">_xlfn.SWITCH(B1048,1,75,2,61,3,49,4,37,5,25,6,13,7,4,8,1)</f>
        <v>25</v>
      </c>
      <c r="K1048" t="str" cm="1">
        <f t="array" ref="K1048">IFERROR(_xlfn.SWITCH(L1048,2,_xlfn.XLOOKUP(C1048,[1]ModifierDes!$B:$B,[1]ModifierDes!$C:$C),3,_xlfn.XLOOKUP(C1048,[1]StuntDes!$B:$B,[1]StuntDes!$C:$C)),"")</f>
        <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432</v>
      </c>
      <c r="D1049" t="s">
        <v>35</v>
      </c>
      <c r="E1049" s="13" t="s">
        <v>405</v>
      </c>
      <c r="F1049"/>
      <c r="G1049">
        <v>2</v>
      </c>
      <c r="H1049">
        <v>1000</v>
      </c>
      <c r="J1049" cm="1">
        <f t="array" ref="J1049">_xlfn.SWITCH(B1049,1,75,2,61,3,49,4,37,5,25,6,13,7,4,8,1)</f>
        <v>13</v>
      </c>
      <c r="K1049" t="str" cm="1">
        <f t="array" ref="K1049">IFERROR(_xlfn.SWITCH(L1049,2,_xlfn.XLOOKUP(C1049,[1]ModifierDes!$B:$B,[1]ModifierDes!$C:$C),3,_xlfn.XLOOKUP(C1049,[1]StuntDes!$B:$B,[1]StuntDes!$C:$C)),"")</f>
        <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432</v>
      </c>
      <c r="D1050" t="s">
        <v>35</v>
      </c>
      <c r="E1050" s="13" t="s">
        <v>405</v>
      </c>
      <c r="F1050"/>
      <c r="G1050">
        <v>2</v>
      </c>
      <c r="H1050">
        <v>1000</v>
      </c>
      <c r="J1050" cm="1">
        <f t="array" ref="J1050">_xlfn.SWITCH(B1050,1,75,2,61,3,49,4,37,5,25,6,13,7,4,8,1)</f>
        <v>4</v>
      </c>
      <c r="K1050" t="str" cm="1">
        <f t="array" ref="K1050">IFERROR(_xlfn.SWITCH(L1050,2,_xlfn.XLOOKUP(C1050,[1]ModifierDes!$B:$B,[1]ModifierDes!$C:$C),3,_xlfn.XLOOKUP(C1050,[1]StuntDes!$B:$B,[1]StuntDes!$C:$C)),"")</f>
        <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432</v>
      </c>
      <c r="D1051" t="s">
        <v>35</v>
      </c>
      <c r="E1051" s="13" t="s">
        <v>405</v>
      </c>
      <c r="F1051"/>
      <c r="G1051">
        <v>2</v>
      </c>
      <c r="H1051">
        <v>1000</v>
      </c>
      <c r="J1051" cm="1">
        <f t="array" ref="J1051">_xlfn.SWITCH(B1051,1,75,2,61,3,49,4,37,5,25,6,13,7,4,8,1)</f>
        <v>1</v>
      </c>
      <c r="K1051" t="str" cm="1">
        <f t="array" ref="K1051">IFERROR(_xlfn.SWITCH(L1051,2,_xlfn.XLOOKUP(C1051,[1]ModifierDes!$B:$B,[1]ModifierDes!$C:$C),3,_xlfn.XLOOKUP(C1051,[1]StuntDes!$B:$B,[1]StuntDes!$C:$C)),"")</f>
        <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433</v>
      </c>
      <c r="D1052" t="s">
        <v>35</v>
      </c>
      <c r="E1052" s="13" t="s">
        <v>405</v>
      </c>
      <c r="F1052"/>
      <c r="G1052">
        <v>2</v>
      </c>
      <c r="H1052">
        <v>1000</v>
      </c>
      <c r="J1052" cm="1">
        <f t="array" ref="J1052">_xlfn.SWITCH(B1052,1,75,2,61,3,49,4,37,5,25,6,13,7,4,8,1)</f>
        <v>75</v>
      </c>
      <c r="K1052" t="str" cm="1">
        <f t="array" ref="K1052">IFERROR(_xlfn.SWITCH(L1052,2,_xlfn.XLOOKUP(C1052,[1]ModifierDes!$B:$B,[1]ModifierDes!$C:$C),3,_xlfn.XLOOKUP(C1052,[1]StuntDes!$B:$B,[1]StuntDes!$C:$C)),"")</f>
        <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433</v>
      </c>
      <c r="D1053" t="s">
        <v>35</v>
      </c>
      <c r="E1053" s="13" t="s">
        <v>405</v>
      </c>
      <c r="F1053"/>
      <c r="G1053">
        <v>2</v>
      </c>
      <c r="H1053">
        <v>1000</v>
      </c>
      <c r="J1053" cm="1">
        <f t="array" ref="J1053">_xlfn.SWITCH(B1053,1,75,2,61,3,49,4,37,5,25,6,13,7,4,8,1)</f>
        <v>61</v>
      </c>
      <c r="K1053" t="str" cm="1">
        <f t="array" ref="K1053">IFERROR(_xlfn.SWITCH(L1053,2,_xlfn.XLOOKUP(C1053,[1]ModifierDes!$B:$B,[1]ModifierDes!$C:$C),3,_xlfn.XLOOKUP(C1053,[1]StuntDes!$B:$B,[1]StuntDes!$C:$C)),"")</f>
        <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433</v>
      </c>
      <c r="D1054" t="s">
        <v>35</v>
      </c>
      <c r="E1054" s="13" t="s">
        <v>405</v>
      </c>
      <c r="F1054"/>
      <c r="G1054">
        <v>2</v>
      </c>
      <c r="H1054">
        <v>1000</v>
      </c>
      <c r="J1054" cm="1">
        <f t="array" ref="J1054">_xlfn.SWITCH(B1054,1,75,2,61,3,49,4,37,5,25,6,13,7,4,8,1)</f>
        <v>49</v>
      </c>
      <c r="K1054" t="str" cm="1">
        <f t="array" ref="K1054">IFERROR(_xlfn.SWITCH(L1054,2,_xlfn.XLOOKUP(C1054,[1]ModifierDes!$B:$B,[1]ModifierDes!$C:$C),3,_xlfn.XLOOKUP(C1054,[1]StuntDes!$B:$B,[1]StuntDes!$C:$C)),"")</f>
        <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433</v>
      </c>
      <c r="D1055" t="s">
        <v>35</v>
      </c>
      <c r="E1055" s="13" t="s">
        <v>405</v>
      </c>
      <c r="F1055"/>
      <c r="G1055">
        <v>2</v>
      </c>
      <c r="H1055">
        <v>1000</v>
      </c>
      <c r="J1055" cm="1">
        <f t="array" ref="J1055">_xlfn.SWITCH(B1055,1,75,2,61,3,49,4,37,5,25,6,13,7,4,8,1)</f>
        <v>37</v>
      </c>
      <c r="K1055" t="str" cm="1">
        <f t="array" ref="K1055">IFERROR(_xlfn.SWITCH(L1055,2,_xlfn.XLOOKUP(C1055,[1]ModifierDes!$B:$B,[1]ModifierDes!$C:$C),3,_xlfn.XLOOKUP(C1055,[1]StuntDes!$B:$B,[1]StuntDes!$C:$C)),"")</f>
        <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433</v>
      </c>
      <c r="D1056" t="s">
        <v>35</v>
      </c>
      <c r="E1056" s="13" t="s">
        <v>405</v>
      </c>
      <c r="F1056"/>
      <c r="G1056">
        <v>2</v>
      </c>
      <c r="H1056">
        <v>1000</v>
      </c>
      <c r="J1056" cm="1">
        <f t="array" ref="J1056">_xlfn.SWITCH(B1056,1,75,2,61,3,49,4,37,5,25,6,13,7,4,8,1)</f>
        <v>25</v>
      </c>
      <c r="K1056" t="str" cm="1">
        <f t="array" ref="K1056">IFERROR(_xlfn.SWITCH(L1056,2,_xlfn.XLOOKUP(C1056,[1]ModifierDes!$B:$B,[1]ModifierDes!$C:$C),3,_xlfn.XLOOKUP(C1056,[1]StuntDes!$B:$B,[1]StuntDes!$C:$C)),"")</f>
        <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433</v>
      </c>
      <c r="D1057" t="s">
        <v>35</v>
      </c>
      <c r="E1057" s="13" t="s">
        <v>405</v>
      </c>
      <c r="F1057"/>
      <c r="G1057">
        <v>2</v>
      </c>
      <c r="H1057">
        <v>1000</v>
      </c>
      <c r="J1057" cm="1">
        <f t="array" ref="J1057">_xlfn.SWITCH(B1057,1,75,2,61,3,49,4,37,5,25,6,13,7,4,8,1)</f>
        <v>13</v>
      </c>
      <c r="K1057" t="str" cm="1">
        <f t="array" ref="K1057">IFERROR(_xlfn.SWITCH(L1057,2,_xlfn.XLOOKUP(C1057,[1]ModifierDes!$B:$B,[1]ModifierDes!$C:$C),3,_xlfn.XLOOKUP(C1057,[1]StuntDes!$B:$B,[1]StuntDes!$C:$C)),"")</f>
        <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433</v>
      </c>
      <c r="D1058" t="s">
        <v>35</v>
      </c>
      <c r="E1058" s="13" t="s">
        <v>405</v>
      </c>
      <c r="F1058"/>
      <c r="G1058">
        <v>2</v>
      </c>
      <c r="H1058">
        <v>1000</v>
      </c>
      <c r="J1058" cm="1">
        <f t="array" ref="J1058">_xlfn.SWITCH(B1058,1,75,2,61,3,49,4,37,5,25,6,13,7,4,8,1)</f>
        <v>4</v>
      </c>
      <c r="K1058" t="str" cm="1">
        <f t="array" ref="K1058">IFERROR(_xlfn.SWITCH(L1058,2,_xlfn.XLOOKUP(C1058,[1]ModifierDes!$B:$B,[1]ModifierDes!$C:$C),3,_xlfn.XLOOKUP(C1058,[1]StuntDes!$B:$B,[1]StuntDes!$C:$C)),"")</f>
        <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433</v>
      </c>
      <c r="D1059" t="s">
        <v>35</v>
      </c>
      <c r="E1059" s="13" t="s">
        <v>405</v>
      </c>
      <c r="F1059"/>
      <c r="G1059">
        <v>2</v>
      </c>
      <c r="H1059">
        <v>1000</v>
      </c>
      <c r="J1059" cm="1">
        <f t="array" ref="J1059">_xlfn.SWITCH(B1059,1,75,2,61,3,49,4,37,5,25,6,13,7,4,8,1)</f>
        <v>1</v>
      </c>
      <c r="K1059" t="str" cm="1">
        <f t="array" ref="K1059">IFERROR(_xlfn.SWITCH(L1059,2,_xlfn.XLOOKUP(C1059,[1]ModifierDes!$B:$B,[1]ModifierDes!$C:$C),3,_xlfn.XLOOKUP(C1059,[1]StuntDes!$B:$B,[1]StuntDes!$C:$C)),"")</f>
        <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434</v>
      </c>
      <c r="D1060" t="s">
        <v>35</v>
      </c>
      <c r="E1060" s="13" t="s">
        <v>405</v>
      </c>
      <c r="F1060"/>
      <c r="G1060">
        <v>2</v>
      </c>
      <c r="H1060">
        <v>1000</v>
      </c>
      <c r="J1060" cm="1">
        <f t="array" ref="J1060">_xlfn.SWITCH(B1060,1,75,2,61,3,49,4,37,5,25,6,13,7,4,8,1)</f>
        <v>75</v>
      </c>
      <c r="K1060" t="str" cm="1">
        <f t="array" ref="K1060">IFERROR(_xlfn.SWITCH(L1060,2,_xlfn.XLOOKUP(C1060,[1]ModifierDes!$B:$B,[1]ModifierDes!$C:$C),3,_xlfn.XLOOKUP(C1060,[1]StuntDes!$B:$B,[1]StuntDes!$C:$C)),"")</f>
        <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434</v>
      </c>
      <c r="D1061" t="s">
        <v>35</v>
      </c>
      <c r="E1061" s="13" t="s">
        <v>405</v>
      </c>
      <c r="F1061"/>
      <c r="G1061">
        <v>2</v>
      </c>
      <c r="H1061">
        <v>1000</v>
      </c>
      <c r="J1061" cm="1">
        <f t="array" ref="J1061">_xlfn.SWITCH(B1061,1,75,2,61,3,49,4,37,5,25,6,13,7,4,8,1)</f>
        <v>61</v>
      </c>
      <c r="K1061" t="str" cm="1">
        <f t="array" ref="K1061">IFERROR(_xlfn.SWITCH(L1061,2,_xlfn.XLOOKUP(C1061,[1]ModifierDes!$B:$B,[1]ModifierDes!$C:$C),3,_xlfn.XLOOKUP(C1061,[1]StuntDes!$B:$B,[1]StuntDes!$C:$C)),"")</f>
        <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434</v>
      </c>
      <c r="D1062" t="s">
        <v>35</v>
      </c>
      <c r="E1062" s="13" t="s">
        <v>405</v>
      </c>
      <c r="F1062"/>
      <c r="G1062">
        <v>2</v>
      </c>
      <c r="H1062">
        <v>1000</v>
      </c>
      <c r="J1062" cm="1">
        <f t="array" ref="J1062">_xlfn.SWITCH(B1062,1,75,2,61,3,49,4,37,5,25,6,13,7,4,8,1)</f>
        <v>49</v>
      </c>
      <c r="K1062" t="str" cm="1">
        <f t="array" ref="K1062">IFERROR(_xlfn.SWITCH(L1062,2,_xlfn.XLOOKUP(C1062,[1]ModifierDes!$B:$B,[1]ModifierDes!$C:$C),3,_xlfn.XLOOKUP(C1062,[1]StuntDes!$B:$B,[1]StuntDes!$C:$C)),"")</f>
        <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434</v>
      </c>
      <c r="D1063" t="s">
        <v>35</v>
      </c>
      <c r="E1063" s="13" t="s">
        <v>405</v>
      </c>
      <c r="F1063"/>
      <c r="G1063">
        <v>2</v>
      </c>
      <c r="H1063">
        <v>1000</v>
      </c>
      <c r="J1063" cm="1">
        <f t="array" ref="J1063">_xlfn.SWITCH(B1063,1,75,2,61,3,49,4,37,5,25,6,13,7,4,8,1)</f>
        <v>37</v>
      </c>
      <c r="K1063" t="str" cm="1">
        <f t="array" ref="K1063">IFERROR(_xlfn.SWITCH(L1063,2,_xlfn.XLOOKUP(C1063,[1]ModifierDes!$B:$B,[1]ModifierDes!$C:$C),3,_xlfn.XLOOKUP(C1063,[1]StuntDes!$B:$B,[1]StuntDes!$C:$C)),"")</f>
        <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434</v>
      </c>
      <c r="D1064" t="s">
        <v>35</v>
      </c>
      <c r="E1064" s="13" t="s">
        <v>405</v>
      </c>
      <c r="F1064"/>
      <c r="G1064">
        <v>2</v>
      </c>
      <c r="H1064">
        <v>1000</v>
      </c>
      <c r="J1064" cm="1">
        <f t="array" ref="J1064">_xlfn.SWITCH(B1064,1,75,2,61,3,49,4,37,5,25,6,13,7,4,8,1)</f>
        <v>25</v>
      </c>
      <c r="K1064" t="str" cm="1">
        <f t="array" ref="K1064">IFERROR(_xlfn.SWITCH(L1064,2,_xlfn.XLOOKUP(C1064,[1]ModifierDes!$B:$B,[1]ModifierDes!$C:$C),3,_xlfn.XLOOKUP(C1064,[1]StuntDes!$B:$B,[1]StuntDes!$C:$C)),"")</f>
        <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434</v>
      </c>
      <c r="D1065" t="s">
        <v>35</v>
      </c>
      <c r="E1065" s="13" t="s">
        <v>405</v>
      </c>
      <c r="F1065"/>
      <c r="G1065">
        <v>2</v>
      </c>
      <c r="H1065">
        <v>1000</v>
      </c>
      <c r="J1065" cm="1">
        <f t="array" ref="J1065">_xlfn.SWITCH(B1065,1,75,2,61,3,49,4,37,5,25,6,13,7,4,8,1)</f>
        <v>13</v>
      </c>
      <c r="K1065" t="str" cm="1">
        <f t="array" ref="K1065">IFERROR(_xlfn.SWITCH(L1065,2,_xlfn.XLOOKUP(C1065,[1]ModifierDes!$B:$B,[1]ModifierDes!$C:$C),3,_xlfn.XLOOKUP(C1065,[1]StuntDes!$B:$B,[1]StuntDes!$C:$C)),"")</f>
        <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434</v>
      </c>
      <c r="D1066" t="s">
        <v>35</v>
      </c>
      <c r="E1066" s="13" t="s">
        <v>405</v>
      </c>
      <c r="F1066"/>
      <c r="G1066">
        <v>2</v>
      </c>
      <c r="H1066">
        <v>1000</v>
      </c>
      <c r="J1066" cm="1">
        <f t="array" ref="J1066">_xlfn.SWITCH(B1066,1,75,2,61,3,49,4,37,5,25,6,13,7,4,8,1)</f>
        <v>4</v>
      </c>
      <c r="K1066" t="str" cm="1">
        <f t="array" ref="K1066">IFERROR(_xlfn.SWITCH(L1066,2,_xlfn.XLOOKUP(C1066,[1]ModifierDes!$B:$B,[1]ModifierDes!$C:$C),3,_xlfn.XLOOKUP(C1066,[1]StuntDes!$B:$B,[1]StuntDes!$C:$C)),"")</f>
        <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434</v>
      </c>
      <c r="D1067" t="s">
        <v>35</v>
      </c>
      <c r="E1067" s="13" t="s">
        <v>405</v>
      </c>
      <c r="F1067"/>
      <c r="G1067">
        <v>2</v>
      </c>
      <c r="H1067">
        <v>1000</v>
      </c>
      <c r="J1067" cm="1">
        <f t="array" ref="J1067">_xlfn.SWITCH(B1067,1,75,2,61,3,49,4,37,5,25,6,13,7,4,8,1)</f>
        <v>1</v>
      </c>
      <c r="K1067" t="str" cm="1">
        <f t="array" ref="K1067">IFERROR(_xlfn.SWITCH(L1067,2,_xlfn.XLOOKUP(C1067,[1]ModifierDes!$B:$B,[1]ModifierDes!$C:$C),3,_xlfn.XLOOKUP(C1067,[1]StuntDes!$B:$B,[1]StuntDes!$C:$C)),"")</f>
        <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435</v>
      </c>
      <c r="D1068" t="s">
        <v>35</v>
      </c>
      <c r="E1068" s="13" t="s">
        <v>405</v>
      </c>
      <c r="F1068"/>
      <c r="G1068">
        <v>2</v>
      </c>
      <c r="H1068">
        <v>1000</v>
      </c>
      <c r="J1068" cm="1">
        <f t="array" ref="J1068">_xlfn.SWITCH(B1068,1,75,2,61,3,49,4,37,5,25,6,13,7,4,8,1)</f>
        <v>75</v>
      </c>
      <c r="K1068" t="str" cm="1">
        <f t="array" ref="K1068">IFERROR(_xlfn.SWITCH(L1068,2,_xlfn.XLOOKUP(C1068,[1]ModifierDes!$B:$B,[1]ModifierDes!$C:$C),3,_xlfn.XLOOKUP(C1068,[1]StuntDes!$B:$B,[1]StuntDes!$C:$C)),"")</f>
        <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435</v>
      </c>
      <c r="D1069" t="s">
        <v>35</v>
      </c>
      <c r="E1069" s="13" t="s">
        <v>405</v>
      </c>
      <c r="F1069"/>
      <c r="G1069">
        <v>2</v>
      </c>
      <c r="H1069">
        <v>1000</v>
      </c>
      <c r="J1069" cm="1">
        <f t="array" ref="J1069">_xlfn.SWITCH(B1069,1,75,2,61,3,49,4,37,5,25,6,13,7,4,8,1)</f>
        <v>61</v>
      </c>
      <c r="K1069" t="str" cm="1">
        <f t="array" ref="K1069">IFERROR(_xlfn.SWITCH(L1069,2,_xlfn.XLOOKUP(C1069,[1]ModifierDes!$B:$B,[1]ModifierDes!$C:$C),3,_xlfn.XLOOKUP(C1069,[1]StuntDes!$B:$B,[1]StuntDes!$C:$C)),"")</f>
        <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435</v>
      </c>
      <c r="D1070" t="s">
        <v>35</v>
      </c>
      <c r="E1070" s="13" t="s">
        <v>405</v>
      </c>
      <c r="F1070"/>
      <c r="G1070">
        <v>2</v>
      </c>
      <c r="H1070">
        <v>1000</v>
      </c>
      <c r="J1070" cm="1">
        <f t="array" ref="J1070">_xlfn.SWITCH(B1070,1,75,2,61,3,49,4,37,5,25,6,13,7,4,8,1)</f>
        <v>49</v>
      </c>
      <c r="K1070" t="str" cm="1">
        <f t="array" ref="K1070">IFERROR(_xlfn.SWITCH(L1070,2,_xlfn.XLOOKUP(C1070,[1]ModifierDes!$B:$B,[1]ModifierDes!$C:$C),3,_xlfn.XLOOKUP(C1070,[1]StuntDes!$B:$B,[1]StuntDes!$C:$C)),"")</f>
        <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435</v>
      </c>
      <c r="D1071" t="s">
        <v>35</v>
      </c>
      <c r="E1071" s="13" t="s">
        <v>405</v>
      </c>
      <c r="F1071"/>
      <c r="G1071">
        <v>2</v>
      </c>
      <c r="H1071">
        <v>1000</v>
      </c>
      <c r="J1071" cm="1">
        <f t="array" ref="J1071">_xlfn.SWITCH(B1071,1,75,2,61,3,49,4,37,5,25,6,13,7,4,8,1)</f>
        <v>37</v>
      </c>
      <c r="K1071" t="str" cm="1">
        <f t="array" ref="K1071">IFERROR(_xlfn.SWITCH(L1071,2,_xlfn.XLOOKUP(C1071,[1]ModifierDes!$B:$B,[1]ModifierDes!$C:$C),3,_xlfn.XLOOKUP(C1071,[1]StuntDes!$B:$B,[1]StuntDes!$C:$C)),"")</f>
        <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435</v>
      </c>
      <c r="D1072" t="s">
        <v>35</v>
      </c>
      <c r="E1072" s="13" t="s">
        <v>405</v>
      </c>
      <c r="F1072"/>
      <c r="G1072">
        <v>2</v>
      </c>
      <c r="H1072">
        <v>1000</v>
      </c>
      <c r="J1072" cm="1">
        <f t="array" ref="J1072">_xlfn.SWITCH(B1072,1,75,2,61,3,49,4,37,5,25,6,13,7,4,8,1)</f>
        <v>25</v>
      </c>
      <c r="K1072" t="str" cm="1">
        <f t="array" ref="K1072">IFERROR(_xlfn.SWITCH(L1072,2,_xlfn.XLOOKUP(C1072,[1]ModifierDes!$B:$B,[1]ModifierDes!$C:$C),3,_xlfn.XLOOKUP(C1072,[1]StuntDes!$B:$B,[1]StuntDes!$C:$C)),"")</f>
        <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435</v>
      </c>
      <c r="D1073" t="s">
        <v>35</v>
      </c>
      <c r="E1073" s="13" t="s">
        <v>405</v>
      </c>
      <c r="F1073"/>
      <c r="G1073">
        <v>2</v>
      </c>
      <c r="H1073">
        <v>1000</v>
      </c>
      <c r="J1073" cm="1">
        <f t="array" ref="J1073">_xlfn.SWITCH(B1073,1,75,2,61,3,49,4,37,5,25,6,13,7,4,8,1)</f>
        <v>13</v>
      </c>
      <c r="K1073" t="str" cm="1">
        <f t="array" ref="K1073">IFERROR(_xlfn.SWITCH(L1073,2,_xlfn.XLOOKUP(C1073,[1]ModifierDes!$B:$B,[1]ModifierDes!$C:$C),3,_xlfn.XLOOKUP(C1073,[1]StuntDes!$B:$B,[1]StuntDes!$C:$C)),"")</f>
        <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435</v>
      </c>
      <c r="D1074" t="s">
        <v>35</v>
      </c>
      <c r="E1074" s="13" t="s">
        <v>405</v>
      </c>
      <c r="F1074"/>
      <c r="G1074">
        <v>2</v>
      </c>
      <c r="H1074">
        <v>1000</v>
      </c>
      <c r="J1074" cm="1">
        <f t="array" ref="J1074">_xlfn.SWITCH(B1074,1,75,2,61,3,49,4,37,5,25,6,13,7,4,8,1)</f>
        <v>4</v>
      </c>
      <c r="K1074" t="str" cm="1">
        <f t="array" ref="K1074">IFERROR(_xlfn.SWITCH(L1074,2,_xlfn.XLOOKUP(C1074,[1]ModifierDes!$B:$B,[1]ModifierDes!$C:$C),3,_xlfn.XLOOKUP(C1074,[1]StuntDes!$B:$B,[1]StuntDes!$C:$C)),"")</f>
        <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435</v>
      </c>
      <c r="D1075" t="s">
        <v>35</v>
      </c>
      <c r="E1075" s="13" t="s">
        <v>405</v>
      </c>
      <c r="F1075"/>
      <c r="G1075">
        <v>2</v>
      </c>
      <c r="H1075">
        <v>1000</v>
      </c>
      <c r="J1075" cm="1">
        <f t="array" ref="J1075">_xlfn.SWITCH(B1075,1,75,2,61,3,49,4,37,5,25,6,13,7,4,8,1)</f>
        <v>1</v>
      </c>
      <c r="K1075" t="str" cm="1">
        <f t="array" ref="K1075">IFERROR(_xlfn.SWITCH(L1075,2,_xlfn.XLOOKUP(C1075,[1]ModifierDes!$B:$B,[1]ModifierDes!$C:$C),3,_xlfn.XLOOKUP(C1075,[1]StuntDes!$B:$B,[1]StuntDes!$C:$C)),"")</f>
        <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436</v>
      </c>
      <c r="D1076" t="s">
        <v>35</v>
      </c>
      <c r="E1076" s="13" t="s">
        <v>405</v>
      </c>
      <c r="F1076"/>
      <c r="G1076">
        <v>2</v>
      </c>
      <c r="H1076">
        <v>250</v>
      </c>
      <c r="J1076" cm="1">
        <f t="array" ref="J1076">_xlfn.SWITCH(B1076,1,75,2,61,3,49,4,37,5,25,6,13,7,4,8,1)</f>
        <v>75</v>
      </c>
      <c r="K1076" t="str" cm="1">
        <f t="array" ref="K1076">IFERROR(_xlfn.SWITCH(L1076,2,_xlfn.XLOOKUP(C1076,[1]ModifierDes!$B:$B,[1]ModifierDes!$C:$C),3,_xlfn.XLOOKUP(C1076,[1]StuntDes!$B:$B,[1]StuntDes!$C:$C)),"")</f>
        <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436</v>
      </c>
      <c r="D1077" t="s">
        <v>35</v>
      </c>
      <c r="E1077" s="13" t="s">
        <v>405</v>
      </c>
      <c r="F1077"/>
      <c r="G1077">
        <v>2</v>
      </c>
      <c r="H1077">
        <v>250</v>
      </c>
      <c r="J1077" cm="1">
        <f t="array" ref="J1077">_xlfn.SWITCH(B1077,1,75,2,61,3,49,4,37,5,25,6,13,7,4,8,1)</f>
        <v>61</v>
      </c>
      <c r="K1077" t="str" cm="1">
        <f t="array" ref="K1077">IFERROR(_xlfn.SWITCH(L1077,2,_xlfn.XLOOKUP(C1077,[1]ModifierDes!$B:$B,[1]ModifierDes!$C:$C),3,_xlfn.XLOOKUP(C1077,[1]StuntDes!$B:$B,[1]StuntDes!$C:$C)),"")</f>
        <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436</v>
      </c>
      <c r="D1078" t="s">
        <v>35</v>
      </c>
      <c r="E1078" s="13" t="s">
        <v>405</v>
      </c>
      <c r="F1078"/>
      <c r="G1078">
        <v>2</v>
      </c>
      <c r="H1078">
        <v>250</v>
      </c>
      <c r="J1078" cm="1">
        <f t="array" ref="J1078">_xlfn.SWITCH(B1078,1,75,2,61,3,49,4,37,5,25,6,13,7,4,8,1)</f>
        <v>49</v>
      </c>
      <c r="K1078" t="str" cm="1">
        <f t="array" ref="K1078">IFERROR(_xlfn.SWITCH(L1078,2,_xlfn.XLOOKUP(C1078,[1]ModifierDes!$B:$B,[1]ModifierDes!$C:$C),3,_xlfn.XLOOKUP(C1078,[1]StuntDes!$B:$B,[1]StuntDes!$C:$C)),"")</f>
        <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436</v>
      </c>
      <c r="D1079" t="s">
        <v>35</v>
      </c>
      <c r="E1079" s="13" t="s">
        <v>405</v>
      </c>
      <c r="F1079"/>
      <c r="G1079">
        <v>2</v>
      </c>
      <c r="H1079">
        <v>250</v>
      </c>
      <c r="J1079" cm="1">
        <f t="array" ref="J1079">_xlfn.SWITCH(B1079,1,75,2,61,3,49,4,37,5,25,6,13,7,4,8,1)</f>
        <v>37</v>
      </c>
      <c r="K1079" t="str" cm="1">
        <f t="array" ref="K1079">IFERROR(_xlfn.SWITCH(L1079,2,_xlfn.XLOOKUP(C1079,[1]ModifierDes!$B:$B,[1]ModifierDes!$C:$C),3,_xlfn.XLOOKUP(C1079,[1]StuntDes!$B:$B,[1]StuntDes!$C:$C)),"")</f>
        <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436</v>
      </c>
      <c r="D1080" t="s">
        <v>35</v>
      </c>
      <c r="E1080" s="13" t="s">
        <v>405</v>
      </c>
      <c r="F1080"/>
      <c r="G1080">
        <v>2</v>
      </c>
      <c r="H1080">
        <v>250</v>
      </c>
      <c r="J1080" cm="1">
        <f t="array" ref="J1080">_xlfn.SWITCH(B1080,1,75,2,61,3,49,4,37,5,25,6,13,7,4,8,1)</f>
        <v>25</v>
      </c>
      <c r="K1080" t="str" cm="1">
        <f t="array" ref="K1080">IFERROR(_xlfn.SWITCH(L1080,2,_xlfn.XLOOKUP(C1080,[1]ModifierDes!$B:$B,[1]ModifierDes!$C:$C),3,_xlfn.XLOOKUP(C1080,[1]StuntDes!$B:$B,[1]StuntDes!$C:$C)),"")</f>
        <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436</v>
      </c>
      <c r="D1081" t="s">
        <v>35</v>
      </c>
      <c r="E1081" s="13" t="s">
        <v>405</v>
      </c>
      <c r="F1081"/>
      <c r="G1081">
        <v>2</v>
      </c>
      <c r="H1081">
        <v>250</v>
      </c>
      <c r="J1081" cm="1">
        <f t="array" ref="J1081">_xlfn.SWITCH(B1081,1,75,2,61,3,49,4,37,5,25,6,13,7,4,8,1)</f>
        <v>13</v>
      </c>
      <c r="K1081" t="str" cm="1">
        <f t="array" ref="K1081">IFERROR(_xlfn.SWITCH(L1081,2,_xlfn.XLOOKUP(C1081,[1]ModifierDes!$B:$B,[1]ModifierDes!$C:$C),3,_xlfn.XLOOKUP(C1081,[1]StuntDes!$B:$B,[1]StuntDes!$C:$C)),"")</f>
        <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436</v>
      </c>
      <c r="D1082" t="s">
        <v>35</v>
      </c>
      <c r="E1082" s="13" t="s">
        <v>405</v>
      </c>
      <c r="F1082"/>
      <c r="G1082">
        <v>2</v>
      </c>
      <c r="H1082">
        <v>250</v>
      </c>
      <c r="J1082" cm="1">
        <f t="array" ref="J1082">_xlfn.SWITCH(B1082,1,75,2,61,3,49,4,37,5,25,6,13,7,4,8,1)</f>
        <v>4</v>
      </c>
      <c r="K1082" t="str" cm="1">
        <f t="array" ref="K1082">IFERROR(_xlfn.SWITCH(L1082,2,_xlfn.XLOOKUP(C1082,[1]ModifierDes!$B:$B,[1]ModifierDes!$C:$C),3,_xlfn.XLOOKUP(C1082,[1]StuntDes!$B:$B,[1]StuntDes!$C:$C)),"")</f>
        <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436</v>
      </c>
      <c r="D1083" t="s">
        <v>35</v>
      </c>
      <c r="E1083" s="13" t="s">
        <v>405</v>
      </c>
      <c r="F1083"/>
      <c r="G1083">
        <v>2</v>
      </c>
      <c r="H1083">
        <v>250</v>
      </c>
      <c r="J1083" cm="1">
        <f t="array" ref="J1083">_xlfn.SWITCH(B1083,1,75,2,61,3,49,4,37,5,25,6,13,7,4,8,1)</f>
        <v>1</v>
      </c>
      <c r="K1083" t="str" cm="1">
        <f t="array" ref="K1083">IFERROR(_xlfn.SWITCH(L1083,2,_xlfn.XLOOKUP(C1083,[1]ModifierDes!$B:$B,[1]ModifierDes!$C:$C),3,_xlfn.XLOOKUP(C1083,[1]StuntDes!$B:$B,[1]StuntDes!$C:$C)),"")</f>
        <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411</v>
      </c>
      <c r="D1084" t="s">
        <v>35</v>
      </c>
      <c r="E1084" s="13" t="s">
        <v>405</v>
      </c>
      <c r="F1084"/>
      <c r="G1084">
        <v>2</v>
      </c>
      <c r="H1084">
        <v>100</v>
      </c>
      <c r="J1084" cm="1">
        <f t="array" ref="J1084">_xlfn.SWITCH(B1084,1,75,2,61,3,49,4,37,5,25,6,13,7,4,8,1)</f>
        <v>75</v>
      </c>
      <c r="K1084" t="str" cm="1">
        <f t="array" ref="K1084">IFERROR(_xlfn.SWITCH(L1084,2,_xlfn.XLOOKUP(C1084,[1]ModifierDes!$B:$B,[1]ModifierDes!$C:$C),3,_xlfn.XLOOKUP(C1084,[1]StuntDes!$B:$B,[1]StuntDes!$C:$C)),"")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411</v>
      </c>
      <c r="D1085" t="s">
        <v>35</v>
      </c>
      <c r="E1085" s="13" t="s">
        <v>405</v>
      </c>
      <c r="F1085"/>
      <c r="G1085">
        <v>2</v>
      </c>
      <c r="H1085">
        <v>200</v>
      </c>
      <c r="J1085" cm="1">
        <f t="array" ref="J1085">_xlfn.SWITCH(B1085,1,75,2,61,3,49,4,37,5,25,6,13,7,4,8,1)</f>
        <v>61</v>
      </c>
      <c r="K1085" t="str" cm="1">
        <f t="array" ref="K1085">IFERROR(_xlfn.SWITCH(L1085,2,_xlfn.XLOOKUP(C1085,[1]ModifierDes!$B:$B,[1]ModifierDes!$C:$C),3,_xlfn.XLOOKUP(C1085,[1]StuntDes!$B:$B,[1]StuntDes!$C:$C)),"")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411</v>
      </c>
      <c r="D1086" t="s">
        <v>35</v>
      </c>
      <c r="E1086" s="13" t="s">
        <v>405</v>
      </c>
      <c r="F1086"/>
      <c r="G1086">
        <v>2</v>
      </c>
      <c r="H1086">
        <v>400</v>
      </c>
      <c r="J1086" cm="1">
        <f t="array" ref="J1086">_xlfn.SWITCH(B1086,1,75,2,61,3,49,4,37,5,25,6,13,7,4,8,1)</f>
        <v>49</v>
      </c>
      <c r="K1086" t="str" cm="1">
        <f t="array" ref="K1086">IFERROR(_xlfn.SWITCH(L1086,2,_xlfn.XLOOKUP(C1086,[1]ModifierDes!$B:$B,[1]ModifierDes!$C:$C),3,_xlfn.XLOOKUP(C1086,[1]StuntDes!$B:$B,[1]StuntDes!$C:$C)),"")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411</v>
      </c>
      <c r="D1087" t="s">
        <v>35</v>
      </c>
      <c r="E1087" s="13" t="s">
        <v>405</v>
      </c>
      <c r="F1087"/>
      <c r="G1087">
        <v>2</v>
      </c>
      <c r="H1087">
        <v>600</v>
      </c>
      <c r="J1087" cm="1">
        <f t="array" ref="J1087">_xlfn.SWITCH(B1087,1,75,2,61,3,49,4,37,5,25,6,13,7,4,8,1)</f>
        <v>37</v>
      </c>
      <c r="K1087" t="str" cm="1">
        <f t="array" ref="K1087">IFERROR(_xlfn.SWITCH(L1087,2,_xlfn.XLOOKUP(C1087,[1]ModifierDes!$B:$B,[1]ModifierDes!$C:$C),3,_xlfn.XLOOKUP(C1087,[1]StuntDes!$B:$B,[1]StuntDes!$C:$C)),"")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411</v>
      </c>
      <c r="D1088" t="s">
        <v>35</v>
      </c>
      <c r="E1088" s="13" t="s">
        <v>405</v>
      </c>
      <c r="F1088"/>
      <c r="G1088">
        <v>2</v>
      </c>
      <c r="H1088">
        <v>800</v>
      </c>
      <c r="J1088" cm="1">
        <f t="array" ref="J1088">_xlfn.SWITCH(B1088,1,75,2,61,3,49,4,37,5,25,6,13,7,4,8,1)</f>
        <v>25</v>
      </c>
      <c r="K1088" t="str" cm="1">
        <f t="array" ref="K1088">IFERROR(_xlfn.SWITCH(L1088,2,_xlfn.XLOOKUP(C1088,[1]ModifierDes!$B:$B,[1]ModifierDes!$C:$C),3,_xlfn.XLOOKUP(C1088,[1]StuntDes!$B:$B,[1]StuntDes!$C:$C)),"")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411</v>
      </c>
      <c r="D1089" t="s">
        <v>35</v>
      </c>
      <c r="E1089" s="13" t="s">
        <v>405</v>
      </c>
      <c r="F1089"/>
      <c r="G1089">
        <v>2</v>
      </c>
      <c r="H1089">
        <v>1000</v>
      </c>
      <c r="J1089" cm="1">
        <f t="array" ref="J1089">_xlfn.SWITCH(B1089,1,75,2,61,3,49,4,37,5,25,6,13,7,4,8,1)</f>
        <v>13</v>
      </c>
      <c r="K1089" t="str" cm="1">
        <f t="array" ref="K1089">IFERROR(_xlfn.SWITCH(L1089,2,_xlfn.XLOOKUP(C1089,[1]ModifierDes!$B:$B,[1]ModifierDes!$C:$C),3,_xlfn.XLOOKUP(C1089,[1]StuntDes!$B:$B,[1]StuntDes!$C:$C)),"")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411</v>
      </c>
      <c r="D1090" t="s">
        <v>35</v>
      </c>
      <c r="E1090" s="13" t="s">
        <v>405</v>
      </c>
      <c r="F1090"/>
      <c r="G1090">
        <v>2</v>
      </c>
      <c r="H1090">
        <v>1000</v>
      </c>
      <c r="J1090" cm="1">
        <f t="array" ref="J1090">_xlfn.SWITCH(B1090,1,75,2,61,3,49,4,37,5,25,6,13,7,4,8,1)</f>
        <v>4</v>
      </c>
      <c r="K1090" t="str" cm="1">
        <f t="array" ref="K1090">IFERROR(_xlfn.SWITCH(L1090,2,_xlfn.XLOOKUP(C1090,[1]ModifierDes!$B:$B,[1]ModifierDes!$C:$C),3,_xlfn.XLOOKUP(C1090,[1]StuntDes!$B:$B,[1]StuntDes!$C:$C)),"")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411</v>
      </c>
      <c r="D1091" t="s">
        <v>35</v>
      </c>
      <c r="E1091" s="13" t="s">
        <v>405</v>
      </c>
      <c r="F1091"/>
      <c r="G1091">
        <v>2</v>
      </c>
      <c r="H1091">
        <v>1000</v>
      </c>
      <c r="J1091" cm="1">
        <f t="array" ref="J1091">_xlfn.SWITCH(B1091,1,75,2,61,3,49,4,37,5,25,6,13,7,4,8,1)</f>
        <v>1</v>
      </c>
      <c r="K1091" t="str" cm="1">
        <f t="array" ref="K1091">IFERROR(_xlfn.SWITCH(L1091,2,_xlfn.XLOOKUP(C1091,[1]ModifierDes!$B:$B,[1]ModifierDes!$C:$C),3,_xlfn.XLOOKUP(C1091,[1]StuntDes!$B:$B,[1]StuntDes!$C:$C)),"")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437</v>
      </c>
      <c r="D1092" t="s">
        <v>35</v>
      </c>
      <c r="E1092" s="13" t="s">
        <v>405</v>
      </c>
      <c r="F1092"/>
      <c r="G1092">
        <v>2</v>
      </c>
      <c r="H1092">
        <v>100</v>
      </c>
      <c r="J1092" cm="1">
        <f t="array" ref="J1092">_xlfn.SWITCH(B1092,1,75,2,61,3,49,4,37,5,25,6,13,7,4,8,1)</f>
        <v>75</v>
      </c>
      <c r="K1092" t="str" cm="1">
        <f t="array" ref="K1092">IFERROR(_xlfn.SWITCH(L1092,2,_xlfn.XLOOKUP(C1092,[1]ModifierDes!$B:$B,[1]ModifierDes!$C:$C),3,_xlfn.XLOOKUP(C1092,[1]StuntDes!$B:$B,[1]StuntDes!$C:$C)),"")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437</v>
      </c>
      <c r="D1093" t="s">
        <v>35</v>
      </c>
      <c r="E1093" s="13" t="s">
        <v>405</v>
      </c>
      <c r="F1093"/>
      <c r="G1093">
        <v>2</v>
      </c>
      <c r="H1093">
        <v>200</v>
      </c>
      <c r="J1093" cm="1">
        <f t="array" ref="J1093">_xlfn.SWITCH(B1093,1,75,2,61,3,49,4,37,5,25,6,13,7,4,8,1)</f>
        <v>61</v>
      </c>
      <c r="K1093" t="str" cm="1">
        <f t="array" ref="K1093">IFERROR(_xlfn.SWITCH(L1093,2,_xlfn.XLOOKUP(C1093,[1]ModifierDes!$B:$B,[1]ModifierDes!$C:$C),3,_xlfn.XLOOKUP(C1093,[1]StuntDes!$B:$B,[1]StuntDes!$C:$C)),"")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437</v>
      </c>
      <c r="D1094" t="s">
        <v>35</v>
      </c>
      <c r="E1094" s="13" t="s">
        <v>405</v>
      </c>
      <c r="F1094"/>
      <c r="G1094">
        <v>2</v>
      </c>
      <c r="H1094">
        <v>400</v>
      </c>
      <c r="J1094" cm="1">
        <f t="array" ref="J1094">_xlfn.SWITCH(B1094,1,75,2,61,3,49,4,37,5,25,6,13,7,4,8,1)</f>
        <v>49</v>
      </c>
      <c r="K1094" t="str" cm="1">
        <f t="array" ref="K1094">IFERROR(_xlfn.SWITCH(L1094,2,_xlfn.XLOOKUP(C1094,[1]ModifierDes!$B:$B,[1]ModifierDes!$C:$C),3,_xlfn.XLOOKUP(C1094,[1]StuntDes!$B:$B,[1]StuntDes!$C:$C)),"")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437</v>
      </c>
      <c r="D1095" t="s">
        <v>35</v>
      </c>
      <c r="E1095" s="13" t="s">
        <v>405</v>
      </c>
      <c r="F1095"/>
      <c r="G1095">
        <v>2</v>
      </c>
      <c r="H1095">
        <v>600</v>
      </c>
      <c r="J1095" cm="1">
        <f t="array" ref="J1095">_xlfn.SWITCH(B1095,1,75,2,61,3,49,4,37,5,25,6,13,7,4,8,1)</f>
        <v>37</v>
      </c>
      <c r="K1095" t="str" cm="1">
        <f t="array" ref="K1095">IFERROR(_xlfn.SWITCH(L1095,2,_xlfn.XLOOKUP(C1095,[1]ModifierDes!$B:$B,[1]ModifierDes!$C:$C),3,_xlfn.XLOOKUP(C1095,[1]StuntDes!$B:$B,[1]StuntDes!$C:$C)),"")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437</v>
      </c>
      <c r="D1096" t="s">
        <v>35</v>
      </c>
      <c r="E1096" s="13" t="s">
        <v>405</v>
      </c>
      <c r="F1096"/>
      <c r="G1096">
        <v>2</v>
      </c>
      <c r="H1096">
        <v>800</v>
      </c>
      <c r="J1096" cm="1">
        <f t="array" ref="J1096">_xlfn.SWITCH(B1096,1,75,2,61,3,49,4,37,5,25,6,13,7,4,8,1)</f>
        <v>25</v>
      </c>
      <c r="K1096" t="str" cm="1">
        <f t="array" ref="K1096">IFERROR(_xlfn.SWITCH(L1096,2,_xlfn.XLOOKUP(C1096,[1]ModifierDes!$B:$B,[1]ModifierDes!$C:$C),3,_xlfn.XLOOKUP(C1096,[1]StuntDes!$B:$B,[1]StuntDes!$C:$C)),"")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437</v>
      </c>
      <c r="D1097" t="s">
        <v>35</v>
      </c>
      <c r="E1097" s="13" t="s">
        <v>405</v>
      </c>
      <c r="F1097"/>
      <c r="G1097">
        <v>2</v>
      </c>
      <c r="H1097">
        <v>1000</v>
      </c>
      <c r="J1097" cm="1">
        <f t="array" ref="J1097">_xlfn.SWITCH(B1097,1,75,2,61,3,49,4,37,5,25,6,13,7,4,8,1)</f>
        <v>13</v>
      </c>
      <c r="K1097" t="str" cm="1">
        <f t="array" ref="K1097">IFERROR(_xlfn.SWITCH(L1097,2,_xlfn.XLOOKUP(C1097,[1]ModifierDes!$B:$B,[1]ModifierDes!$C:$C),3,_xlfn.XLOOKUP(C1097,[1]StuntDes!$B:$B,[1]StuntDes!$C:$C)),"")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437</v>
      </c>
      <c r="D1098" t="s">
        <v>35</v>
      </c>
      <c r="E1098" s="13" t="s">
        <v>405</v>
      </c>
      <c r="F1098"/>
      <c r="G1098">
        <v>2</v>
      </c>
      <c r="H1098">
        <v>1000</v>
      </c>
      <c r="J1098" cm="1">
        <f t="array" ref="J1098">_xlfn.SWITCH(B1098,1,75,2,61,3,49,4,37,5,25,6,13,7,4,8,1)</f>
        <v>4</v>
      </c>
      <c r="K1098" t="str" cm="1">
        <f t="array" ref="K1098">IFERROR(_xlfn.SWITCH(L1098,2,_xlfn.XLOOKUP(C1098,[1]ModifierDes!$B:$B,[1]ModifierDes!$C:$C),3,_xlfn.XLOOKUP(C1098,[1]StuntDes!$B:$B,[1]StuntDes!$C:$C)),"")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437</v>
      </c>
      <c r="D1099" t="s">
        <v>35</v>
      </c>
      <c r="E1099" s="13" t="s">
        <v>405</v>
      </c>
      <c r="F1099"/>
      <c r="G1099">
        <v>2</v>
      </c>
      <c r="H1099">
        <v>1000</v>
      </c>
      <c r="J1099" cm="1">
        <f t="array" ref="J1099">_xlfn.SWITCH(B1099,1,75,2,61,3,49,4,37,5,25,6,13,7,4,8,1)</f>
        <v>1</v>
      </c>
      <c r="K1099" t="str" cm="1">
        <f t="array" ref="K1099">IFERROR(_xlfn.SWITCH(L1099,2,_xlfn.XLOOKUP(C1099,[1]ModifierDes!$B:$B,[1]ModifierDes!$C:$C),3,_xlfn.XLOOKUP(C1099,[1]StuntDes!$B:$B,[1]StuntDes!$C:$C)),"")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412</v>
      </c>
      <c r="D1100" t="s">
        <v>35</v>
      </c>
      <c r="E1100" s="13" t="s">
        <v>405</v>
      </c>
      <c r="G1100">
        <v>2</v>
      </c>
      <c r="H1100">
        <v>100</v>
      </c>
      <c r="J1100" cm="1">
        <f t="array" ref="J1100">_xlfn.SWITCH(B1100,1,75,2,61,3,49,4,37,5,25,6,13,7,4,8,1)</f>
        <v>75</v>
      </c>
      <c r="K1100" t="str" cm="1">
        <f t="array" ref="K1100">IFERROR(_xlfn.SWITCH(L1100,2,_xlfn.XLOOKUP(C1100,[1]ModifierDes!$B:$B,[1]ModifierDes!$C:$C),3,_xlfn.XLOOKUP(C1100,[1]StuntDes!$B:$B,[1]StuntDes!$C:$C)),"")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412</v>
      </c>
      <c r="D1101" t="s">
        <v>35</v>
      </c>
      <c r="E1101" s="13" t="s">
        <v>405</v>
      </c>
      <c r="G1101">
        <v>2</v>
      </c>
      <c r="H1101">
        <v>200</v>
      </c>
      <c r="J1101" cm="1">
        <f t="array" ref="J1101">_xlfn.SWITCH(B1101,1,75,2,61,3,49,4,37,5,25,6,13,7,4,8,1)</f>
        <v>61</v>
      </c>
      <c r="K1101" t="str" cm="1">
        <f t="array" ref="K1101">IFERROR(_xlfn.SWITCH(L1101,2,_xlfn.XLOOKUP(C1101,[1]ModifierDes!$B:$B,[1]ModifierDes!$C:$C),3,_xlfn.XLOOKUP(C1101,[1]StuntDes!$B:$B,[1]StuntDes!$C:$C)),"")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412</v>
      </c>
      <c r="D1102" t="s">
        <v>35</v>
      </c>
      <c r="E1102" s="13" t="s">
        <v>405</v>
      </c>
      <c r="G1102">
        <v>2</v>
      </c>
      <c r="H1102">
        <v>400</v>
      </c>
      <c r="J1102" cm="1">
        <f t="array" ref="J1102">_xlfn.SWITCH(B1102,1,75,2,61,3,49,4,37,5,25,6,13,7,4,8,1)</f>
        <v>49</v>
      </c>
      <c r="K1102" t="str" cm="1">
        <f t="array" ref="K1102">IFERROR(_xlfn.SWITCH(L1102,2,_xlfn.XLOOKUP(C1102,[1]ModifierDes!$B:$B,[1]ModifierDes!$C:$C),3,_xlfn.XLOOKUP(C1102,[1]StuntDes!$B:$B,[1]StuntDes!$C:$C)),"")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412</v>
      </c>
      <c r="D1103" t="s">
        <v>35</v>
      </c>
      <c r="E1103" s="13" t="s">
        <v>405</v>
      </c>
      <c r="G1103">
        <v>2</v>
      </c>
      <c r="H1103">
        <v>600</v>
      </c>
      <c r="J1103" cm="1">
        <f t="array" ref="J1103">_xlfn.SWITCH(B1103,1,75,2,61,3,49,4,37,5,25,6,13,7,4,8,1)</f>
        <v>37</v>
      </c>
      <c r="K1103" t="str" cm="1">
        <f t="array" ref="K1103">IFERROR(_xlfn.SWITCH(L1103,2,_xlfn.XLOOKUP(C1103,[1]ModifierDes!$B:$B,[1]ModifierDes!$C:$C),3,_xlfn.XLOOKUP(C1103,[1]StuntDes!$B:$B,[1]StuntDes!$C:$C)),"")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412</v>
      </c>
      <c r="D1104" t="s">
        <v>35</v>
      </c>
      <c r="E1104" s="13" t="s">
        <v>405</v>
      </c>
      <c r="G1104">
        <v>2</v>
      </c>
      <c r="H1104">
        <v>800</v>
      </c>
      <c r="J1104" cm="1">
        <f t="array" ref="J1104">_xlfn.SWITCH(B1104,1,75,2,61,3,49,4,37,5,25,6,13,7,4,8,1)</f>
        <v>25</v>
      </c>
      <c r="K1104" t="str" cm="1">
        <f t="array" ref="K1104">IFERROR(_xlfn.SWITCH(L1104,2,_xlfn.XLOOKUP(C1104,[1]ModifierDes!$B:$B,[1]ModifierDes!$C:$C),3,_xlfn.XLOOKUP(C1104,[1]StuntDes!$B:$B,[1]StuntDes!$C:$C)),"")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412</v>
      </c>
      <c r="D1105" t="s">
        <v>35</v>
      </c>
      <c r="E1105" s="13" t="s">
        <v>405</v>
      </c>
      <c r="G1105">
        <v>2</v>
      </c>
      <c r="H1105">
        <v>1000</v>
      </c>
      <c r="J1105" cm="1">
        <f t="array" ref="J1105">_xlfn.SWITCH(B1105,1,75,2,61,3,49,4,37,5,25,6,13,7,4,8,1)</f>
        <v>13</v>
      </c>
      <c r="K1105" t="str" cm="1">
        <f t="array" ref="K1105">IFERROR(_xlfn.SWITCH(L1105,2,_xlfn.XLOOKUP(C1105,[1]ModifierDes!$B:$B,[1]ModifierDes!$C:$C),3,_xlfn.XLOOKUP(C1105,[1]StuntDes!$B:$B,[1]StuntDes!$C:$C)),"")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412</v>
      </c>
      <c r="D1106" t="s">
        <v>35</v>
      </c>
      <c r="E1106" s="13" t="s">
        <v>405</v>
      </c>
      <c r="G1106">
        <v>2</v>
      </c>
      <c r="H1106">
        <v>1000</v>
      </c>
      <c r="J1106" cm="1">
        <f t="array" ref="J1106">_xlfn.SWITCH(B1106,1,75,2,61,3,49,4,37,5,25,6,13,7,4,8,1)</f>
        <v>4</v>
      </c>
      <c r="K1106" t="str" cm="1">
        <f t="array" ref="K1106">IFERROR(_xlfn.SWITCH(L1106,2,_xlfn.XLOOKUP(C1106,[1]ModifierDes!$B:$B,[1]ModifierDes!$C:$C),3,_xlfn.XLOOKUP(C1106,[1]StuntDes!$B:$B,[1]StuntDes!$C:$C)),"")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412</v>
      </c>
      <c r="D1107" t="s">
        <v>35</v>
      </c>
      <c r="E1107" s="13" t="s">
        <v>405</v>
      </c>
      <c r="G1107">
        <v>2</v>
      </c>
      <c r="H1107">
        <v>1000</v>
      </c>
      <c r="J1107" cm="1">
        <f t="array" ref="J1107">_xlfn.SWITCH(B1107,1,75,2,61,3,49,4,37,5,25,6,13,7,4,8,1)</f>
        <v>1</v>
      </c>
      <c r="K1107" t="str" cm="1">
        <f t="array" ref="K1107">IFERROR(_xlfn.SWITCH(L1107,2,_xlfn.XLOOKUP(C1107,[1]ModifierDes!$B:$B,[1]ModifierDes!$C:$C),3,_xlfn.XLOOKUP(C1107,[1]StuntDes!$B:$B,[1]StuntDes!$C:$C)),"")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438</v>
      </c>
      <c r="D1108" t="s">
        <v>35</v>
      </c>
      <c r="E1108" s="13" t="s">
        <v>405</v>
      </c>
      <c r="G1108">
        <v>2</v>
      </c>
      <c r="H1108">
        <v>100</v>
      </c>
      <c r="J1108" cm="1">
        <f t="array" ref="J1108">_xlfn.SWITCH(B1108,1,75,2,61,3,49,4,37,5,25,6,13,7,4,8,1)</f>
        <v>75</v>
      </c>
      <c r="K1108" t="str" cm="1">
        <f t="array" ref="K1108">IFERROR(_xlfn.SWITCH(L1108,2,_xlfn.XLOOKUP(C1108,[1]ModifierDes!$B:$B,[1]ModifierDes!$C:$C),3,_xlfn.XLOOKUP(C1108,[1]StuntDes!$B:$B,[1]StuntDes!$C:$C)),"")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438</v>
      </c>
      <c r="D1109" t="s">
        <v>35</v>
      </c>
      <c r="E1109" s="13" t="s">
        <v>405</v>
      </c>
      <c r="G1109">
        <v>2</v>
      </c>
      <c r="H1109">
        <v>200</v>
      </c>
      <c r="J1109" cm="1">
        <f t="array" ref="J1109">_xlfn.SWITCH(B1109,1,75,2,61,3,49,4,37,5,25,6,13,7,4,8,1)</f>
        <v>61</v>
      </c>
      <c r="K1109" t="str" cm="1">
        <f t="array" ref="K1109">IFERROR(_xlfn.SWITCH(L1109,2,_xlfn.XLOOKUP(C1109,[1]ModifierDes!$B:$B,[1]ModifierDes!$C:$C),3,_xlfn.XLOOKUP(C1109,[1]StuntDes!$B:$B,[1]StuntDes!$C:$C)),"")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438</v>
      </c>
      <c r="D1110" t="s">
        <v>35</v>
      </c>
      <c r="E1110" s="13" t="s">
        <v>405</v>
      </c>
      <c r="G1110">
        <v>2</v>
      </c>
      <c r="H1110">
        <v>400</v>
      </c>
      <c r="J1110" cm="1">
        <f t="array" ref="J1110">_xlfn.SWITCH(B1110,1,75,2,61,3,49,4,37,5,25,6,13,7,4,8,1)</f>
        <v>49</v>
      </c>
      <c r="K1110" t="str" cm="1">
        <f t="array" ref="K1110">IFERROR(_xlfn.SWITCH(L1110,2,_xlfn.XLOOKUP(C1110,[1]ModifierDes!$B:$B,[1]ModifierDes!$C:$C),3,_xlfn.XLOOKUP(C1110,[1]StuntDes!$B:$B,[1]StuntDes!$C:$C)),"")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438</v>
      </c>
      <c r="D1111" t="s">
        <v>35</v>
      </c>
      <c r="E1111" s="13" t="s">
        <v>405</v>
      </c>
      <c r="G1111">
        <v>2</v>
      </c>
      <c r="H1111">
        <v>600</v>
      </c>
      <c r="J1111" cm="1">
        <f t="array" ref="J1111">_xlfn.SWITCH(B1111,1,75,2,61,3,49,4,37,5,25,6,13,7,4,8,1)</f>
        <v>37</v>
      </c>
      <c r="K1111" t="str" cm="1">
        <f t="array" ref="K1111">IFERROR(_xlfn.SWITCH(L1111,2,_xlfn.XLOOKUP(C1111,[1]ModifierDes!$B:$B,[1]ModifierDes!$C:$C),3,_xlfn.XLOOKUP(C1111,[1]StuntDes!$B:$B,[1]StuntDes!$C:$C)),"")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438</v>
      </c>
      <c r="D1112" t="s">
        <v>35</v>
      </c>
      <c r="E1112" s="13" t="s">
        <v>405</v>
      </c>
      <c r="G1112">
        <v>2</v>
      </c>
      <c r="H1112">
        <v>800</v>
      </c>
      <c r="J1112" cm="1">
        <f t="array" ref="J1112">_xlfn.SWITCH(B1112,1,75,2,61,3,49,4,37,5,25,6,13,7,4,8,1)</f>
        <v>25</v>
      </c>
      <c r="K1112" t="str" cm="1">
        <f t="array" ref="K1112">IFERROR(_xlfn.SWITCH(L1112,2,_xlfn.XLOOKUP(C1112,[1]ModifierDes!$B:$B,[1]ModifierDes!$C:$C),3,_xlfn.XLOOKUP(C1112,[1]StuntDes!$B:$B,[1]StuntDes!$C:$C)),"")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438</v>
      </c>
      <c r="D1113" t="s">
        <v>35</v>
      </c>
      <c r="E1113" s="13" t="s">
        <v>405</v>
      </c>
      <c r="G1113">
        <v>2</v>
      </c>
      <c r="H1113">
        <v>1000</v>
      </c>
      <c r="J1113" cm="1">
        <f t="array" ref="J1113">_xlfn.SWITCH(B1113,1,75,2,61,3,49,4,37,5,25,6,13,7,4,8,1)</f>
        <v>13</v>
      </c>
      <c r="K1113" t="str" cm="1">
        <f t="array" ref="K1113">IFERROR(_xlfn.SWITCH(L1113,2,_xlfn.XLOOKUP(C1113,[1]ModifierDes!$B:$B,[1]ModifierDes!$C:$C),3,_xlfn.XLOOKUP(C1113,[1]StuntDes!$B:$B,[1]StuntDes!$C:$C)),"")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438</v>
      </c>
      <c r="D1114" t="s">
        <v>35</v>
      </c>
      <c r="E1114" s="13" t="s">
        <v>405</v>
      </c>
      <c r="G1114">
        <v>2</v>
      </c>
      <c r="H1114">
        <v>1000</v>
      </c>
      <c r="J1114" cm="1">
        <f t="array" ref="J1114">_xlfn.SWITCH(B1114,1,75,2,61,3,49,4,37,5,25,6,13,7,4,8,1)</f>
        <v>4</v>
      </c>
      <c r="K1114" t="str" cm="1">
        <f t="array" ref="K1114">IFERROR(_xlfn.SWITCH(L1114,2,_xlfn.XLOOKUP(C1114,[1]ModifierDes!$B:$B,[1]ModifierDes!$C:$C),3,_xlfn.XLOOKUP(C1114,[1]StuntDes!$B:$B,[1]StuntDes!$C:$C)),"")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438</v>
      </c>
      <c r="D1115" t="s">
        <v>35</v>
      </c>
      <c r="E1115" s="13" t="s">
        <v>405</v>
      </c>
      <c r="G1115">
        <v>2</v>
      </c>
      <c r="H1115">
        <v>1000</v>
      </c>
      <c r="J1115" cm="1">
        <f t="array" ref="J1115">_xlfn.SWITCH(B1115,1,75,2,61,3,49,4,37,5,25,6,13,7,4,8,1)</f>
        <v>1</v>
      </c>
      <c r="K1115" t="str" cm="1">
        <f t="array" ref="K1115">IFERROR(_xlfn.SWITCH(L1115,2,_xlfn.XLOOKUP(C1115,[1]ModifierDes!$B:$B,[1]ModifierDes!$C:$C),3,_xlfn.XLOOKUP(C1115,[1]StuntDes!$B:$B,[1]StuntDes!$C:$C)),"")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413</v>
      </c>
      <c r="D1116" t="s">
        <v>35</v>
      </c>
      <c r="E1116" s="13" t="s">
        <v>405</v>
      </c>
      <c r="G1116">
        <v>2</v>
      </c>
      <c r="H1116">
        <v>1000</v>
      </c>
      <c r="J1116" cm="1">
        <f t="array" ref="J1116">_xlfn.SWITCH(B1116,1,75,2,61,3,49,4,37,5,25,6,13,7,4,8,1)</f>
        <v>75</v>
      </c>
      <c r="K1116" t="str" cm="1">
        <f t="array" ref="K1116">IFERROR(_xlfn.SWITCH(L1116,2,_xlfn.XLOOKUP(C1116,[1]ModifierDes!$B:$B,[1]ModifierDes!$C:$C),3,_xlfn.XLOOKUP(C1116,[1]StuntDes!$B:$B,[1]StuntDes!$C:$C)),"")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413</v>
      </c>
      <c r="D1117" t="s">
        <v>35</v>
      </c>
      <c r="E1117" s="13" t="s">
        <v>405</v>
      </c>
      <c r="G1117">
        <v>2</v>
      </c>
      <c r="H1117">
        <v>1000</v>
      </c>
      <c r="J1117" cm="1">
        <f t="array" ref="J1117">_xlfn.SWITCH(B1117,1,75,2,61,3,49,4,37,5,25,6,13,7,4,8,1)</f>
        <v>61</v>
      </c>
      <c r="K1117" t="str" cm="1">
        <f t="array" ref="K1117">IFERROR(_xlfn.SWITCH(L1117,2,_xlfn.XLOOKUP(C1117,[1]ModifierDes!$B:$B,[1]ModifierDes!$C:$C),3,_xlfn.XLOOKUP(C1117,[1]StuntDes!$B:$B,[1]StuntDes!$C:$C)),"")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413</v>
      </c>
      <c r="D1118" t="s">
        <v>35</v>
      </c>
      <c r="E1118" s="13" t="s">
        <v>405</v>
      </c>
      <c r="G1118">
        <v>2</v>
      </c>
      <c r="H1118">
        <v>1000</v>
      </c>
      <c r="J1118" cm="1">
        <f t="array" ref="J1118">_xlfn.SWITCH(B1118,1,75,2,61,3,49,4,37,5,25,6,13,7,4,8,1)</f>
        <v>49</v>
      </c>
      <c r="K1118" t="str" cm="1">
        <f t="array" ref="K1118">IFERROR(_xlfn.SWITCH(L1118,2,_xlfn.XLOOKUP(C1118,[1]ModifierDes!$B:$B,[1]ModifierDes!$C:$C),3,_xlfn.XLOOKUP(C1118,[1]StuntDes!$B:$B,[1]StuntDes!$C:$C)),"")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413</v>
      </c>
      <c r="D1119" t="s">
        <v>35</v>
      </c>
      <c r="E1119" s="13" t="s">
        <v>405</v>
      </c>
      <c r="G1119">
        <v>2</v>
      </c>
      <c r="H1119">
        <v>1000</v>
      </c>
      <c r="J1119" cm="1">
        <f t="array" ref="J1119">_xlfn.SWITCH(B1119,1,75,2,61,3,49,4,37,5,25,6,13,7,4,8,1)</f>
        <v>37</v>
      </c>
      <c r="K1119" t="str" cm="1">
        <f t="array" ref="K1119">IFERROR(_xlfn.SWITCH(L1119,2,_xlfn.XLOOKUP(C1119,[1]ModifierDes!$B:$B,[1]ModifierDes!$C:$C),3,_xlfn.XLOOKUP(C1119,[1]StuntDes!$B:$B,[1]StuntDes!$C:$C)),"")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413</v>
      </c>
      <c r="D1120" t="s">
        <v>35</v>
      </c>
      <c r="E1120" s="13" t="s">
        <v>405</v>
      </c>
      <c r="G1120">
        <v>2</v>
      </c>
      <c r="H1120">
        <v>1000</v>
      </c>
      <c r="J1120" cm="1">
        <f t="array" ref="J1120">_xlfn.SWITCH(B1120,1,75,2,61,3,49,4,37,5,25,6,13,7,4,8,1)</f>
        <v>25</v>
      </c>
      <c r="K1120" t="str" cm="1">
        <f t="array" ref="K1120">IFERROR(_xlfn.SWITCH(L1120,2,_xlfn.XLOOKUP(C1120,[1]ModifierDes!$B:$B,[1]ModifierDes!$C:$C),3,_xlfn.XLOOKUP(C1120,[1]StuntDes!$B:$B,[1]StuntDes!$C:$C)),"")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413</v>
      </c>
      <c r="D1121" t="s">
        <v>35</v>
      </c>
      <c r="E1121" s="13" t="s">
        <v>405</v>
      </c>
      <c r="G1121">
        <v>2</v>
      </c>
      <c r="H1121">
        <v>1000</v>
      </c>
      <c r="J1121" cm="1">
        <f t="array" ref="J1121">_xlfn.SWITCH(B1121,1,75,2,61,3,49,4,37,5,25,6,13,7,4,8,1)</f>
        <v>13</v>
      </c>
      <c r="K1121" t="str" cm="1">
        <f t="array" ref="K1121">IFERROR(_xlfn.SWITCH(L1121,2,_xlfn.XLOOKUP(C1121,[1]ModifierDes!$B:$B,[1]ModifierDes!$C:$C),3,_xlfn.XLOOKUP(C1121,[1]StuntDes!$B:$B,[1]StuntDes!$C:$C)),"")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413</v>
      </c>
      <c r="D1122" t="s">
        <v>35</v>
      </c>
      <c r="E1122" s="13" t="s">
        <v>405</v>
      </c>
      <c r="G1122">
        <v>2</v>
      </c>
      <c r="H1122">
        <v>1000</v>
      </c>
      <c r="J1122" cm="1">
        <f t="array" ref="J1122">_xlfn.SWITCH(B1122,1,75,2,61,3,49,4,37,5,25,6,13,7,4,8,1)</f>
        <v>4</v>
      </c>
      <c r="K1122" t="str" cm="1">
        <f t="array" ref="K1122">IFERROR(_xlfn.SWITCH(L1122,2,_xlfn.XLOOKUP(C1122,[1]ModifierDes!$B:$B,[1]ModifierDes!$C:$C),3,_xlfn.XLOOKUP(C1122,[1]StuntDes!$B:$B,[1]StuntDes!$C:$C)),"")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413</v>
      </c>
      <c r="D1123" t="s">
        <v>35</v>
      </c>
      <c r="E1123" s="13" t="s">
        <v>405</v>
      </c>
      <c r="G1123">
        <v>2</v>
      </c>
      <c r="H1123">
        <v>1000</v>
      </c>
      <c r="J1123" cm="1">
        <f t="array" ref="J1123">_xlfn.SWITCH(B1123,1,75,2,61,3,49,4,37,5,25,6,13,7,4,8,1)</f>
        <v>1</v>
      </c>
      <c r="K1123" t="str" cm="1">
        <f t="array" ref="K1123">IFERROR(_xlfn.SWITCH(L1123,2,_xlfn.XLOOKUP(C1123,[1]ModifierDes!$B:$B,[1]ModifierDes!$C:$C),3,_xlfn.XLOOKUP(C1123,[1]StuntDes!$B:$B,[1]StuntDes!$C:$C)),"")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443</v>
      </c>
      <c r="D1124" t="s">
        <v>35</v>
      </c>
      <c r="E1124" s="13" t="s">
        <v>405</v>
      </c>
      <c r="G1124">
        <v>2</v>
      </c>
      <c r="H1124">
        <v>1000</v>
      </c>
      <c r="J1124" cm="1">
        <f t="array" ref="J1124">_xlfn.SWITCH(B1124,1,75,2,61,3,49,4,37,5,25,6,13,7,4,8,1)</f>
        <v>75</v>
      </c>
      <c r="K1124" t="str" cm="1">
        <f t="array" ref="K1124">IFERROR(_xlfn.SWITCH(L1124,2,_xlfn.XLOOKUP(C1124,[1]ModifierDes!$B:$B,[1]ModifierDes!$C:$C),3,_xlfn.XLOOKUP(C1124,[1]StuntDes!$B:$B,[1]StuntDes!$C:$C)),"")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443</v>
      </c>
      <c r="D1125" t="s">
        <v>35</v>
      </c>
      <c r="E1125" s="13" t="s">
        <v>405</v>
      </c>
      <c r="G1125">
        <v>2</v>
      </c>
      <c r="H1125">
        <v>1000</v>
      </c>
      <c r="J1125" cm="1">
        <f t="array" ref="J1125">_xlfn.SWITCH(B1125,1,75,2,61,3,49,4,37,5,25,6,13,7,4,8,1)</f>
        <v>61</v>
      </c>
      <c r="K1125" t="str" cm="1">
        <f t="array" ref="K1125">IFERROR(_xlfn.SWITCH(L1125,2,_xlfn.XLOOKUP(C1125,[1]ModifierDes!$B:$B,[1]ModifierDes!$C:$C),3,_xlfn.XLOOKUP(C1125,[1]StuntDes!$B:$B,[1]StuntDes!$C:$C)),"")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443</v>
      </c>
      <c r="D1126" t="s">
        <v>35</v>
      </c>
      <c r="E1126" s="13" t="s">
        <v>405</v>
      </c>
      <c r="G1126">
        <v>2</v>
      </c>
      <c r="H1126">
        <v>1000</v>
      </c>
      <c r="J1126" cm="1">
        <f t="array" ref="J1126">_xlfn.SWITCH(B1126,1,75,2,61,3,49,4,37,5,25,6,13,7,4,8,1)</f>
        <v>49</v>
      </c>
      <c r="K1126" t="str" cm="1">
        <f t="array" ref="K1126">IFERROR(_xlfn.SWITCH(L1126,2,_xlfn.XLOOKUP(C1126,[1]ModifierDes!$B:$B,[1]ModifierDes!$C:$C),3,_xlfn.XLOOKUP(C1126,[1]StuntDes!$B:$B,[1]StuntDes!$C:$C)),"")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443</v>
      </c>
      <c r="D1127" t="s">
        <v>35</v>
      </c>
      <c r="E1127" s="13" t="s">
        <v>405</v>
      </c>
      <c r="G1127">
        <v>2</v>
      </c>
      <c r="H1127">
        <v>1000</v>
      </c>
      <c r="J1127" cm="1">
        <f t="array" ref="J1127">_xlfn.SWITCH(B1127,1,75,2,61,3,49,4,37,5,25,6,13,7,4,8,1)</f>
        <v>37</v>
      </c>
      <c r="K1127" t="str" cm="1">
        <f t="array" ref="K1127">IFERROR(_xlfn.SWITCH(L1127,2,_xlfn.XLOOKUP(C1127,[1]ModifierDes!$B:$B,[1]ModifierDes!$C:$C),3,_xlfn.XLOOKUP(C1127,[1]StuntDes!$B:$B,[1]StuntDes!$C:$C)),"")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443</v>
      </c>
      <c r="D1128" t="s">
        <v>35</v>
      </c>
      <c r="E1128" s="13" t="s">
        <v>405</v>
      </c>
      <c r="G1128">
        <v>2</v>
      </c>
      <c r="H1128">
        <v>1000</v>
      </c>
      <c r="J1128" cm="1">
        <f t="array" ref="J1128">_xlfn.SWITCH(B1128,1,75,2,61,3,49,4,37,5,25,6,13,7,4,8,1)</f>
        <v>25</v>
      </c>
      <c r="K1128" t="str" cm="1">
        <f t="array" ref="K1128">IFERROR(_xlfn.SWITCH(L1128,2,_xlfn.XLOOKUP(C1128,[1]ModifierDes!$B:$B,[1]ModifierDes!$C:$C),3,_xlfn.XLOOKUP(C1128,[1]StuntDes!$B:$B,[1]StuntDes!$C:$C)),"")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443</v>
      </c>
      <c r="D1129" t="s">
        <v>35</v>
      </c>
      <c r="E1129" s="13" t="s">
        <v>405</v>
      </c>
      <c r="G1129">
        <v>2</v>
      </c>
      <c r="H1129">
        <v>1000</v>
      </c>
      <c r="J1129" cm="1">
        <f t="array" ref="J1129">_xlfn.SWITCH(B1129,1,75,2,61,3,49,4,37,5,25,6,13,7,4,8,1)</f>
        <v>13</v>
      </c>
      <c r="K1129" t="str" cm="1">
        <f t="array" ref="K1129">IFERROR(_xlfn.SWITCH(L1129,2,_xlfn.XLOOKUP(C1129,[1]ModifierDes!$B:$B,[1]ModifierDes!$C:$C),3,_xlfn.XLOOKUP(C1129,[1]StuntDes!$B:$B,[1]StuntDes!$C:$C)),"")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443</v>
      </c>
      <c r="D1130" t="s">
        <v>35</v>
      </c>
      <c r="E1130" s="13" t="s">
        <v>405</v>
      </c>
      <c r="G1130">
        <v>2</v>
      </c>
      <c r="H1130">
        <v>1000</v>
      </c>
      <c r="J1130" cm="1">
        <f t="array" ref="J1130">_xlfn.SWITCH(B1130,1,75,2,61,3,49,4,37,5,25,6,13,7,4,8,1)</f>
        <v>4</v>
      </c>
      <c r="K1130" t="str" cm="1">
        <f t="array" ref="K1130">IFERROR(_xlfn.SWITCH(L1130,2,_xlfn.XLOOKUP(C1130,[1]ModifierDes!$B:$B,[1]ModifierDes!$C:$C),3,_xlfn.XLOOKUP(C1130,[1]StuntDes!$B:$B,[1]StuntDes!$C:$C)),"")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443</v>
      </c>
      <c r="D1131" t="s">
        <v>35</v>
      </c>
      <c r="E1131" s="13" t="s">
        <v>405</v>
      </c>
      <c r="G1131">
        <v>2</v>
      </c>
      <c r="H1131">
        <v>1000</v>
      </c>
      <c r="J1131" cm="1">
        <f t="array" ref="J1131">_xlfn.SWITCH(B1131,1,75,2,61,3,49,4,37,5,25,6,13,7,4,8,1)</f>
        <v>1</v>
      </c>
      <c r="K1131" t="str" cm="1">
        <f t="array" ref="K1131">IFERROR(_xlfn.SWITCH(L1131,2,_xlfn.XLOOKUP(C1131,[1]ModifierDes!$B:$B,[1]ModifierDes!$C:$C),3,_xlfn.XLOOKUP(C1131,[1]StuntDes!$B:$B,[1]StuntDes!$C:$C)),"")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419</v>
      </c>
      <c r="D1132" t="s">
        <v>35</v>
      </c>
      <c r="E1132" s="13" t="s">
        <v>405</v>
      </c>
      <c r="F1132"/>
      <c r="G1132">
        <v>2</v>
      </c>
      <c r="H1132">
        <v>1000</v>
      </c>
      <c r="J1132" cm="1">
        <f t="array" ref="J1132">_xlfn.SWITCH(B1132,1,75,2,61,3,49,4,37,5,25,6,13,7,4,8,1)</f>
        <v>75</v>
      </c>
      <c r="K1132" t="str" cm="1">
        <f t="array" ref="K1132">IFERROR(_xlfn.SWITCH(L1132,2,_xlfn.XLOOKUP(C1132,[1]ModifierDes!$B:$B,[1]ModifierDes!$C:$C),3,_xlfn.XLOOKUP(C1132,[1]StuntDes!$B:$B,[1]StuntDes!$C:$C)),"")</f>
        <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419</v>
      </c>
      <c r="D1133" t="s">
        <v>35</v>
      </c>
      <c r="E1133" s="13" t="s">
        <v>405</v>
      </c>
      <c r="F1133"/>
      <c r="G1133">
        <v>2</v>
      </c>
      <c r="H1133">
        <v>1000</v>
      </c>
      <c r="J1133" cm="1">
        <f t="array" ref="J1133">_xlfn.SWITCH(B1133,1,75,2,61,3,49,4,37,5,25,6,13,7,4,8,1)</f>
        <v>61</v>
      </c>
      <c r="K1133" t="str" cm="1">
        <f t="array" ref="K1133">IFERROR(_xlfn.SWITCH(L1133,2,_xlfn.XLOOKUP(C1133,[1]ModifierDes!$B:$B,[1]ModifierDes!$C:$C),3,_xlfn.XLOOKUP(C1133,[1]StuntDes!$B:$B,[1]StuntDes!$C:$C)),"")</f>
        <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419</v>
      </c>
      <c r="D1134" t="s">
        <v>35</v>
      </c>
      <c r="E1134" s="13" t="s">
        <v>405</v>
      </c>
      <c r="F1134"/>
      <c r="G1134">
        <v>2</v>
      </c>
      <c r="H1134">
        <v>1000</v>
      </c>
      <c r="J1134" cm="1">
        <f t="array" ref="J1134">_xlfn.SWITCH(B1134,1,75,2,61,3,49,4,37,5,25,6,13,7,4,8,1)</f>
        <v>49</v>
      </c>
      <c r="K1134" t="str" cm="1">
        <f t="array" ref="K1134">IFERROR(_xlfn.SWITCH(L1134,2,_xlfn.XLOOKUP(C1134,[1]ModifierDes!$B:$B,[1]ModifierDes!$C:$C),3,_xlfn.XLOOKUP(C1134,[1]StuntDes!$B:$B,[1]StuntDes!$C:$C)),"")</f>
        <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419</v>
      </c>
      <c r="D1135" t="s">
        <v>35</v>
      </c>
      <c r="E1135" s="13" t="s">
        <v>405</v>
      </c>
      <c r="F1135"/>
      <c r="G1135">
        <v>2</v>
      </c>
      <c r="H1135">
        <v>1000</v>
      </c>
      <c r="J1135" cm="1">
        <f t="array" ref="J1135">_xlfn.SWITCH(B1135,1,75,2,61,3,49,4,37,5,25,6,13,7,4,8,1)</f>
        <v>37</v>
      </c>
      <c r="K1135" t="str" cm="1">
        <f t="array" ref="K1135">IFERROR(_xlfn.SWITCH(L1135,2,_xlfn.XLOOKUP(C1135,[1]ModifierDes!$B:$B,[1]ModifierDes!$C:$C),3,_xlfn.XLOOKUP(C1135,[1]StuntDes!$B:$B,[1]StuntDes!$C:$C)),"")</f>
        <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419</v>
      </c>
      <c r="D1136" t="s">
        <v>35</v>
      </c>
      <c r="E1136" s="13" t="s">
        <v>405</v>
      </c>
      <c r="F1136"/>
      <c r="G1136">
        <v>2</v>
      </c>
      <c r="H1136">
        <v>1000</v>
      </c>
      <c r="J1136" cm="1">
        <f t="array" ref="J1136">_xlfn.SWITCH(B1136,1,75,2,61,3,49,4,37,5,25,6,13,7,4,8,1)</f>
        <v>25</v>
      </c>
      <c r="K1136" t="str" cm="1">
        <f t="array" ref="K1136">IFERROR(_xlfn.SWITCH(L1136,2,_xlfn.XLOOKUP(C1136,[1]ModifierDes!$B:$B,[1]ModifierDes!$C:$C),3,_xlfn.XLOOKUP(C1136,[1]StuntDes!$B:$B,[1]StuntDes!$C:$C)),"")</f>
        <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419</v>
      </c>
      <c r="D1137" t="s">
        <v>35</v>
      </c>
      <c r="E1137" s="13" t="s">
        <v>405</v>
      </c>
      <c r="F1137"/>
      <c r="G1137">
        <v>2</v>
      </c>
      <c r="H1137">
        <v>1000</v>
      </c>
      <c r="J1137" cm="1">
        <f t="array" ref="J1137">_xlfn.SWITCH(B1137,1,75,2,61,3,49,4,37,5,25,6,13,7,4,8,1)</f>
        <v>13</v>
      </c>
      <c r="K1137" t="str" cm="1">
        <f t="array" ref="K1137">IFERROR(_xlfn.SWITCH(L1137,2,_xlfn.XLOOKUP(C1137,[1]ModifierDes!$B:$B,[1]ModifierDes!$C:$C),3,_xlfn.XLOOKUP(C1137,[1]StuntDes!$B:$B,[1]StuntDes!$C:$C)),"")</f>
        <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419</v>
      </c>
      <c r="D1138" t="s">
        <v>35</v>
      </c>
      <c r="E1138" s="13" t="s">
        <v>405</v>
      </c>
      <c r="F1138"/>
      <c r="G1138">
        <v>2</v>
      </c>
      <c r="H1138">
        <v>1000</v>
      </c>
      <c r="J1138" cm="1">
        <f t="array" ref="J1138">_xlfn.SWITCH(B1138,1,75,2,61,3,49,4,37,5,25,6,13,7,4,8,1)</f>
        <v>4</v>
      </c>
      <c r="K1138" t="str" cm="1">
        <f t="array" ref="K1138">IFERROR(_xlfn.SWITCH(L1138,2,_xlfn.XLOOKUP(C1138,[1]ModifierDes!$B:$B,[1]ModifierDes!$C:$C),3,_xlfn.XLOOKUP(C1138,[1]StuntDes!$B:$B,[1]StuntDes!$C:$C)),"")</f>
        <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419</v>
      </c>
      <c r="D1139" t="s">
        <v>35</v>
      </c>
      <c r="E1139" s="13" t="s">
        <v>405</v>
      </c>
      <c r="F1139"/>
      <c r="G1139">
        <v>2</v>
      </c>
      <c r="H1139">
        <v>1000</v>
      </c>
      <c r="J1139" cm="1">
        <f t="array" ref="J1139">_xlfn.SWITCH(B1139,1,75,2,61,3,49,4,37,5,25,6,13,7,4,8,1)</f>
        <v>1</v>
      </c>
      <c r="K1139" t="str" cm="1">
        <f t="array" ref="K1139">IFERROR(_xlfn.SWITCH(L1139,2,_xlfn.XLOOKUP(C1139,[1]ModifierDes!$B:$B,[1]ModifierDes!$C:$C),3,_xlfn.XLOOKUP(C1139,[1]StuntDes!$B:$B,[1]StuntDes!$C:$C)),"")</f>
        <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440</v>
      </c>
      <c r="D1140" t="s">
        <v>35</v>
      </c>
      <c r="E1140" s="13" t="s">
        <v>405</v>
      </c>
      <c r="G1140">
        <v>2</v>
      </c>
      <c r="H1140">
        <v>1000</v>
      </c>
      <c r="J1140" cm="1">
        <f t="array" ref="J1140">_xlfn.SWITCH(B1140,1,75,2,61,3,49,4,37,5,25,6,13,7,4,8,1)</f>
        <v>75</v>
      </c>
      <c r="K1140" t="str" cm="1">
        <f t="array" ref="K1140">IFERROR(_xlfn.SWITCH(L1140,2,_xlfn.XLOOKUP(C1140,[1]ModifierDes!$B:$B,[1]ModifierDes!$C:$C),3,_xlfn.XLOOKUP(C1140,[1]StuntDes!$B:$B,[1]StuntDes!$C:$C)),"")</f>
        <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8</v>
      </c>
      <c r="R1140">
        <v>10</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440</v>
      </c>
      <c r="D1141" t="s">
        <v>35</v>
      </c>
      <c r="E1141" s="13" t="s">
        <v>405</v>
      </c>
      <c r="G1141">
        <v>2</v>
      </c>
      <c r="H1141">
        <v>1000</v>
      </c>
      <c r="J1141" cm="1">
        <f t="array" ref="J1141">_xlfn.SWITCH(B1141,1,75,2,61,3,49,4,37,5,25,6,13,7,4,8,1)</f>
        <v>61</v>
      </c>
      <c r="K1141" t="str" cm="1">
        <f t="array" ref="K1141">IFERROR(_xlfn.SWITCH(L1141,2,_xlfn.XLOOKUP(C1141,[1]ModifierDes!$B:$B,[1]ModifierDes!$C:$C),3,_xlfn.XLOOKUP(C1141,[1]StuntDes!$B:$B,[1]StuntDes!$C:$C)),"")</f>
        <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7</v>
      </c>
      <c r="R1141">
        <v>7</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440</v>
      </c>
      <c r="D1142" t="s">
        <v>35</v>
      </c>
      <c r="E1142" s="13" t="s">
        <v>405</v>
      </c>
      <c r="G1142">
        <v>2</v>
      </c>
      <c r="H1142">
        <v>1000</v>
      </c>
      <c r="J1142" cm="1">
        <f t="array" ref="J1142">_xlfn.SWITCH(B1142,1,75,2,61,3,49,4,37,5,25,6,13,7,4,8,1)</f>
        <v>49</v>
      </c>
      <c r="K1142" t="str" cm="1">
        <f t="array" ref="K1142">IFERROR(_xlfn.SWITCH(L1142,2,_xlfn.XLOOKUP(C1142,[1]ModifierDes!$B:$B,[1]ModifierDes!$C:$C),3,_xlfn.XLOOKUP(C1142,[1]StuntDes!$B:$B,[1]StuntDes!$C:$C)),"")</f>
        <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6</v>
      </c>
      <c r="R1142">
        <v>6</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440</v>
      </c>
      <c r="D1143" t="s">
        <v>35</v>
      </c>
      <c r="E1143" s="13" t="s">
        <v>405</v>
      </c>
      <c r="G1143">
        <v>2</v>
      </c>
      <c r="H1143">
        <v>1000</v>
      </c>
      <c r="J1143" cm="1">
        <f t="array" ref="J1143">_xlfn.SWITCH(B1143,1,75,2,61,3,49,4,37,5,25,6,13,7,4,8,1)</f>
        <v>37</v>
      </c>
      <c r="K1143" t="str" cm="1">
        <f t="array" ref="K1143">IFERROR(_xlfn.SWITCH(L1143,2,_xlfn.XLOOKUP(C1143,[1]ModifierDes!$B:$B,[1]ModifierDes!$C:$C),3,_xlfn.XLOOKUP(C1143,[1]StuntDes!$B:$B,[1]StuntDes!$C:$C)),"")</f>
        <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5</v>
      </c>
      <c r="R1143">
        <v>5</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440</v>
      </c>
      <c r="D1144" t="s">
        <v>35</v>
      </c>
      <c r="E1144" s="13" t="s">
        <v>405</v>
      </c>
      <c r="G1144">
        <v>2</v>
      </c>
      <c r="H1144">
        <v>1000</v>
      </c>
      <c r="J1144" cm="1">
        <f t="array" ref="J1144">_xlfn.SWITCH(B1144,1,75,2,61,3,49,4,37,5,25,6,13,7,4,8,1)</f>
        <v>25</v>
      </c>
      <c r="K1144" t="str" cm="1">
        <f t="array" ref="K1144">IFERROR(_xlfn.SWITCH(L1144,2,_xlfn.XLOOKUP(C1144,[1]ModifierDes!$B:$B,[1]ModifierDes!$C:$C),3,_xlfn.XLOOKUP(C1144,[1]StuntDes!$B:$B,[1]StuntDes!$C:$C)),"")</f>
        <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4</v>
      </c>
      <c r="R1144">
        <v>4</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440</v>
      </c>
      <c r="D1145" t="s">
        <v>35</v>
      </c>
      <c r="E1145" s="13" t="s">
        <v>405</v>
      </c>
      <c r="G1145">
        <v>2</v>
      </c>
      <c r="H1145">
        <v>1000</v>
      </c>
      <c r="J1145" cm="1">
        <f t="array" ref="J1145">_xlfn.SWITCH(B1145,1,75,2,61,3,49,4,37,5,25,6,13,7,4,8,1)</f>
        <v>13</v>
      </c>
      <c r="K1145" t="str" cm="1">
        <f t="array" ref="K1145">IFERROR(_xlfn.SWITCH(L1145,2,_xlfn.XLOOKUP(C1145,[1]ModifierDes!$B:$B,[1]ModifierDes!$C:$C),3,_xlfn.XLOOKUP(C1145,[1]StuntDes!$B:$B,[1]StuntDes!$C:$C)),"")</f>
        <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3</v>
      </c>
      <c r="R1145">
        <v>3</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440</v>
      </c>
      <c r="D1146" t="s">
        <v>35</v>
      </c>
      <c r="E1146" s="13" t="s">
        <v>405</v>
      </c>
      <c r="G1146">
        <v>2</v>
      </c>
      <c r="H1146">
        <v>1000</v>
      </c>
      <c r="J1146" cm="1">
        <f t="array" ref="J1146">_xlfn.SWITCH(B1146,1,75,2,61,3,49,4,37,5,25,6,13,7,4,8,1)</f>
        <v>4</v>
      </c>
      <c r="K1146" t="str" cm="1">
        <f t="array" ref="K1146">IFERROR(_xlfn.SWITCH(L1146,2,_xlfn.XLOOKUP(C1146,[1]ModifierDes!$B:$B,[1]ModifierDes!$C:$C),3,_xlfn.XLOOKUP(C1146,[1]StuntDes!$B:$B,[1]StuntDes!$C:$C)),"")</f>
        <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2</v>
      </c>
      <c r="R1146">
        <v>2</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440</v>
      </c>
      <c r="D1147" t="s">
        <v>35</v>
      </c>
      <c r="E1147" s="13" t="s">
        <v>405</v>
      </c>
      <c r="G1147">
        <v>2</v>
      </c>
      <c r="H1147">
        <v>1000</v>
      </c>
      <c r="J1147" cm="1">
        <f t="array" ref="J1147">_xlfn.SWITCH(B1147,1,75,2,61,3,49,4,37,5,25,6,13,7,4,8,1)</f>
        <v>1</v>
      </c>
      <c r="K1147" t="str" cm="1">
        <f t="array" ref="K1147">IFERROR(_xlfn.SWITCH(L1147,2,_xlfn.XLOOKUP(C1147,[1]ModifierDes!$B:$B,[1]ModifierDes!$C:$C),3,_xlfn.XLOOKUP(C1147,[1]StuntDes!$B:$B,[1]StuntDes!$C:$C)),"")</f>
        <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1</v>
      </c>
      <c r="R1147">
        <v>1</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441</v>
      </c>
      <c r="D1148" t="s">
        <v>35</v>
      </c>
      <c r="E1148" s="13" t="s">
        <v>405</v>
      </c>
      <c r="G1148">
        <v>2</v>
      </c>
      <c r="H1148">
        <v>1000</v>
      </c>
      <c r="J1148" cm="1">
        <f t="array" ref="J1148">_xlfn.SWITCH(B1148,1,75,2,61,3,49,4,37,5,25,6,13,7,4,8,1)</f>
        <v>75</v>
      </c>
      <c r="K1148" t="str" cm="1">
        <f t="array" ref="K1148">IFERROR(_xlfn.SWITCH(L1148,2,_xlfn.XLOOKUP(C1148,[1]ModifierDes!$B:$B,[1]ModifierDes!$C:$C),3,_xlfn.XLOOKUP(C1148,[1]StuntDes!$B:$B,[1]StuntDes!$C:$C)),"")</f>
        <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8</v>
      </c>
      <c r="R1148">
        <v>10</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441</v>
      </c>
      <c r="D1149" t="s">
        <v>35</v>
      </c>
      <c r="E1149" s="13" t="s">
        <v>405</v>
      </c>
      <c r="G1149">
        <v>2</v>
      </c>
      <c r="H1149">
        <v>1000</v>
      </c>
      <c r="J1149" cm="1">
        <f t="array" ref="J1149">_xlfn.SWITCH(B1149,1,75,2,61,3,49,4,37,5,25,6,13,7,4,8,1)</f>
        <v>61</v>
      </c>
      <c r="K1149" t="str" cm="1">
        <f t="array" ref="K1149">IFERROR(_xlfn.SWITCH(L1149,2,_xlfn.XLOOKUP(C1149,[1]ModifierDes!$B:$B,[1]ModifierDes!$C:$C),3,_xlfn.XLOOKUP(C1149,[1]StuntDes!$B:$B,[1]StuntDes!$C:$C)),"")</f>
        <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7</v>
      </c>
      <c r="R1149">
        <v>7</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441</v>
      </c>
      <c r="D1150" t="s">
        <v>35</v>
      </c>
      <c r="E1150" s="13" t="s">
        <v>405</v>
      </c>
      <c r="G1150">
        <v>2</v>
      </c>
      <c r="H1150">
        <v>1000</v>
      </c>
      <c r="J1150" cm="1">
        <f t="array" ref="J1150">_xlfn.SWITCH(B1150,1,75,2,61,3,49,4,37,5,25,6,13,7,4,8,1)</f>
        <v>49</v>
      </c>
      <c r="K1150" t="str" cm="1">
        <f t="array" ref="K1150">IFERROR(_xlfn.SWITCH(L1150,2,_xlfn.XLOOKUP(C1150,[1]ModifierDes!$B:$B,[1]ModifierDes!$C:$C),3,_xlfn.XLOOKUP(C1150,[1]StuntDes!$B:$B,[1]StuntDes!$C:$C)),"")</f>
        <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6</v>
      </c>
      <c r="R1150">
        <v>6</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441</v>
      </c>
      <c r="D1151" t="s">
        <v>35</v>
      </c>
      <c r="E1151" s="13" t="s">
        <v>405</v>
      </c>
      <c r="G1151">
        <v>2</v>
      </c>
      <c r="H1151">
        <v>1000</v>
      </c>
      <c r="J1151" cm="1">
        <f t="array" ref="J1151">_xlfn.SWITCH(B1151,1,75,2,61,3,49,4,37,5,25,6,13,7,4,8,1)</f>
        <v>37</v>
      </c>
      <c r="K1151" t="str" cm="1">
        <f t="array" ref="K1151">IFERROR(_xlfn.SWITCH(L1151,2,_xlfn.XLOOKUP(C1151,[1]ModifierDes!$B:$B,[1]ModifierDes!$C:$C),3,_xlfn.XLOOKUP(C1151,[1]StuntDes!$B:$B,[1]StuntDes!$C:$C)),"")</f>
        <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5</v>
      </c>
      <c r="R1151">
        <v>5</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441</v>
      </c>
      <c r="D1152" t="s">
        <v>35</v>
      </c>
      <c r="E1152" s="13" t="s">
        <v>405</v>
      </c>
      <c r="G1152">
        <v>2</v>
      </c>
      <c r="H1152">
        <v>1000</v>
      </c>
      <c r="J1152" cm="1">
        <f t="array" ref="J1152">_xlfn.SWITCH(B1152,1,75,2,61,3,49,4,37,5,25,6,13,7,4,8,1)</f>
        <v>25</v>
      </c>
      <c r="K1152" t="str" cm="1">
        <f t="array" ref="K1152">IFERROR(_xlfn.SWITCH(L1152,2,_xlfn.XLOOKUP(C1152,[1]ModifierDes!$B:$B,[1]ModifierDes!$C:$C),3,_xlfn.XLOOKUP(C1152,[1]StuntDes!$B:$B,[1]StuntDes!$C:$C)),"")</f>
        <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4</v>
      </c>
      <c r="R1152">
        <v>4</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441</v>
      </c>
      <c r="D1153" t="s">
        <v>35</v>
      </c>
      <c r="E1153" s="13" t="s">
        <v>405</v>
      </c>
      <c r="G1153">
        <v>2</v>
      </c>
      <c r="H1153">
        <v>1000</v>
      </c>
      <c r="J1153" cm="1">
        <f t="array" ref="J1153">_xlfn.SWITCH(B1153,1,75,2,61,3,49,4,37,5,25,6,13,7,4,8,1)</f>
        <v>13</v>
      </c>
      <c r="K1153" t="str" cm="1">
        <f t="array" ref="K1153">IFERROR(_xlfn.SWITCH(L1153,2,_xlfn.XLOOKUP(C1153,[1]ModifierDes!$B:$B,[1]ModifierDes!$C:$C),3,_xlfn.XLOOKUP(C1153,[1]StuntDes!$B:$B,[1]StuntDes!$C:$C)),"")</f>
        <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3</v>
      </c>
      <c r="R1153">
        <v>3</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441</v>
      </c>
      <c r="D1154" t="s">
        <v>35</v>
      </c>
      <c r="E1154" s="13" t="s">
        <v>405</v>
      </c>
      <c r="G1154">
        <v>2</v>
      </c>
      <c r="H1154">
        <v>1000</v>
      </c>
      <c r="J1154" cm="1">
        <f t="array" ref="J1154">_xlfn.SWITCH(B1154,1,75,2,61,3,49,4,37,5,25,6,13,7,4,8,1)</f>
        <v>4</v>
      </c>
      <c r="K1154" t="str" cm="1">
        <f t="array" ref="K1154">IFERROR(_xlfn.SWITCH(L1154,2,_xlfn.XLOOKUP(C1154,[1]ModifierDes!$B:$B,[1]ModifierDes!$C:$C),3,_xlfn.XLOOKUP(C1154,[1]StuntDes!$B:$B,[1]StuntDes!$C:$C)),"")</f>
        <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2</v>
      </c>
      <c r="R1154">
        <v>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441</v>
      </c>
      <c r="D1155" t="s">
        <v>35</v>
      </c>
      <c r="E1155" s="13" t="s">
        <v>405</v>
      </c>
      <c r="G1155">
        <v>2</v>
      </c>
      <c r="H1155">
        <v>1000</v>
      </c>
      <c r="J1155" cm="1">
        <f t="array" ref="J1155">_xlfn.SWITCH(B1155,1,75,2,61,3,49,4,37,5,25,6,13,7,4,8,1)</f>
        <v>1</v>
      </c>
      <c r="K1155" t="str" cm="1">
        <f t="array" ref="K1155">IFERROR(_xlfn.SWITCH(L1155,2,_xlfn.XLOOKUP(C1155,[1]ModifierDes!$B:$B,[1]ModifierDes!$C:$C),3,_xlfn.XLOOKUP(C1155,[1]StuntDes!$B:$B,[1]StuntDes!$C:$C)),"")</f>
        <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1</v>
      </c>
      <c r="R1155">
        <v>1</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402</v>
      </c>
      <c r="D1156" t="s">
        <v>36</v>
      </c>
      <c r="E1156" t="s">
        <v>388</v>
      </c>
      <c r="F1156"/>
      <c r="G1156">
        <v>1</v>
      </c>
      <c r="H1156">
        <v>1000</v>
      </c>
      <c r="J1156" cm="1">
        <f t="array" ref="J1156">_xlfn.SWITCH(B1156,1,75,2,61,3,49,4,37,5,25,6,13,7,4,8,1)</f>
        <v>75</v>
      </c>
      <c r="K1156" t="str" cm="1">
        <f t="array" ref="K1156">IFERROR(_xlfn.SWITCH(L1156,2,_xlfn.XLOOKUP(C1156,[1]ModifierDes!$B:$B,[1]ModifierDes!$C:$C),3,_xlfn.XLOOKUP(C1156,[1]StuntDes!$B:$B,[1]StuntDes!$C:$C)),"")</f>
        <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402</v>
      </c>
      <c r="D1157" t="s">
        <v>36</v>
      </c>
      <c r="E1157" t="s">
        <v>388</v>
      </c>
      <c r="F1157"/>
      <c r="G1157">
        <v>1</v>
      </c>
      <c r="H1157">
        <v>1000</v>
      </c>
      <c r="J1157" cm="1">
        <f t="array" ref="J1157">_xlfn.SWITCH(B1157,1,75,2,61,3,49,4,37,5,25,6,13,7,4,8,1)</f>
        <v>61</v>
      </c>
      <c r="K1157" t="str" cm="1">
        <f t="array" ref="K1157">IFERROR(_xlfn.SWITCH(L1157,2,_xlfn.XLOOKUP(C1157,[1]ModifierDes!$B:$B,[1]ModifierDes!$C:$C),3,_xlfn.XLOOKUP(C1157,[1]StuntDes!$B:$B,[1]StuntDes!$C:$C)),"")</f>
        <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402</v>
      </c>
      <c r="D1158" t="s">
        <v>36</v>
      </c>
      <c r="E1158" t="s">
        <v>388</v>
      </c>
      <c r="F1158"/>
      <c r="G1158">
        <v>1</v>
      </c>
      <c r="H1158">
        <v>1000</v>
      </c>
      <c r="J1158" cm="1">
        <f t="array" ref="J1158">_xlfn.SWITCH(B1158,1,75,2,61,3,49,4,37,5,25,6,13,7,4,8,1)</f>
        <v>49</v>
      </c>
      <c r="K1158" t="str" cm="1">
        <f t="array" ref="K1158">IFERROR(_xlfn.SWITCH(L1158,2,_xlfn.XLOOKUP(C1158,[1]ModifierDes!$B:$B,[1]ModifierDes!$C:$C),3,_xlfn.XLOOKUP(C1158,[1]StuntDes!$B:$B,[1]StuntDes!$C:$C)),"")</f>
        <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402</v>
      </c>
      <c r="D1159" t="s">
        <v>36</v>
      </c>
      <c r="E1159" t="s">
        <v>388</v>
      </c>
      <c r="F1159"/>
      <c r="G1159">
        <v>1</v>
      </c>
      <c r="H1159">
        <v>1000</v>
      </c>
      <c r="J1159" cm="1">
        <f t="array" ref="J1159">_xlfn.SWITCH(B1159,1,75,2,61,3,49,4,37,5,25,6,13,7,4,8,1)</f>
        <v>37</v>
      </c>
      <c r="K1159" t="str" cm="1">
        <f t="array" ref="K1159">IFERROR(_xlfn.SWITCH(L1159,2,_xlfn.XLOOKUP(C1159,[1]ModifierDes!$B:$B,[1]ModifierDes!$C:$C),3,_xlfn.XLOOKUP(C1159,[1]StuntDes!$B:$B,[1]StuntDes!$C:$C)),"")</f>
        <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402</v>
      </c>
      <c r="D1160" t="s">
        <v>36</v>
      </c>
      <c r="E1160" t="s">
        <v>388</v>
      </c>
      <c r="F1160"/>
      <c r="G1160">
        <v>1</v>
      </c>
      <c r="H1160">
        <v>1000</v>
      </c>
      <c r="J1160" cm="1">
        <f t="array" ref="J1160">_xlfn.SWITCH(B1160,1,75,2,61,3,49,4,37,5,25,6,13,7,4,8,1)</f>
        <v>25</v>
      </c>
      <c r="K1160" t="str" cm="1">
        <f t="array" ref="K1160">IFERROR(_xlfn.SWITCH(L1160,2,_xlfn.XLOOKUP(C1160,[1]ModifierDes!$B:$B,[1]ModifierDes!$C:$C),3,_xlfn.XLOOKUP(C1160,[1]StuntDes!$B:$B,[1]StuntDes!$C:$C)),"")</f>
        <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402</v>
      </c>
      <c r="D1161" t="s">
        <v>36</v>
      </c>
      <c r="E1161" t="s">
        <v>388</v>
      </c>
      <c r="F1161"/>
      <c r="G1161">
        <v>1</v>
      </c>
      <c r="H1161">
        <v>1000</v>
      </c>
      <c r="J1161" cm="1">
        <f t="array" ref="J1161">_xlfn.SWITCH(B1161,1,75,2,61,3,49,4,37,5,25,6,13,7,4,8,1)</f>
        <v>13</v>
      </c>
      <c r="K1161" t="str" cm="1">
        <f t="array" ref="K1161">IFERROR(_xlfn.SWITCH(L1161,2,_xlfn.XLOOKUP(C1161,[1]ModifierDes!$B:$B,[1]ModifierDes!$C:$C),3,_xlfn.XLOOKUP(C1161,[1]StuntDes!$B:$B,[1]StuntDes!$C:$C)),"")</f>
        <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402</v>
      </c>
      <c r="D1162" t="s">
        <v>36</v>
      </c>
      <c r="E1162" t="s">
        <v>388</v>
      </c>
      <c r="F1162"/>
      <c r="G1162">
        <v>1</v>
      </c>
      <c r="H1162">
        <v>1000</v>
      </c>
      <c r="J1162" cm="1">
        <f t="array" ref="J1162">_xlfn.SWITCH(B1162,1,75,2,61,3,49,4,37,5,25,6,13,7,4,8,1)</f>
        <v>4</v>
      </c>
      <c r="K1162" t="str" cm="1">
        <f t="array" ref="K1162">IFERROR(_xlfn.SWITCH(L1162,2,_xlfn.XLOOKUP(C1162,[1]ModifierDes!$B:$B,[1]ModifierDes!$C:$C),3,_xlfn.XLOOKUP(C1162,[1]StuntDes!$B:$B,[1]StuntDes!$C:$C)),"")</f>
        <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402</v>
      </c>
      <c r="D1163" t="s">
        <v>36</v>
      </c>
      <c r="E1163" t="s">
        <v>388</v>
      </c>
      <c r="F1163"/>
      <c r="G1163">
        <v>1</v>
      </c>
      <c r="H1163">
        <v>1000</v>
      </c>
      <c r="J1163" cm="1">
        <f t="array" ref="J1163">_xlfn.SWITCH(B1163,1,75,2,61,3,49,4,37,5,25,6,13,7,4,8,1)</f>
        <v>1</v>
      </c>
      <c r="K1163" t="str" cm="1">
        <f t="array" ref="K1163">IFERROR(_xlfn.SWITCH(L1163,2,_xlfn.XLOOKUP(C1163,[1]ModifierDes!$B:$B,[1]ModifierDes!$C:$C),3,_xlfn.XLOOKUP(C1163,[1]StuntDes!$B:$B,[1]StuntDes!$C:$C)),"")</f>
        <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403</v>
      </c>
      <c r="D1164" t="s">
        <v>36</v>
      </c>
      <c r="E1164" t="s">
        <v>388</v>
      </c>
      <c r="F1164"/>
      <c r="G1164">
        <v>1</v>
      </c>
      <c r="H1164">
        <v>1000</v>
      </c>
      <c r="J1164" cm="1">
        <f t="array" ref="J1164">_xlfn.SWITCH(B1164,1,75,2,61,3,49,4,37,5,25,6,13,7,4,8,1)</f>
        <v>75</v>
      </c>
      <c r="K1164" t="str" cm="1">
        <f t="array" ref="K1164">IFERROR(_xlfn.SWITCH(L1164,2,_xlfn.XLOOKUP(C1164,[1]ModifierDes!$B:$B,[1]ModifierDes!$C:$C),3,_xlfn.XLOOKUP(C1164,[1]StuntDes!$B:$B,[1]StuntDes!$C:$C)),"")</f>
        <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403</v>
      </c>
      <c r="D1165" t="s">
        <v>36</v>
      </c>
      <c r="E1165" t="s">
        <v>388</v>
      </c>
      <c r="F1165"/>
      <c r="G1165">
        <v>1</v>
      </c>
      <c r="H1165">
        <v>1000</v>
      </c>
      <c r="J1165" cm="1">
        <f t="array" ref="J1165">_xlfn.SWITCH(B1165,1,75,2,61,3,49,4,37,5,25,6,13,7,4,8,1)</f>
        <v>61</v>
      </c>
      <c r="K1165" t="str" cm="1">
        <f t="array" ref="K1165">IFERROR(_xlfn.SWITCH(L1165,2,_xlfn.XLOOKUP(C1165,[1]ModifierDes!$B:$B,[1]ModifierDes!$C:$C),3,_xlfn.XLOOKUP(C1165,[1]StuntDes!$B:$B,[1]StuntDes!$C:$C)),"")</f>
        <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403</v>
      </c>
      <c r="D1166" t="s">
        <v>36</v>
      </c>
      <c r="E1166" t="s">
        <v>388</v>
      </c>
      <c r="F1166"/>
      <c r="G1166">
        <v>1</v>
      </c>
      <c r="H1166">
        <v>1000</v>
      </c>
      <c r="J1166" cm="1">
        <f t="array" ref="J1166">_xlfn.SWITCH(B1166,1,75,2,61,3,49,4,37,5,25,6,13,7,4,8,1)</f>
        <v>49</v>
      </c>
      <c r="K1166" t="str" cm="1">
        <f t="array" ref="K1166">IFERROR(_xlfn.SWITCH(L1166,2,_xlfn.XLOOKUP(C1166,[1]ModifierDes!$B:$B,[1]ModifierDes!$C:$C),3,_xlfn.XLOOKUP(C1166,[1]StuntDes!$B:$B,[1]StuntDes!$C:$C)),"")</f>
        <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403</v>
      </c>
      <c r="D1167" t="s">
        <v>36</v>
      </c>
      <c r="E1167" t="s">
        <v>388</v>
      </c>
      <c r="F1167"/>
      <c r="G1167">
        <v>1</v>
      </c>
      <c r="H1167">
        <v>1000</v>
      </c>
      <c r="J1167" cm="1">
        <f t="array" ref="J1167">_xlfn.SWITCH(B1167,1,75,2,61,3,49,4,37,5,25,6,13,7,4,8,1)</f>
        <v>37</v>
      </c>
      <c r="K1167" t="str" cm="1">
        <f t="array" ref="K1167">IFERROR(_xlfn.SWITCH(L1167,2,_xlfn.XLOOKUP(C1167,[1]ModifierDes!$B:$B,[1]ModifierDes!$C:$C),3,_xlfn.XLOOKUP(C1167,[1]StuntDes!$B:$B,[1]StuntDes!$C:$C)),"")</f>
        <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403</v>
      </c>
      <c r="D1168" t="s">
        <v>36</v>
      </c>
      <c r="E1168" t="s">
        <v>388</v>
      </c>
      <c r="F1168"/>
      <c r="G1168">
        <v>1</v>
      </c>
      <c r="H1168">
        <v>1000</v>
      </c>
      <c r="J1168" cm="1">
        <f t="array" ref="J1168">_xlfn.SWITCH(B1168,1,75,2,61,3,49,4,37,5,25,6,13,7,4,8,1)</f>
        <v>25</v>
      </c>
      <c r="K1168" t="str" cm="1">
        <f t="array" ref="K1168">IFERROR(_xlfn.SWITCH(L1168,2,_xlfn.XLOOKUP(C1168,[1]ModifierDes!$B:$B,[1]ModifierDes!$C:$C),3,_xlfn.XLOOKUP(C1168,[1]StuntDes!$B:$B,[1]StuntDes!$C:$C)),"")</f>
        <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403</v>
      </c>
      <c r="D1169" t="s">
        <v>36</v>
      </c>
      <c r="E1169" t="s">
        <v>388</v>
      </c>
      <c r="F1169"/>
      <c r="G1169">
        <v>1</v>
      </c>
      <c r="H1169">
        <v>1000</v>
      </c>
      <c r="J1169" cm="1">
        <f t="array" ref="J1169">_xlfn.SWITCH(B1169,1,75,2,61,3,49,4,37,5,25,6,13,7,4,8,1)</f>
        <v>13</v>
      </c>
      <c r="K1169" t="str" cm="1">
        <f t="array" ref="K1169">IFERROR(_xlfn.SWITCH(L1169,2,_xlfn.XLOOKUP(C1169,[1]ModifierDes!$B:$B,[1]ModifierDes!$C:$C),3,_xlfn.XLOOKUP(C1169,[1]StuntDes!$B:$B,[1]StuntDes!$C:$C)),"")</f>
        <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403</v>
      </c>
      <c r="D1170" t="s">
        <v>36</v>
      </c>
      <c r="E1170" t="s">
        <v>388</v>
      </c>
      <c r="F1170"/>
      <c r="G1170">
        <v>1</v>
      </c>
      <c r="H1170">
        <v>1000</v>
      </c>
      <c r="J1170" cm="1">
        <f t="array" ref="J1170">_xlfn.SWITCH(B1170,1,75,2,61,3,49,4,37,5,25,6,13,7,4,8,1)</f>
        <v>4</v>
      </c>
      <c r="K1170" t="str" cm="1">
        <f t="array" ref="K1170">IFERROR(_xlfn.SWITCH(L1170,2,_xlfn.XLOOKUP(C1170,[1]ModifierDes!$B:$B,[1]ModifierDes!$C:$C),3,_xlfn.XLOOKUP(C1170,[1]StuntDes!$B:$B,[1]StuntDes!$C:$C)),"")</f>
        <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403</v>
      </c>
      <c r="D1171" t="s">
        <v>36</v>
      </c>
      <c r="E1171" t="s">
        <v>388</v>
      </c>
      <c r="F1171"/>
      <c r="G1171">
        <v>1</v>
      </c>
      <c r="H1171">
        <v>1000</v>
      </c>
      <c r="J1171" cm="1">
        <f t="array" ref="J1171">_xlfn.SWITCH(B1171,1,75,2,61,3,49,4,37,5,25,6,13,7,4,8,1)</f>
        <v>1</v>
      </c>
      <c r="K1171" t="str" cm="1">
        <f t="array" ref="K1171">IFERROR(_xlfn.SWITCH(L1171,2,_xlfn.XLOOKUP(C1171,[1]ModifierDes!$B:$B,[1]ModifierDes!$C:$C),3,_xlfn.XLOOKUP(C1171,[1]StuntDes!$B:$B,[1]StuntDes!$C:$C)),"")</f>
        <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423</v>
      </c>
      <c r="D1172" t="s">
        <v>36</v>
      </c>
      <c r="E1172" t="s">
        <v>388</v>
      </c>
      <c r="G1172">
        <v>1</v>
      </c>
      <c r="H1172">
        <v>1000</v>
      </c>
      <c r="J1172" cm="1">
        <f t="array" ref="J1172">_xlfn.SWITCH(B1172,1,75,2,61,3,49,4,37,5,25,6,13,7,4,8,1)</f>
        <v>75</v>
      </c>
      <c r="K1172" t="str" cm="1">
        <f t="array" ref="K1172">IFERROR(_xlfn.SWITCH(L1172,2,_xlfn.XLOOKUP(C1172,[1]ModifierDes!$B:$B,[1]ModifierDes!$C:$C),3,_xlfn.XLOOKUP(C1172,[1]StuntDes!$B:$B,[1]StuntDes!$C:$C)),"")</f>
        <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423</v>
      </c>
      <c r="D1173" t="s">
        <v>36</v>
      </c>
      <c r="E1173" t="s">
        <v>388</v>
      </c>
      <c r="G1173">
        <v>1</v>
      </c>
      <c r="H1173">
        <v>1000</v>
      </c>
      <c r="J1173" cm="1">
        <f t="array" ref="J1173">_xlfn.SWITCH(B1173,1,75,2,61,3,49,4,37,5,25,6,13,7,4,8,1)</f>
        <v>61</v>
      </c>
      <c r="K1173" t="str" cm="1">
        <f t="array" ref="K1173">IFERROR(_xlfn.SWITCH(L1173,2,_xlfn.XLOOKUP(C1173,[1]ModifierDes!$B:$B,[1]ModifierDes!$C:$C),3,_xlfn.XLOOKUP(C1173,[1]StuntDes!$B:$B,[1]StuntDes!$C:$C)),"")</f>
        <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423</v>
      </c>
      <c r="D1174" t="s">
        <v>36</v>
      </c>
      <c r="E1174" t="s">
        <v>388</v>
      </c>
      <c r="G1174">
        <v>1</v>
      </c>
      <c r="H1174">
        <v>1000</v>
      </c>
      <c r="J1174" cm="1">
        <f t="array" ref="J1174">_xlfn.SWITCH(B1174,1,75,2,61,3,49,4,37,5,25,6,13,7,4,8,1)</f>
        <v>49</v>
      </c>
      <c r="K1174" t="str" cm="1">
        <f t="array" ref="K1174">IFERROR(_xlfn.SWITCH(L1174,2,_xlfn.XLOOKUP(C1174,[1]ModifierDes!$B:$B,[1]ModifierDes!$C:$C),3,_xlfn.XLOOKUP(C1174,[1]StuntDes!$B:$B,[1]StuntDes!$C:$C)),"")</f>
        <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423</v>
      </c>
      <c r="D1175" t="s">
        <v>36</v>
      </c>
      <c r="E1175" t="s">
        <v>388</v>
      </c>
      <c r="G1175">
        <v>1</v>
      </c>
      <c r="H1175">
        <v>1000</v>
      </c>
      <c r="J1175" cm="1">
        <f t="array" ref="J1175">_xlfn.SWITCH(B1175,1,75,2,61,3,49,4,37,5,25,6,13,7,4,8,1)</f>
        <v>37</v>
      </c>
      <c r="K1175" t="str" cm="1">
        <f t="array" ref="K1175">IFERROR(_xlfn.SWITCH(L1175,2,_xlfn.XLOOKUP(C1175,[1]ModifierDes!$B:$B,[1]ModifierDes!$C:$C),3,_xlfn.XLOOKUP(C1175,[1]StuntDes!$B:$B,[1]StuntDes!$C:$C)),"")</f>
        <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423</v>
      </c>
      <c r="D1176" t="s">
        <v>36</v>
      </c>
      <c r="E1176" t="s">
        <v>388</v>
      </c>
      <c r="G1176">
        <v>1</v>
      </c>
      <c r="H1176">
        <v>1000</v>
      </c>
      <c r="J1176" cm="1">
        <f t="array" ref="J1176">_xlfn.SWITCH(B1176,1,75,2,61,3,49,4,37,5,25,6,13,7,4,8,1)</f>
        <v>25</v>
      </c>
      <c r="K1176" t="str" cm="1">
        <f t="array" ref="K1176">IFERROR(_xlfn.SWITCH(L1176,2,_xlfn.XLOOKUP(C1176,[1]ModifierDes!$B:$B,[1]ModifierDes!$C:$C),3,_xlfn.XLOOKUP(C1176,[1]StuntDes!$B:$B,[1]StuntDes!$C:$C)),"")</f>
        <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423</v>
      </c>
      <c r="D1177" t="s">
        <v>36</v>
      </c>
      <c r="E1177" t="s">
        <v>388</v>
      </c>
      <c r="G1177">
        <v>1</v>
      </c>
      <c r="H1177">
        <v>1000</v>
      </c>
      <c r="J1177" cm="1">
        <f t="array" ref="J1177">_xlfn.SWITCH(B1177,1,75,2,61,3,49,4,37,5,25,6,13,7,4,8,1)</f>
        <v>13</v>
      </c>
      <c r="K1177" t="str" cm="1">
        <f t="array" ref="K1177">IFERROR(_xlfn.SWITCH(L1177,2,_xlfn.XLOOKUP(C1177,[1]ModifierDes!$B:$B,[1]ModifierDes!$C:$C),3,_xlfn.XLOOKUP(C1177,[1]StuntDes!$B:$B,[1]StuntDes!$C:$C)),"")</f>
        <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423</v>
      </c>
      <c r="D1178" t="s">
        <v>36</v>
      </c>
      <c r="E1178" t="s">
        <v>388</v>
      </c>
      <c r="G1178">
        <v>1</v>
      </c>
      <c r="H1178">
        <v>1000</v>
      </c>
      <c r="J1178" cm="1">
        <f t="array" ref="J1178">_xlfn.SWITCH(B1178,1,75,2,61,3,49,4,37,5,25,6,13,7,4,8,1)</f>
        <v>4</v>
      </c>
      <c r="K1178" t="str" cm="1">
        <f t="array" ref="K1178">IFERROR(_xlfn.SWITCH(L1178,2,_xlfn.XLOOKUP(C1178,[1]ModifierDes!$B:$B,[1]ModifierDes!$C:$C),3,_xlfn.XLOOKUP(C1178,[1]StuntDes!$B:$B,[1]StuntDes!$C:$C)),"")</f>
        <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423</v>
      </c>
      <c r="D1179" t="s">
        <v>36</v>
      </c>
      <c r="E1179" t="s">
        <v>388</v>
      </c>
      <c r="G1179">
        <v>1</v>
      </c>
      <c r="H1179">
        <v>1000</v>
      </c>
      <c r="J1179" cm="1">
        <f t="array" ref="J1179">_xlfn.SWITCH(B1179,1,75,2,61,3,49,4,37,5,25,6,13,7,4,8,1)</f>
        <v>1</v>
      </c>
      <c r="K1179" t="str" cm="1">
        <f t="array" ref="K1179">IFERROR(_xlfn.SWITCH(L1179,2,_xlfn.XLOOKUP(C1179,[1]ModifierDes!$B:$B,[1]ModifierDes!$C:$C),3,_xlfn.XLOOKUP(C1179,[1]StuntDes!$B:$B,[1]StuntDes!$C:$C)),"")</f>
        <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424</v>
      </c>
      <c r="D1180" t="s">
        <v>36</v>
      </c>
      <c r="E1180" t="s">
        <v>388</v>
      </c>
      <c r="G1180">
        <v>1</v>
      </c>
      <c r="H1180">
        <v>250</v>
      </c>
      <c r="J1180" cm="1">
        <f t="array" ref="J1180">_xlfn.SWITCH(B1180,1,75,2,61,3,49,4,37,5,25,6,13,7,4,8,1)</f>
        <v>75</v>
      </c>
      <c r="K1180" t="str" cm="1">
        <f t="array" ref="K1180">IFERROR(_xlfn.SWITCH(L1180,2,_xlfn.XLOOKUP(C1180,[1]ModifierDes!$B:$B,[1]ModifierDes!$C:$C),3,_xlfn.XLOOKUP(C1180,[1]StuntDes!$B:$B,[1]StuntDes!$C:$C)),"")</f>
        <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424</v>
      </c>
      <c r="D1181" t="s">
        <v>36</v>
      </c>
      <c r="E1181" t="s">
        <v>388</v>
      </c>
      <c r="G1181">
        <v>1</v>
      </c>
      <c r="H1181">
        <v>250</v>
      </c>
      <c r="J1181" cm="1">
        <f t="array" ref="J1181">_xlfn.SWITCH(B1181,1,75,2,61,3,49,4,37,5,25,6,13,7,4,8,1)</f>
        <v>61</v>
      </c>
      <c r="K1181" t="str" cm="1">
        <f t="array" ref="K1181">IFERROR(_xlfn.SWITCH(L1181,2,_xlfn.XLOOKUP(C1181,[1]ModifierDes!$B:$B,[1]ModifierDes!$C:$C),3,_xlfn.XLOOKUP(C1181,[1]StuntDes!$B:$B,[1]StuntDes!$C:$C)),"")</f>
        <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424</v>
      </c>
      <c r="D1182" t="s">
        <v>36</v>
      </c>
      <c r="E1182" t="s">
        <v>388</v>
      </c>
      <c r="G1182">
        <v>1</v>
      </c>
      <c r="H1182">
        <v>250</v>
      </c>
      <c r="J1182" cm="1">
        <f t="array" ref="J1182">_xlfn.SWITCH(B1182,1,75,2,61,3,49,4,37,5,25,6,13,7,4,8,1)</f>
        <v>49</v>
      </c>
      <c r="K1182" t="str" cm="1">
        <f t="array" ref="K1182">IFERROR(_xlfn.SWITCH(L1182,2,_xlfn.XLOOKUP(C1182,[1]ModifierDes!$B:$B,[1]ModifierDes!$C:$C),3,_xlfn.XLOOKUP(C1182,[1]StuntDes!$B:$B,[1]StuntDes!$C:$C)),"")</f>
        <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424</v>
      </c>
      <c r="D1183" t="s">
        <v>36</v>
      </c>
      <c r="E1183" t="s">
        <v>388</v>
      </c>
      <c r="G1183">
        <v>1</v>
      </c>
      <c r="H1183">
        <v>250</v>
      </c>
      <c r="J1183" cm="1">
        <f t="array" ref="J1183">_xlfn.SWITCH(B1183,1,75,2,61,3,49,4,37,5,25,6,13,7,4,8,1)</f>
        <v>37</v>
      </c>
      <c r="K1183" t="str" cm="1">
        <f t="array" ref="K1183">IFERROR(_xlfn.SWITCH(L1183,2,_xlfn.XLOOKUP(C1183,[1]ModifierDes!$B:$B,[1]ModifierDes!$C:$C),3,_xlfn.XLOOKUP(C1183,[1]StuntDes!$B:$B,[1]StuntDes!$C:$C)),"")</f>
        <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424</v>
      </c>
      <c r="D1184" t="s">
        <v>36</v>
      </c>
      <c r="E1184" t="s">
        <v>388</v>
      </c>
      <c r="G1184">
        <v>1</v>
      </c>
      <c r="H1184">
        <v>250</v>
      </c>
      <c r="J1184" cm="1">
        <f t="array" ref="J1184">_xlfn.SWITCH(B1184,1,75,2,61,3,49,4,37,5,25,6,13,7,4,8,1)</f>
        <v>25</v>
      </c>
      <c r="K1184" t="str" cm="1">
        <f t="array" ref="K1184">IFERROR(_xlfn.SWITCH(L1184,2,_xlfn.XLOOKUP(C1184,[1]ModifierDes!$B:$B,[1]ModifierDes!$C:$C),3,_xlfn.XLOOKUP(C1184,[1]StuntDes!$B:$B,[1]StuntDes!$C:$C)),"")</f>
        <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424</v>
      </c>
      <c r="D1185" t="s">
        <v>36</v>
      </c>
      <c r="E1185" t="s">
        <v>388</v>
      </c>
      <c r="G1185">
        <v>1</v>
      </c>
      <c r="H1185">
        <v>250</v>
      </c>
      <c r="J1185" cm="1">
        <f t="array" ref="J1185">_xlfn.SWITCH(B1185,1,75,2,61,3,49,4,37,5,25,6,13,7,4,8,1)</f>
        <v>13</v>
      </c>
      <c r="K1185" t="str" cm="1">
        <f t="array" ref="K1185">IFERROR(_xlfn.SWITCH(L1185,2,_xlfn.XLOOKUP(C1185,[1]ModifierDes!$B:$B,[1]ModifierDes!$C:$C),3,_xlfn.XLOOKUP(C1185,[1]StuntDes!$B:$B,[1]StuntDes!$C:$C)),"")</f>
        <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424</v>
      </c>
      <c r="D1186" t="s">
        <v>36</v>
      </c>
      <c r="E1186" t="s">
        <v>388</v>
      </c>
      <c r="G1186">
        <v>1</v>
      </c>
      <c r="H1186">
        <v>250</v>
      </c>
      <c r="J1186" cm="1">
        <f t="array" ref="J1186">_xlfn.SWITCH(B1186,1,75,2,61,3,49,4,37,5,25,6,13,7,4,8,1)</f>
        <v>4</v>
      </c>
      <c r="K1186" t="str" cm="1">
        <f t="array" ref="K1186">IFERROR(_xlfn.SWITCH(L1186,2,_xlfn.XLOOKUP(C1186,[1]ModifierDes!$B:$B,[1]ModifierDes!$C:$C),3,_xlfn.XLOOKUP(C1186,[1]StuntDes!$B:$B,[1]StuntDes!$C:$C)),"")</f>
        <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424</v>
      </c>
      <c r="D1187" t="s">
        <v>36</v>
      </c>
      <c r="E1187" t="s">
        <v>388</v>
      </c>
      <c r="G1187">
        <v>1</v>
      </c>
      <c r="H1187">
        <v>250</v>
      </c>
      <c r="J1187" cm="1">
        <f t="array" ref="J1187">_xlfn.SWITCH(B1187,1,75,2,61,3,49,4,37,5,25,6,13,7,4,8,1)</f>
        <v>1</v>
      </c>
      <c r="K1187" t="str" cm="1">
        <f t="array" ref="K1187">IFERROR(_xlfn.SWITCH(L1187,2,_xlfn.XLOOKUP(C1187,[1]ModifierDes!$B:$B,[1]ModifierDes!$C:$C),3,_xlfn.XLOOKUP(C1187,[1]StuntDes!$B:$B,[1]StuntDes!$C:$C)),"")</f>
        <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425</v>
      </c>
      <c r="D1188" t="s">
        <v>36</v>
      </c>
      <c r="E1188" t="s">
        <v>388</v>
      </c>
      <c r="G1188">
        <v>1</v>
      </c>
      <c r="H1188">
        <v>250</v>
      </c>
      <c r="J1188" cm="1">
        <f t="array" ref="J1188">_xlfn.SWITCH(B1188,1,75,2,61,3,49,4,37,5,25,6,13,7,4,8,1)</f>
        <v>75</v>
      </c>
      <c r="K1188" t="str" cm="1">
        <f t="array" ref="K1188">IFERROR(_xlfn.SWITCH(L1188,2,_xlfn.XLOOKUP(C1188,[1]ModifierDes!$B:$B,[1]ModifierDes!$C:$C),3,_xlfn.XLOOKUP(C1188,[1]StuntDes!$B:$B,[1]StuntDes!$C:$C)),"")</f>
        <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425</v>
      </c>
      <c r="D1189" t="s">
        <v>36</v>
      </c>
      <c r="E1189" t="s">
        <v>388</v>
      </c>
      <c r="G1189">
        <v>1</v>
      </c>
      <c r="H1189">
        <v>250</v>
      </c>
      <c r="J1189" cm="1">
        <f t="array" ref="J1189">_xlfn.SWITCH(B1189,1,75,2,61,3,49,4,37,5,25,6,13,7,4,8,1)</f>
        <v>61</v>
      </c>
      <c r="K1189" t="str" cm="1">
        <f t="array" ref="K1189">IFERROR(_xlfn.SWITCH(L1189,2,_xlfn.XLOOKUP(C1189,[1]ModifierDes!$B:$B,[1]ModifierDes!$C:$C),3,_xlfn.XLOOKUP(C1189,[1]StuntDes!$B:$B,[1]StuntDes!$C:$C)),"")</f>
        <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425</v>
      </c>
      <c r="D1190" t="s">
        <v>36</v>
      </c>
      <c r="E1190" t="s">
        <v>388</v>
      </c>
      <c r="G1190">
        <v>1</v>
      </c>
      <c r="H1190">
        <v>250</v>
      </c>
      <c r="J1190" cm="1">
        <f t="array" ref="J1190">_xlfn.SWITCH(B1190,1,75,2,61,3,49,4,37,5,25,6,13,7,4,8,1)</f>
        <v>49</v>
      </c>
      <c r="K1190" t="str" cm="1">
        <f t="array" ref="K1190">IFERROR(_xlfn.SWITCH(L1190,2,_xlfn.XLOOKUP(C1190,[1]ModifierDes!$B:$B,[1]ModifierDes!$C:$C),3,_xlfn.XLOOKUP(C1190,[1]StuntDes!$B:$B,[1]StuntDes!$C:$C)),"")</f>
        <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425</v>
      </c>
      <c r="D1191" t="s">
        <v>36</v>
      </c>
      <c r="E1191" t="s">
        <v>388</v>
      </c>
      <c r="G1191">
        <v>1</v>
      </c>
      <c r="H1191">
        <v>250</v>
      </c>
      <c r="J1191" cm="1">
        <f t="array" ref="J1191">_xlfn.SWITCH(B1191,1,75,2,61,3,49,4,37,5,25,6,13,7,4,8,1)</f>
        <v>37</v>
      </c>
      <c r="K1191" t="str" cm="1">
        <f t="array" ref="K1191">IFERROR(_xlfn.SWITCH(L1191,2,_xlfn.XLOOKUP(C1191,[1]ModifierDes!$B:$B,[1]ModifierDes!$C:$C),3,_xlfn.XLOOKUP(C1191,[1]StuntDes!$B:$B,[1]StuntDes!$C:$C)),"")</f>
        <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425</v>
      </c>
      <c r="D1192" t="s">
        <v>36</v>
      </c>
      <c r="E1192" t="s">
        <v>388</v>
      </c>
      <c r="G1192">
        <v>1</v>
      </c>
      <c r="H1192">
        <v>250</v>
      </c>
      <c r="J1192" cm="1">
        <f t="array" ref="J1192">_xlfn.SWITCH(B1192,1,75,2,61,3,49,4,37,5,25,6,13,7,4,8,1)</f>
        <v>25</v>
      </c>
      <c r="K1192" t="str" cm="1">
        <f t="array" ref="K1192">IFERROR(_xlfn.SWITCH(L1192,2,_xlfn.XLOOKUP(C1192,[1]ModifierDes!$B:$B,[1]ModifierDes!$C:$C),3,_xlfn.XLOOKUP(C1192,[1]StuntDes!$B:$B,[1]StuntDes!$C:$C)),"")</f>
        <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425</v>
      </c>
      <c r="D1193" t="s">
        <v>36</v>
      </c>
      <c r="E1193" t="s">
        <v>388</v>
      </c>
      <c r="G1193">
        <v>1</v>
      </c>
      <c r="H1193">
        <v>250</v>
      </c>
      <c r="J1193" cm="1">
        <f t="array" ref="J1193">_xlfn.SWITCH(B1193,1,75,2,61,3,49,4,37,5,25,6,13,7,4,8,1)</f>
        <v>13</v>
      </c>
      <c r="K1193" t="str" cm="1">
        <f t="array" ref="K1193">IFERROR(_xlfn.SWITCH(L1193,2,_xlfn.XLOOKUP(C1193,[1]ModifierDes!$B:$B,[1]ModifierDes!$C:$C),3,_xlfn.XLOOKUP(C1193,[1]StuntDes!$B:$B,[1]StuntDes!$C:$C)),"")</f>
        <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425</v>
      </c>
      <c r="D1194" t="s">
        <v>36</v>
      </c>
      <c r="E1194" t="s">
        <v>388</v>
      </c>
      <c r="G1194">
        <v>1</v>
      </c>
      <c r="H1194">
        <v>250</v>
      </c>
      <c r="J1194" cm="1">
        <f t="array" ref="J1194">_xlfn.SWITCH(B1194,1,75,2,61,3,49,4,37,5,25,6,13,7,4,8,1)</f>
        <v>4</v>
      </c>
      <c r="K1194" t="str" cm="1">
        <f t="array" ref="K1194">IFERROR(_xlfn.SWITCH(L1194,2,_xlfn.XLOOKUP(C1194,[1]ModifierDes!$B:$B,[1]ModifierDes!$C:$C),3,_xlfn.XLOOKUP(C1194,[1]StuntDes!$B:$B,[1]StuntDes!$C:$C)),"")</f>
        <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425</v>
      </c>
      <c r="D1195" t="s">
        <v>36</v>
      </c>
      <c r="E1195" t="s">
        <v>388</v>
      </c>
      <c r="G1195">
        <v>1</v>
      </c>
      <c r="H1195">
        <v>250</v>
      </c>
      <c r="J1195" cm="1">
        <f t="array" ref="J1195">_xlfn.SWITCH(B1195,1,75,2,61,3,49,4,37,5,25,6,13,7,4,8,1)</f>
        <v>1</v>
      </c>
      <c r="K1195" t="str" cm="1">
        <f t="array" ref="K1195">IFERROR(_xlfn.SWITCH(L1195,2,_xlfn.XLOOKUP(C1195,[1]ModifierDes!$B:$B,[1]ModifierDes!$C:$C),3,_xlfn.XLOOKUP(C1195,[1]StuntDes!$B:$B,[1]StuntDes!$C:$C)),"")</f>
        <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96</v>
      </c>
      <c r="D1196" t="s">
        <v>36</v>
      </c>
      <c r="E1196" t="s">
        <v>388</v>
      </c>
      <c r="F1196"/>
      <c r="G1196">
        <v>1</v>
      </c>
      <c r="H1196">
        <v>1000</v>
      </c>
      <c r="J1196" cm="1">
        <f t="array" ref="J1196">_xlfn.SWITCH(B1196,1,75,2,61,3,49,4,37,5,25,6,13,7,4,8,1)</f>
        <v>75</v>
      </c>
      <c r="K1196" t="str" cm="1">
        <f t="array" ref="K1196">IFERROR(_xlfn.SWITCH(L1196,2,_xlfn.XLOOKUP(C1196,[1]ModifierDes!$B:$B,[1]ModifierDes!$C:$C),3,_xlfn.XLOOKUP(C1196,[1]StuntDes!$B:$B,[1]StuntDes!$C:$C)),"")</f>
        <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96</v>
      </c>
      <c r="D1197" t="s">
        <v>36</v>
      </c>
      <c r="E1197" t="s">
        <v>388</v>
      </c>
      <c r="F1197"/>
      <c r="G1197">
        <v>1</v>
      </c>
      <c r="H1197">
        <v>1000</v>
      </c>
      <c r="J1197" cm="1">
        <f t="array" ref="J1197">_xlfn.SWITCH(B1197,1,75,2,61,3,49,4,37,5,25,6,13,7,4,8,1)</f>
        <v>61</v>
      </c>
      <c r="K1197" t="str" cm="1">
        <f t="array" ref="K1197">IFERROR(_xlfn.SWITCH(L1197,2,_xlfn.XLOOKUP(C1197,[1]ModifierDes!$B:$B,[1]ModifierDes!$C:$C),3,_xlfn.XLOOKUP(C1197,[1]StuntDes!$B:$B,[1]StuntDes!$C:$C)),"")</f>
        <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96</v>
      </c>
      <c r="D1198" t="s">
        <v>36</v>
      </c>
      <c r="E1198" t="s">
        <v>388</v>
      </c>
      <c r="F1198"/>
      <c r="G1198">
        <v>1</v>
      </c>
      <c r="H1198">
        <v>1000</v>
      </c>
      <c r="J1198" cm="1">
        <f t="array" ref="J1198">_xlfn.SWITCH(B1198,1,75,2,61,3,49,4,37,5,25,6,13,7,4,8,1)</f>
        <v>49</v>
      </c>
      <c r="K1198" t="str" cm="1">
        <f t="array" ref="K1198">IFERROR(_xlfn.SWITCH(L1198,2,_xlfn.XLOOKUP(C1198,[1]ModifierDes!$B:$B,[1]ModifierDes!$C:$C),3,_xlfn.XLOOKUP(C1198,[1]StuntDes!$B:$B,[1]StuntDes!$C:$C)),"")</f>
        <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96</v>
      </c>
      <c r="D1199" t="s">
        <v>36</v>
      </c>
      <c r="E1199" t="s">
        <v>388</v>
      </c>
      <c r="F1199"/>
      <c r="G1199">
        <v>1</v>
      </c>
      <c r="H1199">
        <v>1000</v>
      </c>
      <c r="J1199" cm="1">
        <f t="array" ref="J1199">_xlfn.SWITCH(B1199,1,75,2,61,3,49,4,37,5,25,6,13,7,4,8,1)</f>
        <v>37</v>
      </c>
      <c r="K1199" t="str" cm="1">
        <f t="array" ref="K1199">IFERROR(_xlfn.SWITCH(L1199,2,_xlfn.XLOOKUP(C1199,[1]ModifierDes!$B:$B,[1]ModifierDes!$C:$C),3,_xlfn.XLOOKUP(C1199,[1]StuntDes!$B:$B,[1]StuntDes!$C:$C)),"")</f>
        <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96</v>
      </c>
      <c r="D1200" t="s">
        <v>36</v>
      </c>
      <c r="E1200" t="s">
        <v>388</v>
      </c>
      <c r="F1200"/>
      <c r="G1200">
        <v>1</v>
      </c>
      <c r="H1200">
        <v>1000</v>
      </c>
      <c r="J1200" cm="1">
        <f t="array" ref="J1200">_xlfn.SWITCH(B1200,1,75,2,61,3,49,4,37,5,25,6,13,7,4,8,1)</f>
        <v>25</v>
      </c>
      <c r="K1200" t="str" cm="1">
        <f t="array" ref="K1200">IFERROR(_xlfn.SWITCH(L1200,2,_xlfn.XLOOKUP(C1200,[1]ModifierDes!$B:$B,[1]ModifierDes!$C:$C),3,_xlfn.XLOOKUP(C1200,[1]StuntDes!$B:$B,[1]StuntDes!$C:$C)),"")</f>
        <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96</v>
      </c>
      <c r="D1201" t="s">
        <v>36</v>
      </c>
      <c r="E1201" t="s">
        <v>388</v>
      </c>
      <c r="F1201"/>
      <c r="G1201">
        <v>1</v>
      </c>
      <c r="H1201">
        <v>1000</v>
      </c>
      <c r="J1201" cm="1">
        <f t="array" ref="J1201">_xlfn.SWITCH(B1201,1,75,2,61,3,49,4,37,5,25,6,13,7,4,8,1)</f>
        <v>13</v>
      </c>
      <c r="K1201" t="str" cm="1">
        <f t="array" ref="K1201">IFERROR(_xlfn.SWITCH(L1201,2,_xlfn.XLOOKUP(C1201,[1]ModifierDes!$B:$B,[1]ModifierDes!$C:$C),3,_xlfn.XLOOKUP(C1201,[1]StuntDes!$B:$B,[1]StuntDes!$C:$C)),"")</f>
        <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96</v>
      </c>
      <c r="D1202" t="s">
        <v>36</v>
      </c>
      <c r="E1202" t="s">
        <v>388</v>
      </c>
      <c r="F1202"/>
      <c r="G1202">
        <v>1</v>
      </c>
      <c r="H1202">
        <v>1000</v>
      </c>
      <c r="J1202" cm="1">
        <f t="array" ref="J1202">_xlfn.SWITCH(B1202,1,75,2,61,3,49,4,37,5,25,6,13,7,4,8,1)</f>
        <v>4</v>
      </c>
      <c r="K1202" t="str" cm="1">
        <f t="array" ref="K1202">IFERROR(_xlfn.SWITCH(L1202,2,_xlfn.XLOOKUP(C1202,[1]ModifierDes!$B:$B,[1]ModifierDes!$C:$C),3,_xlfn.XLOOKUP(C1202,[1]StuntDes!$B:$B,[1]StuntDes!$C:$C)),"")</f>
        <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96</v>
      </c>
      <c r="D1203" t="s">
        <v>36</v>
      </c>
      <c r="E1203" t="s">
        <v>388</v>
      </c>
      <c r="F1203"/>
      <c r="G1203">
        <v>1</v>
      </c>
      <c r="H1203">
        <v>1000</v>
      </c>
      <c r="J1203" cm="1">
        <f t="array" ref="J1203">_xlfn.SWITCH(B1203,1,75,2,61,3,49,4,37,5,25,6,13,7,4,8,1)</f>
        <v>1</v>
      </c>
      <c r="K1203" t="str" cm="1">
        <f t="array" ref="K1203">IFERROR(_xlfn.SWITCH(L1203,2,_xlfn.XLOOKUP(C1203,[1]ModifierDes!$B:$B,[1]ModifierDes!$C:$C),3,_xlfn.XLOOKUP(C1203,[1]StuntDes!$B:$B,[1]StuntDes!$C:$C)),"")</f>
        <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398</v>
      </c>
      <c r="D1204" t="s">
        <v>36</v>
      </c>
      <c r="E1204" t="s">
        <v>388</v>
      </c>
      <c r="F1204"/>
      <c r="G1204">
        <v>1</v>
      </c>
      <c r="H1204">
        <v>1000</v>
      </c>
      <c r="J1204" cm="1">
        <f t="array" ref="J1204">_xlfn.SWITCH(B1204,1,75,2,61,3,49,4,37,5,25,6,13,7,4,8,1)</f>
        <v>75</v>
      </c>
      <c r="K1204" t="str" cm="1">
        <f t="array" ref="K1204">IFERROR(_xlfn.SWITCH(L1204,2,_xlfn.XLOOKUP(C1204,[1]ModifierDes!$B:$B,[1]ModifierDes!$C:$C),3,_xlfn.XLOOKUP(C1204,[1]StuntDes!$B:$B,[1]StuntDes!$C:$C)),"")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398</v>
      </c>
      <c r="D1205" t="s">
        <v>36</v>
      </c>
      <c r="E1205" t="s">
        <v>388</v>
      </c>
      <c r="F1205"/>
      <c r="G1205">
        <v>1</v>
      </c>
      <c r="H1205">
        <v>1000</v>
      </c>
      <c r="I1205">
        <v>3</v>
      </c>
      <c r="J1205" cm="1">
        <f t="array" ref="J1205">_xlfn.SWITCH(B1205,1,75,2,61,3,49,4,37,5,25,6,13,7,4,8,1)</f>
        <v>61</v>
      </c>
      <c r="K1205" t="str" cm="1">
        <f t="array" ref="K1205">IFERROR(_xlfn.SWITCH(L1205,2,_xlfn.XLOOKUP(C1205,[1]ModifierDes!$B:$B,[1]ModifierDes!$C:$C),3,_xlfn.XLOOKUP(C1205,[1]StuntDes!$B:$B,[1]StuntDes!$C:$C)),"")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398</v>
      </c>
      <c r="D1206" t="s">
        <v>36</v>
      </c>
      <c r="E1206" t="s">
        <v>388</v>
      </c>
      <c r="F1206"/>
      <c r="G1206">
        <v>1</v>
      </c>
      <c r="H1206">
        <v>1000</v>
      </c>
      <c r="I1206">
        <v>3</v>
      </c>
      <c r="J1206" cm="1">
        <f t="array" ref="J1206">_xlfn.SWITCH(B1206,1,75,2,61,3,49,4,37,5,25,6,13,7,4,8,1)</f>
        <v>49</v>
      </c>
      <c r="K1206" t="str" cm="1">
        <f t="array" ref="K1206">IFERROR(_xlfn.SWITCH(L1206,2,_xlfn.XLOOKUP(C1206,[1]ModifierDes!$B:$B,[1]ModifierDes!$C:$C),3,_xlfn.XLOOKUP(C1206,[1]StuntDes!$B:$B,[1]StuntDes!$C:$C)),"")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398</v>
      </c>
      <c r="D1207" t="s">
        <v>36</v>
      </c>
      <c r="E1207" t="s">
        <v>388</v>
      </c>
      <c r="F1207"/>
      <c r="G1207">
        <v>1</v>
      </c>
      <c r="H1207">
        <v>1000</v>
      </c>
      <c r="I1207">
        <v>3</v>
      </c>
      <c r="J1207" cm="1">
        <f t="array" ref="J1207">_xlfn.SWITCH(B1207,1,75,2,61,3,49,4,37,5,25,6,13,7,4,8,1)</f>
        <v>37</v>
      </c>
      <c r="K1207" t="str" cm="1">
        <f t="array" ref="K1207">IFERROR(_xlfn.SWITCH(L1207,2,_xlfn.XLOOKUP(C1207,[1]ModifierDes!$B:$B,[1]ModifierDes!$C:$C),3,_xlfn.XLOOKUP(C1207,[1]StuntDes!$B:$B,[1]StuntDes!$C:$C)),"")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398</v>
      </c>
      <c r="D1208" t="s">
        <v>36</v>
      </c>
      <c r="E1208" t="s">
        <v>388</v>
      </c>
      <c r="F1208"/>
      <c r="G1208">
        <v>1</v>
      </c>
      <c r="H1208">
        <v>1000</v>
      </c>
      <c r="I1208">
        <v>3</v>
      </c>
      <c r="J1208" cm="1">
        <f t="array" ref="J1208">_xlfn.SWITCH(B1208,1,75,2,61,3,49,4,37,5,25,6,13,7,4,8,1)</f>
        <v>25</v>
      </c>
      <c r="K1208" t="str" cm="1">
        <f t="array" ref="K1208">IFERROR(_xlfn.SWITCH(L1208,2,_xlfn.XLOOKUP(C1208,[1]ModifierDes!$B:$B,[1]ModifierDes!$C:$C),3,_xlfn.XLOOKUP(C1208,[1]StuntDes!$B:$B,[1]StuntDes!$C:$C)),"")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398</v>
      </c>
      <c r="D1209" t="s">
        <v>36</v>
      </c>
      <c r="E1209" t="s">
        <v>388</v>
      </c>
      <c r="F1209"/>
      <c r="G1209">
        <v>1</v>
      </c>
      <c r="H1209">
        <v>1000</v>
      </c>
      <c r="I1209">
        <v>3</v>
      </c>
      <c r="J1209" cm="1">
        <f t="array" ref="J1209">_xlfn.SWITCH(B1209,1,75,2,61,3,49,4,37,5,25,6,13,7,4,8,1)</f>
        <v>13</v>
      </c>
      <c r="K1209" t="str" cm="1">
        <f t="array" ref="K1209">IFERROR(_xlfn.SWITCH(L1209,2,_xlfn.XLOOKUP(C1209,[1]ModifierDes!$B:$B,[1]ModifierDes!$C:$C),3,_xlfn.XLOOKUP(C1209,[1]StuntDes!$B:$B,[1]StuntDes!$C:$C)),"")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398</v>
      </c>
      <c r="D1210" t="s">
        <v>36</v>
      </c>
      <c r="E1210" t="s">
        <v>388</v>
      </c>
      <c r="F1210"/>
      <c r="G1210">
        <v>1</v>
      </c>
      <c r="H1210">
        <v>1000</v>
      </c>
      <c r="I1210">
        <v>3</v>
      </c>
      <c r="J1210" cm="1">
        <f t="array" ref="J1210">_xlfn.SWITCH(B1210,1,75,2,61,3,49,4,37,5,25,6,13,7,4,8,1)</f>
        <v>4</v>
      </c>
      <c r="K1210" t="str" cm="1">
        <f t="array" ref="K1210">IFERROR(_xlfn.SWITCH(L1210,2,_xlfn.XLOOKUP(C1210,[1]ModifierDes!$B:$B,[1]ModifierDes!$C:$C),3,_xlfn.XLOOKUP(C1210,[1]StuntDes!$B:$B,[1]StuntDes!$C:$C)),"")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398</v>
      </c>
      <c r="D1211" t="s">
        <v>36</v>
      </c>
      <c r="E1211" t="s">
        <v>388</v>
      </c>
      <c r="F1211"/>
      <c r="G1211">
        <v>1</v>
      </c>
      <c r="H1211">
        <v>1000</v>
      </c>
      <c r="I1211">
        <v>3</v>
      </c>
      <c r="J1211" cm="1">
        <f t="array" ref="J1211">_xlfn.SWITCH(B1211,1,75,2,61,3,49,4,37,5,25,6,13,7,4,8,1)</f>
        <v>1</v>
      </c>
      <c r="K1211" t="str" cm="1">
        <f t="array" ref="K1211">IFERROR(_xlfn.SWITCH(L1211,2,_xlfn.XLOOKUP(C1211,[1]ModifierDes!$B:$B,[1]ModifierDes!$C:$C),3,_xlfn.XLOOKUP(C1211,[1]StuntDes!$B:$B,[1]StuntDes!$C:$C)),"")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439</v>
      </c>
      <c r="D1212" t="s">
        <v>36</v>
      </c>
      <c r="E1212" t="s">
        <v>388</v>
      </c>
      <c r="F1212"/>
      <c r="G1212">
        <v>1</v>
      </c>
      <c r="H1212">
        <v>1000</v>
      </c>
      <c r="I1212">
        <v>3</v>
      </c>
      <c r="J1212" cm="1">
        <f t="array" ref="J1212">_xlfn.SWITCH(B1212,1,75,2,61,3,49,4,37,5,25,6,13,7,4,8,1)</f>
        <v>75</v>
      </c>
      <c r="K1212" t="str" cm="1">
        <f t="array" ref="K1212">IFERROR(_xlfn.SWITCH(L1212,2,_xlfn.XLOOKUP(C1212,[1]ModifierDes!$B:$B,[1]ModifierDes!$C:$C),3,_xlfn.XLOOKUP(C1212,[1]StuntDes!$B:$B,[1]StuntDes!$C:$C)),"")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439</v>
      </c>
      <c r="D1213" t="s">
        <v>36</v>
      </c>
      <c r="E1213" t="s">
        <v>388</v>
      </c>
      <c r="F1213"/>
      <c r="G1213">
        <v>1</v>
      </c>
      <c r="H1213">
        <v>1000</v>
      </c>
      <c r="I1213">
        <v>3</v>
      </c>
      <c r="J1213" cm="1">
        <f t="array" ref="J1213">_xlfn.SWITCH(B1213,1,75,2,61,3,49,4,37,5,25,6,13,7,4,8,1)</f>
        <v>61</v>
      </c>
      <c r="K1213" t="str" cm="1">
        <f t="array" ref="K1213">IFERROR(_xlfn.SWITCH(L1213,2,_xlfn.XLOOKUP(C1213,[1]ModifierDes!$B:$B,[1]ModifierDes!$C:$C),3,_xlfn.XLOOKUP(C1213,[1]StuntDes!$B:$B,[1]StuntDes!$C:$C)),"")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439</v>
      </c>
      <c r="D1214" t="s">
        <v>36</v>
      </c>
      <c r="E1214" t="s">
        <v>388</v>
      </c>
      <c r="F1214"/>
      <c r="G1214">
        <v>1</v>
      </c>
      <c r="H1214">
        <v>1000</v>
      </c>
      <c r="I1214">
        <v>3</v>
      </c>
      <c r="J1214" cm="1">
        <f t="array" ref="J1214">_xlfn.SWITCH(B1214,1,75,2,61,3,49,4,37,5,25,6,13,7,4,8,1)</f>
        <v>49</v>
      </c>
      <c r="K1214" t="str" cm="1">
        <f t="array" ref="K1214">IFERROR(_xlfn.SWITCH(L1214,2,_xlfn.XLOOKUP(C1214,[1]ModifierDes!$B:$B,[1]ModifierDes!$C:$C),3,_xlfn.XLOOKUP(C1214,[1]StuntDes!$B:$B,[1]StuntDes!$C:$C)),"")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439</v>
      </c>
      <c r="D1215" t="s">
        <v>36</v>
      </c>
      <c r="E1215" t="s">
        <v>388</v>
      </c>
      <c r="F1215"/>
      <c r="G1215">
        <v>1</v>
      </c>
      <c r="H1215">
        <v>1000</v>
      </c>
      <c r="I1215">
        <v>3</v>
      </c>
      <c r="J1215" cm="1">
        <f t="array" ref="J1215">_xlfn.SWITCH(B1215,1,75,2,61,3,49,4,37,5,25,6,13,7,4,8,1)</f>
        <v>37</v>
      </c>
      <c r="K1215" t="str" cm="1">
        <f t="array" ref="K1215">IFERROR(_xlfn.SWITCH(L1215,2,_xlfn.XLOOKUP(C1215,[1]ModifierDes!$B:$B,[1]ModifierDes!$C:$C),3,_xlfn.XLOOKUP(C1215,[1]StuntDes!$B:$B,[1]StuntDes!$C:$C)),"")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439</v>
      </c>
      <c r="D1216" t="s">
        <v>36</v>
      </c>
      <c r="E1216" t="s">
        <v>388</v>
      </c>
      <c r="F1216"/>
      <c r="G1216">
        <v>1</v>
      </c>
      <c r="H1216">
        <v>1000</v>
      </c>
      <c r="I1216">
        <v>3</v>
      </c>
      <c r="J1216" cm="1">
        <f t="array" ref="J1216">_xlfn.SWITCH(B1216,1,75,2,61,3,49,4,37,5,25,6,13,7,4,8,1)</f>
        <v>25</v>
      </c>
      <c r="K1216" t="str" cm="1">
        <f t="array" ref="K1216">IFERROR(_xlfn.SWITCH(L1216,2,_xlfn.XLOOKUP(C1216,[1]ModifierDes!$B:$B,[1]ModifierDes!$C:$C),3,_xlfn.XLOOKUP(C1216,[1]StuntDes!$B:$B,[1]StuntDes!$C:$C)),"")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439</v>
      </c>
      <c r="D1217" t="s">
        <v>36</v>
      </c>
      <c r="E1217" t="s">
        <v>388</v>
      </c>
      <c r="F1217"/>
      <c r="G1217">
        <v>1</v>
      </c>
      <c r="H1217">
        <v>1000</v>
      </c>
      <c r="I1217">
        <v>3</v>
      </c>
      <c r="J1217" cm="1">
        <f t="array" ref="J1217">_xlfn.SWITCH(B1217,1,75,2,61,3,49,4,37,5,25,6,13,7,4,8,1)</f>
        <v>13</v>
      </c>
      <c r="K1217" t="str" cm="1">
        <f t="array" ref="K1217">IFERROR(_xlfn.SWITCH(L1217,2,_xlfn.XLOOKUP(C1217,[1]ModifierDes!$B:$B,[1]ModifierDes!$C:$C),3,_xlfn.XLOOKUP(C1217,[1]StuntDes!$B:$B,[1]StuntDes!$C:$C)),"")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439</v>
      </c>
      <c r="D1218" t="s">
        <v>36</v>
      </c>
      <c r="E1218" t="s">
        <v>388</v>
      </c>
      <c r="F1218"/>
      <c r="G1218">
        <v>1</v>
      </c>
      <c r="H1218">
        <v>1000</v>
      </c>
      <c r="I1218">
        <v>3</v>
      </c>
      <c r="J1218" cm="1">
        <f t="array" ref="J1218">_xlfn.SWITCH(B1218,1,75,2,61,3,49,4,37,5,25,6,13,7,4,8,1)</f>
        <v>4</v>
      </c>
      <c r="K1218" t="str" cm="1">
        <f t="array" ref="K1218">IFERROR(_xlfn.SWITCH(L1218,2,_xlfn.XLOOKUP(C1218,[1]ModifierDes!$B:$B,[1]ModifierDes!$C:$C),3,_xlfn.XLOOKUP(C1218,[1]StuntDes!$B:$B,[1]StuntDes!$C:$C)),"")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439</v>
      </c>
      <c r="D1219" t="s">
        <v>36</v>
      </c>
      <c r="E1219" t="s">
        <v>388</v>
      </c>
      <c r="F1219"/>
      <c r="G1219">
        <v>1</v>
      </c>
      <c r="H1219">
        <v>1000</v>
      </c>
      <c r="I1219">
        <v>3</v>
      </c>
      <c r="J1219" cm="1">
        <f t="array" ref="J1219">_xlfn.SWITCH(B1219,1,75,2,61,3,49,4,37,5,25,6,13,7,4,8,1)</f>
        <v>1</v>
      </c>
      <c r="K1219" t="str" cm="1">
        <f t="array" ref="K1219">IFERROR(_xlfn.SWITCH(L1219,2,_xlfn.XLOOKUP(C1219,[1]ModifierDes!$B:$B,[1]ModifierDes!$C:$C),3,_xlfn.XLOOKUP(C1219,[1]StuntDes!$B:$B,[1]StuntDes!$C:$C)),"")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432</v>
      </c>
      <c r="D1220" t="s">
        <v>36</v>
      </c>
      <c r="E1220" t="s">
        <v>405</v>
      </c>
      <c r="F1220"/>
      <c r="G1220">
        <v>2</v>
      </c>
      <c r="H1220">
        <v>1000</v>
      </c>
      <c r="J1220" cm="1">
        <f t="array" ref="J1220">_xlfn.SWITCH(B1220,1,75,2,61,3,49,4,37,5,25,6,13,7,4,8,1)</f>
        <v>75</v>
      </c>
      <c r="K1220" t="str" cm="1">
        <f t="array" ref="K1220">IFERROR(_xlfn.SWITCH(L1220,2,_xlfn.XLOOKUP(C1220,[1]ModifierDes!$B:$B,[1]ModifierDes!$C:$C),3,_xlfn.XLOOKUP(C1220,[1]StuntDes!$B:$B,[1]StuntDes!$C:$C)),"")</f>
        <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432</v>
      </c>
      <c r="D1221" t="s">
        <v>36</v>
      </c>
      <c r="E1221" t="s">
        <v>405</v>
      </c>
      <c r="F1221"/>
      <c r="G1221">
        <v>2</v>
      </c>
      <c r="H1221">
        <v>1000</v>
      </c>
      <c r="J1221" cm="1">
        <f t="array" ref="J1221">_xlfn.SWITCH(B1221,1,75,2,61,3,49,4,37,5,25,6,13,7,4,8,1)</f>
        <v>61</v>
      </c>
      <c r="K1221" t="str" cm="1">
        <f t="array" ref="K1221">IFERROR(_xlfn.SWITCH(L1221,2,_xlfn.XLOOKUP(C1221,[1]ModifierDes!$B:$B,[1]ModifierDes!$C:$C),3,_xlfn.XLOOKUP(C1221,[1]StuntDes!$B:$B,[1]StuntDes!$C:$C)),"")</f>
        <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432</v>
      </c>
      <c r="D1222" t="s">
        <v>36</v>
      </c>
      <c r="E1222" t="s">
        <v>405</v>
      </c>
      <c r="F1222"/>
      <c r="G1222">
        <v>2</v>
      </c>
      <c r="H1222">
        <v>1000</v>
      </c>
      <c r="J1222" cm="1">
        <f t="array" ref="J1222">_xlfn.SWITCH(B1222,1,75,2,61,3,49,4,37,5,25,6,13,7,4,8,1)</f>
        <v>49</v>
      </c>
      <c r="K1222" t="str" cm="1">
        <f t="array" ref="K1222">IFERROR(_xlfn.SWITCH(L1222,2,_xlfn.XLOOKUP(C1222,[1]ModifierDes!$B:$B,[1]ModifierDes!$C:$C),3,_xlfn.XLOOKUP(C1222,[1]StuntDes!$B:$B,[1]StuntDes!$C:$C)),"")</f>
        <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432</v>
      </c>
      <c r="D1223" t="s">
        <v>36</v>
      </c>
      <c r="E1223" t="s">
        <v>405</v>
      </c>
      <c r="F1223"/>
      <c r="G1223">
        <v>2</v>
      </c>
      <c r="H1223">
        <v>1000</v>
      </c>
      <c r="J1223" cm="1">
        <f t="array" ref="J1223">_xlfn.SWITCH(B1223,1,75,2,61,3,49,4,37,5,25,6,13,7,4,8,1)</f>
        <v>37</v>
      </c>
      <c r="K1223" t="str" cm="1">
        <f t="array" ref="K1223">IFERROR(_xlfn.SWITCH(L1223,2,_xlfn.XLOOKUP(C1223,[1]ModifierDes!$B:$B,[1]ModifierDes!$C:$C),3,_xlfn.XLOOKUP(C1223,[1]StuntDes!$B:$B,[1]StuntDes!$C:$C)),"")</f>
        <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432</v>
      </c>
      <c r="D1224" t="s">
        <v>36</v>
      </c>
      <c r="E1224" t="s">
        <v>405</v>
      </c>
      <c r="F1224"/>
      <c r="G1224">
        <v>2</v>
      </c>
      <c r="H1224">
        <v>1000</v>
      </c>
      <c r="J1224" cm="1">
        <f t="array" ref="J1224">_xlfn.SWITCH(B1224,1,75,2,61,3,49,4,37,5,25,6,13,7,4,8,1)</f>
        <v>25</v>
      </c>
      <c r="K1224" t="str" cm="1">
        <f t="array" ref="K1224">IFERROR(_xlfn.SWITCH(L1224,2,_xlfn.XLOOKUP(C1224,[1]ModifierDes!$B:$B,[1]ModifierDes!$C:$C),3,_xlfn.XLOOKUP(C1224,[1]StuntDes!$B:$B,[1]StuntDes!$C:$C)),"")</f>
        <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432</v>
      </c>
      <c r="D1225" t="s">
        <v>36</v>
      </c>
      <c r="E1225" t="s">
        <v>405</v>
      </c>
      <c r="F1225"/>
      <c r="G1225">
        <v>2</v>
      </c>
      <c r="H1225">
        <v>1000</v>
      </c>
      <c r="J1225" cm="1">
        <f t="array" ref="J1225">_xlfn.SWITCH(B1225,1,75,2,61,3,49,4,37,5,25,6,13,7,4,8,1)</f>
        <v>13</v>
      </c>
      <c r="K1225" t="str" cm="1">
        <f t="array" ref="K1225">IFERROR(_xlfn.SWITCH(L1225,2,_xlfn.XLOOKUP(C1225,[1]ModifierDes!$B:$B,[1]ModifierDes!$C:$C),3,_xlfn.XLOOKUP(C1225,[1]StuntDes!$B:$B,[1]StuntDes!$C:$C)),"")</f>
        <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432</v>
      </c>
      <c r="D1226" t="s">
        <v>36</v>
      </c>
      <c r="E1226" t="s">
        <v>405</v>
      </c>
      <c r="F1226"/>
      <c r="G1226">
        <v>2</v>
      </c>
      <c r="H1226">
        <v>1000</v>
      </c>
      <c r="J1226" cm="1">
        <f t="array" ref="J1226">_xlfn.SWITCH(B1226,1,75,2,61,3,49,4,37,5,25,6,13,7,4,8,1)</f>
        <v>4</v>
      </c>
      <c r="K1226" t="str" cm="1">
        <f t="array" ref="K1226">IFERROR(_xlfn.SWITCH(L1226,2,_xlfn.XLOOKUP(C1226,[1]ModifierDes!$B:$B,[1]ModifierDes!$C:$C),3,_xlfn.XLOOKUP(C1226,[1]StuntDes!$B:$B,[1]StuntDes!$C:$C)),"")</f>
        <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432</v>
      </c>
      <c r="D1227" t="s">
        <v>36</v>
      </c>
      <c r="E1227" t="s">
        <v>405</v>
      </c>
      <c r="F1227"/>
      <c r="G1227">
        <v>2</v>
      </c>
      <c r="H1227">
        <v>1000</v>
      </c>
      <c r="J1227" cm="1">
        <f t="array" ref="J1227">_xlfn.SWITCH(B1227,1,75,2,61,3,49,4,37,5,25,6,13,7,4,8,1)</f>
        <v>1</v>
      </c>
      <c r="K1227" t="str" cm="1">
        <f t="array" ref="K1227">IFERROR(_xlfn.SWITCH(L1227,2,_xlfn.XLOOKUP(C1227,[1]ModifierDes!$B:$B,[1]ModifierDes!$C:$C),3,_xlfn.XLOOKUP(C1227,[1]StuntDes!$B:$B,[1]StuntDes!$C:$C)),"")</f>
        <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433</v>
      </c>
      <c r="D1228" t="s">
        <v>36</v>
      </c>
      <c r="E1228" t="s">
        <v>405</v>
      </c>
      <c r="F1228"/>
      <c r="G1228">
        <v>2</v>
      </c>
      <c r="H1228">
        <v>1000</v>
      </c>
      <c r="J1228" cm="1">
        <f t="array" ref="J1228">_xlfn.SWITCH(B1228,1,75,2,61,3,49,4,37,5,25,6,13,7,4,8,1)</f>
        <v>75</v>
      </c>
      <c r="K1228" t="str" cm="1">
        <f t="array" ref="K1228">IFERROR(_xlfn.SWITCH(L1228,2,_xlfn.XLOOKUP(C1228,[1]ModifierDes!$B:$B,[1]ModifierDes!$C:$C),3,_xlfn.XLOOKUP(C1228,[1]StuntDes!$B:$B,[1]StuntDes!$C:$C)),"")</f>
        <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433</v>
      </c>
      <c r="D1229" t="s">
        <v>36</v>
      </c>
      <c r="E1229" t="s">
        <v>405</v>
      </c>
      <c r="F1229"/>
      <c r="G1229">
        <v>2</v>
      </c>
      <c r="H1229">
        <v>1000</v>
      </c>
      <c r="J1229" cm="1">
        <f t="array" ref="J1229">_xlfn.SWITCH(B1229,1,75,2,61,3,49,4,37,5,25,6,13,7,4,8,1)</f>
        <v>61</v>
      </c>
      <c r="K1229" t="str" cm="1">
        <f t="array" ref="K1229">IFERROR(_xlfn.SWITCH(L1229,2,_xlfn.XLOOKUP(C1229,[1]ModifierDes!$B:$B,[1]ModifierDes!$C:$C),3,_xlfn.XLOOKUP(C1229,[1]StuntDes!$B:$B,[1]StuntDes!$C:$C)),"")</f>
        <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433</v>
      </c>
      <c r="D1230" t="s">
        <v>36</v>
      </c>
      <c r="E1230" t="s">
        <v>405</v>
      </c>
      <c r="F1230"/>
      <c r="G1230">
        <v>2</v>
      </c>
      <c r="H1230">
        <v>1000</v>
      </c>
      <c r="J1230" cm="1">
        <f t="array" ref="J1230">_xlfn.SWITCH(B1230,1,75,2,61,3,49,4,37,5,25,6,13,7,4,8,1)</f>
        <v>49</v>
      </c>
      <c r="K1230" t="str" cm="1">
        <f t="array" ref="K1230">IFERROR(_xlfn.SWITCH(L1230,2,_xlfn.XLOOKUP(C1230,[1]ModifierDes!$B:$B,[1]ModifierDes!$C:$C),3,_xlfn.XLOOKUP(C1230,[1]StuntDes!$B:$B,[1]StuntDes!$C:$C)),"")</f>
        <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433</v>
      </c>
      <c r="D1231" t="s">
        <v>36</v>
      </c>
      <c r="E1231" t="s">
        <v>405</v>
      </c>
      <c r="F1231"/>
      <c r="G1231">
        <v>2</v>
      </c>
      <c r="H1231">
        <v>1000</v>
      </c>
      <c r="J1231" cm="1">
        <f t="array" ref="J1231">_xlfn.SWITCH(B1231,1,75,2,61,3,49,4,37,5,25,6,13,7,4,8,1)</f>
        <v>37</v>
      </c>
      <c r="K1231" t="str" cm="1">
        <f t="array" ref="K1231">IFERROR(_xlfn.SWITCH(L1231,2,_xlfn.XLOOKUP(C1231,[1]ModifierDes!$B:$B,[1]ModifierDes!$C:$C),3,_xlfn.XLOOKUP(C1231,[1]StuntDes!$B:$B,[1]StuntDes!$C:$C)),"")</f>
        <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433</v>
      </c>
      <c r="D1232" t="s">
        <v>36</v>
      </c>
      <c r="E1232" t="s">
        <v>405</v>
      </c>
      <c r="F1232"/>
      <c r="G1232">
        <v>2</v>
      </c>
      <c r="H1232">
        <v>1000</v>
      </c>
      <c r="J1232" cm="1">
        <f t="array" ref="J1232">_xlfn.SWITCH(B1232,1,75,2,61,3,49,4,37,5,25,6,13,7,4,8,1)</f>
        <v>25</v>
      </c>
      <c r="K1232" t="str" cm="1">
        <f t="array" ref="K1232">IFERROR(_xlfn.SWITCH(L1232,2,_xlfn.XLOOKUP(C1232,[1]ModifierDes!$B:$B,[1]ModifierDes!$C:$C),3,_xlfn.XLOOKUP(C1232,[1]StuntDes!$B:$B,[1]StuntDes!$C:$C)),"")</f>
        <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433</v>
      </c>
      <c r="D1233" t="s">
        <v>36</v>
      </c>
      <c r="E1233" t="s">
        <v>405</v>
      </c>
      <c r="F1233"/>
      <c r="G1233">
        <v>2</v>
      </c>
      <c r="H1233">
        <v>1000</v>
      </c>
      <c r="J1233" cm="1">
        <f t="array" ref="J1233">_xlfn.SWITCH(B1233,1,75,2,61,3,49,4,37,5,25,6,13,7,4,8,1)</f>
        <v>13</v>
      </c>
      <c r="K1233" t="str" cm="1">
        <f t="array" ref="K1233">IFERROR(_xlfn.SWITCH(L1233,2,_xlfn.XLOOKUP(C1233,[1]ModifierDes!$B:$B,[1]ModifierDes!$C:$C),3,_xlfn.XLOOKUP(C1233,[1]StuntDes!$B:$B,[1]StuntDes!$C:$C)),"")</f>
        <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433</v>
      </c>
      <c r="D1234" t="s">
        <v>36</v>
      </c>
      <c r="E1234" t="s">
        <v>405</v>
      </c>
      <c r="F1234"/>
      <c r="G1234">
        <v>2</v>
      </c>
      <c r="H1234">
        <v>1000</v>
      </c>
      <c r="J1234" cm="1">
        <f t="array" ref="J1234">_xlfn.SWITCH(B1234,1,75,2,61,3,49,4,37,5,25,6,13,7,4,8,1)</f>
        <v>4</v>
      </c>
      <c r="K1234" t="str" cm="1">
        <f t="array" ref="K1234">IFERROR(_xlfn.SWITCH(L1234,2,_xlfn.XLOOKUP(C1234,[1]ModifierDes!$B:$B,[1]ModifierDes!$C:$C),3,_xlfn.XLOOKUP(C1234,[1]StuntDes!$B:$B,[1]StuntDes!$C:$C)),"")</f>
        <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433</v>
      </c>
      <c r="D1235" t="s">
        <v>36</v>
      </c>
      <c r="E1235" t="s">
        <v>405</v>
      </c>
      <c r="F1235"/>
      <c r="G1235">
        <v>2</v>
      </c>
      <c r="H1235">
        <v>1000</v>
      </c>
      <c r="J1235" cm="1">
        <f t="array" ref="J1235">_xlfn.SWITCH(B1235,1,75,2,61,3,49,4,37,5,25,6,13,7,4,8,1)</f>
        <v>1</v>
      </c>
      <c r="K1235" t="str" cm="1">
        <f t="array" ref="K1235">IFERROR(_xlfn.SWITCH(L1235,2,_xlfn.XLOOKUP(C1235,[1]ModifierDes!$B:$B,[1]ModifierDes!$C:$C),3,_xlfn.XLOOKUP(C1235,[1]StuntDes!$B:$B,[1]StuntDes!$C:$C)),"")</f>
        <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434</v>
      </c>
      <c r="D1236" t="s">
        <v>36</v>
      </c>
      <c r="E1236" t="s">
        <v>405</v>
      </c>
      <c r="F1236"/>
      <c r="G1236">
        <v>2</v>
      </c>
      <c r="H1236">
        <v>1000</v>
      </c>
      <c r="J1236" cm="1">
        <f t="array" ref="J1236">_xlfn.SWITCH(B1236,1,75,2,61,3,49,4,37,5,25,6,13,7,4,8,1)</f>
        <v>75</v>
      </c>
      <c r="K1236" t="str" cm="1">
        <f t="array" ref="K1236">IFERROR(_xlfn.SWITCH(L1236,2,_xlfn.XLOOKUP(C1236,[1]ModifierDes!$B:$B,[1]ModifierDes!$C:$C),3,_xlfn.XLOOKUP(C1236,[1]StuntDes!$B:$B,[1]StuntDes!$C:$C)),"")</f>
        <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434</v>
      </c>
      <c r="D1237" t="s">
        <v>36</v>
      </c>
      <c r="E1237" t="s">
        <v>405</v>
      </c>
      <c r="F1237"/>
      <c r="G1237">
        <v>2</v>
      </c>
      <c r="H1237">
        <v>1000</v>
      </c>
      <c r="J1237" cm="1">
        <f t="array" ref="J1237">_xlfn.SWITCH(B1237,1,75,2,61,3,49,4,37,5,25,6,13,7,4,8,1)</f>
        <v>61</v>
      </c>
      <c r="K1237" t="str" cm="1">
        <f t="array" ref="K1237">IFERROR(_xlfn.SWITCH(L1237,2,_xlfn.XLOOKUP(C1237,[1]ModifierDes!$B:$B,[1]ModifierDes!$C:$C),3,_xlfn.XLOOKUP(C1237,[1]StuntDes!$B:$B,[1]StuntDes!$C:$C)),"")</f>
        <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434</v>
      </c>
      <c r="D1238" t="s">
        <v>36</v>
      </c>
      <c r="E1238" t="s">
        <v>405</v>
      </c>
      <c r="F1238"/>
      <c r="G1238">
        <v>2</v>
      </c>
      <c r="H1238">
        <v>1000</v>
      </c>
      <c r="J1238" cm="1">
        <f t="array" ref="J1238">_xlfn.SWITCH(B1238,1,75,2,61,3,49,4,37,5,25,6,13,7,4,8,1)</f>
        <v>49</v>
      </c>
      <c r="K1238" t="str" cm="1">
        <f t="array" ref="K1238">IFERROR(_xlfn.SWITCH(L1238,2,_xlfn.XLOOKUP(C1238,[1]ModifierDes!$B:$B,[1]ModifierDes!$C:$C),3,_xlfn.XLOOKUP(C1238,[1]StuntDes!$B:$B,[1]StuntDes!$C:$C)),"")</f>
        <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434</v>
      </c>
      <c r="D1239" t="s">
        <v>36</v>
      </c>
      <c r="E1239" t="s">
        <v>405</v>
      </c>
      <c r="F1239"/>
      <c r="G1239">
        <v>2</v>
      </c>
      <c r="H1239">
        <v>1000</v>
      </c>
      <c r="J1239" cm="1">
        <f t="array" ref="J1239">_xlfn.SWITCH(B1239,1,75,2,61,3,49,4,37,5,25,6,13,7,4,8,1)</f>
        <v>37</v>
      </c>
      <c r="K1239" t="str" cm="1">
        <f t="array" ref="K1239">IFERROR(_xlfn.SWITCH(L1239,2,_xlfn.XLOOKUP(C1239,[1]ModifierDes!$B:$B,[1]ModifierDes!$C:$C),3,_xlfn.XLOOKUP(C1239,[1]StuntDes!$B:$B,[1]StuntDes!$C:$C)),"")</f>
        <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434</v>
      </c>
      <c r="D1240" t="s">
        <v>36</v>
      </c>
      <c r="E1240" t="s">
        <v>405</v>
      </c>
      <c r="F1240"/>
      <c r="G1240">
        <v>2</v>
      </c>
      <c r="H1240">
        <v>1000</v>
      </c>
      <c r="J1240" cm="1">
        <f t="array" ref="J1240">_xlfn.SWITCH(B1240,1,75,2,61,3,49,4,37,5,25,6,13,7,4,8,1)</f>
        <v>25</v>
      </c>
      <c r="K1240" t="str" cm="1">
        <f t="array" ref="K1240">IFERROR(_xlfn.SWITCH(L1240,2,_xlfn.XLOOKUP(C1240,[1]ModifierDes!$B:$B,[1]ModifierDes!$C:$C),3,_xlfn.XLOOKUP(C1240,[1]StuntDes!$B:$B,[1]StuntDes!$C:$C)),"")</f>
        <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434</v>
      </c>
      <c r="D1241" t="s">
        <v>36</v>
      </c>
      <c r="E1241" t="s">
        <v>405</v>
      </c>
      <c r="F1241"/>
      <c r="G1241">
        <v>2</v>
      </c>
      <c r="H1241">
        <v>1000</v>
      </c>
      <c r="J1241" cm="1">
        <f t="array" ref="J1241">_xlfn.SWITCH(B1241,1,75,2,61,3,49,4,37,5,25,6,13,7,4,8,1)</f>
        <v>13</v>
      </c>
      <c r="K1241" t="str" cm="1">
        <f t="array" ref="K1241">IFERROR(_xlfn.SWITCH(L1241,2,_xlfn.XLOOKUP(C1241,[1]ModifierDes!$B:$B,[1]ModifierDes!$C:$C),3,_xlfn.XLOOKUP(C1241,[1]StuntDes!$B:$B,[1]StuntDes!$C:$C)),"")</f>
        <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434</v>
      </c>
      <c r="D1242" t="s">
        <v>36</v>
      </c>
      <c r="E1242" t="s">
        <v>405</v>
      </c>
      <c r="F1242"/>
      <c r="G1242">
        <v>2</v>
      </c>
      <c r="H1242">
        <v>1000</v>
      </c>
      <c r="J1242" cm="1">
        <f t="array" ref="J1242">_xlfn.SWITCH(B1242,1,75,2,61,3,49,4,37,5,25,6,13,7,4,8,1)</f>
        <v>4</v>
      </c>
      <c r="K1242" t="str" cm="1">
        <f t="array" ref="K1242">IFERROR(_xlfn.SWITCH(L1242,2,_xlfn.XLOOKUP(C1242,[1]ModifierDes!$B:$B,[1]ModifierDes!$C:$C),3,_xlfn.XLOOKUP(C1242,[1]StuntDes!$B:$B,[1]StuntDes!$C:$C)),"")</f>
        <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434</v>
      </c>
      <c r="D1243" t="s">
        <v>36</v>
      </c>
      <c r="E1243" t="s">
        <v>405</v>
      </c>
      <c r="F1243"/>
      <c r="G1243">
        <v>2</v>
      </c>
      <c r="H1243">
        <v>1000</v>
      </c>
      <c r="J1243" cm="1">
        <f t="array" ref="J1243">_xlfn.SWITCH(B1243,1,75,2,61,3,49,4,37,5,25,6,13,7,4,8,1)</f>
        <v>1</v>
      </c>
      <c r="K1243" t="str" cm="1">
        <f t="array" ref="K1243">IFERROR(_xlfn.SWITCH(L1243,2,_xlfn.XLOOKUP(C1243,[1]ModifierDes!$B:$B,[1]ModifierDes!$C:$C),3,_xlfn.XLOOKUP(C1243,[1]StuntDes!$B:$B,[1]StuntDes!$C:$C)),"")</f>
        <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435</v>
      </c>
      <c r="D1244" t="s">
        <v>36</v>
      </c>
      <c r="E1244" t="s">
        <v>405</v>
      </c>
      <c r="F1244"/>
      <c r="G1244">
        <v>2</v>
      </c>
      <c r="H1244">
        <v>1000</v>
      </c>
      <c r="J1244" cm="1">
        <f t="array" ref="J1244">_xlfn.SWITCH(B1244,1,75,2,61,3,49,4,37,5,25,6,13,7,4,8,1)</f>
        <v>75</v>
      </c>
      <c r="K1244" t="str" cm="1">
        <f t="array" ref="K1244">IFERROR(_xlfn.SWITCH(L1244,2,_xlfn.XLOOKUP(C1244,[1]ModifierDes!$B:$B,[1]ModifierDes!$C:$C),3,_xlfn.XLOOKUP(C1244,[1]StuntDes!$B:$B,[1]StuntDes!$C:$C)),"")</f>
        <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435</v>
      </c>
      <c r="D1245" t="s">
        <v>36</v>
      </c>
      <c r="E1245" t="s">
        <v>405</v>
      </c>
      <c r="F1245"/>
      <c r="G1245">
        <v>2</v>
      </c>
      <c r="H1245">
        <v>1000</v>
      </c>
      <c r="J1245" cm="1">
        <f t="array" ref="J1245">_xlfn.SWITCH(B1245,1,75,2,61,3,49,4,37,5,25,6,13,7,4,8,1)</f>
        <v>61</v>
      </c>
      <c r="K1245" t="str" cm="1">
        <f t="array" ref="K1245">IFERROR(_xlfn.SWITCH(L1245,2,_xlfn.XLOOKUP(C1245,[1]ModifierDes!$B:$B,[1]ModifierDes!$C:$C),3,_xlfn.XLOOKUP(C1245,[1]StuntDes!$B:$B,[1]StuntDes!$C:$C)),"")</f>
        <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435</v>
      </c>
      <c r="D1246" t="s">
        <v>36</v>
      </c>
      <c r="E1246" t="s">
        <v>405</v>
      </c>
      <c r="F1246"/>
      <c r="G1246">
        <v>2</v>
      </c>
      <c r="H1246">
        <v>1000</v>
      </c>
      <c r="J1246" cm="1">
        <f t="array" ref="J1246">_xlfn.SWITCH(B1246,1,75,2,61,3,49,4,37,5,25,6,13,7,4,8,1)</f>
        <v>49</v>
      </c>
      <c r="K1246" t="str" cm="1">
        <f t="array" ref="K1246">IFERROR(_xlfn.SWITCH(L1246,2,_xlfn.XLOOKUP(C1246,[1]ModifierDes!$B:$B,[1]ModifierDes!$C:$C),3,_xlfn.XLOOKUP(C1246,[1]StuntDes!$B:$B,[1]StuntDes!$C:$C)),"")</f>
        <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435</v>
      </c>
      <c r="D1247" t="s">
        <v>36</v>
      </c>
      <c r="E1247" t="s">
        <v>405</v>
      </c>
      <c r="F1247"/>
      <c r="G1247">
        <v>2</v>
      </c>
      <c r="H1247">
        <v>1000</v>
      </c>
      <c r="J1247" cm="1">
        <f t="array" ref="J1247">_xlfn.SWITCH(B1247,1,75,2,61,3,49,4,37,5,25,6,13,7,4,8,1)</f>
        <v>37</v>
      </c>
      <c r="K1247" t="str" cm="1">
        <f t="array" ref="K1247">IFERROR(_xlfn.SWITCH(L1247,2,_xlfn.XLOOKUP(C1247,[1]ModifierDes!$B:$B,[1]ModifierDes!$C:$C),3,_xlfn.XLOOKUP(C1247,[1]StuntDes!$B:$B,[1]StuntDes!$C:$C)),"")</f>
        <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435</v>
      </c>
      <c r="D1248" t="s">
        <v>36</v>
      </c>
      <c r="E1248" t="s">
        <v>405</v>
      </c>
      <c r="F1248"/>
      <c r="G1248">
        <v>2</v>
      </c>
      <c r="H1248">
        <v>1000</v>
      </c>
      <c r="J1248" cm="1">
        <f t="array" ref="J1248">_xlfn.SWITCH(B1248,1,75,2,61,3,49,4,37,5,25,6,13,7,4,8,1)</f>
        <v>25</v>
      </c>
      <c r="K1248" t="str" cm="1">
        <f t="array" ref="K1248">IFERROR(_xlfn.SWITCH(L1248,2,_xlfn.XLOOKUP(C1248,[1]ModifierDes!$B:$B,[1]ModifierDes!$C:$C),3,_xlfn.XLOOKUP(C1248,[1]StuntDes!$B:$B,[1]StuntDes!$C:$C)),"")</f>
        <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435</v>
      </c>
      <c r="D1249" t="s">
        <v>36</v>
      </c>
      <c r="E1249" t="s">
        <v>405</v>
      </c>
      <c r="F1249"/>
      <c r="G1249">
        <v>2</v>
      </c>
      <c r="H1249">
        <v>1000</v>
      </c>
      <c r="J1249" cm="1">
        <f t="array" ref="J1249">_xlfn.SWITCH(B1249,1,75,2,61,3,49,4,37,5,25,6,13,7,4,8,1)</f>
        <v>13</v>
      </c>
      <c r="K1249" t="str" cm="1">
        <f t="array" ref="K1249">IFERROR(_xlfn.SWITCH(L1249,2,_xlfn.XLOOKUP(C1249,[1]ModifierDes!$B:$B,[1]ModifierDes!$C:$C),3,_xlfn.XLOOKUP(C1249,[1]StuntDes!$B:$B,[1]StuntDes!$C:$C)),"")</f>
        <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435</v>
      </c>
      <c r="D1250" t="s">
        <v>36</v>
      </c>
      <c r="E1250" t="s">
        <v>405</v>
      </c>
      <c r="F1250"/>
      <c r="G1250">
        <v>2</v>
      </c>
      <c r="H1250">
        <v>1000</v>
      </c>
      <c r="J1250" cm="1">
        <f t="array" ref="J1250">_xlfn.SWITCH(B1250,1,75,2,61,3,49,4,37,5,25,6,13,7,4,8,1)</f>
        <v>4</v>
      </c>
      <c r="K1250" t="str" cm="1">
        <f t="array" ref="K1250">IFERROR(_xlfn.SWITCH(L1250,2,_xlfn.XLOOKUP(C1250,[1]ModifierDes!$B:$B,[1]ModifierDes!$C:$C),3,_xlfn.XLOOKUP(C1250,[1]StuntDes!$B:$B,[1]StuntDes!$C:$C)),"")</f>
        <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435</v>
      </c>
      <c r="D1251" t="s">
        <v>36</v>
      </c>
      <c r="E1251" t="s">
        <v>405</v>
      </c>
      <c r="F1251"/>
      <c r="G1251">
        <v>2</v>
      </c>
      <c r="H1251">
        <v>1000</v>
      </c>
      <c r="J1251" cm="1">
        <f t="array" ref="J1251">_xlfn.SWITCH(B1251,1,75,2,61,3,49,4,37,5,25,6,13,7,4,8,1)</f>
        <v>1</v>
      </c>
      <c r="K1251" t="str" cm="1">
        <f t="array" ref="K1251">IFERROR(_xlfn.SWITCH(L1251,2,_xlfn.XLOOKUP(C1251,[1]ModifierDes!$B:$B,[1]ModifierDes!$C:$C),3,_xlfn.XLOOKUP(C1251,[1]StuntDes!$B:$B,[1]StuntDes!$C:$C)),"")</f>
        <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436</v>
      </c>
      <c r="D1252" t="s">
        <v>36</v>
      </c>
      <c r="E1252" t="s">
        <v>405</v>
      </c>
      <c r="F1252"/>
      <c r="G1252">
        <v>2</v>
      </c>
      <c r="H1252">
        <v>250</v>
      </c>
      <c r="J1252" cm="1">
        <f t="array" ref="J1252">_xlfn.SWITCH(B1252,1,75,2,61,3,49,4,37,5,25,6,13,7,4,8,1)</f>
        <v>75</v>
      </c>
      <c r="K1252" t="str" cm="1">
        <f t="array" ref="K1252">IFERROR(_xlfn.SWITCH(L1252,2,_xlfn.XLOOKUP(C1252,[1]ModifierDes!$B:$B,[1]ModifierDes!$C:$C),3,_xlfn.XLOOKUP(C1252,[1]StuntDes!$B:$B,[1]StuntDes!$C:$C)),"")</f>
        <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436</v>
      </c>
      <c r="D1253" t="s">
        <v>36</v>
      </c>
      <c r="E1253" t="s">
        <v>405</v>
      </c>
      <c r="F1253"/>
      <c r="G1253">
        <v>2</v>
      </c>
      <c r="H1253">
        <v>250</v>
      </c>
      <c r="J1253" cm="1">
        <f t="array" ref="J1253">_xlfn.SWITCH(B1253,1,75,2,61,3,49,4,37,5,25,6,13,7,4,8,1)</f>
        <v>61</v>
      </c>
      <c r="K1253" t="str" cm="1">
        <f t="array" ref="K1253">IFERROR(_xlfn.SWITCH(L1253,2,_xlfn.XLOOKUP(C1253,[1]ModifierDes!$B:$B,[1]ModifierDes!$C:$C),3,_xlfn.XLOOKUP(C1253,[1]StuntDes!$B:$B,[1]StuntDes!$C:$C)),"")</f>
        <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436</v>
      </c>
      <c r="D1254" t="s">
        <v>36</v>
      </c>
      <c r="E1254" t="s">
        <v>405</v>
      </c>
      <c r="F1254"/>
      <c r="G1254">
        <v>2</v>
      </c>
      <c r="H1254">
        <v>250</v>
      </c>
      <c r="J1254" cm="1">
        <f t="array" ref="J1254">_xlfn.SWITCH(B1254,1,75,2,61,3,49,4,37,5,25,6,13,7,4,8,1)</f>
        <v>49</v>
      </c>
      <c r="K1254" t="str" cm="1">
        <f t="array" ref="K1254">IFERROR(_xlfn.SWITCH(L1254,2,_xlfn.XLOOKUP(C1254,[1]ModifierDes!$B:$B,[1]ModifierDes!$C:$C),3,_xlfn.XLOOKUP(C1254,[1]StuntDes!$B:$B,[1]StuntDes!$C:$C)),"")</f>
        <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436</v>
      </c>
      <c r="D1255" t="s">
        <v>36</v>
      </c>
      <c r="E1255" t="s">
        <v>405</v>
      </c>
      <c r="F1255"/>
      <c r="G1255">
        <v>2</v>
      </c>
      <c r="H1255">
        <v>250</v>
      </c>
      <c r="J1255" cm="1">
        <f t="array" ref="J1255">_xlfn.SWITCH(B1255,1,75,2,61,3,49,4,37,5,25,6,13,7,4,8,1)</f>
        <v>37</v>
      </c>
      <c r="K1255" t="str" cm="1">
        <f t="array" ref="K1255">IFERROR(_xlfn.SWITCH(L1255,2,_xlfn.XLOOKUP(C1255,[1]ModifierDes!$B:$B,[1]ModifierDes!$C:$C),3,_xlfn.XLOOKUP(C1255,[1]StuntDes!$B:$B,[1]StuntDes!$C:$C)),"")</f>
        <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436</v>
      </c>
      <c r="D1256" t="s">
        <v>36</v>
      </c>
      <c r="E1256" t="s">
        <v>405</v>
      </c>
      <c r="F1256"/>
      <c r="G1256">
        <v>2</v>
      </c>
      <c r="H1256">
        <v>250</v>
      </c>
      <c r="J1256" cm="1">
        <f t="array" ref="J1256">_xlfn.SWITCH(B1256,1,75,2,61,3,49,4,37,5,25,6,13,7,4,8,1)</f>
        <v>25</v>
      </c>
      <c r="K1256" t="str" cm="1">
        <f t="array" ref="K1256">IFERROR(_xlfn.SWITCH(L1256,2,_xlfn.XLOOKUP(C1256,[1]ModifierDes!$B:$B,[1]ModifierDes!$C:$C),3,_xlfn.XLOOKUP(C1256,[1]StuntDes!$B:$B,[1]StuntDes!$C:$C)),"")</f>
        <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436</v>
      </c>
      <c r="D1257" t="s">
        <v>36</v>
      </c>
      <c r="E1257" t="s">
        <v>405</v>
      </c>
      <c r="F1257"/>
      <c r="G1257">
        <v>2</v>
      </c>
      <c r="H1257">
        <v>250</v>
      </c>
      <c r="J1257" cm="1">
        <f t="array" ref="J1257">_xlfn.SWITCH(B1257,1,75,2,61,3,49,4,37,5,25,6,13,7,4,8,1)</f>
        <v>13</v>
      </c>
      <c r="K1257" t="str" cm="1">
        <f t="array" ref="K1257">IFERROR(_xlfn.SWITCH(L1257,2,_xlfn.XLOOKUP(C1257,[1]ModifierDes!$B:$B,[1]ModifierDes!$C:$C),3,_xlfn.XLOOKUP(C1257,[1]StuntDes!$B:$B,[1]StuntDes!$C:$C)),"")</f>
        <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436</v>
      </c>
      <c r="D1258" t="s">
        <v>36</v>
      </c>
      <c r="E1258" t="s">
        <v>405</v>
      </c>
      <c r="F1258"/>
      <c r="G1258">
        <v>2</v>
      </c>
      <c r="H1258">
        <v>250</v>
      </c>
      <c r="J1258" cm="1">
        <f t="array" ref="J1258">_xlfn.SWITCH(B1258,1,75,2,61,3,49,4,37,5,25,6,13,7,4,8,1)</f>
        <v>4</v>
      </c>
      <c r="K1258" t="str" cm="1">
        <f t="array" ref="K1258">IFERROR(_xlfn.SWITCH(L1258,2,_xlfn.XLOOKUP(C1258,[1]ModifierDes!$B:$B,[1]ModifierDes!$C:$C),3,_xlfn.XLOOKUP(C1258,[1]StuntDes!$B:$B,[1]StuntDes!$C:$C)),"")</f>
        <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436</v>
      </c>
      <c r="D1259" t="s">
        <v>36</v>
      </c>
      <c r="E1259" t="s">
        <v>405</v>
      </c>
      <c r="F1259"/>
      <c r="G1259">
        <v>2</v>
      </c>
      <c r="H1259">
        <v>250</v>
      </c>
      <c r="J1259" cm="1">
        <f t="array" ref="J1259">_xlfn.SWITCH(B1259,1,75,2,61,3,49,4,37,5,25,6,13,7,4,8,1)</f>
        <v>1</v>
      </c>
      <c r="K1259" t="str" cm="1">
        <f t="array" ref="K1259">IFERROR(_xlfn.SWITCH(L1259,2,_xlfn.XLOOKUP(C1259,[1]ModifierDes!$B:$B,[1]ModifierDes!$C:$C),3,_xlfn.XLOOKUP(C1259,[1]StuntDes!$B:$B,[1]StuntDes!$C:$C)),"")</f>
        <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411</v>
      </c>
      <c r="D1260" t="s">
        <v>36</v>
      </c>
      <c r="E1260" t="s">
        <v>405</v>
      </c>
      <c r="F1260"/>
      <c r="G1260">
        <v>2</v>
      </c>
      <c r="H1260">
        <v>100</v>
      </c>
      <c r="I1260">
        <v>3</v>
      </c>
      <c r="J1260" cm="1">
        <f t="array" ref="J1260">_xlfn.SWITCH(B1260,1,75,2,61,3,49,4,37,5,25,6,13,7,4,8,1)</f>
        <v>75</v>
      </c>
      <c r="K1260" t="str" cm="1">
        <f t="array" ref="K1260">IFERROR(_xlfn.SWITCH(L1260,2,_xlfn.XLOOKUP(C1260,[1]ModifierDes!$B:$B,[1]ModifierDes!$C:$C),3,_xlfn.XLOOKUP(C1260,[1]StuntDes!$B:$B,[1]StuntDes!$C:$C)),"")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411</v>
      </c>
      <c r="D1261" t="s">
        <v>36</v>
      </c>
      <c r="E1261" t="s">
        <v>405</v>
      </c>
      <c r="F1261"/>
      <c r="G1261">
        <v>2</v>
      </c>
      <c r="H1261">
        <v>200</v>
      </c>
      <c r="I1261">
        <v>3</v>
      </c>
      <c r="J1261" cm="1">
        <f t="array" ref="J1261">_xlfn.SWITCH(B1261,1,75,2,61,3,49,4,37,5,25,6,13,7,4,8,1)</f>
        <v>61</v>
      </c>
      <c r="K1261" t="str" cm="1">
        <f t="array" ref="K1261">IFERROR(_xlfn.SWITCH(L1261,2,_xlfn.XLOOKUP(C1261,[1]ModifierDes!$B:$B,[1]ModifierDes!$C:$C),3,_xlfn.XLOOKUP(C1261,[1]StuntDes!$B:$B,[1]StuntDes!$C:$C)),"")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411</v>
      </c>
      <c r="D1262" t="s">
        <v>36</v>
      </c>
      <c r="E1262" t="s">
        <v>405</v>
      </c>
      <c r="F1262"/>
      <c r="G1262">
        <v>2</v>
      </c>
      <c r="H1262">
        <v>400</v>
      </c>
      <c r="I1262">
        <v>3</v>
      </c>
      <c r="J1262" cm="1">
        <f t="array" ref="J1262">_xlfn.SWITCH(B1262,1,75,2,61,3,49,4,37,5,25,6,13,7,4,8,1)</f>
        <v>49</v>
      </c>
      <c r="K1262" t="str" cm="1">
        <f t="array" ref="K1262">IFERROR(_xlfn.SWITCH(L1262,2,_xlfn.XLOOKUP(C1262,[1]ModifierDes!$B:$B,[1]ModifierDes!$C:$C),3,_xlfn.XLOOKUP(C1262,[1]StuntDes!$B:$B,[1]StuntDes!$C:$C)),"")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411</v>
      </c>
      <c r="D1263" t="s">
        <v>36</v>
      </c>
      <c r="E1263" t="s">
        <v>405</v>
      </c>
      <c r="F1263"/>
      <c r="G1263">
        <v>2</v>
      </c>
      <c r="H1263">
        <v>600</v>
      </c>
      <c r="I1263">
        <v>3</v>
      </c>
      <c r="J1263" cm="1">
        <f t="array" ref="J1263">_xlfn.SWITCH(B1263,1,75,2,61,3,49,4,37,5,25,6,13,7,4,8,1)</f>
        <v>37</v>
      </c>
      <c r="K1263" t="str" cm="1">
        <f t="array" ref="K1263">IFERROR(_xlfn.SWITCH(L1263,2,_xlfn.XLOOKUP(C1263,[1]ModifierDes!$B:$B,[1]ModifierDes!$C:$C),3,_xlfn.XLOOKUP(C1263,[1]StuntDes!$B:$B,[1]StuntDes!$C:$C)),"")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411</v>
      </c>
      <c r="D1264" t="s">
        <v>36</v>
      </c>
      <c r="E1264" t="s">
        <v>405</v>
      </c>
      <c r="F1264"/>
      <c r="G1264">
        <v>2</v>
      </c>
      <c r="H1264">
        <v>800</v>
      </c>
      <c r="I1264">
        <v>3</v>
      </c>
      <c r="J1264" cm="1">
        <f t="array" ref="J1264">_xlfn.SWITCH(B1264,1,75,2,61,3,49,4,37,5,25,6,13,7,4,8,1)</f>
        <v>25</v>
      </c>
      <c r="K1264" t="str" cm="1">
        <f t="array" ref="K1264">IFERROR(_xlfn.SWITCH(L1264,2,_xlfn.XLOOKUP(C1264,[1]ModifierDes!$B:$B,[1]ModifierDes!$C:$C),3,_xlfn.XLOOKUP(C1264,[1]StuntDes!$B:$B,[1]StuntDes!$C:$C)),"")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411</v>
      </c>
      <c r="D1265" t="s">
        <v>36</v>
      </c>
      <c r="E1265" t="s">
        <v>405</v>
      </c>
      <c r="F1265"/>
      <c r="G1265">
        <v>2</v>
      </c>
      <c r="H1265">
        <v>1000</v>
      </c>
      <c r="I1265">
        <v>3</v>
      </c>
      <c r="J1265" cm="1">
        <f t="array" ref="J1265">_xlfn.SWITCH(B1265,1,75,2,61,3,49,4,37,5,25,6,13,7,4,8,1)</f>
        <v>13</v>
      </c>
      <c r="K1265" t="str" cm="1">
        <f t="array" ref="K1265">IFERROR(_xlfn.SWITCH(L1265,2,_xlfn.XLOOKUP(C1265,[1]ModifierDes!$B:$B,[1]ModifierDes!$C:$C),3,_xlfn.XLOOKUP(C1265,[1]StuntDes!$B:$B,[1]StuntDes!$C:$C)),"")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411</v>
      </c>
      <c r="D1266" t="s">
        <v>36</v>
      </c>
      <c r="E1266" t="s">
        <v>405</v>
      </c>
      <c r="F1266"/>
      <c r="G1266">
        <v>2</v>
      </c>
      <c r="H1266">
        <v>1000</v>
      </c>
      <c r="I1266">
        <v>3</v>
      </c>
      <c r="J1266" cm="1">
        <f t="array" ref="J1266">_xlfn.SWITCH(B1266,1,75,2,61,3,49,4,37,5,25,6,13,7,4,8,1)</f>
        <v>4</v>
      </c>
      <c r="K1266" t="str" cm="1">
        <f t="array" ref="K1266">IFERROR(_xlfn.SWITCH(L1266,2,_xlfn.XLOOKUP(C1266,[1]ModifierDes!$B:$B,[1]ModifierDes!$C:$C),3,_xlfn.XLOOKUP(C1266,[1]StuntDes!$B:$B,[1]StuntDes!$C:$C)),"")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411</v>
      </c>
      <c r="D1267" t="s">
        <v>36</v>
      </c>
      <c r="E1267" t="s">
        <v>405</v>
      </c>
      <c r="F1267"/>
      <c r="G1267">
        <v>2</v>
      </c>
      <c r="H1267">
        <v>1000</v>
      </c>
      <c r="I1267">
        <v>3</v>
      </c>
      <c r="J1267" cm="1">
        <f t="array" ref="J1267">_xlfn.SWITCH(B1267,1,75,2,61,3,49,4,37,5,25,6,13,7,4,8,1)</f>
        <v>1</v>
      </c>
      <c r="K1267" t="str" cm="1">
        <f t="array" ref="K1267">IFERROR(_xlfn.SWITCH(L1267,2,_xlfn.XLOOKUP(C1267,[1]ModifierDes!$B:$B,[1]ModifierDes!$C:$C),3,_xlfn.XLOOKUP(C1267,[1]StuntDes!$B:$B,[1]StuntDes!$C:$C)),"")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437</v>
      </c>
      <c r="D1268" t="s">
        <v>36</v>
      </c>
      <c r="E1268" t="s">
        <v>405</v>
      </c>
      <c r="F1268"/>
      <c r="G1268">
        <v>2</v>
      </c>
      <c r="H1268">
        <v>100</v>
      </c>
      <c r="I1268">
        <v>3</v>
      </c>
      <c r="J1268" cm="1">
        <f t="array" ref="J1268">_xlfn.SWITCH(B1268,1,75,2,61,3,49,4,37,5,25,6,13,7,4,8,1)</f>
        <v>75</v>
      </c>
      <c r="K1268" t="str" cm="1">
        <f t="array" ref="K1268">IFERROR(_xlfn.SWITCH(L1268,2,_xlfn.XLOOKUP(C1268,[1]ModifierDes!$B:$B,[1]ModifierDes!$C:$C),3,_xlfn.XLOOKUP(C1268,[1]StuntDes!$B:$B,[1]StuntDes!$C:$C)),"")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437</v>
      </c>
      <c r="D1269" t="s">
        <v>36</v>
      </c>
      <c r="E1269" t="s">
        <v>405</v>
      </c>
      <c r="F1269"/>
      <c r="G1269">
        <v>2</v>
      </c>
      <c r="H1269">
        <v>200</v>
      </c>
      <c r="I1269">
        <v>3</v>
      </c>
      <c r="J1269" cm="1">
        <f t="array" ref="J1269">_xlfn.SWITCH(B1269,1,75,2,61,3,49,4,37,5,25,6,13,7,4,8,1)</f>
        <v>61</v>
      </c>
      <c r="K1269" t="str" cm="1">
        <f t="array" ref="K1269">IFERROR(_xlfn.SWITCH(L1269,2,_xlfn.XLOOKUP(C1269,[1]ModifierDes!$B:$B,[1]ModifierDes!$C:$C),3,_xlfn.XLOOKUP(C1269,[1]StuntDes!$B:$B,[1]StuntDes!$C:$C)),"")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437</v>
      </c>
      <c r="D1270" t="s">
        <v>36</v>
      </c>
      <c r="E1270" t="s">
        <v>405</v>
      </c>
      <c r="F1270"/>
      <c r="G1270">
        <v>2</v>
      </c>
      <c r="H1270">
        <v>400</v>
      </c>
      <c r="I1270">
        <v>3</v>
      </c>
      <c r="J1270" cm="1">
        <f t="array" ref="J1270">_xlfn.SWITCH(B1270,1,75,2,61,3,49,4,37,5,25,6,13,7,4,8,1)</f>
        <v>49</v>
      </c>
      <c r="K1270" t="str" cm="1">
        <f t="array" ref="K1270">IFERROR(_xlfn.SWITCH(L1270,2,_xlfn.XLOOKUP(C1270,[1]ModifierDes!$B:$B,[1]ModifierDes!$C:$C),3,_xlfn.XLOOKUP(C1270,[1]StuntDes!$B:$B,[1]StuntDes!$C:$C)),"")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437</v>
      </c>
      <c r="D1271" t="s">
        <v>36</v>
      </c>
      <c r="E1271" t="s">
        <v>405</v>
      </c>
      <c r="F1271"/>
      <c r="G1271">
        <v>2</v>
      </c>
      <c r="H1271">
        <v>600</v>
      </c>
      <c r="I1271">
        <v>3</v>
      </c>
      <c r="J1271" cm="1">
        <f t="array" ref="J1271">_xlfn.SWITCH(B1271,1,75,2,61,3,49,4,37,5,25,6,13,7,4,8,1)</f>
        <v>37</v>
      </c>
      <c r="K1271" t="str" cm="1">
        <f t="array" ref="K1271">IFERROR(_xlfn.SWITCH(L1271,2,_xlfn.XLOOKUP(C1271,[1]ModifierDes!$B:$B,[1]ModifierDes!$C:$C),3,_xlfn.XLOOKUP(C1271,[1]StuntDes!$B:$B,[1]StuntDes!$C:$C)),"")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437</v>
      </c>
      <c r="D1272" t="s">
        <v>36</v>
      </c>
      <c r="E1272" t="s">
        <v>405</v>
      </c>
      <c r="F1272"/>
      <c r="G1272">
        <v>2</v>
      </c>
      <c r="H1272">
        <v>800</v>
      </c>
      <c r="I1272">
        <v>3</v>
      </c>
      <c r="J1272" cm="1">
        <f t="array" ref="J1272">_xlfn.SWITCH(B1272,1,75,2,61,3,49,4,37,5,25,6,13,7,4,8,1)</f>
        <v>25</v>
      </c>
      <c r="K1272" t="str" cm="1">
        <f t="array" ref="K1272">IFERROR(_xlfn.SWITCH(L1272,2,_xlfn.XLOOKUP(C1272,[1]ModifierDes!$B:$B,[1]ModifierDes!$C:$C),3,_xlfn.XLOOKUP(C1272,[1]StuntDes!$B:$B,[1]StuntDes!$C:$C)),"")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437</v>
      </c>
      <c r="D1273" t="s">
        <v>36</v>
      </c>
      <c r="E1273" t="s">
        <v>405</v>
      </c>
      <c r="F1273"/>
      <c r="G1273">
        <v>2</v>
      </c>
      <c r="H1273">
        <v>1000</v>
      </c>
      <c r="I1273">
        <v>3</v>
      </c>
      <c r="J1273" cm="1">
        <f t="array" ref="J1273">_xlfn.SWITCH(B1273,1,75,2,61,3,49,4,37,5,25,6,13,7,4,8,1)</f>
        <v>13</v>
      </c>
      <c r="K1273" t="str" cm="1">
        <f t="array" ref="K1273">IFERROR(_xlfn.SWITCH(L1273,2,_xlfn.XLOOKUP(C1273,[1]ModifierDes!$B:$B,[1]ModifierDes!$C:$C),3,_xlfn.XLOOKUP(C1273,[1]StuntDes!$B:$B,[1]StuntDes!$C:$C)),"")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437</v>
      </c>
      <c r="D1274" t="s">
        <v>36</v>
      </c>
      <c r="E1274" t="s">
        <v>405</v>
      </c>
      <c r="F1274"/>
      <c r="G1274">
        <v>2</v>
      </c>
      <c r="H1274">
        <v>1000</v>
      </c>
      <c r="I1274">
        <v>3</v>
      </c>
      <c r="J1274" cm="1">
        <f t="array" ref="J1274">_xlfn.SWITCH(B1274,1,75,2,61,3,49,4,37,5,25,6,13,7,4,8,1)</f>
        <v>4</v>
      </c>
      <c r="K1274" t="str" cm="1">
        <f t="array" ref="K1274">IFERROR(_xlfn.SWITCH(L1274,2,_xlfn.XLOOKUP(C1274,[1]ModifierDes!$B:$B,[1]ModifierDes!$C:$C),3,_xlfn.XLOOKUP(C1274,[1]StuntDes!$B:$B,[1]StuntDes!$C:$C)),"")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437</v>
      </c>
      <c r="D1275" t="s">
        <v>36</v>
      </c>
      <c r="E1275" t="s">
        <v>405</v>
      </c>
      <c r="F1275"/>
      <c r="G1275">
        <v>2</v>
      </c>
      <c r="H1275">
        <v>1000</v>
      </c>
      <c r="I1275">
        <v>3</v>
      </c>
      <c r="J1275" cm="1">
        <f t="array" ref="J1275">_xlfn.SWITCH(B1275,1,75,2,61,3,49,4,37,5,25,6,13,7,4,8,1)</f>
        <v>1</v>
      </c>
      <c r="K1275" t="str" cm="1">
        <f t="array" ref="K1275">IFERROR(_xlfn.SWITCH(L1275,2,_xlfn.XLOOKUP(C1275,[1]ModifierDes!$B:$B,[1]ModifierDes!$C:$C),3,_xlfn.XLOOKUP(C1275,[1]StuntDes!$B:$B,[1]StuntDes!$C:$C)),"")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419</v>
      </c>
      <c r="D1276" t="s">
        <v>36</v>
      </c>
      <c r="E1276" t="s">
        <v>405</v>
      </c>
      <c r="F1276"/>
      <c r="G1276">
        <v>2</v>
      </c>
      <c r="H1276">
        <v>1000</v>
      </c>
      <c r="I1276"/>
      <c r="J1276" cm="1">
        <f t="array" ref="J1276">_xlfn.SWITCH(B1276,1,75,2,61,3,49,4,37,5,25,6,13,7,4,8,1)</f>
        <v>75</v>
      </c>
      <c r="K1276" t="str" cm="1">
        <f t="array" ref="K1276">IFERROR(_xlfn.SWITCH(L1276,2,_xlfn.XLOOKUP(C1276,[1]ModifierDes!$B:$B,[1]ModifierDes!$C:$C),3,_xlfn.XLOOKUP(C1276,[1]StuntDes!$B:$B,[1]StuntDes!$C:$C)),"")</f>
        <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419</v>
      </c>
      <c r="D1277" t="s">
        <v>36</v>
      </c>
      <c r="E1277" t="s">
        <v>405</v>
      </c>
      <c r="F1277"/>
      <c r="G1277">
        <v>2</v>
      </c>
      <c r="H1277">
        <v>1000</v>
      </c>
      <c r="I1277"/>
      <c r="J1277" cm="1">
        <f t="array" ref="J1277">_xlfn.SWITCH(B1277,1,75,2,61,3,49,4,37,5,25,6,13,7,4,8,1)</f>
        <v>61</v>
      </c>
      <c r="K1277" t="str" cm="1">
        <f t="array" ref="K1277">IFERROR(_xlfn.SWITCH(L1277,2,_xlfn.XLOOKUP(C1277,[1]ModifierDes!$B:$B,[1]ModifierDes!$C:$C),3,_xlfn.XLOOKUP(C1277,[1]StuntDes!$B:$B,[1]StuntDes!$C:$C)),"")</f>
        <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419</v>
      </c>
      <c r="D1278" t="s">
        <v>36</v>
      </c>
      <c r="E1278" t="s">
        <v>405</v>
      </c>
      <c r="F1278"/>
      <c r="G1278">
        <v>2</v>
      </c>
      <c r="H1278">
        <v>1000</v>
      </c>
      <c r="I1278"/>
      <c r="J1278" cm="1">
        <f t="array" ref="J1278">_xlfn.SWITCH(B1278,1,75,2,61,3,49,4,37,5,25,6,13,7,4,8,1)</f>
        <v>49</v>
      </c>
      <c r="K1278" t="str" cm="1">
        <f t="array" ref="K1278">IFERROR(_xlfn.SWITCH(L1278,2,_xlfn.XLOOKUP(C1278,[1]ModifierDes!$B:$B,[1]ModifierDes!$C:$C),3,_xlfn.XLOOKUP(C1278,[1]StuntDes!$B:$B,[1]StuntDes!$C:$C)),"")</f>
        <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419</v>
      </c>
      <c r="D1279" t="s">
        <v>36</v>
      </c>
      <c r="E1279" t="s">
        <v>405</v>
      </c>
      <c r="F1279"/>
      <c r="G1279">
        <v>2</v>
      </c>
      <c r="H1279">
        <v>1000</v>
      </c>
      <c r="I1279"/>
      <c r="J1279" cm="1">
        <f t="array" ref="J1279">_xlfn.SWITCH(B1279,1,75,2,61,3,49,4,37,5,25,6,13,7,4,8,1)</f>
        <v>37</v>
      </c>
      <c r="K1279" t="str" cm="1">
        <f t="array" ref="K1279">IFERROR(_xlfn.SWITCH(L1279,2,_xlfn.XLOOKUP(C1279,[1]ModifierDes!$B:$B,[1]ModifierDes!$C:$C),3,_xlfn.XLOOKUP(C1279,[1]StuntDes!$B:$B,[1]StuntDes!$C:$C)),"")</f>
        <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419</v>
      </c>
      <c r="D1280" t="s">
        <v>36</v>
      </c>
      <c r="E1280" t="s">
        <v>405</v>
      </c>
      <c r="F1280"/>
      <c r="G1280">
        <v>2</v>
      </c>
      <c r="H1280">
        <v>1000</v>
      </c>
      <c r="I1280"/>
      <c r="J1280" cm="1">
        <f t="array" ref="J1280">_xlfn.SWITCH(B1280,1,75,2,61,3,49,4,37,5,25,6,13,7,4,8,1)</f>
        <v>25</v>
      </c>
      <c r="K1280" t="str" cm="1">
        <f t="array" ref="K1280">IFERROR(_xlfn.SWITCH(L1280,2,_xlfn.XLOOKUP(C1280,[1]ModifierDes!$B:$B,[1]ModifierDes!$C:$C),3,_xlfn.XLOOKUP(C1280,[1]StuntDes!$B:$B,[1]StuntDes!$C:$C)),"")</f>
        <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419</v>
      </c>
      <c r="D1281" t="s">
        <v>36</v>
      </c>
      <c r="E1281" t="s">
        <v>405</v>
      </c>
      <c r="F1281"/>
      <c r="G1281">
        <v>2</v>
      </c>
      <c r="H1281">
        <v>1000</v>
      </c>
      <c r="I1281"/>
      <c r="J1281" cm="1">
        <f t="array" ref="J1281">_xlfn.SWITCH(B1281,1,75,2,61,3,49,4,37,5,25,6,13,7,4,8,1)</f>
        <v>13</v>
      </c>
      <c r="K1281" t="str" cm="1">
        <f t="array" ref="K1281">IFERROR(_xlfn.SWITCH(L1281,2,_xlfn.XLOOKUP(C1281,[1]ModifierDes!$B:$B,[1]ModifierDes!$C:$C),3,_xlfn.XLOOKUP(C1281,[1]StuntDes!$B:$B,[1]StuntDes!$C:$C)),"")</f>
        <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419</v>
      </c>
      <c r="D1282" t="s">
        <v>36</v>
      </c>
      <c r="E1282" t="s">
        <v>405</v>
      </c>
      <c r="F1282"/>
      <c r="G1282">
        <v>2</v>
      </c>
      <c r="H1282">
        <v>1000</v>
      </c>
      <c r="I1282"/>
      <c r="J1282" cm="1">
        <f t="array" ref="J1282">_xlfn.SWITCH(B1282,1,75,2,61,3,49,4,37,5,25,6,13,7,4,8,1)</f>
        <v>4</v>
      </c>
      <c r="K1282" t="str" cm="1">
        <f t="array" ref="K1282">IFERROR(_xlfn.SWITCH(L1282,2,_xlfn.XLOOKUP(C1282,[1]ModifierDes!$B:$B,[1]ModifierDes!$C:$C),3,_xlfn.XLOOKUP(C1282,[1]StuntDes!$B:$B,[1]StuntDes!$C:$C)),"")</f>
        <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419</v>
      </c>
      <c r="D1283" t="s">
        <v>36</v>
      </c>
      <c r="E1283" t="s">
        <v>405</v>
      </c>
      <c r="F1283"/>
      <c r="G1283">
        <v>2</v>
      </c>
      <c r="H1283">
        <v>1000</v>
      </c>
      <c r="I1283"/>
      <c r="J1283" cm="1">
        <f t="array" ref="J1283">_xlfn.SWITCH(B1283,1,75,2,61,3,49,4,37,5,25,6,13,7,4,8,1)</f>
        <v>1</v>
      </c>
      <c r="K1283" t="str" cm="1">
        <f t="array" ref="K1283">IFERROR(_xlfn.SWITCH(L1283,2,_xlfn.XLOOKUP(C1283,[1]ModifierDes!$B:$B,[1]ModifierDes!$C:$C),3,_xlfn.XLOOKUP(C1283,[1]StuntDes!$B:$B,[1]StuntDes!$C:$C)),"")</f>
        <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440</v>
      </c>
      <c r="D1284" t="s">
        <v>36</v>
      </c>
      <c r="E1284" t="s">
        <v>405</v>
      </c>
      <c r="F1284"/>
      <c r="G1284">
        <v>2</v>
      </c>
      <c r="H1284">
        <v>1000</v>
      </c>
      <c r="I1284"/>
      <c r="J1284" cm="1">
        <f t="array" ref="J1284">_xlfn.SWITCH(B1284,1,75,2,61,3,49,4,37,5,25,6,13,7,4,8,1)</f>
        <v>75</v>
      </c>
      <c r="K1284" t="str" cm="1">
        <f t="array" ref="K1284">IFERROR(_xlfn.SWITCH(L1284,2,_xlfn.XLOOKUP(C1284,[1]ModifierDes!$B:$B,[1]ModifierDes!$C:$C),3,_xlfn.XLOOKUP(C1284,[1]StuntDes!$B:$B,[1]StuntDes!$C:$C)),"")</f>
        <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8</v>
      </c>
      <c r="R1284">
        <v>10</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440</v>
      </c>
      <c r="D1285" t="s">
        <v>36</v>
      </c>
      <c r="E1285" t="s">
        <v>405</v>
      </c>
      <c r="F1285"/>
      <c r="G1285">
        <v>2</v>
      </c>
      <c r="H1285">
        <v>1000</v>
      </c>
      <c r="I1285"/>
      <c r="J1285" cm="1">
        <f t="array" ref="J1285">_xlfn.SWITCH(B1285,1,75,2,61,3,49,4,37,5,25,6,13,7,4,8,1)</f>
        <v>61</v>
      </c>
      <c r="K1285" t="str" cm="1">
        <f t="array" ref="K1285">IFERROR(_xlfn.SWITCH(L1285,2,_xlfn.XLOOKUP(C1285,[1]ModifierDes!$B:$B,[1]ModifierDes!$C:$C),3,_xlfn.XLOOKUP(C1285,[1]StuntDes!$B:$B,[1]StuntDes!$C:$C)),"")</f>
        <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7</v>
      </c>
      <c r="R1285">
        <v>7</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440</v>
      </c>
      <c r="D1286" t="s">
        <v>36</v>
      </c>
      <c r="E1286" t="s">
        <v>405</v>
      </c>
      <c r="F1286"/>
      <c r="G1286">
        <v>2</v>
      </c>
      <c r="H1286">
        <v>1000</v>
      </c>
      <c r="I1286"/>
      <c r="J1286" cm="1">
        <f t="array" ref="J1286">_xlfn.SWITCH(B1286,1,75,2,61,3,49,4,37,5,25,6,13,7,4,8,1)</f>
        <v>49</v>
      </c>
      <c r="K1286" t="str" cm="1">
        <f t="array" ref="K1286">IFERROR(_xlfn.SWITCH(L1286,2,_xlfn.XLOOKUP(C1286,[1]ModifierDes!$B:$B,[1]ModifierDes!$C:$C),3,_xlfn.XLOOKUP(C1286,[1]StuntDes!$B:$B,[1]StuntDes!$C:$C)),"")</f>
        <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6</v>
      </c>
      <c r="R1286">
        <v>6</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440</v>
      </c>
      <c r="D1287" t="s">
        <v>36</v>
      </c>
      <c r="E1287" t="s">
        <v>405</v>
      </c>
      <c r="F1287"/>
      <c r="G1287">
        <v>2</v>
      </c>
      <c r="H1287">
        <v>1000</v>
      </c>
      <c r="I1287"/>
      <c r="J1287" cm="1">
        <f t="array" ref="J1287">_xlfn.SWITCH(B1287,1,75,2,61,3,49,4,37,5,25,6,13,7,4,8,1)</f>
        <v>37</v>
      </c>
      <c r="K1287" t="str" cm="1">
        <f t="array" ref="K1287">IFERROR(_xlfn.SWITCH(L1287,2,_xlfn.XLOOKUP(C1287,[1]ModifierDes!$B:$B,[1]ModifierDes!$C:$C),3,_xlfn.XLOOKUP(C1287,[1]StuntDes!$B:$B,[1]StuntDes!$C:$C)),"")</f>
        <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5</v>
      </c>
      <c r="R1287">
        <v>5</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440</v>
      </c>
      <c r="D1288" t="s">
        <v>36</v>
      </c>
      <c r="E1288" t="s">
        <v>405</v>
      </c>
      <c r="F1288"/>
      <c r="G1288">
        <v>2</v>
      </c>
      <c r="H1288">
        <v>1000</v>
      </c>
      <c r="I1288"/>
      <c r="J1288" cm="1">
        <f t="array" ref="J1288">_xlfn.SWITCH(B1288,1,75,2,61,3,49,4,37,5,25,6,13,7,4,8,1)</f>
        <v>25</v>
      </c>
      <c r="K1288" t="str" cm="1">
        <f t="array" ref="K1288">IFERROR(_xlfn.SWITCH(L1288,2,_xlfn.XLOOKUP(C1288,[1]ModifierDes!$B:$B,[1]ModifierDes!$C:$C),3,_xlfn.XLOOKUP(C1288,[1]StuntDes!$B:$B,[1]StuntDes!$C:$C)),"")</f>
        <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4</v>
      </c>
      <c r="R1288">
        <v>4</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440</v>
      </c>
      <c r="D1289" t="s">
        <v>36</v>
      </c>
      <c r="E1289" t="s">
        <v>405</v>
      </c>
      <c r="F1289"/>
      <c r="G1289">
        <v>2</v>
      </c>
      <c r="H1289">
        <v>1000</v>
      </c>
      <c r="I1289"/>
      <c r="J1289" cm="1">
        <f t="array" ref="J1289">_xlfn.SWITCH(B1289,1,75,2,61,3,49,4,37,5,25,6,13,7,4,8,1)</f>
        <v>13</v>
      </c>
      <c r="K1289" t="str" cm="1">
        <f t="array" ref="K1289">IFERROR(_xlfn.SWITCH(L1289,2,_xlfn.XLOOKUP(C1289,[1]ModifierDes!$B:$B,[1]ModifierDes!$C:$C),3,_xlfn.XLOOKUP(C1289,[1]StuntDes!$B:$B,[1]StuntDes!$C:$C)),"")</f>
        <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3</v>
      </c>
      <c r="R1289">
        <v>3</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440</v>
      </c>
      <c r="D1290" t="s">
        <v>36</v>
      </c>
      <c r="E1290" t="s">
        <v>405</v>
      </c>
      <c r="F1290"/>
      <c r="G1290">
        <v>2</v>
      </c>
      <c r="H1290">
        <v>1000</v>
      </c>
      <c r="I1290"/>
      <c r="J1290" cm="1">
        <f t="array" ref="J1290">_xlfn.SWITCH(B1290,1,75,2,61,3,49,4,37,5,25,6,13,7,4,8,1)</f>
        <v>4</v>
      </c>
      <c r="K1290" t="str" cm="1">
        <f t="array" ref="K1290">IFERROR(_xlfn.SWITCH(L1290,2,_xlfn.XLOOKUP(C1290,[1]ModifierDes!$B:$B,[1]ModifierDes!$C:$C),3,_xlfn.XLOOKUP(C1290,[1]StuntDes!$B:$B,[1]StuntDes!$C:$C)),"")</f>
        <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2</v>
      </c>
      <c r="R1290">
        <v>2</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440</v>
      </c>
      <c r="D1291" t="s">
        <v>36</v>
      </c>
      <c r="E1291" t="s">
        <v>405</v>
      </c>
      <c r="F1291"/>
      <c r="G1291">
        <v>2</v>
      </c>
      <c r="H1291">
        <v>1000</v>
      </c>
      <c r="I1291"/>
      <c r="J1291" cm="1">
        <f t="array" ref="J1291">_xlfn.SWITCH(B1291,1,75,2,61,3,49,4,37,5,25,6,13,7,4,8,1)</f>
        <v>1</v>
      </c>
      <c r="K1291" t="str" cm="1">
        <f t="array" ref="K1291">IFERROR(_xlfn.SWITCH(L1291,2,_xlfn.XLOOKUP(C1291,[1]ModifierDes!$B:$B,[1]ModifierDes!$C:$C),3,_xlfn.XLOOKUP(C1291,[1]StuntDes!$B:$B,[1]StuntDes!$C:$C)),"")</f>
        <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1</v>
      </c>
      <c r="R1291">
        <v>1</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441</v>
      </c>
      <c r="D1292" t="s">
        <v>36</v>
      </c>
      <c r="E1292" t="s">
        <v>405</v>
      </c>
      <c r="G1292">
        <v>2</v>
      </c>
      <c r="H1292">
        <v>1000</v>
      </c>
      <c r="I1292"/>
      <c r="J1292" cm="1">
        <f t="array" ref="J1292">_xlfn.SWITCH(B1292,1,75,2,61,3,49,4,37,5,25,6,13,7,4,8,1)</f>
        <v>75</v>
      </c>
      <c r="K1292" t="str" cm="1">
        <f t="array" ref="K1292">IFERROR(_xlfn.SWITCH(L1292,2,_xlfn.XLOOKUP(C1292,[1]ModifierDes!$B:$B,[1]ModifierDes!$C:$C),3,_xlfn.XLOOKUP(C1292,[1]StuntDes!$B:$B,[1]StuntDes!$C:$C)),"")</f>
        <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8</v>
      </c>
      <c r="R1292">
        <v>10</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441</v>
      </c>
      <c r="D1293" t="s">
        <v>36</v>
      </c>
      <c r="E1293" t="s">
        <v>405</v>
      </c>
      <c r="G1293">
        <v>2</v>
      </c>
      <c r="H1293">
        <v>1000</v>
      </c>
      <c r="I1293"/>
      <c r="J1293" cm="1">
        <f t="array" ref="J1293">_xlfn.SWITCH(B1293,1,75,2,61,3,49,4,37,5,25,6,13,7,4,8,1)</f>
        <v>61</v>
      </c>
      <c r="K1293" t="str" cm="1">
        <f t="array" ref="K1293">IFERROR(_xlfn.SWITCH(L1293,2,_xlfn.XLOOKUP(C1293,[1]ModifierDes!$B:$B,[1]ModifierDes!$C:$C),3,_xlfn.XLOOKUP(C1293,[1]StuntDes!$B:$B,[1]StuntDes!$C:$C)),"")</f>
        <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7</v>
      </c>
      <c r="R1293">
        <v>7</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441</v>
      </c>
      <c r="D1294" t="s">
        <v>36</v>
      </c>
      <c r="E1294" t="s">
        <v>405</v>
      </c>
      <c r="G1294">
        <v>2</v>
      </c>
      <c r="H1294">
        <v>1000</v>
      </c>
      <c r="I1294"/>
      <c r="J1294" cm="1">
        <f t="array" ref="J1294">_xlfn.SWITCH(B1294,1,75,2,61,3,49,4,37,5,25,6,13,7,4,8,1)</f>
        <v>49</v>
      </c>
      <c r="K1294" t="str" cm="1">
        <f t="array" ref="K1294">IFERROR(_xlfn.SWITCH(L1294,2,_xlfn.XLOOKUP(C1294,[1]ModifierDes!$B:$B,[1]ModifierDes!$C:$C),3,_xlfn.XLOOKUP(C1294,[1]StuntDes!$B:$B,[1]StuntDes!$C:$C)),"")</f>
        <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6</v>
      </c>
      <c r="R1294">
        <v>6</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441</v>
      </c>
      <c r="D1295" t="s">
        <v>36</v>
      </c>
      <c r="E1295" t="s">
        <v>405</v>
      </c>
      <c r="G1295">
        <v>2</v>
      </c>
      <c r="H1295">
        <v>1000</v>
      </c>
      <c r="I1295"/>
      <c r="J1295" cm="1">
        <f t="array" ref="J1295">_xlfn.SWITCH(B1295,1,75,2,61,3,49,4,37,5,25,6,13,7,4,8,1)</f>
        <v>37</v>
      </c>
      <c r="K1295" t="str" cm="1">
        <f t="array" ref="K1295">IFERROR(_xlfn.SWITCH(L1295,2,_xlfn.XLOOKUP(C1295,[1]ModifierDes!$B:$B,[1]ModifierDes!$C:$C),3,_xlfn.XLOOKUP(C1295,[1]StuntDes!$B:$B,[1]StuntDes!$C:$C)),"")</f>
        <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5</v>
      </c>
      <c r="R1295">
        <v>5</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441</v>
      </c>
      <c r="D1296" t="s">
        <v>36</v>
      </c>
      <c r="E1296" t="s">
        <v>405</v>
      </c>
      <c r="G1296">
        <v>2</v>
      </c>
      <c r="H1296">
        <v>1000</v>
      </c>
      <c r="I1296"/>
      <c r="J1296" cm="1">
        <f t="array" ref="J1296">_xlfn.SWITCH(B1296,1,75,2,61,3,49,4,37,5,25,6,13,7,4,8,1)</f>
        <v>25</v>
      </c>
      <c r="K1296" t="str" cm="1">
        <f t="array" ref="K1296">IFERROR(_xlfn.SWITCH(L1296,2,_xlfn.XLOOKUP(C1296,[1]ModifierDes!$B:$B,[1]ModifierDes!$C:$C),3,_xlfn.XLOOKUP(C1296,[1]StuntDes!$B:$B,[1]StuntDes!$C:$C)),"")</f>
        <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4</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441</v>
      </c>
      <c r="D1297" t="s">
        <v>36</v>
      </c>
      <c r="E1297" t="s">
        <v>405</v>
      </c>
      <c r="G1297">
        <v>2</v>
      </c>
      <c r="H1297">
        <v>1000</v>
      </c>
      <c r="I1297"/>
      <c r="J1297" cm="1">
        <f t="array" ref="J1297">_xlfn.SWITCH(B1297,1,75,2,61,3,49,4,37,5,25,6,13,7,4,8,1)</f>
        <v>13</v>
      </c>
      <c r="K1297" t="str" cm="1">
        <f t="array" ref="K1297">IFERROR(_xlfn.SWITCH(L1297,2,_xlfn.XLOOKUP(C1297,[1]ModifierDes!$B:$B,[1]ModifierDes!$C:$C),3,_xlfn.XLOOKUP(C1297,[1]StuntDes!$B:$B,[1]StuntDes!$C:$C)),"")</f>
        <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3</v>
      </c>
      <c r="R1297">
        <v>3</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441</v>
      </c>
      <c r="D1298" t="s">
        <v>36</v>
      </c>
      <c r="E1298" t="s">
        <v>405</v>
      </c>
      <c r="G1298">
        <v>2</v>
      </c>
      <c r="H1298">
        <v>1000</v>
      </c>
      <c r="I1298"/>
      <c r="J1298" cm="1">
        <f t="array" ref="J1298">_xlfn.SWITCH(B1298,1,75,2,61,3,49,4,37,5,25,6,13,7,4,8,1)</f>
        <v>4</v>
      </c>
      <c r="K1298" t="str" cm="1">
        <f t="array" ref="K1298">IFERROR(_xlfn.SWITCH(L1298,2,_xlfn.XLOOKUP(C1298,[1]ModifierDes!$B:$B,[1]ModifierDes!$C:$C),3,_xlfn.XLOOKUP(C1298,[1]StuntDes!$B:$B,[1]StuntDes!$C:$C)),"")</f>
        <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2</v>
      </c>
      <c r="R1298">
        <v>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441</v>
      </c>
      <c r="D1299" t="s">
        <v>36</v>
      </c>
      <c r="E1299" t="s">
        <v>405</v>
      </c>
      <c r="G1299">
        <v>2</v>
      </c>
      <c r="H1299">
        <v>1000</v>
      </c>
      <c r="I1299"/>
      <c r="J1299" cm="1">
        <f t="array" ref="J1299">_xlfn.SWITCH(B1299,1,75,2,61,3,49,4,37,5,25,6,13,7,4,8,1)</f>
        <v>1</v>
      </c>
      <c r="K1299" t="str" cm="1">
        <f t="array" ref="K1299">IFERROR(_xlfn.SWITCH(L1299,2,_xlfn.XLOOKUP(C1299,[1]ModifierDes!$B:$B,[1]ModifierDes!$C:$C),3,_xlfn.XLOOKUP(C1299,[1]StuntDes!$B:$B,[1]StuntDes!$C:$C)),"")</f>
        <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1</v>
      </c>
      <c r="R1299">
        <v>1</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402</v>
      </c>
      <c r="D1300" t="s">
        <v>37</v>
      </c>
      <c r="E1300" t="s">
        <v>388</v>
      </c>
      <c r="F1300"/>
      <c r="G1300">
        <v>1</v>
      </c>
      <c r="H1300">
        <v>1000</v>
      </c>
      <c r="J1300" cm="1">
        <f t="array" ref="J1300">_xlfn.SWITCH(B1300,1,75,2,61,3,49,4,37,5,25,6,13,7,4,8,1)</f>
        <v>75</v>
      </c>
      <c r="K1300" t="str" cm="1">
        <f t="array" ref="K1300">IFERROR(_xlfn.SWITCH(L1300,2,_xlfn.XLOOKUP(C1300,[1]ModifierDes!$B:$B,[1]ModifierDes!$C:$C),3,_xlfn.XLOOKUP(C1300,[1]StuntDes!$B:$B,[1]StuntDes!$C:$C)),"")</f>
        <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402</v>
      </c>
      <c r="D1301" t="s">
        <v>37</v>
      </c>
      <c r="E1301" t="s">
        <v>388</v>
      </c>
      <c r="F1301"/>
      <c r="G1301">
        <v>1</v>
      </c>
      <c r="H1301">
        <v>1000</v>
      </c>
      <c r="J1301" cm="1">
        <f t="array" ref="J1301">_xlfn.SWITCH(B1301,1,75,2,61,3,49,4,37,5,25,6,13,7,4,8,1)</f>
        <v>61</v>
      </c>
      <c r="K1301" t="str" cm="1">
        <f t="array" ref="K1301">IFERROR(_xlfn.SWITCH(L1301,2,_xlfn.XLOOKUP(C1301,[1]ModifierDes!$B:$B,[1]ModifierDes!$C:$C),3,_xlfn.XLOOKUP(C1301,[1]StuntDes!$B:$B,[1]StuntDes!$C:$C)),"")</f>
        <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402</v>
      </c>
      <c r="D1302" t="s">
        <v>37</v>
      </c>
      <c r="E1302" t="s">
        <v>388</v>
      </c>
      <c r="F1302"/>
      <c r="G1302">
        <v>1</v>
      </c>
      <c r="H1302">
        <v>1000</v>
      </c>
      <c r="J1302" cm="1">
        <f t="array" ref="J1302">_xlfn.SWITCH(B1302,1,75,2,61,3,49,4,37,5,25,6,13,7,4,8,1)</f>
        <v>49</v>
      </c>
      <c r="K1302" t="str" cm="1">
        <f t="array" ref="K1302">IFERROR(_xlfn.SWITCH(L1302,2,_xlfn.XLOOKUP(C1302,[1]ModifierDes!$B:$B,[1]ModifierDes!$C:$C),3,_xlfn.XLOOKUP(C1302,[1]StuntDes!$B:$B,[1]StuntDes!$C:$C)),"")</f>
        <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402</v>
      </c>
      <c r="D1303" t="s">
        <v>37</v>
      </c>
      <c r="E1303" t="s">
        <v>388</v>
      </c>
      <c r="F1303"/>
      <c r="G1303">
        <v>1</v>
      </c>
      <c r="H1303">
        <v>1000</v>
      </c>
      <c r="J1303" cm="1">
        <f t="array" ref="J1303">_xlfn.SWITCH(B1303,1,75,2,61,3,49,4,37,5,25,6,13,7,4,8,1)</f>
        <v>37</v>
      </c>
      <c r="K1303" t="str" cm="1">
        <f t="array" ref="K1303">IFERROR(_xlfn.SWITCH(L1303,2,_xlfn.XLOOKUP(C1303,[1]ModifierDes!$B:$B,[1]ModifierDes!$C:$C),3,_xlfn.XLOOKUP(C1303,[1]StuntDes!$B:$B,[1]StuntDes!$C:$C)),"")</f>
        <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402</v>
      </c>
      <c r="D1304" t="s">
        <v>37</v>
      </c>
      <c r="E1304" t="s">
        <v>388</v>
      </c>
      <c r="F1304"/>
      <c r="G1304">
        <v>1</v>
      </c>
      <c r="H1304">
        <v>1000</v>
      </c>
      <c r="J1304" cm="1">
        <f t="array" ref="J1304">_xlfn.SWITCH(B1304,1,75,2,61,3,49,4,37,5,25,6,13,7,4,8,1)</f>
        <v>25</v>
      </c>
      <c r="K1304" t="str" cm="1">
        <f t="array" ref="K1304">IFERROR(_xlfn.SWITCH(L1304,2,_xlfn.XLOOKUP(C1304,[1]ModifierDes!$B:$B,[1]ModifierDes!$C:$C),3,_xlfn.XLOOKUP(C1304,[1]StuntDes!$B:$B,[1]StuntDes!$C:$C)),"")</f>
        <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402</v>
      </c>
      <c r="D1305" t="s">
        <v>37</v>
      </c>
      <c r="E1305" t="s">
        <v>388</v>
      </c>
      <c r="F1305"/>
      <c r="G1305">
        <v>1</v>
      </c>
      <c r="H1305">
        <v>1000</v>
      </c>
      <c r="J1305" cm="1">
        <f t="array" ref="J1305">_xlfn.SWITCH(B1305,1,75,2,61,3,49,4,37,5,25,6,13,7,4,8,1)</f>
        <v>13</v>
      </c>
      <c r="K1305" t="str" cm="1">
        <f t="array" ref="K1305">IFERROR(_xlfn.SWITCH(L1305,2,_xlfn.XLOOKUP(C1305,[1]ModifierDes!$B:$B,[1]ModifierDes!$C:$C),3,_xlfn.XLOOKUP(C1305,[1]StuntDes!$B:$B,[1]StuntDes!$C:$C)),"")</f>
        <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402</v>
      </c>
      <c r="D1306" t="s">
        <v>37</v>
      </c>
      <c r="E1306" t="s">
        <v>388</v>
      </c>
      <c r="F1306"/>
      <c r="G1306">
        <v>1</v>
      </c>
      <c r="H1306">
        <v>1000</v>
      </c>
      <c r="J1306" cm="1">
        <f t="array" ref="J1306">_xlfn.SWITCH(B1306,1,75,2,61,3,49,4,37,5,25,6,13,7,4,8,1)</f>
        <v>4</v>
      </c>
      <c r="K1306" t="str" cm="1">
        <f t="array" ref="K1306">IFERROR(_xlfn.SWITCH(L1306,2,_xlfn.XLOOKUP(C1306,[1]ModifierDes!$B:$B,[1]ModifierDes!$C:$C),3,_xlfn.XLOOKUP(C1306,[1]StuntDes!$B:$B,[1]StuntDes!$C:$C)),"")</f>
        <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402</v>
      </c>
      <c r="D1307" t="s">
        <v>37</v>
      </c>
      <c r="E1307" t="s">
        <v>388</v>
      </c>
      <c r="F1307"/>
      <c r="G1307">
        <v>1</v>
      </c>
      <c r="H1307">
        <v>1000</v>
      </c>
      <c r="J1307" cm="1">
        <f t="array" ref="J1307">_xlfn.SWITCH(B1307,1,75,2,61,3,49,4,37,5,25,6,13,7,4,8,1)</f>
        <v>1</v>
      </c>
      <c r="K1307" t="str" cm="1">
        <f t="array" ref="K1307">IFERROR(_xlfn.SWITCH(L1307,2,_xlfn.XLOOKUP(C1307,[1]ModifierDes!$B:$B,[1]ModifierDes!$C:$C),3,_xlfn.XLOOKUP(C1307,[1]StuntDes!$B:$B,[1]StuntDes!$C:$C)),"")</f>
        <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403</v>
      </c>
      <c r="D1308" t="s">
        <v>37</v>
      </c>
      <c r="E1308" t="s">
        <v>388</v>
      </c>
      <c r="F1308"/>
      <c r="G1308">
        <v>1</v>
      </c>
      <c r="H1308">
        <v>1000</v>
      </c>
      <c r="J1308" cm="1">
        <f t="array" ref="J1308">_xlfn.SWITCH(B1308,1,75,2,61,3,49,4,37,5,25,6,13,7,4,8,1)</f>
        <v>75</v>
      </c>
      <c r="K1308" t="str" cm="1">
        <f t="array" ref="K1308">IFERROR(_xlfn.SWITCH(L1308,2,_xlfn.XLOOKUP(C1308,[1]ModifierDes!$B:$B,[1]ModifierDes!$C:$C),3,_xlfn.XLOOKUP(C1308,[1]StuntDes!$B:$B,[1]StuntDes!$C:$C)),"")</f>
        <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403</v>
      </c>
      <c r="D1309" t="s">
        <v>37</v>
      </c>
      <c r="E1309" t="s">
        <v>388</v>
      </c>
      <c r="F1309"/>
      <c r="G1309">
        <v>1</v>
      </c>
      <c r="H1309">
        <v>1000</v>
      </c>
      <c r="J1309" cm="1">
        <f t="array" ref="J1309">_xlfn.SWITCH(B1309,1,75,2,61,3,49,4,37,5,25,6,13,7,4,8,1)</f>
        <v>61</v>
      </c>
      <c r="K1309" t="str" cm="1">
        <f t="array" ref="K1309">IFERROR(_xlfn.SWITCH(L1309,2,_xlfn.XLOOKUP(C1309,[1]ModifierDes!$B:$B,[1]ModifierDes!$C:$C),3,_xlfn.XLOOKUP(C1309,[1]StuntDes!$B:$B,[1]StuntDes!$C:$C)),"")</f>
        <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403</v>
      </c>
      <c r="D1310" t="s">
        <v>37</v>
      </c>
      <c r="E1310" t="s">
        <v>388</v>
      </c>
      <c r="F1310"/>
      <c r="G1310">
        <v>1</v>
      </c>
      <c r="H1310">
        <v>1000</v>
      </c>
      <c r="J1310" cm="1">
        <f t="array" ref="J1310">_xlfn.SWITCH(B1310,1,75,2,61,3,49,4,37,5,25,6,13,7,4,8,1)</f>
        <v>49</v>
      </c>
      <c r="K1310" t="str" cm="1">
        <f t="array" ref="K1310">IFERROR(_xlfn.SWITCH(L1310,2,_xlfn.XLOOKUP(C1310,[1]ModifierDes!$B:$B,[1]ModifierDes!$C:$C),3,_xlfn.XLOOKUP(C1310,[1]StuntDes!$B:$B,[1]StuntDes!$C:$C)),"")</f>
        <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403</v>
      </c>
      <c r="D1311" t="s">
        <v>37</v>
      </c>
      <c r="E1311" t="s">
        <v>388</v>
      </c>
      <c r="F1311"/>
      <c r="G1311">
        <v>1</v>
      </c>
      <c r="H1311">
        <v>1000</v>
      </c>
      <c r="J1311" cm="1">
        <f t="array" ref="J1311">_xlfn.SWITCH(B1311,1,75,2,61,3,49,4,37,5,25,6,13,7,4,8,1)</f>
        <v>37</v>
      </c>
      <c r="K1311" t="str" cm="1">
        <f t="array" ref="K1311">IFERROR(_xlfn.SWITCH(L1311,2,_xlfn.XLOOKUP(C1311,[1]ModifierDes!$B:$B,[1]ModifierDes!$C:$C),3,_xlfn.XLOOKUP(C1311,[1]StuntDes!$B:$B,[1]StuntDes!$C:$C)),"")</f>
        <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403</v>
      </c>
      <c r="D1312" t="s">
        <v>37</v>
      </c>
      <c r="E1312" t="s">
        <v>388</v>
      </c>
      <c r="F1312"/>
      <c r="G1312">
        <v>1</v>
      </c>
      <c r="H1312">
        <v>1000</v>
      </c>
      <c r="J1312" cm="1">
        <f t="array" ref="J1312">_xlfn.SWITCH(B1312,1,75,2,61,3,49,4,37,5,25,6,13,7,4,8,1)</f>
        <v>25</v>
      </c>
      <c r="K1312" t="str" cm="1">
        <f t="array" ref="K1312">IFERROR(_xlfn.SWITCH(L1312,2,_xlfn.XLOOKUP(C1312,[1]ModifierDes!$B:$B,[1]ModifierDes!$C:$C),3,_xlfn.XLOOKUP(C1312,[1]StuntDes!$B:$B,[1]StuntDes!$C:$C)),"")</f>
        <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403</v>
      </c>
      <c r="D1313" t="s">
        <v>37</v>
      </c>
      <c r="E1313" t="s">
        <v>388</v>
      </c>
      <c r="F1313"/>
      <c r="G1313">
        <v>1</v>
      </c>
      <c r="H1313">
        <v>1000</v>
      </c>
      <c r="J1313" cm="1">
        <f t="array" ref="J1313">_xlfn.SWITCH(B1313,1,75,2,61,3,49,4,37,5,25,6,13,7,4,8,1)</f>
        <v>13</v>
      </c>
      <c r="K1313" t="str" cm="1">
        <f t="array" ref="K1313">IFERROR(_xlfn.SWITCH(L1313,2,_xlfn.XLOOKUP(C1313,[1]ModifierDes!$B:$B,[1]ModifierDes!$C:$C),3,_xlfn.XLOOKUP(C1313,[1]StuntDes!$B:$B,[1]StuntDes!$C:$C)),"")</f>
        <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403</v>
      </c>
      <c r="D1314" t="s">
        <v>37</v>
      </c>
      <c r="E1314" t="s">
        <v>388</v>
      </c>
      <c r="F1314"/>
      <c r="G1314">
        <v>1</v>
      </c>
      <c r="H1314">
        <v>1000</v>
      </c>
      <c r="J1314" cm="1">
        <f t="array" ref="J1314">_xlfn.SWITCH(B1314,1,75,2,61,3,49,4,37,5,25,6,13,7,4,8,1)</f>
        <v>4</v>
      </c>
      <c r="K1314" t="str" cm="1">
        <f t="array" ref="K1314">IFERROR(_xlfn.SWITCH(L1314,2,_xlfn.XLOOKUP(C1314,[1]ModifierDes!$B:$B,[1]ModifierDes!$C:$C),3,_xlfn.XLOOKUP(C1314,[1]StuntDes!$B:$B,[1]StuntDes!$C:$C)),"")</f>
        <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403</v>
      </c>
      <c r="D1315" t="s">
        <v>37</v>
      </c>
      <c r="E1315" t="s">
        <v>388</v>
      </c>
      <c r="F1315"/>
      <c r="G1315">
        <v>1</v>
      </c>
      <c r="H1315">
        <v>1000</v>
      </c>
      <c r="J1315" cm="1">
        <f t="array" ref="J1315">_xlfn.SWITCH(B1315,1,75,2,61,3,49,4,37,5,25,6,13,7,4,8,1)</f>
        <v>1</v>
      </c>
      <c r="K1315" t="str" cm="1">
        <f t="array" ref="K1315">IFERROR(_xlfn.SWITCH(L1315,2,_xlfn.XLOOKUP(C1315,[1]ModifierDes!$B:$B,[1]ModifierDes!$C:$C),3,_xlfn.XLOOKUP(C1315,[1]StuntDes!$B:$B,[1]StuntDes!$C:$C)),"")</f>
        <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423</v>
      </c>
      <c r="D1316" t="s">
        <v>37</v>
      </c>
      <c r="E1316" t="s">
        <v>388</v>
      </c>
      <c r="G1316">
        <v>1</v>
      </c>
      <c r="H1316">
        <v>1000</v>
      </c>
      <c r="J1316" cm="1">
        <f t="array" ref="J1316">_xlfn.SWITCH(B1316,1,75,2,61,3,49,4,37,5,25,6,13,7,4,8,1)</f>
        <v>75</v>
      </c>
      <c r="K1316" t="str" cm="1">
        <f t="array" ref="K1316">IFERROR(_xlfn.SWITCH(L1316,2,_xlfn.XLOOKUP(C1316,[1]ModifierDes!$B:$B,[1]ModifierDes!$C:$C),3,_xlfn.XLOOKUP(C1316,[1]StuntDes!$B:$B,[1]StuntDes!$C:$C)),"")</f>
        <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423</v>
      </c>
      <c r="D1317" t="s">
        <v>37</v>
      </c>
      <c r="E1317" t="s">
        <v>388</v>
      </c>
      <c r="G1317">
        <v>1</v>
      </c>
      <c r="H1317">
        <v>1000</v>
      </c>
      <c r="J1317" cm="1">
        <f t="array" ref="J1317">_xlfn.SWITCH(B1317,1,75,2,61,3,49,4,37,5,25,6,13,7,4,8,1)</f>
        <v>61</v>
      </c>
      <c r="K1317" t="str" cm="1">
        <f t="array" ref="K1317">IFERROR(_xlfn.SWITCH(L1317,2,_xlfn.XLOOKUP(C1317,[1]ModifierDes!$B:$B,[1]ModifierDes!$C:$C),3,_xlfn.XLOOKUP(C1317,[1]StuntDes!$B:$B,[1]StuntDes!$C:$C)),"")</f>
        <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423</v>
      </c>
      <c r="D1318" t="s">
        <v>37</v>
      </c>
      <c r="E1318" t="s">
        <v>388</v>
      </c>
      <c r="G1318">
        <v>1</v>
      </c>
      <c r="H1318">
        <v>1000</v>
      </c>
      <c r="J1318" cm="1">
        <f t="array" ref="J1318">_xlfn.SWITCH(B1318,1,75,2,61,3,49,4,37,5,25,6,13,7,4,8,1)</f>
        <v>49</v>
      </c>
      <c r="K1318" t="str" cm="1">
        <f t="array" ref="K1318">IFERROR(_xlfn.SWITCH(L1318,2,_xlfn.XLOOKUP(C1318,[1]ModifierDes!$B:$B,[1]ModifierDes!$C:$C),3,_xlfn.XLOOKUP(C1318,[1]StuntDes!$B:$B,[1]StuntDes!$C:$C)),"")</f>
        <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423</v>
      </c>
      <c r="D1319" t="s">
        <v>37</v>
      </c>
      <c r="E1319" t="s">
        <v>388</v>
      </c>
      <c r="G1319">
        <v>1</v>
      </c>
      <c r="H1319">
        <v>1000</v>
      </c>
      <c r="J1319" cm="1">
        <f t="array" ref="J1319">_xlfn.SWITCH(B1319,1,75,2,61,3,49,4,37,5,25,6,13,7,4,8,1)</f>
        <v>37</v>
      </c>
      <c r="K1319" t="str" cm="1">
        <f t="array" ref="K1319">IFERROR(_xlfn.SWITCH(L1319,2,_xlfn.XLOOKUP(C1319,[1]ModifierDes!$B:$B,[1]ModifierDes!$C:$C),3,_xlfn.XLOOKUP(C1319,[1]StuntDes!$B:$B,[1]StuntDes!$C:$C)),"")</f>
        <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423</v>
      </c>
      <c r="D1320" t="s">
        <v>37</v>
      </c>
      <c r="E1320" t="s">
        <v>388</v>
      </c>
      <c r="G1320">
        <v>1</v>
      </c>
      <c r="H1320">
        <v>1000</v>
      </c>
      <c r="J1320" cm="1">
        <f t="array" ref="J1320">_xlfn.SWITCH(B1320,1,75,2,61,3,49,4,37,5,25,6,13,7,4,8,1)</f>
        <v>25</v>
      </c>
      <c r="K1320" t="str" cm="1">
        <f t="array" ref="K1320">IFERROR(_xlfn.SWITCH(L1320,2,_xlfn.XLOOKUP(C1320,[1]ModifierDes!$B:$B,[1]ModifierDes!$C:$C),3,_xlfn.XLOOKUP(C1320,[1]StuntDes!$B:$B,[1]StuntDes!$C:$C)),"")</f>
        <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423</v>
      </c>
      <c r="D1321" t="s">
        <v>37</v>
      </c>
      <c r="E1321" t="s">
        <v>388</v>
      </c>
      <c r="G1321">
        <v>1</v>
      </c>
      <c r="H1321">
        <v>1000</v>
      </c>
      <c r="J1321" cm="1">
        <f t="array" ref="J1321">_xlfn.SWITCH(B1321,1,75,2,61,3,49,4,37,5,25,6,13,7,4,8,1)</f>
        <v>13</v>
      </c>
      <c r="K1321" t="str" cm="1">
        <f t="array" ref="K1321">IFERROR(_xlfn.SWITCH(L1321,2,_xlfn.XLOOKUP(C1321,[1]ModifierDes!$B:$B,[1]ModifierDes!$C:$C),3,_xlfn.XLOOKUP(C1321,[1]StuntDes!$B:$B,[1]StuntDes!$C:$C)),"")</f>
        <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423</v>
      </c>
      <c r="D1322" t="s">
        <v>37</v>
      </c>
      <c r="E1322" t="s">
        <v>388</v>
      </c>
      <c r="G1322">
        <v>1</v>
      </c>
      <c r="H1322">
        <v>1000</v>
      </c>
      <c r="J1322" cm="1">
        <f t="array" ref="J1322">_xlfn.SWITCH(B1322,1,75,2,61,3,49,4,37,5,25,6,13,7,4,8,1)</f>
        <v>4</v>
      </c>
      <c r="K1322" t="str" cm="1">
        <f t="array" ref="K1322">IFERROR(_xlfn.SWITCH(L1322,2,_xlfn.XLOOKUP(C1322,[1]ModifierDes!$B:$B,[1]ModifierDes!$C:$C),3,_xlfn.XLOOKUP(C1322,[1]StuntDes!$B:$B,[1]StuntDes!$C:$C)),"")</f>
        <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423</v>
      </c>
      <c r="D1323" t="s">
        <v>37</v>
      </c>
      <c r="E1323" t="s">
        <v>388</v>
      </c>
      <c r="G1323">
        <v>1</v>
      </c>
      <c r="H1323">
        <v>1000</v>
      </c>
      <c r="J1323" cm="1">
        <f t="array" ref="J1323">_xlfn.SWITCH(B1323,1,75,2,61,3,49,4,37,5,25,6,13,7,4,8,1)</f>
        <v>1</v>
      </c>
      <c r="K1323" t="str" cm="1">
        <f t="array" ref="K1323">IFERROR(_xlfn.SWITCH(L1323,2,_xlfn.XLOOKUP(C1323,[1]ModifierDes!$B:$B,[1]ModifierDes!$C:$C),3,_xlfn.XLOOKUP(C1323,[1]StuntDes!$B:$B,[1]StuntDes!$C:$C)),"")</f>
        <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96</v>
      </c>
      <c r="D1324" t="s">
        <v>37</v>
      </c>
      <c r="E1324" t="s">
        <v>388</v>
      </c>
      <c r="G1324">
        <v>1</v>
      </c>
      <c r="H1324">
        <v>1000</v>
      </c>
      <c r="J1324" cm="1">
        <f t="array" ref="J1324">_xlfn.SWITCH(B1324,1,75,2,61,3,49,4,37,5,25,6,13,7,4,8,1)</f>
        <v>75</v>
      </c>
      <c r="K1324" t="str" cm="1">
        <f t="array" ref="K1324">IFERROR(_xlfn.SWITCH(L1324,2,_xlfn.XLOOKUP(C1324,[1]ModifierDes!$B:$B,[1]ModifierDes!$C:$C),3,_xlfn.XLOOKUP(C1324,[1]StuntDes!$B:$B,[1]StuntDes!$C:$C)),"")</f>
        <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96</v>
      </c>
      <c r="D1325" t="s">
        <v>37</v>
      </c>
      <c r="E1325" t="s">
        <v>388</v>
      </c>
      <c r="G1325">
        <v>1</v>
      </c>
      <c r="H1325">
        <v>1000</v>
      </c>
      <c r="J1325" cm="1">
        <f t="array" ref="J1325">_xlfn.SWITCH(B1325,1,75,2,61,3,49,4,37,5,25,6,13,7,4,8,1)</f>
        <v>61</v>
      </c>
      <c r="K1325" t="str" cm="1">
        <f t="array" ref="K1325">IFERROR(_xlfn.SWITCH(L1325,2,_xlfn.XLOOKUP(C1325,[1]ModifierDes!$B:$B,[1]ModifierDes!$C:$C),3,_xlfn.XLOOKUP(C1325,[1]StuntDes!$B:$B,[1]StuntDes!$C:$C)),"")</f>
        <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96</v>
      </c>
      <c r="D1326" t="s">
        <v>37</v>
      </c>
      <c r="E1326" t="s">
        <v>388</v>
      </c>
      <c r="G1326">
        <v>1</v>
      </c>
      <c r="H1326">
        <v>1000</v>
      </c>
      <c r="J1326" cm="1">
        <f t="array" ref="J1326">_xlfn.SWITCH(B1326,1,75,2,61,3,49,4,37,5,25,6,13,7,4,8,1)</f>
        <v>49</v>
      </c>
      <c r="K1326" t="str" cm="1">
        <f t="array" ref="K1326">IFERROR(_xlfn.SWITCH(L1326,2,_xlfn.XLOOKUP(C1326,[1]ModifierDes!$B:$B,[1]ModifierDes!$C:$C),3,_xlfn.XLOOKUP(C1326,[1]StuntDes!$B:$B,[1]StuntDes!$C:$C)),"")</f>
        <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96</v>
      </c>
      <c r="D1327" t="s">
        <v>37</v>
      </c>
      <c r="E1327" t="s">
        <v>388</v>
      </c>
      <c r="G1327">
        <v>1</v>
      </c>
      <c r="H1327">
        <v>1000</v>
      </c>
      <c r="J1327" cm="1">
        <f t="array" ref="J1327">_xlfn.SWITCH(B1327,1,75,2,61,3,49,4,37,5,25,6,13,7,4,8,1)</f>
        <v>37</v>
      </c>
      <c r="K1327" t="str" cm="1">
        <f t="array" ref="K1327">IFERROR(_xlfn.SWITCH(L1327,2,_xlfn.XLOOKUP(C1327,[1]ModifierDes!$B:$B,[1]ModifierDes!$C:$C),3,_xlfn.XLOOKUP(C1327,[1]StuntDes!$B:$B,[1]StuntDes!$C:$C)),"")</f>
        <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96</v>
      </c>
      <c r="D1328" t="s">
        <v>37</v>
      </c>
      <c r="E1328" t="s">
        <v>388</v>
      </c>
      <c r="G1328">
        <v>1</v>
      </c>
      <c r="H1328">
        <v>1000</v>
      </c>
      <c r="J1328" cm="1">
        <f t="array" ref="J1328">_xlfn.SWITCH(B1328,1,75,2,61,3,49,4,37,5,25,6,13,7,4,8,1)</f>
        <v>25</v>
      </c>
      <c r="K1328" t="str" cm="1">
        <f t="array" ref="K1328">IFERROR(_xlfn.SWITCH(L1328,2,_xlfn.XLOOKUP(C1328,[1]ModifierDes!$B:$B,[1]ModifierDes!$C:$C),3,_xlfn.XLOOKUP(C1328,[1]StuntDes!$B:$B,[1]StuntDes!$C:$C)),"")</f>
        <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96</v>
      </c>
      <c r="D1329" t="s">
        <v>37</v>
      </c>
      <c r="E1329" t="s">
        <v>388</v>
      </c>
      <c r="G1329">
        <v>1</v>
      </c>
      <c r="H1329">
        <v>1000</v>
      </c>
      <c r="J1329" cm="1">
        <f t="array" ref="J1329">_xlfn.SWITCH(B1329,1,75,2,61,3,49,4,37,5,25,6,13,7,4,8,1)</f>
        <v>13</v>
      </c>
      <c r="K1329" t="str" cm="1">
        <f t="array" ref="K1329">IFERROR(_xlfn.SWITCH(L1329,2,_xlfn.XLOOKUP(C1329,[1]ModifierDes!$B:$B,[1]ModifierDes!$C:$C),3,_xlfn.XLOOKUP(C1329,[1]StuntDes!$B:$B,[1]StuntDes!$C:$C)),"")</f>
        <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96</v>
      </c>
      <c r="D1330" t="s">
        <v>37</v>
      </c>
      <c r="E1330" t="s">
        <v>388</v>
      </c>
      <c r="G1330">
        <v>1</v>
      </c>
      <c r="H1330">
        <v>1000</v>
      </c>
      <c r="J1330" cm="1">
        <f t="array" ref="J1330">_xlfn.SWITCH(B1330,1,75,2,61,3,49,4,37,5,25,6,13,7,4,8,1)</f>
        <v>4</v>
      </c>
      <c r="K1330" t="str" cm="1">
        <f t="array" ref="K1330">IFERROR(_xlfn.SWITCH(L1330,2,_xlfn.XLOOKUP(C1330,[1]ModifierDes!$B:$B,[1]ModifierDes!$C:$C),3,_xlfn.XLOOKUP(C1330,[1]StuntDes!$B:$B,[1]StuntDes!$C:$C)),"")</f>
        <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96</v>
      </c>
      <c r="D1331" t="s">
        <v>37</v>
      </c>
      <c r="E1331" t="s">
        <v>388</v>
      </c>
      <c r="G1331">
        <v>1</v>
      </c>
      <c r="H1331">
        <v>1000</v>
      </c>
      <c r="J1331" cm="1">
        <f t="array" ref="J1331">_xlfn.SWITCH(B1331,1,75,2,61,3,49,4,37,5,25,6,13,7,4,8,1)</f>
        <v>1</v>
      </c>
      <c r="K1331" t="str" cm="1">
        <f t="array" ref="K1331">IFERROR(_xlfn.SWITCH(L1331,2,_xlfn.XLOOKUP(C1331,[1]ModifierDes!$B:$B,[1]ModifierDes!$C:$C),3,_xlfn.XLOOKUP(C1331,[1]StuntDes!$B:$B,[1]StuntDes!$C:$C)),"")</f>
        <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393</v>
      </c>
      <c r="D1332" t="s">
        <v>37</v>
      </c>
      <c r="E1332" t="s">
        <v>388</v>
      </c>
      <c r="F1332"/>
      <c r="G1332">
        <v>1</v>
      </c>
      <c r="H1332">
        <v>100</v>
      </c>
      <c r="J1332" cm="1">
        <f t="array" ref="J1332">_xlfn.SWITCH(B1332,1,75,2,61,3,49,4,37,5,25,6,13,7,4,8,1)</f>
        <v>75</v>
      </c>
      <c r="K1332" t="str" cm="1">
        <f t="array" ref="K1332">IFERROR(_xlfn.SWITCH(L1332,2,_xlfn.XLOOKUP(C1332,[1]ModifierDes!$B:$B,[1]ModifierDes!$C:$C),3,_xlfn.XLOOKUP(C1332,[1]StuntDes!$B:$B,[1]StuntDes!$C:$C)),"")</f>
        <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393</v>
      </c>
      <c r="D1333" t="s">
        <v>37</v>
      </c>
      <c r="E1333" t="s">
        <v>388</v>
      </c>
      <c r="F1333"/>
      <c r="G1333">
        <v>1</v>
      </c>
      <c r="H1333">
        <v>200</v>
      </c>
      <c r="I1333"/>
      <c r="J1333" cm="1">
        <f t="array" ref="J1333">_xlfn.SWITCH(B1333,1,75,2,61,3,49,4,37,5,25,6,13,7,4,8,1)</f>
        <v>61</v>
      </c>
      <c r="K1333" t="str" cm="1">
        <f t="array" ref="K1333">IFERROR(_xlfn.SWITCH(L1333,2,_xlfn.XLOOKUP(C1333,[1]ModifierDes!$B:$B,[1]ModifierDes!$C:$C),3,_xlfn.XLOOKUP(C1333,[1]StuntDes!$B:$B,[1]StuntDes!$C:$C)),"")</f>
        <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393</v>
      </c>
      <c r="D1334" t="s">
        <v>37</v>
      </c>
      <c r="E1334" t="s">
        <v>388</v>
      </c>
      <c r="F1334"/>
      <c r="G1334">
        <v>1</v>
      </c>
      <c r="H1334">
        <v>400</v>
      </c>
      <c r="I1334"/>
      <c r="J1334" cm="1">
        <f t="array" ref="J1334">_xlfn.SWITCH(B1334,1,75,2,61,3,49,4,37,5,25,6,13,7,4,8,1)</f>
        <v>49</v>
      </c>
      <c r="K1334" t="str" cm="1">
        <f t="array" ref="K1334">IFERROR(_xlfn.SWITCH(L1334,2,_xlfn.XLOOKUP(C1334,[1]ModifierDes!$B:$B,[1]ModifierDes!$C:$C),3,_xlfn.XLOOKUP(C1334,[1]StuntDes!$B:$B,[1]StuntDes!$C:$C)),"")</f>
        <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393</v>
      </c>
      <c r="D1335" t="s">
        <v>37</v>
      </c>
      <c r="E1335" t="s">
        <v>388</v>
      </c>
      <c r="F1335"/>
      <c r="G1335">
        <v>1</v>
      </c>
      <c r="H1335">
        <v>600</v>
      </c>
      <c r="I1335"/>
      <c r="J1335" cm="1">
        <f t="array" ref="J1335">_xlfn.SWITCH(B1335,1,75,2,61,3,49,4,37,5,25,6,13,7,4,8,1)</f>
        <v>37</v>
      </c>
      <c r="K1335" t="str" cm="1">
        <f t="array" ref="K1335">IFERROR(_xlfn.SWITCH(L1335,2,_xlfn.XLOOKUP(C1335,[1]ModifierDes!$B:$B,[1]ModifierDes!$C:$C),3,_xlfn.XLOOKUP(C1335,[1]StuntDes!$B:$B,[1]StuntDes!$C:$C)),"")</f>
        <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393</v>
      </c>
      <c r="D1336" t="s">
        <v>37</v>
      </c>
      <c r="E1336" t="s">
        <v>388</v>
      </c>
      <c r="F1336"/>
      <c r="G1336">
        <v>1</v>
      </c>
      <c r="H1336">
        <v>800</v>
      </c>
      <c r="I1336"/>
      <c r="J1336" cm="1">
        <f t="array" ref="J1336">_xlfn.SWITCH(B1336,1,75,2,61,3,49,4,37,5,25,6,13,7,4,8,1)</f>
        <v>25</v>
      </c>
      <c r="K1336" t="str" cm="1">
        <f t="array" ref="K1336">IFERROR(_xlfn.SWITCH(L1336,2,_xlfn.XLOOKUP(C1336,[1]ModifierDes!$B:$B,[1]ModifierDes!$C:$C),3,_xlfn.XLOOKUP(C1336,[1]StuntDes!$B:$B,[1]StuntDes!$C:$C)),"")</f>
        <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393</v>
      </c>
      <c r="D1337" t="s">
        <v>37</v>
      </c>
      <c r="E1337" t="s">
        <v>388</v>
      </c>
      <c r="F1337"/>
      <c r="G1337">
        <v>1</v>
      </c>
      <c r="H1337">
        <v>1000</v>
      </c>
      <c r="I1337"/>
      <c r="J1337" cm="1">
        <f t="array" ref="J1337">_xlfn.SWITCH(B1337,1,75,2,61,3,49,4,37,5,25,6,13,7,4,8,1)</f>
        <v>13</v>
      </c>
      <c r="K1337" t="str" cm="1">
        <f t="array" ref="K1337">IFERROR(_xlfn.SWITCH(L1337,2,_xlfn.XLOOKUP(C1337,[1]ModifierDes!$B:$B,[1]ModifierDes!$C:$C),3,_xlfn.XLOOKUP(C1337,[1]StuntDes!$B:$B,[1]StuntDes!$C:$C)),"")</f>
        <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393</v>
      </c>
      <c r="D1338" t="s">
        <v>37</v>
      </c>
      <c r="E1338" t="s">
        <v>388</v>
      </c>
      <c r="F1338"/>
      <c r="G1338">
        <v>1</v>
      </c>
      <c r="H1338">
        <v>1000</v>
      </c>
      <c r="I1338"/>
      <c r="J1338" cm="1">
        <f t="array" ref="J1338">_xlfn.SWITCH(B1338,1,75,2,61,3,49,4,37,5,25,6,13,7,4,8,1)</f>
        <v>4</v>
      </c>
      <c r="K1338" t="str" cm="1">
        <f t="array" ref="K1338">IFERROR(_xlfn.SWITCH(L1338,2,_xlfn.XLOOKUP(C1338,[1]ModifierDes!$B:$B,[1]ModifierDes!$C:$C),3,_xlfn.XLOOKUP(C1338,[1]StuntDes!$B:$B,[1]StuntDes!$C:$C)),"")</f>
        <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393</v>
      </c>
      <c r="D1339" t="s">
        <v>37</v>
      </c>
      <c r="E1339" t="s">
        <v>388</v>
      </c>
      <c r="F1339"/>
      <c r="G1339">
        <v>1</v>
      </c>
      <c r="H1339">
        <v>1000</v>
      </c>
      <c r="I1339"/>
      <c r="J1339" cm="1">
        <f t="array" ref="J1339">_xlfn.SWITCH(B1339,1,75,2,61,3,49,4,37,5,25,6,13,7,4,8,1)</f>
        <v>1</v>
      </c>
      <c r="K1339" t="str" cm="1">
        <f t="array" ref="K1339">IFERROR(_xlfn.SWITCH(L1339,2,_xlfn.XLOOKUP(C1339,[1]ModifierDes!$B:$B,[1]ModifierDes!$C:$C),3,_xlfn.XLOOKUP(C1339,[1]StuntDes!$B:$B,[1]StuntDes!$C:$C)),"")</f>
        <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394</v>
      </c>
      <c r="D1340" t="s">
        <v>37</v>
      </c>
      <c r="E1340" t="s">
        <v>388</v>
      </c>
      <c r="F1340"/>
      <c r="G1340">
        <v>1</v>
      </c>
      <c r="H1340">
        <v>100</v>
      </c>
      <c r="I1340"/>
      <c r="J1340" cm="1">
        <f t="array" ref="J1340">_xlfn.SWITCH(B1340,1,75,2,61,3,49,4,37,5,25,6,13,7,4,8,1)</f>
        <v>75</v>
      </c>
      <c r="K1340" t="str" cm="1">
        <f t="array" ref="K1340">IFERROR(_xlfn.SWITCH(L1340,2,_xlfn.XLOOKUP(C1340,[1]ModifierDes!$B:$B,[1]ModifierDes!$C:$C),3,_xlfn.XLOOKUP(C1340,[1]StuntDes!$B:$B,[1]StuntDes!$C:$C)),"")</f>
        <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394</v>
      </c>
      <c r="D1341" t="s">
        <v>37</v>
      </c>
      <c r="E1341" t="s">
        <v>388</v>
      </c>
      <c r="F1341"/>
      <c r="G1341">
        <v>1</v>
      </c>
      <c r="H1341">
        <v>200</v>
      </c>
      <c r="I1341"/>
      <c r="J1341" cm="1">
        <f t="array" ref="J1341">_xlfn.SWITCH(B1341,1,75,2,61,3,49,4,37,5,25,6,13,7,4,8,1)</f>
        <v>61</v>
      </c>
      <c r="K1341" t="str" cm="1">
        <f t="array" ref="K1341">IFERROR(_xlfn.SWITCH(L1341,2,_xlfn.XLOOKUP(C1341,[1]ModifierDes!$B:$B,[1]ModifierDes!$C:$C),3,_xlfn.XLOOKUP(C1341,[1]StuntDes!$B:$B,[1]StuntDes!$C:$C)),"")</f>
        <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394</v>
      </c>
      <c r="D1342" t="s">
        <v>37</v>
      </c>
      <c r="E1342" t="s">
        <v>388</v>
      </c>
      <c r="F1342"/>
      <c r="G1342">
        <v>1</v>
      </c>
      <c r="H1342">
        <v>400</v>
      </c>
      <c r="I1342"/>
      <c r="J1342" cm="1">
        <f t="array" ref="J1342">_xlfn.SWITCH(B1342,1,75,2,61,3,49,4,37,5,25,6,13,7,4,8,1)</f>
        <v>49</v>
      </c>
      <c r="K1342" t="str" cm="1">
        <f t="array" ref="K1342">IFERROR(_xlfn.SWITCH(L1342,2,_xlfn.XLOOKUP(C1342,[1]ModifierDes!$B:$B,[1]ModifierDes!$C:$C),3,_xlfn.XLOOKUP(C1342,[1]StuntDes!$B:$B,[1]StuntDes!$C:$C)),"")</f>
        <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394</v>
      </c>
      <c r="D1343" t="s">
        <v>37</v>
      </c>
      <c r="E1343" t="s">
        <v>388</v>
      </c>
      <c r="F1343"/>
      <c r="G1343">
        <v>1</v>
      </c>
      <c r="H1343">
        <v>600</v>
      </c>
      <c r="I1343"/>
      <c r="J1343" cm="1">
        <f t="array" ref="J1343">_xlfn.SWITCH(B1343,1,75,2,61,3,49,4,37,5,25,6,13,7,4,8,1)</f>
        <v>37</v>
      </c>
      <c r="K1343" t="str" cm="1">
        <f t="array" ref="K1343">IFERROR(_xlfn.SWITCH(L1343,2,_xlfn.XLOOKUP(C1343,[1]ModifierDes!$B:$B,[1]ModifierDes!$C:$C),3,_xlfn.XLOOKUP(C1343,[1]StuntDes!$B:$B,[1]StuntDes!$C:$C)),"")</f>
        <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394</v>
      </c>
      <c r="D1344" t="s">
        <v>37</v>
      </c>
      <c r="E1344" t="s">
        <v>388</v>
      </c>
      <c r="F1344"/>
      <c r="G1344">
        <v>1</v>
      </c>
      <c r="H1344">
        <v>800</v>
      </c>
      <c r="I1344"/>
      <c r="J1344" cm="1">
        <f t="array" ref="J1344">_xlfn.SWITCH(B1344,1,75,2,61,3,49,4,37,5,25,6,13,7,4,8,1)</f>
        <v>25</v>
      </c>
      <c r="K1344" t="str" cm="1">
        <f t="array" ref="K1344">IFERROR(_xlfn.SWITCH(L1344,2,_xlfn.XLOOKUP(C1344,[1]ModifierDes!$B:$B,[1]ModifierDes!$C:$C),3,_xlfn.XLOOKUP(C1344,[1]StuntDes!$B:$B,[1]StuntDes!$C:$C)),"")</f>
        <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394</v>
      </c>
      <c r="D1345" t="s">
        <v>37</v>
      </c>
      <c r="E1345" t="s">
        <v>388</v>
      </c>
      <c r="F1345"/>
      <c r="G1345">
        <v>1</v>
      </c>
      <c r="H1345">
        <v>1000</v>
      </c>
      <c r="I1345"/>
      <c r="J1345" cm="1">
        <f t="array" ref="J1345">_xlfn.SWITCH(B1345,1,75,2,61,3,49,4,37,5,25,6,13,7,4,8,1)</f>
        <v>13</v>
      </c>
      <c r="K1345" t="str" cm="1">
        <f t="array" ref="K1345">IFERROR(_xlfn.SWITCH(L1345,2,_xlfn.XLOOKUP(C1345,[1]ModifierDes!$B:$B,[1]ModifierDes!$C:$C),3,_xlfn.XLOOKUP(C1345,[1]StuntDes!$B:$B,[1]StuntDes!$C:$C)),"")</f>
        <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394</v>
      </c>
      <c r="D1346" t="s">
        <v>37</v>
      </c>
      <c r="E1346" t="s">
        <v>388</v>
      </c>
      <c r="F1346"/>
      <c r="G1346">
        <v>1</v>
      </c>
      <c r="H1346">
        <v>1000</v>
      </c>
      <c r="I1346"/>
      <c r="J1346" cm="1">
        <f t="array" ref="J1346">_xlfn.SWITCH(B1346,1,75,2,61,3,49,4,37,5,25,6,13,7,4,8,1)</f>
        <v>4</v>
      </c>
      <c r="K1346" t="str" cm="1">
        <f t="array" ref="K1346">IFERROR(_xlfn.SWITCH(L1346,2,_xlfn.XLOOKUP(C1346,[1]ModifierDes!$B:$B,[1]ModifierDes!$C:$C),3,_xlfn.XLOOKUP(C1346,[1]StuntDes!$B:$B,[1]StuntDes!$C:$C)),"")</f>
        <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394</v>
      </c>
      <c r="D1347" t="s">
        <v>37</v>
      </c>
      <c r="E1347" t="s">
        <v>388</v>
      </c>
      <c r="F1347"/>
      <c r="G1347">
        <v>1</v>
      </c>
      <c r="H1347">
        <v>1000</v>
      </c>
      <c r="I1347"/>
      <c r="J1347" cm="1">
        <f t="array" ref="J1347">_xlfn.SWITCH(B1347,1,75,2,61,3,49,4,37,5,25,6,13,7,4,8,1)</f>
        <v>1</v>
      </c>
      <c r="K1347" t="str" cm="1">
        <f t="array" ref="K1347">IFERROR(_xlfn.SWITCH(L1347,2,_xlfn.XLOOKUP(C1347,[1]ModifierDes!$B:$B,[1]ModifierDes!$C:$C),3,_xlfn.XLOOKUP(C1347,[1]StuntDes!$B:$B,[1]StuntDes!$C:$C)),"")</f>
        <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395</v>
      </c>
      <c r="D1348" t="s">
        <v>37</v>
      </c>
      <c r="E1348" t="s">
        <v>388</v>
      </c>
      <c r="F1348"/>
      <c r="G1348">
        <v>1</v>
      </c>
      <c r="H1348">
        <v>100</v>
      </c>
      <c r="I1348"/>
      <c r="J1348" cm="1">
        <f t="array" ref="J1348">_xlfn.SWITCH(B1348,1,75,2,61,3,49,4,37,5,25,6,13,7,4,8,1)</f>
        <v>75</v>
      </c>
      <c r="K1348" t="str" cm="1">
        <f t="array" ref="K1348">IFERROR(_xlfn.SWITCH(L1348,2,_xlfn.XLOOKUP(C1348,[1]ModifierDes!$B:$B,[1]ModifierDes!$C:$C),3,_xlfn.XLOOKUP(C1348,[1]StuntDes!$B:$B,[1]StuntDes!$C:$C)),"")</f>
        <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395</v>
      </c>
      <c r="D1349" t="s">
        <v>37</v>
      </c>
      <c r="E1349" t="s">
        <v>388</v>
      </c>
      <c r="F1349"/>
      <c r="G1349">
        <v>1</v>
      </c>
      <c r="H1349">
        <v>200</v>
      </c>
      <c r="I1349"/>
      <c r="J1349" cm="1">
        <f t="array" ref="J1349">_xlfn.SWITCH(B1349,1,75,2,61,3,49,4,37,5,25,6,13,7,4,8,1)</f>
        <v>61</v>
      </c>
      <c r="K1349" t="str" cm="1">
        <f t="array" ref="K1349">IFERROR(_xlfn.SWITCH(L1349,2,_xlfn.XLOOKUP(C1349,[1]ModifierDes!$B:$B,[1]ModifierDes!$C:$C),3,_xlfn.XLOOKUP(C1349,[1]StuntDes!$B:$B,[1]StuntDes!$C:$C)),"")</f>
        <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395</v>
      </c>
      <c r="D1350" t="s">
        <v>37</v>
      </c>
      <c r="E1350" t="s">
        <v>388</v>
      </c>
      <c r="F1350"/>
      <c r="G1350">
        <v>1</v>
      </c>
      <c r="H1350">
        <v>400</v>
      </c>
      <c r="I1350"/>
      <c r="J1350" cm="1">
        <f t="array" ref="J1350">_xlfn.SWITCH(B1350,1,75,2,61,3,49,4,37,5,25,6,13,7,4,8,1)</f>
        <v>49</v>
      </c>
      <c r="K1350" t="str" cm="1">
        <f t="array" ref="K1350">IFERROR(_xlfn.SWITCH(L1350,2,_xlfn.XLOOKUP(C1350,[1]ModifierDes!$B:$B,[1]ModifierDes!$C:$C),3,_xlfn.XLOOKUP(C1350,[1]StuntDes!$B:$B,[1]StuntDes!$C:$C)),"")</f>
        <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395</v>
      </c>
      <c r="D1351" t="s">
        <v>37</v>
      </c>
      <c r="E1351" t="s">
        <v>388</v>
      </c>
      <c r="F1351"/>
      <c r="G1351">
        <v>1</v>
      </c>
      <c r="H1351">
        <v>600</v>
      </c>
      <c r="I1351"/>
      <c r="J1351" cm="1">
        <f t="array" ref="J1351">_xlfn.SWITCH(B1351,1,75,2,61,3,49,4,37,5,25,6,13,7,4,8,1)</f>
        <v>37</v>
      </c>
      <c r="K1351" t="str" cm="1">
        <f t="array" ref="K1351">IFERROR(_xlfn.SWITCH(L1351,2,_xlfn.XLOOKUP(C1351,[1]ModifierDes!$B:$B,[1]ModifierDes!$C:$C),3,_xlfn.XLOOKUP(C1351,[1]StuntDes!$B:$B,[1]StuntDes!$C:$C)),"")</f>
        <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395</v>
      </c>
      <c r="D1352" t="s">
        <v>37</v>
      </c>
      <c r="E1352" t="s">
        <v>388</v>
      </c>
      <c r="F1352"/>
      <c r="G1352">
        <v>1</v>
      </c>
      <c r="H1352">
        <v>800</v>
      </c>
      <c r="I1352"/>
      <c r="J1352" cm="1">
        <f t="array" ref="J1352">_xlfn.SWITCH(B1352,1,75,2,61,3,49,4,37,5,25,6,13,7,4,8,1)</f>
        <v>25</v>
      </c>
      <c r="K1352" t="str" cm="1">
        <f t="array" ref="K1352">IFERROR(_xlfn.SWITCH(L1352,2,_xlfn.XLOOKUP(C1352,[1]ModifierDes!$B:$B,[1]ModifierDes!$C:$C),3,_xlfn.XLOOKUP(C1352,[1]StuntDes!$B:$B,[1]StuntDes!$C:$C)),"")</f>
        <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395</v>
      </c>
      <c r="D1353" t="s">
        <v>37</v>
      </c>
      <c r="E1353" t="s">
        <v>388</v>
      </c>
      <c r="F1353"/>
      <c r="G1353">
        <v>1</v>
      </c>
      <c r="H1353">
        <v>1000</v>
      </c>
      <c r="I1353"/>
      <c r="J1353" cm="1">
        <f t="array" ref="J1353">_xlfn.SWITCH(B1353,1,75,2,61,3,49,4,37,5,25,6,13,7,4,8,1)</f>
        <v>13</v>
      </c>
      <c r="K1353" t="str" cm="1">
        <f t="array" ref="K1353">IFERROR(_xlfn.SWITCH(L1353,2,_xlfn.XLOOKUP(C1353,[1]ModifierDes!$B:$B,[1]ModifierDes!$C:$C),3,_xlfn.XLOOKUP(C1353,[1]StuntDes!$B:$B,[1]StuntDes!$C:$C)),"")</f>
        <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395</v>
      </c>
      <c r="D1354" t="s">
        <v>37</v>
      </c>
      <c r="E1354" t="s">
        <v>388</v>
      </c>
      <c r="F1354"/>
      <c r="G1354">
        <v>1</v>
      </c>
      <c r="H1354">
        <v>1000</v>
      </c>
      <c r="I1354"/>
      <c r="J1354" cm="1">
        <f t="array" ref="J1354">_xlfn.SWITCH(B1354,1,75,2,61,3,49,4,37,5,25,6,13,7,4,8,1)</f>
        <v>4</v>
      </c>
      <c r="K1354" t="str" cm="1">
        <f t="array" ref="K1354">IFERROR(_xlfn.SWITCH(L1354,2,_xlfn.XLOOKUP(C1354,[1]ModifierDes!$B:$B,[1]ModifierDes!$C:$C),3,_xlfn.XLOOKUP(C1354,[1]StuntDes!$B:$B,[1]StuntDes!$C:$C)),"")</f>
        <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395</v>
      </c>
      <c r="D1355" t="s">
        <v>37</v>
      </c>
      <c r="E1355" t="s">
        <v>388</v>
      </c>
      <c r="F1355"/>
      <c r="G1355">
        <v>1</v>
      </c>
      <c r="H1355">
        <v>1000</v>
      </c>
      <c r="I1355"/>
      <c r="J1355" cm="1">
        <f t="array" ref="J1355">_xlfn.SWITCH(B1355,1,75,2,61,3,49,4,37,5,25,6,13,7,4,8,1)</f>
        <v>1</v>
      </c>
      <c r="K1355" t="str" cm="1">
        <f t="array" ref="K1355">IFERROR(_xlfn.SWITCH(L1355,2,_xlfn.XLOOKUP(C1355,[1]ModifierDes!$B:$B,[1]ModifierDes!$C:$C),3,_xlfn.XLOOKUP(C1355,[1]StuntDes!$B:$B,[1]StuntDes!$C:$C)),"")</f>
        <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396</v>
      </c>
      <c r="D1356" t="s">
        <v>37</v>
      </c>
      <c r="E1356" t="s">
        <v>388</v>
      </c>
      <c r="F1356"/>
      <c r="G1356">
        <v>1</v>
      </c>
      <c r="H1356">
        <v>100</v>
      </c>
      <c r="I1356"/>
      <c r="J1356" cm="1">
        <f t="array" ref="J1356">_xlfn.SWITCH(B1356,1,75,2,61,3,49,4,37,5,25,6,13,7,4,8,1)</f>
        <v>75</v>
      </c>
      <c r="K1356" t="str" cm="1">
        <f t="array" ref="K1356">IFERROR(_xlfn.SWITCH(L1356,2,_xlfn.XLOOKUP(C1356,[1]ModifierDes!$B:$B,[1]ModifierDes!$C:$C),3,_xlfn.XLOOKUP(C1356,[1]StuntDes!$B:$B,[1]StuntDes!$C:$C)),"")</f>
        <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396</v>
      </c>
      <c r="D1357" t="s">
        <v>37</v>
      </c>
      <c r="E1357" t="s">
        <v>388</v>
      </c>
      <c r="F1357"/>
      <c r="G1357">
        <v>1</v>
      </c>
      <c r="H1357">
        <v>200</v>
      </c>
      <c r="I1357"/>
      <c r="J1357" cm="1">
        <f t="array" ref="J1357">_xlfn.SWITCH(B1357,1,75,2,61,3,49,4,37,5,25,6,13,7,4,8,1)</f>
        <v>61</v>
      </c>
      <c r="K1357" t="str" cm="1">
        <f t="array" ref="K1357">IFERROR(_xlfn.SWITCH(L1357,2,_xlfn.XLOOKUP(C1357,[1]ModifierDes!$B:$B,[1]ModifierDes!$C:$C),3,_xlfn.XLOOKUP(C1357,[1]StuntDes!$B:$B,[1]StuntDes!$C:$C)),"")</f>
        <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396</v>
      </c>
      <c r="D1358" t="s">
        <v>37</v>
      </c>
      <c r="E1358" t="s">
        <v>388</v>
      </c>
      <c r="F1358"/>
      <c r="G1358">
        <v>1</v>
      </c>
      <c r="H1358">
        <v>400</v>
      </c>
      <c r="I1358"/>
      <c r="J1358" cm="1">
        <f t="array" ref="J1358">_xlfn.SWITCH(B1358,1,75,2,61,3,49,4,37,5,25,6,13,7,4,8,1)</f>
        <v>49</v>
      </c>
      <c r="K1358" t="str" cm="1">
        <f t="array" ref="K1358">IFERROR(_xlfn.SWITCH(L1358,2,_xlfn.XLOOKUP(C1358,[1]ModifierDes!$B:$B,[1]ModifierDes!$C:$C),3,_xlfn.XLOOKUP(C1358,[1]StuntDes!$B:$B,[1]StuntDes!$C:$C)),"")</f>
        <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396</v>
      </c>
      <c r="D1359" t="s">
        <v>37</v>
      </c>
      <c r="E1359" t="s">
        <v>388</v>
      </c>
      <c r="F1359"/>
      <c r="G1359">
        <v>1</v>
      </c>
      <c r="H1359">
        <v>600</v>
      </c>
      <c r="I1359"/>
      <c r="J1359" cm="1">
        <f t="array" ref="J1359">_xlfn.SWITCH(B1359,1,75,2,61,3,49,4,37,5,25,6,13,7,4,8,1)</f>
        <v>37</v>
      </c>
      <c r="K1359" t="str" cm="1">
        <f t="array" ref="K1359">IFERROR(_xlfn.SWITCH(L1359,2,_xlfn.XLOOKUP(C1359,[1]ModifierDes!$B:$B,[1]ModifierDes!$C:$C),3,_xlfn.XLOOKUP(C1359,[1]StuntDes!$B:$B,[1]StuntDes!$C:$C)),"")</f>
        <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396</v>
      </c>
      <c r="D1360" t="s">
        <v>37</v>
      </c>
      <c r="E1360" t="s">
        <v>388</v>
      </c>
      <c r="F1360"/>
      <c r="G1360">
        <v>1</v>
      </c>
      <c r="H1360">
        <v>800</v>
      </c>
      <c r="I1360"/>
      <c r="J1360" cm="1">
        <f t="array" ref="J1360">_xlfn.SWITCH(B1360,1,75,2,61,3,49,4,37,5,25,6,13,7,4,8,1)</f>
        <v>25</v>
      </c>
      <c r="K1360" t="str" cm="1">
        <f t="array" ref="K1360">IFERROR(_xlfn.SWITCH(L1360,2,_xlfn.XLOOKUP(C1360,[1]ModifierDes!$B:$B,[1]ModifierDes!$C:$C),3,_xlfn.XLOOKUP(C1360,[1]StuntDes!$B:$B,[1]StuntDes!$C:$C)),"")</f>
        <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396</v>
      </c>
      <c r="D1361" t="s">
        <v>37</v>
      </c>
      <c r="E1361" t="s">
        <v>388</v>
      </c>
      <c r="F1361"/>
      <c r="G1361">
        <v>1</v>
      </c>
      <c r="H1361">
        <v>1000</v>
      </c>
      <c r="I1361"/>
      <c r="J1361" cm="1">
        <f t="array" ref="J1361">_xlfn.SWITCH(B1361,1,75,2,61,3,49,4,37,5,25,6,13,7,4,8,1)</f>
        <v>13</v>
      </c>
      <c r="K1361" t="str" cm="1">
        <f t="array" ref="K1361">IFERROR(_xlfn.SWITCH(L1361,2,_xlfn.XLOOKUP(C1361,[1]ModifierDes!$B:$B,[1]ModifierDes!$C:$C),3,_xlfn.XLOOKUP(C1361,[1]StuntDes!$B:$B,[1]StuntDes!$C:$C)),"")</f>
        <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396</v>
      </c>
      <c r="D1362" t="s">
        <v>37</v>
      </c>
      <c r="E1362" t="s">
        <v>388</v>
      </c>
      <c r="F1362"/>
      <c r="G1362">
        <v>1</v>
      </c>
      <c r="H1362">
        <v>1000</v>
      </c>
      <c r="I1362"/>
      <c r="J1362" cm="1">
        <f t="array" ref="J1362">_xlfn.SWITCH(B1362,1,75,2,61,3,49,4,37,5,25,6,13,7,4,8,1)</f>
        <v>4</v>
      </c>
      <c r="K1362" t="str" cm="1">
        <f t="array" ref="K1362">IFERROR(_xlfn.SWITCH(L1362,2,_xlfn.XLOOKUP(C1362,[1]ModifierDes!$B:$B,[1]ModifierDes!$C:$C),3,_xlfn.XLOOKUP(C1362,[1]StuntDes!$B:$B,[1]StuntDes!$C:$C)),"")</f>
        <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396</v>
      </c>
      <c r="D1363" t="s">
        <v>37</v>
      </c>
      <c r="E1363" t="s">
        <v>388</v>
      </c>
      <c r="F1363"/>
      <c r="G1363">
        <v>1</v>
      </c>
      <c r="H1363">
        <v>1000</v>
      </c>
      <c r="I1363"/>
      <c r="J1363" cm="1">
        <f t="array" ref="J1363">_xlfn.SWITCH(B1363,1,75,2,61,3,49,4,37,5,25,6,13,7,4,8,1)</f>
        <v>1</v>
      </c>
      <c r="K1363" t="str" cm="1">
        <f t="array" ref="K1363">IFERROR(_xlfn.SWITCH(L1363,2,_xlfn.XLOOKUP(C1363,[1]ModifierDes!$B:$B,[1]ModifierDes!$C:$C),3,_xlfn.XLOOKUP(C1363,[1]StuntDes!$B:$B,[1]StuntDes!$C:$C)),"")</f>
        <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397</v>
      </c>
      <c r="D1364" t="s">
        <v>37</v>
      </c>
      <c r="E1364" t="s">
        <v>388</v>
      </c>
      <c r="F1364"/>
      <c r="G1364">
        <v>1</v>
      </c>
      <c r="H1364">
        <v>100</v>
      </c>
      <c r="I1364"/>
      <c r="J1364" cm="1">
        <f t="array" ref="J1364">_xlfn.SWITCH(B1364,1,75,2,61,3,49,4,37,5,25,6,13,7,4,8,1)</f>
        <v>75</v>
      </c>
      <c r="K1364" t="str" cm="1">
        <f t="array" ref="K1364">IFERROR(_xlfn.SWITCH(L1364,2,_xlfn.XLOOKUP(C1364,[1]ModifierDes!$B:$B,[1]ModifierDes!$C:$C),3,_xlfn.XLOOKUP(C1364,[1]StuntDes!$B:$B,[1]StuntDes!$C:$C)),"")</f>
        <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397</v>
      </c>
      <c r="D1365" t="s">
        <v>37</v>
      </c>
      <c r="E1365" t="s">
        <v>388</v>
      </c>
      <c r="F1365"/>
      <c r="G1365">
        <v>1</v>
      </c>
      <c r="H1365">
        <v>200</v>
      </c>
      <c r="I1365"/>
      <c r="J1365" cm="1">
        <f t="array" ref="J1365">_xlfn.SWITCH(B1365,1,75,2,61,3,49,4,37,5,25,6,13,7,4,8,1)</f>
        <v>61</v>
      </c>
      <c r="K1365" t="str" cm="1">
        <f t="array" ref="K1365">IFERROR(_xlfn.SWITCH(L1365,2,_xlfn.XLOOKUP(C1365,[1]ModifierDes!$B:$B,[1]ModifierDes!$C:$C),3,_xlfn.XLOOKUP(C1365,[1]StuntDes!$B:$B,[1]StuntDes!$C:$C)),"")</f>
        <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397</v>
      </c>
      <c r="D1366" t="s">
        <v>37</v>
      </c>
      <c r="E1366" t="s">
        <v>388</v>
      </c>
      <c r="F1366"/>
      <c r="G1366">
        <v>1</v>
      </c>
      <c r="H1366">
        <v>400</v>
      </c>
      <c r="I1366"/>
      <c r="J1366" cm="1">
        <f t="array" ref="J1366">_xlfn.SWITCH(B1366,1,75,2,61,3,49,4,37,5,25,6,13,7,4,8,1)</f>
        <v>49</v>
      </c>
      <c r="K1366" t="str" cm="1">
        <f t="array" ref="K1366">IFERROR(_xlfn.SWITCH(L1366,2,_xlfn.XLOOKUP(C1366,[1]ModifierDes!$B:$B,[1]ModifierDes!$C:$C),3,_xlfn.XLOOKUP(C1366,[1]StuntDes!$B:$B,[1]StuntDes!$C:$C)),"")</f>
        <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397</v>
      </c>
      <c r="D1367" t="s">
        <v>37</v>
      </c>
      <c r="E1367" t="s">
        <v>388</v>
      </c>
      <c r="F1367"/>
      <c r="G1367">
        <v>1</v>
      </c>
      <c r="H1367">
        <v>600</v>
      </c>
      <c r="I1367"/>
      <c r="J1367" cm="1">
        <f t="array" ref="J1367">_xlfn.SWITCH(B1367,1,75,2,61,3,49,4,37,5,25,6,13,7,4,8,1)</f>
        <v>37</v>
      </c>
      <c r="K1367" t="str" cm="1">
        <f t="array" ref="K1367">IFERROR(_xlfn.SWITCH(L1367,2,_xlfn.XLOOKUP(C1367,[1]ModifierDes!$B:$B,[1]ModifierDes!$C:$C),3,_xlfn.XLOOKUP(C1367,[1]StuntDes!$B:$B,[1]StuntDes!$C:$C)),"")</f>
        <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397</v>
      </c>
      <c r="D1368" t="s">
        <v>37</v>
      </c>
      <c r="E1368" t="s">
        <v>388</v>
      </c>
      <c r="F1368"/>
      <c r="G1368">
        <v>1</v>
      </c>
      <c r="H1368">
        <v>800</v>
      </c>
      <c r="I1368"/>
      <c r="J1368" cm="1">
        <f t="array" ref="J1368">_xlfn.SWITCH(B1368,1,75,2,61,3,49,4,37,5,25,6,13,7,4,8,1)</f>
        <v>25</v>
      </c>
      <c r="K1368" t="str" cm="1">
        <f t="array" ref="K1368">IFERROR(_xlfn.SWITCH(L1368,2,_xlfn.XLOOKUP(C1368,[1]ModifierDes!$B:$B,[1]ModifierDes!$C:$C),3,_xlfn.XLOOKUP(C1368,[1]StuntDes!$B:$B,[1]StuntDes!$C:$C)),"")</f>
        <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397</v>
      </c>
      <c r="D1369" t="s">
        <v>37</v>
      </c>
      <c r="E1369" t="s">
        <v>388</v>
      </c>
      <c r="F1369"/>
      <c r="G1369">
        <v>1</v>
      </c>
      <c r="H1369">
        <v>1000</v>
      </c>
      <c r="I1369"/>
      <c r="J1369" cm="1">
        <f t="array" ref="J1369">_xlfn.SWITCH(B1369,1,75,2,61,3,49,4,37,5,25,6,13,7,4,8,1)</f>
        <v>13</v>
      </c>
      <c r="K1369" t="str" cm="1">
        <f t="array" ref="K1369">IFERROR(_xlfn.SWITCH(L1369,2,_xlfn.XLOOKUP(C1369,[1]ModifierDes!$B:$B,[1]ModifierDes!$C:$C),3,_xlfn.XLOOKUP(C1369,[1]StuntDes!$B:$B,[1]StuntDes!$C:$C)),"")</f>
        <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397</v>
      </c>
      <c r="D1370" t="s">
        <v>37</v>
      </c>
      <c r="E1370" t="s">
        <v>388</v>
      </c>
      <c r="F1370"/>
      <c r="G1370">
        <v>1</v>
      </c>
      <c r="H1370">
        <v>1000</v>
      </c>
      <c r="I1370"/>
      <c r="J1370" cm="1">
        <f t="array" ref="J1370">_xlfn.SWITCH(B1370,1,75,2,61,3,49,4,37,5,25,6,13,7,4,8,1)</f>
        <v>4</v>
      </c>
      <c r="K1370" t="str" cm="1">
        <f t="array" ref="K1370">IFERROR(_xlfn.SWITCH(L1370,2,_xlfn.XLOOKUP(C1370,[1]ModifierDes!$B:$B,[1]ModifierDes!$C:$C),3,_xlfn.XLOOKUP(C1370,[1]StuntDes!$B:$B,[1]StuntDes!$C:$C)),"")</f>
        <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397</v>
      </c>
      <c r="D1371" t="s">
        <v>37</v>
      </c>
      <c r="E1371" t="s">
        <v>388</v>
      </c>
      <c r="F1371"/>
      <c r="G1371">
        <v>1</v>
      </c>
      <c r="H1371">
        <v>1000</v>
      </c>
      <c r="I1371"/>
      <c r="J1371" cm="1">
        <f t="array" ref="J1371">_xlfn.SWITCH(B1371,1,75,2,61,3,49,4,37,5,25,6,13,7,4,8,1)</f>
        <v>1</v>
      </c>
      <c r="K1371" t="str" cm="1">
        <f t="array" ref="K1371">IFERROR(_xlfn.SWITCH(L1371,2,_xlfn.XLOOKUP(C1371,[1]ModifierDes!$B:$B,[1]ModifierDes!$C:$C),3,_xlfn.XLOOKUP(C1371,[1]StuntDes!$B:$B,[1]StuntDes!$C:$C)),"")</f>
        <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399</v>
      </c>
      <c r="D1372" t="s">
        <v>37</v>
      </c>
      <c r="E1372" t="s">
        <v>388</v>
      </c>
      <c r="F1372"/>
      <c r="G1372">
        <v>1</v>
      </c>
      <c r="H1372">
        <v>1000</v>
      </c>
      <c r="I1372"/>
      <c r="J1372" cm="1">
        <f t="array" ref="J1372">_xlfn.SWITCH(B1372,1,75,2,61,3,49,4,37,5,25,6,13,7,4,8,1)</f>
        <v>75</v>
      </c>
      <c r="K1372" t="str" cm="1">
        <f t="array" ref="K1372">IFERROR(_xlfn.SWITCH(L1372,2,_xlfn.XLOOKUP(C1372,[1]ModifierDes!$B:$B,[1]ModifierDes!$C:$C),3,_xlfn.XLOOKUP(C1372,[1]StuntDes!$B:$B,[1]StuntDes!$C:$C)),"")</f>
        <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399</v>
      </c>
      <c r="D1373" t="s">
        <v>37</v>
      </c>
      <c r="E1373" t="s">
        <v>388</v>
      </c>
      <c r="F1373"/>
      <c r="G1373">
        <v>1</v>
      </c>
      <c r="H1373">
        <v>1000</v>
      </c>
      <c r="I1373"/>
      <c r="J1373" cm="1">
        <f t="array" ref="J1373">_xlfn.SWITCH(B1373,1,75,2,61,3,49,4,37,5,25,6,13,7,4,8,1)</f>
        <v>61</v>
      </c>
      <c r="K1373" t="str" cm="1">
        <f t="array" ref="K1373">IFERROR(_xlfn.SWITCH(L1373,2,_xlfn.XLOOKUP(C1373,[1]ModifierDes!$B:$B,[1]ModifierDes!$C:$C),3,_xlfn.XLOOKUP(C1373,[1]StuntDes!$B:$B,[1]StuntDes!$C:$C)),"")</f>
        <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399</v>
      </c>
      <c r="D1374" t="s">
        <v>37</v>
      </c>
      <c r="E1374" t="s">
        <v>388</v>
      </c>
      <c r="F1374"/>
      <c r="G1374">
        <v>1</v>
      </c>
      <c r="H1374">
        <v>1000</v>
      </c>
      <c r="I1374"/>
      <c r="J1374" cm="1">
        <f t="array" ref="J1374">_xlfn.SWITCH(B1374,1,75,2,61,3,49,4,37,5,25,6,13,7,4,8,1)</f>
        <v>49</v>
      </c>
      <c r="K1374" t="str" cm="1">
        <f t="array" ref="K1374">IFERROR(_xlfn.SWITCH(L1374,2,_xlfn.XLOOKUP(C1374,[1]ModifierDes!$B:$B,[1]ModifierDes!$C:$C),3,_xlfn.XLOOKUP(C1374,[1]StuntDes!$B:$B,[1]StuntDes!$C:$C)),"")</f>
        <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399</v>
      </c>
      <c r="D1375" t="s">
        <v>37</v>
      </c>
      <c r="E1375" t="s">
        <v>388</v>
      </c>
      <c r="F1375"/>
      <c r="G1375">
        <v>1</v>
      </c>
      <c r="H1375">
        <v>1000</v>
      </c>
      <c r="I1375"/>
      <c r="J1375" cm="1">
        <f t="array" ref="J1375">_xlfn.SWITCH(B1375,1,75,2,61,3,49,4,37,5,25,6,13,7,4,8,1)</f>
        <v>37</v>
      </c>
      <c r="K1375" t="str" cm="1">
        <f t="array" ref="K1375">IFERROR(_xlfn.SWITCH(L1375,2,_xlfn.XLOOKUP(C1375,[1]ModifierDes!$B:$B,[1]ModifierDes!$C:$C),3,_xlfn.XLOOKUP(C1375,[1]StuntDes!$B:$B,[1]StuntDes!$C:$C)),"")</f>
        <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399</v>
      </c>
      <c r="D1376" t="s">
        <v>37</v>
      </c>
      <c r="E1376" t="s">
        <v>388</v>
      </c>
      <c r="F1376"/>
      <c r="G1376">
        <v>1</v>
      </c>
      <c r="H1376">
        <v>1000</v>
      </c>
      <c r="I1376"/>
      <c r="J1376" cm="1">
        <f t="array" ref="J1376">_xlfn.SWITCH(B1376,1,75,2,61,3,49,4,37,5,25,6,13,7,4,8,1)</f>
        <v>25</v>
      </c>
      <c r="K1376" t="str" cm="1">
        <f t="array" ref="K1376">IFERROR(_xlfn.SWITCH(L1376,2,_xlfn.XLOOKUP(C1376,[1]ModifierDes!$B:$B,[1]ModifierDes!$C:$C),3,_xlfn.XLOOKUP(C1376,[1]StuntDes!$B:$B,[1]StuntDes!$C:$C)),"")</f>
        <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399</v>
      </c>
      <c r="D1377" t="s">
        <v>37</v>
      </c>
      <c r="E1377" t="s">
        <v>388</v>
      </c>
      <c r="F1377"/>
      <c r="G1377">
        <v>1</v>
      </c>
      <c r="H1377">
        <v>1000</v>
      </c>
      <c r="I1377"/>
      <c r="J1377" cm="1">
        <f t="array" ref="J1377">_xlfn.SWITCH(B1377,1,75,2,61,3,49,4,37,5,25,6,13,7,4,8,1)</f>
        <v>13</v>
      </c>
      <c r="K1377" t="str" cm="1">
        <f t="array" ref="K1377">IFERROR(_xlfn.SWITCH(L1377,2,_xlfn.XLOOKUP(C1377,[1]ModifierDes!$B:$B,[1]ModifierDes!$C:$C),3,_xlfn.XLOOKUP(C1377,[1]StuntDes!$B:$B,[1]StuntDes!$C:$C)),"")</f>
        <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399</v>
      </c>
      <c r="D1378" t="s">
        <v>37</v>
      </c>
      <c r="E1378" t="s">
        <v>388</v>
      </c>
      <c r="F1378"/>
      <c r="G1378">
        <v>1</v>
      </c>
      <c r="H1378">
        <v>1000</v>
      </c>
      <c r="I1378"/>
      <c r="J1378" cm="1">
        <f t="array" ref="J1378">_xlfn.SWITCH(B1378,1,75,2,61,3,49,4,37,5,25,6,13,7,4,8,1)</f>
        <v>4</v>
      </c>
      <c r="K1378" t="str" cm="1">
        <f t="array" ref="K1378">IFERROR(_xlfn.SWITCH(L1378,2,_xlfn.XLOOKUP(C1378,[1]ModifierDes!$B:$B,[1]ModifierDes!$C:$C),3,_xlfn.XLOOKUP(C1378,[1]StuntDes!$B:$B,[1]StuntDes!$C:$C)),"")</f>
        <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399</v>
      </c>
      <c r="D1379" t="s">
        <v>37</v>
      </c>
      <c r="E1379" t="s">
        <v>388</v>
      </c>
      <c r="F1379"/>
      <c r="G1379">
        <v>1</v>
      </c>
      <c r="H1379">
        <v>1000</v>
      </c>
      <c r="I1379"/>
      <c r="J1379" cm="1">
        <f t="array" ref="J1379">_xlfn.SWITCH(B1379,1,75,2,61,3,49,4,37,5,25,6,13,7,4,8,1)</f>
        <v>1</v>
      </c>
      <c r="K1379" t="str" cm="1">
        <f t="array" ref="K1379">IFERROR(_xlfn.SWITCH(L1379,2,_xlfn.XLOOKUP(C1379,[1]ModifierDes!$B:$B,[1]ModifierDes!$C:$C),3,_xlfn.XLOOKUP(C1379,[1]StuntDes!$B:$B,[1]StuntDes!$C:$C)),"")</f>
        <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444</v>
      </c>
      <c r="D1380" t="s">
        <v>37</v>
      </c>
      <c r="E1380" t="s">
        <v>388</v>
      </c>
      <c r="G1380">
        <v>1</v>
      </c>
      <c r="H1380">
        <v>1000</v>
      </c>
      <c r="J1380" cm="1">
        <f t="array" ref="J1380">_xlfn.SWITCH(B1380,1,75,2,61,3,49,4,37,5,25,6,13,7,4,8,1)</f>
        <v>75</v>
      </c>
      <c r="K1380" t="str" cm="1">
        <f t="array" ref="K1380">IFERROR(_xlfn.SWITCH(L1380,2,_xlfn.XLOOKUP(C1380,[1]ModifierDes!$B:$B,[1]ModifierDes!$C:$C),3,_xlfn.XLOOKUP(C1380,[1]StuntDes!$B:$B,[1]StuntDes!$C:$C)),"")</f>
        <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444</v>
      </c>
      <c r="D1381" t="s">
        <v>37</v>
      </c>
      <c r="E1381" t="s">
        <v>388</v>
      </c>
      <c r="G1381">
        <v>1</v>
      </c>
      <c r="H1381">
        <v>1000</v>
      </c>
      <c r="J1381" cm="1">
        <f t="array" ref="J1381">_xlfn.SWITCH(B1381,1,75,2,61,3,49,4,37,5,25,6,13,7,4,8,1)</f>
        <v>61</v>
      </c>
      <c r="K1381" t="str" cm="1">
        <f t="array" ref="K1381">IFERROR(_xlfn.SWITCH(L1381,2,_xlfn.XLOOKUP(C1381,[1]ModifierDes!$B:$B,[1]ModifierDes!$C:$C),3,_xlfn.XLOOKUP(C1381,[1]StuntDes!$B:$B,[1]StuntDes!$C:$C)),"")</f>
        <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444</v>
      </c>
      <c r="D1382" t="s">
        <v>37</v>
      </c>
      <c r="E1382" t="s">
        <v>388</v>
      </c>
      <c r="G1382">
        <v>1</v>
      </c>
      <c r="H1382">
        <v>1000</v>
      </c>
      <c r="J1382" cm="1">
        <f t="array" ref="J1382">_xlfn.SWITCH(B1382,1,75,2,61,3,49,4,37,5,25,6,13,7,4,8,1)</f>
        <v>49</v>
      </c>
      <c r="K1382" t="str" cm="1">
        <f t="array" ref="K1382">IFERROR(_xlfn.SWITCH(L1382,2,_xlfn.XLOOKUP(C1382,[1]ModifierDes!$B:$B,[1]ModifierDes!$C:$C),3,_xlfn.XLOOKUP(C1382,[1]StuntDes!$B:$B,[1]StuntDes!$C:$C)),"")</f>
        <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444</v>
      </c>
      <c r="D1383" t="s">
        <v>37</v>
      </c>
      <c r="E1383" t="s">
        <v>388</v>
      </c>
      <c r="G1383">
        <v>1</v>
      </c>
      <c r="H1383">
        <v>1000</v>
      </c>
      <c r="J1383" cm="1">
        <f t="array" ref="J1383">_xlfn.SWITCH(B1383,1,75,2,61,3,49,4,37,5,25,6,13,7,4,8,1)</f>
        <v>37</v>
      </c>
      <c r="K1383" t="str" cm="1">
        <f t="array" ref="K1383">IFERROR(_xlfn.SWITCH(L1383,2,_xlfn.XLOOKUP(C1383,[1]ModifierDes!$B:$B,[1]ModifierDes!$C:$C),3,_xlfn.XLOOKUP(C1383,[1]StuntDes!$B:$B,[1]StuntDes!$C:$C)),"")</f>
        <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444</v>
      </c>
      <c r="D1384" t="s">
        <v>37</v>
      </c>
      <c r="E1384" t="s">
        <v>388</v>
      </c>
      <c r="G1384">
        <v>1</v>
      </c>
      <c r="H1384">
        <v>1000</v>
      </c>
      <c r="J1384" cm="1">
        <f t="array" ref="J1384">_xlfn.SWITCH(B1384,1,75,2,61,3,49,4,37,5,25,6,13,7,4,8,1)</f>
        <v>25</v>
      </c>
      <c r="K1384" t="str" cm="1">
        <f t="array" ref="K1384">IFERROR(_xlfn.SWITCH(L1384,2,_xlfn.XLOOKUP(C1384,[1]ModifierDes!$B:$B,[1]ModifierDes!$C:$C),3,_xlfn.XLOOKUP(C1384,[1]StuntDes!$B:$B,[1]StuntDes!$C:$C)),"")</f>
        <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444</v>
      </c>
      <c r="D1385" t="s">
        <v>37</v>
      </c>
      <c r="E1385" t="s">
        <v>388</v>
      </c>
      <c r="G1385">
        <v>1</v>
      </c>
      <c r="H1385">
        <v>1000</v>
      </c>
      <c r="J1385" cm="1">
        <f t="array" ref="J1385">_xlfn.SWITCH(B1385,1,75,2,61,3,49,4,37,5,25,6,13,7,4,8,1)</f>
        <v>13</v>
      </c>
      <c r="K1385" t="str" cm="1">
        <f t="array" ref="K1385">IFERROR(_xlfn.SWITCH(L1385,2,_xlfn.XLOOKUP(C1385,[1]ModifierDes!$B:$B,[1]ModifierDes!$C:$C),3,_xlfn.XLOOKUP(C1385,[1]StuntDes!$B:$B,[1]StuntDes!$C:$C)),"")</f>
        <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444</v>
      </c>
      <c r="D1386" t="s">
        <v>37</v>
      </c>
      <c r="E1386" t="s">
        <v>388</v>
      </c>
      <c r="G1386">
        <v>1</v>
      </c>
      <c r="H1386">
        <v>1000</v>
      </c>
      <c r="J1386" cm="1">
        <f t="array" ref="J1386">_xlfn.SWITCH(B1386,1,75,2,61,3,49,4,37,5,25,6,13,7,4,8,1)</f>
        <v>4</v>
      </c>
      <c r="K1386" t="str" cm="1">
        <f t="array" ref="K1386">IFERROR(_xlfn.SWITCH(L1386,2,_xlfn.XLOOKUP(C1386,[1]ModifierDes!$B:$B,[1]ModifierDes!$C:$C),3,_xlfn.XLOOKUP(C1386,[1]StuntDes!$B:$B,[1]StuntDes!$C:$C)),"")</f>
        <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444</v>
      </c>
      <c r="D1387" t="s">
        <v>37</v>
      </c>
      <c r="E1387" t="s">
        <v>388</v>
      </c>
      <c r="G1387">
        <v>1</v>
      </c>
      <c r="H1387">
        <v>1000</v>
      </c>
      <c r="J1387" cm="1">
        <f t="array" ref="J1387">_xlfn.SWITCH(B1387,1,75,2,61,3,49,4,37,5,25,6,13,7,4,8,1)</f>
        <v>1</v>
      </c>
      <c r="K1387" t="str" cm="1">
        <f t="array" ref="K1387">IFERROR(_xlfn.SWITCH(L1387,2,_xlfn.XLOOKUP(C1387,[1]ModifierDes!$B:$B,[1]ModifierDes!$C:$C),3,_xlfn.XLOOKUP(C1387,[1]StuntDes!$B:$B,[1]StuntDes!$C:$C)),"")</f>
        <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445</v>
      </c>
      <c r="D1388" t="s">
        <v>37</v>
      </c>
      <c r="E1388" t="s">
        <v>388</v>
      </c>
      <c r="G1388">
        <v>1</v>
      </c>
      <c r="H1388">
        <v>1000</v>
      </c>
      <c r="J1388" cm="1">
        <f t="array" ref="J1388">_xlfn.SWITCH(B1388,1,75,2,61,3,49,4,37,5,25,6,13,7,4,8,1)</f>
        <v>75</v>
      </c>
      <c r="K1388" t="str" cm="1">
        <f t="array" ref="K1388">IFERROR(_xlfn.SWITCH(L1388,2,_xlfn.XLOOKUP(C1388,[1]ModifierDes!$B:$B,[1]ModifierDes!$C:$C),3,_xlfn.XLOOKUP(C1388,[1]StuntDes!$B:$B,[1]StuntDes!$C:$C)),"")</f>
        <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445</v>
      </c>
      <c r="D1389" t="s">
        <v>37</v>
      </c>
      <c r="E1389" t="s">
        <v>388</v>
      </c>
      <c r="G1389">
        <v>1</v>
      </c>
      <c r="H1389">
        <v>1000</v>
      </c>
      <c r="J1389" cm="1">
        <f t="array" ref="J1389">_xlfn.SWITCH(B1389,1,75,2,61,3,49,4,37,5,25,6,13,7,4,8,1)</f>
        <v>61</v>
      </c>
      <c r="K1389" t="str" cm="1">
        <f t="array" ref="K1389">IFERROR(_xlfn.SWITCH(L1389,2,_xlfn.XLOOKUP(C1389,[1]ModifierDes!$B:$B,[1]ModifierDes!$C:$C),3,_xlfn.XLOOKUP(C1389,[1]StuntDes!$B:$B,[1]StuntDes!$C:$C)),"")</f>
        <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445</v>
      </c>
      <c r="D1390" t="s">
        <v>37</v>
      </c>
      <c r="E1390" t="s">
        <v>388</v>
      </c>
      <c r="G1390">
        <v>1</v>
      </c>
      <c r="H1390">
        <v>1000</v>
      </c>
      <c r="J1390" cm="1">
        <f t="array" ref="J1390">_xlfn.SWITCH(B1390,1,75,2,61,3,49,4,37,5,25,6,13,7,4,8,1)</f>
        <v>49</v>
      </c>
      <c r="K1390" t="str" cm="1">
        <f t="array" ref="K1390">IFERROR(_xlfn.SWITCH(L1390,2,_xlfn.XLOOKUP(C1390,[1]ModifierDes!$B:$B,[1]ModifierDes!$C:$C),3,_xlfn.XLOOKUP(C1390,[1]StuntDes!$B:$B,[1]StuntDes!$C:$C)),"")</f>
        <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445</v>
      </c>
      <c r="D1391" t="s">
        <v>37</v>
      </c>
      <c r="E1391" t="s">
        <v>388</v>
      </c>
      <c r="G1391">
        <v>1</v>
      </c>
      <c r="H1391">
        <v>1000</v>
      </c>
      <c r="J1391" cm="1">
        <f t="array" ref="J1391">_xlfn.SWITCH(B1391,1,75,2,61,3,49,4,37,5,25,6,13,7,4,8,1)</f>
        <v>37</v>
      </c>
      <c r="K1391" t="str" cm="1">
        <f t="array" ref="K1391">IFERROR(_xlfn.SWITCH(L1391,2,_xlfn.XLOOKUP(C1391,[1]ModifierDes!$B:$B,[1]ModifierDes!$C:$C),3,_xlfn.XLOOKUP(C1391,[1]StuntDes!$B:$B,[1]StuntDes!$C:$C)),"")</f>
        <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445</v>
      </c>
      <c r="D1392" t="s">
        <v>37</v>
      </c>
      <c r="E1392" t="s">
        <v>388</v>
      </c>
      <c r="G1392">
        <v>1</v>
      </c>
      <c r="H1392">
        <v>1000</v>
      </c>
      <c r="J1392" cm="1">
        <f t="array" ref="J1392">_xlfn.SWITCH(B1392,1,75,2,61,3,49,4,37,5,25,6,13,7,4,8,1)</f>
        <v>25</v>
      </c>
      <c r="K1392" t="str" cm="1">
        <f t="array" ref="K1392">IFERROR(_xlfn.SWITCH(L1392,2,_xlfn.XLOOKUP(C1392,[1]ModifierDes!$B:$B,[1]ModifierDes!$C:$C),3,_xlfn.XLOOKUP(C1392,[1]StuntDes!$B:$B,[1]StuntDes!$C:$C)),"")</f>
        <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445</v>
      </c>
      <c r="D1393" t="s">
        <v>37</v>
      </c>
      <c r="E1393" t="s">
        <v>388</v>
      </c>
      <c r="G1393">
        <v>1</v>
      </c>
      <c r="H1393">
        <v>1000</v>
      </c>
      <c r="J1393" cm="1">
        <f t="array" ref="J1393">_xlfn.SWITCH(B1393,1,75,2,61,3,49,4,37,5,25,6,13,7,4,8,1)</f>
        <v>13</v>
      </c>
      <c r="K1393" t="str" cm="1">
        <f t="array" ref="K1393">IFERROR(_xlfn.SWITCH(L1393,2,_xlfn.XLOOKUP(C1393,[1]ModifierDes!$B:$B,[1]ModifierDes!$C:$C),3,_xlfn.XLOOKUP(C1393,[1]StuntDes!$B:$B,[1]StuntDes!$C:$C)),"")</f>
        <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445</v>
      </c>
      <c r="D1394" t="s">
        <v>37</v>
      </c>
      <c r="E1394" t="s">
        <v>388</v>
      </c>
      <c r="G1394">
        <v>1</v>
      </c>
      <c r="H1394">
        <v>1000</v>
      </c>
      <c r="J1394" cm="1">
        <f t="array" ref="J1394">_xlfn.SWITCH(B1394,1,75,2,61,3,49,4,37,5,25,6,13,7,4,8,1)</f>
        <v>4</v>
      </c>
      <c r="K1394" t="str" cm="1">
        <f t="array" ref="K1394">IFERROR(_xlfn.SWITCH(L1394,2,_xlfn.XLOOKUP(C1394,[1]ModifierDes!$B:$B,[1]ModifierDes!$C:$C),3,_xlfn.XLOOKUP(C1394,[1]StuntDes!$B:$B,[1]StuntDes!$C:$C)),"")</f>
        <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445</v>
      </c>
      <c r="D1395" t="s">
        <v>37</v>
      </c>
      <c r="E1395" t="s">
        <v>388</v>
      </c>
      <c r="G1395">
        <v>1</v>
      </c>
      <c r="H1395">
        <v>1000</v>
      </c>
      <c r="J1395" cm="1">
        <f t="array" ref="J1395">_xlfn.SWITCH(B1395,1,75,2,61,3,49,4,37,5,25,6,13,7,4,8,1)</f>
        <v>1</v>
      </c>
      <c r="K1395" t="str" cm="1">
        <f t="array" ref="K1395">IFERROR(_xlfn.SWITCH(L1395,2,_xlfn.XLOOKUP(C1395,[1]ModifierDes!$B:$B,[1]ModifierDes!$C:$C),3,_xlfn.XLOOKUP(C1395,[1]StuntDes!$B:$B,[1]StuntDes!$C:$C)),"")</f>
        <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446</v>
      </c>
      <c r="D1396" t="s">
        <v>37</v>
      </c>
      <c r="E1396" t="s">
        <v>388</v>
      </c>
      <c r="G1396">
        <v>1</v>
      </c>
      <c r="H1396">
        <v>1000</v>
      </c>
      <c r="J1396" cm="1">
        <f t="array" ref="J1396">_xlfn.SWITCH(B1396,1,75,2,61,3,49,4,37,5,25,6,13,7,4,8,1)</f>
        <v>75</v>
      </c>
      <c r="K1396" t="str" cm="1">
        <f t="array" ref="K1396">IFERROR(_xlfn.SWITCH(L1396,2,_xlfn.XLOOKUP(C1396,[1]ModifierDes!$B:$B,[1]ModifierDes!$C:$C),3,_xlfn.XLOOKUP(C1396,[1]StuntDes!$B:$B,[1]StuntDes!$C:$C)),"")</f>
        <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446</v>
      </c>
      <c r="D1397" t="s">
        <v>37</v>
      </c>
      <c r="E1397" t="s">
        <v>388</v>
      </c>
      <c r="G1397">
        <v>1</v>
      </c>
      <c r="H1397">
        <v>1000</v>
      </c>
      <c r="J1397" cm="1">
        <f t="array" ref="J1397">_xlfn.SWITCH(B1397,1,75,2,61,3,49,4,37,5,25,6,13,7,4,8,1)</f>
        <v>61</v>
      </c>
      <c r="K1397" t="str" cm="1">
        <f t="array" ref="K1397">IFERROR(_xlfn.SWITCH(L1397,2,_xlfn.XLOOKUP(C1397,[1]ModifierDes!$B:$B,[1]ModifierDes!$C:$C),3,_xlfn.XLOOKUP(C1397,[1]StuntDes!$B:$B,[1]StuntDes!$C:$C)),"")</f>
        <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446</v>
      </c>
      <c r="D1398" t="s">
        <v>37</v>
      </c>
      <c r="E1398" t="s">
        <v>388</v>
      </c>
      <c r="G1398">
        <v>1</v>
      </c>
      <c r="H1398">
        <v>1000</v>
      </c>
      <c r="J1398" cm="1">
        <f t="array" ref="J1398">_xlfn.SWITCH(B1398,1,75,2,61,3,49,4,37,5,25,6,13,7,4,8,1)</f>
        <v>49</v>
      </c>
      <c r="K1398" t="str" cm="1">
        <f t="array" ref="K1398">IFERROR(_xlfn.SWITCH(L1398,2,_xlfn.XLOOKUP(C1398,[1]ModifierDes!$B:$B,[1]ModifierDes!$C:$C),3,_xlfn.XLOOKUP(C1398,[1]StuntDes!$B:$B,[1]StuntDes!$C:$C)),"")</f>
        <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446</v>
      </c>
      <c r="D1399" t="s">
        <v>37</v>
      </c>
      <c r="E1399" t="s">
        <v>388</v>
      </c>
      <c r="G1399">
        <v>1</v>
      </c>
      <c r="H1399">
        <v>1000</v>
      </c>
      <c r="J1399" cm="1">
        <f t="array" ref="J1399">_xlfn.SWITCH(B1399,1,75,2,61,3,49,4,37,5,25,6,13,7,4,8,1)</f>
        <v>37</v>
      </c>
      <c r="K1399" t="str" cm="1">
        <f t="array" ref="K1399">IFERROR(_xlfn.SWITCH(L1399,2,_xlfn.XLOOKUP(C1399,[1]ModifierDes!$B:$B,[1]ModifierDes!$C:$C),3,_xlfn.XLOOKUP(C1399,[1]StuntDes!$B:$B,[1]StuntDes!$C:$C)),"")</f>
        <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446</v>
      </c>
      <c r="D1400" t="s">
        <v>37</v>
      </c>
      <c r="E1400" t="s">
        <v>388</v>
      </c>
      <c r="G1400">
        <v>1</v>
      </c>
      <c r="H1400">
        <v>1000</v>
      </c>
      <c r="J1400" cm="1">
        <f t="array" ref="J1400">_xlfn.SWITCH(B1400,1,75,2,61,3,49,4,37,5,25,6,13,7,4,8,1)</f>
        <v>25</v>
      </c>
      <c r="K1400" t="str" cm="1">
        <f t="array" ref="K1400">IFERROR(_xlfn.SWITCH(L1400,2,_xlfn.XLOOKUP(C1400,[1]ModifierDes!$B:$B,[1]ModifierDes!$C:$C),3,_xlfn.XLOOKUP(C1400,[1]StuntDes!$B:$B,[1]StuntDes!$C:$C)),"")</f>
        <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446</v>
      </c>
      <c r="D1401" t="s">
        <v>37</v>
      </c>
      <c r="E1401" t="s">
        <v>388</v>
      </c>
      <c r="G1401">
        <v>1</v>
      </c>
      <c r="H1401">
        <v>1000</v>
      </c>
      <c r="J1401" cm="1">
        <f t="array" ref="J1401">_xlfn.SWITCH(B1401,1,75,2,61,3,49,4,37,5,25,6,13,7,4,8,1)</f>
        <v>13</v>
      </c>
      <c r="K1401" t="str" cm="1">
        <f t="array" ref="K1401">IFERROR(_xlfn.SWITCH(L1401,2,_xlfn.XLOOKUP(C1401,[1]ModifierDes!$B:$B,[1]ModifierDes!$C:$C),3,_xlfn.XLOOKUP(C1401,[1]StuntDes!$B:$B,[1]StuntDes!$C:$C)),"")</f>
        <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446</v>
      </c>
      <c r="D1402" t="s">
        <v>37</v>
      </c>
      <c r="E1402" t="s">
        <v>388</v>
      </c>
      <c r="G1402">
        <v>1</v>
      </c>
      <c r="H1402">
        <v>1000</v>
      </c>
      <c r="J1402" cm="1">
        <f t="array" ref="J1402">_xlfn.SWITCH(B1402,1,75,2,61,3,49,4,37,5,25,6,13,7,4,8,1)</f>
        <v>4</v>
      </c>
      <c r="K1402" t="str" cm="1">
        <f t="array" ref="K1402">IFERROR(_xlfn.SWITCH(L1402,2,_xlfn.XLOOKUP(C1402,[1]ModifierDes!$B:$B,[1]ModifierDes!$C:$C),3,_xlfn.XLOOKUP(C1402,[1]StuntDes!$B:$B,[1]StuntDes!$C:$C)),"")</f>
        <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446</v>
      </c>
      <c r="D1403" t="s">
        <v>37</v>
      </c>
      <c r="E1403" t="s">
        <v>388</v>
      </c>
      <c r="G1403">
        <v>1</v>
      </c>
      <c r="H1403">
        <v>1000</v>
      </c>
      <c r="J1403" cm="1">
        <f t="array" ref="J1403">_xlfn.SWITCH(B1403,1,75,2,61,3,49,4,37,5,25,6,13,7,4,8,1)</f>
        <v>1</v>
      </c>
      <c r="K1403" t="str" cm="1">
        <f t="array" ref="K1403">IFERROR(_xlfn.SWITCH(L1403,2,_xlfn.XLOOKUP(C1403,[1]ModifierDes!$B:$B,[1]ModifierDes!$C:$C),3,_xlfn.XLOOKUP(C1403,[1]StuntDes!$B:$B,[1]StuntDes!$C:$C)),"")</f>
        <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401</v>
      </c>
      <c r="D1404" t="s">
        <v>37</v>
      </c>
      <c r="E1404" t="s">
        <v>388</v>
      </c>
      <c r="G1404">
        <v>1</v>
      </c>
      <c r="H1404">
        <v>1000</v>
      </c>
      <c r="J1404" cm="1">
        <f t="array" ref="J1404">_xlfn.SWITCH(B1404,1,75,2,61,3,49,4,37,5,25,6,13,7,4,8,1)</f>
        <v>75</v>
      </c>
      <c r="K1404" t="str" cm="1">
        <f t="array" ref="K1404">IFERROR(_xlfn.SWITCH(L1404,2,_xlfn.XLOOKUP(C1404,[1]ModifierDes!$B:$B,[1]ModifierDes!$C:$C),3,_xlfn.XLOOKUP(C1404,[1]StuntDes!$B:$B,[1]StuntDes!$C:$C)),"")</f>
        <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401</v>
      </c>
      <c r="D1405" t="s">
        <v>37</v>
      </c>
      <c r="E1405" t="s">
        <v>388</v>
      </c>
      <c r="G1405">
        <v>1</v>
      </c>
      <c r="H1405">
        <v>1000</v>
      </c>
      <c r="J1405" cm="1">
        <f t="array" ref="J1405">_xlfn.SWITCH(B1405,1,75,2,61,3,49,4,37,5,25,6,13,7,4,8,1)</f>
        <v>61</v>
      </c>
      <c r="K1405" t="str" cm="1">
        <f t="array" ref="K1405">IFERROR(_xlfn.SWITCH(L1405,2,_xlfn.XLOOKUP(C1405,[1]ModifierDes!$B:$B,[1]ModifierDes!$C:$C),3,_xlfn.XLOOKUP(C1405,[1]StuntDes!$B:$B,[1]StuntDes!$C:$C)),"")</f>
        <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401</v>
      </c>
      <c r="D1406" t="s">
        <v>37</v>
      </c>
      <c r="E1406" t="s">
        <v>388</v>
      </c>
      <c r="G1406">
        <v>1</v>
      </c>
      <c r="H1406">
        <v>1000</v>
      </c>
      <c r="J1406" cm="1">
        <f t="array" ref="J1406">_xlfn.SWITCH(B1406,1,75,2,61,3,49,4,37,5,25,6,13,7,4,8,1)</f>
        <v>49</v>
      </c>
      <c r="K1406" t="str" cm="1">
        <f t="array" ref="K1406">IFERROR(_xlfn.SWITCH(L1406,2,_xlfn.XLOOKUP(C1406,[1]ModifierDes!$B:$B,[1]ModifierDes!$C:$C),3,_xlfn.XLOOKUP(C1406,[1]StuntDes!$B:$B,[1]StuntDes!$C:$C)),"")</f>
        <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401</v>
      </c>
      <c r="D1407" t="s">
        <v>37</v>
      </c>
      <c r="E1407" t="s">
        <v>388</v>
      </c>
      <c r="G1407">
        <v>1</v>
      </c>
      <c r="H1407">
        <v>1000</v>
      </c>
      <c r="J1407" cm="1">
        <f t="array" ref="J1407">_xlfn.SWITCH(B1407,1,75,2,61,3,49,4,37,5,25,6,13,7,4,8,1)</f>
        <v>37</v>
      </c>
      <c r="K1407" t="str" cm="1">
        <f t="array" ref="K1407">IFERROR(_xlfn.SWITCH(L1407,2,_xlfn.XLOOKUP(C1407,[1]ModifierDes!$B:$B,[1]ModifierDes!$C:$C),3,_xlfn.XLOOKUP(C1407,[1]StuntDes!$B:$B,[1]StuntDes!$C:$C)),"")</f>
        <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401</v>
      </c>
      <c r="D1408" t="s">
        <v>37</v>
      </c>
      <c r="E1408" t="s">
        <v>388</v>
      </c>
      <c r="G1408">
        <v>1</v>
      </c>
      <c r="H1408">
        <v>1000</v>
      </c>
      <c r="J1408" cm="1">
        <f t="array" ref="J1408">_xlfn.SWITCH(B1408,1,75,2,61,3,49,4,37,5,25,6,13,7,4,8,1)</f>
        <v>25</v>
      </c>
      <c r="K1408" t="str" cm="1">
        <f t="array" ref="K1408">IFERROR(_xlfn.SWITCH(L1408,2,_xlfn.XLOOKUP(C1408,[1]ModifierDes!$B:$B,[1]ModifierDes!$C:$C),3,_xlfn.XLOOKUP(C1408,[1]StuntDes!$B:$B,[1]StuntDes!$C:$C)),"")</f>
        <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401</v>
      </c>
      <c r="D1409" t="s">
        <v>37</v>
      </c>
      <c r="E1409" t="s">
        <v>388</v>
      </c>
      <c r="G1409">
        <v>1</v>
      </c>
      <c r="H1409">
        <v>1000</v>
      </c>
      <c r="J1409" cm="1">
        <f t="array" ref="J1409">_xlfn.SWITCH(B1409,1,75,2,61,3,49,4,37,5,25,6,13,7,4,8,1)</f>
        <v>13</v>
      </c>
      <c r="K1409" t="str" cm="1">
        <f t="array" ref="K1409">IFERROR(_xlfn.SWITCH(L1409,2,_xlfn.XLOOKUP(C1409,[1]ModifierDes!$B:$B,[1]ModifierDes!$C:$C),3,_xlfn.XLOOKUP(C1409,[1]StuntDes!$B:$B,[1]StuntDes!$C:$C)),"")</f>
        <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401</v>
      </c>
      <c r="D1410" t="s">
        <v>37</v>
      </c>
      <c r="E1410" t="s">
        <v>388</v>
      </c>
      <c r="G1410">
        <v>1</v>
      </c>
      <c r="H1410">
        <v>1000</v>
      </c>
      <c r="J1410" cm="1">
        <f t="array" ref="J1410">_xlfn.SWITCH(B1410,1,75,2,61,3,49,4,37,5,25,6,13,7,4,8,1)</f>
        <v>4</v>
      </c>
      <c r="K1410" t="str" cm="1">
        <f t="array" ref="K1410">IFERROR(_xlfn.SWITCH(L1410,2,_xlfn.XLOOKUP(C1410,[1]ModifierDes!$B:$B,[1]ModifierDes!$C:$C),3,_xlfn.XLOOKUP(C1410,[1]StuntDes!$B:$B,[1]StuntDes!$C:$C)),"")</f>
        <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401</v>
      </c>
      <c r="D1411" t="s">
        <v>37</v>
      </c>
      <c r="E1411" t="s">
        <v>388</v>
      </c>
      <c r="G1411">
        <v>1</v>
      </c>
      <c r="H1411">
        <v>1000</v>
      </c>
      <c r="J1411" cm="1">
        <f t="array" ref="J1411">_xlfn.SWITCH(B1411,1,75,2,61,3,49,4,37,5,25,6,13,7,4,8,1)</f>
        <v>1</v>
      </c>
      <c r="K1411" t="str" cm="1">
        <f t="array" ref="K1411">IFERROR(_xlfn.SWITCH(L1411,2,_xlfn.XLOOKUP(C1411,[1]ModifierDes!$B:$B,[1]ModifierDes!$C:$C),3,_xlfn.XLOOKUP(C1411,[1]StuntDes!$B:$B,[1]StuntDes!$C:$C)),"")</f>
        <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432</v>
      </c>
      <c r="D1412" t="s">
        <v>37</v>
      </c>
      <c r="E1412" t="s">
        <v>405</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432</v>
      </c>
      <c r="D1413" t="s">
        <v>37</v>
      </c>
      <c r="E1413" t="s">
        <v>405</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432</v>
      </c>
      <c r="D1414" t="s">
        <v>37</v>
      </c>
      <c r="E1414" t="s">
        <v>405</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432</v>
      </c>
      <c r="D1415" t="s">
        <v>37</v>
      </c>
      <c r="E1415" t="s">
        <v>405</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432</v>
      </c>
      <c r="D1416" t="s">
        <v>37</v>
      </c>
      <c r="E1416" t="s">
        <v>405</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432</v>
      </c>
      <c r="D1417" t="s">
        <v>37</v>
      </c>
      <c r="E1417" t="s">
        <v>405</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432</v>
      </c>
      <c r="D1418" t="s">
        <v>37</v>
      </c>
      <c r="E1418" t="s">
        <v>405</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432</v>
      </c>
      <c r="D1419" t="s">
        <v>37</v>
      </c>
      <c r="E1419" t="s">
        <v>405</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433</v>
      </c>
      <c r="D1420" t="s">
        <v>37</v>
      </c>
      <c r="E1420" t="s">
        <v>405</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433</v>
      </c>
      <c r="D1421" t="s">
        <v>37</v>
      </c>
      <c r="E1421" t="s">
        <v>405</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433</v>
      </c>
      <c r="D1422" t="s">
        <v>37</v>
      </c>
      <c r="E1422" t="s">
        <v>405</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433</v>
      </c>
      <c r="D1423" t="s">
        <v>37</v>
      </c>
      <c r="E1423" t="s">
        <v>405</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433</v>
      </c>
      <c r="D1424" t="s">
        <v>37</v>
      </c>
      <c r="E1424" t="s">
        <v>405</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433</v>
      </c>
      <c r="D1425" t="s">
        <v>37</v>
      </c>
      <c r="E1425" t="s">
        <v>405</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433</v>
      </c>
      <c r="D1426" t="s">
        <v>37</v>
      </c>
      <c r="E1426" t="s">
        <v>405</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433</v>
      </c>
      <c r="D1427" t="s">
        <v>37</v>
      </c>
      <c r="E1427" t="s">
        <v>405</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434</v>
      </c>
      <c r="D1428" t="s">
        <v>37</v>
      </c>
      <c r="E1428" t="s">
        <v>405</v>
      </c>
      <c r="F1428"/>
      <c r="G1428">
        <v>2</v>
      </c>
      <c r="H1428">
        <v>1000</v>
      </c>
      <c r="J1428" cm="1">
        <f t="array" ref="J1428">_xlfn.SWITCH(B1428,1,75,2,61,3,49,4,37,5,25,6,13,7,4,8,1)</f>
        <v>75</v>
      </c>
      <c r="K1428" t="str" cm="1">
        <f t="array" ref="K1428">IFERROR(_xlfn.SWITCH(L1428,2,_xlfn.XLOOKUP(C1428,[1]ModifierDes!$B:$B,[1]ModifierDes!$C:$C),3,_xlfn.XLOOKUP(C1428,[1]StuntDes!$B:$B,[1]StuntDes!$C:$C)),"")</f>
        <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434</v>
      </c>
      <c r="D1429" t="s">
        <v>37</v>
      </c>
      <c r="E1429" t="s">
        <v>405</v>
      </c>
      <c r="F1429"/>
      <c r="G1429">
        <v>2</v>
      </c>
      <c r="H1429">
        <v>1000</v>
      </c>
      <c r="J1429" cm="1">
        <f t="array" ref="J1429">_xlfn.SWITCH(B1429,1,75,2,61,3,49,4,37,5,25,6,13,7,4,8,1)</f>
        <v>61</v>
      </c>
      <c r="K1429" t="str" cm="1">
        <f t="array" ref="K1429">IFERROR(_xlfn.SWITCH(L1429,2,_xlfn.XLOOKUP(C1429,[1]ModifierDes!$B:$B,[1]ModifierDes!$C:$C),3,_xlfn.XLOOKUP(C1429,[1]StuntDes!$B:$B,[1]StuntDes!$C:$C)),"")</f>
        <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434</v>
      </c>
      <c r="D1430" t="s">
        <v>37</v>
      </c>
      <c r="E1430" t="s">
        <v>405</v>
      </c>
      <c r="F1430"/>
      <c r="G1430">
        <v>2</v>
      </c>
      <c r="H1430">
        <v>1000</v>
      </c>
      <c r="J1430" cm="1">
        <f t="array" ref="J1430">_xlfn.SWITCH(B1430,1,75,2,61,3,49,4,37,5,25,6,13,7,4,8,1)</f>
        <v>49</v>
      </c>
      <c r="K1430" t="str" cm="1">
        <f t="array" ref="K1430">IFERROR(_xlfn.SWITCH(L1430,2,_xlfn.XLOOKUP(C1430,[1]ModifierDes!$B:$B,[1]ModifierDes!$C:$C),3,_xlfn.XLOOKUP(C1430,[1]StuntDes!$B:$B,[1]StuntDes!$C:$C)),"")</f>
        <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434</v>
      </c>
      <c r="D1431" t="s">
        <v>37</v>
      </c>
      <c r="E1431" t="s">
        <v>405</v>
      </c>
      <c r="F1431"/>
      <c r="G1431">
        <v>2</v>
      </c>
      <c r="H1431">
        <v>1000</v>
      </c>
      <c r="J1431" cm="1">
        <f t="array" ref="J1431">_xlfn.SWITCH(B1431,1,75,2,61,3,49,4,37,5,25,6,13,7,4,8,1)</f>
        <v>37</v>
      </c>
      <c r="K1431" t="str" cm="1">
        <f t="array" ref="K1431">IFERROR(_xlfn.SWITCH(L1431,2,_xlfn.XLOOKUP(C1431,[1]ModifierDes!$B:$B,[1]ModifierDes!$C:$C),3,_xlfn.XLOOKUP(C1431,[1]StuntDes!$B:$B,[1]StuntDes!$C:$C)),"")</f>
        <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434</v>
      </c>
      <c r="D1432" t="s">
        <v>37</v>
      </c>
      <c r="E1432" t="s">
        <v>405</v>
      </c>
      <c r="F1432"/>
      <c r="G1432">
        <v>2</v>
      </c>
      <c r="H1432">
        <v>1000</v>
      </c>
      <c r="J1432" cm="1">
        <f t="array" ref="J1432">_xlfn.SWITCH(B1432,1,75,2,61,3,49,4,37,5,25,6,13,7,4,8,1)</f>
        <v>25</v>
      </c>
      <c r="K1432" t="str" cm="1">
        <f t="array" ref="K1432">IFERROR(_xlfn.SWITCH(L1432,2,_xlfn.XLOOKUP(C1432,[1]ModifierDes!$B:$B,[1]ModifierDes!$C:$C),3,_xlfn.XLOOKUP(C1432,[1]StuntDes!$B:$B,[1]StuntDes!$C:$C)),"")</f>
        <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434</v>
      </c>
      <c r="D1433" t="s">
        <v>37</v>
      </c>
      <c r="E1433" t="s">
        <v>405</v>
      </c>
      <c r="F1433"/>
      <c r="G1433">
        <v>2</v>
      </c>
      <c r="H1433">
        <v>1000</v>
      </c>
      <c r="J1433" cm="1">
        <f t="array" ref="J1433">_xlfn.SWITCH(B1433,1,75,2,61,3,49,4,37,5,25,6,13,7,4,8,1)</f>
        <v>13</v>
      </c>
      <c r="K1433" t="str" cm="1">
        <f t="array" ref="K1433">IFERROR(_xlfn.SWITCH(L1433,2,_xlfn.XLOOKUP(C1433,[1]ModifierDes!$B:$B,[1]ModifierDes!$C:$C),3,_xlfn.XLOOKUP(C1433,[1]StuntDes!$B:$B,[1]StuntDes!$C:$C)),"")</f>
        <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434</v>
      </c>
      <c r="D1434" t="s">
        <v>37</v>
      </c>
      <c r="E1434" t="s">
        <v>405</v>
      </c>
      <c r="F1434"/>
      <c r="G1434">
        <v>2</v>
      </c>
      <c r="H1434">
        <v>1000</v>
      </c>
      <c r="J1434" cm="1">
        <f t="array" ref="J1434">_xlfn.SWITCH(B1434,1,75,2,61,3,49,4,37,5,25,6,13,7,4,8,1)</f>
        <v>4</v>
      </c>
      <c r="K1434" t="str" cm="1">
        <f t="array" ref="K1434">IFERROR(_xlfn.SWITCH(L1434,2,_xlfn.XLOOKUP(C1434,[1]ModifierDes!$B:$B,[1]ModifierDes!$C:$C),3,_xlfn.XLOOKUP(C1434,[1]StuntDes!$B:$B,[1]StuntDes!$C:$C)),"")</f>
        <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434</v>
      </c>
      <c r="D1435" t="s">
        <v>37</v>
      </c>
      <c r="E1435" t="s">
        <v>405</v>
      </c>
      <c r="F1435"/>
      <c r="G1435">
        <v>2</v>
      </c>
      <c r="H1435">
        <v>1000</v>
      </c>
      <c r="J1435" cm="1">
        <f t="array" ref="J1435">_xlfn.SWITCH(B1435,1,75,2,61,3,49,4,37,5,25,6,13,7,4,8,1)</f>
        <v>1</v>
      </c>
      <c r="K1435" t="str" cm="1">
        <f t="array" ref="K1435">IFERROR(_xlfn.SWITCH(L1435,2,_xlfn.XLOOKUP(C1435,[1]ModifierDes!$B:$B,[1]ModifierDes!$C:$C),3,_xlfn.XLOOKUP(C1435,[1]StuntDes!$B:$B,[1]StuntDes!$C:$C)),"")</f>
        <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435</v>
      </c>
      <c r="D1436" t="s">
        <v>37</v>
      </c>
      <c r="E1436" t="s">
        <v>405</v>
      </c>
      <c r="F1436"/>
      <c r="G1436">
        <v>2</v>
      </c>
      <c r="H1436">
        <v>1000</v>
      </c>
      <c r="J1436" cm="1">
        <f t="array" ref="J1436">_xlfn.SWITCH(B1436,1,75,2,61,3,49,4,37,5,25,6,13,7,4,8,1)</f>
        <v>75</v>
      </c>
      <c r="K1436" t="str" cm="1">
        <f t="array" ref="K1436">IFERROR(_xlfn.SWITCH(L1436,2,_xlfn.XLOOKUP(C1436,[1]ModifierDes!$B:$B,[1]ModifierDes!$C:$C),3,_xlfn.XLOOKUP(C1436,[1]StuntDes!$B:$B,[1]StuntDes!$C:$C)),"")</f>
        <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435</v>
      </c>
      <c r="D1437" t="s">
        <v>37</v>
      </c>
      <c r="E1437" t="s">
        <v>405</v>
      </c>
      <c r="F1437"/>
      <c r="G1437">
        <v>2</v>
      </c>
      <c r="H1437">
        <v>1000</v>
      </c>
      <c r="J1437" cm="1">
        <f t="array" ref="J1437">_xlfn.SWITCH(B1437,1,75,2,61,3,49,4,37,5,25,6,13,7,4,8,1)</f>
        <v>61</v>
      </c>
      <c r="K1437" t="str" cm="1">
        <f t="array" ref="K1437">IFERROR(_xlfn.SWITCH(L1437,2,_xlfn.XLOOKUP(C1437,[1]ModifierDes!$B:$B,[1]ModifierDes!$C:$C),3,_xlfn.XLOOKUP(C1437,[1]StuntDes!$B:$B,[1]StuntDes!$C:$C)),"")</f>
        <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435</v>
      </c>
      <c r="D1438" t="s">
        <v>37</v>
      </c>
      <c r="E1438" t="s">
        <v>405</v>
      </c>
      <c r="F1438"/>
      <c r="G1438">
        <v>2</v>
      </c>
      <c r="H1438">
        <v>1000</v>
      </c>
      <c r="J1438" cm="1">
        <f t="array" ref="J1438">_xlfn.SWITCH(B1438,1,75,2,61,3,49,4,37,5,25,6,13,7,4,8,1)</f>
        <v>49</v>
      </c>
      <c r="K1438" t="str" cm="1">
        <f t="array" ref="K1438">IFERROR(_xlfn.SWITCH(L1438,2,_xlfn.XLOOKUP(C1438,[1]ModifierDes!$B:$B,[1]ModifierDes!$C:$C),3,_xlfn.XLOOKUP(C1438,[1]StuntDes!$B:$B,[1]StuntDes!$C:$C)),"")</f>
        <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435</v>
      </c>
      <c r="D1439" t="s">
        <v>37</v>
      </c>
      <c r="E1439" t="s">
        <v>405</v>
      </c>
      <c r="F1439"/>
      <c r="G1439">
        <v>2</v>
      </c>
      <c r="H1439">
        <v>1000</v>
      </c>
      <c r="J1439" cm="1">
        <f t="array" ref="J1439">_xlfn.SWITCH(B1439,1,75,2,61,3,49,4,37,5,25,6,13,7,4,8,1)</f>
        <v>37</v>
      </c>
      <c r="K1439" t="str" cm="1">
        <f t="array" ref="K1439">IFERROR(_xlfn.SWITCH(L1439,2,_xlfn.XLOOKUP(C1439,[1]ModifierDes!$B:$B,[1]ModifierDes!$C:$C),3,_xlfn.XLOOKUP(C1439,[1]StuntDes!$B:$B,[1]StuntDes!$C:$C)),"")</f>
        <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435</v>
      </c>
      <c r="D1440" t="s">
        <v>37</v>
      </c>
      <c r="E1440" t="s">
        <v>405</v>
      </c>
      <c r="F1440"/>
      <c r="G1440">
        <v>2</v>
      </c>
      <c r="H1440">
        <v>1000</v>
      </c>
      <c r="J1440" cm="1">
        <f t="array" ref="J1440">_xlfn.SWITCH(B1440,1,75,2,61,3,49,4,37,5,25,6,13,7,4,8,1)</f>
        <v>25</v>
      </c>
      <c r="K1440" t="str" cm="1">
        <f t="array" ref="K1440">IFERROR(_xlfn.SWITCH(L1440,2,_xlfn.XLOOKUP(C1440,[1]ModifierDes!$B:$B,[1]ModifierDes!$C:$C),3,_xlfn.XLOOKUP(C1440,[1]StuntDes!$B:$B,[1]StuntDes!$C:$C)),"")</f>
        <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435</v>
      </c>
      <c r="D1441" t="s">
        <v>37</v>
      </c>
      <c r="E1441" t="s">
        <v>405</v>
      </c>
      <c r="F1441"/>
      <c r="G1441">
        <v>2</v>
      </c>
      <c r="H1441">
        <v>1000</v>
      </c>
      <c r="J1441" cm="1">
        <f t="array" ref="J1441">_xlfn.SWITCH(B1441,1,75,2,61,3,49,4,37,5,25,6,13,7,4,8,1)</f>
        <v>13</v>
      </c>
      <c r="K1441" t="str" cm="1">
        <f t="array" ref="K1441">IFERROR(_xlfn.SWITCH(L1441,2,_xlfn.XLOOKUP(C1441,[1]ModifierDes!$B:$B,[1]ModifierDes!$C:$C),3,_xlfn.XLOOKUP(C1441,[1]StuntDes!$B:$B,[1]StuntDes!$C:$C)),"")</f>
        <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435</v>
      </c>
      <c r="D1442" t="s">
        <v>37</v>
      </c>
      <c r="E1442" t="s">
        <v>405</v>
      </c>
      <c r="F1442"/>
      <c r="G1442">
        <v>2</v>
      </c>
      <c r="H1442">
        <v>1000</v>
      </c>
      <c r="J1442" cm="1">
        <f t="array" ref="J1442">_xlfn.SWITCH(B1442,1,75,2,61,3,49,4,37,5,25,6,13,7,4,8,1)</f>
        <v>4</v>
      </c>
      <c r="K1442" t="str" cm="1">
        <f t="array" ref="K1442">IFERROR(_xlfn.SWITCH(L1442,2,_xlfn.XLOOKUP(C1442,[1]ModifierDes!$B:$B,[1]ModifierDes!$C:$C),3,_xlfn.XLOOKUP(C1442,[1]StuntDes!$B:$B,[1]StuntDes!$C:$C)),"")</f>
        <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435</v>
      </c>
      <c r="D1443" t="s">
        <v>37</v>
      </c>
      <c r="E1443" t="s">
        <v>405</v>
      </c>
      <c r="F1443"/>
      <c r="G1443">
        <v>2</v>
      </c>
      <c r="H1443">
        <v>1000</v>
      </c>
      <c r="J1443" cm="1">
        <f t="array" ref="J1443">_xlfn.SWITCH(B1443,1,75,2,61,3,49,4,37,5,25,6,13,7,4,8,1)</f>
        <v>1</v>
      </c>
      <c r="K1443" t="str" cm="1">
        <f t="array" ref="K1443">IFERROR(_xlfn.SWITCH(L1443,2,_xlfn.XLOOKUP(C1443,[1]ModifierDes!$B:$B,[1]ModifierDes!$C:$C),3,_xlfn.XLOOKUP(C1443,[1]StuntDes!$B:$B,[1]StuntDes!$C:$C)),"")</f>
        <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436</v>
      </c>
      <c r="D1444" t="s">
        <v>37</v>
      </c>
      <c r="E1444" t="s">
        <v>405</v>
      </c>
      <c r="F1444"/>
      <c r="G1444">
        <v>2</v>
      </c>
      <c r="H1444">
        <v>250</v>
      </c>
      <c r="J1444" cm="1">
        <f t="array" ref="J1444">_xlfn.SWITCH(B1444,1,75,2,61,3,49,4,37,5,25,6,13,7,4,8,1)</f>
        <v>75</v>
      </c>
      <c r="K1444" t="str" cm="1">
        <f t="array" ref="K1444">IFERROR(_xlfn.SWITCH(L1444,2,_xlfn.XLOOKUP(C1444,[1]ModifierDes!$B:$B,[1]ModifierDes!$C:$C),3,_xlfn.XLOOKUP(C1444,[1]StuntDes!$B:$B,[1]StuntDes!$C:$C)),"")</f>
        <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436</v>
      </c>
      <c r="D1445" t="s">
        <v>37</v>
      </c>
      <c r="E1445" t="s">
        <v>405</v>
      </c>
      <c r="F1445"/>
      <c r="G1445">
        <v>2</v>
      </c>
      <c r="H1445">
        <v>250</v>
      </c>
      <c r="J1445" cm="1">
        <f t="array" ref="J1445">_xlfn.SWITCH(B1445,1,75,2,61,3,49,4,37,5,25,6,13,7,4,8,1)</f>
        <v>61</v>
      </c>
      <c r="K1445" t="str" cm="1">
        <f t="array" ref="K1445">IFERROR(_xlfn.SWITCH(L1445,2,_xlfn.XLOOKUP(C1445,[1]ModifierDes!$B:$B,[1]ModifierDes!$C:$C),3,_xlfn.XLOOKUP(C1445,[1]StuntDes!$B:$B,[1]StuntDes!$C:$C)),"")</f>
        <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436</v>
      </c>
      <c r="D1446" t="s">
        <v>37</v>
      </c>
      <c r="E1446" t="s">
        <v>405</v>
      </c>
      <c r="F1446"/>
      <c r="G1446">
        <v>2</v>
      </c>
      <c r="H1446">
        <v>250</v>
      </c>
      <c r="J1446" cm="1">
        <f t="array" ref="J1446">_xlfn.SWITCH(B1446,1,75,2,61,3,49,4,37,5,25,6,13,7,4,8,1)</f>
        <v>49</v>
      </c>
      <c r="K1446" t="str" cm="1">
        <f t="array" ref="K1446">IFERROR(_xlfn.SWITCH(L1446,2,_xlfn.XLOOKUP(C1446,[1]ModifierDes!$B:$B,[1]ModifierDes!$C:$C),3,_xlfn.XLOOKUP(C1446,[1]StuntDes!$B:$B,[1]StuntDes!$C:$C)),"")</f>
        <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436</v>
      </c>
      <c r="D1447" t="s">
        <v>37</v>
      </c>
      <c r="E1447" t="s">
        <v>405</v>
      </c>
      <c r="F1447"/>
      <c r="G1447">
        <v>2</v>
      </c>
      <c r="H1447">
        <v>250</v>
      </c>
      <c r="J1447" cm="1">
        <f t="array" ref="J1447">_xlfn.SWITCH(B1447,1,75,2,61,3,49,4,37,5,25,6,13,7,4,8,1)</f>
        <v>37</v>
      </c>
      <c r="K1447" t="str" cm="1">
        <f t="array" ref="K1447">IFERROR(_xlfn.SWITCH(L1447,2,_xlfn.XLOOKUP(C1447,[1]ModifierDes!$B:$B,[1]ModifierDes!$C:$C),3,_xlfn.XLOOKUP(C1447,[1]StuntDes!$B:$B,[1]StuntDes!$C:$C)),"")</f>
        <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436</v>
      </c>
      <c r="D1448" t="s">
        <v>37</v>
      </c>
      <c r="E1448" t="s">
        <v>405</v>
      </c>
      <c r="F1448"/>
      <c r="G1448">
        <v>2</v>
      </c>
      <c r="H1448">
        <v>250</v>
      </c>
      <c r="J1448" cm="1">
        <f t="array" ref="J1448">_xlfn.SWITCH(B1448,1,75,2,61,3,49,4,37,5,25,6,13,7,4,8,1)</f>
        <v>25</v>
      </c>
      <c r="K1448" t="str" cm="1">
        <f t="array" ref="K1448">IFERROR(_xlfn.SWITCH(L1448,2,_xlfn.XLOOKUP(C1448,[1]ModifierDes!$B:$B,[1]ModifierDes!$C:$C),3,_xlfn.XLOOKUP(C1448,[1]StuntDes!$B:$B,[1]StuntDes!$C:$C)),"")</f>
        <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436</v>
      </c>
      <c r="D1449" t="s">
        <v>37</v>
      </c>
      <c r="E1449" t="s">
        <v>405</v>
      </c>
      <c r="F1449"/>
      <c r="G1449">
        <v>2</v>
      </c>
      <c r="H1449">
        <v>250</v>
      </c>
      <c r="J1449" cm="1">
        <f t="array" ref="J1449">_xlfn.SWITCH(B1449,1,75,2,61,3,49,4,37,5,25,6,13,7,4,8,1)</f>
        <v>13</v>
      </c>
      <c r="K1449" t="str" cm="1">
        <f t="array" ref="K1449">IFERROR(_xlfn.SWITCH(L1449,2,_xlfn.XLOOKUP(C1449,[1]ModifierDes!$B:$B,[1]ModifierDes!$C:$C),3,_xlfn.XLOOKUP(C1449,[1]StuntDes!$B:$B,[1]StuntDes!$C:$C)),"")</f>
        <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436</v>
      </c>
      <c r="D1450" t="s">
        <v>37</v>
      </c>
      <c r="E1450" t="s">
        <v>405</v>
      </c>
      <c r="F1450"/>
      <c r="G1450">
        <v>2</v>
      </c>
      <c r="H1450">
        <v>250</v>
      </c>
      <c r="J1450" cm="1">
        <f t="array" ref="J1450">_xlfn.SWITCH(B1450,1,75,2,61,3,49,4,37,5,25,6,13,7,4,8,1)</f>
        <v>4</v>
      </c>
      <c r="K1450" t="str" cm="1">
        <f t="array" ref="K1450">IFERROR(_xlfn.SWITCH(L1450,2,_xlfn.XLOOKUP(C1450,[1]ModifierDes!$B:$B,[1]ModifierDes!$C:$C),3,_xlfn.XLOOKUP(C1450,[1]StuntDes!$B:$B,[1]StuntDes!$C:$C)),"")</f>
        <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436</v>
      </c>
      <c r="D1451" t="s">
        <v>37</v>
      </c>
      <c r="E1451" t="s">
        <v>405</v>
      </c>
      <c r="F1451"/>
      <c r="G1451">
        <v>2</v>
      </c>
      <c r="H1451">
        <v>250</v>
      </c>
      <c r="J1451" cm="1">
        <f t="array" ref="J1451">_xlfn.SWITCH(B1451,1,75,2,61,3,49,4,37,5,25,6,13,7,4,8,1)</f>
        <v>1</v>
      </c>
      <c r="K1451" t="str" cm="1">
        <f t="array" ref="K1451">IFERROR(_xlfn.SWITCH(L1451,2,_xlfn.XLOOKUP(C1451,[1]ModifierDes!$B:$B,[1]ModifierDes!$C:$C),3,_xlfn.XLOOKUP(C1451,[1]StuntDes!$B:$B,[1]StuntDes!$C:$C)),"")</f>
        <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447</v>
      </c>
      <c r="D1452" t="s">
        <v>37</v>
      </c>
      <c r="E1452" t="s">
        <v>405</v>
      </c>
      <c r="G1452">
        <v>2</v>
      </c>
      <c r="H1452">
        <v>250</v>
      </c>
      <c r="J1452" cm="1">
        <f t="array" ref="J1452">_xlfn.SWITCH(B1452,1,75,2,61,3,49,4,37,5,25,6,13,7,4,8,1)</f>
        <v>75</v>
      </c>
      <c r="K1452" t="str" cm="1">
        <f t="array" ref="K1452">IFERROR(_xlfn.SWITCH(L1452,2,_xlfn.XLOOKUP(C1452,[1]ModifierDes!$B:$B,[1]ModifierDes!$C:$C),3,_xlfn.XLOOKUP(C1452,[1]StuntDes!$B:$B,[1]StuntDes!$C:$C)),"")</f>
        <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447</v>
      </c>
      <c r="D1453" t="s">
        <v>37</v>
      </c>
      <c r="E1453" t="s">
        <v>405</v>
      </c>
      <c r="G1453">
        <v>2</v>
      </c>
      <c r="H1453">
        <v>250</v>
      </c>
      <c r="J1453" cm="1">
        <f t="array" ref="J1453">_xlfn.SWITCH(B1453,1,75,2,61,3,49,4,37,5,25,6,13,7,4,8,1)</f>
        <v>61</v>
      </c>
      <c r="K1453" t="str" cm="1">
        <f t="array" ref="K1453">IFERROR(_xlfn.SWITCH(L1453,2,_xlfn.XLOOKUP(C1453,[1]ModifierDes!$B:$B,[1]ModifierDes!$C:$C),3,_xlfn.XLOOKUP(C1453,[1]StuntDes!$B:$B,[1]StuntDes!$C:$C)),"")</f>
        <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447</v>
      </c>
      <c r="D1454" t="s">
        <v>37</v>
      </c>
      <c r="E1454" t="s">
        <v>405</v>
      </c>
      <c r="G1454">
        <v>2</v>
      </c>
      <c r="H1454">
        <v>250</v>
      </c>
      <c r="J1454" cm="1">
        <f t="array" ref="J1454">_xlfn.SWITCH(B1454,1,75,2,61,3,49,4,37,5,25,6,13,7,4,8,1)</f>
        <v>49</v>
      </c>
      <c r="K1454" t="str" cm="1">
        <f t="array" ref="K1454">IFERROR(_xlfn.SWITCH(L1454,2,_xlfn.XLOOKUP(C1454,[1]ModifierDes!$B:$B,[1]ModifierDes!$C:$C),3,_xlfn.XLOOKUP(C1454,[1]StuntDes!$B:$B,[1]StuntDes!$C:$C)),"")</f>
        <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447</v>
      </c>
      <c r="D1455" t="s">
        <v>37</v>
      </c>
      <c r="E1455" t="s">
        <v>405</v>
      </c>
      <c r="G1455">
        <v>2</v>
      </c>
      <c r="H1455">
        <v>250</v>
      </c>
      <c r="J1455" cm="1">
        <f t="array" ref="J1455">_xlfn.SWITCH(B1455,1,75,2,61,3,49,4,37,5,25,6,13,7,4,8,1)</f>
        <v>37</v>
      </c>
      <c r="K1455" t="str" cm="1">
        <f t="array" ref="K1455">IFERROR(_xlfn.SWITCH(L1455,2,_xlfn.XLOOKUP(C1455,[1]ModifierDes!$B:$B,[1]ModifierDes!$C:$C),3,_xlfn.XLOOKUP(C1455,[1]StuntDes!$B:$B,[1]StuntDes!$C:$C)),"")</f>
        <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447</v>
      </c>
      <c r="D1456" t="s">
        <v>37</v>
      </c>
      <c r="E1456" t="s">
        <v>405</v>
      </c>
      <c r="G1456">
        <v>2</v>
      </c>
      <c r="H1456">
        <v>250</v>
      </c>
      <c r="J1456" cm="1">
        <f t="array" ref="J1456">_xlfn.SWITCH(B1456,1,75,2,61,3,49,4,37,5,25,6,13,7,4,8,1)</f>
        <v>25</v>
      </c>
      <c r="K1456" t="str" cm="1">
        <f t="array" ref="K1456">IFERROR(_xlfn.SWITCH(L1456,2,_xlfn.XLOOKUP(C1456,[1]ModifierDes!$B:$B,[1]ModifierDes!$C:$C),3,_xlfn.XLOOKUP(C1456,[1]StuntDes!$B:$B,[1]StuntDes!$C:$C)),"")</f>
        <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447</v>
      </c>
      <c r="D1457" t="s">
        <v>37</v>
      </c>
      <c r="E1457" t="s">
        <v>405</v>
      </c>
      <c r="G1457">
        <v>2</v>
      </c>
      <c r="H1457">
        <v>250</v>
      </c>
      <c r="J1457" cm="1">
        <f t="array" ref="J1457">_xlfn.SWITCH(B1457,1,75,2,61,3,49,4,37,5,25,6,13,7,4,8,1)</f>
        <v>13</v>
      </c>
      <c r="K1457" t="str" cm="1">
        <f t="array" ref="K1457">IFERROR(_xlfn.SWITCH(L1457,2,_xlfn.XLOOKUP(C1457,[1]ModifierDes!$B:$B,[1]ModifierDes!$C:$C),3,_xlfn.XLOOKUP(C1457,[1]StuntDes!$B:$B,[1]StuntDes!$C:$C)),"")</f>
        <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447</v>
      </c>
      <c r="D1458" t="s">
        <v>37</v>
      </c>
      <c r="E1458" t="s">
        <v>405</v>
      </c>
      <c r="G1458">
        <v>2</v>
      </c>
      <c r="H1458">
        <v>250</v>
      </c>
      <c r="J1458" cm="1">
        <f t="array" ref="J1458">_xlfn.SWITCH(B1458,1,75,2,61,3,49,4,37,5,25,6,13,7,4,8,1)</f>
        <v>4</v>
      </c>
      <c r="K1458" t="str" cm="1">
        <f t="array" ref="K1458">IFERROR(_xlfn.SWITCH(L1458,2,_xlfn.XLOOKUP(C1458,[1]ModifierDes!$B:$B,[1]ModifierDes!$C:$C),3,_xlfn.XLOOKUP(C1458,[1]StuntDes!$B:$B,[1]StuntDes!$C:$C)),"")</f>
        <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447</v>
      </c>
      <c r="D1459" t="s">
        <v>37</v>
      </c>
      <c r="E1459" t="s">
        <v>405</v>
      </c>
      <c r="G1459">
        <v>2</v>
      </c>
      <c r="H1459">
        <v>250</v>
      </c>
      <c r="J1459" cm="1">
        <f t="array" ref="J1459">_xlfn.SWITCH(B1459,1,75,2,61,3,49,4,37,5,25,6,13,7,4,8,1)</f>
        <v>1</v>
      </c>
      <c r="K1459" t="str" cm="1">
        <f t="array" ref="K1459">IFERROR(_xlfn.SWITCH(L1459,2,_xlfn.XLOOKUP(C1459,[1]ModifierDes!$B:$B,[1]ModifierDes!$C:$C),3,_xlfn.XLOOKUP(C1459,[1]StuntDes!$B:$B,[1]StuntDes!$C:$C)),"")</f>
        <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411</v>
      </c>
      <c r="D1460" t="s">
        <v>37</v>
      </c>
      <c r="E1460" t="s">
        <v>405</v>
      </c>
      <c r="G1460">
        <v>2</v>
      </c>
      <c r="H1460">
        <v>100</v>
      </c>
      <c r="I1460"/>
      <c r="J1460" cm="1">
        <f t="array" ref="J1460">_xlfn.SWITCH(B1460,1,75,2,61,3,49,4,37,5,25,6,13,7,4,8,1)</f>
        <v>75</v>
      </c>
      <c r="K1460" t="str" cm="1">
        <f t="array" ref="K1460">IFERROR(_xlfn.SWITCH(L1460,2,_xlfn.XLOOKUP(C1460,[1]ModifierDes!$B:$B,[1]ModifierDes!$C:$C),3,_xlfn.XLOOKUP(C1460,[1]StuntDes!$B:$B,[1]StuntDes!$C:$C)),"")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411</v>
      </c>
      <c r="D1461" t="s">
        <v>37</v>
      </c>
      <c r="E1461" t="s">
        <v>405</v>
      </c>
      <c r="G1461">
        <v>2</v>
      </c>
      <c r="H1461">
        <v>200</v>
      </c>
      <c r="I1461"/>
      <c r="J1461" cm="1">
        <f t="array" ref="J1461">_xlfn.SWITCH(B1461,1,75,2,61,3,49,4,37,5,25,6,13,7,4,8,1)</f>
        <v>61</v>
      </c>
      <c r="K1461" t="str" cm="1">
        <f t="array" ref="K1461">IFERROR(_xlfn.SWITCH(L1461,2,_xlfn.XLOOKUP(C1461,[1]ModifierDes!$B:$B,[1]ModifierDes!$C:$C),3,_xlfn.XLOOKUP(C1461,[1]StuntDes!$B:$B,[1]StuntDes!$C:$C)),"")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411</v>
      </c>
      <c r="D1462" t="s">
        <v>37</v>
      </c>
      <c r="E1462" t="s">
        <v>405</v>
      </c>
      <c r="G1462">
        <v>2</v>
      </c>
      <c r="H1462">
        <v>400</v>
      </c>
      <c r="I1462"/>
      <c r="J1462" cm="1">
        <f t="array" ref="J1462">_xlfn.SWITCH(B1462,1,75,2,61,3,49,4,37,5,25,6,13,7,4,8,1)</f>
        <v>49</v>
      </c>
      <c r="K1462" t="str" cm="1">
        <f t="array" ref="K1462">IFERROR(_xlfn.SWITCH(L1462,2,_xlfn.XLOOKUP(C1462,[1]ModifierDes!$B:$B,[1]ModifierDes!$C:$C),3,_xlfn.XLOOKUP(C1462,[1]StuntDes!$B:$B,[1]StuntDes!$C:$C)),"")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411</v>
      </c>
      <c r="D1463" t="s">
        <v>37</v>
      </c>
      <c r="E1463" t="s">
        <v>405</v>
      </c>
      <c r="G1463">
        <v>2</v>
      </c>
      <c r="H1463">
        <v>600</v>
      </c>
      <c r="I1463"/>
      <c r="J1463" cm="1">
        <f t="array" ref="J1463">_xlfn.SWITCH(B1463,1,75,2,61,3,49,4,37,5,25,6,13,7,4,8,1)</f>
        <v>37</v>
      </c>
      <c r="K1463" t="str" cm="1">
        <f t="array" ref="K1463">IFERROR(_xlfn.SWITCH(L1463,2,_xlfn.XLOOKUP(C1463,[1]ModifierDes!$B:$B,[1]ModifierDes!$C:$C),3,_xlfn.XLOOKUP(C1463,[1]StuntDes!$B:$B,[1]StuntDes!$C:$C)),"")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411</v>
      </c>
      <c r="D1464" t="s">
        <v>37</v>
      </c>
      <c r="E1464" t="s">
        <v>405</v>
      </c>
      <c r="G1464">
        <v>2</v>
      </c>
      <c r="H1464">
        <v>800</v>
      </c>
      <c r="I1464"/>
      <c r="J1464" cm="1">
        <f t="array" ref="J1464">_xlfn.SWITCH(B1464,1,75,2,61,3,49,4,37,5,25,6,13,7,4,8,1)</f>
        <v>25</v>
      </c>
      <c r="K1464" t="str" cm="1">
        <f t="array" ref="K1464">IFERROR(_xlfn.SWITCH(L1464,2,_xlfn.XLOOKUP(C1464,[1]ModifierDes!$B:$B,[1]ModifierDes!$C:$C),3,_xlfn.XLOOKUP(C1464,[1]StuntDes!$B:$B,[1]StuntDes!$C:$C)),"")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411</v>
      </c>
      <c r="D1465" t="s">
        <v>37</v>
      </c>
      <c r="E1465" t="s">
        <v>405</v>
      </c>
      <c r="G1465">
        <v>2</v>
      </c>
      <c r="H1465">
        <v>1000</v>
      </c>
      <c r="I1465"/>
      <c r="J1465" cm="1">
        <f t="array" ref="J1465">_xlfn.SWITCH(B1465,1,75,2,61,3,49,4,37,5,25,6,13,7,4,8,1)</f>
        <v>13</v>
      </c>
      <c r="K1465" t="str" cm="1">
        <f t="array" ref="K1465">IFERROR(_xlfn.SWITCH(L1465,2,_xlfn.XLOOKUP(C1465,[1]ModifierDes!$B:$B,[1]ModifierDes!$C:$C),3,_xlfn.XLOOKUP(C1465,[1]StuntDes!$B:$B,[1]StuntDes!$C:$C)),"")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411</v>
      </c>
      <c r="D1466" t="s">
        <v>37</v>
      </c>
      <c r="E1466" t="s">
        <v>405</v>
      </c>
      <c r="G1466">
        <v>2</v>
      </c>
      <c r="H1466">
        <v>1000</v>
      </c>
      <c r="I1466"/>
      <c r="J1466" cm="1">
        <f t="array" ref="J1466">_xlfn.SWITCH(B1466,1,75,2,61,3,49,4,37,5,25,6,13,7,4,8,1)</f>
        <v>4</v>
      </c>
      <c r="K1466" t="str" cm="1">
        <f t="array" ref="K1466">IFERROR(_xlfn.SWITCH(L1466,2,_xlfn.XLOOKUP(C1466,[1]ModifierDes!$B:$B,[1]ModifierDes!$C:$C),3,_xlfn.XLOOKUP(C1466,[1]StuntDes!$B:$B,[1]StuntDes!$C:$C)),"")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411</v>
      </c>
      <c r="D1467" t="s">
        <v>37</v>
      </c>
      <c r="E1467" t="s">
        <v>405</v>
      </c>
      <c r="G1467">
        <v>2</v>
      </c>
      <c r="H1467">
        <v>1000</v>
      </c>
      <c r="I1467"/>
      <c r="J1467" cm="1">
        <f t="array" ref="J1467">_xlfn.SWITCH(B1467,1,75,2,61,3,49,4,37,5,25,6,13,7,4,8,1)</f>
        <v>1</v>
      </c>
      <c r="K1467" t="str" cm="1">
        <f t="array" ref="K1467">IFERROR(_xlfn.SWITCH(L1467,2,_xlfn.XLOOKUP(C1467,[1]ModifierDes!$B:$B,[1]ModifierDes!$C:$C),3,_xlfn.XLOOKUP(C1467,[1]StuntDes!$B:$B,[1]StuntDes!$C:$C)),"")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437</v>
      </c>
      <c r="D1468" t="s">
        <v>37</v>
      </c>
      <c r="E1468" t="s">
        <v>405</v>
      </c>
      <c r="G1468">
        <v>2</v>
      </c>
      <c r="H1468">
        <v>100</v>
      </c>
      <c r="I1468"/>
      <c r="J1468" cm="1">
        <f t="array" ref="J1468">_xlfn.SWITCH(B1468,1,75,2,61,3,49,4,37,5,25,6,13,7,4,8,1)</f>
        <v>75</v>
      </c>
      <c r="K1468" t="str" cm="1">
        <f t="array" ref="K1468">IFERROR(_xlfn.SWITCH(L1468,2,_xlfn.XLOOKUP(C1468,[1]ModifierDes!$B:$B,[1]ModifierDes!$C:$C),3,_xlfn.XLOOKUP(C1468,[1]StuntDes!$B:$B,[1]StuntDes!$C:$C)),"")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437</v>
      </c>
      <c r="D1469" t="s">
        <v>37</v>
      </c>
      <c r="E1469" t="s">
        <v>405</v>
      </c>
      <c r="G1469">
        <v>2</v>
      </c>
      <c r="H1469">
        <v>200</v>
      </c>
      <c r="I1469"/>
      <c r="J1469" cm="1">
        <f t="array" ref="J1469">_xlfn.SWITCH(B1469,1,75,2,61,3,49,4,37,5,25,6,13,7,4,8,1)</f>
        <v>61</v>
      </c>
      <c r="K1469" t="str" cm="1">
        <f t="array" ref="K1469">IFERROR(_xlfn.SWITCH(L1469,2,_xlfn.XLOOKUP(C1469,[1]ModifierDes!$B:$B,[1]ModifierDes!$C:$C),3,_xlfn.XLOOKUP(C1469,[1]StuntDes!$B:$B,[1]StuntDes!$C:$C)),"")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437</v>
      </c>
      <c r="D1470" t="s">
        <v>37</v>
      </c>
      <c r="E1470" t="s">
        <v>405</v>
      </c>
      <c r="G1470">
        <v>2</v>
      </c>
      <c r="H1470">
        <v>400</v>
      </c>
      <c r="I1470"/>
      <c r="J1470" cm="1">
        <f t="array" ref="J1470">_xlfn.SWITCH(B1470,1,75,2,61,3,49,4,37,5,25,6,13,7,4,8,1)</f>
        <v>49</v>
      </c>
      <c r="K1470" t="str" cm="1">
        <f t="array" ref="K1470">IFERROR(_xlfn.SWITCH(L1470,2,_xlfn.XLOOKUP(C1470,[1]ModifierDes!$B:$B,[1]ModifierDes!$C:$C),3,_xlfn.XLOOKUP(C1470,[1]StuntDes!$B:$B,[1]StuntDes!$C:$C)),"")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437</v>
      </c>
      <c r="D1471" t="s">
        <v>37</v>
      </c>
      <c r="E1471" t="s">
        <v>405</v>
      </c>
      <c r="G1471">
        <v>2</v>
      </c>
      <c r="H1471">
        <v>600</v>
      </c>
      <c r="I1471"/>
      <c r="J1471" cm="1">
        <f t="array" ref="J1471">_xlfn.SWITCH(B1471,1,75,2,61,3,49,4,37,5,25,6,13,7,4,8,1)</f>
        <v>37</v>
      </c>
      <c r="K1471" t="str" cm="1">
        <f t="array" ref="K1471">IFERROR(_xlfn.SWITCH(L1471,2,_xlfn.XLOOKUP(C1471,[1]ModifierDes!$B:$B,[1]ModifierDes!$C:$C),3,_xlfn.XLOOKUP(C1471,[1]StuntDes!$B:$B,[1]StuntDes!$C:$C)),"")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437</v>
      </c>
      <c r="D1472" t="s">
        <v>37</v>
      </c>
      <c r="E1472" t="s">
        <v>405</v>
      </c>
      <c r="G1472">
        <v>2</v>
      </c>
      <c r="H1472">
        <v>800</v>
      </c>
      <c r="I1472"/>
      <c r="J1472" cm="1">
        <f t="array" ref="J1472">_xlfn.SWITCH(B1472,1,75,2,61,3,49,4,37,5,25,6,13,7,4,8,1)</f>
        <v>25</v>
      </c>
      <c r="K1472" t="str" cm="1">
        <f t="array" ref="K1472">IFERROR(_xlfn.SWITCH(L1472,2,_xlfn.XLOOKUP(C1472,[1]ModifierDes!$B:$B,[1]ModifierDes!$C:$C),3,_xlfn.XLOOKUP(C1472,[1]StuntDes!$B:$B,[1]StuntDes!$C:$C)),"")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437</v>
      </c>
      <c r="D1473" t="s">
        <v>37</v>
      </c>
      <c r="E1473" t="s">
        <v>405</v>
      </c>
      <c r="G1473">
        <v>2</v>
      </c>
      <c r="H1473">
        <v>1000</v>
      </c>
      <c r="I1473"/>
      <c r="J1473" cm="1">
        <f t="array" ref="J1473">_xlfn.SWITCH(B1473,1,75,2,61,3,49,4,37,5,25,6,13,7,4,8,1)</f>
        <v>13</v>
      </c>
      <c r="K1473" t="str" cm="1">
        <f t="array" ref="K1473">IFERROR(_xlfn.SWITCH(L1473,2,_xlfn.XLOOKUP(C1473,[1]ModifierDes!$B:$B,[1]ModifierDes!$C:$C),3,_xlfn.XLOOKUP(C1473,[1]StuntDes!$B:$B,[1]StuntDes!$C:$C)),"")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437</v>
      </c>
      <c r="D1474" t="s">
        <v>37</v>
      </c>
      <c r="E1474" t="s">
        <v>405</v>
      </c>
      <c r="G1474">
        <v>2</v>
      </c>
      <c r="H1474">
        <v>1000</v>
      </c>
      <c r="I1474"/>
      <c r="J1474" cm="1">
        <f t="array" ref="J1474">_xlfn.SWITCH(B1474,1,75,2,61,3,49,4,37,5,25,6,13,7,4,8,1)</f>
        <v>4</v>
      </c>
      <c r="K1474" t="str" cm="1">
        <f t="array" ref="K1474">IFERROR(_xlfn.SWITCH(L1474,2,_xlfn.XLOOKUP(C1474,[1]ModifierDes!$B:$B,[1]ModifierDes!$C:$C),3,_xlfn.XLOOKUP(C1474,[1]StuntDes!$B:$B,[1]StuntDes!$C:$C)),"")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437</v>
      </c>
      <c r="D1475" t="s">
        <v>37</v>
      </c>
      <c r="E1475" t="s">
        <v>405</v>
      </c>
      <c r="G1475">
        <v>2</v>
      </c>
      <c r="H1475">
        <v>1000</v>
      </c>
      <c r="I1475"/>
      <c r="J1475" cm="1">
        <f t="array" ref="J1475">_xlfn.SWITCH(B1475,1,75,2,61,3,49,4,37,5,25,6,13,7,4,8,1)</f>
        <v>1</v>
      </c>
      <c r="K1475" t="str" cm="1">
        <f t="array" ref="K1475">IFERROR(_xlfn.SWITCH(L1475,2,_xlfn.XLOOKUP(C1475,[1]ModifierDes!$B:$B,[1]ModifierDes!$C:$C),3,_xlfn.XLOOKUP(C1475,[1]StuntDes!$B:$B,[1]StuntDes!$C:$C)),"")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448</v>
      </c>
      <c r="D1476" t="s">
        <v>37</v>
      </c>
      <c r="E1476" t="s">
        <v>405</v>
      </c>
      <c r="F1476"/>
      <c r="G1476">
        <v>2</v>
      </c>
      <c r="H1476">
        <v>100</v>
      </c>
      <c r="I1476"/>
      <c r="J1476" cm="1">
        <f t="array" ref="J1476">_xlfn.SWITCH(B1476,1,75,2,61,3,49,4,37,5,25,6,13,7,4,8,1)</f>
        <v>75</v>
      </c>
      <c r="K1476" t="str" cm="1">
        <f t="array" ref="K1476">IFERROR(_xlfn.SWITCH(L1476,2,_xlfn.XLOOKUP(C1476,[1]ModifierDes!$B:$B,[1]ModifierDes!$C:$C),3,_xlfn.XLOOKUP(C1476,[1]StuntDes!$B:$B,[1]StuntDes!$C:$C)),"")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448</v>
      </c>
      <c r="D1477" t="s">
        <v>37</v>
      </c>
      <c r="E1477" t="s">
        <v>405</v>
      </c>
      <c r="F1477"/>
      <c r="G1477">
        <v>2</v>
      </c>
      <c r="H1477">
        <v>200</v>
      </c>
      <c r="I1477"/>
      <c r="J1477" cm="1">
        <f t="array" ref="J1477">_xlfn.SWITCH(B1477,1,75,2,61,3,49,4,37,5,25,6,13,7,4,8,1)</f>
        <v>61</v>
      </c>
      <c r="K1477" t="str" cm="1">
        <f t="array" ref="K1477">IFERROR(_xlfn.SWITCH(L1477,2,_xlfn.XLOOKUP(C1477,[1]ModifierDes!$B:$B,[1]ModifierDes!$C:$C),3,_xlfn.XLOOKUP(C1477,[1]StuntDes!$B:$B,[1]StuntDes!$C:$C)),"")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448</v>
      </c>
      <c r="D1478" t="s">
        <v>37</v>
      </c>
      <c r="E1478" t="s">
        <v>405</v>
      </c>
      <c r="F1478"/>
      <c r="G1478">
        <v>2</v>
      </c>
      <c r="H1478">
        <v>400</v>
      </c>
      <c r="I1478"/>
      <c r="J1478" cm="1">
        <f t="array" ref="J1478">_xlfn.SWITCH(B1478,1,75,2,61,3,49,4,37,5,25,6,13,7,4,8,1)</f>
        <v>49</v>
      </c>
      <c r="K1478" t="str" cm="1">
        <f t="array" ref="K1478">IFERROR(_xlfn.SWITCH(L1478,2,_xlfn.XLOOKUP(C1478,[1]ModifierDes!$B:$B,[1]ModifierDes!$C:$C),3,_xlfn.XLOOKUP(C1478,[1]StuntDes!$B:$B,[1]StuntDes!$C:$C)),"")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448</v>
      </c>
      <c r="D1479" t="s">
        <v>37</v>
      </c>
      <c r="E1479" t="s">
        <v>405</v>
      </c>
      <c r="F1479"/>
      <c r="G1479">
        <v>2</v>
      </c>
      <c r="H1479">
        <v>600</v>
      </c>
      <c r="I1479"/>
      <c r="J1479" cm="1">
        <f t="array" ref="J1479">_xlfn.SWITCH(B1479,1,75,2,61,3,49,4,37,5,25,6,13,7,4,8,1)</f>
        <v>37</v>
      </c>
      <c r="K1479" t="str" cm="1">
        <f t="array" ref="K1479">IFERROR(_xlfn.SWITCH(L1479,2,_xlfn.XLOOKUP(C1479,[1]ModifierDes!$B:$B,[1]ModifierDes!$C:$C),3,_xlfn.XLOOKUP(C1479,[1]StuntDes!$B:$B,[1]StuntDes!$C:$C)),"")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448</v>
      </c>
      <c r="D1480" t="s">
        <v>37</v>
      </c>
      <c r="E1480" t="s">
        <v>405</v>
      </c>
      <c r="F1480"/>
      <c r="G1480">
        <v>2</v>
      </c>
      <c r="H1480">
        <v>800</v>
      </c>
      <c r="I1480"/>
      <c r="J1480" cm="1">
        <f t="array" ref="J1480">_xlfn.SWITCH(B1480,1,75,2,61,3,49,4,37,5,25,6,13,7,4,8,1)</f>
        <v>25</v>
      </c>
      <c r="K1480" t="str" cm="1">
        <f t="array" ref="K1480">IFERROR(_xlfn.SWITCH(L1480,2,_xlfn.XLOOKUP(C1480,[1]ModifierDes!$B:$B,[1]ModifierDes!$C:$C),3,_xlfn.XLOOKUP(C1480,[1]StuntDes!$B:$B,[1]StuntDes!$C:$C)),"")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448</v>
      </c>
      <c r="D1481" t="s">
        <v>37</v>
      </c>
      <c r="E1481" t="s">
        <v>405</v>
      </c>
      <c r="F1481"/>
      <c r="G1481">
        <v>2</v>
      </c>
      <c r="H1481">
        <v>1000</v>
      </c>
      <c r="I1481"/>
      <c r="J1481" cm="1">
        <f t="array" ref="J1481">_xlfn.SWITCH(B1481,1,75,2,61,3,49,4,37,5,25,6,13,7,4,8,1)</f>
        <v>13</v>
      </c>
      <c r="K1481" t="str" cm="1">
        <f t="array" ref="K1481">IFERROR(_xlfn.SWITCH(L1481,2,_xlfn.XLOOKUP(C1481,[1]ModifierDes!$B:$B,[1]ModifierDes!$C:$C),3,_xlfn.XLOOKUP(C1481,[1]StuntDes!$B:$B,[1]StuntDes!$C:$C)),"")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448</v>
      </c>
      <c r="D1482" t="s">
        <v>37</v>
      </c>
      <c r="E1482" t="s">
        <v>405</v>
      </c>
      <c r="F1482"/>
      <c r="G1482">
        <v>2</v>
      </c>
      <c r="H1482">
        <v>1000</v>
      </c>
      <c r="I1482"/>
      <c r="J1482" cm="1">
        <f t="array" ref="J1482">_xlfn.SWITCH(B1482,1,75,2,61,3,49,4,37,5,25,6,13,7,4,8,1)</f>
        <v>4</v>
      </c>
      <c r="K1482" t="str" cm="1">
        <f t="array" ref="K1482">IFERROR(_xlfn.SWITCH(L1482,2,_xlfn.XLOOKUP(C1482,[1]ModifierDes!$B:$B,[1]ModifierDes!$C:$C),3,_xlfn.XLOOKUP(C1482,[1]StuntDes!$B:$B,[1]StuntDes!$C:$C)),"")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448</v>
      </c>
      <c r="D1483" t="s">
        <v>37</v>
      </c>
      <c r="E1483" t="s">
        <v>405</v>
      </c>
      <c r="F1483"/>
      <c r="G1483">
        <v>2</v>
      </c>
      <c r="H1483">
        <v>1000</v>
      </c>
      <c r="I1483"/>
      <c r="J1483" cm="1">
        <f t="array" ref="J1483">_xlfn.SWITCH(B1483,1,75,2,61,3,49,4,37,5,25,6,13,7,4,8,1)</f>
        <v>1</v>
      </c>
      <c r="K1483" t="str" cm="1">
        <f t="array" ref="K1483">IFERROR(_xlfn.SWITCH(L1483,2,_xlfn.XLOOKUP(C1483,[1]ModifierDes!$B:$B,[1]ModifierDes!$C:$C),3,_xlfn.XLOOKUP(C1483,[1]StuntDes!$B:$B,[1]StuntDes!$C:$C)),"")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449</v>
      </c>
      <c r="D1484" t="s">
        <v>37</v>
      </c>
      <c r="E1484" t="s">
        <v>405</v>
      </c>
      <c r="F1484"/>
      <c r="G1484">
        <v>2</v>
      </c>
      <c r="H1484">
        <v>100</v>
      </c>
      <c r="I1484"/>
      <c r="J1484" cm="1">
        <f t="array" ref="J1484">_xlfn.SWITCH(B1484,1,75,2,61,3,49,4,37,5,25,6,13,7,4,8,1)</f>
        <v>75</v>
      </c>
      <c r="K1484" t="str" cm="1">
        <f t="array" ref="K1484">IFERROR(_xlfn.SWITCH(L1484,2,_xlfn.XLOOKUP(C1484,[1]ModifierDes!$B:$B,[1]ModifierDes!$C:$C),3,_xlfn.XLOOKUP(C1484,[1]StuntDes!$B:$B,[1]StuntDes!$C:$C)),"")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449</v>
      </c>
      <c r="D1485" t="s">
        <v>37</v>
      </c>
      <c r="E1485" t="s">
        <v>405</v>
      </c>
      <c r="F1485"/>
      <c r="G1485">
        <v>2</v>
      </c>
      <c r="H1485">
        <v>200</v>
      </c>
      <c r="I1485"/>
      <c r="J1485" cm="1">
        <f t="array" ref="J1485">_xlfn.SWITCH(B1485,1,75,2,61,3,49,4,37,5,25,6,13,7,4,8,1)</f>
        <v>61</v>
      </c>
      <c r="K1485" t="str" cm="1">
        <f t="array" ref="K1485">IFERROR(_xlfn.SWITCH(L1485,2,_xlfn.XLOOKUP(C1485,[1]ModifierDes!$B:$B,[1]ModifierDes!$C:$C),3,_xlfn.XLOOKUP(C1485,[1]StuntDes!$B:$B,[1]StuntDes!$C:$C)),"")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449</v>
      </c>
      <c r="D1486" t="s">
        <v>37</v>
      </c>
      <c r="E1486" t="s">
        <v>405</v>
      </c>
      <c r="F1486"/>
      <c r="G1486">
        <v>2</v>
      </c>
      <c r="H1486">
        <v>400</v>
      </c>
      <c r="I1486"/>
      <c r="J1486" cm="1">
        <f t="array" ref="J1486">_xlfn.SWITCH(B1486,1,75,2,61,3,49,4,37,5,25,6,13,7,4,8,1)</f>
        <v>49</v>
      </c>
      <c r="K1486" t="str" cm="1">
        <f t="array" ref="K1486">IFERROR(_xlfn.SWITCH(L1486,2,_xlfn.XLOOKUP(C1486,[1]ModifierDes!$B:$B,[1]ModifierDes!$C:$C),3,_xlfn.XLOOKUP(C1486,[1]StuntDes!$B:$B,[1]StuntDes!$C:$C)),"")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449</v>
      </c>
      <c r="D1487" t="s">
        <v>37</v>
      </c>
      <c r="E1487" t="s">
        <v>405</v>
      </c>
      <c r="F1487"/>
      <c r="G1487">
        <v>2</v>
      </c>
      <c r="H1487">
        <v>600</v>
      </c>
      <c r="I1487"/>
      <c r="J1487" cm="1">
        <f t="array" ref="J1487">_xlfn.SWITCH(B1487,1,75,2,61,3,49,4,37,5,25,6,13,7,4,8,1)</f>
        <v>37</v>
      </c>
      <c r="K1487" t="str" cm="1">
        <f t="array" ref="K1487">IFERROR(_xlfn.SWITCH(L1487,2,_xlfn.XLOOKUP(C1487,[1]ModifierDes!$B:$B,[1]ModifierDes!$C:$C),3,_xlfn.XLOOKUP(C1487,[1]StuntDes!$B:$B,[1]StuntDes!$C:$C)),"")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449</v>
      </c>
      <c r="D1488" t="s">
        <v>37</v>
      </c>
      <c r="E1488" t="s">
        <v>405</v>
      </c>
      <c r="F1488"/>
      <c r="G1488">
        <v>2</v>
      </c>
      <c r="H1488">
        <v>800</v>
      </c>
      <c r="I1488"/>
      <c r="J1488" cm="1">
        <f t="array" ref="J1488">_xlfn.SWITCH(B1488,1,75,2,61,3,49,4,37,5,25,6,13,7,4,8,1)</f>
        <v>25</v>
      </c>
      <c r="K1488" t="str" cm="1">
        <f t="array" ref="K1488">IFERROR(_xlfn.SWITCH(L1488,2,_xlfn.XLOOKUP(C1488,[1]ModifierDes!$B:$B,[1]ModifierDes!$C:$C),3,_xlfn.XLOOKUP(C1488,[1]StuntDes!$B:$B,[1]StuntDes!$C:$C)),"")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449</v>
      </c>
      <c r="D1489" t="s">
        <v>37</v>
      </c>
      <c r="E1489" t="s">
        <v>405</v>
      </c>
      <c r="F1489"/>
      <c r="G1489">
        <v>2</v>
      </c>
      <c r="H1489">
        <v>1000</v>
      </c>
      <c r="I1489"/>
      <c r="J1489" cm="1">
        <f t="array" ref="J1489">_xlfn.SWITCH(B1489,1,75,2,61,3,49,4,37,5,25,6,13,7,4,8,1)</f>
        <v>13</v>
      </c>
      <c r="K1489" t="str" cm="1">
        <f t="array" ref="K1489">IFERROR(_xlfn.SWITCH(L1489,2,_xlfn.XLOOKUP(C1489,[1]ModifierDes!$B:$B,[1]ModifierDes!$C:$C),3,_xlfn.XLOOKUP(C1489,[1]StuntDes!$B:$B,[1]StuntDes!$C:$C)),"")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449</v>
      </c>
      <c r="D1490" t="s">
        <v>37</v>
      </c>
      <c r="E1490" t="s">
        <v>405</v>
      </c>
      <c r="F1490"/>
      <c r="G1490">
        <v>2</v>
      </c>
      <c r="H1490">
        <v>1000</v>
      </c>
      <c r="I1490"/>
      <c r="J1490" cm="1">
        <f t="array" ref="J1490">_xlfn.SWITCH(B1490,1,75,2,61,3,49,4,37,5,25,6,13,7,4,8,1)</f>
        <v>4</v>
      </c>
      <c r="K1490" t="str" cm="1">
        <f t="array" ref="K1490">IFERROR(_xlfn.SWITCH(L1490,2,_xlfn.XLOOKUP(C1490,[1]ModifierDes!$B:$B,[1]ModifierDes!$C:$C),3,_xlfn.XLOOKUP(C1490,[1]StuntDes!$B:$B,[1]StuntDes!$C:$C)),"")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449</v>
      </c>
      <c r="D1491" t="s">
        <v>37</v>
      </c>
      <c r="E1491" t="s">
        <v>405</v>
      </c>
      <c r="F1491"/>
      <c r="G1491">
        <v>2</v>
      </c>
      <c r="H1491">
        <v>1000</v>
      </c>
      <c r="I1491"/>
      <c r="J1491" cm="1">
        <f t="array" ref="J1491">_xlfn.SWITCH(B1491,1,75,2,61,3,49,4,37,5,25,6,13,7,4,8,1)</f>
        <v>1</v>
      </c>
      <c r="K1491" t="str" cm="1">
        <f t="array" ref="K1491">IFERROR(_xlfn.SWITCH(L1491,2,_xlfn.XLOOKUP(C1491,[1]ModifierDes!$B:$B,[1]ModifierDes!$C:$C),3,_xlfn.XLOOKUP(C1491,[1]StuntDes!$B:$B,[1]StuntDes!$C:$C)),"")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413</v>
      </c>
      <c r="D1492" t="s">
        <v>37</v>
      </c>
      <c r="E1492" t="s">
        <v>405</v>
      </c>
      <c r="F1492"/>
      <c r="G1492">
        <v>2</v>
      </c>
      <c r="H1492">
        <v>100</v>
      </c>
      <c r="I1492"/>
      <c r="J1492" cm="1">
        <f t="array" ref="J1492">_xlfn.SWITCH(B1492,1,75,2,61,3,49,4,37,5,25,6,13,7,4,8,1)</f>
        <v>75</v>
      </c>
      <c r="K1492" t="str" cm="1">
        <f t="array" ref="K1492">IFERROR(_xlfn.SWITCH(L1492,2,_xlfn.XLOOKUP(C1492,[1]ModifierDes!$B:$B,[1]ModifierDes!$C:$C),3,_xlfn.XLOOKUP(C1492,[1]StuntDes!$B:$B,[1]StuntDes!$C:$C)),"")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413</v>
      </c>
      <c r="D1493" t="s">
        <v>37</v>
      </c>
      <c r="E1493" t="s">
        <v>405</v>
      </c>
      <c r="F1493"/>
      <c r="G1493">
        <v>2</v>
      </c>
      <c r="H1493">
        <v>200</v>
      </c>
      <c r="I1493"/>
      <c r="J1493" cm="1">
        <f t="array" ref="J1493">_xlfn.SWITCH(B1493,1,75,2,61,3,49,4,37,5,25,6,13,7,4,8,1)</f>
        <v>61</v>
      </c>
      <c r="K1493" t="str" cm="1">
        <f t="array" ref="K1493">IFERROR(_xlfn.SWITCH(L1493,2,_xlfn.XLOOKUP(C1493,[1]ModifierDes!$B:$B,[1]ModifierDes!$C:$C),3,_xlfn.XLOOKUP(C1493,[1]StuntDes!$B:$B,[1]StuntDes!$C:$C)),"")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413</v>
      </c>
      <c r="D1494" t="s">
        <v>37</v>
      </c>
      <c r="E1494" t="s">
        <v>405</v>
      </c>
      <c r="F1494"/>
      <c r="G1494">
        <v>2</v>
      </c>
      <c r="H1494">
        <v>400</v>
      </c>
      <c r="I1494"/>
      <c r="J1494" cm="1">
        <f t="array" ref="J1494">_xlfn.SWITCH(B1494,1,75,2,61,3,49,4,37,5,25,6,13,7,4,8,1)</f>
        <v>49</v>
      </c>
      <c r="K1494" t="str" cm="1">
        <f t="array" ref="K1494">IFERROR(_xlfn.SWITCH(L1494,2,_xlfn.XLOOKUP(C1494,[1]ModifierDes!$B:$B,[1]ModifierDes!$C:$C),3,_xlfn.XLOOKUP(C1494,[1]StuntDes!$B:$B,[1]StuntDes!$C:$C)),"")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413</v>
      </c>
      <c r="D1495" t="s">
        <v>37</v>
      </c>
      <c r="E1495" t="s">
        <v>405</v>
      </c>
      <c r="F1495"/>
      <c r="G1495">
        <v>2</v>
      </c>
      <c r="H1495">
        <v>600</v>
      </c>
      <c r="I1495"/>
      <c r="J1495" cm="1">
        <f t="array" ref="J1495">_xlfn.SWITCH(B1495,1,75,2,61,3,49,4,37,5,25,6,13,7,4,8,1)</f>
        <v>37</v>
      </c>
      <c r="K1495" t="str" cm="1">
        <f t="array" ref="K1495">IFERROR(_xlfn.SWITCH(L1495,2,_xlfn.XLOOKUP(C1495,[1]ModifierDes!$B:$B,[1]ModifierDes!$C:$C),3,_xlfn.XLOOKUP(C1495,[1]StuntDes!$B:$B,[1]StuntDes!$C:$C)),"")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413</v>
      </c>
      <c r="D1496" t="s">
        <v>37</v>
      </c>
      <c r="E1496" t="s">
        <v>405</v>
      </c>
      <c r="F1496"/>
      <c r="G1496">
        <v>2</v>
      </c>
      <c r="H1496">
        <v>800</v>
      </c>
      <c r="I1496"/>
      <c r="J1496" cm="1">
        <f t="array" ref="J1496">_xlfn.SWITCH(B1496,1,75,2,61,3,49,4,37,5,25,6,13,7,4,8,1)</f>
        <v>25</v>
      </c>
      <c r="K1496" t="str" cm="1">
        <f t="array" ref="K1496">IFERROR(_xlfn.SWITCH(L1496,2,_xlfn.XLOOKUP(C1496,[1]ModifierDes!$B:$B,[1]ModifierDes!$C:$C),3,_xlfn.XLOOKUP(C1496,[1]StuntDes!$B:$B,[1]StuntDes!$C:$C)),"")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413</v>
      </c>
      <c r="D1497" t="s">
        <v>37</v>
      </c>
      <c r="E1497" t="s">
        <v>405</v>
      </c>
      <c r="F1497"/>
      <c r="G1497">
        <v>2</v>
      </c>
      <c r="H1497">
        <v>1000</v>
      </c>
      <c r="I1497"/>
      <c r="J1497" cm="1">
        <f t="array" ref="J1497">_xlfn.SWITCH(B1497,1,75,2,61,3,49,4,37,5,25,6,13,7,4,8,1)</f>
        <v>13</v>
      </c>
      <c r="K1497" t="str" cm="1">
        <f t="array" ref="K1497">IFERROR(_xlfn.SWITCH(L1497,2,_xlfn.XLOOKUP(C1497,[1]ModifierDes!$B:$B,[1]ModifierDes!$C:$C),3,_xlfn.XLOOKUP(C1497,[1]StuntDes!$B:$B,[1]StuntDes!$C:$C)),"")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413</v>
      </c>
      <c r="D1498" t="s">
        <v>37</v>
      </c>
      <c r="E1498" t="s">
        <v>405</v>
      </c>
      <c r="F1498"/>
      <c r="G1498">
        <v>2</v>
      </c>
      <c r="H1498">
        <v>1000</v>
      </c>
      <c r="I1498"/>
      <c r="J1498" cm="1">
        <f t="array" ref="J1498">_xlfn.SWITCH(B1498,1,75,2,61,3,49,4,37,5,25,6,13,7,4,8,1)</f>
        <v>4</v>
      </c>
      <c r="K1498" t="str" cm="1">
        <f t="array" ref="K1498">IFERROR(_xlfn.SWITCH(L1498,2,_xlfn.XLOOKUP(C1498,[1]ModifierDes!$B:$B,[1]ModifierDes!$C:$C),3,_xlfn.XLOOKUP(C1498,[1]StuntDes!$B:$B,[1]StuntDes!$C:$C)),"")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413</v>
      </c>
      <c r="D1499" t="s">
        <v>37</v>
      </c>
      <c r="E1499" t="s">
        <v>405</v>
      </c>
      <c r="F1499"/>
      <c r="G1499">
        <v>2</v>
      </c>
      <c r="H1499">
        <v>1000</v>
      </c>
      <c r="I1499"/>
      <c r="J1499" cm="1">
        <f t="array" ref="J1499">_xlfn.SWITCH(B1499,1,75,2,61,3,49,4,37,5,25,6,13,7,4,8,1)</f>
        <v>1</v>
      </c>
      <c r="K1499" t="str" cm="1">
        <f t="array" ref="K1499">IFERROR(_xlfn.SWITCH(L1499,2,_xlfn.XLOOKUP(C1499,[1]ModifierDes!$B:$B,[1]ModifierDes!$C:$C),3,_xlfn.XLOOKUP(C1499,[1]StuntDes!$B:$B,[1]StuntDes!$C:$C)),"")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443</v>
      </c>
      <c r="D1500" t="s">
        <v>37</v>
      </c>
      <c r="E1500" t="s">
        <v>405</v>
      </c>
      <c r="F1500"/>
      <c r="G1500">
        <v>2</v>
      </c>
      <c r="H1500">
        <v>100</v>
      </c>
      <c r="I1500"/>
      <c r="J1500" cm="1">
        <f t="array" ref="J1500">_xlfn.SWITCH(B1500,1,75,2,61,3,49,4,37,5,25,6,13,7,4,8,1)</f>
        <v>75</v>
      </c>
      <c r="K1500" t="str" cm="1">
        <f t="array" ref="K1500">IFERROR(_xlfn.SWITCH(L1500,2,_xlfn.XLOOKUP(C1500,[1]ModifierDes!$B:$B,[1]ModifierDes!$C:$C),3,_xlfn.XLOOKUP(C1500,[1]StuntDes!$B:$B,[1]StuntDes!$C:$C)),"")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443</v>
      </c>
      <c r="D1501" t="s">
        <v>37</v>
      </c>
      <c r="E1501" t="s">
        <v>405</v>
      </c>
      <c r="F1501"/>
      <c r="G1501">
        <v>2</v>
      </c>
      <c r="H1501">
        <v>200</v>
      </c>
      <c r="I1501"/>
      <c r="J1501" cm="1">
        <f t="array" ref="J1501">_xlfn.SWITCH(B1501,1,75,2,61,3,49,4,37,5,25,6,13,7,4,8,1)</f>
        <v>61</v>
      </c>
      <c r="K1501" t="str" cm="1">
        <f t="array" ref="K1501">IFERROR(_xlfn.SWITCH(L1501,2,_xlfn.XLOOKUP(C1501,[1]ModifierDes!$B:$B,[1]ModifierDes!$C:$C),3,_xlfn.XLOOKUP(C1501,[1]StuntDes!$B:$B,[1]StuntDes!$C:$C)),"")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443</v>
      </c>
      <c r="D1502" t="s">
        <v>37</v>
      </c>
      <c r="E1502" t="s">
        <v>405</v>
      </c>
      <c r="F1502"/>
      <c r="G1502">
        <v>2</v>
      </c>
      <c r="H1502">
        <v>400</v>
      </c>
      <c r="I1502"/>
      <c r="J1502" cm="1">
        <f t="array" ref="J1502">_xlfn.SWITCH(B1502,1,75,2,61,3,49,4,37,5,25,6,13,7,4,8,1)</f>
        <v>49</v>
      </c>
      <c r="K1502" t="str" cm="1">
        <f t="array" ref="K1502">IFERROR(_xlfn.SWITCH(L1502,2,_xlfn.XLOOKUP(C1502,[1]ModifierDes!$B:$B,[1]ModifierDes!$C:$C),3,_xlfn.XLOOKUP(C1502,[1]StuntDes!$B:$B,[1]StuntDes!$C:$C)),"")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443</v>
      </c>
      <c r="D1503" t="s">
        <v>37</v>
      </c>
      <c r="E1503" t="s">
        <v>405</v>
      </c>
      <c r="F1503"/>
      <c r="G1503">
        <v>2</v>
      </c>
      <c r="H1503">
        <v>600</v>
      </c>
      <c r="I1503"/>
      <c r="J1503" cm="1">
        <f t="array" ref="J1503">_xlfn.SWITCH(B1503,1,75,2,61,3,49,4,37,5,25,6,13,7,4,8,1)</f>
        <v>37</v>
      </c>
      <c r="K1503" t="str" cm="1">
        <f t="array" ref="K1503">IFERROR(_xlfn.SWITCH(L1503,2,_xlfn.XLOOKUP(C1503,[1]ModifierDes!$B:$B,[1]ModifierDes!$C:$C),3,_xlfn.XLOOKUP(C1503,[1]StuntDes!$B:$B,[1]StuntDes!$C:$C)),"")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443</v>
      </c>
      <c r="D1504" t="s">
        <v>37</v>
      </c>
      <c r="E1504" t="s">
        <v>405</v>
      </c>
      <c r="F1504"/>
      <c r="G1504">
        <v>2</v>
      </c>
      <c r="H1504">
        <v>800</v>
      </c>
      <c r="I1504"/>
      <c r="J1504" cm="1">
        <f t="array" ref="J1504">_xlfn.SWITCH(B1504,1,75,2,61,3,49,4,37,5,25,6,13,7,4,8,1)</f>
        <v>25</v>
      </c>
      <c r="K1504" t="str" cm="1">
        <f t="array" ref="K1504">IFERROR(_xlfn.SWITCH(L1504,2,_xlfn.XLOOKUP(C1504,[1]ModifierDes!$B:$B,[1]ModifierDes!$C:$C),3,_xlfn.XLOOKUP(C1504,[1]StuntDes!$B:$B,[1]StuntDes!$C:$C)),"")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443</v>
      </c>
      <c r="D1505" t="s">
        <v>37</v>
      </c>
      <c r="E1505" t="s">
        <v>405</v>
      </c>
      <c r="F1505"/>
      <c r="G1505">
        <v>2</v>
      </c>
      <c r="H1505">
        <v>1000</v>
      </c>
      <c r="I1505"/>
      <c r="J1505" cm="1">
        <f t="array" ref="J1505">_xlfn.SWITCH(B1505,1,75,2,61,3,49,4,37,5,25,6,13,7,4,8,1)</f>
        <v>13</v>
      </c>
      <c r="K1505" t="str" cm="1">
        <f t="array" ref="K1505">IFERROR(_xlfn.SWITCH(L1505,2,_xlfn.XLOOKUP(C1505,[1]ModifierDes!$B:$B,[1]ModifierDes!$C:$C),3,_xlfn.XLOOKUP(C1505,[1]StuntDes!$B:$B,[1]StuntDes!$C:$C)),"")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443</v>
      </c>
      <c r="D1506" t="s">
        <v>37</v>
      </c>
      <c r="E1506" t="s">
        <v>405</v>
      </c>
      <c r="F1506"/>
      <c r="G1506">
        <v>2</v>
      </c>
      <c r="H1506">
        <v>1000</v>
      </c>
      <c r="I1506"/>
      <c r="J1506" cm="1">
        <f t="array" ref="J1506">_xlfn.SWITCH(B1506,1,75,2,61,3,49,4,37,5,25,6,13,7,4,8,1)</f>
        <v>4</v>
      </c>
      <c r="K1506" t="str" cm="1">
        <f t="array" ref="K1506">IFERROR(_xlfn.SWITCH(L1506,2,_xlfn.XLOOKUP(C1506,[1]ModifierDes!$B:$B,[1]ModifierDes!$C:$C),3,_xlfn.XLOOKUP(C1506,[1]StuntDes!$B:$B,[1]StuntDes!$C:$C)),"")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443</v>
      </c>
      <c r="D1507" t="s">
        <v>37</v>
      </c>
      <c r="E1507" t="s">
        <v>405</v>
      </c>
      <c r="F1507"/>
      <c r="G1507">
        <v>2</v>
      </c>
      <c r="H1507">
        <v>1000</v>
      </c>
      <c r="I1507"/>
      <c r="J1507" cm="1">
        <f t="array" ref="J1507">_xlfn.SWITCH(B1507,1,75,2,61,3,49,4,37,5,25,6,13,7,4,8,1)</f>
        <v>1</v>
      </c>
      <c r="K1507" t="str" cm="1">
        <f t="array" ref="K1507">IFERROR(_xlfn.SWITCH(L1507,2,_xlfn.XLOOKUP(C1507,[1]ModifierDes!$B:$B,[1]ModifierDes!$C:$C),3,_xlfn.XLOOKUP(C1507,[1]StuntDes!$B:$B,[1]StuntDes!$C:$C)),"")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419</v>
      </c>
      <c r="D1508" t="s">
        <v>37</v>
      </c>
      <c r="E1508" t="s">
        <v>405</v>
      </c>
      <c r="G1508">
        <v>2</v>
      </c>
      <c r="H1508">
        <v>1000</v>
      </c>
      <c r="J1508" cm="1">
        <f t="array" ref="J1508">_xlfn.SWITCH(B1508,1,75,2,61,3,49,4,37,5,25,6,13,7,4,8,1)</f>
        <v>75</v>
      </c>
      <c r="K1508" t="str" cm="1">
        <f t="array" ref="K1508">IFERROR(_xlfn.SWITCH(L1508,2,_xlfn.XLOOKUP(C1508,[1]ModifierDes!$B:$B,[1]ModifierDes!$C:$C),3,_xlfn.XLOOKUP(C1508,[1]StuntDes!$B:$B,[1]StuntDes!$C:$C)),"")</f>
        <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419</v>
      </c>
      <c r="D1509" t="s">
        <v>37</v>
      </c>
      <c r="E1509" t="s">
        <v>405</v>
      </c>
      <c r="G1509">
        <v>2</v>
      </c>
      <c r="H1509">
        <v>1000</v>
      </c>
      <c r="J1509" cm="1">
        <f t="array" ref="J1509">_xlfn.SWITCH(B1509,1,75,2,61,3,49,4,37,5,25,6,13,7,4,8,1)</f>
        <v>61</v>
      </c>
      <c r="K1509" t="str" cm="1">
        <f t="array" ref="K1509">IFERROR(_xlfn.SWITCH(L1509,2,_xlfn.XLOOKUP(C1509,[1]ModifierDes!$B:$B,[1]ModifierDes!$C:$C),3,_xlfn.XLOOKUP(C1509,[1]StuntDes!$B:$B,[1]StuntDes!$C:$C)),"")</f>
        <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419</v>
      </c>
      <c r="D1510" t="s">
        <v>37</v>
      </c>
      <c r="E1510" t="s">
        <v>405</v>
      </c>
      <c r="G1510">
        <v>2</v>
      </c>
      <c r="H1510">
        <v>1000</v>
      </c>
      <c r="J1510" cm="1">
        <f t="array" ref="J1510">_xlfn.SWITCH(B1510,1,75,2,61,3,49,4,37,5,25,6,13,7,4,8,1)</f>
        <v>49</v>
      </c>
      <c r="K1510" t="str" cm="1">
        <f t="array" ref="K1510">IFERROR(_xlfn.SWITCH(L1510,2,_xlfn.XLOOKUP(C1510,[1]ModifierDes!$B:$B,[1]ModifierDes!$C:$C),3,_xlfn.XLOOKUP(C1510,[1]StuntDes!$B:$B,[1]StuntDes!$C:$C)),"")</f>
        <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419</v>
      </c>
      <c r="D1511" t="s">
        <v>37</v>
      </c>
      <c r="E1511" t="s">
        <v>405</v>
      </c>
      <c r="G1511">
        <v>2</v>
      </c>
      <c r="H1511">
        <v>1000</v>
      </c>
      <c r="J1511" cm="1">
        <f t="array" ref="J1511">_xlfn.SWITCH(B1511,1,75,2,61,3,49,4,37,5,25,6,13,7,4,8,1)</f>
        <v>37</v>
      </c>
      <c r="K1511" t="str" cm="1">
        <f t="array" ref="K1511">IFERROR(_xlfn.SWITCH(L1511,2,_xlfn.XLOOKUP(C1511,[1]ModifierDes!$B:$B,[1]ModifierDes!$C:$C),3,_xlfn.XLOOKUP(C1511,[1]StuntDes!$B:$B,[1]StuntDes!$C:$C)),"")</f>
        <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419</v>
      </c>
      <c r="D1512" t="s">
        <v>37</v>
      </c>
      <c r="E1512" t="s">
        <v>405</v>
      </c>
      <c r="G1512">
        <v>2</v>
      </c>
      <c r="H1512">
        <v>1000</v>
      </c>
      <c r="J1512" cm="1">
        <f t="array" ref="J1512">_xlfn.SWITCH(B1512,1,75,2,61,3,49,4,37,5,25,6,13,7,4,8,1)</f>
        <v>25</v>
      </c>
      <c r="K1512" t="str" cm="1">
        <f t="array" ref="K1512">IFERROR(_xlfn.SWITCH(L1512,2,_xlfn.XLOOKUP(C1512,[1]ModifierDes!$B:$B,[1]ModifierDes!$C:$C),3,_xlfn.XLOOKUP(C1512,[1]StuntDes!$B:$B,[1]StuntDes!$C:$C)),"")</f>
        <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419</v>
      </c>
      <c r="D1513" t="s">
        <v>37</v>
      </c>
      <c r="E1513" t="s">
        <v>405</v>
      </c>
      <c r="G1513">
        <v>2</v>
      </c>
      <c r="H1513">
        <v>1000</v>
      </c>
      <c r="J1513" cm="1">
        <f t="array" ref="J1513">_xlfn.SWITCH(B1513,1,75,2,61,3,49,4,37,5,25,6,13,7,4,8,1)</f>
        <v>13</v>
      </c>
      <c r="K1513" t="str" cm="1">
        <f t="array" ref="K1513">IFERROR(_xlfn.SWITCH(L1513,2,_xlfn.XLOOKUP(C1513,[1]ModifierDes!$B:$B,[1]ModifierDes!$C:$C),3,_xlfn.XLOOKUP(C1513,[1]StuntDes!$B:$B,[1]StuntDes!$C:$C)),"")</f>
        <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419</v>
      </c>
      <c r="D1514" t="s">
        <v>37</v>
      </c>
      <c r="E1514" t="s">
        <v>405</v>
      </c>
      <c r="G1514">
        <v>2</v>
      </c>
      <c r="H1514">
        <v>1000</v>
      </c>
      <c r="J1514" cm="1">
        <f t="array" ref="J1514">_xlfn.SWITCH(B1514,1,75,2,61,3,49,4,37,5,25,6,13,7,4,8,1)</f>
        <v>4</v>
      </c>
      <c r="K1514" t="str" cm="1">
        <f t="array" ref="K1514">IFERROR(_xlfn.SWITCH(L1514,2,_xlfn.XLOOKUP(C1514,[1]ModifierDes!$B:$B,[1]ModifierDes!$C:$C),3,_xlfn.XLOOKUP(C1514,[1]StuntDes!$B:$B,[1]StuntDes!$C:$C)),"")</f>
        <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419</v>
      </c>
      <c r="D1515" t="s">
        <v>37</v>
      </c>
      <c r="E1515" t="s">
        <v>405</v>
      </c>
      <c r="G1515">
        <v>2</v>
      </c>
      <c r="H1515">
        <v>1000</v>
      </c>
      <c r="J1515" cm="1">
        <f t="array" ref="J1515">_xlfn.SWITCH(B1515,1,75,2,61,3,49,4,37,5,25,6,13,7,4,8,1)</f>
        <v>1</v>
      </c>
      <c r="K1515" t="str" cm="1">
        <f t="array" ref="K1515">IFERROR(_xlfn.SWITCH(L1515,2,_xlfn.XLOOKUP(C1515,[1]ModifierDes!$B:$B,[1]ModifierDes!$C:$C),3,_xlfn.XLOOKUP(C1515,[1]StuntDes!$B:$B,[1]StuntDes!$C:$C)),"")</f>
        <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402</v>
      </c>
      <c r="D1516" t="s">
        <v>38</v>
      </c>
      <c r="E1516" t="s">
        <v>388</v>
      </c>
      <c r="F1516"/>
      <c r="G1516">
        <v>1</v>
      </c>
      <c r="H1516">
        <v>1000</v>
      </c>
      <c r="I1516"/>
      <c r="J1516" cm="1">
        <f t="array" ref="J1516">_xlfn.SWITCH(B1516,1,75,2,61,3,49,4,37,5,25,6,13,7,4,8,1)</f>
        <v>75</v>
      </c>
      <c r="K1516" t="str" cm="1">
        <f t="array" ref="K1516">IFERROR(_xlfn.SWITCH(L1516,2,_xlfn.XLOOKUP(C1516,[1]ModifierDes!$B:$B,[1]ModifierDes!$C:$C),3,_xlfn.XLOOKUP(C1516,[1]StuntDes!$B:$B,[1]StuntDes!$C:$C)),"")</f>
        <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402</v>
      </c>
      <c r="D1517" t="s">
        <v>38</v>
      </c>
      <c r="E1517" t="s">
        <v>388</v>
      </c>
      <c r="F1517"/>
      <c r="G1517">
        <v>1</v>
      </c>
      <c r="H1517">
        <v>1000</v>
      </c>
      <c r="I1517"/>
      <c r="J1517" cm="1">
        <f t="array" ref="J1517">_xlfn.SWITCH(B1517,1,75,2,61,3,49,4,37,5,25,6,13,7,4,8,1)</f>
        <v>61</v>
      </c>
      <c r="K1517" t="str" cm="1">
        <f t="array" ref="K1517">IFERROR(_xlfn.SWITCH(L1517,2,_xlfn.XLOOKUP(C1517,[1]ModifierDes!$B:$B,[1]ModifierDes!$C:$C),3,_xlfn.XLOOKUP(C1517,[1]StuntDes!$B:$B,[1]StuntDes!$C:$C)),"")</f>
        <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402</v>
      </c>
      <c r="D1518" t="s">
        <v>38</v>
      </c>
      <c r="E1518" t="s">
        <v>388</v>
      </c>
      <c r="F1518"/>
      <c r="G1518">
        <v>1</v>
      </c>
      <c r="H1518">
        <v>1000</v>
      </c>
      <c r="I1518"/>
      <c r="J1518" cm="1">
        <f t="array" ref="J1518">_xlfn.SWITCH(B1518,1,75,2,61,3,49,4,37,5,25,6,13,7,4,8,1)</f>
        <v>49</v>
      </c>
      <c r="K1518" t="str" cm="1">
        <f t="array" ref="K1518">IFERROR(_xlfn.SWITCH(L1518,2,_xlfn.XLOOKUP(C1518,[1]ModifierDes!$B:$B,[1]ModifierDes!$C:$C),3,_xlfn.XLOOKUP(C1518,[1]StuntDes!$B:$B,[1]StuntDes!$C:$C)),"")</f>
        <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402</v>
      </c>
      <c r="D1519" t="s">
        <v>38</v>
      </c>
      <c r="E1519" t="s">
        <v>388</v>
      </c>
      <c r="F1519"/>
      <c r="G1519">
        <v>1</v>
      </c>
      <c r="H1519">
        <v>1000</v>
      </c>
      <c r="I1519"/>
      <c r="J1519" cm="1">
        <f t="array" ref="J1519">_xlfn.SWITCH(B1519,1,75,2,61,3,49,4,37,5,25,6,13,7,4,8,1)</f>
        <v>37</v>
      </c>
      <c r="K1519" t="str" cm="1">
        <f t="array" ref="K1519">IFERROR(_xlfn.SWITCH(L1519,2,_xlfn.XLOOKUP(C1519,[1]ModifierDes!$B:$B,[1]ModifierDes!$C:$C),3,_xlfn.XLOOKUP(C1519,[1]StuntDes!$B:$B,[1]StuntDes!$C:$C)),"")</f>
        <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402</v>
      </c>
      <c r="D1520" t="s">
        <v>38</v>
      </c>
      <c r="E1520" t="s">
        <v>388</v>
      </c>
      <c r="F1520"/>
      <c r="G1520">
        <v>1</v>
      </c>
      <c r="H1520">
        <v>1000</v>
      </c>
      <c r="I1520"/>
      <c r="J1520" cm="1">
        <f t="array" ref="J1520">_xlfn.SWITCH(B1520,1,75,2,61,3,49,4,37,5,25,6,13,7,4,8,1)</f>
        <v>25</v>
      </c>
      <c r="K1520" t="str" cm="1">
        <f t="array" ref="K1520">IFERROR(_xlfn.SWITCH(L1520,2,_xlfn.XLOOKUP(C1520,[1]ModifierDes!$B:$B,[1]ModifierDes!$C:$C),3,_xlfn.XLOOKUP(C1520,[1]StuntDes!$B:$B,[1]StuntDes!$C:$C)),"")</f>
        <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402</v>
      </c>
      <c r="D1521" t="s">
        <v>38</v>
      </c>
      <c r="E1521" t="s">
        <v>388</v>
      </c>
      <c r="F1521"/>
      <c r="G1521">
        <v>1</v>
      </c>
      <c r="H1521">
        <v>1000</v>
      </c>
      <c r="I1521"/>
      <c r="J1521" cm="1">
        <f t="array" ref="J1521">_xlfn.SWITCH(B1521,1,75,2,61,3,49,4,37,5,25,6,13,7,4,8,1)</f>
        <v>13</v>
      </c>
      <c r="K1521" t="str" cm="1">
        <f t="array" ref="K1521">IFERROR(_xlfn.SWITCH(L1521,2,_xlfn.XLOOKUP(C1521,[1]ModifierDes!$B:$B,[1]ModifierDes!$C:$C),3,_xlfn.XLOOKUP(C1521,[1]StuntDes!$B:$B,[1]StuntDes!$C:$C)),"")</f>
        <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402</v>
      </c>
      <c r="D1522" t="s">
        <v>38</v>
      </c>
      <c r="E1522" t="s">
        <v>388</v>
      </c>
      <c r="F1522"/>
      <c r="G1522">
        <v>1</v>
      </c>
      <c r="H1522">
        <v>1000</v>
      </c>
      <c r="I1522"/>
      <c r="J1522" cm="1">
        <f t="array" ref="J1522">_xlfn.SWITCH(B1522,1,75,2,61,3,49,4,37,5,25,6,13,7,4,8,1)</f>
        <v>4</v>
      </c>
      <c r="K1522" t="str" cm="1">
        <f t="array" ref="K1522">IFERROR(_xlfn.SWITCH(L1522,2,_xlfn.XLOOKUP(C1522,[1]ModifierDes!$B:$B,[1]ModifierDes!$C:$C),3,_xlfn.XLOOKUP(C1522,[1]StuntDes!$B:$B,[1]StuntDes!$C:$C)),"")</f>
        <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402</v>
      </c>
      <c r="D1523" t="s">
        <v>38</v>
      </c>
      <c r="E1523" t="s">
        <v>388</v>
      </c>
      <c r="F1523"/>
      <c r="G1523">
        <v>1</v>
      </c>
      <c r="H1523">
        <v>1000</v>
      </c>
      <c r="I1523"/>
      <c r="J1523" cm="1">
        <f t="array" ref="J1523">_xlfn.SWITCH(B1523,1,75,2,61,3,49,4,37,5,25,6,13,7,4,8,1)</f>
        <v>1</v>
      </c>
      <c r="K1523" t="str" cm="1">
        <f t="array" ref="K1523">IFERROR(_xlfn.SWITCH(L1523,2,_xlfn.XLOOKUP(C1523,[1]ModifierDes!$B:$B,[1]ModifierDes!$C:$C),3,_xlfn.XLOOKUP(C1523,[1]StuntDes!$B:$B,[1]StuntDes!$C:$C)),"")</f>
        <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403</v>
      </c>
      <c r="D1524" t="s">
        <v>38</v>
      </c>
      <c r="E1524" t="s">
        <v>388</v>
      </c>
      <c r="F1524"/>
      <c r="G1524">
        <v>1</v>
      </c>
      <c r="H1524">
        <v>1000</v>
      </c>
      <c r="I1524"/>
      <c r="J1524" cm="1">
        <f t="array" ref="J1524">_xlfn.SWITCH(B1524,1,75,2,61,3,49,4,37,5,25,6,13,7,4,8,1)</f>
        <v>75</v>
      </c>
      <c r="K1524" t="str" cm="1">
        <f t="array" ref="K1524">IFERROR(_xlfn.SWITCH(L1524,2,_xlfn.XLOOKUP(C1524,[1]ModifierDes!$B:$B,[1]ModifierDes!$C:$C),3,_xlfn.XLOOKUP(C1524,[1]StuntDes!$B:$B,[1]StuntDes!$C:$C)),"")</f>
        <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403</v>
      </c>
      <c r="D1525" t="s">
        <v>38</v>
      </c>
      <c r="E1525" t="s">
        <v>388</v>
      </c>
      <c r="F1525"/>
      <c r="G1525">
        <v>1</v>
      </c>
      <c r="H1525">
        <v>1000</v>
      </c>
      <c r="I1525"/>
      <c r="J1525" cm="1">
        <f t="array" ref="J1525">_xlfn.SWITCH(B1525,1,75,2,61,3,49,4,37,5,25,6,13,7,4,8,1)</f>
        <v>61</v>
      </c>
      <c r="K1525" t="str" cm="1">
        <f t="array" ref="K1525">IFERROR(_xlfn.SWITCH(L1525,2,_xlfn.XLOOKUP(C1525,[1]ModifierDes!$B:$B,[1]ModifierDes!$C:$C),3,_xlfn.XLOOKUP(C1525,[1]StuntDes!$B:$B,[1]StuntDes!$C:$C)),"")</f>
        <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403</v>
      </c>
      <c r="D1526" t="s">
        <v>38</v>
      </c>
      <c r="E1526" t="s">
        <v>388</v>
      </c>
      <c r="F1526"/>
      <c r="G1526">
        <v>1</v>
      </c>
      <c r="H1526">
        <v>1000</v>
      </c>
      <c r="I1526"/>
      <c r="J1526" cm="1">
        <f t="array" ref="J1526">_xlfn.SWITCH(B1526,1,75,2,61,3,49,4,37,5,25,6,13,7,4,8,1)</f>
        <v>49</v>
      </c>
      <c r="K1526" t="str" cm="1">
        <f t="array" ref="K1526">IFERROR(_xlfn.SWITCH(L1526,2,_xlfn.XLOOKUP(C1526,[1]ModifierDes!$B:$B,[1]ModifierDes!$C:$C),3,_xlfn.XLOOKUP(C1526,[1]StuntDes!$B:$B,[1]StuntDes!$C:$C)),"")</f>
        <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403</v>
      </c>
      <c r="D1527" t="s">
        <v>38</v>
      </c>
      <c r="E1527" t="s">
        <v>388</v>
      </c>
      <c r="F1527"/>
      <c r="G1527">
        <v>1</v>
      </c>
      <c r="H1527">
        <v>1000</v>
      </c>
      <c r="I1527"/>
      <c r="J1527" cm="1">
        <f t="array" ref="J1527">_xlfn.SWITCH(B1527,1,75,2,61,3,49,4,37,5,25,6,13,7,4,8,1)</f>
        <v>37</v>
      </c>
      <c r="K1527" t="str" cm="1">
        <f t="array" ref="K1527">IFERROR(_xlfn.SWITCH(L1527,2,_xlfn.XLOOKUP(C1527,[1]ModifierDes!$B:$B,[1]ModifierDes!$C:$C),3,_xlfn.XLOOKUP(C1527,[1]StuntDes!$B:$B,[1]StuntDes!$C:$C)),"")</f>
        <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403</v>
      </c>
      <c r="D1528" t="s">
        <v>38</v>
      </c>
      <c r="E1528" t="s">
        <v>388</v>
      </c>
      <c r="F1528"/>
      <c r="G1528">
        <v>1</v>
      </c>
      <c r="H1528">
        <v>1000</v>
      </c>
      <c r="I1528"/>
      <c r="J1528" cm="1">
        <f t="array" ref="J1528">_xlfn.SWITCH(B1528,1,75,2,61,3,49,4,37,5,25,6,13,7,4,8,1)</f>
        <v>25</v>
      </c>
      <c r="K1528" t="str" cm="1">
        <f t="array" ref="K1528">IFERROR(_xlfn.SWITCH(L1528,2,_xlfn.XLOOKUP(C1528,[1]ModifierDes!$B:$B,[1]ModifierDes!$C:$C),3,_xlfn.XLOOKUP(C1528,[1]StuntDes!$B:$B,[1]StuntDes!$C:$C)),"")</f>
        <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403</v>
      </c>
      <c r="D1529" t="s">
        <v>38</v>
      </c>
      <c r="E1529" t="s">
        <v>388</v>
      </c>
      <c r="F1529"/>
      <c r="G1529">
        <v>1</v>
      </c>
      <c r="H1529">
        <v>1000</v>
      </c>
      <c r="I1529"/>
      <c r="J1529" cm="1">
        <f t="array" ref="J1529">_xlfn.SWITCH(B1529,1,75,2,61,3,49,4,37,5,25,6,13,7,4,8,1)</f>
        <v>13</v>
      </c>
      <c r="K1529" t="str" cm="1">
        <f t="array" ref="K1529">IFERROR(_xlfn.SWITCH(L1529,2,_xlfn.XLOOKUP(C1529,[1]ModifierDes!$B:$B,[1]ModifierDes!$C:$C),3,_xlfn.XLOOKUP(C1529,[1]StuntDes!$B:$B,[1]StuntDes!$C:$C)),"")</f>
        <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403</v>
      </c>
      <c r="D1530" t="s">
        <v>38</v>
      </c>
      <c r="E1530" t="s">
        <v>388</v>
      </c>
      <c r="F1530"/>
      <c r="G1530">
        <v>1</v>
      </c>
      <c r="H1530">
        <v>1000</v>
      </c>
      <c r="I1530"/>
      <c r="J1530" cm="1">
        <f t="array" ref="J1530">_xlfn.SWITCH(B1530,1,75,2,61,3,49,4,37,5,25,6,13,7,4,8,1)</f>
        <v>4</v>
      </c>
      <c r="K1530" t="str" cm="1">
        <f t="array" ref="K1530">IFERROR(_xlfn.SWITCH(L1530,2,_xlfn.XLOOKUP(C1530,[1]ModifierDes!$B:$B,[1]ModifierDes!$C:$C),3,_xlfn.XLOOKUP(C1530,[1]StuntDes!$B:$B,[1]StuntDes!$C:$C)),"")</f>
        <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403</v>
      </c>
      <c r="D1531" t="s">
        <v>38</v>
      </c>
      <c r="E1531" t="s">
        <v>388</v>
      </c>
      <c r="F1531"/>
      <c r="G1531">
        <v>1</v>
      </c>
      <c r="H1531">
        <v>1000</v>
      </c>
      <c r="I1531"/>
      <c r="J1531" cm="1">
        <f t="array" ref="J1531">_xlfn.SWITCH(B1531,1,75,2,61,3,49,4,37,5,25,6,13,7,4,8,1)</f>
        <v>1</v>
      </c>
      <c r="K1531" t="str" cm="1">
        <f t="array" ref="K1531">IFERROR(_xlfn.SWITCH(L1531,2,_xlfn.XLOOKUP(C1531,[1]ModifierDes!$B:$B,[1]ModifierDes!$C:$C),3,_xlfn.XLOOKUP(C1531,[1]StuntDes!$B:$B,[1]StuntDes!$C:$C)),"")</f>
        <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423</v>
      </c>
      <c r="D1532" t="s">
        <v>38</v>
      </c>
      <c r="E1532" t="s">
        <v>388</v>
      </c>
      <c r="F1532"/>
      <c r="G1532">
        <v>1</v>
      </c>
      <c r="H1532">
        <v>1000</v>
      </c>
      <c r="I1532"/>
      <c r="J1532" cm="1">
        <f t="array" ref="J1532">_xlfn.SWITCH(B1532,1,75,2,61,3,49,4,37,5,25,6,13,7,4,8,1)</f>
        <v>75</v>
      </c>
      <c r="K1532" t="str" cm="1">
        <f t="array" ref="K1532">IFERROR(_xlfn.SWITCH(L1532,2,_xlfn.XLOOKUP(C1532,[1]ModifierDes!$B:$B,[1]ModifierDes!$C:$C),3,_xlfn.XLOOKUP(C1532,[1]StuntDes!$B:$B,[1]StuntDes!$C:$C)),"")</f>
        <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423</v>
      </c>
      <c r="D1533" t="s">
        <v>38</v>
      </c>
      <c r="E1533" t="s">
        <v>388</v>
      </c>
      <c r="F1533"/>
      <c r="G1533">
        <v>1</v>
      </c>
      <c r="H1533">
        <v>1000</v>
      </c>
      <c r="I1533"/>
      <c r="J1533" cm="1">
        <f t="array" ref="J1533">_xlfn.SWITCH(B1533,1,75,2,61,3,49,4,37,5,25,6,13,7,4,8,1)</f>
        <v>61</v>
      </c>
      <c r="K1533" t="str" cm="1">
        <f t="array" ref="K1533">IFERROR(_xlfn.SWITCH(L1533,2,_xlfn.XLOOKUP(C1533,[1]ModifierDes!$B:$B,[1]ModifierDes!$C:$C),3,_xlfn.XLOOKUP(C1533,[1]StuntDes!$B:$B,[1]StuntDes!$C:$C)),"")</f>
        <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423</v>
      </c>
      <c r="D1534" t="s">
        <v>38</v>
      </c>
      <c r="E1534" t="s">
        <v>388</v>
      </c>
      <c r="F1534"/>
      <c r="G1534">
        <v>1</v>
      </c>
      <c r="H1534">
        <v>1000</v>
      </c>
      <c r="I1534"/>
      <c r="J1534" cm="1">
        <f t="array" ref="J1534">_xlfn.SWITCH(B1534,1,75,2,61,3,49,4,37,5,25,6,13,7,4,8,1)</f>
        <v>49</v>
      </c>
      <c r="K1534" t="str" cm="1">
        <f t="array" ref="K1534">IFERROR(_xlfn.SWITCH(L1534,2,_xlfn.XLOOKUP(C1534,[1]ModifierDes!$B:$B,[1]ModifierDes!$C:$C),3,_xlfn.XLOOKUP(C1534,[1]StuntDes!$B:$B,[1]StuntDes!$C:$C)),"")</f>
        <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423</v>
      </c>
      <c r="D1535" t="s">
        <v>38</v>
      </c>
      <c r="E1535" t="s">
        <v>388</v>
      </c>
      <c r="F1535"/>
      <c r="G1535">
        <v>1</v>
      </c>
      <c r="H1535">
        <v>1000</v>
      </c>
      <c r="I1535"/>
      <c r="J1535" cm="1">
        <f t="array" ref="J1535">_xlfn.SWITCH(B1535,1,75,2,61,3,49,4,37,5,25,6,13,7,4,8,1)</f>
        <v>37</v>
      </c>
      <c r="K1535" t="str" cm="1">
        <f t="array" ref="K1535">IFERROR(_xlfn.SWITCH(L1535,2,_xlfn.XLOOKUP(C1535,[1]ModifierDes!$B:$B,[1]ModifierDes!$C:$C),3,_xlfn.XLOOKUP(C1535,[1]StuntDes!$B:$B,[1]StuntDes!$C:$C)),"")</f>
        <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423</v>
      </c>
      <c r="D1536" t="s">
        <v>38</v>
      </c>
      <c r="E1536" t="s">
        <v>388</v>
      </c>
      <c r="F1536"/>
      <c r="G1536">
        <v>1</v>
      </c>
      <c r="H1536">
        <v>1000</v>
      </c>
      <c r="I1536"/>
      <c r="J1536" cm="1">
        <f t="array" ref="J1536">_xlfn.SWITCH(B1536,1,75,2,61,3,49,4,37,5,25,6,13,7,4,8,1)</f>
        <v>25</v>
      </c>
      <c r="K1536" t="str" cm="1">
        <f t="array" ref="K1536">IFERROR(_xlfn.SWITCH(L1536,2,_xlfn.XLOOKUP(C1536,[1]ModifierDes!$B:$B,[1]ModifierDes!$C:$C),3,_xlfn.XLOOKUP(C1536,[1]StuntDes!$B:$B,[1]StuntDes!$C:$C)),"")</f>
        <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423</v>
      </c>
      <c r="D1537" t="s">
        <v>38</v>
      </c>
      <c r="E1537" t="s">
        <v>388</v>
      </c>
      <c r="F1537"/>
      <c r="G1537">
        <v>1</v>
      </c>
      <c r="H1537">
        <v>1000</v>
      </c>
      <c r="I1537"/>
      <c r="J1537" cm="1">
        <f t="array" ref="J1537">_xlfn.SWITCH(B1537,1,75,2,61,3,49,4,37,5,25,6,13,7,4,8,1)</f>
        <v>13</v>
      </c>
      <c r="K1537" t="str" cm="1">
        <f t="array" ref="K1537">IFERROR(_xlfn.SWITCH(L1537,2,_xlfn.XLOOKUP(C1537,[1]ModifierDes!$B:$B,[1]ModifierDes!$C:$C),3,_xlfn.XLOOKUP(C1537,[1]StuntDes!$B:$B,[1]StuntDes!$C:$C)),"")</f>
        <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423</v>
      </c>
      <c r="D1538" t="s">
        <v>38</v>
      </c>
      <c r="E1538" t="s">
        <v>388</v>
      </c>
      <c r="F1538"/>
      <c r="G1538">
        <v>1</v>
      </c>
      <c r="H1538">
        <v>1000</v>
      </c>
      <c r="I1538"/>
      <c r="J1538" cm="1">
        <f t="array" ref="J1538">_xlfn.SWITCH(B1538,1,75,2,61,3,49,4,37,5,25,6,13,7,4,8,1)</f>
        <v>4</v>
      </c>
      <c r="K1538" t="str" cm="1">
        <f t="array" ref="K1538">IFERROR(_xlfn.SWITCH(L1538,2,_xlfn.XLOOKUP(C1538,[1]ModifierDes!$B:$B,[1]ModifierDes!$C:$C),3,_xlfn.XLOOKUP(C1538,[1]StuntDes!$B:$B,[1]StuntDes!$C:$C)),"")</f>
        <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423</v>
      </c>
      <c r="D1539" t="s">
        <v>38</v>
      </c>
      <c r="E1539" t="s">
        <v>388</v>
      </c>
      <c r="F1539"/>
      <c r="G1539">
        <v>1</v>
      </c>
      <c r="H1539">
        <v>1000</v>
      </c>
      <c r="I1539"/>
      <c r="J1539" cm="1">
        <f t="array" ref="J1539">_xlfn.SWITCH(B1539,1,75,2,61,3,49,4,37,5,25,6,13,7,4,8,1)</f>
        <v>1</v>
      </c>
      <c r="K1539" t="str" cm="1">
        <f t="array" ref="K1539">IFERROR(_xlfn.SWITCH(L1539,2,_xlfn.XLOOKUP(C1539,[1]ModifierDes!$B:$B,[1]ModifierDes!$C:$C),3,_xlfn.XLOOKUP(C1539,[1]StuntDes!$B:$B,[1]StuntDes!$C:$C)),"")</f>
        <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424</v>
      </c>
      <c r="D1540" t="s">
        <v>38</v>
      </c>
      <c r="E1540" t="s">
        <v>388</v>
      </c>
      <c r="F1540"/>
      <c r="G1540">
        <v>1</v>
      </c>
      <c r="H1540">
        <v>250</v>
      </c>
      <c r="I1540"/>
      <c r="J1540" cm="1">
        <f t="array" ref="J1540">_xlfn.SWITCH(B1540,1,75,2,61,3,49,4,37,5,25,6,13,7,4,8,1)</f>
        <v>75</v>
      </c>
      <c r="K1540" t="str" cm="1">
        <f t="array" ref="K1540">IFERROR(_xlfn.SWITCH(L1540,2,_xlfn.XLOOKUP(C1540,[1]ModifierDes!$B:$B,[1]ModifierDes!$C:$C),3,_xlfn.XLOOKUP(C1540,[1]StuntDes!$B:$B,[1]StuntDes!$C:$C)),"")</f>
        <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424</v>
      </c>
      <c r="D1541" t="s">
        <v>38</v>
      </c>
      <c r="E1541" t="s">
        <v>388</v>
      </c>
      <c r="F1541"/>
      <c r="G1541">
        <v>1</v>
      </c>
      <c r="H1541">
        <v>250</v>
      </c>
      <c r="I1541"/>
      <c r="J1541" cm="1">
        <f t="array" ref="J1541">_xlfn.SWITCH(B1541,1,75,2,61,3,49,4,37,5,25,6,13,7,4,8,1)</f>
        <v>61</v>
      </c>
      <c r="K1541" t="str" cm="1">
        <f t="array" ref="K1541">IFERROR(_xlfn.SWITCH(L1541,2,_xlfn.XLOOKUP(C1541,[1]ModifierDes!$B:$B,[1]ModifierDes!$C:$C),3,_xlfn.XLOOKUP(C1541,[1]StuntDes!$B:$B,[1]StuntDes!$C:$C)),"")</f>
        <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424</v>
      </c>
      <c r="D1542" t="s">
        <v>38</v>
      </c>
      <c r="E1542" t="s">
        <v>388</v>
      </c>
      <c r="F1542"/>
      <c r="G1542">
        <v>1</v>
      </c>
      <c r="H1542">
        <v>250</v>
      </c>
      <c r="I1542"/>
      <c r="J1542" cm="1">
        <f t="array" ref="J1542">_xlfn.SWITCH(B1542,1,75,2,61,3,49,4,37,5,25,6,13,7,4,8,1)</f>
        <v>49</v>
      </c>
      <c r="K1542" t="str" cm="1">
        <f t="array" ref="K1542">IFERROR(_xlfn.SWITCH(L1542,2,_xlfn.XLOOKUP(C1542,[1]ModifierDes!$B:$B,[1]ModifierDes!$C:$C),3,_xlfn.XLOOKUP(C1542,[1]StuntDes!$B:$B,[1]StuntDes!$C:$C)),"")</f>
        <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424</v>
      </c>
      <c r="D1543" t="s">
        <v>38</v>
      </c>
      <c r="E1543" t="s">
        <v>388</v>
      </c>
      <c r="F1543"/>
      <c r="G1543">
        <v>1</v>
      </c>
      <c r="H1543">
        <v>250</v>
      </c>
      <c r="I1543"/>
      <c r="J1543" cm="1">
        <f t="array" ref="J1543">_xlfn.SWITCH(B1543,1,75,2,61,3,49,4,37,5,25,6,13,7,4,8,1)</f>
        <v>37</v>
      </c>
      <c r="K1543" t="str" cm="1">
        <f t="array" ref="K1543">IFERROR(_xlfn.SWITCH(L1543,2,_xlfn.XLOOKUP(C1543,[1]ModifierDes!$B:$B,[1]ModifierDes!$C:$C),3,_xlfn.XLOOKUP(C1543,[1]StuntDes!$B:$B,[1]StuntDes!$C:$C)),"")</f>
        <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424</v>
      </c>
      <c r="D1544" t="s">
        <v>38</v>
      </c>
      <c r="E1544" t="s">
        <v>388</v>
      </c>
      <c r="F1544"/>
      <c r="G1544">
        <v>1</v>
      </c>
      <c r="H1544">
        <v>250</v>
      </c>
      <c r="I1544"/>
      <c r="J1544" cm="1">
        <f t="array" ref="J1544">_xlfn.SWITCH(B1544,1,75,2,61,3,49,4,37,5,25,6,13,7,4,8,1)</f>
        <v>25</v>
      </c>
      <c r="K1544" t="str" cm="1">
        <f t="array" ref="K1544">IFERROR(_xlfn.SWITCH(L1544,2,_xlfn.XLOOKUP(C1544,[1]ModifierDes!$B:$B,[1]ModifierDes!$C:$C),3,_xlfn.XLOOKUP(C1544,[1]StuntDes!$B:$B,[1]StuntDes!$C:$C)),"")</f>
        <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424</v>
      </c>
      <c r="D1545" t="s">
        <v>38</v>
      </c>
      <c r="E1545" t="s">
        <v>388</v>
      </c>
      <c r="F1545"/>
      <c r="G1545">
        <v>1</v>
      </c>
      <c r="H1545">
        <v>250</v>
      </c>
      <c r="I1545"/>
      <c r="J1545" cm="1">
        <f t="array" ref="J1545">_xlfn.SWITCH(B1545,1,75,2,61,3,49,4,37,5,25,6,13,7,4,8,1)</f>
        <v>13</v>
      </c>
      <c r="K1545" t="str" cm="1">
        <f t="array" ref="K1545">IFERROR(_xlfn.SWITCH(L1545,2,_xlfn.XLOOKUP(C1545,[1]ModifierDes!$B:$B,[1]ModifierDes!$C:$C),3,_xlfn.XLOOKUP(C1545,[1]StuntDes!$B:$B,[1]StuntDes!$C:$C)),"")</f>
        <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424</v>
      </c>
      <c r="D1546" t="s">
        <v>38</v>
      </c>
      <c r="E1546" t="s">
        <v>388</v>
      </c>
      <c r="F1546"/>
      <c r="G1546">
        <v>1</v>
      </c>
      <c r="H1546">
        <v>250</v>
      </c>
      <c r="I1546"/>
      <c r="J1546" cm="1">
        <f t="array" ref="J1546">_xlfn.SWITCH(B1546,1,75,2,61,3,49,4,37,5,25,6,13,7,4,8,1)</f>
        <v>4</v>
      </c>
      <c r="K1546" t="str" cm="1">
        <f t="array" ref="K1546">IFERROR(_xlfn.SWITCH(L1546,2,_xlfn.XLOOKUP(C1546,[1]ModifierDes!$B:$B,[1]ModifierDes!$C:$C),3,_xlfn.XLOOKUP(C1546,[1]StuntDes!$B:$B,[1]StuntDes!$C:$C)),"")</f>
        <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424</v>
      </c>
      <c r="D1547" t="s">
        <v>38</v>
      </c>
      <c r="E1547" t="s">
        <v>388</v>
      </c>
      <c r="F1547"/>
      <c r="G1547">
        <v>1</v>
      </c>
      <c r="H1547">
        <v>250</v>
      </c>
      <c r="I1547"/>
      <c r="J1547" cm="1">
        <f t="array" ref="J1547">_xlfn.SWITCH(B1547,1,75,2,61,3,49,4,37,5,25,6,13,7,4,8,1)</f>
        <v>1</v>
      </c>
      <c r="K1547" t="str" cm="1">
        <f t="array" ref="K1547">IFERROR(_xlfn.SWITCH(L1547,2,_xlfn.XLOOKUP(C1547,[1]ModifierDes!$B:$B,[1]ModifierDes!$C:$C),3,_xlfn.XLOOKUP(C1547,[1]StuntDes!$B:$B,[1]StuntDes!$C:$C)),"")</f>
        <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425</v>
      </c>
      <c r="D1548" t="s">
        <v>38</v>
      </c>
      <c r="E1548" t="s">
        <v>388</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425</v>
      </c>
      <c r="D1549" t="s">
        <v>38</v>
      </c>
      <c r="E1549" t="s">
        <v>388</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425</v>
      </c>
      <c r="D1550" t="s">
        <v>38</v>
      </c>
      <c r="E1550" t="s">
        <v>388</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425</v>
      </c>
      <c r="D1551" t="s">
        <v>38</v>
      </c>
      <c r="E1551" t="s">
        <v>388</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425</v>
      </c>
      <c r="D1552" t="s">
        <v>38</v>
      </c>
      <c r="E1552" t="s">
        <v>388</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425</v>
      </c>
      <c r="D1553" t="s">
        <v>38</v>
      </c>
      <c r="E1553" t="s">
        <v>388</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425</v>
      </c>
      <c r="D1554" t="s">
        <v>38</v>
      </c>
      <c r="E1554" t="s">
        <v>388</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425</v>
      </c>
      <c r="D1555" t="s">
        <v>38</v>
      </c>
      <c r="E1555" t="s">
        <v>388</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450</v>
      </c>
      <c r="D1556" t="s">
        <v>38</v>
      </c>
      <c r="E1556" t="s">
        <v>388</v>
      </c>
      <c r="G1556">
        <v>1</v>
      </c>
      <c r="H1556">
        <v>100</v>
      </c>
      <c r="J1556" cm="1">
        <f t="array" ref="J1556">_xlfn.SWITCH(B1556,1,75,2,61,3,49,4,37,5,25,6,13,7,4,8,1)</f>
        <v>75</v>
      </c>
      <c r="K1556" t="str" cm="1">
        <f t="array" ref="K1556">IFERROR(_xlfn.SWITCH(L1556,2,_xlfn.XLOOKUP(C1556,[1]ModifierDes!$B:$B,[1]ModifierDes!$C:$C),3,_xlfn.XLOOKUP(C1556,[1]StuntDes!$B:$B,[1]StuntDes!$C:$C)),"")</f>
        <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450</v>
      </c>
      <c r="D1557" t="s">
        <v>38</v>
      </c>
      <c r="E1557" t="s">
        <v>388</v>
      </c>
      <c r="G1557">
        <v>1</v>
      </c>
      <c r="H1557">
        <v>100</v>
      </c>
      <c r="J1557" cm="1">
        <f t="array" ref="J1557">_xlfn.SWITCH(B1557,1,75,2,61,3,49,4,37,5,25,6,13,7,4,8,1)</f>
        <v>61</v>
      </c>
      <c r="K1557" t="str" cm="1">
        <f t="array" ref="K1557">IFERROR(_xlfn.SWITCH(L1557,2,_xlfn.XLOOKUP(C1557,[1]ModifierDes!$B:$B,[1]ModifierDes!$C:$C),3,_xlfn.XLOOKUP(C1557,[1]StuntDes!$B:$B,[1]StuntDes!$C:$C)),"")</f>
        <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450</v>
      </c>
      <c r="D1558" t="s">
        <v>38</v>
      </c>
      <c r="E1558" t="s">
        <v>388</v>
      </c>
      <c r="G1558">
        <v>1</v>
      </c>
      <c r="H1558">
        <v>100</v>
      </c>
      <c r="J1558" cm="1">
        <f t="array" ref="J1558">_xlfn.SWITCH(B1558,1,75,2,61,3,49,4,37,5,25,6,13,7,4,8,1)</f>
        <v>49</v>
      </c>
      <c r="K1558" t="str" cm="1">
        <f t="array" ref="K1558">IFERROR(_xlfn.SWITCH(L1558,2,_xlfn.XLOOKUP(C1558,[1]ModifierDes!$B:$B,[1]ModifierDes!$C:$C),3,_xlfn.XLOOKUP(C1558,[1]StuntDes!$B:$B,[1]StuntDes!$C:$C)),"")</f>
        <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450</v>
      </c>
      <c r="D1559" t="s">
        <v>38</v>
      </c>
      <c r="E1559" t="s">
        <v>388</v>
      </c>
      <c r="G1559">
        <v>1</v>
      </c>
      <c r="H1559">
        <v>100</v>
      </c>
      <c r="J1559" cm="1">
        <f t="array" ref="J1559">_xlfn.SWITCH(B1559,1,75,2,61,3,49,4,37,5,25,6,13,7,4,8,1)</f>
        <v>37</v>
      </c>
      <c r="K1559" t="str" cm="1">
        <f t="array" ref="K1559">IFERROR(_xlfn.SWITCH(L1559,2,_xlfn.XLOOKUP(C1559,[1]ModifierDes!$B:$B,[1]ModifierDes!$C:$C),3,_xlfn.XLOOKUP(C1559,[1]StuntDes!$B:$B,[1]StuntDes!$C:$C)),"")</f>
        <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450</v>
      </c>
      <c r="D1560" t="s">
        <v>38</v>
      </c>
      <c r="E1560" t="s">
        <v>388</v>
      </c>
      <c r="G1560">
        <v>1</v>
      </c>
      <c r="H1560">
        <v>100</v>
      </c>
      <c r="J1560" cm="1">
        <f t="array" ref="J1560">_xlfn.SWITCH(B1560,1,75,2,61,3,49,4,37,5,25,6,13,7,4,8,1)</f>
        <v>25</v>
      </c>
      <c r="K1560" t="str" cm="1">
        <f t="array" ref="K1560">IFERROR(_xlfn.SWITCH(L1560,2,_xlfn.XLOOKUP(C1560,[1]ModifierDes!$B:$B,[1]ModifierDes!$C:$C),3,_xlfn.XLOOKUP(C1560,[1]StuntDes!$B:$B,[1]StuntDes!$C:$C)),"")</f>
        <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450</v>
      </c>
      <c r="D1561" t="s">
        <v>38</v>
      </c>
      <c r="E1561" t="s">
        <v>388</v>
      </c>
      <c r="G1561">
        <v>1</v>
      </c>
      <c r="H1561">
        <v>100</v>
      </c>
      <c r="J1561" cm="1">
        <f t="array" ref="J1561">_xlfn.SWITCH(B1561,1,75,2,61,3,49,4,37,5,25,6,13,7,4,8,1)</f>
        <v>13</v>
      </c>
      <c r="K1561" t="str" cm="1">
        <f t="array" ref="K1561">IFERROR(_xlfn.SWITCH(L1561,2,_xlfn.XLOOKUP(C1561,[1]ModifierDes!$B:$B,[1]ModifierDes!$C:$C),3,_xlfn.XLOOKUP(C1561,[1]StuntDes!$B:$B,[1]StuntDes!$C:$C)),"")</f>
        <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450</v>
      </c>
      <c r="D1562" t="s">
        <v>38</v>
      </c>
      <c r="E1562" t="s">
        <v>388</v>
      </c>
      <c r="G1562">
        <v>1</v>
      </c>
      <c r="H1562">
        <v>100</v>
      </c>
      <c r="J1562" cm="1">
        <f t="array" ref="J1562">_xlfn.SWITCH(B1562,1,75,2,61,3,49,4,37,5,25,6,13,7,4,8,1)</f>
        <v>4</v>
      </c>
      <c r="K1562" t="str" cm="1">
        <f t="array" ref="K1562">IFERROR(_xlfn.SWITCH(L1562,2,_xlfn.XLOOKUP(C1562,[1]ModifierDes!$B:$B,[1]ModifierDes!$C:$C),3,_xlfn.XLOOKUP(C1562,[1]StuntDes!$B:$B,[1]StuntDes!$C:$C)),"")</f>
        <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450</v>
      </c>
      <c r="D1563" t="s">
        <v>38</v>
      </c>
      <c r="E1563" t="s">
        <v>388</v>
      </c>
      <c r="G1563">
        <v>1</v>
      </c>
      <c r="H1563">
        <v>100</v>
      </c>
      <c r="J1563" cm="1">
        <f t="array" ref="J1563">_xlfn.SWITCH(B1563,1,75,2,61,3,49,4,37,5,25,6,13,7,4,8,1)</f>
        <v>1</v>
      </c>
      <c r="K1563" t="str" cm="1">
        <f t="array" ref="K1563">IFERROR(_xlfn.SWITCH(L1563,2,_xlfn.XLOOKUP(C1563,[1]ModifierDes!$B:$B,[1]ModifierDes!$C:$C),3,_xlfn.XLOOKUP(C1563,[1]StuntDes!$B:$B,[1]StuntDes!$C:$C)),"")</f>
        <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96</v>
      </c>
      <c r="D1564" t="s">
        <v>38</v>
      </c>
      <c r="E1564" t="s">
        <v>388</v>
      </c>
      <c r="F1564"/>
      <c r="G1564">
        <v>1</v>
      </c>
      <c r="H1564">
        <v>1000</v>
      </c>
      <c r="I1564"/>
      <c r="J1564" cm="1">
        <f t="array" ref="J1564">_xlfn.SWITCH(B1564,1,75,2,61,3,49,4,37,5,25,6,13,7,4,8,1)</f>
        <v>75</v>
      </c>
      <c r="K1564" t="str" cm="1">
        <f t="array" ref="K1564">IFERROR(_xlfn.SWITCH(L1564,2,_xlfn.XLOOKUP(C1564,[1]ModifierDes!$B:$B,[1]ModifierDes!$C:$C),3,_xlfn.XLOOKUP(C1564,[1]StuntDes!$B:$B,[1]StuntDes!$C:$C)),"")</f>
        <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96</v>
      </c>
      <c r="D1565" t="s">
        <v>38</v>
      </c>
      <c r="E1565" t="s">
        <v>388</v>
      </c>
      <c r="F1565"/>
      <c r="G1565">
        <v>1</v>
      </c>
      <c r="H1565">
        <v>1000</v>
      </c>
      <c r="I1565"/>
      <c r="J1565" cm="1">
        <f t="array" ref="J1565">_xlfn.SWITCH(B1565,1,75,2,61,3,49,4,37,5,25,6,13,7,4,8,1)</f>
        <v>61</v>
      </c>
      <c r="K1565" t="str" cm="1">
        <f t="array" ref="K1565">IFERROR(_xlfn.SWITCH(L1565,2,_xlfn.XLOOKUP(C1565,[1]ModifierDes!$B:$B,[1]ModifierDes!$C:$C),3,_xlfn.XLOOKUP(C1565,[1]StuntDes!$B:$B,[1]StuntDes!$C:$C)),"")</f>
        <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96</v>
      </c>
      <c r="D1566" t="s">
        <v>38</v>
      </c>
      <c r="E1566" t="s">
        <v>388</v>
      </c>
      <c r="F1566"/>
      <c r="G1566">
        <v>1</v>
      </c>
      <c r="H1566">
        <v>1000</v>
      </c>
      <c r="I1566"/>
      <c r="J1566" cm="1">
        <f t="array" ref="J1566">_xlfn.SWITCH(B1566,1,75,2,61,3,49,4,37,5,25,6,13,7,4,8,1)</f>
        <v>49</v>
      </c>
      <c r="K1566" t="str" cm="1">
        <f t="array" ref="K1566">IFERROR(_xlfn.SWITCH(L1566,2,_xlfn.XLOOKUP(C1566,[1]ModifierDes!$B:$B,[1]ModifierDes!$C:$C),3,_xlfn.XLOOKUP(C1566,[1]StuntDes!$B:$B,[1]StuntDes!$C:$C)),"")</f>
        <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96</v>
      </c>
      <c r="D1567" t="s">
        <v>38</v>
      </c>
      <c r="E1567" t="s">
        <v>388</v>
      </c>
      <c r="F1567"/>
      <c r="G1567">
        <v>1</v>
      </c>
      <c r="H1567">
        <v>1000</v>
      </c>
      <c r="I1567"/>
      <c r="J1567" cm="1">
        <f t="array" ref="J1567">_xlfn.SWITCH(B1567,1,75,2,61,3,49,4,37,5,25,6,13,7,4,8,1)</f>
        <v>37</v>
      </c>
      <c r="K1567" t="str" cm="1">
        <f t="array" ref="K1567">IFERROR(_xlfn.SWITCH(L1567,2,_xlfn.XLOOKUP(C1567,[1]ModifierDes!$B:$B,[1]ModifierDes!$C:$C),3,_xlfn.XLOOKUP(C1567,[1]StuntDes!$B:$B,[1]StuntDes!$C:$C)),"")</f>
        <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96</v>
      </c>
      <c r="D1568" t="s">
        <v>38</v>
      </c>
      <c r="E1568" t="s">
        <v>388</v>
      </c>
      <c r="F1568"/>
      <c r="G1568">
        <v>1</v>
      </c>
      <c r="H1568">
        <v>1000</v>
      </c>
      <c r="I1568"/>
      <c r="J1568" cm="1">
        <f t="array" ref="J1568">_xlfn.SWITCH(B1568,1,75,2,61,3,49,4,37,5,25,6,13,7,4,8,1)</f>
        <v>25</v>
      </c>
      <c r="K1568" t="str" cm="1">
        <f t="array" ref="K1568">IFERROR(_xlfn.SWITCH(L1568,2,_xlfn.XLOOKUP(C1568,[1]ModifierDes!$B:$B,[1]ModifierDes!$C:$C),3,_xlfn.XLOOKUP(C1568,[1]StuntDes!$B:$B,[1]StuntDes!$C:$C)),"")</f>
        <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96</v>
      </c>
      <c r="D1569" t="s">
        <v>38</v>
      </c>
      <c r="E1569" t="s">
        <v>388</v>
      </c>
      <c r="F1569"/>
      <c r="G1569">
        <v>1</v>
      </c>
      <c r="H1569">
        <v>1000</v>
      </c>
      <c r="I1569"/>
      <c r="J1569" cm="1">
        <f t="array" ref="J1569">_xlfn.SWITCH(B1569,1,75,2,61,3,49,4,37,5,25,6,13,7,4,8,1)</f>
        <v>13</v>
      </c>
      <c r="K1569" t="str" cm="1">
        <f t="array" ref="K1569">IFERROR(_xlfn.SWITCH(L1569,2,_xlfn.XLOOKUP(C1569,[1]ModifierDes!$B:$B,[1]ModifierDes!$C:$C),3,_xlfn.XLOOKUP(C1569,[1]StuntDes!$B:$B,[1]StuntDes!$C:$C)),"")</f>
        <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96</v>
      </c>
      <c r="D1570" t="s">
        <v>38</v>
      </c>
      <c r="E1570" t="s">
        <v>388</v>
      </c>
      <c r="F1570"/>
      <c r="G1570">
        <v>1</v>
      </c>
      <c r="H1570">
        <v>1000</v>
      </c>
      <c r="I1570"/>
      <c r="J1570" cm="1">
        <f t="array" ref="J1570">_xlfn.SWITCH(B1570,1,75,2,61,3,49,4,37,5,25,6,13,7,4,8,1)</f>
        <v>4</v>
      </c>
      <c r="K1570" t="str" cm="1">
        <f t="array" ref="K1570">IFERROR(_xlfn.SWITCH(L1570,2,_xlfn.XLOOKUP(C1570,[1]ModifierDes!$B:$B,[1]ModifierDes!$C:$C),3,_xlfn.XLOOKUP(C1570,[1]StuntDes!$B:$B,[1]StuntDes!$C:$C)),"")</f>
        <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96</v>
      </c>
      <c r="D1571" t="s">
        <v>38</v>
      </c>
      <c r="E1571" t="s">
        <v>388</v>
      </c>
      <c r="F1571"/>
      <c r="G1571">
        <v>1</v>
      </c>
      <c r="H1571">
        <v>1000</v>
      </c>
      <c r="I1571"/>
      <c r="J1571" cm="1">
        <f t="array" ref="J1571">_xlfn.SWITCH(B1571,1,75,2,61,3,49,4,37,5,25,6,13,7,4,8,1)</f>
        <v>1</v>
      </c>
      <c r="K1571" t="str" cm="1">
        <f t="array" ref="K1571">IFERROR(_xlfn.SWITCH(L1571,2,_xlfn.XLOOKUP(C1571,[1]ModifierDes!$B:$B,[1]ModifierDes!$C:$C),3,_xlfn.XLOOKUP(C1571,[1]StuntDes!$B:$B,[1]StuntDes!$C:$C)),"")</f>
        <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399</v>
      </c>
      <c r="D1572" t="s">
        <v>38</v>
      </c>
      <c r="E1572" t="s">
        <v>388</v>
      </c>
      <c r="F1572"/>
      <c r="G1572">
        <v>1</v>
      </c>
      <c r="H1572">
        <v>1000</v>
      </c>
      <c r="I1572"/>
      <c r="J1572" cm="1">
        <f t="array" ref="J1572">_xlfn.SWITCH(B1572,1,75,2,61,3,49,4,37,5,25,6,13,7,4,8,1)</f>
        <v>75</v>
      </c>
      <c r="K1572" t="str" cm="1">
        <f t="array" ref="K1572">IFERROR(_xlfn.SWITCH(L1572,2,_xlfn.XLOOKUP(C1572,[1]ModifierDes!$B:$B,[1]ModifierDes!$C:$C),3,_xlfn.XLOOKUP(C1572,[1]StuntDes!$B:$B,[1]StuntDes!$C:$C)),"")</f>
        <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399</v>
      </c>
      <c r="D1573" t="s">
        <v>38</v>
      </c>
      <c r="E1573" t="s">
        <v>388</v>
      </c>
      <c r="F1573"/>
      <c r="G1573">
        <v>1</v>
      </c>
      <c r="H1573">
        <v>1000</v>
      </c>
      <c r="I1573"/>
      <c r="J1573" cm="1">
        <f t="array" ref="J1573">_xlfn.SWITCH(B1573,1,75,2,61,3,49,4,37,5,25,6,13,7,4,8,1)</f>
        <v>61</v>
      </c>
      <c r="K1573" t="str" cm="1">
        <f t="array" ref="K1573">IFERROR(_xlfn.SWITCH(L1573,2,_xlfn.XLOOKUP(C1573,[1]ModifierDes!$B:$B,[1]ModifierDes!$C:$C),3,_xlfn.XLOOKUP(C1573,[1]StuntDes!$B:$B,[1]StuntDes!$C:$C)),"")</f>
        <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399</v>
      </c>
      <c r="D1574" t="s">
        <v>38</v>
      </c>
      <c r="E1574" t="s">
        <v>388</v>
      </c>
      <c r="F1574"/>
      <c r="G1574">
        <v>1</v>
      </c>
      <c r="H1574">
        <v>1000</v>
      </c>
      <c r="I1574"/>
      <c r="J1574" cm="1">
        <f t="array" ref="J1574">_xlfn.SWITCH(B1574,1,75,2,61,3,49,4,37,5,25,6,13,7,4,8,1)</f>
        <v>49</v>
      </c>
      <c r="K1574" t="str" cm="1">
        <f t="array" ref="K1574">IFERROR(_xlfn.SWITCH(L1574,2,_xlfn.XLOOKUP(C1574,[1]ModifierDes!$B:$B,[1]ModifierDes!$C:$C),3,_xlfn.XLOOKUP(C1574,[1]StuntDes!$B:$B,[1]StuntDes!$C:$C)),"")</f>
        <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399</v>
      </c>
      <c r="D1575" t="s">
        <v>38</v>
      </c>
      <c r="E1575" t="s">
        <v>388</v>
      </c>
      <c r="F1575"/>
      <c r="G1575">
        <v>1</v>
      </c>
      <c r="H1575">
        <v>1000</v>
      </c>
      <c r="I1575"/>
      <c r="J1575" cm="1">
        <f t="array" ref="J1575">_xlfn.SWITCH(B1575,1,75,2,61,3,49,4,37,5,25,6,13,7,4,8,1)</f>
        <v>37</v>
      </c>
      <c r="K1575" t="str" cm="1">
        <f t="array" ref="K1575">IFERROR(_xlfn.SWITCH(L1575,2,_xlfn.XLOOKUP(C1575,[1]ModifierDes!$B:$B,[1]ModifierDes!$C:$C),3,_xlfn.XLOOKUP(C1575,[1]StuntDes!$B:$B,[1]StuntDes!$C:$C)),"")</f>
        <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399</v>
      </c>
      <c r="D1576" t="s">
        <v>38</v>
      </c>
      <c r="E1576" t="s">
        <v>388</v>
      </c>
      <c r="F1576"/>
      <c r="G1576">
        <v>1</v>
      </c>
      <c r="H1576">
        <v>1000</v>
      </c>
      <c r="I1576"/>
      <c r="J1576" cm="1">
        <f t="array" ref="J1576">_xlfn.SWITCH(B1576,1,75,2,61,3,49,4,37,5,25,6,13,7,4,8,1)</f>
        <v>25</v>
      </c>
      <c r="K1576" t="str" cm="1">
        <f t="array" ref="K1576">IFERROR(_xlfn.SWITCH(L1576,2,_xlfn.XLOOKUP(C1576,[1]ModifierDes!$B:$B,[1]ModifierDes!$C:$C),3,_xlfn.XLOOKUP(C1576,[1]StuntDes!$B:$B,[1]StuntDes!$C:$C)),"")</f>
        <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399</v>
      </c>
      <c r="D1577" t="s">
        <v>38</v>
      </c>
      <c r="E1577" t="s">
        <v>388</v>
      </c>
      <c r="F1577"/>
      <c r="G1577">
        <v>1</v>
      </c>
      <c r="H1577">
        <v>1000</v>
      </c>
      <c r="I1577"/>
      <c r="J1577" cm="1">
        <f t="array" ref="J1577">_xlfn.SWITCH(B1577,1,75,2,61,3,49,4,37,5,25,6,13,7,4,8,1)</f>
        <v>13</v>
      </c>
      <c r="K1577" t="str" cm="1">
        <f t="array" ref="K1577">IFERROR(_xlfn.SWITCH(L1577,2,_xlfn.XLOOKUP(C1577,[1]ModifierDes!$B:$B,[1]ModifierDes!$C:$C),3,_xlfn.XLOOKUP(C1577,[1]StuntDes!$B:$B,[1]StuntDes!$C:$C)),"")</f>
        <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399</v>
      </c>
      <c r="D1578" t="s">
        <v>38</v>
      </c>
      <c r="E1578" t="s">
        <v>388</v>
      </c>
      <c r="F1578"/>
      <c r="G1578">
        <v>1</v>
      </c>
      <c r="H1578">
        <v>1000</v>
      </c>
      <c r="I1578"/>
      <c r="J1578" cm="1">
        <f t="array" ref="J1578">_xlfn.SWITCH(B1578,1,75,2,61,3,49,4,37,5,25,6,13,7,4,8,1)</f>
        <v>4</v>
      </c>
      <c r="K1578" t="str" cm="1">
        <f t="array" ref="K1578">IFERROR(_xlfn.SWITCH(L1578,2,_xlfn.XLOOKUP(C1578,[1]ModifierDes!$B:$B,[1]ModifierDes!$C:$C),3,_xlfn.XLOOKUP(C1578,[1]StuntDes!$B:$B,[1]StuntDes!$C:$C)),"")</f>
        <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399</v>
      </c>
      <c r="D1579" t="s">
        <v>38</v>
      </c>
      <c r="E1579" t="s">
        <v>388</v>
      </c>
      <c r="F1579"/>
      <c r="G1579">
        <v>1</v>
      </c>
      <c r="H1579">
        <v>1000</v>
      </c>
      <c r="I1579"/>
      <c r="J1579" cm="1">
        <f t="array" ref="J1579">_xlfn.SWITCH(B1579,1,75,2,61,3,49,4,37,5,25,6,13,7,4,8,1)</f>
        <v>1</v>
      </c>
      <c r="K1579" t="str" cm="1">
        <f t="array" ref="K1579">IFERROR(_xlfn.SWITCH(L1579,2,_xlfn.XLOOKUP(C1579,[1]ModifierDes!$B:$B,[1]ModifierDes!$C:$C),3,_xlfn.XLOOKUP(C1579,[1]StuntDes!$B:$B,[1]StuntDes!$C:$C)),"")</f>
        <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400</v>
      </c>
      <c r="D1580" t="s">
        <v>38</v>
      </c>
      <c r="E1580" t="s">
        <v>388</v>
      </c>
      <c r="F1580"/>
      <c r="G1580">
        <v>1</v>
      </c>
      <c r="H1580">
        <v>1000</v>
      </c>
      <c r="I1580"/>
      <c r="J1580" cm="1">
        <f t="array" ref="J1580">_xlfn.SWITCH(B1580,1,75,2,61,3,49,4,37,5,25,6,13,7,4,8,1)</f>
        <v>75</v>
      </c>
      <c r="K1580" t="str" cm="1">
        <f t="array" ref="K1580">IFERROR(_xlfn.SWITCH(L1580,2,_xlfn.XLOOKUP(C1580,[1]ModifierDes!$B:$B,[1]ModifierDes!$C:$C),3,_xlfn.XLOOKUP(C1580,[1]StuntDes!$B:$B,[1]StuntDes!$C:$C)),"")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400</v>
      </c>
      <c r="D1581" t="s">
        <v>38</v>
      </c>
      <c r="E1581" t="s">
        <v>388</v>
      </c>
      <c r="F1581"/>
      <c r="G1581">
        <v>1</v>
      </c>
      <c r="H1581">
        <v>1000</v>
      </c>
      <c r="I1581"/>
      <c r="J1581" cm="1">
        <f t="array" ref="J1581">_xlfn.SWITCH(B1581,1,75,2,61,3,49,4,37,5,25,6,13,7,4,8,1)</f>
        <v>61</v>
      </c>
      <c r="K1581" t="str" cm="1">
        <f t="array" ref="K1581">IFERROR(_xlfn.SWITCH(L1581,2,_xlfn.XLOOKUP(C1581,[1]ModifierDes!$B:$B,[1]ModifierDes!$C:$C),3,_xlfn.XLOOKUP(C1581,[1]StuntDes!$B:$B,[1]StuntDes!$C:$C)),"")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400</v>
      </c>
      <c r="D1582" t="s">
        <v>38</v>
      </c>
      <c r="E1582" t="s">
        <v>388</v>
      </c>
      <c r="F1582"/>
      <c r="G1582">
        <v>1</v>
      </c>
      <c r="H1582">
        <v>1000</v>
      </c>
      <c r="I1582"/>
      <c r="J1582" cm="1">
        <f t="array" ref="J1582">_xlfn.SWITCH(B1582,1,75,2,61,3,49,4,37,5,25,6,13,7,4,8,1)</f>
        <v>49</v>
      </c>
      <c r="K1582" t="str" cm="1">
        <f t="array" ref="K1582">IFERROR(_xlfn.SWITCH(L1582,2,_xlfn.XLOOKUP(C1582,[1]ModifierDes!$B:$B,[1]ModifierDes!$C:$C),3,_xlfn.XLOOKUP(C1582,[1]StuntDes!$B:$B,[1]StuntDes!$C:$C)),"")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400</v>
      </c>
      <c r="D1583" t="s">
        <v>38</v>
      </c>
      <c r="E1583" t="s">
        <v>388</v>
      </c>
      <c r="F1583"/>
      <c r="G1583">
        <v>1</v>
      </c>
      <c r="H1583">
        <v>1000</v>
      </c>
      <c r="I1583"/>
      <c r="J1583" cm="1">
        <f t="array" ref="J1583">_xlfn.SWITCH(B1583,1,75,2,61,3,49,4,37,5,25,6,13,7,4,8,1)</f>
        <v>37</v>
      </c>
      <c r="K1583" t="str" cm="1">
        <f t="array" ref="K1583">IFERROR(_xlfn.SWITCH(L1583,2,_xlfn.XLOOKUP(C1583,[1]ModifierDes!$B:$B,[1]ModifierDes!$C:$C),3,_xlfn.XLOOKUP(C1583,[1]StuntDes!$B:$B,[1]StuntDes!$C:$C)),"")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400</v>
      </c>
      <c r="D1584" t="s">
        <v>38</v>
      </c>
      <c r="E1584" t="s">
        <v>388</v>
      </c>
      <c r="F1584"/>
      <c r="G1584">
        <v>1</v>
      </c>
      <c r="H1584">
        <v>1000</v>
      </c>
      <c r="I1584"/>
      <c r="J1584" cm="1">
        <f t="array" ref="J1584">_xlfn.SWITCH(B1584,1,75,2,61,3,49,4,37,5,25,6,13,7,4,8,1)</f>
        <v>25</v>
      </c>
      <c r="K1584" t="str" cm="1">
        <f t="array" ref="K1584">IFERROR(_xlfn.SWITCH(L1584,2,_xlfn.XLOOKUP(C1584,[1]ModifierDes!$B:$B,[1]ModifierDes!$C:$C),3,_xlfn.XLOOKUP(C1584,[1]StuntDes!$B:$B,[1]StuntDes!$C:$C)),"")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400</v>
      </c>
      <c r="D1585" t="s">
        <v>38</v>
      </c>
      <c r="E1585" t="s">
        <v>388</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400</v>
      </c>
      <c r="D1586" t="s">
        <v>38</v>
      </c>
      <c r="E1586" t="s">
        <v>388</v>
      </c>
      <c r="F1586"/>
      <c r="G1586">
        <v>1</v>
      </c>
      <c r="H1586">
        <v>1000</v>
      </c>
      <c r="I1586"/>
      <c r="J1586" cm="1">
        <f t="array" ref="J1586">_xlfn.SWITCH(B1586,1,75,2,61,3,49,4,37,5,25,6,13,7,4,8,1)</f>
        <v>4</v>
      </c>
      <c r="K1586" t="str" cm="1">
        <f t="array" ref="K1586">IFERROR(_xlfn.SWITCH(L1586,2,_xlfn.XLOOKUP(C1586,[1]ModifierDes!$B:$B,[1]ModifierDes!$C:$C),3,_xlfn.XLOOKUP(C1586,[1]StuntDes!$B:$B,[1]StuntDes!$C:$C)),"")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400</v>
      </c>
      <c r="D1587" t="s">
        <v>38</v>
      </c>
      <c r="E1587" t="s">
        <v>388</v>
      </c>
      <c r="F1587"/>
      <c r="G1587">
        <v>1</v>
      </c>
      <c r="H1587">
        <v>1000</v>
      </c>
      <c r="I1587"/>
      <c r="J1587" cm="1">
        <f t="array" ref="J1587">_xlfn.SWITCH(B1587,1,75,2,61,3,49,4,37,5,25,6,13,7,4,8,1)</f>
        <v>1</v>
      </c>
      <c r="K1587" t="str" cm="1">
        <f t="array" ref="K1587">IFERROR(_xlfn.SWITCH(L1587,2,_xlfn.XLOOKUP(C1587,[1]ModifierDes!$B:$B,[1]ModifierDes!$C:$C),3,_xlfn.XLOOKUP(C1587,[1]StuntDes!$B:$B,[1]StuntDes!$C:$C)),"")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401</v>
      </c>
      <c r="D1588" t="s">
        <v>38</v>
      </c>
      <c r="E1588" t="s">
        <v>388</v>
      </c>
      <c r="G1588">
        <v>1</v>
      </c>
      <c r="H1588">
        <v>1000</v>
      </c>
      <c r="J1588" cm="1">
        <f t="array" ref="J1588">_xlfn.SWITCH(B1588,1,75,2,61,3,49,4,37,5,25,6,13,7,4,8,1)</f>
        <v>75</v>
      </c>
      <c r="K1588" t="str" cm="1">
        <f t="array" ref="K1588">IFERROR(_xlfn.SWITCH(L1588,2,_xlfn.XLOOKUP(C1588,[1]ModifierDes!$B:$B,[1]ModifierDes!$C:$C),3,_xlfn.XLOOKUP(C1588,[1]StuntDes!$B:$B,[1]StuntDes!$C:$C)),"")</f>
        <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401</v>
      </c>
      <c r="D1589" t="s">
        <v>38</v>
      </c>
      <c r="E1589" t="s">
        <v>388</v>
      </c>
      <c r="G1589">
        <v>1</v>
      </c>
      <c r="H1589">
        <v>1000</v>
      </c>
      <c r="J1589" cm="1">
        <f t="array" ref="J1589">_xlfn.SWITCH(B1589,1,75,2,61,3,49,4,37,5,25,6,13,7,4,8,1)</f>
        <v>61</v>
      </c>
      <c r="K1589" t="str" cm="1">
        <f t="array" ref="K1589">IFERROR(_xlfn.SWITCH(L1589,2,_xlfn.XLOOKUP(C1589,[1]ModifierDes!$B:$B,[1]ModifierDes!$C:$C),3,_xlfn.XLOOKUP(C1589,[1]StuntDes!$B:$B,[1]StuntDes!$C:$C)),"")</f>
        <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401</v>
      </c>
      <c r="D1590" t="s">
        <v>38</v>
      </c>
      <c r="E1590" t="s">
        <v>388</v>
      </c>
      <c r="G1590">
        <v>1</v>
      </c>
      <c r="H1590">
        <v>1000</v>
      </c>
      <c r="J1590" cm="1">
        <f t="array" ref="J1590">_xlfn.SWITCH(B1590,1,75,2,61,3,49,4,37,5,25,6,13,7,4,8,1)</f>
        <v>49</v>
      </c>
      <c r="K1590" t="str" cm="1">
        <f t="array" ref="K1590">IFERROR(_xlfn.SWITCH(L1590,2,_xlfn.XLOOKUP(C1590,[1]ModifierDes!$B:$B,[1]ModifierDes!$C:$C),3,_xlfn.XLOOKUP(C1590,[1]StuntDes!$B:$B,[1]StuntDes!$C:$C)),"")</f>
        <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401</v>
      </c>
      <c r="D1591" t="s">
        <v>38</v>
      </c>
      <c r="E1591" t="s">
        <v>388</v>
      </c>
      <c r="G1591">
        <v>1</v>
      </c>
      <c r="H1591">
        <v>1000</v>
      </c>
      <c r="J1591" cm="1">
        <f t="array" ref="J1591">_xlfn.SWITCH(B1591,1,75,2,61,3,49,4,37,5,25,6,13,7,4,8,1)</f>
        <v>37</v>
      </c>
      <c r="K1591" t="str" cm="1">
        <f t="array" ref="K1591">IFERROR(_xlfn.SWITCH(L1591,2,_xlfn.XLOOKUP(C1591,[1]ModifierDes!$B:$B,[1]ModifierDes!$C:$C),3,_xlfn.XLOOKUP(C1591,[1]StuntDes!$B:$B,[1]StuntDes!$C:$C)),"")</f>
        <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401</v>
      </c>
      <c r="D1592" t="s">
        <v>38</v>
      </c>
      <c r="E1592" t="s">
        <v>388</v>
      </c>
      <c r="G1592">
        <v>1</v>
      </c>
      <c r="H1592">
        <v>1000</v>
      </c>
      <c r="J1592" cm="1">
        <f t="array" ref="J1592">_xlfn.SWITCH(B1592,1,75,2,61,3,49,4,37,5,25,6,13,7,4,8,1)</f>
        <v>25</v>
      </c>
      <c r="K1592" t="str" cm="1">
        <f t="array" ref="K1592">IFERROR(_xlfn.SWITCH(L1592,2,_xlfn.XLOOKUP(C1592,[1]ModifierDes!$B:$B,[1]ModifierDes!$C:$C),3,_xlfn.XLOOKUP(C1592,[1]StuntDes!$B:$B,[1]StuntDes!$C:$C)),"")</f>
        <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401</v>
      </c>
      <c r="D1593" t="s">
        <v>38</v>
      </c>
      <c r="E1593" t="s">
        <v>388</v>
      </c>
      <c r="G1593">
        <v>1</v>
      </c>
      <c r="H1593">
        <v>1000</v>
      </c>
      <c r="J1593" cm="1">
        <f t="array" ref="J1593">_xlfn.SWITCH(B1593,1,75,2,61,3,49,4,37,5,25,6,13,7,4,8,1)</f>
        <v>13</v>
      </c>
      <c r="K1593" t="str" cm="1">
        <f t="array" ref="K1593">IFERROR(_xlfn.SWITCH(L1593,2,_xlfn.XLOOKUP(C1593,[1]ModifierDes!$B:$B,[1]ModifierDes!$C:$C),3,_xlfn.XLOOKUP(C1593,[1]StuntDes!$B:$B,[1]StuntDes!$C:$C)),"")</f>
        <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401</v>
      </c>
      <c r="D1594" t="s">
        <v>38</v>
      </c>
      <c r="E1594" t="s">
        <v>388</v>
      </c>
      <c r="G1594">
        <v>1</v>
      </c>
      <c r="H1594">
        <v>1000</v>
      </c>
      <c r="J1594" cm="1">
        <f t="array" ref="J1594">_xlfn.SWITCH(B1594,1,75,2,61,3,49,4,37,5,25,6,13,7,4,8,1)</f>
        <v>4</v>
      </c>
      <c r="K1594" t="str" cm="1">
        <f t="array" ref="K1594">IFERROR(_xlfn.SWITCH(L1594,2,_xlfn.XLOOKUP(C1594,[1]ModifierDes!$B:$B,[1]ModifierDes!$C:$C),3,_xlfn.XLOOKUP(C1594,[1]StuntDes!$B:$B,[1]StuntDes!$C:$C)),"")</f>
        <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401</v>
      </c>
      <c r="D1595" t="s">
        <v>38</v>
      </c>
      <c r="E1595" t="s">
        <v>388</v>
      </c>
      <c r="G1595">
        <v>1</v>
      </c>
      <c r="H1595">
        <v>1000</v>
      </c>
      <c r="J1595" cm="1">
        <f t="array" ref="J1595">_xlfn.SWITCH(B1595,1,75,2,61,3,49,4,37,5,25,6,13,7,4,8,1)</f>
        <v>1</v>
      </c>
      <c r="K1595" t="str" cm="1">
        <f t="array" ref="K1595">IFERROR(_xlfn.SWITCH(L1595,2,_xlfn.XLOOKUP(C1595,[1]ModifierDes!$B:$B,[1]ModifierDes!$C:$C),3,_xlfn.XLOOKUP(C1595,[1]StuntDes!$B:$B,[1]StuntDes!$C:$C)),"")</f>
        <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451</v>
      </c>
      <c r="D1596" t="s">
        <v>38</v>
      </c>
      <c r="E1596" t="s">
        <v>388</v>
      </c>
      <c r="F1596"/>
      <c r="G1596">
        <v>1</v>
      </c>
      <c r="H1596">
        <v>50</v>
      </c>
      <c r="I1596">
        <v>4</v>
      </c>
      <c r="J1596" cm="1">
        <f t="array" ref="J1596">_xlfn.SWITCH(B1596,1,75,2,61,3,49,4,37,5,25,6,13,7,4,8,1)</f>
        <v>75</v>
      </c>
      <c r="K1596" t="str" cm="1">
        <f t="array" ref="K1596">IFERROR(_xlfn.SWITCH(L1596,2,_xlfn.XLOOKUP(C1596,[1]ModifierDes!$B:$B,[1]ModifierDes!$C:$C),3,_xlfn.XLOOKUP(C1596,[1]StuntDes!$B:$B,[1]StuntDes!$C:$C)),"")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452</v>
      </c>
      <c r="D1597" t="s">
        <v>38</v>
      </c>
      <c r="E1597" t="s">
        <v>388</v>
      </c>
      <c r="F1597"/>
      <c r="G1597">
        <v>1</v>
      </c>
      <c r="H1597">
        <v>50</v>
      </c>
      <c r="I1597">
        <v>4</v>
      </c>
      <c r="J1597" cm="1">
        <f t="array" ref="J1597">_xlfn.SWITCH(B1597,1,75,2,61,3,49,4,37,5,25,6,13,7,4,8,1)</f>
        <v>75</v>
      </c>
      <c r="K1597" t="str" cm="1">
        <f t="array" ref="K1597">IFERROR(_xlfn.SWITCH(L1597,2,_xlfn.XLOOKUP(C1597,[1]ModifierDes!$B:$B,[1]ModifierDes!$C:$C),3,_xlfn.XLOOKUP(C1597,[1]StuntDes!$B:$B,[1]StuntDes!$C:$C)),"")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453</v>
      </c>
      <c r="D1598" t="s">
        <v>38</v>
      </c>
      <c r="E1598" t="s">
        <v>388</v>
      </c>
      <c r="F1598"/>
      <c r="G1598">
        <v>1</v>
      </c>
      <c r="H1598">
        <v>50</v>
      </c>
      <c r="I1598">
        <v>4</v>
      </c>
      <c r="J1598" cm="1">
        <f t="array" ref="J1598">_xlfn.SWITCH(B1598,1,75,2,61,3,49,4,37,5,25,6,13,7,4,8,1)</f>
        <v>75</v>
      </c>
      <c r="K1598" t="str" cm="1">
        <f t="array" ref="K1598">IFERROR(_xlfn.SWITCH(L1598,2,_xlfn.XLOOKUP(C1598,[1]ModifierDes!$B:$B,[1]ModifierDes!$C:$C),3,_xlfn.XLOOKUP(C1598,[1]StuntDes!$B:$B,[1]StuntDes!$C:$C)),"")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454</v>
      </c>
      <c r="D1599" t="s">
        <v>38</v>
      </c>
      <c r="E1599" t="s">
        <v>388</v>
      </c>
      <c r="F1599"/>
      <c r="G1599">
        <v>1</v>
      </c>
      <c r="H1599">
        <v>50</v>
      </c>
      <c r="I1599">
        <v>4</v>
      </c>
      <c r="J1599" cm="1">
        <f t="array" ref="J1599">_xlfn.SWITCH(B1599,1,75,2,61,3,49,4,37,5,25,6,13,7,4,8,1)</f>
        <v>75</v>
      </c>
      <c r="K1599" t="str" cm="1">
        <f t="array" ref="K1599">IFERROR(_xlfn.SWITCH(L1599,2,_xlfn.XLOOKUP(C1599,[1]ModifierDes!$B:$B,[1]ModifierDes!$C:$C),3,_xlfn.XLOOKUP(C1599,[1]StuntDes!$B:$B,[1]StuntDes!$C:$C)),"")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455</v>
      </c>
      <c r="D1600" t="s">
        <v>38</v>
      </c>
      <c r="E1600" t="s">
        <v>388</v>
      </c>
      <c r="F1600"/>
      <c r="G1600">
        <v>1</v>
      </c>
      <c r="H1600">
        <v>50</v>
      </c>
      <c r="I1600">
        <v>4</v>
      </c>
      <c r="J1600" cm="1">
        <f t="array" ref="J1600">_xlfn.SWITCH(B1600,1,75,2,61,3,49,4,37,5,25,6,13,7,4,8,1)</f>
        <v>75</v>
      </c>
      <c r="K1600" t="str" cm="1">
        <f t="array" ref="K1600">IFERROR(_xlfn.SWITCH(L1600,2,_xlfn.XLOOKUP(C1600,[1]ModifierDes!$B:$B,[1]ModifierDes!$C:$C),3,_xlfn.XLOOKUP(C1600,[1]StuntDes!$B:$B,[1]StuntDes!$C:$C)),"")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432</v>
      </c>
      <c r="D1601" t="s">
        <v>38</v>
      </c>
      <c r="E1601" s="13" t="s">
        <v>405</v>
      </c>
      <c r="F1601"/>
      <c r="G1601">
        <v>2</v>
      </c>
      <c r="H1601">
        <v>1000</v>
      </c>
      <c r="J1601" cm="1">
        <f t="array" ref="J1601">_xlfn.SWITCH(B1601,1,75,2,61,3,49,4,37,5,25,6,13,7,4,8,1)</f>
        <v>75</v>
      </c>
      <c r="K1601" t="str" cm="1">
        <f t="array" ref="K1601">IFERROR(_xlfn.SWITCH(L1601,2,_xlfn.XLOOKUP(C1601,[1]ModifierDes!$B:$B,[1]ModifierDes!$C:$C),3,_xlfn.XLOOKUP(C1601,[1]StuntDes!$B:$B,[1]StuntDes!$C:$C)),"")</f>
        <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432</v>
      </c>
      <c r="D1602" t="s">
        <v>38</v>
      </c>
      <c r="E1602" s="13" t="s">
        <v>405</v>
      </c>
      <c r="F1602"/>
      <c r="G1602">
        <v>2</v>
      </c>
      <c r="H1602">
        <v>1000</v>
      </c>
      <c r="J1602" cm="1">
        <f t="array" ref="J1602">_xlfn.SWITCH(B1602,1,75,2,61,3,49,4,37,5,25,6,13,7,4,8,1)</f>
        <v>61</v>
      </c>
      <c r="K1602" t="str" cm="1">
        <f t="array" ref="K1602">IFERROR(_xlfn.SWITCH(L1602,2,_xlfn.XLOOKUP(C1602,[1]ModifierDes!$B:$B,[1]ModifierDes!$C:$C),3,_xlfn.XLOOKUP(C1602,[1]StuntDes!$B:$B,[1]StuntDes!$C:$C)),"")</f>
        <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432</v>
      </c>
      <c r="D1603" t="s">
        <v>38</v>
      </c>
      <c r="E1603" s="13" t="s">
        <v>405</v>
      </c>
      <c r="F1603"/>
      <c r="G1603">
        <v>2</v>
      </c>
      <c r="H1603">
        <v>1000</v>
      </c>
      <c r="J1603" cm="1">
        <f t="array" ref="J1603">_xlfn.SWITCH(B1603,1,75,2,61,3,49,4,37,5,25,6,13,7,4,8,1)</f>
        <v>49</v>
      </c>
      <c r="K1603" t="str" cm="1">
        <f t="array" ref="K1603">IFERROR(_xlfn.SWITCH(L1603,2,_xlfn.XLOOKUP(C1603,[1]ModifierDes!$B:$B,[1]ModifierDes!$C:$C),3,_xlfn.XLOOKUP(C1603,[1]StuntDes!$B:$B,[1]StuntDes!$C:$C)),"")</f>
        <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432</v>
      </c>
      <c r="D1604" t="s">
        <v>38</v>
      </c>
      <c r="E1604" s="13" t="s">
        <v>405</v>
      </c>
      <c r="F1604"/>
      <c r="G1604">
        <v>2</v>
      </c>
      <c r="H1604">
        <v>1000</v>
      </c>
      <c r="J1604" cm="1">
        <f t="array" ref="J1604">_xlfn.SWITCH(B1604,1,75,2,61,3,49,4,37,5,25,6,13,7,4,8,1)</f>
        <v>37</v>
      </c>
      <c r="K1604" t="str" cm="1">
        <f t="array" ref="K1604">IFERROR(_xlfn.SWITCH(L1604,2,_xlfn.XLOOKUP(C1604,[1]ModifierDes!$B:$B,[1]ModifierDes!$C:$C),3,_xlfn.XLOOKUP(C1604,[1]StuntDes!$B:$B,[1]StuntDes!$C:$C)),"")</f>
        <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432</v>
      </c>
      <c r="D1605" t="s">
        <v>38</v>
      </c>
      <c r="E1605" s="13" t="s">
        <v>405</v>
      </c>
      <c r="F1605"/>
      <c r="G1605">
        <v>2</v>
      </c>
      <c r="H1605">
        <v>1000</v>
      </c>
      <c r="J1605" cm="1">
        <f t="array" ref="J1605">_xlfn.SWITCH(B1605,1,75,2,61,3,49,4,37,5,25,6,13,7,4,8,1)</f>
        <v>25</v>
      </c>
      <c r="K1605" t="str" cm="1">
        <f t="array" ref="K1605">IFERROR(_xlfn.SWITCH(L1605,2,_xlfn.XLOOKUP(C1605,[1]ModifierDes!$B:$B,[1]ModifierDes!$C:$C),3,_xlfn.XLOOKUP(C1605,[1]StuntDes!$B:$B,[1]StuntDes!$C:$C)),"")</f>
        <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432</v>
      </c>
      <c r="D1606" t="s">
        <v>38</v>
      </c>
      <c r="E1606" s="13" t="s">
        <v>405</v>
      </c>
      <c r="F1606"/>
      <c r="G1606">
        <v>2</v>
      </c>
      <c r="H1606">
        <v>1000</v>
      </c>
      <c r="J1606" cm="1">
        <f t="array" ref="J1606">_xlfn.SWITCH(B1606,1,75,2,61,3,49,4,37,5,25,6,13,7,4,8,1)</f>
        <v>13</v>
      </c>
      <c r="K1606" t="str" cm="1">
        <f t="array" ref="K1606">IFERROR(_xlfn.SWITCH(L1606,2,_xlfn.XLOOKUP(C1606,[1]ModifierDes!$B:$B,[1]ModifierDes!$C:$C),3,_xlfn.XLOOKUP(C1606,[1]StuntDes!$B:$B,[1]StuntDes!$C:$C)),"")</f>
        <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432</v>
      </c>
      <c r="D1607" t="s">
        <v>38</v>
      </c>
      <c r="E1607" s="13" t="s">
        <v>405</v>
      </c>
      <c r="F1607"/>
      <c r="G1607">
        <v>2</v>
      </c>
      <c r="H1607">
        <v>1000</v>
      </c>
      <c r="J1607" cm="1">
        <f t="array" ref="J1607">_xlfn.SWITCH(B1607,1,75,2,61,3,49,4,37,5,25,6,13,7,4,8,1)</f>
        <v>4</v>
      </c>
      <c r="K1607" t="str" cm="1">
        <f t="array" ref="K1607">IFERROR(_xlfn.SWITCH(L1607,2,_xlfn.XLOOKUP(C1607,[1]ModifierDes!$B:$B,[1]ModifierDes!$C:$C),3,_xlfn.XLOOKUP(C1607,[1]StuntDes!$B:$B,[1]StuntDes!$C:$C)),"")</f>
        <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432</v>
      </c>
      <c r="D1608" t="s">
        <v>38</v>
      </c>
      <c r="E1608" s="13" t="s">
        <v>405</v>
      </c>
      <c r="F1608"/>
      <c r="G1608">
        <v>2</v>
      </c>
      <c r="H1608">
        <v>1000</v>
      </c>
      <c r="J1608" cm="1">
        <f t="array" ref="J1608">_xlfn.SWITCH(B1608,1,75,2,61,3,49,4,37,5,25,6,13,7,4,8,1)</f>
        <v>1</v>
      </c>
      <c r="K1608" t="str" cm="1">
        <f t="array" ref="K1608">IFERROR(_xlfn.SWITCH(L1608,2,_xlfn.XLOOKUP(C1608,[1]ModifierDes!$B:$B,[1]ModifierDes!$C:$C),3,_xlfn.XLOOKUP(C1608,[1]StuntDes!$B:$B,[1]StuntDes!$C:$C)),"")</f>
        <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433</v>
      </c>
      <c r="D1609" t="s">
        <v>38</v>
      </c>
      <c r="E1609" s="13" t="s">
        <v>405</v>
      </c>
      <c r="F1609"/>
      <c r="G1609">
        <v>2</v>
      </c>
      <c r="H1609">
        <v>1000</v>
      </c>
      <c r="J1609" cm="1">
        <f t="array" ref="J1609">_xlfn.SWITCH(B1609,1,75,2,61,3,49,4,37,5,25,6,13,7,4,8,1)</f>
        <v>75</v>
      </c>
      <c r="K1609" t="str" cm="1">
        <f t="array" ref="K1609">IFERROR(_xlfn.SWITCH(L1609,2,_xlfn.XLOOKUP(C1609,[1]ModifierDes!$B:$B,[1]ModifierDes!$C:$C),3,_xlfn.XLOOKUP(C1609,[1]StuntDes!$B:$B,[1]StuntDes!$C:$C)),"")</f>
        <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433</v>
      </c>
      <c r="D1610" t="s">
        <v>38</v>
      </c>
      <c r="E1610" s="13" t="s">
        <v>405</v>
      </c>
      <c r="F1610"/>
      <c r="G1610">
        <v>2</v>
      </c>
      <c r="H1610">
        <v>1000</v>
      </c>
      <c r="J1610" cm="1">
        <f t="array" ref="J1610">_xlfn.SWITCH(B1610,1,75,2,61,3,49,4,37,5,25,6,13,7,4,8,1)</f>
        <v>61</v>
      </c>
      <c r="K1610" t="str" cm="1">
        <f t="array" ref="K1610">IFERROR(_xlfn.SWITCH(L1610,2,_xlfn.XLOOKUP(C1610,[1]ModifierDes!$B:$B,[1]ModifierDes!$C:$C),3,_xlfn.XLOOKUP(C1610,[1]StuntDes!$B:$B,[1]StuntDes!$C:$C)),"")</f>
        <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433</v>
      </c>
      <c r="D1611" t="s">
        <v>38</v>
      </c>
      <c r="E1611" s="13" t="s">
        <v>405</v>
      </c>
      <c r="F1611"/>
      <c r="G1611">
        <v>2</v>
      </c>
      <c r="H1611">
        <v>1000</v>
      </c>
      <c r="J1611" cm="1">
        <f t="array" ref="J1611">_xlfn.SWITCH(B1611,1,75,2,61,3,49,4,37,5,25,6,13,7,4,8,1)</f>
        <v>49</v>
      </c>
      <c r="K1611" t="str" cm="1">
        <f t="array" ref="K1611">IFERROR(_xlfn.SWITCH(L1611,2,_xlfn.XLOOKUP(C1611,[1]ModifierDes!$B:$B,[1]ModifierDes!$C:$C),3,_xlfn.XLOOKUP(C1611,[1]StuntDes!$B:$B,[1]StuntDes!$C:$C)),"")</f>
        <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433</v>
      </c>
      <c r="D1612" t="s">
        <v>38</v>
      </c>
      <c r="E1612" s="13" t="s">
        <v>405</v>
      </c>
      <c r="F1612"/>
      <c r="G1612">
        <v>2</v>
      </c>
      <c r="H1612">
        <v>1000</v>
      </c>
      <c r="J1612" cm="1">
        <f t="array" ref="J1612">_xlfn.SWITCH(B1612,1,75,2,61,3,49,4,37,5,25,6,13,7,4,8,1)</f>
        <v>37</v>
      </c>
      <c r="K1612" t="str" cm="1">
        <f t="array" ref="K1612">IFERROR(_xlfn.SWITCH(L1612,2,_xlfn.XLOOKUP(C1612,[1]ModifierDes!$B:$B,[1]ModifierDes!$C:$C),3,_xlfn.XLOOKUP(C1612,[1]StuntDes!$B:$B,[1]StuntDes!$C:$C)),"")</f>
        <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433</v>
      </c>
      <c r="D1613" t="s">
        <v>38</v>
      </c>
      <c r="E1613" s="13" t="s">
        <v>405</v>
      </c>
      <c r="F1613"/>
      <c r="G1613">
        <v>2</v>
      </c>
      <c r="H1613">
        <v>1000</v>
      </c>
      <c r="J1613" cm="1">
        <f t="array" ref="J1613">_xlfn.SWITCH(B1613,1,75,2,61,3,49,4,37,5,25,6,13,7,4,8,1)</f>
        <v>25</v>
      </c>
      <c r="K1613" t="str" cm="1">
        <f t="array" ref="K1613">IFERROR(_xlfn.SWITCH(L1613,2,_xlfn.XLOOKUP(C1613,[1]ModifierDes!$B:$B,[1]ModifierDes!$C:$C),3,_xlfn.XLOOKUP(C1613,[1]StuntDes!$B:$B,[1]StuntDes!$C:$C)),"")</f>
        <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433</v>
      </c>
      <c r="D1614" t="s">
        <v>38</v>
      </c>
      <c r="E1614" s="13" t="s">
        <v>405</v>
      </c>
      <c r="F1614"/>
      <c r="G1614">
        <v>2</v>
      </c>
      <c r="H1614">
        <v>1000</v>
      </c>
      <c r="J1614" cm="1">
        <f t="array" ref="J1614">_xlfn.SWITCH(B1614,1,75,2,61,3,49,4,37,5,25,6,13,7,4,8,1)</f>
        <v>13</v>
      </c>
      <c r="K1614" t="str" cm="1">
        <f t="array" ref="K1614">IFERROR(_xlfn.SWITCH(L1614,2,_xlfn.XLOOKUP(C1614,[1]ModifierDes!$B:$B,[1]ModifierDes!$C:$C),3,_xlfn.XLOOKUP(C1614,[1]StuntDes!$B:$B,[1]StuntDes!$C:$C)),"")</f>
        <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433</v>
      </c>
      <c r="D1615" t="s">
        <v>38</v>
      </c>
      <c r="E1615" s="13" t="s">
        <v>405</v>
      </c>
      <c r="F1615"/>
      <c r="G1615">
        <v>2</v>
      </c>
      <c r="H1615">
        <v>1000</v>
      </c>
      <c r="J1615" cm="1">
        <f t="array" ref="J1615">_xlfn.SWITCH(B1615,1,75,2,61,3,49,4,37,5,25,6,13,7,4,8,1)</f>
        <v>4</v>
      </c>
      <c r="K1615" t="str" cm="1">
        <f t="array" ref="K1615">IFERROR(_xlfn.SWITCH(L1615,2,_xlfn.XLOOKUP(C1615,[1]ModifierDes!$B:$B,[1]ModifierDes!$C:$C),3,_xlfn.XLOOKUP(C1615,[1]StuntDes!$B:$B,[1]StuntDes!$C:$C)),"")</f>
        <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433</v>
      </c>
      <c r="D1616" t="s">
        <v>38</v>
      </c>
      <c r="E1616" s="13" t="s">
        <v>405</v>
      </c>
      <c r="F1616"/>
      <c r="G1616">
        <v>2</v>
      </c>
      <c r="H1616">
        <v>1000</v>
      </c>
      <c r="J1616" cm="1">
        <f t="array" ref="J1616">_xlfn.SWITCH(B1616,1,75,2,61,3,49,4,37,5,25,6,13,7,4,8,1)</f>
        <v>1</v>
      </c>
      <c r="K1616" t="str" cm="1">
        <f t="array" ref="K1616">IFERROR(_xlfn.SWITCH(L1616,2,_xlfn.XLOOKUP(C1616,[1]ModifierDes!$B:$B,[1]ModifierDes!$C:$C),3,_xlfn.XLOOKUP(C1616,[1]StuntDes!$B:$B,[1]StuntDes!$C:$C)),"")</f>
        <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434</v>
      </c>
      <c r="D1617" t="s">
        <v>38</v>
      </c>
      <c r="E1617" s="13" t="s">
        <v>405</v>
      </c>
      <c r="F1617"/>
      <c r="G1617">
        <v>2</v>
      </c>
      <c r="H1617">
        <v>1000</v>
      </c>
      <c r="J1617" cm="1">
        <f t="array" ref="J1617">_xlfn.SWITCH(B1617,1,75,2,61,3,49,4,37,5,25,6,13,7,4,8,1)</f>
        <v>75</v>
      </c>
      <c r="K1617" t="str" cm="1">
        <f t="array" ref="K1617">IFERROR(_xlfn.SWITCH(L1617,2,_xlfn.XLOOKUP(C1617,[1]ModifierDes!$B:$B,[1]ModifierDes!$C:$C),3,_xlfn.XLOOKUP(C1617,[1]StuntDes!$B:$B,[1]StuntDes!$C:$C)),"")</f>
        <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434</v>
      </c>
      <c r="D1618" t="s">
        <v>38</v>
      </c>
      <c r="E1618" s="13" t="s">
        <v>405</v>
      </c>
      <c r="F1618"/>
      <c r="G1618">
        <v>2</v>
      </c>
      <c r="H1618">
        <v>1000</v>
      </c>
      <c r="J1618" cm="1">
        <f t="array" ref="J1618">_xlfn.SWITCH(B1618,1,75,2,61,3,49,4,37,5,25,6,13,7,4,8,1)</f>
        <v>61</v>
      </c>
      <c r="K1618" t="str" cm="1">
        <f t="array" ref="K1618">IFERROR(_xlfn.SWITCH(L1618,2,_xlfn.XLOOKUP(C1618,[1]ModifierDes!$B:$B,[1]ModifierDes!$C:$C),3,_xlfn.XLOOKUP(C1618,[1]StuntDes!$B:$B,[1]StuntDes!$C:$C)),"")</f>
        <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434</v>
      </c>
      <c r="D1619" t="s">
        <v>38</v>
      </c>
      <c r="E1619" s="13" t="s">
        <v>405</v>
      </c>
      <c r="F1619"/>
      <c r="G1619">
        <v>2</v>
      </c>
      <c r="H1619">
        <v>1000</v>
      </c>
      <c r="J1619" cm="1">
        <f t="array" ref="J1619">_xlfn.SWITCH(B1619,1,75,2,61,3,49,4,37,5,25,6,13,7,4,8,1)</f>
        <v>49</v>
      </c>
      <c r="K1619" t="str" cm="1">
        <f t="array" ref="K1619">IFERROR(_xlfn.SWITCH(L1619,2,_xlfn.XLOOKUP(C1619,[1]ModifierDes!$B:$B,[1]ModifierDes!$C:$C),3,_xlfn.XLOOKUP(C1619,[1]StuntDes!$B:$B,[1]StuntDes!$C:$C)),"")</f>
        <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434</v>
      </c>
      <c r="D1620" t="s">
        <v>38</v>
      </c>
      <c r="E1620" s="13" t="s">
        <v>405</v>
      </c>
      <c r="F1620"/>
      <c r="G1620">
        <v>2</v>
      </c>
      <c r="H1620">
        <v>1000</v>
      </c>
      <c r="J1620" cm="1">
        <f t="array" ref="J1620">_xlfn.SWITCH(B1620,1,75,2,61,3,49,4,37,5,25,6,13,7,4,8,1)</f>
        <v>37</v>
      </c>
      <c r="K1620" t="str" cm="1">
        <f t="array" ref="K1620">IFERROR(_xlfn.SWITCH(L1620,2,_xlfn.XLOOKUP(C1620,[1]ModifierDes!$B:$B,[1]ModifierDes!$C:$C),3,_xlfn.XLOOKUP(C1620,[1]StuntDes!$B:$B,[1]StuntDes!$C:$C)),"")</f>
        <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434</v>
      </c>
      <c r="D1621" t="s">
        <v>38</v>
      </c>
      <c r="E1621" s="13" t="s">
        <v>405</v>
      </c>
      <c r="F1621"/>
      <c r="G1621">
        <v>2</v>
      </c>
      <c r="H1621">
        <v>1000</v>
      </c>
      <c r="J1621" cm="1">
        <f t="array" ref="J1621">_xlfn.SWITCH(B1621,1,75,2,61,3,49,4,37,5,25,6,13,7,4,8,1)</f>
        <v>25</v>
      </c>
      <c r="K1621" t="str" cm="1">
        <f t="array" ref="K1621">IFERROR(_xlfn.SWITCH(L1621,2,_xlfn.XLOOKUP(C1621,[1]ModifierDes!$B:$B,[1]ModifierDes!$C:$C),3,_xlfn.XLOOKUP(C1621,[1]StuntDes!$B:$B,[1]StuntDes!$C:$C)),"")</f>
        <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434</v>
      </c>
      <c r="D1622" t="s">
        <v>38</v>
      </c>
      <c r="E1622" s="13" t="s">
        <v>405</v>
      </c>
      <c r="F1622"/>
      <c r="G1622">
        <v>2</v>
      </c>
      <c r="H1622">
        <v>1000</v>
      </c>
      <c r="J1622" cm="1">
        <f t="array" ref="J1622">_xlfn.SWITCH(B1622,1,75,2,61,3,49,4,37,5,25,6,13,7,4,8,1)</f>
        <v>13</v>
      </c>
      <c r="K1622" t="str" cm="1">
        <f t="array" ref="K1622">IFERROR(_xlfn.SWITCH(L1622,2,_xlfn.XLOOKUP(C1622,[1]ModifierDes!$B:$B,[1]ModifierDes!$C:$C),3,_xlfn.XLOOKUP(C1622,[1]StuntDes!$B:$B,[1]StuntDes!$C:$C)),"")</f>
        <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434</v>
      </c>
      <c r="D1623" t="s">
        <v>38</v>
      </c>
      <c r="E1623" s="13" t="s">
        <v>405</v>
      </c>
      <c r="F1623"/>
      <c r="G1623">
        <v>2</v>
      </c>
      <c r="H1623">
        <v>1000</v>
      </c>
      <c r="J1623" cm="1">
        <f t="array" ref="J1623">_xlfn.SWITCH(B1623,1,75,2,61,3,49,4,37,5,25,6,13,7,4,8,1)</f>
        <v>4</v>
      </c>
      <c r="K1623" t="str" cm="1">
        <f t="array" ref="K1623">IFERROR(_xlfn.SWITCH(L1623,2,_xlfn.XLOOKUP(C1623,[1]ModifierDes!$B:$B,[1]ModifierDes!$C:$C),3,_xlfn.XLOOKUP(C1623,[1]StuntDes!$B:$B,[1]StuntDes!$C:$C)),"")</f>
        <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434</v>
      </c>
      <c r="D1624" t="s">
        <v>38</v>
      </c>
      <c r="E1624" s="13" t="s">
        <v>405</v>
      </c>
      <c r="F1624"/>
      <c r="G1624">
        <v>2</v>
      </c>
      <c r="H1624">
        <v>1000</v>
      </c>
      <c r="J1624" cm="1">
        <f t="array" ref="J1624">_xlfn.SWITCH(B1624,1,75,2,61,3,49,4,37,5,25,6,13,7,4,8,1)</f>
        <v>1</v>
      </c>
      <c r="K1624" t="str" cm="1">
        <f t="array" ref="K1624">IFERROR(_xlfn.SWITCH(L1624,2,_xlfn.XLOOKUP(C1624,[1]ModifierDes!$B:$B,[1]ModifierDes!$C:$C),3,_xlfn.XLOOKUP(C1624,[1]StuntDes!$B:$B,[1]StuntDes!$C:$C)),"")</f>
        <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435</v>
      </c>
      <c r="D1625" t="s">
        <v>38</v>
      </c>
      <c r="E1625" s="13" t="s">
        <v>405</v>
      </c>
      <c r="F1625"/>
      <c r="G1625">
        <v>2</v>
      </c>
      <c r="H1625">
        <v>1000</v>
      </c>
      <c r="I1625"/>
      <c r="J1625" cm="1">
        <f t="array" ref="J1625">_xlfn.SWITCH(B1625,1,75,2,61,3,49,4,37,5,25,6,13,7,4,8,1)</f>
        <v>75</v>
      </c>
      <c r="K1625" t="str" cm="1">
        <f t="array" ref="K1625">IFERROR(_xlfn.SWITCH(L1625,2,_xlfn.XLOOKUP(C1625,[1]ModifierDes!$B:$B,[1]ModifierDes!$C:$C),3,_xlfn.XLOOKUP(C1625,[1]StuntDes!$B:$B,[1]StuntDes!$C:$C)),"")</f>
        <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435</v>
      </c>
      <c r="D1626" t="s">
        <v>38</v>
      </c>
      <c r="E1626" s="13" t="s">
        <v>405</v>
      </c>
      <c r="F1626"/>
      <c r="G1626">
        <v>2</v>
      </c>
      <c r="H1626">
        <v>1000</v>
      </c>
      <c r="I1626"/>
      <c r="J1626" cm="1">
        <f t="array" ref="J1626">_xlfn.SWITCH(B1626,1,75,2,61,3,49,4,37,5,25,6,13,7,4,8,1)</f>
        <v>61</v>
      </c>
      <c r="K1626" t="str" cm="1">
        <f t="array" ref="K1626">IFERROR(_xlfn.SWITCH(L1626,2,_xlfn.XLOOKUP(C1626,[1]ModifierDes!$B:$B,[1]ModifierDes!$C:$C),3,_xlfn.XLOOKUP(C1626,[1]StuntDes!$B:$B,[1]StuntDes!$C:$C)),"")</f>
        <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435</v>
      </c>
      <c r="D1627" t="s">
        <v>38</v>
      </c>
      <c r="E1627" s="13" t="s">
        <v>405</v>
      </c>
      <c r="F1627"/>
      <c r="G1627">
        <v>2</v>
      </c>
      <c r="H1627">
        <v>1000</v>
      </c>
      <c r="I1627"/>
      <c r="J1627" cm="1">
        <f t="array" ref="J1627">_xlfn.SWITCH(B1627,1,75,2,61,3,49,4,37,5,25,6,13,7,4,8,1)</f>
        <v>49</v>
      </c>
      <c r="K1627" t="str" cm="1">
        <f t="array" ref="K1627">IFERROR(_xlfn.SWITCH(L1627,2,_xlfn.XLOOKUP(C1627,[1]ModifierDes!$B:$B,[1]ModifierDes!$C:$C),3,_xlfn.XLOOKUP(C1627,[1]StuntDes!$B:$B,[1]StuntDes!$C:$C)),"")</f>
        <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435</v>
      </c>
      <c r="D1628" t="s">
        <v>38</v>
      </c>
      <c r="E1628" s="13" t="s">
        <v>405</v>
      </c>
      <c r="F1628"/>
      <c r="G1628">
        <v>2</v>
      </c>
      <c r="H1628">
        <v>1000</v>
      </c>
      <c r="I1628"/>
      <c r="J1628" cm="1">
        <f t="array" ref="J1628">_xlfn.SWITCH(B1628,1,75,2,61,3,49,4,37,5,25,6,13,7,4,8,1)</f>
        <v>37</v>
      </c>
      <c r="K1628" t="str" cm="1">
        <f t="array" ref="K1628">IFERROR(_xlfn.SWITCH(L1628,2,_xlfn.XLOOKUP(C1628,[1]ModifierDes!$B:$B,[1]ModifierDes!$C:$C),3,_xlfn.XLOOKUP(C1628,[1]StuntDes!$B:$B,[1]StuntDes!$C:$C)),"")</f>
        <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435</v>
      </c>
      <c r="D1629" t="s">
        <v>38</v>
      </c>
      <c r="E1629" s="13" t="s">
        <v>405</v>
      </c>
      <c r="F1629"/>
      <c r="G1629">
        <v>2</v>
      </c>
      <c r="H1629">
        <v>1000</v>
      </c>
      <c r="I1629"/>
      <c r="J1629" cm="1">
        <f t="array" ref="J1629">_xlfn.SWITCH(B1629,1,75,2,61,3,49,4,37,5,25,6,13,7,4,8,1)</f>
        <v>25</v>
      </c>
      <c r="K1629" t="str" cm="1">
        <f t="array" ref="K1629">IFERROR(_xlfn.SWITCH(L1629,2,_xlfn.XLOOKUP(C1629,[1]ModifierDes!$B:$B,[1]ModifierDes!$C:$C),3,_xlfn.XLOOKUP(C1629,[1]StuntDes!$B:$B,[1]StuntDes!$C:$C)),"")</f>
        <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435</v>
      </c>
      <c r="D1630" t="s">
        <v>38</v>
      </c>
      <c r="E1630" s="13" t="s">
        <v>405</v>
      </c>
      <c r="F1630"/>
      <c r="G1630">
        <v>2</v>
      </c>
      <c r="H1630">
        <v>1000</v>
      </c>
      <c r="I1630"/>
      <c r="J1630" cm="1">
        <f t="array" ref="J1630">_xlfn.SWITCH(B1630,1,75,2,61,3,49,4,37,5,25,6,13,7,4,8,1)</f>
        <v>13</v>
      </c>
      <c r="K1630" t="str" cm="1">
        <f t="array" ref="K1630">IFERROR(_xlfn.SWITCH(L1630,2,_xlfn.XLOOKUP(C1630,[1]ModifierDes!$B:$B,[1]ModifierDes!$C:$C),3,_xlfn.XLOOKUP(C1630,[1]StuntDes!$B:$B,[1]StuntDes!$C:$C)),"")</f>
        <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435</v>
      </c>
      <c r="D1631" t="s">
        <v>38</v>
      </c>
      <c r="E1631" s="13" t="s">
        <v>405</v>
      </c>
      <c r="F1631"/>
      <c r="G1631">
        <v>2</v>
      </c>
      <c r="H1631">
        <v>1000</v>
      </c>
      <c r="I1631"/>
      <c r="J1631" cm="1">
        <f t="array" ref="J1631">_xlfn.SWITCH(B1631,1,75,2,61,3,49,4,37,5,25,6,13,7,4,8,1)</f>
        <v>4</v>
      </c>
      <c r="K1631" t="str" cm="1">
        <f t="array" ref="K1631">IFERROR(_xlfn.SWITCH(L1631,2,_xlfn.XLOOKUP(C1631,[1]ModifierDes!$B:$B,[1]ModifierDes!$C:$C),3,_xlfn.XLOOKUP(C1631,[1]StuntDes!$B:$B,[1]StuntDes!$C:$C)),"")</f>
        <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435</v>
      </c>
      <c r="D1632" t="s">
        <v>38</v>
      </c>
      <c r="E1632" s="13" t="s">
        <v>405</v>
      </c>
      <c r="F1632"/>
      <c r="G1632">
        <v>2</v>
      </c>
      <c r="H1632">
        <v>1000</v>
      </c>
      <c r="I1632"/>
      <c r="J1632" cm="1">
        <f t="array" ref="J1632">_xlfn.SWITCH(B1632,1,75,2,61,3,49,4,37,5,25,6,13,7,4,8,1)</f>
        <v>1</v>
      </c>
      <c r="K1632" t="str" cm="1">
        <f t="array" ref="K1632">IFERROR(_xlfn.SWITCH(L1632,2,_xlfn.XLOOKUP(C1632,[1]ModifierDes!$B:$B,[1]ModifierDes!$C:$C),3,_xlfn.XLOOKUP(C1632,[1]StuntDes!$B:$B,[1]StuntDes!$C:$C)),"")</f>
        <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436</v>
      </c>
      <c r="D1633" t="s">
        <v>38</v>
      </c>
      <c r="E1633" s="13" t="s">
        <v>405</v>
      </c>
      <c r="F1633"/>
      <c r="G1633">
        <v>2</v>
      </c>
      <c r="H1633">
        <v>250</v>
      </c>
      <c r="I1633"/>
      <c r="J1633" cm="1">
        <f t="array" ref="J1633">_xlfn.SWITCH(B1633,1,75,2,61,3,49,4,37,5,25,6,13,7,4,8,1)</f>
        <v>75</v>
      </c>
      <c r="K1633" t="str" cm="1">
        <f t="array" ref="K1633">IFERROR(_xlfn.SWITCH(L1633,2,_xlfn.XLOOKUP(C1633,[1]ModifierDes!$B:$B,[1]ModifierDes!$C:$C),3,_xlfn.XLOOKUP(C1633,[1]StuntDes!$B:$B,[1]StuntDes!$C:$C)),"")</f>
        <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436</v>
      </c>
      <c r="D1634" t="s">
        <v>38</v>
      </c>
      <c r="E1634" s="13" t="s">
        <v>405</v>
      </c>
      <c r="F1634"/>
      <c r="G1634">
        <v>2</v>
      </c>
      <c r="H1634">
        <v>250</v>
      </c>
      <c r="I1634"/>
      <c r="J1634" cm="1">
        <f t="array" ref="J1634">_xlfn.SWITCH(B1634,1,75,2,61,3,49,4,37,5,25,6,13,7,4,8,1)</f>
        <v>61</v>
      </c>
      <c r="K1634" t="str" cm="1">
        <f t="array" ref="K1634">IFERROR(_xlfn.SWITCH(L1634,2,_xlfn.XLOOKUP(C1634,[1]ModifierDes!$B:$B,[1]ModifierDes!$C:$C),3,_xlfn.XLOOKUP(C1634,[1]StuntDes!$B:$B,[1]StuntDes!$C:$C)),"")</f>
        <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436</v>
      </c>
      <c r="D1635" t="s">
        <v>38</v>
      </c>
      <c r="E1635" s="13" t="s">
        <v>405</v>
      </c>
      <c r="F1635"/>
      <c r="G1635">
        <v>2</v>
      </c>
      <c r="H1635">
        <v>250</v>
      </c>
      <c r="I1635"/>
      <c r="J1635" cm="1">
        <f t="array" ref="J1635">_xlfn.SWITCH(B1635,1,75,2,61,3,49,4,37,5,25,6,13,7,4,8,1)</f>
        <v>49</v>
      </c>
      <c r="K1635" t="str" cm="1">
        <f t="array" ref="K1635">IFERROR(_xlfn.SWITCH(L1635,2,_xlfn.XLOOKUP(C1635,[1]ModifierDes!$B:$B,[1]ModifierDes!$C:$C),3,_xlfn.XLOOKUP(C1635,[1]StuntDes!$B:$B,[1]StuntDes!$C:$C)),"")</f>
        <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436</v>
      </c>
      <c r="D1636" t="s">
        <v>38</v>
      </c>
      <c r="E1636" s="13" t="s">
        <v>405</v>
      </c>
      <c r="F1636"/>
      <c r="G1636">
        <v>2</v>
      </c>
      <c r="H1636">
        <v>250</v>
      </c>
      <c r="I1636"/>
      <c r="J1636" cm="1">
        <f t="array" ref="J1636">_xlfn.SWITCH(B1636,1,75,2,61,3,49,4,37,5,25,6,13,7,4,8,1)</f>
        <v>37</v>
      </c>
      <c r="K1636" t="str" cm="1">
        <f t="array" ref="K1636">IFERROR(_xlfn.SWITCH(L1636,2,_xlfn.XLOOKUP(C1636,[1]ModifierDes!$B:$B,[1]ModifierDes!$C:$C),3,_xlfn.XLOOKUP(C1636,[1]StuntDes!$B:$B,[1]StuntDes!$C:$C)),"")</f>
        <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436</v>
      </c>
      <c r="D1637" t="s">
        <v>38</v>
      </c>
      <c r="E1637" s="13" t="s">
        <v>405</v>
      </c>
      <c r="F1637"/>
      <c r="G1637">
        <v>2</v>
      </c>
      <c r="H1637">
        <v>250</v>
      </c>
      <c r="I1637"/>
      <c r="J1637" cm="1">
        <f t="array" ref="J1637">_xlfn.SWITCH(B1637,1,75,2,61,3,49,4,37,5,25,6,13,7,4,8,1)</f>
        <v>25</v>
      </c>
      <c r="K1637" t="str" cm="1">
        <f t="array" ref="K1637">IFERROR(_xlfn.SWITCH(L1637,2,_xlfn.XLOOKUP(C1637,[1]ModifierDes!$B:$B,[1]ModifierDes!$C:$C),3,_xlfn.XLOOKUP(C1637,[1]StuntDes!$B:$B,[1]StuntDes!$C:$C)),"")</f>
        <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436</v>
      </c>
      <c r="D1638" t="s">
        <v>38</v>
      </c>
      <c r="E1638" s="13" t="s">
        <v>405</v>
      </c>
      <c r="F1638"/>
      <c r="G1638">
        <v>2</v>
      </c>
      <c r="H1638">
        <v>250</v>
      </c>
      <c r="I1638"/>
      <c r="J1638" cm="1">
        <f t="array" ref="J1638">_xlfn.SWITCH(B1638,1,75,2,61,3,49,4,37,5,25,6,13,7,4,8,1)</f>
        <v>13</v>
      </c>
      <c r="K1638" t="str" cm="1">
        <f t="array" ref="K1638">IFERROR(_xlfn.SWITCH(L1638,2,_xlfn.XLOOKUP(C1638,[1]ModifierDes!$B:$B,[1]ModifierDes!$C:$C),3,_xlfn.XLOOKUP(C1638,[1]StuntDes!$B:$B,[1]StuntDes!$C:$C)),"")</f>
        <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436</v>
      </c>
      <c r="D1639" t="s">
        <v>38</v>
      </c>
      <c r="E1639" s="13" t="s">
        <v>405</v>
      </c>
      <c r="F1639"/>
      <c r="G1639">
        <v>2</v>
      </c>
      <c r="H1639">
        <v>250</v>
      </c>
      <c r="I1639"/>
      <c r="J1639" cm="1">
        <f t="array" ref="J1639">_xlfn.SWITCH(B1639,1,75,2,61,3,49,4,37,5,25,6,13,7,4,8,1)</f>
        <v>4</v>
      </c>
      <c r="K1639" t="str" cm="1">
        <f t="array" ref="K1639">IFERROR(_xlfn.SWITCH(L1639,2,_xlfn.XLOOKUP(C1639,[1]ModifierDes!$B:$B,[1]ModifierDes!$C:$C),3,_xlfn.XLOOKUP(C1639,[1]StuntDes!$B:$B,[1]StuntDes!$C:$C)),"")</f>
        <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436</v>
      </c>
      <c r="D1640" t="s">
        <v>38</v>
      </c>
      <c r="E1640" s="13" t="s">
        <v>405</v>
      </c>
      <c r="F1640"/>
      <c r="G1640">
        <v>2</v>
      </c>
      <c r="H1640">
        <v>250</v>
      </c>
      <c r="I1640"/>
      <c r="J1640" cm="1">
        <f t="array" ref="J1640">_xlfn.SWITCH(B1640,1,75,2,61,3,49,4,37,5,25,6,13,7,4,8,1)</f>
        <v>1</v>
      </c>
      <c r="K1640" t="str" cm="1">
        <f t="array" ref="K1640">IFERROR(_xlfn.SWITCH(L1640,2,_xlfn.XLOOKUP(C1640,[1]ModifierDes!$B:$B,[1]ModifierDes!$C:$C),3,_xlfn.XLOOKUP(C1640,[1]StuntDes!$B:$B,[1]StuntDes!$C:$C)),"")</f>
        <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447</v>
      </c>
      <c r="D1641" t="s">
        <v>38</v>
      </c>
      <c r="E1641" s="13" t="s">
        <v>405</v>
      </c>
      <c r="F1641"/>
      <c r="G1641">
        <v>2</v>
      </c>
      <c r="H1641">
        <v>250</v>
      </c>
      <c r="I1641"/>
      <c r="J1641" cm="1">
        <f t="array" ref="J1641">_xlfn.SWITCH(B1641,1,75,2,61,3,49,4,37,5,25,6,13,7,4,8,1)</f>
        <v>75</v>
      </c>
      <c r="K1641" t="str" cm="1">
        <f t="array" ref="K1641">IFERROR(_xlfn.SWITCH(L1641,2,_xlfn.XLOOKUP(C1641,[1]ModifierDes!$B:$B,[1]ModifierDes!$C:$C),3,_xlfn.XLOOKUP(C1641,[1]StuntDes!$B:$B,[1]StuntDes!$C:$C)),"")</f>
        <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447</v>
      </c>
      <c r="D1642" t="s">
        <v>38</v>
      </c>
      <c r="E1642" s="13" t="s">
        <v>405</v>
      </c>
      <c r="F1642"/>
      <c r="G1642">
        <v>2</v>
      </c>
      <c r="H1642">
        <v>250</v>
      </c>
      <c r="I1642"/>
      <c r="J1642" cm="1">
        <f t="array" ref="J1642">_xlfn.SWITCH(B1642,1,75,2,61,3,49,4,37,5,25,6,13,7,4,8,1)</f>
        <v>61</v>
      </c>
      <c r="K1642" t="str" cm="1">
        <f t="array" ref="K1642">IFERROR(_xlfn.SWITCH(L1642,2,_xlfn.XLOOKUP(C1642,[1]ModifierDes!$B:$B,[1]ModifierDes!$C:$C),3,_xlfn.XLOOKUP(C1642,[1]StuntDes!$B:$B,[1]StuntDes!$C:$C)),"")</f>
        <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447</v>
      </c>
      <c r="D1643" t="s">
        <v>38</v>
      </c>
      <c r="E1643" s="13" t="s">
        <v>405</v>
      </c>
      <c r="F1643"/>
      <c r="G1643">
        <v>2</v>
      </c>
      <c r="H1643">
        <v>250</v>
      </c>
      <c r="I1643"/>
      <c r="J1643" cm="1">
        <f t="array" ref="J1643">_xlfn.SWITCH(B1643,1,75,2,61,3,49,4,37,5,25,6,13,7,4,8,1)</f>
        <v>49</v>
      </c>
      <c r="K1643" t="str" cm="1">
        <f t="array" ref="K1643">IFERROR(_xlfn.SWITCH(L1643,2,_xlfn.XLOOKUP(C1643,[1]ModifierDes!$B:$B,[1]ModifierDes!$C:$C),3,_xlfn.XLOOKUP(C1643,[1]StuntDes!$B:$B,[1]StuntDes!$C:$C)),"")</f>
        <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447</v>
      </c>
      <c r="D1644" t="s">
        <v>38</v>
      </c>
      <c r="E1644" s="13" t="s">
        <v>405</v>
      </c>
      <c r="F1644"/>
      <c r="G1644">
        <v>2</v>
      </c>
      <c r="H1644">
        <v>250</v>
      </c>
      <c r="I1644"/>
      <c r="J1644" cm="1">
        <f t="array" ref="J1644">_xlfn.SWITCH(B1644,1,75,2,61,3,49,4,37,5,25,6,13,7,4,8,1)</f>
        <v>37</v>
      </c>
      <c r="K1644" t="str" cm="1">
        <f t="array" ref="K1644">IFERROR(_xlfn.SWITCH(L1644,2,_xlfn.XLOOKUP(C1644,[1]ModifierDes!$B:$B,[1]ModifierDes!$C:$C),3,_xlfn.XLOOKUP(C1644,[1]StuntDes!$B:$B,[1]StuntDes!$C:$C)),"")</f>
        <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447</v>
      </c>
      <c r="D1645" t="s">
        <v>38</v>
      </c>
      <c r="E1645" s="13" t="s">
        <v>405</v>
      </c>
      <c r="F1645"/>
      <c r="G1645">
        <v>2</v>
      </c>
      <c r="H1645">
        <v>250</v>
      </c>
      <c r="I1645"/>
      <c r="J1645" cm="1">
        <f t="array" ref="J1645">_xlfn.SWITCH(B1645,1,75,2,61,3,49,4,37,5,25,6,13,7,4,8,1)</f>
        <v>25</v>
      </c>
      <c r="K1645" t="str" cm="1">
        <f t="array" ref="K1645">IFERROR(_xlfn.SWITCH(L1645,2,_xlfn.XLOOKUP(C1645,[1]ModifierDes!$B:$B,[1]ModifierDes!$C:$C),3,_xlfn.XLOOKUP(C1645,[1]StuntDes!$B:$B,[1]StuntDes!$C:$C)),"")</f>
        <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447</v>
      </c>
      <c r="D1646" t="s">
        <v>38</v>
      </c>
      <c r="E1646" s="13" t="s">
        <v>405</v>
      </c>
      <c r="F1646"/>
      <c r="G1646">
        <v>2</v>
      </c>
      <c r="H1646">
        <v>250</v>
      </c>
      <c r="I1646"/>
      <c r="J1646" cm="1">
        <f t="array" ref="J1646">_xlfn.SWITCH(B1646,1,75,2,61,3,49,4,37,5,25,6,13,7,4,8,1)</f>
        <v>13</v>
      </c>
      <c r="K1646" t="str" cm="1">
        <f t="array" ref="K1646">IFERROR(_xlfn.SWITCH(L1646,2,_xlfn.XLOOKUP(C1646,[1]ModifierDes!$B:$B,[1]ModifierDes!$C:$C),3,_xlfn.XLOOKUP(C1646,[1]StuntDes!$B:$B,[1]StuntDes!$C:$C)),"")</f>
        <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447</v>
      </c>
      <c r="D1647" t="s">
        <v>38</v>
      </c>
      <c r="E1647" s="13" t="s">
        <v>405</v>
      </c>
      <c r="F1647"/>
      <c r="G1647">
        <v>2</v>
      </c>
      <c r="H1647">
        <v>250</v>
      </c>
      <c r="I1647"/>
      <c r="J1647" cm="1">
        <f t="array" ref="J1647">_xlfn.SWITCH(B1647,1,75,2,61,3,49,4,37,5,25,6,13,7,4,8,1)</f>
        <v>4</v>
      </c>
      <c r="K1647" t="str" cm="1">
        <f t="array" ref="K1647">IFERROR(_xlfn.SWITCH(L1647,2,_xlfn.XLOOKUP(C1647,[1]ModifierDes!$B:$B,[1]ModifierDes!$C:$C),3,_xlfn.XLOOKUP(C1647,[1]StuntDes!$B:$B,[1]StuntDes!$C:$C)),"")</f>
        <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447</v>
      </c>
      <c r="D1648" t="s">
        <v>38</v>
      </c>
      <c r="E1648" s="13" t="s">
        <v>405</v>
      </c>
      <c r="F1648"/>
      <c r="G1648">
        <v>2</v>
      </c>
      <c r="H1648">
        <v>250</v>
      </c>
      <c r="I1648"/>
      <c r="J1648" cm="1">
        <f t="array" ref="J1648">_xlfn.SWITCH(B1648,1,75,2,61,3,49,4,37,5,25,6,13,7,4,8,1)</f>
        <v>1</v>
      </c>
      <c r="K1648" t="str" cm="1">
        <f t="array" ref="K1648">IFERROR(_xlfn.SWITCH(L1648,2,_xlfn.XLOOKUP(C1648,[1]ModifierDes!$B:$B,[1]ModifierDes!$C:$C),3,_xlfn.XLOOKUP(C1648,[1]StuntDes!$B:$B,[1]StuntDes!$C:$C)),"")</f>
        <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456</v>
      </c>
      <c r="D1649" t="s">
        <v>38</v>
      </c>
      <c r="E1649" s="13" t="s">
        <v>405</v>
      </c>
      <c r="G1649">
        <v>2</v>
      </c>
      <c r="H1649">
        <v>25</v>
      </c>
      <c r="I1649">
        <v>2</v>
      </c>
      <c r="J1649" cm="1">
        <f t="array" ref="J1649">_xlfn.SWITCH(B1649,1,75,2,61,3,49,4,37,5,25,6,13,7,4,8,1)</f>
        <v>75</v>
      </c>
      <c r="K1649" t="str" cm="1">
        <f t="array" ref="K1649">IFERROR(_xlfn.SWITCH(L1649,2,_xlfn.XLOOKUP(C1649,[1]ModifierDes!$B:$B,[1]ModifierDes!$C:$C),3,_xlfn.XLOOKUP(C1649,[1]StuntDes!$B:$B,[1]StuntDes!$C:$C)),"")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456</v>
      </c>
      <c r="D1650" t="s">
        <v>38</v>
      </c>
      <c r="E1650" s="13" t="s">
        <v>405</v>
      </c>
      <c r="G1650">
        <v>2</v>
      </c>
      <c r="H1650">
        <v>100</v>
      </c>
      <c r="I1650">
        <v>2</v>
      </c>
      <c r="J1650" cm="1">
        <f t="array" ref="J1650">_xlfn.SWITCH(B1650,1,75,2,61,3,49,4,37,5,25,6,13,7,4,8,1)</f>
        <v>49</v>
      </c>
      <c r="K1650" t="str" cm="1">
        <f t="array" ref="K1650">IFERROR(_xlfn.SWITCH(L1650,2,_xlfn.XLOOKUP(C1650,[1]ModifierDes!$B:$B,[1]ModifierDes!$C:$C),3,_xlfn.XLOOKUP(C1650,[1]StuntDes!$B:$B,[1]StuntDes!$C:$C)),"")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456</v>
      </c>
      <c r="D1651" t="s">
        <v>38</v>
      </c>
      <c r="E1651" s="13" t="s">
        <v>405</v>
      </c>
      <c r="G1651">
        <v>2</v>
      </c>
      <c r="H1651">
        <v>400</v>
      </c>
      <c r="I1651">
        <v>2</v>
      </c>
      <c r="J1651" cm="1">
        <f t="array" ref="J1651">_xlfn.SWITCH(B1651,1,75,2,61,3,49,4,37,5,25,6,13,7,4,8,1)</f>
        <v>25</v>
      </c>
      <c r="K1651" t="str" cm="1">
        <f t="array" ref="K1651">IFERROR(_xlfn.SWITCH(L1651,2,_xlfn.XLOOKUP(C1651,[1]ModifierDes!$B:$B,[1]ModifierDes!$C:$C),3,_xlfn.XLOOKUP(C1651,[1]StuntDes!$B:$B,[1]StuntDes!$C:$C)),"")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406</v>
      </c>
      <c r="D1652" t="s">
        <v>38</v>
      </c>
      <c r="E1652" s="13" t="s">
        <v>405</v>
      </c>
      <c r="F1652"/>
      <c r="G1652">
        <v>2</v>
      </c>
      <c r="H1652">
        <v>25</v>
      </c>
      <c r="I1652">
        <v>2</v>
      </c>
      <c r="J1652" cm="1">
        <f t="array" ref="J1652">_xlfn.SWITCH(B1652,1,75,2,61,3,49,4,37,5,25,6,13,7,4,8,1)</f>
        <v>75</v>
      </c>
      <c r="K1652" t="str" cm="1">
        <f t="array" ref="K1652">IFERROR(_xlfn.SWITCH(L1652,2,_xlfn.XLOOKUP(C1652,[1]ModifierDes!$B:$B,[1]ModifierDes!$C:$C),3,_xlfn.XLOOKUP(C1652,[1]StuntDes!$B:$B,[1]StuntDes!$C:$C)),"")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406</v>
      </c>
      <c r="D1653" t="s">
        <v>38</v>
      </c>
      <c r="E1653" s="13" t="s">
        <v>405</v>
      </c>
      <c r="F1653"/>
      <c r="G1653">
        <v>2</v>
      </c>
      <c r="H1653">
        <v>100</v>
      </c>
      <c r="I1653">
        <v>2</v>
      </c>
      <c r="J1653" cm="1">
        <f t="array" ref="J1653">_xlfn.SWITCH(B1653,1,75,2,61,3,49,4,37,5,25,6,13,7,4,8,1)</f>
        <v>49</v>
      </c>
      <c r="K1653" t="str" cm="1">
        <f t="array" ref="K1653">IFERROR(_xlfn.SWITCH(L1653,2,_xlfn.XLOOKUP(C1653,[1]ModifierDes!$B:$B,[1]ModifierDes!$C:$C),3,_xlfn.XLOOKUP(C1653,[1]StuntDes!$B:$B,[1]StuntDes!$C:$C)),"")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406</v>
      </c>
      <c r="D1654" t="s">
        <v>38</v>
      </c>
      <c r="E1654" s="13" t="s">
        <v>405</v>
      </c>
      <c r="F1654"/>
      <c r="G1654">
        <v>2</v>
      </c>
      <c r="H1654">
        <v>400</v>
      </c>
      <c r="I1654">
        <v>2</v>
      </c>
      <c r="J1654" cm="1">
        <f t="array" ref="J1654">_xlfn.SWITCH(B1654,1,75,2,61,3,49,4,37,5,25,6,13,7,4,8,1)</f>
        <v>25</v>
      </c>
      <c r="K1654" t="str" cm="1">
        <f t="array" ref="K1654">IFERROR(_xlfn.SWITCH(L1654,2,_xlfn.XLOOKUP(C1654,[1]ModifierDes!$B:$B,[1]ModifierDes!$C:$C),3,_xlfn.XLOOKUP(C1654,[1]StuntDes!$B:$B,[1]StuntDes!$C:$C)),"")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407</v>
      </c>
      <c r="D1655" t="s">
        <v>38</v>
      </c>
      <c r="E1655" s="13" t="s">
        <v>405</v>
      </c>
      <c r="F1655"/>
      <c r="G1655">
        <v>2</v>
      </c>
      <c r="H1655">
        <v>25</v>
      </c>
      <c r="I1655">
        <v>2</v>
      </c>
      <c r="J1655" cm="1">
        <f t="array" ref="J1655">_xlfn.SWITCH(B1655,1,75,2,61,3,49,4,37,5,25,6,13,7,4,8,1)</f>
        <v>75</v>
      </c>
      <c r="K1655" t="str" cm="1">
        <f t="array" ref="K1655">IFERROR(_xlfn.SWITCH(L1655,2,_xlfn.XLOOKUP(C1655,[1]ModifierDes!$B:$B,[1]ModifierDes!$C:$C),3,_xlfn.XLOOKUP(C1655,[1]StuntDes!$B:$B,[1]StuntDes!$C:$C)),"")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407</v>
      </c>
      <c r="D1656" t="s">
        <v>38</v>
      </c>
      <c r="E1656" s="13" t="s">
        <v>405</v>
      </c>
      <c r="F1656"/>
      <c r="G1656">
        <v>2</v>
      </c>
      <c r="H1656">
        <v>100</v>
      </c>
      <c r="I1656">
        <v>2</v>
      </c>
      <c r="J1656" cm="1">
        <f t="array" ref="J1656">_xlfn.SWITCH(B1656,1,75,2,61,3,49,4,37,5,25,6,13,7,4,8,1)</f>
        <v>49</v>
      </c>
      <c r="K1656" t="str" cm="1">
        <f t="array" ref="K1656">IFERROR(_xlfn.SWITCH(L1656,2,_xlfn.XLOOKUP(C1656,[1]ModifierDes!$B:$B,[1]ModifierDes!$C:$C),3,_xlfn.XLOOKUP(C1656,[1]StuntDes!$B:$B,[1]StuntDes!$C:$C)),"")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407</v>
      </c>
      <c r="D1657" t="s">
        <v>38</v>
      </c>
      <c r="E1657" s="13" t="s">
        <v>405</v>
      </c>
      <c r="F1657"/>
      <c r="G1657">
        <v>2</v>
      </c>
      <c r="H1657">
        <v>400</v>
      </c>
      <c r="I1657">
        <v>2</v>
      </c>
      <c r="J1657" cm="1">
        <f t="array" ref="J1657">_xlfn.SWITCH(B1657,1,75,2,61,3,49,4,37,5,25,6,13,7,4,8,1)</f>
        <v>25</v>
      </c>
      <c r="K1657" t="str" cm="1">
        <f t="array" ref="K1657">IFERROR(_xlfn.SWITCH(L1657,2,_xlfn.XLOOKUP(C1657,[1]ModifierDes!$B:$B,[1]ModifierDes!$C:$C),3,_xlfn.XLOOKUP(C1657,[1]StuntDes!$B:$B,[1]StuntDes!$C:$C)),"")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408</v>
      </c>
      <c r="D1658" t="s">
        <v>38</v>
      </c>
      <c r="E1658" s="13" t="s">
        <v>405</v>
      </c>
      <c r="F1658"/>
      <c r="G1658">
        <v>2</v>
      </c>
      <c r="H1658">
        <v>25</v>
      </c>
      <c r="I1658">
        <v>2</v>
      </c>
      <c r="J1658" cm="1">
        <f t="array" ref="J1658">_xlfn.SWITCH(B1658,1,75,2,61,3,49,4,37,5,25,6,13,7,4,8,1)</f>
        <v>75</v>
      </c>
      <c r="K1658" t="str" cm="1">
        <f t="array" ref="K1658">IFERROR(_xlfn.SWITCH(L1658,2,_xlfn.XLOOKUP(C1658,[1]ModifierDes!$B:$B,[1]ModifierDes!$C:$C),3,_xlfn.XLOOKUP(C1658,[1]StuntDes!$B:$B,[1]StuntDes!$C:$C)),"")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408</v>
      </c>
      <c r="D1659" t="s">
        <v>38</v>
      </c>
      <c r="E1659" s="13" t="s">
        <v>405</v>
      </c>
      <c r="F1659"/>
      <c r="G1659">
        <v>2</v>
      </c>
      <c r="H1659">
        <v>100</v>
      </c>
      <c r="I1659">
        <v>2</v>
      </c>
      <c r="J1659" cm="1">
        <f t="array" ref="J1659">_xlfn.SWITCH(B1659,1,75,2,61,3,49,4,37,5,25,6,13,7,4,8,1)</f>
        <v>49</v>
      </c>
      <c r="K1659" t="str" cm="1">
        <f t="array" ref="K1659">IFERROR(_xlfn.SWITCH(L1659,2,_xlfn.XLOOKUP(C1659,[1]ModifierDes!$B:$B,[1]ModifierDes!$C:$C),3,_xlfn.XLOOKUP(C1659,[1]StuntDes!$B:$B,[1]StuntDes!$C:$C)),"")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408</v>
      </c>
      <c r="D1660" t="s">
        <v>38</v>
      </c>
      <c r="E1660" s="13" t="s">
        <v>405</v>
      </c>
      <c r="F1660"/>
      <c r="G1660">
        <v>2</v>
      </c>
      <c r="H1660">
        <v>400</v>
      </c>
      <c r="I1660">
        <v>2</v>
      </c>
      <c r="J1660" cm="1">
        <f t="array" ref="J1660">_xlfn.SWITCH(B1660,1,75,2,61,3,49,4,37,5,25,6,13,7,4,8,1)</f>
        <v>25</v>
      </c>
      <c r="K1660" t="str" cm="1">
        <f t="array" ref="K1660">IFERROR(_xlfn.SWITCH(L1660,2,_xlfn.XLOOKUP(C1660,[1]ModifierDes!$B:$B,[1]ModifierDes!$C:$C),3,_xlfn.XLOOKUP(C1660,[1]StuntDes!$B:$B,[1]StuntDes!$C:$C)),"")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409</v>
      </c>
      <c r="D1661" t="s">
        <v>38</v>
      </c>
      <c r="E1661" s="13" t="s">
        <v>405</v>
      </c>
      <c r="F1661"/>
      <c r="G1661">
        <v>2</v>
      </c>
      <c r="H1661">
        <v>25</v>
      </c>
      <c r="I1661">
        <v>2</v>
      </c>
      <c r="J1661" cm="1">
        <f t="array" ref="J1661">_xlfn.SWITCH(B1661,1,75,2,61,3,49,4,37,5,25,6,13,7,4,8,1)</f>
        <v>75</v>
      </c>
      <c r="K1661" t="str" cm="1">
        <f t="array" ref="K1661">IFERROR(_xlfn.SWITCH(L1661,2,_xlfn.XLOOKUP(C1661,[1]ModifierDes!$B:$B,[1]ModifierDes!$C:$C),3,_xlfn.XLOOKUP(C1661,[1]StuntDes!$B:$B,[1]StuntDes!$C:$C)),"")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409</v>
      </c>
      <c r="D1662" t="s">
        <v>38</v>
      </c>
      <c r="E1662" s="13" t="s">
        <v>405</v>
      </c>
      <c r="F1662"/>
      <c r="G1662">
        <v>2</v>
      </c>
      <c r="H1662">
        <v>100</v>
      </c>
      <c r="I1662">
        <v>2</v>
      </c>
      <c r="J1662" cm="1">
        <f t="array" ref="J1662">_xlfn.SWITCH(B1662,1,75,2,61,3,49,4,37,5,25,6,13,7,4,8,1)</f>
        <v>49</v>
      </c>
      <c r="K1662" t="str" cm="1">
        <f t="array" ref="K1662">IFERROR(_xlfn.SWITCH(L1662,2,_xlfn.XLOOKUP(C1662,[1]ModifierDes!$B:$B,[1]ModifierDes!$C:$C),3,_xlfn.XLOOKUP(C1662,[1]StuntDes!$B:$B,[1]StuntDes!$C:$C)),"")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409</v>
      </c>
      <c r="D1663" t="s">
        <v>38</v>
      </c>
      <c r="E1663" s="13" t="s">
        <v>405</v>
      </c>
      <c r="F1663"/>
      <c r="G1663">
        <v>2</v>
      </c>
      <c r="H1663">
        <v>400</v>
      </c>
      <c r="I1663">
        <v>2</v>
      </c>
      <c r="J1663" cm="1">
        <f t="array" ref="J1663">_xlfn.SWITCH(B1663,1,75,2,61,3,49,4,37,5,25,6,13,7,4,8,1)</f>
        <v>25</v>
      </c>
      <c r="K1663" t="str" cm="1">
        <f t="array" ref="K1663">IFERROR(_xlfn.SWITCH(L1663,2,_xlfn.XLOOKUP(C1663,[1]ModifierDes!$B:$B,[1]ModifierDes!$C:$C),3,_xlfn.XLOOKUP(C1663,[1]StuntDes!$B:$B,[1]StuntDes!$C:$C)),"")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410</v>
      </c>
      <c r="D1664" t="s">
        <v>38</v>
      </c>
      <c r="E1664" s="13" t="s">
        <v>405</v>
      </c>
      <c r="F1664"/>
      <c r="G1664">
        <v>2</v>
      </c>
      <c r="H1664">
        <v>25</v>
      </c>
      <c r="I1664">
        <v>2</v>
      </c>
      <c r="J1664" cm="1">
        <f t="array" ref="J1664">_xlfn.SWITCH(B1664,1,75,2,61,3,49,4,37,5,25,6,13,7,4,8,1)</f>
        <v>75</v>
      </c>
      <c r="K1664" t="str" cm="1">
        <f t="array" ref="K1664">IFERROR(_xlfn.SWITCH(L1664,2,_xlfn.XLOOKUP(C1664,[1]ModifierDes!$B:$B,[1]ModifierDes!$C:$C),3,_xlfn.XLOOKUP(C1664,[1]StuntDes!$B:$B,[1]StuntDes!$C:$C)),"")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410</v>
      </c>
      <c r="D1665" t="s">
        <v>38</v>
      </c>
      <c r="E1665" s="13" t="s">
        <v>405</v>
      </c>
      <c r="F1665"/>
      <c r="G1665">
        <v>2</v>
      </c>
      <c r="H1665">
        <v>100</v>
      </c>
      <c r="I1665">
        <v>2</v>
      </c>
      <c r="J1665" cm="1">
        <f t="array" ref="J1665">_xlfn.SWITCH(B1665,1,75,2,61,3,49,4,37,5,25,6,13,7,4,8,1)</f>
        <v>49</v>
      </c>
      <c r="K1665" t="str" cm="1">
        <f t="array" ref="K1665">IFERROR(_xlfn.SWITCH(L1665,2,_xlfn.XLOOKUP(C1665,[1]ModifierDes!$B:$B,[1]ModifierDes!$C:$C),3,_xlfn.XLOOKUP(C1665,[1]StuntDes!$B:$B,[1]StuntDes!$C:$C)),"")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410</v>
      </c>
      <c r="D1666" t="s">
        <v>38</v>
      </c>
      <c r="E1666" s="13" t="s">
        <v>405</v>
      </c>
      <c r="F1666"/>
      <c r="G1666">
        <v>2</v>
      </c>
      <c r="H1666">
        <v>400</v>
      </c>
      <c r="I1666">
        <v>2</v>
      </c>
      <c r="J1666" cm="1">
        <f t="array" ref="J1666">_xlfn.SWITCH(B1666,1,75,2,61,3,49,4,37,5,25,6,13,7,4,8,1)</f>
        <v>25</v>
      </c>
      <c r="K1666" t="str" cm="1">
        <f t="array" ref="K1666">IFERROR(_xlfn.SWITCH(L1666,2,_xlfn.XLOOKUP(C1666,[1]ModifierDes!$B:$B,[1]ModifierDes!$C:$C),3,_xlfn.XLOOKUP(C1666,[1]StuntDes!$B:$B,[1]StuntDes!$C:$C)),"")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414</v>
      </c>
      <c r="D1667" t="s">
        <v>38</v>
      </c>
      <c r="E1667" s="13" t="s">
        <v>405</v>
      </c>
      <c r="F1667"/>
      <c r="G1667">
        <v>2</v>
      </c>
      <c r="H1667">
        <v>1000</v>
      </c>
      <c r="J1667" cm="1">
        <f t="array" ref="J1667">_xlfn.SWITCH(B1667,1,75,2,61,3,49,4,37,5,25,6,13,7,4,8,1)</f>
        <v>75</v>
      </c>
      <c r="K1667" t="str" cm="1">
        <f t="array" ref="K1667">IFERROR(_xlfn.SWITCH(L1667,2,_xlfn.XLOOKUP(C1667,[1]ModifierDes!$B:$B,[1]ModifierDes!$C:$C),3,_xlfn.XLOOKUP(C1667,[1]StuntDes!$B:$B,[1]StuntDes!$C:$C)),"")</f>
        <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414</v>
      </c>
      <c r="D1668" t="s">
        <v>38</v>
      </c>
      <c r="E1668" s="13" t="s">
        <v>405</v>
      </c>
      <c r="F1668"/>
      <c r="G1668">
        <v>2</v>
      </c>
      <c r="H1668">
        <v>1000</v>
      </c>
      <c r="J1668" cm="1">
        <f t="array" ref="J1668">_xlfn.SWITCH(B1668,1,75,2,61,3,49,4,37,5,25,6,13,7,4,8,1)</f>
        <v>61</v>
      </c>
      <c r="K1668" t="str" cm="1">
        <f t="array" ref="K1668">IFERROR(_xlfn.SWITCH(L1668,2,_xlfn.XLOOKUP(C1668,[1]ModifierDes!$B:$B,[1]ModifierDes!$C:$C),3,_xlfn.XLOOKUP(C1668,[1]StuntDes!$B:$B,[1]StuntDes!$C:$C)),"")</f>
        <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414</v>
      </c>
      <c r="D1669" t="s">
        <v>38</v>
      </c>
      <c r="E1669" s="13" t="s">
        <v>405</v>
      </c>
      <c r="F1669"/>
      <c r="G1669">
        <v>2</v>
      </c>
      <c r="H1669">
        <v>1000</v>
      </c>
      <c r="J1669" cm="1">
        <f t="array" ref="J1669">_xlfn.SWITCH(B1669,1,75,2,61,3,49,4,37,5,25,6,13,7,4,8,1)</f>
        <v>49</v>
      </c>
      <c r="K1669" t="str" cm="1">
        <f t="array" ref="K1669">IFERROR(_xlfn.SWITCH(L1669,2,_xlfn.XLOOKUP(C1669,[1]ModifierDes!$B:$B,[1]ModifierDes!$C:$C),3,_xlfn.XLOOKUP(C1669,[1]StuntDes!$B:$B,[1]StuntDes!$C:$C)),"")</f>
        <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414</v>
      </c>
      <c r="D1670" t="s">
        <v>38</v>
      </c>
      <c r="E1670" s="13" t="s">
        <v>405</v>
      </c>
      <c r="F1670"/>
      <c r="G1670">
        <v>2</v>
      </c>
      <c r="H1670">
        <v>1000</v>
      </c>
      <c r="J1670" cm="1">
        <f t="array" ref="J1670">_xlfn.SWITCH(B1670,1,75,2,61,3,49,4,37,5,25,6,13,7,4,8,1)</f>
        <v>37</v>
      </c>
      <c r="K1670" t="str" cm="1">
        <f t="array" ref="K1670">IFERROR(_xlfn.SWITCH(L1670,2,_xlfn.XLOOKUP(C1670,[1]ModifierDes!$B:$B,[1]ModifierDes!$C:$C),3,_xlfn.XLOOKUP(C1670,[1]StuntDes!$B:$B,[1]StuntDes!$C:$C)),"")</f>
        <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414</v>
      </c>
      <c r="D1671" t="s">
        <v>38</v>
      </c>
      <c r="E1671" s="13" t="s">
        <v>405</v>
      </c>
      <c r="F1671"/>
      <c r="G1671">
        <v>2</v>
      </c>
      <c r="H1671">
        <v>1000</v>
      </c>
      <c r="J1671" cm="1">
        <f t="array" ref="J1671">_xlfn.SWITCH(B1671,1,75,2,61,3,49,4,37,5,25,6,13,7,4,8,1)</f>
        <v>25</v>
      </c>
      <c r="K1671" t="str" cm="1">
        <f t="array" ref="K1671">IFERROR(_xlfn.SWITCH(L1671,2,_xlfn.XLOOKUP(C1671,[1]ModifierDes!$B:$B,[1]ModifierDes!$C:$C),3,_xlfn.XLOOKUP(C1671,[1]StuntDes!$B:$B,[1]StuntDes!$C:$C)),"")</f>
        <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414</v>
      </c>
      <c r="D1672" t="s">
        <v>38</v>
      </c>
      <c r="E1672" s="13" t="s">
        <v>405</v>
      </c>
      <c r="F1672"/>
      <c r="G1672">
        <v>2</v>
      </c>
      <c r="H1672">
        <v>1000</v>
      </c>
      <c r="J1672" cm="1">
        <f t="array" ref="J1672">_xlfn.SWITCH(B1672,1,75,2,61,3,49,4,37,5,25,6,13,7,4,8,1)</f>
        <v>13</v>
      </c>
      <c r="K1672" t="str" cm="1">
        <f t="array" ref="K1672">IFERROR(_xlfn.SWITCH(L1672,2,_xlfn.XLOOKUP(C1672,[1]ModifierDes!$B:$B,[1]ModifierDes!$C:$C),3,_xlfn.XLOOKUP(C1672,[1]StuntDes!$B:$B,[1]StuntDes!$C:$C)),"")</f>
        <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414</v>
      </c>
      <c r="D1673" t="s">
        <v>38</v>
      </c>
      <c r="E1673" s="13" t="s">
        <v>405</v>
      </c>
      <c r="F1673"/>
      <c r="G1673">
        <v>2</v>
      </c>
      <c r="H1673">
        <v>1000</v>
      </c>
      <c r="J1673" cm="1">
        <f t="array" ref="J1673">_xlfn.SWITCH(B1673,1,75,2,61,3,49,4,37,5,25,6,13,7,4,8,1)</f>
        <v>4</v>
      </c>
      <c r="K1673" t="str" cm="1">
        <f t="array" ref="K1673">IFERROR(_xlfn.SWITCH(L1673,2,_xlfn.XLOOKUP(C1673,[1]ModifierDes!$B:$B,[1]ModifierDes!$C:$C),3,_xlfn.XLOOKUP(C1673,[1]StuntDes!$B:$B,[1]StuntDes!$C:$C)),"")</f>
        <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414</v>
      </c>
      <c r="D1674" t="s">
        <v>38</v>
      </c>
      <c r="E1674" s="13" t="s">
        <v>405</v>
      </c>
      <c r="F1674"/>
      <c r="G1674">
        <v>2</v>
      </c>
      <c r="H1674">
        <v>1000</v>
      </c>
      <c r="J1674" cm="1">
        <f t="array" ref="J1674">_xlfn.SWITCH(B1674,1,75,2,61,3,49,4,37,5,25,6,13,7,4,8,1)</f>
        <v>1</v>
      </c>
      <c r="K1674" t="str" cm="1">
        <f t="array" ref="K1674">IFERROR(_xlfn.SWITCH(L1674,2,_xlfn.XLOOKUP(C1674,[1]ModifierDes!$B:$B,[1]ModifierDes!$C:$C),3,_xlfn.XLOOKUP(C1674,[1]StuntDes!$B:$B,[1]StuntDes!$C:$C)),"")</f>
        <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415</v>
      </c>
      <c r="D1675" t="s">
        <v>38</v>
      </c>
      <c r="E1675" s="13" t="s">
        <v>405</v>
      </c>
      <c r="F1675"/>
      <c r="G1675">
        <v>2</v>
      </c>
      <c r="H1675">
        <v>1000</v>
      </c>
      <c r="J1675" cm="1">
        <f t="array" ref="J1675">_xlfn.SWITCH(B1675,1,75,2,61,3,49,4,37,5,25,6,13,7,4,8,1)</f>
        <v>75</v>
      </c>
      <c r="K1675" t="str" cm="1">
        <f t="array" ref="K1675">IFERROR(_xlfn.SWITCH(L1675,2,_xlfn.XLOOKUP(C1675,[1]ModifierDes!$B:$B,[1]ModifierDes!$C:$C),3,_xlfn.XLOOKUP(C1675,[1]StuntDes!$B:$B,[1]StuntDes!$C:$C)),"")</f>
        <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415</v>
      </c>
      <c r="D1676" t="s">
        <v>38</v>
      </c>
      <c r="E1676" s="13" t="s">
        <v>405</v>
      </c>
      <c r="F1676"/>
      <c r="G1676">
        <v>2</v>
      </c>
      <c r="H1676">
        <v>1000</v>
      </c>
      <c r="J1676" cm="1">
        <f t="array" ref="J1676">_xlfn.SWITCH(B1676,1,75,2,61,3,49,4,37,5,25,6,13,7,4,8,1)</f>
        <v>61</v>
      </c>
      <c r="K1676" t="str" cm="1">
        <f t="array" ref="K1676">IFERROR(_xlfn.SWITCH(L1676,2,_xlfn.XLOOKUP(C1676,[1]ModifierDes!$B:$B,[1]ModifierDes!$C:$C),3,_xlfn.XLOOKUP(C1676,[1]StuntDes!$B:$B,[1]StuntDes!$C:$C)),"")</f>
        <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415</v>
      </c>
      <c r="D1677" t="s">
        <v>38</v>
      </c>
      <c r="E1677" s="13" t="s">
        <v>405</v>
      </c>
      <c r="F1677"/>
      <c r="G1677">
        <v>2</v>
      </c>
      <c r="H1677">
        <v>1000</v>
      </c>
      <c r="J1677" cm="1">
        <f t="array" ref="J1677">_xlfn.SWITCH(B1677,1,75,2,61,3,49,4,37,5,25,6,13,7,4,8,1)</f>
        <v>49</v>
      </c>
      <c r="K1677" t="str" cm="1">
        <f t="array" ref="K1677">IFERROR(_xlfn.SWITCH(L1677,2,_xlfn.XLOOKUP(C1677,[1]ModifierDes!$B:$B,[1]ModifierDes!$C:$C),3,_xlfn.XLOOKUP(C1677,[1]StuntDes!$B:$B,[1]StuntDes!$C:$C)),"")</f>
        <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415</v>
      </c>
      <c r="D1678" t="s">
        <v>38</v>
      </c>
      <c r="E1678" s="13" t="s">
        <v>405</v>
      </c>
      <c r="F1678"/>
      <c r="G1678">
        <v>2</v>
      </c>
      <c r="H1678">
        <v>1000</v>
      </c>
      <c r="J1678" cm="1">
        <f t="array" ref="J1678">_xlfn.SWITCH(B1678,1,75,2,61,3,49,4,37,5,25,6,13,7,4,8,1)</f>
        <v>37</v>
      </c>
      <c r="K1678" t="str" cm="1">
        <f t="array" ref="K1678">IFERROR(_xlfn.SWITCH(L1678,2,_xlfn.XLOOKUP(C1678,[1]ModifierDes!$B:$B,[1]ModifierDes!$C:$C),3,_xlfn.XLOOKUP(C1678,[1]StuntDes!$B:$B,[1]StuntDes!$C:$C)),"")</f>
        <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415</v>
      </c>
      <c r="D1679" t="s">
        <v>38</v>
      </c>
      <c r="E1679" s="13" t="s">
        <v>405</v>
      </c>
      <c r="F1679"/>
      <c r="G1679">
        <v>2</v>
      </c>
      <c r="H1679">
        <v>1000</v>
      </c>
      <c r="J1679" cm="1">
        <f t="array" ref="J1679">_xlfn.SWITCH(B1679,1,75,2,61,3,49,4,37,5,25,6,13,7,4,8,1)</f>
        <v>25</v>
      </c>
      <c r="K1679" t="str" cm="1">
        <f t="array" ref="K1679">IFERROR(_xlfn.SWITCH(L1679,2,_xlfn.XLOOKUP(C1679,[1]ModifierDes!$B:$B,[1]ModifierDes!$C:$C),3,_xlfn.XLOOKUP(C1679,[1]StuntDes!$B:$B,[1]StuntDes!$C:$C)),"")</f>
        <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415</v>
      </c>
      <c r="D1680" t="s">
        <v>38</v>
      </c>
      <c r="E1680" s="13" t="s">
        <v>405</v>
      </c>
      <c r="F1680"/>
      <c r="G1680">
        <v>2</v>
      </c>
      <c r="H1680">
        <v>1000</v>
      </c>
      <c r="J1680" cm="1">
        <f t="array" ref="J1680">_xlfn.SWITCH(B1680,1,75,2,61,3,49,4,37,5,25,6,13,7,4,8,1)</f>
        <v>13</v>
      </c>
      <c r="K1680" t="str" cm="1">
        <f t="array" ref="K1680">IFERROR(_xlfn.SWITCH(L1680,2,_xlfn.XLOOKUP(C1680,[1]ModifierDes!$B:$B,[1]ModifierDes!$C:$C),3,_xlfn.XLOOKUP(C1680,[1]StuntDes!$B:$B,[1]StuntDes!$C:$C)),"")</f>
        <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415</v>
      </c>
      <c r="D1681" t="s">
        <v>38</v>
      </c>
      <c r="E1681" s="13" t="s">
        <v>405</v>
      </c>
      <c r="F1681"/>
      <c r="G1681">
        <v>2</v>
      </c>
      <c r="H1681">
        <v>1000</v>
      </c>
      <c r="J1681" cm="1">
        <f t="array" ref="J1681">_xlfn.SWITCH(B1681,1,75,2,61,3,49,4,37,5,25,6,13,7,4,8,1)</f>
        <v>4</v>
      </c>
      <c r="K1681" t="str" cm="1">
        <f t="array" ref="K1681">IFERROR(_xlfn.SWITCH(L1681,2,_xlfn.XLOOKUP(C1681,[1]ModifierDes!$B:$B,[1]ModifierDes!$C:$C),3,_xlfn.XLOOKUP(C1681,[1]StuntDes!$B:$B,[1]StuntDes!$C:$C)),"")</f>
        <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415</v>
      </c>
      <c r="D1682" t="s">
        <v>38</v>
      </c>
      <c r="E1682" s="13" t="s">
        <v>405</v>
      </c>
      <c r="F1682"/>
      <c r="G1682">
        <v>2</v>
      </c>
      <c r="H1682">
        <v>1000</v>
      </c>
      <c r="J1682" cm="1">
        <f t="array" ref="J1682">_xlfn.SWITCH(B1682,1,75,2,61,3,49,4,37,5,25,6,13,7,4,8,1)</f>
        <v>1</v>
      </c>
      <c r="K1682" t="str" cm="1">
        <f t="array" ref="K1682">IFERROR(_xlfn.SWITCH(L1682,2,_xlfn.XLOOKUP(C1682,[1]ModifierDes!$B:$B,[1]ModifierDes!$C:$C),3,_xlfn.XLOOKUP(C1682,[1]StuntDes!$B:$B,[1]StuntDes!$C:$C)),"")</f>
        <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416</v>
      </c>
      <c r="D1683" t="s">
        <v>38</v>
      </c>
      <c r="E1683" s="13" t="s">
        <v>405</v>
      </c>
      <c r="F1683"/>
      <c r="G1683">
        <v>2</v>
      </c>
      <c r="H1683">
        <v>1000</v>
      </c>
      <c r="J1683" cm="1">
        <f t="array" ref="J1683">_xlfn.SWITCH(B1683,1,75,2,61,3,49,4,37,5,25,6,13,7,4,8,1)</f>
        <v>75</v>
      </c>
      <c r="K1683" t="str" cm="1">
        <f t="array" ref="K1683">IFERROR(_xlfn.SWITCH(L1683,2,_xlfn.XLOOKUP(C1683,[1]ModifierDes!$B:$B,[1]ModifierDes!$C:$C),3,_xlfn.XLOOKUP(C1683,[1]StuntDes!$B:$B,[1]StuntDes!$C:$C)),"")</f>
        <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416</v>
      </c>
      <c r="D1684" t="s">
        <v>38</v>
      </c>
      <c r="E1684" s="13" t="s">
        <v>405</v>
      </c>
      <c r="F1684"/>
      <c r="G1684">
        <v>2</v>
      </c>
      <c r="H1684">
        <v>1000</v>
      </c>
      <c r="J1684" cm="1">
        <f t="array" ref="J1684">_xlfn.SWITCH(B1684,1,75,2,61,3,49,4,37,5,25,6,13,7,4,8,1)</f>
        <v>61</v>
      </c>
      <c r="K1684" t="str" cm="1">
        <f t="array" ref="K1684">IFERROR(_xlfn.SWITCH(L1684,2,_xlfn.XLOOKUP(C1684,[1]ModifierDes!$B:$B,[1]ModifierDes!$C:$C),3,_xlfn.XLOOKUP(C1684,[1]StuntDes!$B:$B,[1]StuntDes!$C:$C)),"")</f>
        <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416</v>
      </c>
      <c r="D1685" t="s">
        <v>38</v>
      </c>
      <c r="E1685" s="13" t="s">
        <v>405</v>
      </c>
      <c r="F1685"/>
      <c r="G1685">
        <v>2</v>
      </c>
      <c r="H1685">
        <v>1000</v>
      </c>
      <c r="J1685" cm="1">
        <f t="array" ref="J1685">_xlfn.SWITCH(B1685,1,75,2,61,3,49,4,37,5,25,6,13,7,4,8,1)</f>
        <v>49</v>
      </c>
      <c r="K1685" t="str" cm="1">
        <f t="array" ref="K1685">IFERROR(_xlfn.SWITCH(L1685,2,_xlfn.XLOOKUP(C1685,[1]ModifierDes!$B:$B,[1]ModifierDes!$C:$C),3,_xlfn.XLOOKUP(C1685,[1]StuntDes!$B:$B,[1]StuntDes!$C:$C)),"")</f>
        <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416</v>
      </c>
      <c r="D1686" t="s">
        <v>38</v>
      </c>
      <c r="E1686" s="13" t="s">
        <v>405</v>
      </c>
      <c r="F1686"/>
      <c r="G1686">
        <v>2</v>
      </c>
      <c r="H1686">
        <v>1000</v>
      </c>
      <c r="J1686" cm="1">
        <f t="array" ref="J1686">_xlfn.SWITCH(B1686,1,75,2,61,3,49,4,37,5,25,6,13,7,4,8,1)</f>
        <v>37</v>
      </c>
      <c r="K1686" t="str" cm="1">
        <f t="array" ref="K1686">IFERROR(_xlfn.SWITCH(L1686,2,_xlfn.XLOOKUP(C1686,[1]ModifierDes!$B:$B,[1]ModifierDes!$C:$C),3,_xlfn.XLOOKUP(C1686,[1]StuntDes!$B:$B,[1]StuntDes!$C:$C)),"")</f>
        <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416</v>
      </c>
      <c r="D1687" t="s">
        <v>38</v>
      </c>
      <c r="E1687" s="13" t="s">
        <v>405</v>
      </c>
      <c r="F1687"/>
      <c r="G1687">
        <v>2</v>
      </c>
      <c r="H1687">
        <v>1000</v>
      </c>
      <c r="J1687" cm="1">
        <f t="array" ref="J1687">_xlfn.SWITCH(B1687,1,75,2,61,3,49,4,37,5,25,6,13,7,4,8,1)</f>
        <v>25</v>
      </c>
      <c r="K1687" t="str" cm="1">
        <f t="array" ref="K1687">IFERROR(_xlfn.SWITCH(L1687,2,_xlfn.XLOOKUP(C1687,[1]ModifierDes!$B:$B,[1]ModifierDes!$C:$C),3,_xlfn.XLOOKUP(C1687,[1]StuntDes!$B:$B,[1]StuntDes!$C:$C)),"")</f>
        <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416</v>
      </c>
      <c r="D1688" t="s">
        <v>38</v>
      </c>
      <c r="E1688" s="13" t="s">
        <v>405</v>
      </c>
      <c r="F1688"/>
      <c r="G1688">
        <v>2</v>
      </c>
      <c r="H1688">
        <v>1000</v>
      </c>
      <c r="J1688" cm="1">
        <f t="array" ref="J1688">_xlfn.SWITCH(B1688,1,75,2,61,3,49,4,37,5,25,6,13,7,4,8,1)</f>
        <v>13</v>
      </c>
      <c r="K1688" t="str" cm="1">
        <f t="array" ref="K1688">IFERROR(_xlfn.SWITCH(L1688,2,_xlfn.XLOOKUP(C1688,[1]ModifierDes!$B:$B,[1]ModifierDes!$C:$C),3,_xlfn.XLOOKUP(C1688,[1]StuntDes!$B:$B,[1]StuntDes!$C:$C)),"")</f>
        <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416</v>
      </c>
      <c r="D1689" t="s">
        <v>38</v>
      </c>
      <c r="E1689" s="13" t="s">
        <v>405</v>
      </c>
      <c r="F1689"/>
      <c r="G1689">
        <v>2</v>
      </c>
      <c r="H1689">
        <v>1000</v>
      </c>
      <c r="J1689" cm="1">
        <f t="array" ref="J1689">_xlfn.SWITCH(B1689,1,75,2,61,3,49,4,37,5,25,6,13,7,4,8,1)</f>
        <v>4</v>
      </c>
      <c r="K1689" t="str" cm="1">
        <f t="array" ref="K1689">IFERROR(_xlfn.SWITCH(L1689,2,_xlfn.XLOOKUP(C1689,[1]ModifierDes!$B:$B,[1]ModifierDes!$C:$C),3,_xlfn.XLOOKUP(C1689,[1]StuntDes!$B:$B,[1]StuntDes!$C:$C)),"")</f>
        <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416</v>
      </c>
      <c r="D1690" t="s">
        <v>38</v>
      </c>
      <c r="E1690" s="13" t="s">
        <v>405</v>
      </c>
      <c r="F1690"/>
      <c r="G1690">
        <v>2</v>
      </c>
      <c r="H1690">
        <v>1000</v>
      </c>
      <c r="J1690" cm="1">
        <f t="array" ref="J1690">_xlfn.SWITCH(B1690,1,75,2,61,3,49,4,37,5,25,6,13,7,4,8,1)</f>
        <v>1</v>
      </c>
      <c r="K1690" t="str" cm="1">
        <f t="array" ref="K1690">IFERROR(_xlfn.SWITCH(L1690,2,_xlfn.XLOOKUP(C1690,[1]ModifierDes!$B:$B,[1]ModifierDes!$C:$C),3,_xlfn.XLOOKUP(C1690,[1]StuntDes!$B:$B,[1]StuntDes!$C:$C)),"")</f>
        <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417</v>
      </c>
      <c r="D1691" t="s">
        <v>38</v>
      </c>
      <c r="E1691" s="13" t="s">
        <v>405</v>
      </c>
      <c r="F1691"/>
      <c r="G1691">
        <v>2</v>
      </c>
      <c r="H1691">
        <v>1000</v>
      </c>
      <c r="J1691" cm="1">
        <f t="array" ref="J1691">_xlfn.SWITCH(B1691,1,75,2,61,3,49,4,37,5,25,6,13,7,4,8,1)</f>
        <v>75</v>
      </c>
      <c r="K1691" t="str" cm="1">
        <f t="array" ref="K1691">IFERROR(_xlfn.SWITCH(L1691,2,_xlfn.XLOOKUP(C1691,[1]ModifierDes!$B:$B,[1]ModifierDes!$C:$C),3,_xlfn.XLOOKUP(C1691,[1]StuntDes!$B:$B,[1]StuntDes!$C:$C)),"")</f>
        <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417</v>
      </c>
      <c r="D1692" t="s">
        <v>38</v>
      </c>
      <c r="E1692" s="13" t="s">
        <v>405</v>
      </c>
      <c r="F1692"/>
      <c r="G1692">
        <v>2</v>
      </c>
      <c r="H1692">
        <v>1000</v>
      </c>
      <c r="J1692" cm="1">
        <f t="array" ref="J1692">_xlfn.SWITCH(B1692,1,75,2,61,3,49,4,37,5,25,6,13,7,4,8,1)</f>
        <v>61</v>
      </c>
      <c r="K1692" t="str" cm="1">
        <f t="array" ref="K1692">IFERROR(_xlfn.SWITCH(L1692,2,_xlfn.XLOOKUP(C1692,[1]ModifierDes!$B:$B,[1]ModifierDes!$C:$C),3,_xlfn.XLOOKUP(C1692,[1]StuntDes!$B:$B,[1]StuntDes!$C:$C)),"")</f>
        <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417</v>
      </c>
      <c r="D1693" t="s">
        <v>38</v>
      </c>
      <c r="E1693" s="13" t="s">
        <v>405</v>
      </c>
      <c r="F1693"/>
      <c r="G1693">
        <v>2</v>
      </c>
      <c r="H1693">
        <v>1000</v>
      </c>
      <c r="J1693" cm="1">
        <f t="array" ref="J1693">_xlfn.SWITCH(B1693,1,75,2,61,3,49,4,37,5,25,6,13,7,4,8,1)</f>
        <v>49</v>
      </c>
      <c r="K1693" t="str" cm="1">
        <f t="array" ref="K1693">IFERROR(_xlfn.SWITCH(L1693,2,_xlfn.XLOOKUP(C1693,[1]ModifierDes!$B:$B,[1]ModifierDes!$C:$C),3,_xlfn.XLOOKUP(C1693,[1]StuntDes!$B:$B,[1]StuntDes!$C:$C)),"")</f>
        <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417</v>
      </c>
      <c r="D1694" t="s">
        <v>38</v>
      </c>
      <c r="E1694" s="13" t="s">
        <v>405</v>
      </c>
      <c r="F1694"/>
      <c r="G1694">
        <v>2</v>
      </c>
      <c r="H1694">
        <v>1000</v>
      </c>
      <c r="J1694" cm="1">
        <f t="array" ref="J1694">_xlfn.SWITCH(B1694,1,75,2,61,3,49,4,37,5,25,6,13,7,4,8,1)</f>
        <v>37</v>
      </c>
      <c r="K1694" t="str" cm="1">
        <f t="array" ref="K1694">IFERROR(_xlfn.SWITCH(L1694,2,_xlfn.XLOOKUP(C1694,[1]ModifierDes!$B:$B,[1]ModifierDes!$C:$C),3,_xlfn.XLOOKUP(C1694,[1]StuntDes!$B:$B,[1]StuntDes!$C:$C)),"")</f>
        <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417</v>
      </c>
      <c r="D1695" t="s">
        <v>38</v>
      </c>
      <c r="E1695" s="13" t="s">
        <v>405</v>
      </c>
      <c r="F1695"/>
      <c r="G1695">
        <v>2</v>
      </c>
      <c r="H1695">
        <v>1000</v>
      </c>
      <c r="J1695" cm="1">
        <f t="array" ref="J1695">_xlfn.SWITCH(B1695,1,75,2,61,3,49,4,37,5,25,6,13,7,4,8,1)</f>
        <v>25</v>
      </c>
      <c r="K1695" t="str" cm="1">
        <f t="array" ref="K1695">IFERROR(_xlfn.SWITCH(L1695,2,_xlfn.XLOOKUP(C1695,[1]ModifierDes!$B:$B,[1]ModifierDes!$C:$C),3,_xlfn.XLOOKUP(C1695,[1]StuntDes!$B:$B,[1]StuntDes!$C:$C)),"")</f>
        <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417</v>
      </c>
      <c r="D1696" t="s">
        <v>38</v>
      </c>
      <c r="E1696" s="13" t="s">
        <v>405</v>
      </c>
      <c r="F1696"/>
      <c r="G1696">
        <v>2</v>
      </c>
      <c r="H1696">
        <v>1000</v>
      </c>
      <c r="J1696" cm="1">
        <f t="array" ref="J1696">_xlfn.SWITCH(B1696,1,75,2,61,3,49,4,37,5,25,6,13,7,4,8,1)</f>
        <v>13</v>
      </c>
      <c r="K1696" t="str" cm="1">
        <f t="array" ref="K1696">IFERROR(_xlfn.SWITCH(L1696,2,_xlfn.XLOOKUP(C1696,[1]ModifierDes!$B:$B,[1]ModifierDes!$C:$C),3,_xlfn.XLOOKUP(C1696,[1]StuntDes!$B:$B,[1]StuntDes!$C:$C)),"")</f>
        <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417</v>
      </c>
      <c r="D1697" t="s">
        <v>38</v>
      </c>
      <c r="E1697" s="13" t="s">
        <v>405</v>
      </c>
      <c r="F1697"/>
      <c r="G1697">
        <v>2</v>
      </c>
      <c r="H1697">
        <v>1000</v>
      </c>
      <c r="J1697" cm="1">
        <f t="array" ref="J1697">_xlfn.SWITCH(B1697,1,75,2,61,3,49,4,37,5,25,6,13,7,4,8,1)</f>
        <v>4</v>
      </c>
      <c r="K1697" t="str" cm="1">
        <f t="array" ref="K1697">IFERROR(_xlfn.SWITCH(L1697,2,_xlfn.XLOOKUP(C1697,[1]ModifierDes!$B:$B,[1]ModifierDes!$C:$C),3,_xlfn.XLOOKUP(C1697,[1]StuntDes!$B:$B,[1]StuntDes!$C:$C)),"")</f>
        <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417</v>
      </c>
      <c r="D1698" t="s">
        <v>38</v>
      </c>
      <c r="E1698" s="13" t="s">
        <v>405</v>
      </c>
      <c r="F1698"/>
      <c r="G1698">
        <v>2</v>
      </c>
      <c r="H1698">
        <v>1000</v>
      </c>
      <c r="J1698" cm="1">
        <f t="array" ref="J1698">_xlfn.SWITCH(B1698,1,75,2,61,3,49,4,37,5,25,6,13,7,4,8,1)</f>
        <v>1</v>
      </c>
      <c r="K1698" t="str" cm="1">
        <f t="array" ref="K1698">IFERROR(_xlfn.SWITCH(L1698,2,_xlfn.XLOOKUP(C1698,[1]ModifierDes!$B:$B,[1]ModifierDes!$C:$C),3,_xlfn.XLOOKUP(C1698,[1]StuntDes!$B:$B,[1]StuntDes!$C:$C)),"")</f>
        <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418</v>
      </c>
      <c r="D1699" t="s">
        <v>38</v>
      </c>
      <c r="E1699" s="13" t="s">
        <v>405</v>
      </c>
      <c r="F1699"/>
      <c r="G1699">
        <v>2</v>
      </c>
      <c r="H1699">
        <v>1000</v>
      </c>
      <c r="J1699" cm="1">
        <f t="array" ref="J1699">_xlfn.SWITCH(B1699,1,75,2,61,3,49,4,37,5,25,6,13,7,4,8,1)</f>
        <v>75</v>
      </c>
      <c r="K1699" t="str" cm="1">
        <f t="array" ref="K1699">IFERROR(_xlfn.SWITCH(L1699,2,_xlfn.XLOOKUP(C1699,[1]ModifierDes!$B:$B,[1]ModifierDes!$C:$C),3,_xlfn.XLOOKUP(C1699,[1]StuntDes!$B:$B,[1]StuntDes!$C:$C)),"")</f>
        <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418</v>
      </c>
      <c r="D1700" t="s">
        <v>38</v>
      </c>
      <c r="E1700" s="13" t="s">
        <v>405</v>
      </c>
      <c r="F1700"/>
      <c r="G1700">
        <v>2</v>
      </c>
      <c r="H1700">
        <v>1000</v>
      </c>
      <c r="J1700" cm="1">
        <f t="array" ref="J1700">_xlfn.SWITCH(B1700,1,75,2,61,3,49,4,37,5,25,6,13,7,4,8,1)</f>
        <v>61</v>
      </c>
      <c r="K1700" t="str" cm="1">
        <f t="array" ref="K1700">IFERROR(_xlfn.SWITCH(L1700,2,_xlfn.XLOOKUP(C1700,[1]ModifierDes!$B:$B,[1]ModifierDes!$C:$C),3,_xlfn.XLOOKUP(C1700,[1]StuntDes!$B:$B,[1]StuntDes!$C:$C)),"")</f>
        <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418</v>
      </c>
      <c r="D1701" t="s">
        <v>38</v>
      </c>
      <c r="E1701" s="13" t="s">
        <v>405</v>
      </c>
      <c r="F1701"/>
      <c r="G1701">
        <v>2</v>
      </c>
      <c r="H1701">
        <v>1000</v>
      </c>
      <c r="J1701" cm="1">
        <f t="array" ref="J1701">_xlfn.SWITCH(B1701,1,75,2,61,3,49,4,37,5,25,6,13,7,4,8,1)</f>
        <v>49</v>
      </c>
      <c r="K1701" t="str" cm="1">
        <f t="array" ref="K1701">IFERROR(_xlfn.SWITCH(L1701,2,_xlfn.XLOOKUP(C1701,[1]ModifierDes!$B:$B,[1]ModifierDes!$C:$C),3,_xlfn.XLOOKUP(C1701,[1]StuntDes!$B:$B,[1]StuntDes!$C:$C)),"")</f>
        <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418</v>
      </c>
      <c r="D1702" t="s">
        <v>38</v>
      </c>
      <c r="E1702" s="13" t="s">
        <v>405</v>
      </c>
      <c r="F1702"/>
      <c r="G1702">
        <v>2</v>
      </c>
      <c r="H1702">
        <v>1000</v>
      </c>
      <c r="J1702" cm="1">
        <f t="array" ref="J1702">_xlfn.SWITCH(B1702,1,75,2,61,3,49,4,37,5,25,6,13,7,4,8,1)</f>
        <v>37</v>
      </c>
      <c r="K1702" t="str" cm="1">
        <f t="array" ref="K1702">IFERROR(_xlfn.SWITCH(L1702,2,_xlfn.XLOOKUP(C1702,[1]ModifierDes!$B:$B,[1]ModifierDes!$C:$C),3,_xlfn.XLOOKUP(C1702,[1]StuntDes!$B:$B,[1]StuntDes!$C:$C)),"")</f>
        <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418</v>
      </c>
      <c r="D1703" t="s">
        <v>38</v>
      </c>
      <c r="E1703" s="13" t="s">
        <v>405</v>
      </c>
      <c r="F1703"/>
      <c r="G1703">
        <v>2</v>
      </c>
      <c r="H1703">
        <v>1000</v>
      </c>
      <c r="J1703" cm="1">
        <f t="array" ref="J1703">_xlfn.SWITCH(B1703,1,75,2,61,3,49,4,37,5,25,6,13,7,4,8,1)</f>
        <v>25</v>
      </c>
      <c r="K1703" t="str" cm="1">
        <f t="array" ref="K1703">IFERROR(_xlfn.SWITCH(L1703,2,_xlfn.XLOOKUP(C1703,[1]ModifierDes!$B:$B,[1]ModifierDes!$C:$C),3,_xlfn.XLOOKUP(C1703,[1]StuntDes!$B:$B,[1]StuntDes!$C:$C)),"")</f>
        <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418</v>
      </c>
      <c r="D1704" t="s">
        <v>38</v>
      </c>
      <c r="E1704" s="13" t="s">
        <v>405</v>
      </c>
      <c r="F1704"/>
      <c r="G1704">
        <v>2</v>
      </c>
      <c r="H1704">
        <v>1000</v>
      </c>
      <c r="J1704" cm="1">
        <f t="array" ref="J1704">_xlfn.SWITCH(B1704,1,75,2,61,3,49,4,37,5,25,6,13,7,4,8,1)</f>
        <v>13</v>
      </c>
      <c r="K1704" t="str" cm="1">
        <f t="array" ref="K1704">IFERROR(_xlfn.SWITCH(L1704,2,_xlfn.XLOOKUP(C1704,[1]ModifierDes!$B:$B,[1]ModifierDes!$C:$C),3,_xlfn.XLOOKUP(C1704,[1]StuntDes!$B:$B,[1]StuntDes!$C:$C)),"")</f>
        <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418</v>
      </c>
      <c r="D1705" t="s">
        <v>38</v>
      </c>
      <c r="E1705" s="13" t="s">
        <v>405</v>
      </c>
      <c r="F1705"/>
      <c r="G1705">
        <v>2</v>
      </c>
      <c r="H1705">
        <v>1000</v>
      </c>
      <c r="J1705" cm="1">
        <f t="array" ref="J1705">_xlfn.SWITCH(B1705,1,75,2,61,3,49,4,37,5,25,6,13,7,4,8,1)</f>
        <v>4</v>
      </c>
      <c r="K1705" t="str" cm="1">
        <f t="array" ref="K1705">IFERROR(_xlfn.SWITCH(L1705,2,_xlfn.XLOOKUP(C1705,[1]ModifierDes!$B:$B,[1]ModifierDes!$C:$C),3,_xlfn.XLOOKUP(C1705,[1]StuntDes!$B:$B,[1]StuntDes!$C:$C)),"")</f>
        <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418</v>
      </c>
      <c r="D1706" t="s">
        <v>38</v>
      </c>
      <c r="E1706" s="13" t="s">
        <v>405</v>
      </c>
      <c r="F1706"/>
      <c r="G1706">
        <v>2</v>
      </c>
      <c r="H1706">
        <v>1000</v>
      </c>
      <c r="J1706" cm="1">
        <f t="array" ref="J1706">_xlfn.SWITCH(B1706,1,75,2,61,3,49,4,37,5,25,6,13,7,4,8,1)</f>
        <v>1</v>
      </c>
      <c r="K1706" t="str" cm="1">
        <f t="array" ref="K1706">IFERROR(_xlfn.SWITCH(L1706,2,_xlfn.XLOOKUP(C1706,[1]ModifierDes!$B:$B,[1]ModifierDes!$C:$C),3,_xlfn.XLOOKUP(C1706,[1]StuntDes!$B:$B,[1]StuntDes!$C:$C)),"")</f>
        <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419</v>
      </c>
      <c r="D1707" t="s">
        <v>38</v>
      </c>
      <c r="E1707" s="13" t="s">
        <v>405</v>
      </c>
      <c r="F1707"/>
      <c r="G1707">
        <v>2</v>
      </c>
      <c r="H1707">
        <v>1000</v>
      </c>
      <c r="J1707" cm="1">
        <f t="array" ref="J1707">_xlfn.SWITCH(B1707,1,75,2,61,3,49,4,37,5,25,6,13,7,4,8,1)</f>
        <v>75</v>
      </c>
      <c r="K1707" t="str" cm="1">
        <f t="array" ref="K1707">IFERROR(_xlfn.SWITCH(L1707,2,_xlfn.XLOOKUP(C1707,[1]ModifierDes!$B:$B,[1]ModifierDes!$C:$C),3,_xlfn.XLOOKUP(C1707,[1]StuntDes!$B:$B,[1]StuntDes!$C:$C)),"")</f>
        <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419</v>
      </c>
      <c r="D1708" t="s">
        <v>38</v>
      </c>
      <c r="E1708" s="13" t="s">
        <v>405</v>
      </c>
      <c r="F1708"/>
      <c r="G1708">
        <v>2</v>
      </c>
      <c r="H1708">
        <v>1000</v>
      </c>
      <c r="J1708" cm="1">
        <f t="array" ref="J1708">_xlfn.SWITCH(B1708,1,75,2,61,3,49,4,37,5,25,6,13,7,4,8,1)</f>
        <v>61</v>
      </c>
      <c r="K1708" t="str" cm="1">
        <f t="array" ref="K1708">IFERROR(_xlfn.SWITCH(L1708,2,_xlfn.XLOOKUP(C1708,[1]ModifierDes!$B:$B,[1]ModifierDes!$C:$C),3,_xlfn.XLOOKUP(C1708,[1]StuntDes!$B:$B,[1]StuntDes!$C:$C)),"")</f>
        <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419</v>
      </c>
      <c r="D1709" t="s">
        <v>38</v>
      </c>
      <c r="E1709" s="13" t="s">
        <v>405</v>
      </c>
      <c r="F1709"/>
      <c r="G1709">
        <v>2</v>
      </c>
      <c r="H1709">
        <v>1000</v>
      </c>
      <c r="J1709" cm="1">
        <f t="array" ref="J1709">_xlfn.SWITCH(B1709,1,75,2,61,3,49,4,37,5,25,6,13,7,4,8,1)</f>
        <v>49</v>
      </c>
      <c r="K1709" t="str" cm="1">
        <f t="array" ref="K1709">IFERROR(_xlfn.SWITCH(L1709,2,_xlfn.XLOOKUP(C1709,[1]ModifierDes!$B:$B,[1]ModifierDes!$C:$C),3,_xlfn.XLOOKUP(C1709,[1]StuntDes!$B:$B,[1]StuntDes!$C:$C)),"")</f>
        <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419</v>
      </c>
      <c r="D1710" t="s">
        <v>38</v>
      </c>
      <c r="E1710" s="13" t="s">
        <v>405</v>
      </c>
      <c r="F1710"/>
      <c r="G1710">
        <v>2</v>
      </c>
      <c r="H1710">
        <v>1000</v>
      </c>
      <c r="J1710" cm="1">
        <f t="array" ref="J1710">_xlfn.SWITCH(B1710,1,75,2,61,3,49,4,37,5,25,6,13,7,4,8,1)</f>
        <v>37</v>
      </c>
      <c r="K1710" t="str" cm="1">
        <f t="array" ref="K1710">IFERROR(_xlfn.SWITCH(L1710,2,_xlfn.XLOOKUP(C1710,[1]ModifierDes!$B:$B,[1]ModifierDes!$C:$C),3,_xlfn.XLOOKUP(C1710,[1]StuntDes!$B:$B,[1]StuntDes!$C:$C)),"")</f>
        <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419</v>
      </c>
      <c r="D1711" t="s">
        <v>38</v>
      </c>
      <c r="E1711" s="13" t="s">
        <v>405</v>
      </c>
      <c r="F1711"/>
      <c r="G1711">
        <v>2</v>
      </c>
      <c r="H1711">
        <v>1000</v>
      </c>
      <c r="J1711" cm="1">
        <f t="array" ref="J1711">_xlfn.SWITCH(B1711,1,75,2,61,3,49,4,37,5,25,6,13,7,4,8,1)</f>
        <v>25</v>
      </c>
      <c r="K1711" t="str" cm="1">
        <f t="array" ref="K1711">IFERROR(_xlfn.SWITCH(L1711,2,_xlfn.XLOOKUP(C1711,[1]ModifierDes!$B:$B,[1]ModifierDes!$C:$C),3,_xlfn.XLOOKUP(C1711,[1]StuntDes!$B:$B,[1]StuntDes!$C:$C)),"")</f>
        <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419</v>
      </c>
      <c r="D1712" t="s">
        <v>38</v>
      </c>
      <c r="E1712" s="13" t="s">
        <v>405</v>
      </c>
      <c r="F1712"/>
      <c r="G1712">
        <v>2</v>
      </c>
      <c r="H1712">
        <v>1000</v>
      </c>
      <c r="J1712" cm="1">
        <f t="array" ref="J1712">_xlfn.SWITCH(B1712,1,75,2,61,3,49,4,37,5,25,6,13,7,4,8,1)</f>
        <v>13</v>
      </c>
      <c r="K1712" t="str" cm="1">
        <f t="array" ref="K1712">IFERROR(_xlfn.SWITCH(L1712,2,_xlfn.XLOOKUP(C1712,[1]ModifierDes!$B:$B,[1]ModifierDes!$C:$C),3,_xlfn.XLOOKUP(C1712,[1]StuntDes!$B:$B,[1]StuntDes!$C:$C)),"")</f>
        <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419</v>
      </c>
      <c r="D1713" t="s">
        <v>38</v>
      </c>
      <c r="E1713" s="13" t="s">
        <v>405</v>
      </c>
      <c r="F1713"/>
      <c r="G1713">
        <v>2</v>
      </c>
      <c r="H1713">
        <v>1000</v>
      </c>
      <c r="J1713" cm="1">
        <f t="array" ref="J1713">_xlfn.SWITCH(B1713,1,75,2,61,3,49,4,37,5,25,6,13,7,4,8,1)</f>
        <v>4</v>
      </c>
      <c r="K1713" t="str" cm="1">
        <f t="array" ref="K1713">IFERROR(_xlfn.SWITCH(L1713,2,_xlfn.XLOOKUP(C1713,[1]ModifierDes!$B:$B,[1]ModifierDes!$C:$C),3,_xlfn.XLOOKUP(C1713,[1]StuntDes!$B:$B,[1]StuntDes!$C:$C)),"")</f>
        <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419</v>
      </c>
      <c r="D1714" t="s">
        <v>38</v>
      </c>
      <c r="E1714" s="13" t="s">
        <v>405</v>
      </c>
      <c r="F1714"/>
      <c r="G1714">
        <v>2</v>
      </c>
      <c r="H1714">
        <v>1000</v>
      </c>
      <c r="J1714" cm="1">
        <f t="array" ref="J1714">_xlfn.SWITCH(B1714,1,75,2,61,3,49,4,37,5,25,6,13,7,4,8,1)</f>
        <v>1</v>
      </c>
      <c r="K1714" t="str" cm="1">
        <f t="array" ref="K1714">IFERROR(_xlfn.SWITCH(L1714,2,_xlfn.XLOOKUP(C1714,[1]ModifierDes!$B:$B,[1]ModifierDes!$C:$C),3,_xlfn.XLOOKUP(C1714,[1]StuntDes!$B:$B,[1]StuntDes!$C:$C)),"")</f>
        <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420</v>
      </c>
      <c r="D1715" t="s">
        <v>38</v>
      </c>
      <c r="E1715" s="13" t="s">
        <v>405</v>
      </c>
      <c r="G1715">
        <v>2</v>
      </c>
      <c r="H1715">
        <v>1000</v>
      </c>
      <c r="J1715" cm="1">
        <f t="array" ref="J1715">_xlfn.SWITCH(B1715,1,75,2,61,3,49,4,37,5,25,6,13,7,4,8,1)</f>
        <v>75</v>
      </c>
      <c r="K1715" t="str" cm="1">
        <f t="array" ref="K1715">IFERROR(_xlfn.SWITCH(L1715,2,_xlfn.XLOOKUP(C1715,[1]ModifierDes!$B:$B,[1]ModifierDes!$C:$C),3,_xlfn.XLOOKUP(C1715,[1]StuntDes!$B:$B,[1]StuntDes!$C:$C)),"")</f>
        <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420</v>
      </c>
      <c r="D1716" t="s">
        <v>38</v>
      </c>
      <c r="E1716" s="13" t="s">
        <v>405</v>
      </c>
      <c r="G1716">
        <v>2</v>
      </c>
      <c r="H1716">
        <v>1000</v>
      </c>
      <c r="J1716" cm="1">
        <f t="array" ref="J1716">_xlfn.SWITCH(B1716,1,75,2,61,3,49,4,37,5,25,6,13,7,4,8,1)</f>
        <v>61</v>
      </c>
      <c r="K1716" t="str" cm="1">
        <f t="array" ref="K1716">IFERROR(_xlfn.SWITCH(L1716,2,_xlfn.XLOOKUP(C1716,[1]ModifierDes!$B:$B,[1]ModifierDes!$C:$C),3,_xlfn.XLOOKUP(C1716,[1]StuntDes!$B:$B,[1]StuntDes!$C:$C)),"")</f>
        <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420</v>
      </c>
      <c r="D1717" t="s">
        <v>38</v>
      </c>
      <c r="E1717" s="13" t="s">
        <v>405</v>
      </c>
      <c r="G1717">
        <v>2</v>
      </c>
      <c r="H1717">
        <v>1000</v>
      </c>
      <c r="J1717" cm="1">
        <f t="array" ref="J1717">_xlfn.SWITCH(B1717,1,75,2,61,3,49,4,37,5,25,6,13,7,4,8,1)</f>
        <v>49</v>
      </c>
      <c r="K1717" t="str" cm="1">
        <f t="array" ref="K1717">IFERROR(_xlfn.SWITCH(L1717,2,_xlfn.XLOOKUP(C1717,[1]ModifierDes!$B:$B,[1]ModifierDes!$C:$C),3,_xlfn.XLOOKUP(C1717,[1]StuntDes!$B:$B,[1]StuntDes!$C:$C)),"")</f>
        <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420</v>
      </c>
      <c r="D1718" t="s">
        <v>38</v>
      </c>
      <c r="E1718" s="13" t="s">
        <v>405</v>
      </c>
      <c r="G1718">
        <v>2</v>
      </c>
      <c r="H1718">
        <v>1000</v>
      </c>
      <c r="J1718" cm="1">
        <f t="array" ref="J1718">_xlfn.SWITCH(B1718,1,75,2,61,3,49,4,37,5,25,6,13,7,4,8,1)</f>
        <v>37</v>
      </c>
      <c r="K1718" t="str" cm="1">
        <f t="array" ref="K1718">IFERROR(_xlfn.SWITCH(L1718,2,_xlfn.XLOOKUP(C1718,[1]ModifierDes!$B:$B,[1]ModifierDes!$C:$C),3,_xlfn.XLOOKUP(C1718,[1]StuntDes!$B:$B,[1]StuntDes!$C:$C)),"")</f>
        <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420</v>
      </c>
      <c r="D1719" t="s">
        <v>38</v>
      </c>
      <c r="E1719" s="13" t="s">
        <v>405</v>
      </c>
      <c r="G1719">
        <v>2</v>
      </c>
      <c r="H1719">
        <v>1000</v>
      </c>
      <c r="J1719" cm="1">
        <f t="array" ref="J1719">_xlfn.SWITCH(B1719,1,75,2,61,3,49,4,37,5,25,6,13,7,4,8,1)</f>
        <v>25</v>
      </c>
      <c r="K1719" t="str" cm="1">
        <f t="array" ref="K1719">IFERROR(_xlfn.SWITCH(L1719,2,_xlfn.XLOOKUP(C1719,[1]ModifierDes!$B:$B,[1]ModifierDes!$C:$C),3,_xlfn.XLOOKUP(C1719,[1]StuntDes!$B:$B,[1]StuntDes!$C:$C)),"")</f>
        <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420</v>
      </c>
      <c r="D1720" t="s">
        <v>38</v>
      </c>
      <c r="E1720" s="13" t="s">
        <v>405</v>
      </c>
      <c r="G1720">
        <v>2</v>
      </c>
      <c r="H1720">
        <v>1000</v>
      </c>
      <c r="J1720" cm="1">
        <f t="array" ref="J1720">_xlfn.SWITCH(B1720,1,75,2,61,3,49,4,37,5,25,6,13,7,4,8,1)</f>
        <v>13</v>
      </c>
      <c r="K1720" t="str" cm="1">
        <f t="array" ref="K1720">IFERROR(_xlfn.SWITCH(L1720,2,_xlfn.XLOOKUP(C1720,[1]ModifierDes!$B:$B,[1]ModifierDes!$C:$C),3,_xlfn.XLOOKUP(C1720,[1]StuntDes!$B:$B,[1]StuntDes!$C:$C)),"")</f>
        <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420</v>
      </c>
      <c r="D1721" t="s">
        <v>38</v>
      </c>
      <c r="E1721" s="13" t="s">
        <v>405</v>
      </c>
      <c r="G1721">
        <v>2</v>
      </c>
      <c r="H1721">
        <v>1000</v>
      </c>
      <c r="J1721" cm="1">
        <f t="array" ref="J1721">_xlfn.SWITCH(B1721,1,75,2,61,3,49,4,37,5,25,6,13,7,4,8,1)</f>
        <v>4</v>
      </c>
      <c r="K1721" t="str" cm="1">
        <f t="array" ref="K1721">IFERROR(_xlfn.SWITCH(L1721,2,_xlfn.XLOOKUP(C1721,[1]ModifierDes!$B:$B,[1]ModifierDes!$C:$C),3,_xlfn.XLOOKUP(C1721,[1]StuntDes!$B:$B,[1]StuntDes!$C:$C)),"")</f>
        <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420</v>
      </c>
      <c r="D1722" t="s">
        <v>38</v>
      </c>
      <c r="E1722" s="13" t="s">
        <v>405</v>
      </c>
      <c r="G1722">
        <v>2</v>
      </c>
      <c r="H1722">
        <v>1000</v>
      </c>
      <c r="J1722" cm="1">
        <f t="array" ref="J1722">_xlfn.SWITCH(B1722,1,75,2,61,3,49,4,37,5,25,6,13,7,4,8,1)</f>
        <v>1</v>
      </c>
      <c r="K1722" t="str" cm="1">
        <f t="array" ref="K1722">IFERROR(_xlfn.SWITCH(L1722,2,_xlfn.XLOOKUP(C1722,[1]ModifierDes!$B:$B,[1]ModifierDes!$C:$C),3,_xlfn.XLOOKUP(C1722,[1]StuntDes!$B:$B,[1]StuntDes!$C:$C)),"")</f>
        <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421</v>
      </c>
      <c r="D1723" t="s">
        <v>38</v>
      </c>
      <c r="E1723" s="13" t="s">
        <v>405</v>
      </c>
      <c r="G1723">
        <v>2</v>
      </c>
      <c r="H1723">
        <v>1000</v>
      </c>
      <c r="J1723" cm="1">
        <f t="array" ref="J1723">_xlfn.SWITCH(B1723,1,75,2,61,3,49,4,37,5,25,6,13,7,4,8,1)</f>
        <v>75</v>
      </c>
      <c r="K1723" t="str" cm="1">
        <f t="array" ref="K1723">IFERROR(_xlfn.SWITCH(L1723,2,_xlfn.XLOOKUP(C1723,[1]ModifierDes!$B:$B,[1]ModifierDes!$C:$C),3,_xlfn.XLOOKUP(C1723,[1]StuntDes!$B:$B,[1]StuntDes!$C:$C)),"")</f>
        <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421</v>
      </c>
      <c r="D1724" t="s">
        <v>38</v>
      </c>
      <c r="E1724" s="13" t="s">
        <v>405</v>
      </c>
      <c r="G1724">
        <v>2</v>
      </c>
      <c r="H1724">
        <v>1000</v>
      </c>
      <c r="J1724" cm="1">
        <f t="array" ref="J1724">_xlfn.SWITCH(B1724,1,75,2,61,3,49,4,37,5,25,6,13,7,4,8,1)</f>
        <v>61</v>
      </c>
      <c r="K1724" t="str" cm="1">
        <f t="array" ref="K1724">IFERROR(_xlfn.SWITCH(L1724,2,_xlfn.XLOOKUP(C1724,[1]ModifierDes!$B:$B,[1]ModifierDes!$C:$C),3,_xlfn.XLOOKUP(C1724,[1]StuntDes!$B:$B,[1]StuntDes!$C:$C)),"")</f>
        <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421</v>
      </c>
      <c r="D1725" t="s">
        <v>38</v>
      </c>
      <c r="E1725" s="13" t="s">
        <v>405</v>
      </c>
      <c r="G1725">
        <v>2</v>
      </c>
      <c r="H1725">
        <v>1000</v>
      </c>
      <c r="J1725" cm="1">
        <f t="array" ref="J1725">_xlfn.SWITCH(B1725,1,75,2,61,3,49,4,37,5,25,6,13,7,4,8,1)</f>
        <v>49</v>
      </c>
      <c r="K1725" t="str" cm="1">
        <f t="array" ref="K1725">IFERROR(_xlfn.SWITCH(L1725,2,_xlfn.XLOOKUP(C1725,[1]ModifierDes!$B:$B,[1]ModifierDes!$C:$C),3,_xlfn.XLOOKUP(C1725,[1]StuntDes!$B:$B,[1]StuntDes!$C:$C)),"")</f>
        <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421</v>
      </c>
      <c r="D1726" t="s">
        <v>38</v>
      </c>
      <c r="E1726" s="13" t="s">
        <v>405</v>
      </c>
      <c r="G1726">
        <v>2</v>
      </c>
      <c r="H1726">
        <v>1000</v>
      </c>
      <c r="J1726" cm="1">
        <f t="array" ref="J1726">_xlfn.SWITCH(B1726,1,75,2,61,3,49,4,37,5,25,6,13,7,4,8,1)</f>
        <v>37</v>
      </c>
      <c r="K1726" t="str" cm="1">
        <f t="array" ref="K1726">IFERROR(_xlfn.SWITCH(L1726,2,_xlfn.XLOOKUP(C1726,[1]ModifierDes!$B:$B,[1]ModifierDes!$C:$C),3,_xlfn.XLOOKUP(C1726,[1]StuntDes!$B:$B,[1]StuntDes!$C:$C)),"")</f>
        <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421</v>
      </c>
      <c r="D1727" t="s">
        <v>38</v>
      </c>
      <c r="E1727" s="13" t="s">
        <v>405</v>
      </c>
      <c r="G1727">
        <v>2</v>
      </c>
      <c r="H1727">
        <v>1000</v>
      </c>
      <c r="J1727" cm="1">
        <f t="array" ref="J1727">_xlfn.SWITCH(B1727,1,75,2,61,3,49,4,37,5,25,6,13,7,4,8,1)</f>
        <v>25</v>
      </c>
      <c r="K1727" t="str" cm="1">
        <f t="array" ref="K1727">IFERROR(_xlfn.SWITCH(L1727,2,_xlfn.XLOOKUP(C1727,[1]ModifierDes!$B:$B,[1]ModifierDes!$C:$C),3,_xlfn.XLOOKUP(C1727,[1]StuntDes!$B:$B,[1]StuntDes!$C:$C)),"")</f>
        <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421</v>
      </c>
      <c r="D1728" t="s">
        <v>38</v>
      </c>
      <c r="E1728" s="13" t="s">
        <v>405</v>
      </c>
      <c r="G1728">
        <v>2</v>
      </c>
      <c r="H1728">
        <v>1000</v>
      </c>
      <c r="J1728" cm="1">
        <f t="array" ref="J1728">_xlfn.SWITCH(B1728,1,75,2,61,3,49,4,37,5,25,6,13,7,4,8,1)</f>
        <v>13</v>
      </c>
      <c r="K1728" t="str" cm="1">
        <f t="array" ref="K1728">IFERROR(_xlfn.SWITCH(L1728,2,_xlfn.XLOOKUP(C1728,[1]ModifierDes!$B:$B,[1]ModifierDes!$C:$C),3,_xlfn.XLOOKUP(C1728,[1]StuntDes!$B:$B,[1]StuntDes!$C:$C)),"")</f>
        <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421</v>
      </c>
      <c r="D1729" t="s">
        <v>38</v>
      </c>
      <c r="E1729" s="13" t="s">
        <v>405</v>
      </c>
      <c r="G1729">
        <v>2</v>
      </c>
      <c r="H1729">
        <v>1000</v>
      </c>
      <c r="J1729" cm="1">
        <f t="array" ref="J1729">_xlfn.SWITCH(B1729,1,75,2,61,3,49,4,37,5,25,6,13,7,4,8,1)</f>
        <v>4</v>
      </c>
      <c r="K1729" t="str" cm="1">
        <f t="array" ref="K1729">IFERROR(_xlfn.SWITCH(L1729,2,_xlfn.XLOOKUP(C1729,[1]ModifierDes!$B:$B,[1]ModifierDes!$C:$C),3,_xlfn.XLOOKUP(C1729,[1]StuntDes!$B:$B,[1]StuntDes!$C:$C)),"")</f>
        <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421</v>
      </c>
      <c r="D1730" t="s">
        <v>38</v>
      </c>
      <c r="E1730" s="13" t="s">
        <v>405</v>
      </c>
      <c r="G1730">
        <v>2</v>
      </c>
      <c r="H1730">
        <v>1000</v>
      </c>
      <c r="J1730" cm="1">
        <f t="array" ref="J1730">_xlfn.SWITCH(B1730,1,75,2,61,3,49,4,37,5,25,6,13,7,4,8,1)</f>
        <v>1</v>
      </c>
      <c r="K1730" t="str" cm="1">
        <f t="array" ref="K1730">IFERROR(_xlfn.SWITCH(L1730,2,_xlfn.XLOOKUP(C1730,[1]ModifierDes!$B:$B,[1]ModifierDes!$C:$C),3,_xlfn.XLOOKUP(C1730,[1]StuntDes!$B:$B,[1]StuntDes!$C:$C)),"")</f>
        <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402</v>
      </c>
      <c r="D1731" t="s">
        <v>39</v>
      </c>
      <c r="E1731" t="s">
        <v>388</v>
      </c>
      <c r="G1731">
        <v>1</v>
      </c>
      <c r="H1731">
        <v>1000</v>
      </c>
      <c r="J1731" cm="1">
        <f t="array" ref="J1731">_xlfn.SWITCH(B1731,1,75,2,61,3,49,4,37,5,25,6,13,7,4,8,1)</f>
        <v>75</v>
      </c>
      <c r="K1731" t="str" cm="1">
        <f t="array" ref="K1731">IFERROR(_xlfn.SWITCH(L1731,2,_xlfn.XLOOKUP(C1731,[1]ModifierDes!$B:$B,[1]ModifierDes!$C:$C),3,_xlfn.XLOOKUP(C1731,[1]StuntDes!$B:$B,[1]StuntDes!$C:$C)),"")</f>
        <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402</v>
      </c>
      <c r="D1732" t="s">
        <v>39</v>
      </c>
      <c r="E1732" t="s">
        <v>388</v>
      </c>
      <c r="G1732">
        <v>1</v>
      </c>
      <c r="H1732">
        <v>1000</v>
      </c>
      <c r="J1732" cm="1">
        <f t="array" ref="J1732">_xlfn.SWITCH(B1732,1,75,2,61,3,49,4,37,5,25,6,13,7,4,8,1)</f>
        <v>61</v>
      </c>
      <c r="K1732" t="str" cm="1">
        <f t="array" ref="K1732">IFERROR(_xlfn.SWITCH(L1732,2,_xlfn.XLOOKUP(C1732,[1]ModifierDes!$B:$B,[1]ModifierDes!$C:$C),3,_xlfn.XLOOKUP(C1732,[1]StuntDes!$B:$B,[1]StuntDes!$C:$C)),"")</f>
        <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402</v>
      </c>
      <c r="D1733" t="s">
        <v>39</v>
      </c>
      <c r="E1733" t="s">
        <v>388</v>
      </c>
      <c r="G1733">
        <v>1</v>
      </c>
      <c r="H1733">
        <v>1000</v>
      </c>
      <c r="J1733" cm="1">
        <f t="array" ref="J1733">_xlfn.SWITCH(B1733,1,75,2,61,3,49,4,37,5,25,6,13,7,4,8,1)</f>
        <v>49</v>
      </c>
      <c r="K1733" t="str" cm="1">
        <f t="array" ref="K1733">IFERROR(_xlfn.SWITCH(L1733,2,_xlfn.XLOOKUP(C1733,[1]ModifierDes!$B:$B,[1]ModifierDes!$C:$C),3,_xlfn.XLOOKUP(C1733,[1]StuntDes!$B:$B,[1]StuntDes!$C:$C)),"")</f>
        <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402</v>
      </c>
      <c r="D1734" t="s">
        <v>39</v>
      </c>
      <c r="E1734" t="s">
        <v>388</v>
      </c>
      <c r="G1734">
        <v>1</v>
      </c>
      <c r="H1734">
        <v>1000</v>
      </c>
      <c r="J1734" cm="1">
        <f t="array" ref="J1734">_xlfn.SWITCH(B1734,1,75,2,61,3,49,4,37,5,25,6,13,7,4,8,1)</f>
        <v>37</v>
      </c>
      <c r="K1734" t="str" cm="1">
        <f t="array" ref="K1734">IFERROR(_xlfn.SWITCH(L1734,2,_xlfn.XLOOKUP(C1734,[1]ModifierDes!$B:$B,[1]ModifierDes!$C:$C),3,_xlfn.XLOOKUP(C1734,[1]StuntDes!$B:$B,[1]StuntDes!$C:$C)),"")</f>
        <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402</v>
      </c>
      <c r="D1735" t="s">
        <v>39</v>
      </c>
      <c r="E1735" t="s">
        <v>388</v>
      </c>
      <c r="G1735">
        <v>1</v>
      </c>
      <c r="H1735">
        <v>1000</v>
      </c>
      <c r="J1735" cm="1">
        <f t="array" ref="J1735">_xlfn.SWITCH(B1735,1,75,2,61,3,49,4,37,5,25,6,13,7,4,8,1)</f>
        <v>25</v>
      </c>
      <c r="K1735" t="str" cm="1">
        <f t="array" ref="K1735">IFERROR(_xlfn.SWITCH(L1735,2,_xlfn.XLOOKUP(C1735,[1]ModifierDes!$B:$B,[1]ModifierDes!$C:$C),3,_xlfn.XLOOKUP(C1735,[1]StuntDes!$B:$B,[1]StuntDes!$C:$C)),"")</f>
        <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402</v>
      </c>
      <c r="D1736" t="s">
        <v>39</v>
      </c>
      <c r="E1736" t="s">
        <v>388</v>
      </c>
      <c r="G1736">
        <v>1</v>
      </c>
      <c r="H1736">
        <v>1000</v>
      </c>
      <c r="J1736" cm="1">
        <f t="array" ref="J1736">_xlfn.SWITCH(B1736,1,75,2,61,3,49,4,37,5,25,6,13,7,4,8,1)</f>
        <v>13</v>
      </c>
      <c r="K1736" t="str" cm="1">
        <f t="array" ref="K1736">IFERROR(_xlfn.SWITCH(L1736,2,_xlfn.XLOOKUP(C1736,[1]ModifierDes!$B:$B,[1]ModifierDes!$C:$C),3,_xlfn.XLOOKUP(C1736,[1]StuntDes!$B:$B,[1]StuntDes!$C:$C)),"")</f>
        <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402</v>
      </c>
      <c r="D1737" t="s">
        <v>39</v>
      </c>
      <c r="E1737" t="s">
        <v>388</v>
      </c>
      <c r="G1737">
        <v>1</v>
      </c>
      <c r="H1737">
        <v>1000</v>
      </c>
      <c r="J1737" cm="1">
        <f t="array" ref="J1737">_xlfn.SWITCH(B1737,1,75,2,61,3,49,4,37,5,25,6,13,7,4,8,1)</f>
        <v>4</v>
      </c>
      <c r="K1737" t="str" cm="1">
        <f t="array" ref="K1737">IFERROR(_xlfn.SWITCH(L1737,2,_xlfn.XLOOKUP(C1737,[1]ModifierDes!$B:$B,[1]ModifierDes!$C:$C),3,_xlfn.XLOOKUP(C1737,[1]StuntDes!$B:$B,[1]StuntDes!$C:$C)),"")</f>
        <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402</v>
      </c>
      <c r="D1738" t="s">
        <v>39</v>
      </c>
      <c r="E1738" t="s">
        <v>388</v>
      </c>
      <c r="G1738">
        <v>1</v>
      </c>
      <c r="H1738">
        <v>1000</v>
      </c>
      <c r="J1738" cm="1">
        <f t="array" ref="J1738">_xlfn.SWITCH(B1738,1,75,2,61,3,49,4,37,5,25,6,13,7,4,8,1)</f>
        <v>1</v>
      </c>
      <c r="K1738" t="str" cm="1">
        <f t="array" ref="K1738">IFERROR(_xlfn.SWITCH(L1738,2,_xlfn.XLOOKUP(C1738,[1]ModifierDes!$B:$B,[1]ModifierDes!$C:$C),3,_xlfn.XLOOKUP(C1738,[1]StuntDes!$B:$B,[1]StuntDes!$C:$C)),"")</f>
        <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403</v>
      </c>
      <c r="D1739" t="s">
        <v>39</v>
      </c>
      <c r="E1739" t="s">
        <v>388</v>
      </c>
      <c r="G1739">
        <v>1</v>
      </c>
      <c r="H1739">
        <v>1000</v>
      </c>
      <c r="J1739" cm="1">
        <f t="array" ref="J1739">_xlfn.SWITCH(B1739,1,75,2,61,3,49,4,37,5,25,6,13,7,4,8,1)</f>
        <v>75</v>
      </c>
      <c r="K1739" t="str" cm="1">
        <f t="array" ref="K1739">IFERROR(_xlfn.SWITCH(L1739,2,_xlfn.XLOOKUP(C1739,[1]ModifierDes!$B:$B,[1]ModifierDes!$C:$C),3,_xlfn.XLOOKUP(C1739,[1]StuntDes!$B:$B,[1]StuntDes!$C:$C)),"")</f>
        <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403</v>
      </c>
      <c r="D1740" t="s">
        <v>39</v>
      </c>
      <c r="E1740" t="s">
        <v>388</v>
      </c>
      <c r="G1740">
        <v>1</v>
      </c>
      <c r="H1740">
        <v>1000</v>
      </c>
      <c r="J1740" cm="1">
        <f t="array" ref="J1740">_xlfn.SWITCH(B1740,1,75,2,61,3,49,4,37,5,25,6,13,7,4,8,1)</f>
        <v>61</v>
      </c>
      <c r="K1740" t="str" cm="1">
        <f t="array" ref="K1740">IFERROR(_xlfn.SWITCH(L1740,2,_xlfn.XLOOKUP(C1740,[1]ModifierDes!$B:$B,[1]ModifierDes!$C:$C),3,_xlfn.XLOOKUP(C1740,[1]StuntDes!$B:$B,[1]StuntDes!$C:$C)),"")</f>
        <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403</v>
      </c>
      <c r="D1741" t="s">
        <v>39</v>
      </c>
      <c r="E1741" t="s">
        <v>388</v>
      </c>
      <c r="G1741">
        <v>1</v>
      </c>
      <c r="H1741">
        <v>1000</v>
      </c>
      <c r="J1741" cm="1">
        <f t="array" ref="J1741">_xlfn.SWITCH(B1741,1,75,2,61,3,49,4,37,5,25,6,13,7,4,8,1)</f>
        <v>49</v>
      </c>
      <c r="K1741" t="str" cm="1">
        <f t="array" ref="K1741">IFERROR(_xlfn.SWITCH(L1741,2,_xlfn.XLOOKUP(C1741,[1]ModifierDes!$B:$B,[1]ModifierDes!$C:$C),3,_xlfn.XLOOKUP(C1741,[1]StuntDes!$B:$B,[1]StuntDes!$C:$C)),"")</f>
        <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403</v>
      </c>
      <c r="D1742" t="s">
        <v>39</v>
      </c>
      <c r="E1742" t="s">
        <v>388</v>
      </c>
      <c r="G1742">
        <v>1</v>
      </c>
      <c r="H1742">
        <v>1000</v>
      </c>
      <c r="J1742" cm="1">
        <f t="array" ref="J1742">_xlfn.SWITCH(B1742,1,75,2,61,3,49,4,37,5,25,6,13,7,4,8,1)</f>
        <v>37</v>
      </c>
      <c r="K1742" t="str" cm="1">
        <f t="array" ref="K1742">IFERROR(_xlfn.SWITCH(L1742,2,_xlfn.XLOOKUP(C1742,[1]ModifierDes!$B:$B,[1]ModifierDes!$C:$C),3,_xlfn.XLOOKUP(C1742,[1]StuntDes!$B:$B,[1]StuntDes!$C:$C)),"")</f>
        <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403</v>
      </c>
      <c r="D1743" t="s">
        <v>39</v>
      </c>
      <c r="E1743" t="s">
        <v>388</v>
      </c>
      <c r="G1743">
        <v>1</v>
      </c>
      <c r="H1743">
        <v>1000</v>
      </c>
      <c r="J1743" cm="1">
        <f t="array" ref="J1743">_xlfn.SWITCH(B1743,1,75,2,61,3,49,4,37,5,25,6,13,7,4,8,1)</f>
        <v>25</v>
      </c>
      <c r="K1743" t="str" cm="1">
        <f t="array" ref="K1743">IFERROR(_xlfn.SWITCH(L1743,2,_xlfn.XLOOKUP(C1743,[1]ModifierDes!$B:$B,[1]ModifierDes!$C:$C),3,_xlfn.XLOOKUP(C1743,[1]StuntDes!$B:$B,[1]StuntDes!$C:$C)),"")</f>
        <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403</v>
      </c>
      <c r="D1744" t="s">
        <v>39</v>
      </c>
      <c r="E1744" t="s">
        <v>388</v>
      </c>
      <c r="G1744">
        <v>1</v>
      </c>
      <c r="H1744">
        <v>1000</v>
      </c>
      <c r="J1744" cm="1">
        <f t="array" ref="J1744">_xlfn.SWITCH(B1744,1,75,2,61,3,49,4,37,5,25,6,13,7,4,8,1)</f>
        <v>13</v>
      </c>
      <c r="K1744" t="str" cm="1">
        <f t="array" ref="K1744">IFERROR(_xlfn.SWITCH(L1744,2,_xlfn.XLOOKUP(C1744,[1]ModifierDes!$B:$B,[1]ModifierDes!$C:$C),3,_xlfn.XLOOKUP(C1744,[1]StuntDes!$B:$B,[1]StuntDes!$C:$C)),"")</f>
        <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403</v>
      </c>
      <c r="D1745" t="s">
        <v>39</v>
      </c>
      <c r="E1745" t="s">
        <v>388</v>
      </c>
      <c r="G1745">
        <v>1</v>
      </c>
      <c r="H1745">
        <v>1000</v>
      </c>
      <c r="J1745" cm="1">
        <f t="array" ref="J1745">_xlfn.SWITCH(B1745,1,75,2,61,3,49,4,37,5,25,6,13,7,4,8,1)</f>
        <v>4</v>
      </c>
      <c r="K1745" t="str" cm="1">
        <f t="array" ref="K1745">IFERROR(_xlfn.SWITCH(L1745,2,_xlfn.XLOOKUP(C1745,[1]ModifierDes!$B:$B,[1]ModifierDes!$C:$C),3,_xlfn.XLOOKUP(C1745,[1]StuntDes!$B:$B,[1]StuntDes!$C:$C)),"")</f>
        <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403</v>
      </c>
      <c r="D1746" t="s">
        <v>39</v>
      </c>
      <c r="E1746" t="s">
        <v>388</v>
      </c>
      <c r="G1746">
        <v>1</v>
      </c>
      <c r="H1746">
        <v>1000</v>
      </c>
      <c r="J1746" cm="1">
        <f t="array" ref="J1746">_xlfn.SWITCH(B1746,1,75,2,61,3,49,4,37,5,25,6,13,7,4,8,1)</f>
        <v>1</v>
      </c>
      <c r="K1746" t="str" cm="1">
        <f t="array" ref="K1746">IFERROR(_xlfn.SWITCH(L1746,2,_xlfn.XLOOKUP(C1746,[1]ModifierDes!$B:$B,[1]ModifierDes!$C:$C),3,_xlfn.XLOOKUP(C1746,[1]StuntDes!$B:$B,[1]StuntDes!$C:$C)),"")</f>
        <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423</v>
      </c>
      <c r="D1747" t="s">
        <v>39</v>
      </c>
      <c r="E1747" t="s">
        <v>388</v>
      </c>
      <c r="G1747">
        <v>1</v>
      </c>
      <c r="H1747">
        <v>1000</v>
      </c>
      <c r="J1747" cm="1">
        <f t="array" ref="J1747">_xlfn.SWITCH(B1747,1,75,2,61,3,49,4,37,5,25,6,13,7,4,8,1)</f>
        <v>75</v>
      </c>
      <c r="K1747" t="str" cm="1">
        <f t="array" ref="K1747">IFERROR(_xlfn.SWITCH(L1747,2,_xlfn.XLOOKUP(C1747,[1]ModifierDes!$B:$B,[1]ModifierDes!$C:$C),3,_xlfn.XLOOKUP(C1747,[1]StuntDes!$B:$B,[1]StuntDes!$C:$C)),"")</f>
        <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423</v>
      </c>
      <c r="D1748" t="s">
        <v>39</v>
      </c>
      <c r="E1748" t="s">
        <v>388</v>
      </c>
      <c r="G1748">
        <v>1</v>
      </c>
      <c r="H1748">
        <v>1000</v>
      </c>
      <c r="J1748" cm="1">
        <f t="array" ref="J1748">_xlfn.SWITCH(B1748,1,75,2,61,3,49,4,37,5,25,6,13,7,4,8,1)</f>
        <v>61</v>
      </c>
      <c r="K1748" t="str" cm="1">
        <f t="array" ref="K1748">IFERROR(_xlfn.SWITCH(L1748,2,_xlfn.XLOOKUP(C1748,[1]ModifierDes!$B:$B,[1]ModifierDes!$C:$C),3,_xlfn.XLOOKUP(C1748,[1]StuntDes!$B:$B,[1]StuntDes!$C:$C)),"")</f>
        <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423</v>
      </c>
      <c r="D1749" t="s">
        <v>39</v>
      </c>
      <c r="E1749" t="s">
        <v>388</v>
      </c>
      <c r="G1749">
        <v>1</v>
      </c>
      <c r="H1749">
        <v>1000</v>
      </c>
      <c r="J1749" cm="1">
        <f t="array" ref="J1749">_xlfn.SWITCH(B1749,1,75,2,61,3,49,4,37,5,25,6,13,7,4,8,1)</f>
        <v>49</v>
      </c>
      <c r="K1749" t="str" cm="1">
        <f t="array" ref="K1749">IFERROR(_xlfn.SWITCH(L1749,2,_xlfn.XLOOKUP(C1749,[1]ModifierDes!$B:$B,[1]ModifierDes!$C:$C),3,_xlfn.XLOOKUP(C1749,[1]StuntDes!$B:$B,[1]StuntDes!$C:$C)),"")</f>
        <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423</v>
      </c>
      <c r="D1750" t="s">
        <v>39</v>
      </c>
      <c r="E1750" t="s">
        <v>388</v>
      </c>
      <c r="G1750">
        <v>1</v>
      </c>
      <c r="H1750">
        <v>1000</v>
      </c>
      <c r="J1750" cm="1">
        <f t="array" ref="J1750">_xlfn.SWITCH(B1750,1,75,2,61,3,49,4,37,5,25,6,13,7,4,8,1)</f>
        <v>37</v>
      </c>
      <c r="K1750" t="str" cm="1">
        <f t="array" ref="K1750">IFERROR(_xlfn.SWITCH(L1750,2,_xlfn.XLOOKUP(C1750,[1]ModifierDes!$B:$B,[1]ModifierDes!$C:$C),3,_xlfn.XLOOKUP(C1750,[1]StuntDes!$B:$B,[1]StuntDes!$C:$C)),"")</f>
        <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423</v>
      </c>
      <c r="D1751" t="s">
        <v>39</v>
      </c>
      <c r="E1751" t="s">
        <v>388</v>
      </c>
      <c r="G1751">
        <v>1</v>
      </c>
      <c r="H1751">
        <v>1000</v>
      </c>
      <c r="J1751" cm="1">
        <f t="array" ref="J1751">_xlfn.SWITCH(B1751,1,75,2,61,3,49,4,37,5,25,6,13,7,4,8,1)</f>
        <v>25</v>
      </c>
      <c r="K1751" t="str" cm="1">
        <f t="array" ref="K1751">IFERROR(_xlfn.SWITCH(L1751,2,_xlfn.XLOOKUP(C1751,[1]ModifierDes!$B:$B,[1]ModifierDes!$C:$C),3,_xlfn.XLOOKUP(C1751,[1]StuntDes!$B:$B,[1]StuntDes!$C:$C)),"")</f>
        <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423</v>
      </c>
      <c r="D1752" t="s">
        <v>39</v>
      </c>
      <c r="E1752" t="s">
        <v>388</v>
      </c>
      <c r="G1752">
        <v>1</v>
      </c>
      <c r="H1752">
        <v>1000</v>
      </c>
      <c r="J1752" cm="1">
        <f t="array" ref="J1752">_xlfn.SWITCH(B1752,1,75,2,61,3,49,4,37,5,25,6,13,7,4,8,1)</f>
        <v>13</v>
      </c>
      <c r="K1752" t="str" cm="1">
        <f t="array" ref="K1752">IFERROR(_xlfn.SWITCH(L1752,2,_xlfn.XLOOKUP(C1752,[1]ModifierDes!$B:$B,[1]ModifierDes!$C:$C),3,_xlfn.XLOOKUP(C1752,[1]StuntDes!$B:$B,[1]StuntDes!$C:$C)),"")</f>
        <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423</v>
      </c>
      <c r="D1753" t="s">
        <v>39</v>
      </c>
      <c r="E1753" t="s">
        <v>388</v>
      </c>
      <c r="G1753">
        <v>1</v>
      </c>
      <c r="H1753">
        <v>1000</v>
      </c>
      <c r="J1753" cm="1">
        <f t="array" ref="J1753">_xlfn.SWITCH(B1753,1,75,2,61,3,49,4,37,5,25,6,13,7,4,8,1)</f>
        <v>4</v>
      </c>
      <c r="K1753" t="str" cm="1">
        <f t="array" ref="K1753">IFERROR(_xlfn.SWITCH(L1753,2,_xlfn.XLOOKUP(C1753,[1]ModifierDes!$B:$B,[1]ModifierDes!$C:$C),3,_xlfn.XLOOKUP(C1753,[1]StuntDes!$B:$B,[1]StuntDes!$C:$C)),"")</f>
        <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423</v>
      </c>
      <c r="D1754" t="s">
        <v>39</v>
      </c>
      <c r="E1754" t="s">
        <v>388</v>
      </c>
      <c r="G1754">
        <v>1</v>
      </c>
      <c r="H1754">
        <v>1000</v>
      </c>
      <c r="J1754" cm="1">
        <f t="array" ref="J1754">_xlfn.SWITCH(B1754,1,75,2,61,3,49,4,37,5,25,6,13,7,4,8,1)</f>
        <v>1</v>
      </c>
      <c r="K1754" t="str" cm="1">
        <f t="array" ref="K1754">IFERROR(_xlfn.SWITCH(L1754,2,_xlfn.XLOOKUP(C1754,[1]ModifierDes!$B:$B,[1]ModifierDes!$C:$C),3,_xlfn.XLOOKUP(C1754,[1]StuntDes!$B:$B,[1]StuntDes!$C:$C)),"")</f>
        <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96</v>
      </c>
      <c r="D1755" t="s">
        <v>39</v>
      </c>
      <c r="E1755" t="s">
        <v>388</v>
      </c>
      <c r="G1755">
        <v>1</v>
      </c>
      <c r="H1755">
        <v>1000</v>
      </c>
      <c r="J1755" cm="1">
        <f t="array" ref="J1755">_xlfn.SWITCH(B1755,1,75,2,61,3,49,4,37,5,25,6,13,7,4,8,1)</f>
        <v>75</v>
      </c>
      <c r="K1755" t="str" cm="1">
        <f t="array" ref="K1755">IFERROR(_xlfn.SWITCH(L1755,2,_xlfn.XLOOKUP(C1755,[1]ModifierDes!$B:$B,[1]ModifierDes!$C:$C),3,_xlfn.XLOOKUP(C1755,[1]StuntDes!$B:$B,[1]StuntDes!$C:$C)),"")</f>
        <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96</v>
      </c>
      <c r="D1756" t="s">
        <v>39</v>
      </c>
      <c r="E1756" t="s">
        <v>388</v>
      </c>
      <c r="G1756">
        <v>1</v>
      </c>
      <c r="H1756">
        <v>1000</v>
      </c>
      <c r="J1756" cm="1">
        <f t="array" ref="J1756">_xlfn.SWITCH(B1756,1,75,2,61,3,49,4,37,5,25,6,13,7,4,8,1)</f>
        <v>61</v>
      </c>
      <c r="K1756" t="str" cm="1">
        <f t="array" ref="K1756">IFERROR(_xlfn.SWITCH(L1756,2,_xlfn.XLOOKUP(C1756,[1]ModifierDes!$B:$B,[1]ModifierDes!$C:$C),3,_xlfn.XLOOKUP(C1756,[1]StuntDes!$B:$B,[1]StuntDes!$C:$C)),"")</f>
        <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96</v>
      </c>
      <c r="D1757" t="s">
        <v>39</v>
      </c>
      <c r="E1757" t="s">
        <v>388</v>
      </c>
      <c r="G1757">
        <v>1</v>
      </c>
      <c r="H1757">
        <v>1000</v>
      </c>
      <c r="J1757" cm="1">
        <f t="array" ref="J1757">_xlfn.SWITCH(B1757,1,75,2,61,3,49,4,37,5,25,6,13,7,4,8,1)</f>
        <v>49</v>
      </c>
      <c r="K1757" t="str" cm="1">
        <f t="array" ref="K1757">IFERROR(_xlfn.SWITCH(L1757,2,_xlfn.XLOOKUP(C1757,[1]ModifierDes!$B:$B,[1]ModifierDes!$C:$C),3,_xlfn.XLOOKUP(C1757,[1]StuntDes!$B:$B,[1]StuntDes!$C:$C)),"")</f>
        <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96</v>
      </c>
      <c r="D1758" t="s">
        <v>39</v>
      </c>
      <c r="E1758" t="s">
        <v>388</v>
      </c>
      <c r="G1758">
        <v>1</v>
      </c>
      <c r="H1758">
        <v>1000</v>
      </c>
      <c r="J1758" cm="1">
        <f t="array" ref="J1758">_xlfn.SWITCH(B1758,1,75,2,61,3,49,4,37,5,25,6,13,7,4,8,1)</f>
        <v>37</v>
      </c>
      <c r="K1758" t="str" cm="1">
        <f t="array" ref="K1758">IFERROR(_xlfn.SWITCH(L1758,2,_xlfn.XLOOKUP(C1758,[1]ModifierDes!$B:$B,[1]ModifierDes!$C:$C),3,_xlfn.XLOOKUP(C1758,[1]StuntDes!$B:$B,[1]StuntDes!$C:$C)),"")</f>
        <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96</v>
      </c>
      <c r="D1759" t="s">
        <v>39</v>
      </c>
      <c r="E1759" t="s">
        <v>388</v>
      </c>
      <c r="G1759">
        <v>1</v>
      </c>
      <c r="H1759">
        <v>1000</v>
      </c>
      <c r="J1759" cm="1">
        <f t="array" ref="J1759">_xlfn.SWITCH(B1759,1,75,2,61,3,49,4,37,5,25,6,13,7,4,8,1)</f>
        <v>25</v>
      </c>
      <c r="K1759" t="str" cm="1">
        <f t="array" ref="K1759">IFERROR(_xlfn.SWITCH(L1759,2,_xlfn.XLOOKUP(C1759,[1]ModifierDes!$B:$B,[1]ModifierDes!$C:$C),3,_xlfn.XLOOKUP(C1759,[1]StuntDes!$B:$B,[1]StuntDes!$C:$C)),"")</f>
        <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96</v>
      </c>
      <c r="D1760" t="s">
        <v>39</v>
      </c>
      <c r="E1760" t="s">
        <v>388</v>
      </c>
      <c r="G1760">
        <v>1</v>
      </c>
      <c r="H1760">
        <v>1000</v>
      </c>
      <c r="J1760" cm="1">
        <f t="array" ref="J1760">_xlfn.SWITCH(B1760,1,75,2,61,3,49,4,37,5,25,6,13,7,4,8,1)</f>
        <v>13</v>
      </c>
      <c r="K1760" t="str" cm="1">
        <f t="array" ref="K1760">IFERROR(_xlfn.SWITCH(L1760,2,_xlfn.XLOOKUP(C1760,[1]ModifierDes!$B:$B,[1]ModifierDes!$C:$C),3,_xlfn.XLOOKUP(C1760,[1]StuntDes!$B:$B,[1]StuntDes!$C:$C)),"")</f>
        <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96</v>
      </c>
      <c r="D1761" t="s">
        <v>39</v>
      </c>
      <c r="E1761" t="s">
        <v>388</v>
      </c>
      <c r="G1761">
        <v>1</v>
      </c>
      <c r="H1761">
        <v>1000</v>
      </c>
      <c r="J1761" cm="1">
        <f t="array" ref="J1761">_xlfn.SWITCH(B1761,1,75,2,61,3,49,4,37,5,25,6,13,7,4,8,1)</f>
        <v>4</v>
      </c>
      <c r="K1761" t="str" cm="1">
        <f t="array" ref="K1761">IFERROR(_xlfn.SWITCH(L1761,2,_xlfn.XLOOKUP(C1761,[1]ModifierDes!$B:$B,[1]ModifierDes!$C:$C),3,_xlfn.XLOOKUP(C1761,[1]StuntDes!$B:$B,[1]StuntDes!$C:$C)),"")</f>
        <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96</v>
      </c>
      <c r="D1762" t="s">
        <v>39</v>
      </c>
      <c r="E1762" t="s">
        <v>388</v>
      </c>
      <c r="G1762">
        <v>1</v>
      </c>
      <c r="H1762">
        <v>1000</v>
      </c>
      <c r="J1762" cm="1">
        <f t="array" ref="J1762">_xlfn.SWITCH(B1762,1,75,2,61,3,49,4,37,5,25,6,13,7,4,8,1)</f>
        <v>1</v>
      </c>
      <c r="K1762" t="str" cm="1">
        <f t="array" ref="K1762">IFERROR(_xlfn.SWITCH(L1762,2,_xlfn.XLOOKUP(C1762,[1]ModifierDes!$B:$B,[1]ModifierDes!$C:$C),3,_xlfn.XLOOKUP(C1762,[1]StuntDes!$B:$B,[1]StuntDes!$C:$C)),"")</f>
        <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393</v>
      </c>
      <c r="D1763" t="s">
        <v>39</v>
      </c>
      <c r="E1763" t="s">
        <v>388</v>
      </c>
      <c r="G1763">
        <v>1</v>
      </c>
      <c r="H1763">
        <v>100</v>
      </c>
      <c r="J1763" cm="1">
        <f t="array" ref="J1763">_xlfn.SWITCH(B1763,1,75,2,61,3,49,4,37,5,25,6,13,7,4,8,1)</f>
        <v>75</v>
      </c>
      <c r="K1763" t="str" cm="1">
        <f t="array" ref="K1763">IFERROR(_xlfn.SWITCH(L1763,2,_xlfn.XLOOKUP(C1763,[1]ModifierDes!$B:$B,[1]ModifierDes!$C:$C),3,_xlfn.XLOOKUP(C1763,[1]StuntDes!$B:$B,[1]StuntDes!$C:$C)),"")</f>
        <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393</v>
      </c>
      <c r="D1764" t="s">
        <v>39</v>
      </c>
      <c r="E1764" t="s">
        <v>388</v>
      </c>
      <c r="G1764">
        <v>1</v>
      </c>
      <c r="H1764">
        <v>200</v>
      </c>
      <c r="J1764" cm="1">
        <f t="array" ref="J1764">_xlfn.SWITCH(B1764,1,75,2,61,3,49,4,37,5,25,6,13,7,4,8,1)</f>
        <v>61</v>
      </c>
      <c r="K1764" t="str" cm="1">
        <f t="array" ref="K1764">IFERROR(_xlfn.SWITCH(L1764,2,_xlfn.XLOOKUP(C1764,[1]ModifierDes!$B:$B,[1]ModifierDes!$C:$C),3,_xlfn.XLOOKUP(C1764,[1]StuntDes!$B:$B,[1]StuntDes!$C:$C)),"")</f>
        <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393</v>
      </c>
      <c r="D1765" t="s">
        <v>39</v>
      </c>
      <c r="E1765" t="s">
        <v>388</v>
      </c>
      <c r="G1765">
        <v>1</v>
      </c>
      <c r="H1765">
        <v>400</v>
      </c>
      <c r="J1765" cm="1">
        <f t="array" ref="J1765">_xlfn.SWITCH(B1765,1,75,2,61,3,49,4,37,5,25,6,13,7,4,8,1)</f>
        <v>49</v>
      </c>
      <c r="K1765" t="str" cm="1">
        <f t="array" ref="K1765">IFERROR(_xlfn.SWITCH(L1765,2,_xlfn.XLOOKUP(C1765,[1]ModifierDes!$B:$B,[1]ModifierDes!$C:$C),3,_xlfn.XLOOKUP(C1765,[1]StuntDes!$B:$B,[1]StuntDes!$C:$C)),"")</f>
        <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393</v>
      </c>
      <c r="D1766" t="s">
        <v>39</v>
      </c>
      <c r="E1766" t="s">
        <v>388</v>
      </c>
      <c r="G1766">
        <v>1</v>
      </c>
      <c r="H1766">
        <v>600</v>
      </c>
      <c r="J1766" cm="1">
        <f t="array" ref="J1766">_xlfn.SWITCH(B1766,1,75,2,61,3,49,4,37,5,25,6,13,7,4,8,1)</f>
        <v>37</v>
      </c>
      <c r="K1766" t="str" cm="1">
        <f t="array" ref="K1766">IFERROR(_xlfn.SWITCH(L1766,2,_xlfn.XLOOKUP(C1766,[1]ModifierDes!$B:$B,[1]ModifierDes!$C:$C),3,_xlfn.XLOOKUP(C1766,[1]StuntDes!$B:$B,[1]StuntDes!$C:$C)),"")</f>
        <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393</v>
      </c>
      <c r="D1767" t="s">
        <v>39</v>
      </c>
      <c r="E1767" t="s">
        <v>388</v>
      </c>
      <c r="G1767">
        <v>1</v>
      </c>
      <c r="H1767">
        <v>800</v>
      </c>
      <c r="J1767" cm="1">
        <f t="array" ref="J1767">_xlfn.SWITCH(B1767,1,75,2,61,3,49,4,37,5,25,6,13,7,4,8,1)</f>
        <v>25</v>
      </c>
      <c r="K1767" t="str" cm="1">
        <f t="array" ref="K1767">IFERROR(_xlfn.SWITCH(L1767,2,_xlfn.XLOOKUP(C1767,[1]ModifierDes!$B:$B,[1]ModifierDes!$C:$C),3,_xlfn.XLOOKUP(C1767,[1]StuntDes!$B:$B,[1]StuntDes!$C:$C)),"")</f>
        <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393</v>
      </c>
      <c r="D1768" t="s">
        <v>39</v>
      </c>
      <c r="E1768" t="s">
        <v>388</v>
      </c>
      <c r="G1768">
        <v>1</v>
      </c>
      <c r="H1768">
        <v>1000</v>
      </c>
      <c r="J1768" cm="1">
        <f t="array" ref="J1768">_xlfn.SWITCH(B1768,1,75,2,61,3,49,4,37,5,25,6,13,7,4,8,1)</f>
        <v>13</v>
      </c>
      <c r="K1768" t="str" cm="1">
        <f t="array" ref="K1768">IFERROR(_xlfn.SWITCH(L1768,2,_xlfn.XLOOKUP(C1768,[1]ModifierDes!$B:$B,[1]ModifierDes!$C:$C),3,_xlfn.XLOOKUP(C1768,[1]StuntDes!$B:$B,[1]StuntDes!$C:$C)),"")</f>
        <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393</v>
      </c>
      <c r="D1769" t="s">
        <v>39</v>
      </c>
      <c r="E1769" t="s">
        <v>388</v>
      </c>
      <c r="G1769">
        <v>1</v>
      </c>
      <c r="H1769">
        <v>1000</v>
      </c>
      <c r="J1769" cm="1">
        <f t="array" ref="J1769">_xlfn.SWITCH(B1769,1,75,2,61,3,49,4,37,5,25,6,13,7,4,8,1)</f>
        <v>4</v>
      </c>
      <c r="K1769" t="str" cm="1">
        <f t="array" ref="K1769">IFERROR(_xlfn.SWITCH(L1769,2,_xlfn.XLOOKUP(C1769,[1]ModifierDes!$B:$B,[1]ModifierDes!$C:$C),3,_xlfn.XLOOKUP(C1769,[1]StuntDes!$B:$B,[1]StuntDes!$C:$C)),"")</f>
        <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393</v>
      </c>
      <c r="D1770" t="s">
        <v>39</v>
      </c>
      <c r="E1770" t="s">
        <v>388</v>
      </c>
      <c r="G1770">
        <v>1</v>
      </c>
      <c r="H1770">
        <v>1000</v>
      </c>
      <c r="J1770" cm="1">
        <f t="array" ref="J1770">_xlfn.SWITCH(B1770,1,75,2,61,3,49,4,37,5,25,6,13,7,4,8,1)</f>
        <v>1</v>
      </c>
      <c r="K1770" t="str" cm="1">
        <f t="array" ref="K1770">IFERROR(_xlfn.SWITCH(L1770,2,_xlfn.XLOOKUP(C1770,[1]ModifierDes!$B:$B,[1]ModifierDes!$C:$C),3,_xlfn.XLOOKUP(C1770,[1]StuntDes!$B:$B,[1]StuntDes!$C:$C)),"")</f>
        <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394</v>
      </c>
      <c r="D1771" t="s">
        <v>39</v>
      </c>
      <c r="E1771" t="s">
        <v>388</v>
      </c>
      <c r="G1771">
        <v>1</v>
      </c>
      <c r="H1771">
        <v>100</v>
      </c>
      <c r="J1771" cm="1">
        <f t="array" ref="J1771">_xlfn.SWITCH(B1771,1,75,2,61,3,49,4,37,5,25,6,13,7,4,8,1)</f>
        <v>75</v>
      </c>
      <c r="K1771" t="str" cm="1">
        <f t="array" ref="K1771">IFERROR(_xlfn.SWITCH(L1771,2,_xlfn.XLOOKUP(C1771,[1]ModifierDes!$B:$B,[1]ModifierDes!$C:$C),3,_xlfn.XLOOKUP(C1771,[1]StuntDes!$B:$B,[1]StuntDes!$C:$C)),"")</f>
        <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394</v>
      </c>
      <c r="D1772" t="s">
        <v>39</v>
      </c>
      <c r="E1772" t="s">
        <v>388</v>
      </c>
      <c r="G1772">
        <v>1</v>
      </c>
      <c r="H1772">
        <v>200</v>
      </c>
      <c r="J1772" cm="1">
        <f t="array" ref="J1772">_xlfn.SWITCH(B1772,1,75,2,61,3,49,4,37,5,25,6,13,7,4,8,1)</f>
        <v>61</v>
      </c>
      <c r="K1772" t="str" cm="1">
        <f t="array" ref="K1772">IFERROR(_xlfn.SWITCH(L1772,2,_xlfn.XLOOKUP(C1772,[1]ModifierDes!$B:$B,[1]ModifierDes!$C:$C),3,_xlfn.XLOOKUP(C1772,[1]StuntDes!$B:$B,[1]StuntDes!$C:$C)),"")</f>
        <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394</v>
      </c>
      <c r="D1773" t="s">
        <v>39</v>
      </c>
      <c r="E1773" t="s">
        <v>388</v>
      </c>
      <c r="G1773">
        <v>1</v>
      </c>
      <c r="H1773">
        <v>400</v>
      </c>
      <c r="J1773" cm="1">
        <f t="array" ref="J1773">_xlfn.SWITCH(B1773,1,75,2,61,3,49,4,37,5,25,6,13,7,4,8,1)</f>
        <v>49</v>
      </c>
      <c r="K1773" t="str" cm="1">
        <f t="array" ref="K1773">IFERROR(_xlfn.SWITCH(L1773,2,_xlfn.XLOOKUP(C1773,[1]ModifierDes!$B:$B,[1]ModifierDes!$C:$C),3,_xlfn.XLOOKUP(C1773,[1]StuntDes!$B:$B,[1]StuntDes!$C:$C)),"")</f>
        <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394</v>
      </c>
      <c r="D1774" t="s">
        <v>39</v>
      </c>
      <c r="E1774" t="s">
        <v>388</v>
      </c>
      <c r="G1774">
        <v>1</v>
      </c>
      <c r="H1774">
        <v>600</v>
      </c>
      <c r="J1774" cm="1">
        <f t="array" ref="J1774">_xlfn.SWITCH(B1774,1,75,2,61,3,49,4,37,5,25,6,13,7,4,8,1)</f>
        <v>37</v>
      </c>
      <c r="K1774" t="str" cm="1">
        <f t="array" ref="K1774">IFERROR(_xlfn.SWITCH(L1774,2,_xlfn.XLOOKUP(C1774,[1]ModifierDes!$B:$B,[1]ModifierDes!$C:$C),3,_xlfn.XLOOKUP(C1774,[1]StuntDes!$B:$B,[1]StuntDes!$C:$C)),"")</f>
        <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394</v>
      </c>
      <c r="D1775" t="s">
        <v>39</v>
      </c>
      <c r="E1775" t="s">
        <v>388</v>
      </c>
      <c r="G1775">
        <v>1</v>
      </c>
      <c r="H1775">
        <v>800</v>
      </c>
      <c r="J1775" cm="1">
        <f t="array" ref="J1775">_xlfn.SWITCH(B1775,1,75,2,61,3,49,4,37,5,25,6,13,7,4,8,1)</f>
        <v>25</v>
      </c>
      <c r="K1775" t="str" cm="1">
        <f t="array" ref="K1775">IFERROR(_xlfn.SWITCH(L1775,2,_xlfn.XLOOKUP(C1775,[1]ModifierDes!$B:$B,[1]ModifierDes!$C:$C),3,_xlfn.XLOOKUP(C1775,[1]StuntDes!$B:$B,[1]StuntDes!$C:$C)),"")</f>
        <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394</v>
      </c>
      <c r="D1776" t="s">
        <v>39</v>
      </c>
      <c r="E1776" t="s">
        <v>388</v>
      </c>
      <c r="G1776">
        <v>1</v>
      </c>
      <c r="H1776">
        <v>1000</v>
      </c>
      <c r="J1776" cm="1">
        <f t="array" ref="J1776">_xlfn.SWITCH(B1776,1,75,2,61,3,49,4,37,5,25,6,13,7,4,8,1)</f>
        <v>13</v>
      </c>
      <c r="K1776" t="str" cm="1">
        <f t="array" ref="K1776">IFERROR(_xlfn.SWITCH(L1776,2,_xlfn.XLOOKUP(C1776,[1]ModifierDes!$B:$B,[1]ModifierDes!$C:$C),3,_xlfn.XLOOKUP(C1776,[1]StuntDes!$B:$B,[1]StuntDes!$C:$C)),"")</f>
        <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394</v>
      </c>
      <c r="D1777" t="s">
        <v>39</v>
      </c>
      <c r="E1777" t="s">
        <v>388</v>
      </c>
      <c r="G1777">
        <v>1</v>
      </c>
      <c r="H1777">
        <v>1000</v>
      </c>
      <c r="J1777" cm="1">
        <f t="array" ref="J1777">_xlfn.SWITCH(B1777,1,75,2,61,3,49,4,37,5,25,6,13,7,4,8,1)</f>
        <v>4</v>
      </c>
      <c r="K1777" t="str" cm="1">
        <f t="array" ref="K1777">IFERROR(_xlfn.SWITCH(L1777,2,_xlfn.XLOOKUP(C1777,[1]ModifierDes!$B:$B,[1]ModifierDes!$C:$C),3,_xlfn.XLOOKUP(C1777,[1]StuntDes!$B:$B,[1]StuntDes!$C:$C)),"")</f>
        <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394</v>
      </c>
      <c r="D1778" t="s">
        <v>39</v>
      </c>
      <c r="E1778" t="s">
        <v>388</v>
      </c>
      <c r="G1778">
        <v>1</v>
      </c>
      <c r="H1778">
        <v>1000</v>
      </c>
      <c r="J1778" cm="1">
        <f t="array" ref="J1778">_xlfn.SWITCH(B1778,1,75,2,61,3,49,4,37,5,25,6,13,7,4,8,1)</f>
        <v>1</v>
      </c>
      <c r="K1778" t="str" cm="1">
        <f t="array" ref="K1778">IFERROR(_xlfn.SWITCH(L1778,2,_xlfn.XLOOKUP(C1778,[1]ModifierDes!$B:$B,[1]ModifierDes!$C:$C),3,_xlfn.XLOOKUP(C1778,[1]StuntDes!$B:$B,[1]StuntDes!$C:$C)),"")</f>
        <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395</v>
      </c>
      <c r="D1779" t="s">
        <v>39</v>
      </c>
      <c r="E1779" t="s">
        <v>388</v>
      </c>
      <c r="G1779">
        <v>1</v>
      </c>
      <c r="H1779">
        <v>100</v>
      </c>
      <c r="J1779" cm="1">
        <f t="array" ref="J1779">_xlfn.SWITCH(B1779,1,75,2,61,3,49,4,37,5,25,6,13,7,4,8,1)</f>
        <v>75</v>
      </c>
      <c r="K1779" t="str" cm="1">
        <f t="array" ref="K1779">IFERROR(_xlfn.SWITCH(L1779,2,_xlfn.XLOOKUP(C1779,[1]ModifierDes!$B:$B,[1]ModifierDes!$C:$C),3,_xlfn.XLOOKUP(C1779,[1]StuntDes!$B:$B,[1]StuntDes!$C:$C)),"")</f>
        <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395</v>
      </c>
      <c r="D1780" t="s">
        <v>39</v>
      </c>
      <c r="E1780" t="s">
        <v>388</v>
      </c>
      <c r="G1780">
        <v>1</v>
      </c>
      <c r="H1780">
        <v>200</v>
      </c>
      <c r="J1780" cm="1">
        <f t="array" ref="J1780">_xlfn.SWITCH(B1780,1,75,2,61,3,49,4,37,5,25,6,13,7,4,8,1)</f>
        <v>61</v>
      </c>
      <c r="K1780" t="str" cm="1">
        <f t="array" ref="K1780">IFERROR(_xlfn.SWITCH(L1780,2,_xlfn.XLOOKUP(C1780,[1]ModifierDes!$B:$B,[1]ModifierDes!$C:$C),3,_xlfn.XLOOKUP(C1780,[1]StuntDes!$B:$B,[1]StuntDes!$C:$C)),"")</f>
        <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395</v>
      </c>
      <c r="D1781" t="s">
        <v>39</v>
      </c>
      <c r="E1781" t="s">
        <v>388</v>
      </c>
      <c r="G1781">
        <v>1</v>
      </c>
      <c r="H1781">
        <v>400</v>
      </c>
      <c r="J1781" cm="1">
        <f t="array" ref="J1781">_xlfn.SWITCH(B1781,1,75,2,61,3,49,4,37,5,25,6,13,7,4,8,1)</f>
        <v>49</v>
      </c>
      <c r="K1781" t="str" cm="1">
        <f t="array" ref="K1781">IFERROR(_xlfn.SWITCH(L1781,2,_xlfn.XLOOKUP(C1781,[1]ModifierDes!$B:$B,[1]ModifierDes!$C:$C),3,_xlfn.XLOOKUP(C1781,[1]StuntDes!$B:$B,[1]StuntDes!$C:$C)),"")</f>
        <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395</v>
      </c>
      <c r="D1782" t="s">
        <v>39</v>
      </c>
      <c r="E1782" t="s">
        <v>388</v>
      </c>
      <c r="G1782">
        <v>1</v>
      </c>
      <c r="H1782">
        <v>600</v>
      </c>
      <c r="J1782" cm="1">
        <f t="array" ref="J1782">_xlfn.SWITCH(B1782,1,75,2,61,3,49,4,37,5,25,6,13,7,4,8,1)</f>
        <v>37</v>
      </c>
      <c r="K1782" t="str" cm="1">
        <f t="array" ref="K1782">IFERROR(_xlfn.SWITCH(L1782,2,_xlfn.XLOOKUP(C1782,[1]ModifierDes!$B:$B,[1]ModifierDes!$C:$C),3,_xlfn.XLOOKUP(C1782,[1]StuntDes!$B:$B,[1]StuntDes!$C:$C)),"")</f>
        <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395</v>
      </c>
      <c r="D1783" t="s">
        <v>39</v>
      </c>
      <c r="E1783" t="s">
        <v>388</v>
      </c>
      <c r="G1783">
        <v>1</v>
      </c>
      <c r="H1783">
        <v>800</v>
      </c>
      <c r="J1783" cm="1">
        <f t="array" ref="J1783">_xlfn.SWITCH(B1783,1,75,2,61,3,49,4,37,5,25,6,13,7,4,8,1)</f>
        <v>25</v>
      </c>
      <c r="K1783" t="str" cm="1">
        <f t="array" ref="K1783">IFERROR(_xlfn.SWITCH(L1783,2,_xlfn.XLOOKUP(C1783,[1]ModifierDes!$B:$B,[1]ModifierDes!$C:$C),3,_xlfn.XLOOKUP(C1783,[1]StuntDes!$B:$B,[1]StuntDes!$C:$C)),"")</f>
        <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395</v>
      </c>
      <c r="D1784" t="s">
        <v>39</v>
      </c>
      <c r="E1784" t="s">
        <v>388</v>
      </c>
      <c r="G1784">
        <v>1</v>
      </c>
      <c r="H1784">
        <v>1000</v>
      </c>
      <c r="J1784" cm="1">
        <f t="array" ref="J1784">_xlfn.SWITCH(B1784,1,75,2,61,3,49,4,37,5,25,6,13,7,4,8,1)</f>
        <v>13</v>
      </c>
      <c r="K1784" t="str" cm="1">
        <f t="array" ref="K1784">IFERROR(_xlfn.SWITCH(L1784,2,_xlfn.XLOOKUP(C1784,[1]ModifierDes!$B:$B,[1]ModifierDes!$C:$C),3,_xlfn.XLOOKUP(C1784,[1]StuntDes!$B:$B,[1]StuntDes!$C:$C)),"")</f>
        <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395</v>
      </c>
      <c r="D1785" t="s">
        <v>39</v>
      </c>
      <c r="E1785" t="s">
        <v>388</v>
      </c>
      <c r="G1785">
        <v>1</v>
      </c>
      <c r="H1785">
        <v>1000</v>
      </c>
      <c r="J1785" cm="1">
        <f t="array" ref="J1785">_xlfn.SWITCH(B1785,1,75,2,61,3,49,4,37,5,25,6,13,7,4,8,1)</f>
        <v>4</v>
      </c>
      <c r="K1785" t="str" cm="1">
        <f t="array" ref="K1785">IFERROR(_xlfn.SWITCH(L1785,2,_xlfn.XLOOKUP(C1785,[1]ModifierDes!$B:$B,[1]ModifierDes!$C:$C),3,_xlfn.XLOOKUP(C1785,[1]StuntDes!$B:$B,[1]StuntDes!$C:$C)),"")</f>
        <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395</v>
      </c>
      <c r="D1786" t="s">
        <v>39</v>
      </c>
      <c r="E1786" t="s">
        <v>388</v>
      </c>
      <c r="G1786">
        <v>1</v>
      </c>
      <c r="H1786">
        <v>1000</v>
      </c>
      <c r="J1786" cm="1">
        <f t="array" ref="J1786">_xlfn.SWITCH(B1786,1,75,2,61,3,49,4,37,5,25,6,13,7,4,8,1)</f>
        <v>1</v>
      </c>
      <c r="K1786" t="str" cm="1">
        <f t="array" ref="K1786">IFERROR(_xlfn.SWITCH(L1786,2,_xlfn.XLOOKUP(C1786,[1]ModifierDes!$B:$B,[1]ModifierDes!$C:$C),3,_xlfn.XLOOKUP(C1786,[1]StuntDes!$B:$B,[1]StuntDes!$C:$C)),"")</f>
        <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396</v>
      </c>
      <c r="D1787" t="s">
        <v>39</v>
      </c>
      <c r="E1787" t="s">
        <v>388</v>
      </c>
      <c r="G1787">
        <v>1</v>
      </c>
      <c r="H1787">
        <v>100</v>
      </c>
      <c r="J1787" cm="1">
        <f t="array" ref="J1787">_xlfn.SWITCH(B1787,1,75,2,61,3,49,4,37,5,25,6,13,7,4,8,1)</f>
        <v>75</v>
      </c>
      <c r="K1787" t="str" cm="1">
        <f t="array" ref="K1787">IFERROR(_xlfn.SWITCH(L1787,2,_xlfn.XLOOKUP(C1787,[1]ModifierDes!$B:$B,[1]ModifierDes!$C:$C),3,_xlfn.XLOOKUP(C1787,[1]StuntDes!$B:$B,[1]StuntDes!$C:$C)),"")</f>
        <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396</v>
      </c>
      <c r="D1788" t="s">
        <v>39</v>
      </c>
      <c r="E1788" t="s">
        <v>388</v>
      </c>
      <c r="G1788">
        <v>1</v>
      </c>
      <c r="H1788">
        <v>200</v>
      </c>
      <c r="J1788" cm="1">
        <f t="array" ref="J1788">_xlfn.SWITCH(B1788,1,75,2,61,3,49,4,37,5,25,6,13,7,4,8,1)</f>
        <v>61</v>
      </c>
      <c r="K1788" t="str" cm="1">
        <f t="array" ref="K1788">IFERROR(_xlfn.SWITCH(L1788,2,_xlfn.XLOOKUP(C1788,[1]ModifierDes!$B:$B,[1]ModifierDes!$C:$C),3,_xlfn.XLOOKUP(C1788,[1]StuntDes!$B:$B,[1]StuntDes!$C:$C)),"")</f>
        <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396</v>
      </c>
      <c r="D1789" t="s">
        <v>39</v>
      </c>
      <c r="E1789" t="s">
        <v>388</v>
      </c>
      <c r="G1789">
        <v>1</v>
      </c>
      <c r="H1789">
        <v>400</v>
      </c>
      <c r="J1789" cm="1">
        <f t="array" ref="J1789">_xlfn.SWITCH(B1789,1,75,2,61,3,49,4,37,5,25,6,13,7,4,8,1)</f>
        <v>49</v>
      </c>
      <c r="K1789" t="str" cm="1">
        <f t="array" ref="K1789">IFERROR(_xlfn.SWITCH(L1789,2,_xlfn.XLOOKUP(C1789,[1]ModifierDes!$B:$B,[1]ModifierDes!$C:$C),3,_xlfn.XLOOKUP(C1789,[1]StuntDes!$B:$B,[1]StuntDes!$C:$C)),"")</f>
        <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396</v>
      </c>
      <c r="D1790" t="s">
        <v>39</v>
      </c>
      <c r="E1790" t="s">
        <v>388</v>
      </c>
      <c r="G1790">
        <v>1</v>
      </c>
      <c r="H1790">
        <v>600</v>
      </c>
      <c r="J1790" cm="1">
        <f t="array" ref="J1790">_xlfn.SWITCH(B1790,1,75,2,61,3,49,4,37,5,25,6,13,7,4,8,1)</f>
        <v>37</v>
      </c>
      <c r="K1790" t="str" cm="1">
        <f t="array" ref="K1790">IFERROR(_xlfn.SWITCH(L1790,2,_xlfn.XLOOKUP(C1790,[1]ModifierDes!$B:$B,[1]ModifierDes!$C:$C),3,_xlfn.XLOOKUP(C1790,[1]StuntDes!$B:$B,[1]StuntDes!$C:$C)),"")</f>
        <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396</v>
      </c>
      <c r="D1791" t="s">
        <v>39</v>
      </c>
      <c r="E1791" t="s">
        <v>388</v>
      </c>
      <c r="G1791">
        <v>1</v>
      </c>
      <c r="H1791">
        <v>800</v>
      </c>
      <c r="J1791" cm="1">
        <f t="array" ref="J1791">_xlfn.SWITCH(B1791,1,75,2,61,3,49,4,37,5,25,6,13,7,4,8,1)</f>
        <v>25</v>
      </c>
      <c r="K1791" t="str" cm="1">
        <f t="array" ref="K1791">IFERROR(_xlfn.SWITCH(L1791,2,_xlfn.XLOOKUP(C1791,[1]ModifierDes!$B:$B,[1]ModifierDes!$C:$C),3,_xlfn.XLOOKUP(C1791,[1]StuntDes!$B:$B,[1]StuntDes!$C:$C)),"")</f>
        <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396</v>
      </c>
      <c r="D1792" t="s">
        <v>39</v>
      </c>
      <c r="E1792" t="s">
        <v>388</v>
      </c>
      <c r="G1792">
        <v>1</v>
      </c>
      <c r="H1792">
        <v>1000</v>
      </c>
      <c r="J1792" cm="1">
        <f t="array" ref="J1792">_xlfn.SWITCH(B1792,1,75,2,61,3,49,4,37,5,25,6,13,7,4,8,1)</f>
        <v>13</v>
      </c>
      <c r="K1792" t="str" cm="1">
        <f t="array" ref="K1792">IFERROR(_xlfn.SWITCH(L1792,2,_xlfn.XLOOKUP(C1792,[1]ModifierDes!$B:$B,[1]ModifierDes!$C:$C),3,_xlfn.XLOOKUP(C1792,[1]StuntDes!$B:$B,[1]StuntDes!$C:$C)),"")</f>
        <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396</v>
      </c>
      <c r="D1793" t="s">
        <v>39</v>
      </c>
      <c r="E1793" t="s">
        <v>388</v>
      </c>
      <c r="G1793">
        <v>1</v>
      </c>
      <c r="H1793">
        <v>1000</v>
      </c>
      <c r="J1793" cm="1">
        <f t="array" ref="J1793">_xlfn.SWITCH(B1793,1,75,2,61,3,49,4,37,5,25,6,13,7,4,8,1)</f>
        <v>4</v>
      </c>
      <c r="K1793" t="str" cm="1">
        <f t="array" ref="K1793">IFERROR(_xlfn.SWITCH(L1793,2,_xlfn.XLOOKUP(C1793,[1]ModifierDes!$B:$B,[1]ModifierDes!$C:$C),3,_xlfn.XLOOKUP(C1793,[1]StuntDes!$B:$B,[1]StuntDes!$C:$C)),"")</f>
        <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396</v>
      </c>
      <c r="D1794" t="s">
        <v>39</v>
      </c>
      <c r="E1794" t="s">
        <v>388</v>
      </c>
      <c r="G1794">
        <v>1</v>
      </c>
      <c r="H1794">
        <v>1000</v>
      </c>
      <c r="J1794" cm="1">
        <f t="array" ref="J1794">_xlfn.SWITCH(B1794,1,75,2,61,3,49,4,37,5,25,6,13,7,4,8,1)</f>
        <v>1</v>
      </c>
      <c r="K1794" t="str" cm="1">
        <f t="array" ref="K1794">IFERROR(_xlfn.SWITCH(L1794,2,_xlfn.XLOOKUP(C1794,[1]ModifierDes!$B:$B,[1]ModifierDes!$C:$C),3,_xlfn.XLOOKUP(C1794,[1]StuntDes!$B:$B,[1]StuntDes!$C:$C)),"")</f>
        <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397</v>
      </c>
      <c r="D1795" t="s">
        <v>39</v>
      </c>
      <c r="E1795" t="s">
        <v>388</v>
      </c>
      <c r="G1795">
        <v>1</v>
      </c>
      <c r="H1795">
        <v>100</v>
      </c>
      <c r="J1795" cm="1">
        <f t="array" ref="J1795">_xlfn.SWITCH(B1795,1,75,2,61,3,49,4,37,5,25,6,13,7,4,8,1)</f>
        <v>75</v>
      </c>
      <c r="K1795" t="str" cm="1">
        <f t="array" ref="K1795">IFERROR(_xlfn.SWITCH(L1795,2,_xlfn.XLOOKUP(C1795,[1]ModifierDes!$B:$B,[1]ModifierDes!$C:$C),3,_xlfn.XLOOKUP(C1795,[1]StuntDes!$B:$B,[1]StuntDes!$C:$C)),"")</f>
        <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397</v>
      </c>
      <c r="D1796" t="s">
        <v>39</v>
      </c>
      <c r="E1796" t="s">
        <v>388</v>
      </c>
      <c r="G1796">
        <v>1</v>
      </c>
      <c r="H1796">
        <v>200</v>
      </c>
      <c r="J1796" cm="1">
        <f t="array" ref="J1796">_xlfn.SWITCH(B1796,1,75,2,61,3,49,4,37,5,25,6,13,7,4,8,1)</f>
        <v>61</v>
      </c>
      <c r="K1796" t="str" cm="1">
        <f t="array" ref="K1796">IFERROR(_xlfn.SWITCH(L1796,2,_xlfn.XLOOKUP(C1796,[1]ModifierDes!$B:$B,[1]ModifierDes!$C:$C),3,_xlfn.XLOOKUP(C1796,[1]StuntDes!$B:$B,[1]StuntDes!$C:$C)),"")</f>
        <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397</v>
      </c>
      <c r="D1797" t="s">
        <v>39</v>
      </c>
      <c r="E1797" t="s">
        <v>388</v>
      </c>
      <c r="G1797">
        <v>1</v>
      </c>
      <c r="H1797">
        <v>400</v>
      </c>
      <c r="J1797" cm="1">
        <f t="array" ref="J1797">_xlfn.SWITCH(B1797,1,75,2,61,3,49,4,37,5,25,6,13,7,4,8,1)</f>
        <v>49</v>
      </c>
      <c r="K1797" t="str" cm="1">
        <f t="array" ref="K1797">IFERROR(_xlfn.SWITCH(L1797,2,_xlfn.XLOOKUP(C1797,[1]ModifierDes!$B:$B,[1]ModifierDes!$C:$C),3,_xlfn.XLOOKUP(C1797,[1]StuntDes!$B:$B,[1]StuntDes!$C:$C)),"")</f>
        <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397</v>
      </c>
      <c r="D1798" t="s">
        <v>39</v>
      </c>
      <c r="E1798" t="s">
        <v>388</v>
      </c>
      <c r="G1798">
        <v>1</v>
      </c>
      <c r="H1798">
        <v>600</v>
      </c>
      <c r="J1798" cm="1">
        <f t="array" ref="J1798">_xlfn.SWITCH(B1798,1,75,2,61,3,49,4,37,5,25,6,13,7,4,8,1)</f>
        <v>37</v>
      </c>
      <c r="K1798" t="str" cm="1">
        <f t="array" ref="K1798">IFERROR(_xlfn.SWITCH(L1798,2,_xlfn.XLOOKUP(C1798,[1]ModifierDes!$B:$B,[1]ModifierDes!$C:$C),3,_xlfn.XLOOKUP(C1798,[1]StuntDes!$B:$B,[1]StuntDes!$C:$C)),"")</f>
        <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397</v>
      </c>
      <c r="D1799" t="s">
        <v>39</v>
      </c>
      <c r="E1799" t="s">
        <v>388</v>
      </c>
      <c r="G1799">
        <v>1</v>
      </c>
      <c r="H1799">
        <v>800</v>
      </c>
      <c r="J1799" cm="1">
        <f t="array" ref="J1799">_xlfn.SWITCH(B1799,1,75,2,61,3,49,4,37,5,25,6,13,7,4,8,1)</f>
        <v>25</v>
      </c>
      <c r="K1799" t="str" cm="1">
        <f t="array" ref="K1799">IFERROR(_xlfn.SWITCH(L1799,2,_xlfn.XLOOKUP(C1799,[1]ModifierDes!$B:$B,[1]ModifierDes!$C:$C),3,_xlfn.XLOOKUP(C1799,[1]StuntDes!$B:$B,[1]StuntDes!$C:$C)),"")</f>
        <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397</v>
      </c>
      <c r="D1800" t="s">
        <v>39</v>
      </c>
      <c r="E1800" t="s">
        <v>388</v>
      </c>
      <c r="G1800">
        <v>1</v>
      </c>
      <c r="H1800">
        <v>1000</v>
      </c>
      <c r="J1800" cm="1">
        <f t="array" ref="J1800">_xlfn.SWITCH(B1800,1,75,2,61,3,49,4,37,5,25,6,13,7,4,8,1)</f>
        <v>13</v>
      </c>
      <c r="K1800" t="str" cm="1">
        <f t="array" ref="K1800">IFERROR(_xlfn.SWITCH(L1800,2,_xlfn.XLOOKUP(C1800,[1]ModifierDes!$B:$B,[1]ModifierDes!$C:$C),3,_xlfn.XLOOKUP(C1800,[1]StuntDes!$B:$B,[1]StuntDes!$C:$C)),"")</f>
        <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397</v>
      </c>
      <c r="D1801" t="s">
        <v>39</v>
      </c>
      <c r="E1801" t="s">
        <v>388</v>
      </c>
      <c r="G1801">
        <v>1</v>
      </c>
      <c r="H1801">
        <v>1000</v>
      </c>
      <c r="J1801" cm="1">
        <f t="array" ref="J1801">_xlfn.SWITCH(B1801,1,75,2,61,3,49,4,37,5,25,6,13,7,4,8,1)</f>
        <v>4</v>
      </c>
      <c r="K1801" t="str" cm="1">
        <f t="array" ref="K1801">IFERROR(_xlfn.SWITCH(L1801,2,_xlfn.XLOOKUP(C1801,[1]ModifierDes!$B:$B,[1]ModifierDes!$C:$C),3,_xlfn.XLOOKUP(C1801,[1]StuntDes!$B:$B,[1]StuntDes!$C:$C)),"")</f>
        <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397</v>
      </c>
      <c r="D1802" t="s">
        <v>39</v>
      </c>
      <c r="E1802" t="s">
        <v>388</v>
      </c>
      <c r="G1802">
        <v>1</v>
      </c>
      <c r="H1802">
        <v>1000</v>
      </c>
      <c r="J1802" cm="1">
        <f t="array" ref="J1802">_xlfn.SWITCH(B1802,1,75,2,61,3,49,4,37,5,25,6,13,7,4,8,1)</f>
        <v>1</v>
      </c>
      <c r="K1802" t="str" cm="1">
        <f t="array" ref="K1802">IFERROR(_xlfn.SWITCH(L1802,2,_xlfn.XLOOKUP(C1802,[1]ModifierDes!$B:$B,[1]ModifierDes!$C:$C),3,_xlfn.XLOOKUP(C1802,[1]StuntDes!$B:$B,[1]StuntDes!$C:$C)),"")</f>
        <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399</v>
      </c>
      <c r="D1803" t="s">
        <v>39</v>
      </c>
      <c r="E1803" t="s">
        <v>388</v>
      </c>
      <c r="G1803">
        <v>1</v>
      </c>
      <c r="H1803">
        <v>1000</v>
      </c>
      <c r="J1803" cm="1">
        <f t="array" ref="J1803">_xlfn.SWITCH(B1803,1,75,2,61,3,49,4,37,5,25,6,13,7,4,8,1)</f>
        <v>75</v>
      </c>
      <c r="K1803" t="str" cm="1">
        <f t="array" ref="K1803">IFERROR(_xlfn.SWITCH(L1803,2,_xlfn.XLOOKUP(C1803,[1]ModifierDes!$B:$B,[1]ModifierDes!$C:$C),3,_xlfn.XLOOKUP(C1803,[1]StuntDes!$B:$B,[1]StuntDes!$C:$C)),"")</f>
        <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399</v>
      </c>
      <c r="D1804" t="s">
        <v>39</v>
      </c>
      <c r="E1804" t="s">
        <v>388</v>
      </c>
      <c r="G1804">
        <v>1</v>
      </c>
      <c r="H1804">
        <v>1000</v>
      </c>
      <c r="J1804" cm="1">
        <f t="array" ref="J1804">_xlfn.SWITCH(B1804,1,75,2,61,3,49,4,37,5,25,6,13,7,4,8,1)</f>
        <v>61</v>
      </c>
      <c r="K1804" t="str" cm="1">
        <f t="array" ref="K1804">IFERROR(_xlfn.SWITCH(L1804,2,_xlfn.XLOOKUP(C1804,[1]ModifierDes!$B:$B,[1]ModifierDes!$C:$C),3,_xlfn.XLOOKUP(C1804,[1]StuntDes!$B:$B,[1]StuntDes!$C:$C)),"")</f>
        <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399</v>
      </c>
      <c r="D1805" t="s">
        <v>39</v>
      </c>
      <c r="E1805" t="s">
        <v>388</v>
      </c>
      <c r="G1805">
        <v>1</v>
      </c>
      <c r="H1805">
        <v>1000</v>
      </c>
      <c r="J1805" cm="1">
        <f t="array" ref="J1805">_xlfn.SWITCH(B1805,1,75,2,61,3,49,4,37,5,25,6,13,7,4,8,1)</f>
        <v>49</v>
      </c>
      <c r="K1805" t="str" cm="1">
        <f t="array" ref="K1805">IFERROR(_xlfn.SWITCH(L1805,2,_xlfn.XLOOKUP(C1805,[1]ModifierDes!$B:$B,[1]ModifierDes!$C:$C),3,_xlfn.XLOOKUP(C1805,[1]StuntDes!$B:$B,[1]StuntDes!$C:$C)),"")</f>
        <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399</v>
      </c>
      <c r="D1806" t="s">
        <v>39</v>
      </c>
      <c r="E1806" t="s">
        <v>388</v>
      </c>
      <c r="G1806">
        <v>1</v>
      </c>
      <c r="H1806">
        <v>1000</v>
      </c>
      <c r="J1806" cm="1">
        <f t="array" ref="J1806">_xlfn.SWITCH(B1806,1,75,2,61,3,49,4,37,5,25,6,13,7,4,8,1)</f>
        <v>37</v>
      </c>
      <c r="K1806" t="str" cm="1">
        <f t="array" ref="K1806">IFERROR(_xlfn.SWITCH(L1806,2,_xlfn.XLOOKUP(C1806,[1]ModifierDes!$B:$B,[1]ModifierDes!$C:$C),3,_xlfn.XLOOKUP(C1806,[1]StuntDes!$B:$B,[1]StuntDes!$C:$C)),"")</f>
        <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399</v>
      </c>
      <c r="D1807" t="s">
        <v>39</v>
      </c>
      <c r="E1807" t="s">
        <v>388</v>
      </c>
      <c r="G1807">
        <v>1</v>
      </c>
      <c r="H1807">
        <v>1000</v>
      </c>
      <c r="J1807" cm="1">
        <f t="array" ref="J1807">_xlfn.SWITCH(B1807,1,75,2,61,3,49,4,37,5,25,6,13,7,4,8,1)</f>
        <v>25</v>
      </c>
      <c r="K1807" t="str" cm="1">
        <f t="array" ref="K1807">IFERROR(_xlfn.SWITCH(L1807,2,_xlfn.XLOOKUP(C1807,[1]ModifierDes!$B:$B,[1]ModifierDes!$C:$C),3,_xlfn.XLOOKUP(C1807,[1]StuntDes!$B:$B,[1]StuntDes!$C:$C)),"")</f>
        <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399</v>
      </c>
      <c r="D1808" t="s">
        <v>39</v>
      </c>
      <c r="E1808" t="s">
        <v>388</v>
      </c>
      <c r="G1808">
        <v>1</v>
      </c>
      <c r="H1808">
        <v>1000</v>
      </c>
      <c r="J1808" cm="1">
        <f t="array" ref="J1808">_xlfn.SWITCH(B1808,1,75,2,61,3,49,4,37,5,25,6,13,7,4,8,1)</f>
        <v>13</v>
      </c>
      <c r="K1808" t="str" cm="1">
        <f t="array" ref="K1808">IFERROR(_xlfn.SWITCH(L1808,2,_xlfn.XLOOKUP(C1808,[1]ModifierDes!$B:$B,[1]ModifierDes!$C:$C),3,_xlfn.XLOOKUP(C1808,[1]StuntDes!$B:$B,[1]StuntDes!$C:$C)),"")</f>
        <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399</v>
      </c>
      <c r="D1809" t="s">
        <v>39</v>
      </c>
      <c r="E1809" t="s">
        <v>388</v>
      </c>
      <c r="G1809">
        <v>1</v>
      </c>
      <c r="H1809">
        <v>1000</v>
      </c>
      <c r="J1809" cm="1">
        <f t="array" ref="J1809">_xlfn.SWITCH(B1809,1,75,2,61,3,49,4,37,5,25,6,13,7,4,8,1)</f>
        <v>4</v>
      </c>
      <c r="K1809" t="str" cm="1">
        <f t="array" ref="K1809">IFERROR(_xlfn.SWITCH(L1809,2,_xlfn.XLOOKUP(C1809,[1]ModifierDes!$B:$B,[1]ModifierDes!$C:$C),3,_xlfn.XLOOKUP(C1809,[1]StuntDes!$B:$B,[1]StuntDes!$C:$C)),"")</f>
        <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399</v>
      </c>
      <c r="D1810" t="s">
        <v>39</v>
      </c>
      <c r="E1810" t="s">
        <v>388</v>
      </c>
      <c r="G1810">
        <v>1</v>
      </c>
      <c r="H1810">
        <v>1000</v>
      </c>
      <c r="J1810" cm="1">
        <f t="array" ref="J1810">_xlfn.SWITCH(B1810,1,75,2,61,3,49,4,37,5,25,6,13,7,4,8,1)</f>
        <v>1</v>
      </c>
      <c r="K1810" t="str" cm="1">
        <f t="array" ref="K1810">IFERROR(_xlfn.SWITCH(L1810,2,_xlfn.XLOOKUP(C1810,[1]ModifierDes!$B:$B,[1]ModifierDes!$C:$C),3,_xlfn.XLOOKUP(C1810,[1]StuntDes!$B:$B,[1]StuntDes!$C:$C)),"")</f>
        <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444</v>
      </c>
      <c r="D1811" t="s">
        <v>39</v>
      </c>
      <c r="E1811" t="s">
        <v>388</v>
      </c>
      <c r="G1811">
        <v>1</v>
      </c>
      <c r="H1811">
        <v>1000</v>
      </c>
      <c r="J1811" cm="1">
        <f t="array" ref="J1811">_xlfn.SWITCH(B1811,1,75,2,61,3,49,4,37,5,25,6,13,7,4,8,1)</f>
        <v>75</v>
      </c>
      <c r="K1811" t="str" cm="1">
        <f t="array" ref="K1811">IFERROR(_xlfn.SWITCH(L1811,2,_xlfn.XLOOKUP(C1811,[1]ModifierDes!$B:$B,[1]ModifierDes!$C:$C),3,_xlfn.XLOOKUP(C1811,[1]StuntDes!$B:$B,[1]StuntDes!$C:$C)),"")</f>
        <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444</v>
      </c>
      <c r="D1812" t="s">
        <v>39</v>
      </c>
      <c r="E1812" t="s">
        <v>388</v>
      </c>
      <c r="G1812">
        <v>1</v>
      </c>
      <c r="H1812">
        <v>1000</v>
      </c>
      <c r="J1812" cm="1">
        <f t="array" ref="J1812">_xlfn.SWITCH(B1812,1,75,2,61,3,49,4,37,5,25,6,13,7,4,8,1)</f>
        <v>61</v>
      </c>
      <c r="K1812" t="str" cm="1">
        <f t="array" ref="K1812">IFERROR(_xlfn.SWITCH(L1812,2,_xlfn.XLOOKUP(C1812,[1]ModifierDes!$B:$B,[1]ModifierDes!$C:$C),3,_xlfn.XLOOKUP(C1812,[1]StuntDes!$B:$B,[1]StuntDes!$C:$C)),"")</f>
        <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444</v>
      </c>
      <c r="D1813" t="s">
        <v>39</v>
      </c>
      <c r="E1813" t="s">
        <v>388</v>
      </c>
      <c r="G1813">
        <v>1</v>
      </c>
      <c r="H1813">
        <v>1000</v>
      </c>
      <c r="J1813" cm="1">
        <f t="array" ref="J1813">_xlfn.SWITCH(B1813,1,75,2,61,3,49,4,37,5,25,6,13,7,4,8,1)</f>
        <v>49</v>
      </c>
      <c r="K1813" t="str" cm="1">
        <f t="array" ref="K1813">IFERROR(_xlfn.SWITCH(L1813,2,_xlfn.XLOOKUP(C1813,[1]ModifierDes!$B:$B,[1]ModifierDes!$C:$C),3,_xlfn.XLOOKUP(C1813,[1]StuntDes!$B:$B,[1]StuntDes!$C:$C)),"")</f>
        <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444</v>
      </c>
      <c r="D1814" t="s">
        <v>39</v>
      </c>
      <c r="E1814" t="s">
        <v>388</v>
      </c>
      <c r="G1814">
        <v>1</v>
      </c>
      <c r="H1814">
        <v>1000</v>
      </c>
      <c r="J1814" cm="1">
        <f t="array" ref="J1814">_xlfn.SWITCH(B1814,1,75,2,61,3,49,4,37,5,25,6,13,7,4,8,1)</f>
        <v>37</v>
      </c>
      <c r="K1814" t="str" cm="1">
        <f t="array" ref="K1814">IFERROR(_xlfn.SWITCH(L1814,2,_xlfn.XLOOKUP(C1814,[1]ModifierDes!$B:$B,[1]ModifierDes!$C:$C),3,_xlfn.XLOOKUP(C1814,[1]StuntDes!$B:$B,[1]StuntDes!$C:$C)),"")</f>
        <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444</v>
      </c>
      <c r="D1815" t="s">
        <v>39</v>
      </c>
      <c r="E1815" t="s">
        <v>388</v>
      </c>
      <c r="G1815">
        <v>1</v>
      </c>
      <c r="H1815">
        <v>1000</v>
      </c>
      <c r="J1815" cm="1">
        <f t="array" ref="J1815">_xlfn.SWITCH(B1815,1,75,2,61,3,49,4,37,5,25,6,13,7,4,8,1)</f>
        <v>25</v>
      </c>
      <c r="K1815" t="str" cm="1">
        <f t="array" ref="K1815">IFERROR(_xlfn.SWITCH(L1815,2,_xlfn.XLOOKUP(C1815,[1]ModifierDes!$B:$B,[1]ModifierDes!$C:$C),3,_xlfn.XLOOKUP(C1815,[1]StuntDes!$B:$B,[1]StuntDes!$C:$C)),"")</f>
        <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444</v>
      </c>
      <c r="D1816" t="s">
        <v>39</v>
      </c>
      <c r="E1816" t="s">
        <v>388</v>
      </c>
      <c r="G1816">
        <v>1</v>
      </c>
      <c r="H1816">
        <v>1000</v>
      </c>
      <c r="J1816" cm="1">
        <f t="array" ref="J1816">_xlfn.SWITCH(B1816,1,75,2,61,3,49,4,37,5,25,6,13,7,4,8,1)</f>
        <v>13</v>
      </c>
      <c r="K1816" t="str" cm="1">
        <f t="array" ref="K1816">IFERROR(_xlfn.SWITCH(L1816,2,_xlfn.XLOOKUP(C1816,[1]ModifierDes!$B:$B,[1]ModifierDes!$C:$C),3,_xlfn.XLOOKUP(C1816,[1]StuntDes!$B:$B,[1]StuntDes!$C:$C)),"")</f>
        <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444</v>
      </c>
      <c r="D1817" t="s">
        <v>39</v>
      </c>
      <c r="E1817" t="s">
        <v>388</v>
      </c>
      <c r="G1817">
        <v>1</v>
      </c>
      <c r="H1817">
        <v>1000</v>
      </c>
      <c r="J1817" cm="1">
        <f t="array" ref="J1817">_xlfn.SWITCH(B1817,1,75,2,61,3,49,4,37,5,25,6,13,7,4,8,1)</f>
        <v>4</v>
      </c>
      <c r="K1817" t="str" cm="1">
        <f t="array" ref="K1817">IFERROR(_xlfn.SWITCH(L1817,2,_xlfn.XLOOKUP(C1817,[1]ModifierDes!$B:$B,[1]ModifierDes!$C:$C),3,_xlfn.XLOOKUP(C1817,[1]StuntDes!$B:$B,[1]StuntDes!$C:$C)),"")</f>
        <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444</v>
      </c>
      <c r="D1818" t="s">
        <v>39</v>
      </c>
      <c r="E1818" t="s">
        <v>388</v>
      </c>
      <c r="G1818">
        <v>1</v>
      </c>
      <c r="H1818">
        <v>1000</v>
      </c>
      <c r="J1818" cm="1">
        <f t="array" ref="J1818">_xlfn.SWITCH(B1818,1,75,2,61,3,49,4,37,5,25,6,13,7,4,8,1)</f>
        <v>1</v>
      </c>
      <c r="K1818" t="str" cm="1">
        <f t="array" ref="K1818">IFERROR(_xlfn.SWITCH(L1818,2,_xlfn.XLOOKUP(C1818,[1]ModifierDes!$B:$B,[1]ModifierDes!$C:$C),3,_xlfn.XLOOKUP(C1818,[1]StuntDes!$B:$B,[1]StuntDes!$C:$C)),"")</f>
        <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445</v>
      </c>
      <c r="D1819" t="s">
        <v>39</v>
      </c>
      <c r="E1819" t="s">
        <v>388</v>
      </c>
      <c r="G1819">
        <v>1</v>
      </c>
      <c r="H1819">
        <v>1000</v>
      </c>
      <c r="J1819" cm="1">
        <f t="array" ref="J1819">_xlfn.SWITCH(B1819,1,75,2,61,3,49,4,37,5,25,6,13,7,4,8,1)</f>
        <v>75</v>
      </c>
      <c r="K1819" t="str" cm="1">
        <f t="array" ref="K1819">IFERROR(_xlfn.SWITCH(L1819,2,_xlfn.XLOOKUP(C1819,[1]ModifierDes!$B:$B,[1]ModifierDes!$C:$C),3,_xlfn.XLOOKUP(C1819,[1]StuntDes!$B:$B,[1]StuntDes!$C:$C)),"")</f>
        <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445</v>
      </c>
      <c r="D1820" t="s">
        <v>39</v>
      </c>
      <c r="E1820" t="s">
        <v>388</v>
      </c>
      <c r="G1820">
        <v>1</v>
      </c>
      <c r="H1820">
        <v>1000</v>
      </c>
      <c r="J1820" cm="1">
        <f t="array" ref="J1820">_xlfn.SWITCH(B1820,1,75,2,61,3,49,4,37,5,25,6,13,7,4,8,1)</f>
        <v>61</v>
      </c>
      <c r="K1820" t="str" cm="1">
        <f t="array" ref="K1820">IFERROR(_xlfn.SWITCH(L1820,2,_xlfn.XLOOKUP(C1820,[1]ModifierDes!$B:$B,[1]ModifierDes!$C:$C),3,_xlfn.XLOOKUP(C1820,[1]StuntDes!$B:$B,[1]StuntDes!$C:$C)),"")</f>
        <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445</v>
      </c>
      <c r="D1821" t="s">
        <v>39</v>
      </c>
      <c r="E1821" t="s">
        <v>388</v>
      </c>
      <c r="G1821">
        <v>1</v>
      </c>
      <c r="H1821">
        <v>1000</v>
      </c>
      <c r="J1821" cm="1">
        <f t="array" ref="J1821">_xlfn.SWITCH(B1821,1,75,2,61,3,49,4,37,5,25,6,13,7,4,8,1)</f>
        <v>49</v>
      </c>
      <c r="K1821" t="str" cm="1">
        <f t="array" ref="K1821">IFERROR(_xlfn.SWITCH(L1821,2,_xlfn.XLOOKUP(C1821,[1]ModifierDes!$B:$B,[1]ModifierDes!$C:$C),3,_xlfn.XLOOKUP(C1821,[1]StuntDes!$B:$B,[1]StuntDes!$C:$C)),"")</f>
        <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445</v>
      </c>
      <c r="D1822" t="s">
        <v>39</v>
      </c>
      <c r="E1822" t="s">
        <v>388</v>
      </c>
      <c r="G1822">
        <v>1</v>
      </c>
      <c r="H1822">
        <v>1000</v>
      </c>
      <c r="J1822" cm="1">
        <f t="array" ref="J1822">_xlfn.SWITCH(B1822,1,75,2,61,3,49,4,37,5,25,6,13,7,4,8,1)</f>
        <v>37</v>
      </c>
      <c r="K1822" t="str" cm="1">
        <f t="array" ref="K1822">IFERROR(_xlfn.SWITCH(L1822,2,_xlfn.XLOOKUP(C1822,[1]ModifierDes!$B:$B,[1]ModifierDes!$C:$C),3,_xlfn.XLOOKUP(C1822,[1]StuntDes!$B:$B,[1]StuntDes!$C:$C)),"")</f>
        <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445</v>
      </c>
      <c r="D1823" t="s">
        <v>39</v>
      </c>
      <c r="E1823" t="s">
        <v>388</v>
      </c>
      <c r="G1823">
        <v>1</v>
      </c>
      <c r="H1823">
        <v>1000</v>
      </c>
      <c r="J1823" cm="1">
        <f t="array" ref="J1823">_xlfn.SWITCH(B1823,1,75,2,61,3,49,4,37,5,25,6,13,7,4,8,1)</f>
        <v>25</v>
      </c>
      <c r="K1823" t="str" cm="1">
        <f t="array" ref="K1823">IFERROR(_xlfn.SWITCH(L1823,2,_xlfn.XLOOKUP(C1823,[1]ModifierDes!$B:$B,[1]ModifierDes!$C:$C),3,_xlfn.XLOOKUP(C1823,[1]StuntDes!$B:$B,[1]StuntDes!$C:$C)),"")</f>
        <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445</v>
      </c>
      <c r="D1824" t="s">
        <v>39</v>
      </c>
      <c r="E1824" t="s">
        <v>388</v>
      </c>
      <c r="G1824">
        <v>1</v>
      </c>
      <c r="H1824">
        <v>1000</v>
      </c>
      <c r="J1824" cm="1">
        <f t="array" ref="J1824">_xlfn.SWITCH(B1824,1,75,2,61,3,49,4,37,5,25,6,13,7,4,8,1)</f>
        <v>13</v>
      </c>
      <c r="K1824" t="str" cm="1">
        <f t="array" ref="K1824">IFERROR(_xlfn.SWITCH(L1824,2,_xlfn.XLOOKUP(C1824,[1]ModifierDes!$B:$B,[1]ModifierDes!$C:$C),3,_xlfn.XLOOKUP(C1824,[1]StuntDes!$B:$B,[1]StuntDes!$C:$C)),"")</f>
        <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445</v>
      </c>
      <c r="D1825" t="s">
        <v>39</v>
      </c>
      <c r="E1825" t="s">
        <v>388</v>
      </c>
      <c r="G1825">
        <v>1</v>
      </c>
      <c r="H1825">
        <v>1000</v>
      </c>
      <c r="J1825" cm="1">
        <f t="array" ref="J1825">_xlfn.SWITCH(B1825,1,75,2,61,3,49,4,37,5,25,6,13,7,4,8,1)</f>
        <v>4</v>
      </c>
      <c r="K1825" t="str" cm="1">
        <f t="array" ref="K1825">IFERROR(_xlfn.SWITCH(L1825,2,_xlfn.XLOOKUP(C1825,[1]ModifierDes!$B:$B,[1]ModifierDes!$C:$C),3,_xlfn.XLOOKUP(C1825,[1]StuntDes!$B:$B,[1]StuntDes!$C:$C)),"")</f>
        <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445</v>
      </c>
      <c r="D1826" t="s">
        <v>39</v>
      </c>
      <c r="E1826" t="s">
        <v>388</v>
      </c>
      <c r="G1826">
        <v>1</v>
      </c>
      <c r="H1826">
        <v>1000</v>
      </c>
      <c r="J1826" cm="1">
        <f t="array" ref="J1826">_xlfn.SWITCH(B1826,1,75,2,61,3,49,4,37,5,25,6,13,7,4,8,1)</f>
        <v>1</v>
      </c>
      <c r="K1826" t="str" cm="1">
        <f t="array" ref="K1826">IFERROR(_xlfn.SWITCH(L1826,2,_xlfn.XLOOKUP(C1826,[1]ModifierDes!$B:$B,[1]ModifierDes!$C:$C),3,_xlfn.XLOOKUP(C1826,[1]StuntDes!$B:$B,[1]StuntDes!$C:$C)),"")</f>
        <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446</v>
      </c>
      <c r="D1827" t="s">
        <v>39</v>
      </c>
      <c r="E1827" t="s">
        <v>388</v>
      </c>
      <c r="G1827">
        <v>1</v>
      </c>
      <c r="H1827">
        <v>1000</v>
      </c>
      <c r="J1827" cm="1">
        <f t="array" ref="J1827">_xlfn.SWITCH(B1827,1,75,2,61,3,49,4,37,5,25,6,13,7,4,8,1)</f>
        <v>75</v>
      </c>
      <c r="K1827" t="str" cm="1">
        <f t="array" ref="K1827">IFERROR(_xlfn.SWITCH(L1827,2,_xlfn.XLOOKUP(C1827,[1]ModifierDes!$B:$B,[1]ModifierDes!$C:$C),3,_xlfn.XLOOKUP(C1827,[1]StuntDes!$B:$B,[1]StuntDes!$C:$C)),"")</f>
        <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446</v>
      </c>
      <c r="D1828" t="s">
        <v>39</v>
      </c>
      <c r="E1828" t="s">
        <v>388</v>
      </c>
      <c r="G1828">
        <v>1</v>
      </c>
      <c r="H1828">
        <v>1000</v>
      </c>
      <c r="J1828" cm="1">
        <f t="array" ref="J1828">_xlfn.SWITCH(B1828,1,75,2,61,3,49,4,37,5,25,6,13,7,4,8,1)</f>
        <v>61</v>
      </c>
      <c r="K1828" t="str" cm="1">
        <f t="array" ref="K1828">IFERROR(_xlfn.SWITCH(L1828,2,_xlfn.XLOOKUP(C1828,[1]ModifierDes!$B:$B,[1]ModifierDes!$C:$C),3,_xlfn.XLOOKUP(C1828,[1]StuntDes!$B:$B,[1]StuntDes!$C:$C)),"")</f>
        <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446</v>
      </c>
      <c r="D1829" t="s">
        <v>39</v>
      </c>
      <c r="E1829" t="s">
        <v>388</v>
      </c>
      <c r="G1829">
        <v>1</v>
      </c>
      <c r="H1829">
        <v>1000</v>
      </c>
      <c r="J1829" cm="1">
        <f t="array" ref="J1829">_xlfn.SWITCH(B1829,1,75,2,61,3,49,4,37,5,25,6,13,7,4,8,1)</f>
        <v>49</v>
      </c>
      <c r="K1829" t="str" cm="1">
        <f t="array" ref="K1829">IFERROR(_xlfn.SWITCH(L1829,2,_xlfn.XLOOKUP(C1829,[1]ModifierDes!$B:$B,[1]ModifierDes!$C:$C),3,_xlfn.XLOOKUP(C1829,[1]StuntDes!$B:$B,[1]StuntDes!$C:$C)),"")</f>
        <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446</v>
      </c>
      <c r="D1830" t="s">
        <v>39</v>
      </c>
      <c r="E1830" t="s">
        <v>388</v>
      </c>
      <c r="G1830">
        <v>1</v>
      </c>
      <c r="H1830">
        <v>1000</v>
      </c>
      <c r="J1830" cm="1">
        <f t="array" ref="J1830">_xlfn.SWITCH(B1830,1,75,2,61,3,49,4,37,5,25,6,13,7,4,8,1)</f>
        <v>37</v>
      </c>
      <c r="K1830" t="str" cm="1">
        <f t="array" ref="K1830">IFERROR(_xlfn.SWITCH(L1830,2,_xlfn.XLOOKUP(C1830,[1]ModifierDes!$B:$B,[1]ModifierDes!$C:$C),3,_xlfn.XLOOKUP(C1830,[1]StuntDes!$B:$B,[1]StuntDes!$C:$C)),"")</f>
        <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446</v>
      </c>
      <c r="D1831" t="s">
        <v>39</v>
      </c>
      <c r="E1831" t="s">
        <v>388</v>
      </c>
      <c r="G1831">
        <v>1</v>
      </c>
      <c r="H1831">
        <v>1000</v>
      </c>
      <c r="J1831" cm="1">
        <f t="array" ref="J1831">_xlfn.SWITCH(B1831,1,75,2,61,3,49,4,37,5,25,6,13,7,4,8,1)</f>
        <v>25</v>
      </c>
      <c r="K1831" t="str" cm="1">
        <f t="array" ref="K1831">IFERROR(_xlfn.SWITCH(L1831,2,_xlfn.XLOOKUP(C1831,[1]ModifierDes!$B:$B,[1]ModifierDes!$C:$C),3,_xlfn.XLOOKUP(C1831,[1]StuntDes!$B:$B,[1]StuntDes!$C:$C)),"")</f>
        <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446</v>
      </c>
      <c r="D1832" t="s">
        <v>39</v>
      </c>
      <c r="E1832" t="s">
        <v>388</v>
      </c>
      <c r="G1832">
        <v>1</v>
      </c>
      <c r="H1832">
        <v>1000</v>
      </c>
      <c r="J1832" cm="1">
        <f t="array" ref="J1832">_xlfn.SWITCH(B1832,1,75,2,61,3,49,4,37,5,25,6,13,7,4,8,1)</f>
        <v>13</v>
      </c>
      <c r="K1832" t="str" cm="1">
        <f t="array" ref="K1832">IFERROR(_xlfn.SWITCH(L1832,2,_xlfn.XLOOKUP(C1832,[1]ModifierDes!$B:$B,[1]ModifierDes!$C:$C),3,_xlfn.XLOOKUP(C1832,[1]StuntDes!$B:$B,[1]StuntDes!$C:$C)),"")</f>
        <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446</v>
      </c>
      <c r="D1833" t="s">
        <v>39</v>
      </c>
      <c r="E1833" t="s">
        <v>388</v>
      </c>
      <c r="G1833">
        <v>1</v>
      </c>
      <c r="H1833">
        <v>1000</v>
      </c>
      <c r="J1833" cm="1">
        <f t="array" ref="J1833">_xlfn.SWITCH(B1833,1,75,2,61,3,49,4,37,5,25,6,13,7,4,8,1)</f>
        <v>4</v>
      </c>
      <c r="K1833" t="str" cm="1">
        <f t="array" ref="K1833">IFERROR(_xlfn.SWITCH(L1833,2,_xlfn.XLOOKUP(C1833,[1]ModifierDes!$B:$B,[1]ModifierDes!$C:$C),3,_xlfn.XLOOKUP(C1833,[1]StuntDes!$B:$B,[1]StuntDes!$C:$C)),"")</f>
        <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446</v>
      </c>
      <c r="D1834" t="s">
        <v>39</v>
      </c>
      <c r="E1834" t="s">
        <v>388</v>
      </c>
      <c r="G1834">
        <v>1</v>
      </c>
      <c r="H1834">
        <v>1000</v>
      </c>
      <c r="J1834" cm="1">
        <f t="array" ref="J1834">_xlfn.SWITCH(B1834,1,75,2,61,3,49,4,37,5,25,6,13,7,4,8,1)</f>
        <v>1</v>
      </c>
      <c r="K1834" t="str" cm="1">
        <f t="array" ref="K1834">IFERROR(_xlfn.SWITCH(L1834,2,_xlfn.XLOOKUP(C1834,[1]ModifierDes!$B:$B,[1]ModifierDes!$C:$C),3,_xlfn.XLOOKUP(C1834,[1]StuntDes!$B:$B,[1]StuntDes!$C:$C)),"")</f>
        <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401</v>
      </c>
      <c r="D1835" t="s">
        <v>39</v>
      </c>
      <c r="E1835" t="s">
        <v>388</v>
      </c>
      <c r="G1835">
        <v>1</v>
      </c>
      <c r="H1835">
        <v>1000</v>
      </c>
      <c r="J1835" cm="1">
        <f t="array" ref="J1835">_xlfn.SWITCH(B1835,1,75,2,61,3,49,4,37,5,25,6,13,7,4,8,1)</f>
        <v>75</v>
      </c>
      <c r="K1835" t="str" cm="1">
        <f t="array" ref="K1835">IFERROR(_xlfn.SWITCH(L1835,2,_xlfn.XLOOKUP(C1835,[1]ModifierDes!$B:$B,[1]ModifierDes!$C:$C),3,_xlfn.XLOOKUP(C1835,[1]StuntDes!$B:$B,[1]StuntDes!$C:$C)),"")</f>
        <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401</v>
      </c>
      <c r="D1836" t="s">
        <v>39</v>
      </c>
      <c r="E1836" t="s">
        <v>388</v>
      </c>
      <c r="G1836">
        <v>1</v>
      </c>
      <c r="H1836">
        <v>1000</v>
      </c>
      <c r="J1836" cm="1">
        <f t="array" ref="J1836">_xlfn.SWITCH(B1836,1,75,2,61,3,49,4,37,5,25,6,13,7,4,8,1)</f>
        <v>61</v>
      </c>
      <c r="K1836" t="str" cm="1">
        <f t="array" ref="K1836">IFERROR(_xlfn.SWITCH(L1836,2,_xlfn.XLOOKUP(C1836,[1]ModifierDes!$B:$B,[1]ModifierDes!$C:$C),3,_xlfn.XLOOKUP(C1836,[1]StuntDes!$B:$B,[1]StuntDes!$C:$C)),"")</f>
        <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401</v>
      </c>
      <c r="D1837" t="s">
        <v>39</v>
      </c>
      <c r="E1837" t="s">
        <v>388</v>
      </c>
      <c r="G1837">
        <v>1</v>
      </c>
      <c r="H1837">
        <v>1000</v>
      </c>
      <c r="J1837" cm="1">
        <f t="array" ref="J1837">_xlfn.SWITCH(B1837,1,75,2,61,3,49,4,37,5,25,6,13,7,4,8,1)</f>
        <v>49</v>
      </c>
      <c r="K1837" t="str" cm="1">
        <f t="array" ref="K1837">IFERROR(_xlfn.SWITCH(L1837,2,_xlfn.XLOOKUP(C1837,[1]ModifierDes!$B:$B,[1]ModifierDes!$C:$C),3,_xlfn.XLOOKUP(C1837,[1]StuntDes!$B:$B,[1]StuntDes!$C:$C)),"")</f>
        <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401</v>
      </c>
      <c r="D1838" t="s">
        <v>39</v>
      </c>
      <c r="E1838" t="s">
        <v>388</v>
      </c>
      <c r="G1838">
        <v>1</v>
      </c>
      <c r="H1838">
        <v>1000</v>
      </c>
      <c r="J1838" cm="1">
        <f t="array" ref="J1838">_xlfn.SWITCH(B1838,1,75,2,61,3,49,4,37,5,25,6,13,7,4,8,1)</f>
        <v>37</v>
      </c>
      <c r="K1838" t="str" cm="1">
        <f t="array" ref="K1838">IFERROR(_xlfn.SWITCH(L1838,2,_xlfn.XLOOKUP(C1838,[1]ModifierDes!$B:$B,[1]ModifierDes!$C:$C),3,_xlfn.XLOOKUP(C1838,[1]StuntDes!$B:$B,[1]StuntDes!$C:$C)),"")</f>
        <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401</v>
      </c>
      <c r="D1839" t="s">
        <v>39</v>
      </c>
      <c r="E1839" t="s">
        <v>388</v>
      </c>
      <c r="G1839">
        <v>1</v>
      </c>
      <c r="H1839">
        <v>1000</v>
      </c>
      <c r="J1839" cm="1">
        <f t="array" ref="J1839">_xlfn.SWITCH(B1839,1,75,2,61,3,49,4,37,5,25,6,13,7,4,8,1)</f>
        <v>25</v>
      </c>
      <c r="K1839" t="str" cm="1">
        <f t="array" ref="K1839">IFERROR(_xlfn.SWITCH(L1839,2,_xlfn.XLOOKUP(C1839,[1]ModifierDes!$B:$B,[1]ModifierDes!$C:$C),3,_xlfn.XLOOKUP(C1839,[1]StuntDes!$B:$B,[1]StuntDes!$C:$C)),"")</f>
        <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401</v>
      </c>
      <c r="D1840" t="s">
        <v>39</v>
      </c>
      <c r="E1840" t="s">
        <v>388</v>
      </c>
      <c r="G1840">
        <v>1</v>
      </c>
      <c r="H1840">
        <v>1000</v>
      </c>
      <c r="J1840" cm="1">
        <f t="array" ref="J1840">_xlfn.SWITCH(B1840,1,75,2,61,3,49,4,37,5,25,6,13,7,4,8,1)</f>
        <v>13</v>
      </c>
      <c r="K1840" t="str" cm="1">
        <f t="array" ref="K1840">IFERROR(_xlfn.SWITCH(L1840,2,_xlfn.XLOOKUP(C1840,[1]ModifierDes!$B:$B,[1]ModifierDes!$C:$C),3,_xlfn.XLOOKUP(C1840,[1]StuntDes!$B:$B,[1]StuntDes!$C:$C)),"")</f>
        <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401</v>
      </c>
      <c r="D1841" t="s">
        <v>39</v>
      </c>
      <c r="E1841" t="s">
        <v>388</v>
      </c>
      <c r="G1841">
        <v>1</v>
      </c>
      <c r="H1841">
        <v>1000</v>
      </c>
      <c r="J1841" cm="1">
        <f t="array" ref="J1841">_xlfn.SWITCH(B1841,1,75,2,61,3,49,4,37,5,25,6,13,7,4,8,1)</f>
        <v>4</v>
      </c>
      <c r="K1841" t="str" cm="1">
        <f t="array" ref="K1841">IFERROR(_xlfn.SWITCH(L1841,2,_xlfn.XLOOKUP(C1841,[1]ModifierDes!$B:$B,[1]ModifierDes!$C:$C),3,_xlfn.XLOOKUP(C1841,[1]StuntDes!$B:$B,[1]StuntDes!$C:$C)),"")</f>
        <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401</v>
      </c>
      <c r="D1842" t="s">
        <v>39</v>
      </c>
      <c r="E1842" t="s">
        <v>388</v>
      </c>
      <c r="G1842">
        <v>1</v>
      </c>
      <c r="H1842">
        <v>1000</v>
      </c>
      <c r="J1842" cm="1">
        <f t="array" ref="J1842">_xlfn.SWITCH(B1842,1,75,2,61,3,49,4,37,5,25,6,13,7,4,8,1)</f>
        <v>1</v>
      </c>
      <c r="K1842" t="str" cm="1">
        <f t="array" ref="K1842">IFERROR(_xlfn.SWITCH(L1842,2,_xlfn.XLOOKUP(C1842,[1]ModifierDes!$B:$B,[1]ModifierDes!$C:$C),3,_xlfn.XLOOKUP(C1842,[1]StuntDes!$B:$B,[1]StuntDes!$C:$C)),"")</f>
        <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432</v>
      </c>
      <c r="D1843" t="s">
        <v>39</v>
      </c>
      <c r="E1843" t="s">
        <v>405</v>
      </c>
      <c r="G1843">
        <v>2</v>
      </c>
      <c r="H1843">
        <v>1000</v>
      </c>
      <c r="J1843" cm="1">
        <f t="array" ref="J1843">_xlfn.SWITCH(B1843,1,75,2,61,3,49,4,37,5,25,6,13,7,4,8,1)</f>
        <v>75</v>
      </c>
      <c r="K1843" t="str" cm="1">
        <f t="array" ref="K1843">IFERROR(_xlfn.SWITCH(L1843,2,_xlfn.XLOOKUP(C1843,[1]ModifierDes!$B:$B,[1]ModifierDes!$C:$C),3,_xlfn.XLOOKUP(C1843,[1]StuntDes!$B:$B,[1]StuntDes!$C:$C)),"")</f>
        <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432</v>
      </c>
      <c r="D1844" t="s">
        <v>39</v>
      </c>
      <c r="E1844" t="s">
        <v>405</v>
      </c>
      <c r="G1844">
        <v>2</v>
      </c>
      <c r="H1844">
        <v>1000</v>
      </c>
      <c r="J1844" cm="1">
        <f t="array" ref="J1844">_xlfn.SWITCH(B1844,1,75,2,61,3,49,4,37,5,25,6,13,7,4,8,1)</f>
        <v>61</v>
      </c>
      <c r="K1844" t="str" cm="1">
        <f t="array" ref="K1844">IFERROR(_xlfn.SWITCH(L1844,2,_xlfn.XLOOKUP(C1844,[1]ModifierDes!$B:$B,[1]ModifierDes!$C:$C),3,_xlfn.XLOOKUP(C1844,[1]StuntDes!$B:$B,[1]StuntDes!$C:$C)),"")</f>
        <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432</v>
      </c>
      <c r="D1845" t="s">
        <v>39</v>
      </c>
      <c r="E1845" t="s">
        <v>405</v>
      </c>
      <c r="G1845">
        <v>2</v>
      </c>
      <c r="H1845">
        <v>1000</v>
      </c>
      <c r="J1845" cm="1">
        <f t="array" ref="J1845">_xlfn.SWITCH(B1845,1,75,2,61,3,49,4,37,5,25,6,13,7,4,8,1)</f>
        <v>49</v>
      </c>
      <c r="K1845" t="str" cm="1">
        <f t="array" ref="K1845">IFERROR(_xlfn.SWITCH(L1845,2,_xlfn.XLOOKUP(C1845,[1]ModifierDes!$B:$B,[1]ModifierDes!$C:$C),3,_xlfn.XLOOKUP(C1845,[1]StuntDes!$B:$B,[1]StuntDes!$C:$C)),"")</f>
        <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432</v>
      </c>
      <c r="D1846" t="s">
        <v>39</v>
      </c>
      <c r="E1846" t="s">
        <v>405</v>
      </c>
      <c r="G1846">
        <v>2</v>
      </c>
      <c r="H1846">
        <v>1000</v>
      </c>
      <c r="J1846" cm="1">
        <f t="array" ref="J1846">_xlfn.SWITCH(B1846,1,75,2,61,3,49,4,37,5,25,6,13,7,4,8,1)</f>
        <v>37</v>
      </c>
      <c r="K1846" t="str" cm="1">
        <f t="array" ref="K1846">IFERROR(_xlfn.SWITCH(L1846,2,_xlfn.XLOOKUP(C1846,[1]ModifierDes!$B:$B,[1]ModifierDes!$C:$C),3,_xlfn.XLOOKUP(C1846,[1]StuntDes!$B:$B,[1]StuntDes!$C:$C)),"")</f>
        <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432</v>
      </c>
      <c r="D1847" t="s">
        <v>39</v>
      </c>
      <c r="E1847" t="s">
        <v>405</v>
      </c>
      <c r="G1847">
        <v>2</v>
      </c>
      <c r="H1847">
        <v>1000</v>
      </c>
      <c r="J1847" cm="1">
        <f t="array" ref="J1847">_xlfn.SWITCH(B1847,1,75,2,61,3,49,4,37,5,25,6,13,7,4,8,1)</f>
        <v>25</v>
      </c>
      <c r="K1847" t="str" cm="1">
        <f t="array" ref="K1847">IFERROR(_xlfn.SWITCH(L1847,2,_xlfn.XLOOKUP(C1847,[1]ModifierDes!$B:$B,[1]ModifierDes!$C:$C),3,_xlfn.XLOOKUP(C1847,[1]StuntDes!$B:$B,[1]StuntDes!$C:$C)),"")</f>
        <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432</v>
      </c>
      <c r="D1848" t="s">
        <v>39</v>
      </c>
      <c r="E1848" t="s">
        <v>405</v>
      </c>
      <c r="G1848">
        <v>2</v>
      </c>
      <c r="H1848">
        <v>1000</v>
      </c>
      <c r="J1848" cm="1">
        <f t="array" ref="J1848">_xlfn.SWITCH(B1848,1,75,2,61,3,49,4,37,5,25,6,13,7,4,8,1)</f>
        <v>13</v>
      </c>
      <c r="K1848" t="str" cm="1">
        <f t="array" ref="K1848">IFERROR(_xlfn.SWITCH(L1848,2,_xlfn.XLOOKUP(C1848,[1]ModifierDes!$B:$B,[1]ModifierDes!$C:$C),3,_xlfn.XLOOKUP(C1848,[1]StuntDes!$B:$B,[1]StuntDes!$C:$C)),"")</f>
        <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432</v>
      </c>
      <c r="D1849" t="s">
        <v>39</v>
      </c>
      <c r="E1849" t="s">
        <v>405</v>
      </c>
      <c r="G1849">
        <v>2</v>
      </c>
      <c r="H1849">
        <v>1000</v>
      </c>
      <c r="J1849" cm="1">
        <f t="array" ref="J1849">_xlfn.SWITCH(B1849,1,75,2,61,3,49,4,37,5,25,6,13,7,4,8,1)</f>
        <v>4</v>
      </c>
      <c r="K1849" t="str" cm="1">
        <f t="array" ref="K1849">IFERROR(_xlfn.SWITCH(L1849,2,_xlfn.XLOOKUP(C1849,[1]ModifierDes!$B:$B,[1]ModifierDes!$C:$C),3,_xlfn.XLOOKUP(C1849,[1]StuntDes!$B:$B,[1]StuntDes!$C:$C)),"")</f>
        <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432</v>
      </c>
      <c r="D1850" t="s">
        <v>39</v>
      </c>
      <c r="E1850" t="s">
        <v>405</v>
      </c>
      <c r="G1850">
        <v>2</v>
      </c>
      <c r="H1850">
        <v>1000</v>
      </c>
      <c r="J1850" cm="1">
        <f t="array" ref="J1850">_xlfn.SWITCH(B1850,1,75,2,61,3,49,4,37,5,25,6,13,7,4,8,1)</f>
        <v>1</v>
      </c>
      <c r="K1850" t="str" cm="1">
        <f t="array" ref="K1850">IFERROR(_xlfn.SWITCH(L1850,2,_xlfn.XLOOKUP(C1850,[1]ModifierDes!$B:$B,[1]ModifierDes!$C:$C),3,_xlfn.XLOOKUP(C1850,[1]StuntDes!$B:$B,[1]StuntDes!$C:$C)),"")</f>
        <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433</v>
      </c>
      <c r="D1851" t="s">
        <v>39</v>
      </c>
      <c r="E1851" t="s">
        <v>405</v>
      </c>
      <c r="G1851">
        <v>2</v>
      </c>
      <c r="H1851">
        <v>1000</v>
      </c>
      <c r="J1851" cm="1">
        <f t="array" ref="J1851">_xlfn.SWITCH(B1851,1,75,2,61,3,49,4,37,5,25,6,13,7,4,8,1)</f>
        <v>75</v>
      </c>
      <c r="K1851" t="str" cm="1">
        <f t="array" ref="K1851">IFERROR(_xlfn.SWITCH(L1851,2,_xlfn.XLOOKUP(C1851,[1]ModifierDes!$B:$B,[1]ModifierDes!$C:$C),3,_xlfn.XLOOKUP(C1851,[1]StuntDes!$B:$B,[1]StuntDes!$C:$C)),"")</f>
        <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433</v>
      </c>
      <c r="D1852" t="s">
        <v>39</v>
      </c>
      <c r="E1852" t="s">
        <v>405</v>
      </c>
      <c r="G1852">
        <v>2</v>
      </c>
      <c r="H1852">
        <v>1000</v>
      </c>
      <c r="J1852" cm="1">
        <f t="array" ref="J1852">_xlfn.SWITCH(B1852,1,75,2,61,3,49,4,37,5,25,6,13,7,4,8,1)</f>
        <v>61</v>
      </c>
      <c r="K1852" t="str" cm="1">
        <f t="array" ref="K1852">IFERROR(_xlfn.SWITCH(L1852,2,_xlfn.XLOOKUP(C1852,[1]ModifierDes!$B:$B,[1]ModifierDes!$C:$C),3,_xlfn.XLOOKUP(C1852,[1]StuntDes!$B:$B,[1]StuntDes!$C:$C)),"")</f>
        <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433</v>
      </c>
      <c r="D1853" t="s">
        <v>39</v>
      </c>
      <c r="E1853" t="s">
        <v>405</v>
      </c>
      <c r="G1853">
        <v>2</v>
      </c>
      <c r="H1853">
        <v>1000</v>
      </c>
      <c r="J1853" cm="1">
        <f t="array" ref="J1853">_xlfn.SWITCH(B1853,1,75,2,61,3,49,4,37,5,25,6,13,7,4,8,1)</f>
        <v>49</v>
      </c>
      <c r="K1853" t="str" cm="1">
        <f t="array" ref="K1853">IFERROR(_xlfn.SWITCH(L1853,2,_xlfn.XLOOKUP(C1853,[1]ModifierDes!$B:$B,[1]ModifierDes!$C:$C),3,_xlfn.XLOOKUP(C1853,[1]StuntDes!$B:$B,[1]StuntDes!$C:$C)),"")</f>
        <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433</v>
      </c>
      <c r="D1854" t="s">
        <v>39</v>
      </c>
      <c r="E1854" t="s">
        <v>405</v>
      </c>
      <c r="G1854">
        <v>2</v>
      </c>
      <c r="H1854">
        <v>1000</v>
      </c>
      <c r="J1854" cm="1">
        <f t="array" ref="J1854">_xlfn.SWITCH(B1854,1,75,2,61,3,49,4,37,5,25,6,13,7,4,8,1)</f>
        <v>37</v>
      </c>
      <c r="K1854" t="str" cm="1">
        <f t="array" ref="K1854">IFERROR(_xlfn.SWITCH(L1854,2,_xlfn.XLOOKUP(C1854,[1]ModifierDes!$B:$B,[1]ModifierDes!$C:$C),3,_xlfn.XLOOKUP(C1854,[1]StuntDes!$B:$B,[1]StuntDes!$C:$C)),"")</f>
        <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433</v>
      </c>
      <c r="D1855" t="s">
        <v>39</v>
      </c>
      <c r="E1855" t="s">
        <v>405</v>
      </c>
      <c r="G1855">
        <v>2</v>
      </c>
      <c r="H1855">
        <v>1000</v>
      </c>
      <c r="J1855" cm="1">
        <f t="array" ref="J1855">_xlfn.SWITCH(B1855,1,75,2,61,3,49,4,37,5,25,6,13,7,4,8,1)</f>
        <v>25</v>
      </c>
      <c r="K1855" t="str" cm="1">
        <f t="array" ref="K1855">IFERROR(_xlfn.SWITCH(L1855,2,_xlfn.XLOOKUP(C1855,[1]ModifierDes!$B:$B,[1]ModifierDes!$C:$C),3,_xlfn.XLOOKUP(C1855,[1]StuntDes!$B:$B,[1]StuntDes!$C:$C)),"")</f>
        <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433</v>
      </c>
      <c r="D1856" t="s">
        <v>39</v>
      </c>
      <c r="E1856" t="s">
        <v>405</v>
      </c>
      <c r="G1856">
        <v>2</v>
      </c>
      <c r="H1856">
        <v>1000</v>
      </c>
      <c r="J1856" cm="1">
        <f t="array" ref="J1856">_xlfn.SWITCH(B1856,1,75,2,61,3,49,4,37,5,25,6,13,7,4,8,1)</f>
        <v>13</v>
      </c>
      <c r="K1856" t="str" cm="1">
        <f t="array" ref="K1856">IFERROR(_xlfn.SWITCH(L1856,2,_xlfn.XLOOKUP(C1856,[1]ModifierDes!$B:$B,[1]ModifierDes!$C:$C),3,_xlfn.XLOOKUP(C1856,[1]StuntDes!$B:$B,[1]StuntDes!$C:$C)),"")</f>
        <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433</v>
      </c>
      <c r="D1857" t="s">
        <v>39</v>
      </c>
      <c r="E1857" t="s">
        <v>405</v>
      </c>
      <c r="G1857">
        <v>2</v>
      </c>
      <c r="H1857">
        <v>1000</v>
      </c>
      <c r="J1857" cm="1">
        <f t="array" ref="J1857">_xlfn.SWITCH(B1857,1,75,2,61,3,49,4,37,5,25,6,13,7,4,8,1)</f>
        <v>4</v>
      </c>
      <c r="K1857" t="str" cm="1">
        <f t="array" ref="K1857">IFERROR(_xlfn.SWITCH(L1857,2,_xlfn.XLOOKUP(C1857,[1]ModifierDes!$B:$B,[1]ModifierDes!$C:$C),3,_xlfn.XLOOKUP(C1857,[1]StuntDes!$B:$B,[1]StuntDes!$C:$C)),"")</f>
        <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433</v>
      </c>
      <c r="D1858" t="s">
        <v>39</v>
      </c>
      <c r="E1858" t="s">
        <v>405</v>
      </c>
      <c r="G1858">
        <v>2</v>
      </c>
      <c r="H1858">
        <v>1000</v>
      </c>
      <c r="J1858" cm="1">
        <f t="array" ref="J1858">_xlfn.SWITCH(B1858,1,75,2,61,3,49,4,37,5,25,6,13,7,4,8,1)</f>
        <v>1</v>
      </c>
      <c r="K1858" t="str" cm="1">
        <f t="array" ref="K1858">IFERROR(_xlfn.SWITCH(L1858,2,_xlfn.XLOOKUP(C1858,[1]ModifierDes!$B:$B,[1]ModifierDes!$C:$C),3,_xlfn.XLOOKUP(C1858,[1]StuntDes!$B:$B,[1]StuntDes!$C:$C)),"")</f>
        <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434</v>
      </c>
      <c r="D1859" t="s">
        <v>39</v>
      </c>
      <c r="E1859" t="s">
        <v>405</v>
      </c>
      <c r="G1859">
        <v>2</v>
      </c>
      <c r="H1859">
        <v>1000</v>
      </c>
      <c r="J1859" cm="1">
        <f t="array" ref="J1859">_xlfn.SWITCH(B1859,1,75,2,61,3,49,4,37,5,25,6,13,7,4,8,1)</f>
        <v>75</v>
      </c>
      <c r="K1859" t="str" cm="1">
        <f t="array" ref="K1859">IFERROR(_xlfn.SWITCH(L1859,2,_xlfn.XLOOKUP(C1859,[1]ModifierDes!$B:$B,[1]ModifierDes!$C:$C),3,_xlfn.XLOOKUP(C1859,[1]StuntDes!$B:$B,[1]StuntDes!$C:$C)),"")</f>
        <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434</v>
      </c>
      <c r="D1860" t="s">
        <v>39</v>
      </c>
      <c r="E1860" t="s">
        <v>405</v>
      </c>
      <c r="G1860">
        <v>2</v>
      </c>
      <c r="H1860">
        <v>1000</v>
      </c>
      <c r="J1860" cm="1">
        <f t="array" ref="J1860">_xlfn.SWITCH(B1860,1,75,2,61,3,49,4,37,5,25,6,13,7,4,8,1)</f>
        <v>61</v>
      </c>
      <c r="K1860" t="str" cm="1">
        <f t="array" ref="K1860">IFERROR(_xlfn.SWITCH(L1860,2,_xlfn.XLOOKUP(C1860,[1]ModifierDes!$B:$B,[1]ModifierDes!$C:$C),3,_xlfn.XLOOKUP(C1860,[1]StuntDes!$B:$B,[1]StuntDes!$C:$C)),"")</f>
        <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434</v>
      </c>
      <c r="D1861" t="s">
        <v>39</v>
      </c>
      <c r="E1861" t="s">
        <v>405</v>
      </c>
      <c r="G1861">
        <v>2</v>
      </c>
      <c r="H1861">
        <v>1000</v>
      </c>
      <c r="J1861" cm="1">
        <f t="array" ref="J1861">_xlfn.SWITCH(B1861,1,75,2,61,3,49,4,37,5,25,6,13,7,4,8,1)</f>
        <v>49</v>
      </c>
      <c r="K1861" t="str" cm="1">
        <f t="array" ref="K1861">IFERROR(_xlfn.SWITCH(L1861,2,_xlfn.XLOOKUP(C1861,[1]ModifierDes!$B:$B,[1]ModifierDes!$C:$C),3,_xlfn.XLOOKUP(C1861,[1]StuntDes!$B:$B,[1]StuntDes!$C:$C)),"")</f>
        <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434</v>
      </c>
      <c r="D1862" t="s">
        <v>39</v>
      </c>
      <c r="E1862" t="s">
        <v>405</v>
      </c>
      <c r="G1862">
        <v>2</v>
      </c>
      <c r="H1862">
        <v>1000</v>
      </c>
      <c r="J1862" cm="1">
        <f t="array" ref="J1862">_xlfn.SWITCH(B1862,1,75,2,61,3,49,4,37,5,25,6,13,7,4,8,1)</f>
        <v>37</v>
      </c>
      <c r="K1862" t="str" cm="1">
        <f t="array" ref="K1862">IFERROR(_xlfn.SWITCH(L1862,2,_xlfn.XLOOKUP(C1862,[1]ModifierDes!$B:$B,[1]ModifierDes!$C:$C),3,_xlfn.XLOOKUP(C1862,[1]StuntDes!$B:$B,[1]StuntDes!$C:$C)),"")</f>
        <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434</v>
      </c>
      <c r="D1863" t="s">
        <v>39</v>
      </c>
      <c r="E1863" t="s">
        <v>405</v>
      </c>
      <c r="G1863">
        <v>2</v>
      </c>
      <c r="H1863">
        <v>1000</v>
      </c>
      <c r="J1863" cm="1">
        <f t="array" ref="J1863">_xlfn.SWITCH(B1863,1,75,2,61,3,49,4,37,5,25,6,13,7,4,8,1)</f>
        <v>25</v>
      </c>
      <c r="K1863" t="str" cm="1">
        <f t="array" ref="K1863">IFERROR(_xlfn.SWITCH(L1863,2,_xlfn.XLOOKUP(C1863,[1]ModifierDes!$B:$B,[1]ModifierDes!$C:$C),3,_xlfn.XLOOKUP(C1863,[1]StuntDes!$B:$B,[1]StuntDes!$C:$C)),"")</f>
        <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434</v>
      </c>
      <c r="D1864" t="s">
        <v>39</v>
      </c>
      <c r="E1864" t="s">
        <v>405</v>
      </c>
      <c r="G1864">
        <v>2</v>
      </c>
      <c r="H1864">
        <v>1000</v>
      </c>
      <c r="J1864" cm="1">
        <f t="array" ref="J1864">_xlfn.SWITCH(B1864,1,75,2,61,3,49,4,37,5,25,6,13,7,4,8,1)</f>
        <v>13</v>
      </c>
      <c r="K1864" t="str" cm="1">
        <f t="array" ref="K1864">IFERROR(_xlfn.SWITCH(L1864,2,_xlfn.XLOOKUP(C1864,[1]ModifierDes!$B:$B,[1]ModifierDes!$C:$C),3,_xlfn.XLOOKUP(C1864,[1]StuntDes!$B:$B,[1]StuntDes!$C:$C)),"")</f>
        <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434</v>
      </c>
      <c r="D1865" t="s">
        <v>39</v>
      </c>
      <c r="E1865" t="s">
        <v>405</v>
      </c>
      <c r="G1865">
        <v>2</v>
      </c>
      <c r="H1865">
        <v>1000</v>
      </c>
      <c r="J1865" cm="1">
        <f t="array" ref="J1865">_xlfn.SWITCH(B1865,1,75,2,61,3,49,4,37,5,25,6,13,7,4,8,1)</f>
        <v>4</v>
      </c>
      <c r="K1865" t="str" cm="1">
        <f t="array" ref="K1865">IFERROR(_xlfn.SWITCH(L1865,2,_xlfn.XLOOKUP(C1865,[1]ModifierDes!$B:$B,[1]ModifierDes!$C:$C),3,_xlfn.XLOOKUP(C1865,[1]StuntDes!$B:$B,[1]StuntDes!$C:$C)),"")</f>
        <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434</v>
      </c>
      <c r="D1866" t="s">
        <v>39</v>
      </c>
      <c r="E1866" t="s">
        <v>405</v>
      </c>
      <c r="G1866">
        <v>2</v>
      </c>
      <c r="H1866">
        <v>1000</v>
      </c>
      <c r="J1866" cm="1">
        <f t="array" ref="J1866">_xlfn.SWITCH(B1866,1,75,2,61,3,49,4,37,5,25,6,13,7,4,8,1)</f>
        <v>1</v>
      </c>
      <c r="K1866" t="str" cm="1">
        <f t="array" ref="K1866">IFERROR(_xlfn.SWITCH(L1866,2,_xlfn.XLOOKUP(C1866,[1]ModifierDes!$B:$B,[1]ModifierDes!$C:$C),3,_xlfn.XLOOKUP(C1866,[1]StuntDes!$B:$B,[1]StuntDes!$C:$C)),"")</f>
        <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435</v>
      </c>
      <c r="D1867" t="s">
        <v>39</v>
      </c>
      <c r="E1867" t="s">
        <v>405</v>
      </c>
      <c r="G1867">
        <v>2</v>
      </c>
      <c r="H1867">
        <v>1000</v>
      </c>
      <c r="J1867" cm="1">
        <f t="array" ref="J1867">_xlfn.SWITCH(B1867,1,75,2,61,3,49,4,37,5,25,6,13,7,4,8,1)</f>
        <v>75</v>
      </c>
      <c r="K1867" t="str" cm="1">
        <f t="array" ref="K1867">IFERROR(_xlfn.SWITCH(L1867,2,_xlfn.XLOOKUP(C1867,[1]ModifierDes!$B:$B,[1]ModifierDes!$C:$C),3,_xlfn.XLOOKUP(C1867,[1]StuntDes!$B:$B,[1]StuntDes!$C:$C)),"")</f>
        <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435</v>
      </c>
      <c r="D1868" t="s">
        <v>39</v>
      </c>
      <c r="E1868" t="s">
        <v>405</v>
      </c>
      <c r="G1868">
        <v>2</v>
      </c>
      <c r="H1868">
        <v>1000</v>
      </c>
      <c r="J1868" cm="1">
        <f t="array" ref="J1868">_xlfn.SWITCH(B1868,1,75,2,61,3,49,4,37,5,25,6,13,7,4,8,1)</f>
        <v>61</v>
      </c>
      <c r="K1868" t="str" cm="1">
        <f t="array" ref="K1868">IFERROR(_xlfn.SWITCH(L1868,2,_xlfn.XLOOKUP(C1868,[1]ModifierDes!$B:$B,[1]ModifierDes!$C:$C),3,_xlfn.XLOOKUP(C1868,[1]StuntDes!$B:$B,[1]StuntDes!$C:$C)),"")</f>
        <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435</v>
      </c>
      <c r="D1869" t="s">
        <v>39</v>
      </c>
      <c r="E1869" t="s">
        <v>405</v>
      </c>
      <c r="G1869">
        <v>2</v>
      </c>
      <c r="H1869">
        <v>1000</v>
      </c>
      <c r="J1869" cm="1">
        <f t="array" ref="J1869">_xlfn.SWITCH(B1869,1,75,2,61,3,49,4,37,5,25,6,13,7,4,8,1)</f>
        <v>49</v>
      </c>
      <c r="K1869" t="str" cm="1">
        <f t="array" ref="K1869">IFERROR(_xlfn.SWITCH(L1869,2,_xlfn.XLOOKUP(C1869,[1]ModifierDes!$B:$B,[1]ModifierDes!$C:$C),3,_xlfn.XLOOKUP(C1869,[1]StuntDes!$B:$B,[1]StuntDes!$C:$C)),"")</f>
        <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435</v>
      </c>
      <c r="D1870" t="s">
        <v>39</v>
      </c>
      <c r="E1870" t="s">
        <v>405</v>
      </c>
      <c r="G1870">
        <v>2</v>
      </c>
      <c r="H1870">
        <v>1000</v>
      </c>
      <c r="J1870" cm="1">
        <f t="array" ref="J1870">_xlfn.SWITCH(B1870,1,75,2,61,3,49,4,37,5,25,6,13,7,4,8,1)</f>
        <v>37</v>
      </c>
      <c r="K1870" t="str" cm="1">
        <f t="array" ref="K1870">IFERROR(_xlfn.SWITCH(L1870,2,_xlfn.XLOOKUP(C1870,[1]ModifierDes!$B:$B,[1]ModifierDes!$C:$C),3,_xlfn.XLOOKUP(C1870,[1]StuntDes!$B:$B,[1]StuntDes!$C:$C)),"")</f>
        <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435</v>
      </c>
      <c r="D1871" t="s">
        <v>39</v>
      </c>
      <c r="E1871" t="s">
        <v>405</v>
      </c>
      <c r="G1871">
        <v>2</v>
      </c>
      <c r="H1871">
        <v>1000</v>
      </c>
      <c r="J1871" cm="1">
        <f t="array" ref="J1871">_xlfn.SWITCH(B1871,1,75,2,61,3,49,4,37,5,25,6,13,7,4,8,1)</f>
        <v>25</v>
      </c>
      <c r="K1871" t="str" cm="1">
        <f t="array" ref="K1871">IFERROR(_xlfn.SWITCH(L1871,2,_xlfn.XLOOKUP(C1871,[1]ModifierDes!$B:$B,[1]ModifierDes!$C:$C),3,_xlfn.XLOOKUP(C1871,[1]StuntDes!$B:$B,[1]StuntDes!$C:$C)),"")</f>
        <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435</v>
      </c>
      <c r="D1872" t="s">
        <v>39</v>
      </c>
      <c r="E1872" t="s">
        <v>405</v>
      </c>
      <c r="G1872">
        <v>2</v>
      </c>
      <c r="H1872">
        <v>1000</v>
      </c>
      <c r="J1872" cm="1">
        <f t="array" ref="J1872">_xlfn.SWITCH(B1872,1,75,2,61,3,49,4,37,5,25,6,13,7,4,8,1)</f>
        <v>13</v>
      </c>
      <c r="K1872" t="str" cm="1">
        <f t="array" ref="K1872">IFERROR(_xlfn.SWITCH(L1872,2,_xlfn.XLOOKUP(C1872,[1]ModifierDes!$B:$B,[1]ModifierDes!$C:$C),3,_xlfn.XLOOKUP(C1872,[1]StuntDes!$B:$B,[1]StuntDes!$C:$C)),"")</f>
        <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435</v>
      </c>
      <c r="D1873" t="s">
        <v>39</v>
      </c>
      <c r="E1873" t="s">
        <v>405</v>
      </c>
      <c r="G1873">
        <v>2</v>
      </c>
      <c r="H1873">
        <v>1000</v>
      </c>
      <c r="J1873" cm="1">
        <f t="array" ref="J1873">_xlfn.SWITCH(B1873,1,75,2,61,3,49,4,37,5,25,6,13,7,4,8,1)</f>
        <v>4</v>
      </c>
      <c r="K1873" t="str" cm="1">
        <f t="array" ref="K1873">IFERROR(_xlfn.SWITCH(L1873,2,_xlfn.XLOOKUP(C1873,[1]ModifierDes!$B:$B,[1]ModifierDes!$C:$C),3,_xlfn.XLOOKUP(C1873,[1]StuntDes!$B:$B,[1]StuntDes!$C:$C)),"")</f>
        <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435</v>
      </c>
      <c r="D1874" t="s">
        <v>39</v>
      </c>
      <c r="E1874" t="s">
        <v>405</v>
      </c>
      <c r="G1874">
        <v>2</v>
      </c>
      <c r="H1874">
        <v>1000</v>
      </c>
      <c r="J1874" cm="1">
        <f t="array" ref="J1874">_xlfn.SWITCH(B1874,1,75,2,61,3,49,4,37,5,25,6,13,7,4,8,1)</f>
        <v>1</v>
      </c>
      <c r="K1874" t="str" cm="1">
        <f t="array" ref="K1874">IFERROR(_xlfn.SWITCH(L1874,2,_xlfn.XLOOKUP(C1874,[1]ModifierDes!$B:$B,[1]ModifierDes!$C:$C),3,_xlfn.XLOOKUP(C1874,[1]StuntDes!$B:$B,[1]StuntDes!$C:$C)),"")</f>
        <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436</v>
      </c>
      <c r="D1875" t="s">
        <v>39</v>
      </c>
      <c r="E1875" t="s">
        <v>405</v>
      </c>
      <c r="G1875">
        <v>2</v>
      </c>
      <c r="H1875">
        <v>250</v>
      </c>
      <c r="J1875" cm="1">
        <f t="array" ref="J1875">_xlfn.SWITCH(B1875,1,75,2,61,3,49,4,37,5,25,6,13,7,4,8,1)</f>
        <v>75</v>
      </c>
      <c r="K1875" t="str" cm="1">
        <f t="array" ref="K1875">IFERROR(_xlfn.SWITCH(L1875,2,_xlfn.XLOOKUP(C1875,[1]ModifierDes!$B:$B,[1]ModifierDes!$C:$C),3,_xlfn.XLOOKUP(C1875,[1]StuntDes!$B:$B,[1]StuntDes!$C:$C)),"")</f>
        <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436</v>
      </c>
      <c r="D1876" t="s">
        <v>39</v>
      </c>
      <c r="E1876" t="s">
        <v>405</v>
      </c>
      <c r="G1876">
        <v>2</v>
      </c>
      <c r="H1876">
        <v>250</v>
      </c>
      <c r="J1876" cm="1">
        <f t="array" ref="J1876">_xlfn.SWITCH(B1876,1,75,2,61,3,49,4,37,5,25,6,13,7,4,8,1)</f>
        <v>61</v>
      </c>
      <c r="K1876" t="str" cm="1">
        <f t="array" ref="K1876">IFERROR(_xlfn.SWITCH(L1876,2,_xlfn.XLOOKUP(C1876,[1]ModifierDes!$B:$B,[1]ModifierDes!$C:$C),3,_xlfn.XLOOKUP(C1876,[1]StuntDes!$B:$B,[1]StuntDes!$C:$C)),"")</f>
        <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436</v>
      </c>
      <c r="D1877" t="s">
        <v>39</v>
      </c>
      <c r="E1877" t="s">
        <v>405</v>
      </c>
      <c r="G1877">
        <v>2</v>
      </c>
      <c r="H1877">
        <v>250</v>
      </c>
      <c r="J1877" cm="1">
        <f t="array" ref="J1877">_xlfn.SWITCH(B1877,1,75,2,61,3,49,4,37,5,25,6,13,7,4,8,1)</f>
        <v>49</v>
      </c>
      <c r="K1877" t="str" cm="1">
        <f t="array" ref="K1877">IFERROR(_xlfn.SWITCH(L1877,2,_xlfn.XLOOKUP(C1877,[1]ModifierDes!$B:$B,[1]ModifierDes!$C:$C),3,_xlfn.XLOOKUP(C1877,[1]StuntDes!$B:$B,[1]StuntDes!$C:$C)),"")</f>
        <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436</v>
      </c>
      <c r="D1878" t="s">
        <v>39</v>
      </c>
      <c r="E1878" t="s">
        <v>405</v>
      </c>
      <c r="G1878">
        <v>2</v>
      </c>
      <c r="H1878">
        <v>250</v>
      </c>
      <c r="J1878" cm="1">
        <f t="array" ref="J1878">_xlfn.SWITCH(B1878,1,75,2,61,3,49,4,37,5,25,6,13,7,4,8,1)</f>
        <v>37</v>
      </c>
      <c r="K1878" t="str" cm="1">
        <f t="array" ref="K1878">IFERROR(_xlfn.SWITCH(L1878,2,_xlfn.XLOOKUP(C1878,[1]ModifierDes!$B:$B,[1]ModifierDes!$C:$C),3,_xlfn.XLOOKUP(C1878,[1]StuntDes!$B:$B,[1]StuntDes!$C:$C)),"")</f>
        <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436</v>
      </c>
      <c r="D1879" t="s">
        <v>39</v>
      </c>
      <c r="E1879" t="s">
        <v>405</v>
      </c>
      <c r="G1879">
        <v>2</v>
      </c>
      <c r="H1879">
        <v>250</v>
      </c>
      <c r="J1879" cm="1">
        <f t="array" ref="J1879">_xlfn.SWITCH(B1879,1,75,2,61,3,49,4,37,5,25,6,13,7,4,8,1)</f>
        <v>25</v>
      </c>
      <c r="K1879" t="str" cm="1">
        <f t="array" ref="K1879">IFERROR(_xlfn.SWITCH(L1879,2,_xlfn.XLOOKUP(C1879,[1]ModifierDes!$B:$B,[1]ModifierDes!$C:$C),3,_xlfn.XLOOKUP(C1879,[1]StuntDes!$B:$B,[1]StuntDes!$C:$C)),"")</f>
        <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436</v>
      </c>
      <c r="D1880" t="s">
        <v>39</v>
      </c>
      <c r="E1880" t="s">
        <v>405</v>
      </c>
      <c r="G1880">
        <v>2</v>
      </c>
      <c r="H1880">
        <v>250</v>
      </c>
      <c r="J1880" cm="1">
        <f t="array" ref="J1880">_xlfn.SWITCH(B1880,1,75,2,61,3,49,4,37,5,25,6,13,7,4,8,1)</f>
        <v>13</v>
      </c>
      <c r="K1880" t="str" cm="1">
        <f t="array" ref="K1880">IFERROR(_xlfn.SWITCH(L1880,2,_xlfn.XLOOKUP(C1880,[1]ModifierDes!$B:$B,[1]ModifierDes!$C:$C),3,_xlfn.XLOOKUP(C1880,[1]StuntDes!$B:$B,[1]StuntDes!$C:$C)),"")</f>
        <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436</v>
      </c>
      <c r="D1881" t="s">
        <v>39</v>
      </c>
      <c r="E1881" t="s">
        <v>405</v>
      </c>
      <c r="G1881">
        <v>2</v>
      </c>
      <c r="H1881">
        <v>250</v>
      </c>
      <c r="J1881" cm="1">
        <f t="array" ref="J1881">_xlfn.SWITCH(B1881,1,75,2,61,3,49,4,37,5,25,6,13,7,4,8,1)</f>
        <v>4</v>
      </c>
      <c r="K1881" t="str" cm="1">
        <f t="array" ref="K1881">IFERROR(_xlfn.SWITCH(L1881,2,_xlfn.XLOOKUP(C1881,[1]ModifierDes!$B:$B,[1]ModifierDes!$C:$C),3,_xlfn.XLOOKUP(C1881,[1]StuntDes!$B:$B,[1]StuntDes!$C:$C)),"")</f>
        <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436</v>
      </c>
      <c r="D1882" t="s">
        <v>39</v>
      </c>
      <c r="E1882" t="s">
        <v>405</v>
      </c>
      <c r="G1882">
        <v>2</v>
      </c>
      <c r="H1882">
        <v>250</v>
      </c>
      <c r="J1882" cm="1">
        <f t="array" ref="J1882">_xlfn.SWITCH(B1882,1,75,2,61,3,49,4,37,5,25,6,13,7,4,8,1)</f>
        <v>1</v>
      </c>
      <c r="K1882" t="str" cm="1">
        <f t="array" ref="K1882">IFERROR(_xlfn.SWITCH(L1882,2,_xlfn.XLOOKUP(C1882,[1]ModifierDes!$B:$B,[1]ModifierDes!$C:$C),3,_xlfn.XLOOKUP(C1882,[1]StuntDes!$B:$B,[1]StuntDes!$C:$C)),"")</f>
        <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447</v>
      </c>
      <c r="D1883" t="s">
        <v>39</v>
      </c>
      <c r="E1883" t="s">
        <v>405</v>
      </c>
      <c r="G1883">
        <v>2</v>
      </c>
      <c r="H1883">
        <v>250</v>
      </c>
      <c r="J1883" cm="1">
        <f t="array" ref="J1883">_xlfn.SWITCH(B1883,1,75,2,61,3,49,4,37,5,25,6,13,7,4,8,1)</f>
        <v>75</v>
      </c>
      <c r="K1883" t="str" cm="1">
        <f t="array" ref="K1883">IFERROR(_xlfn.SWITCH(L1883,2,_xlfn.XLOOKUP(C1883,[1]ModifierDes!$B:$B,[1]ModifierDes!$C:$C),3,_xlfn.XLOOKUP(C1883,[1]StuntDes!$B:$B,[1]StuntDes!$C:$C)),"")</f>
        <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447</v>
      </c>
      <c r="D1884" t="s">
        <v>39</v>
      </c>
      <c r="E1884" t="s">
        <v>405</v>
      </c>
      <c r="G1884">
        <v>2</v>
      </c>
      <c r="H1884">
        <v>250</v>
      </c>
      <c r="J1884" cm="1">
        <f t="array" ref="J1884">_xlfn.SWITCH(B1884,1,75,2,61,3,49,4,37,5,25,6,13,7,4,8,1)</f>
        <v>61</v>
      </c>
      <c r="K1884" t="str" cm="1">
        <f t="array" ref="K1884">IFERROR(_xlfn.SWITCH(L1884,2,_xlfn.XLOOKUP(C1884,[1]ModifierDes!$B:$B,[1]ModifierDes!$C:$C),3,_xlfn.XLOOKUP(C1884,[1]StuntDes!$B:$B,[1]StuntDes!$C:$C)),"")</f>
        <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447</v>
      </c>
      <c r="D1885" t="s">
        <v>39</v>
      </c>
      <c r="E1885" t="s">
        <v>405</v>
      </c>
      <c r="G1885">
        <v>2</v>
      </c>
      <c r="H1885">
        <v>250</v>
      </c>
      <c r="J1885" cm="1">
        <f t="array" ref="J1885">_xlfn.SWITCH(B1885,1,75,2,61,3,49,4,37,5,25,6,13,7,4,8,1)</f>
        <v>49</v>
      </c>
      <c r="K1885" t="str" cm="1">
        <f t="array" ref="K1885">IFERROR(_xlfn.SWITCH(L1885,2,_xlfn.XLOOKUP(C1885,[1]ModifierDes!$B:$B,[1]ModifierDes!$C:$C),3,_xlfn.XLOOKUP(C1885,[1]StuntDes!$B:$B,[1]StuntDes!$C:$C)),"")</f>
        <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447</v>
      </c>
      <c r="D1886" t="s">
        <v>39</v>
      </c>
      <c r="E1886" t="s">
        <v>405</v>
      </c>
      <c r="G1886">
        <v>2</v>
      </c>
      <c r="H1886">
        <v>250</v>
      </c>
      <c r="J1886" cm="1">
        <f t="array" ref="J1886">_xlfn.SWITCH(B1886,1,75,2,61,3,49,4,37,5,25,6,13,7,4,8,1)</f>
        <v>37</v>
      </c>
      <c r="K1886" t="str" cm="1">
        <f t="array" ref="K1886">IFERROR(_xlfn.SWITCH(L1886,2,_xlfn.XLOOKUP(C1886,[1]ModifierDes!$B:$B,[1]ModifierDes!$C:$C),3,_xlfn.XLOOKUP(C1886,[1]StuntDes!$B:$B,[1]StuntDes!$C:$C)),"")</f>
        <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447</v>
      </c>
      <c r="D1887" t="s">
        <v>39</v>
      </c>
      <c r="E1887" t="s">
        <v>405</v>
      </c>
      <c r="G1887">
        <v>2</v>
      </c>
      <c r="H1887">
        <v>250</v>
      </c>
      <c r="J1887" cm="1">
        <f t="array" ref="J1887">_xlfn.SWITCH(B1887,1,75,2,61,3,49,4,37,5,25,6,13,7,4,8,1)</f>
        <v>25</v>
      </c>
      <c r="K1887" t="str" cm="1">
        <f t="array" ref="K1887">IFERROR(_xlfn.SWITCH(L1887,2,_xlfn.XLOOKUP(C1887,[1]ModifierDes!$B:$B,[1]ModifierDes!$C:$C),3,_xlfn.XLOOKUP(C1887,[1]StuntDes!$B:$B,[1]StuntDes!$C:$C)),"")</f>
        <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447</v>
      </c>
      <c r="D1888" t="s">
        <v>39</v>
      </c>
      <c r="E1888" t="s">
        <v>405</v>
      </c>
      <c r="G1888">
        <v>2</v>
      </c>
      <c r="H1888">
        <v>250</v>
      </c>
      <c r="J1888" cm="1">
        <f t="array" ref="J1888">_xlfn.SWITCH(B1888,1,75,2,61,3,49,4,37,5,25,6,13,7,4,8,1)</f>
        <v>13</v>
      </c>
      <c r="K1888" t="str" cm="1">
        <f t="array" ref="K1888">IFERROR(_xlfn.SWITCH(L1888,2,_xlfn.XLOOKUP(C1888,[1]ModifierDes!$B:$B,[1]ModifierDes!$C:$C),3,_xlfn.XLOOKUP(C1888,[1]StuntDes!$B:$B,[1]StuntDes!$C:$C)),"")</f>
        <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447</v>
      </c>
      <c r="D1889" t="s">
        <v>39</v>
      </c>
      <c r="E1889" t="s">
        <v>405</v>
      </c>
      <c r="G1889">
        <v>2</v>
      </c>
      <c r="H1889">
        <v>250</v>
      </c>
      <c r="J1889" cm="1">
        <f t="array" ref="J1889">_xlfn.SWITCH(B1889,1,75,2,61,3,49,4,37,5,25,6,13,7,4,8,1)</f>
        <v>4</v>
      </c>
      <c r="K1889" t="str" cm="1">
        <f t="array" ref="K1889">IFERROR(_xlfn.SWITCH(L1889,2,_xlfn.XLOOKUP(C1889,[1]ModifierDes!$B:$B,[1]ModifierDes!$C:$C),3,_xlfn.XLOOKUP(C1889,[1]StuntDes!$B:$B,[1]StuntDes!$C:$C)),"")</f>
        <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447</v>
      </c>
      <c r="D1890" t="s">
        <v>39</v>
      </c>
      <c r="E1890" t="s">
        <v>405</v>
      </c>
      <c r="G1890">
        <v>2</v>
      </c>
      <c r="H1890">
        <v>250</v>
      </c>
      <c r="J1890" cm="1">
        <f t="array" ref="J1890">_xlfn.SWITCH(B1890,1,75,2,61,3,49,4,37,5,25,6,13,7,4,8,1)</f>
        <v>1</v>
      </c>
      <c r="K1890" t="str" cm="1">
        <f t="array" ref="K1890">IFERROR(_xlfn.SWITCH(L1890,2,_xlfn.XLOOKUP(C1890,[1]ModifierDes!$B:$B,[1]ModifierDes!$C:$C),3,_xlfn.XLOOKUP(C1890,[1]StuntDes!$B:$B,[1]StuntDes!$C:$C)),"")</f>
        <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411</v>
      </c>
      <c r="D1891" t="s">
        <v>39</v>
      </c>
      <c r="E1891" t="s">
        <v>405</v>
      </c>
      <c r="G1891">
        <v>2</v>
      </c>
      <c r="H1891">
        <v>100</v>
      </c>
      <c r="J1891" cm="1">
        <f t="array" ref="J1891">_xlfn.SWITCH(B1891,1,75,2,61,3,49,4,37,5,25,6,13,7,4,8,1)</f>
        <v>75</v>
      </c>
      <c r="K1891" t="str" cm="1">
        <f t="array" ref="K1891">IFERROR(_xlfn.SWITCH(L1891,2,_xlfn.XLOOKUP(C1891,[1]ModifierDes!$B:$B,[1]ModifierDes!$C:$C),3,_xlfn.XLOOKUP(C1891,[1]StuntDes!$B:$B,[1]StuntDes!$C:$C)),"")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411</v>
      </c>
      <c r="D1892" t="s">
        <v>39</v>
      </c>
      <c r="E1892" t="s">
        <v>405</v>
      </c>
      <c r="G1892">
        <v>2</v>
      </c>
      <c r="H1892">
        <v>200</v>
      </c>
      <c r="J1892" cm="1">
        <f t="array" ref="J1892">_xlfn.SWITCH(B1892,1,75,2,61,3,49,4,37,5,25,6,13,7,4,8,1)</f>
        <v>61</v>
      </c>
      <c r="K1892" t="str" cm="1">
        <f t="array" ref="K1892">IFERROR(_xlfn.SWITCH(L1892,2,_xlfn.XLOOKUP(C1892,[1]ModifierDes!$B:$B,[1]ModifierDes!$C:$C),3,_xlfn.XLOOKUP(C1892,[1]StuntDes!$B:$B,[1]StuntDes!$C:$C)),"")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411</v>
      </c>
      <c r="D1893" t="s">
        <v>39</v>
      </c>
      <c r="E1893" t="s">
        <v>405</v>
      </c>
      <c r="G1893">
        <v>2</v>
      </c>
      <c r="H1893">
        <v>400</v>
      </c>
      <c r="J1893" cm="1">
        <f t="array" ref="J1893">_xlfn.SWITCH(B1893,1,75,2,61,3,49,4,37,5,25,6,13,7,4,8,1)</f>
        <v>49</v>
      </c>
      <c r="K1893" t="str" cm="1">
        <f t="array" ref="K1893">IFERROR(_xlfn.SWITCH(L1893,2,_xlfn.XLOOKUP(C1893,[1]ModifierDes!$B:$B,[1]ModifierDes!$C:$C),3,_xlfn.XLOOKUP(C1893,[1]StuntDes!$B:$B,[1]StuntDes!$C:$C)),"")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411</v>
      </c>
      <c r="D1894" t="s">
        <v>39</v>
      </c>
      <c r="E1894" t="s">
        <v>405</v>
      </c>
      <c r="G1894">
        <v>2</v>
      </c>
      <c r="H1894">
        <v>600</v>
      </c>
      <c r="J1894" cm="1">
        <f t="array" ref="J1894">_xlfn.SWITCH(B1894,1,75,2,61,3,49,4,37,5,25,6,13,7,4,8,1)</f>
        <v>37</v>
      </c>
      <c r="K1894" t="str" cm="1">
        <f t="array" ref="K1894">IFERROR(_xlfn.SWITCH(L1894,2,_xlfn.XLOOKUP(C1894,[1]ModifierDes!$B:$B,[1]ModifierDes!$C:$C),3,_xlfn.XLOOKUP(C1894,[1]StuntDes!$B:$B,[1]StuntDes!$C:$C)),"")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411</v>
      </c>
      <c r="D1895" t="s">
        <v>39</v>
      </c>
      <c r="E1895" t="s">
        <v>405</v>
      </c>
      <c r="G1895">
        <v>2</v>
      </c>
      <c r="H1895">
        <v>800</v>
      </c>
      <c r="J1895" cm="1">
        <f t="array" ref="J1895">_xlfn.SWITCH(B1895,1,75,2,61,3,49,4,37,5,25,6,13,7,4,8,1)</f>
        <v>25</v>
      </c>
      <c r="K1895" t="str" cm="1">
        <f t="array" ref="K1895">IFERROR(_xlfn.SWITCH(L1895,2,_xlfn.XLOOKUP(C1895,[1]ModifierDes!$B:$B,[1]ModifierDes!$C:$C),3,_xlfn.XLOOKUP(C1895,[1]StuntDes!$B:$B,[1]StuntDes!$C:$C)),"")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411</v>
      </c>
      <c r="D1896" t="s">
        <v>39</v>
      </c>
      <c r="E1896" t="s">
        <v>405</v>
      </c>
      <c r="G1896">
        <v>2</v>
      </c>
      <c r="H1896">
        <v>1000</v>
      </c>
      <c r="J1896" cm="1">
        <f t="array" ref="J1896">_xlfn.SWITCH(B1896,1,75,2,61,3,49,4,37,5,25,6,13,7,4,8,1)</f>
        <v>13</v>
      </c>
      <c r="K1896" t="str" cm="1">
        <f t="array" ref="K1896">IFERROR(_xlfn.SWITCH(L1896,2,_xlfn.XLOOKUP(C1896,[1]ModifierDes!$B:$B,[1]ModifierDes!$C:$C),3,_xlfn.XLOOKUP(C1896,[1]StuntDes!$B:$B,[1]StuntDes!$C:$C)),"")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411</v>
      </c>
      <c r="D1897" t="s">
        <v>39</v>
      </c>
      <c r="E1897" t="s">
        <v>405</v>
      </c>
      <c r="G1897">
        <v>2</v>
      </c>
      <c r="H1897">
        <v>1000</v>
      </c>
      <c r="J1897" cm="1">
        <f t="array" ref="J1897">_xlfn.SWITCH(B1897,1,75,2,61,3,49,4,37,5,25,6,13,7,4,8,1)</f>
        <v>4</v>
      </c>
      <c r="K1897" t="str" cm="1">
        <f t="array" ref="K1897">IFERROR(_xlfn.SWITCH(L1897,2,_xlfn.XLOOKUP(C1897,[1]ModifierDes!$B:$B,[1]ModifierDes!$C:$C),3,_xlfn.XLOOKUP(C1897,[1]StuntDes!$B:$B,[1]StuntDes!$C:$C)),"")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411</v>
      </c>
      <c r="D1898" t="s">
        <v>39</v>
      </c>
      <c r="E1898" t="s">
        <v>405</v>
      </c>
      <c r="G1898">
        <v>2</v>
      </c>
      <c r="H1898">
        <v>1000</v>
      </c>
      <c r="J1898" cm="1">
        <f t="array" ref="J1898">_xlfn.SWITCH(B1898,1,75,2,61,3,49,4,37,5,25,6,13,7,4,8,1)</f>
        <v>1</v>
      </c>
      <c r="K1898" t="str" cm="1">
        <f t="array" ref="K1898">IFERROR(_xlfn.SWITCH(L1898,2,_xlfn.XLOOKUP(C1898,[1]ModifierDes!$B:$B,[1]ModifierDes!$C:$C),3,_xlfn.XLOOKUP(C1898,[1]StuntDes!$B:$B,[1]StuntDes!$C:$C)),"")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437</v>
      </c>
      <c r="D1899" t="s">
        <v>39</v>
      </c>
      <c r="E1899" t="s">
        <v>405</v>
      </c>
      <c r="G1899">
        <v>2</v>
      </c>
      <c r="H1899">
        <v>100</v>
      </c>
      <c r="J1899" cm="1">
        <f t="array" ref="J1899">_xlfn.SWITCH(B1899,1,75,2,61,3,49,4,37,5,25,6,13,7,4,8,1)</f>
        <v>75</v>
      </c>
      <c r="K1899" t="str" cm="1">
        <f t="array" ref="K1899">IFERROR(_xlfn.SWITCH(L1899,2,_xlfn.XLOOKUP(C1899,[1]ModifierDes!$B:$B,[1]ModifierDes!$C:$C),3,_xlfn.XLOOKUP(C1899,[1]StuntDes!$B:$B,[1]StuntDes!$C:$C)),"")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437</v>
      </c>
      <c r="D1900" t="s">
        <v>39</v>
      </c>
      <c r="E1900" t="s">
        <v>405</v>
      </c>
      <c r="G1900">
        <v>2</v>
      </c>
      <c r="H1900">
        <v>200</v>
      </c>
      <c r="J1900" cm="1">
        <f t="array" ref="J1900">_xlfn.SWITCH(B1900,1,75,2,61,3,49,4,37,5,25,6,13,7,4,8,1)</f>
        <v>61</v>
      </c>
      <c r="K1900" t="str" cm="1">
        <f t="array" ref="K1900">IFERROR(_xlfn.SWITCH(L1900,2,_xlfn.XLOOKUP(C1900,[1]ModifierDes!$B:$B,[1]ModifierDes!$C:$C),3,_xlfn.XLOOKUP(C1900,[1]StuntDes!$B:$B,[1]StuntDes!$C:$C)),"")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437</v>
      </c>
      <c r="D1901" t="s">
        <v>39</v>
      </c>
      <c r="E1901" t="s">
        <v>405</v>
      </c>
      <c r="G1901">
        <v>2</v>
      </c>
      <c r="H1901">
        <v>400</v>
      </c>
      <c r="J1901" cm="1">
        <f t="array" ref="J1901">_xlfn.SWITCH(B1901,1,75,2,61,3,49,4,37,5,25,6,13,7,4,8,1)</f>
        <v>49</v>
      </c>
      <c r="K1901" t="str" cm="1">
        <f t="array" ref="K1901">IFERROR(_xlfn.SWITCH(L1901,2,_xlfn.XLOOKUP(C1901,[1]ModifierDes!$B:$B,[1]ModifierDes!$C:$C),3,_xlfn.XLOOKUP(C1901,[1]StuntDes!$B:$B,[1]StuntDes!$C:$C)),"")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437</v>
      </c>
      <c r="D1902" t="s">
        <v>39</v>
      </c>
      <c r="E1902" t="s">
        <v>405</v>
      </c>
      <c r="G1902">
        <v>2</v>
      </c>
      <c r="H1902">
        <v>600</v>
      </c>
      <c r="J1902" cm="1">
        <f t="array" ref="J1902">_xlfn.SWITCH(B1902,1,75,2,61,3,49,4,37,5,25,6,13,7,4,8,1)</f>
        <v>37</v>
      </c>
      <c r="K1902" t="str" cm="1">
        <f t="array" ref="K1902">IFERROR(_xlfn.SWITCH(L1902,2,_xlfn.XLOOKUP(C1902,[1]ModifierDes!$B:$B,[1]ModifierDes!$C:$C),3,_xlfn.XLOOKUP(C1902,[1]StuntDes!$B:$B,[1]StuntDes!$C:$C)),"")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437</v>
      </c>
      <c r="D1903" t="s">
        <v>39</v>
      </c>
      <c r="E1903" t="s">
        <v>405</v>
      </c>
      <c r="G1903">
        <v>2</v>
      </c>
      <c r="H1903">
        <v>800</v>
      </c>
      <c r="J1903" cm="1">
        <f t="array" ref="J1903">_xlfn.SWITCH(B1903,1,75,2,61,3,49,4,37,5,25,6,13,7,4,8,1)</f>
        <v>25</v>
      </c>
      <c r="K1903" t="str" cm="1">
        <f t="array" ref="K1903">IFERROR(_xlfn.SWITCH(L1903,2,_xlfn.XLOOKUP(C1903,[1]ModifierDes!$B:$B,[1]ModifierDes!$C:$C),3,_xlfn.XLOOKUP(C1903,[1]StuntDes!$B:$B,[1]StuntDes!$C:$C)),"")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437</v>
      </c>
      <c r="D1904" t="s">
        <v>39</v>
      </c>
      <c r="E1904" t="s">
        <v>405</v>
      </c>
      <c r="G1904">
        <v>2</v>
      </c>
      <c r="H1904">
        <v>1000</v>
      </c>
      <c r="J1904" cm="1">
        <f t="array" ref="J1904">_xlfn.SWITCH(B1904,1,75,2,61,3,49,4,37,5,25,6,13,7,4,8,1)</f>
        <v>13</v>
      </c>
      <c r="K1904" t="str" cm="1">
        <f t="array" ref="K1904">IFERROR(_xlfn.SWITCH(L1904,2,_xlfn.XLOOKUP(C1904,[1]ModifierDes!$B:$B,[1]ModifierDes!$C:$C),3,_xlfn.XLOOKUP(C1904,[1]StuntDes!$B:$B,[1]StuntDes!$C:$C)),"")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437</v>
      </c>
      <c r="D1905" t="s">
        <v>39</v>
      </c>
      <c r="E1905" t="s">
        <v>405</v>
      </c>
      <c r="G1905">
        <v>2</v>
      </c>
      <c r="H1905">
        <v>1000</v>
      </c>
      <c r="J1905" cm="1">
        <f t="array" ref="J1905">_xlfn.SWITCH(B1905,1,75,2,61,3,49,4,37,5,25,6,13,7,4,8,1)</f>
        <v>4</v>
      </c>
      <c r="K1905" t="str" cm="1">
        <f t="array" ref="K1905">IFERROR(_xlfn.SWITCH(L1905,2,_xlfn.XLOOKUP(C1905,[1]ModifierDes!$B:$B,[1]ModifierDes!$C:$C),3,_xlfn.XLOOKUP(C1905,[1]StuntDes!$B:$B,[1]StuntDes!$C:$C)),"")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437</v>
      </c>
      <c r="D1906" t="s">
        <v>39</v>
      </c>
      <c r="E1906" t="s">
        <v>405</v>
      </c>
      <c r="G1906">
        <v>2</v>
      </c>
      <c r="H1906">
        <v>1000</v>
      </c>
      <c r="J1906" cm="1">
        <f t="array" ref="J1906">_xlfn.SWITCH(B1906,1,75,2,61,3,49,4,37,5,25,6,13,7,4,8,1)</f>
        <v>1</v>
      </c>
      <c r="K1906" t="str" cm="1">
        <f t="array" ref="K1906">IFERROR(_xlfn.SWITCH(L1906,2,_xlfn.XLOOKUP(C1906,[1]ModifierDes!$B:$B,[1]ModifierDes!$C:$C),3,_xlfn.XLOOKUP(C1906,[1]StuntDes!$B:$B,[1]StuntDes!$C:$C)),"")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448</v>
      </c>
      <c r="D1907" t="s">
        <v>39</v>
      </c>
      <c r="E1907" t="s">
        <v>405</v>
      </c>
      <c r="G1907">
        <v>2</v>
      </c>
      <c r="H1907">
        <v>100</v>
      </c>
      <c r="J1907" cm="1">
        <f t="array" ref="J1907">_xlfn.SWITCH(B1907,1,75,2,61,3,49,4,37,5,25,6,13,7,4,8,1)</f>
        <v>75</v>
      </c>
      <c r="K1907" t="str" cm="1">
        <f t="array" ref="K1907">IFERROR(_xlfn.SWITCH(L1907,2,_xlfn.XLOOKUP(C1907,[1]ModifierDes!$B:$B,[1]ModifierDes!$C:$C),3,_xlfn.XLOOKUP(C1907,[1]StuntDes!$B:$B,[1]StuntDes!$C:$C)),"")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448</v>
      </c>
      <c r="D1908" t="s">
        <v>39</v>
      </c>
      <c r="E1908" t="s">
        <v>405</v>
      </c>
      <c r="G1908">
        <v>2</v>
      </c>
      <c r="H1908">
        <v>200</v>
      </c>
      <c r="J1908" cm="1">
        <f t="array" ref="J1908">_xlfn.SWITCH(B1908,1,75,2,61,3,49,4,37,5,25,6,13,7,4,8,1)</f>
        <v>61</v>
      </c>
      <c r="K1908" t="str" cm="1">
        <f t="array" ref="K1908">IFERROR(_xlfn.SWITCH(L1908,2,_xlfn.XLOOKUP(C1908,[1]ModifierDes!$B:$B,[1]ModifierDes!$C:$C),3,_xlfn.XLOOKUP(C1908,[1]StuntDes!$B:$B,[1]StuntDes!$C:$C)),"")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448</v>
      </c>
      <c r="D1909" t="s">
        <v>39</v>
      </c>
      <c r="E1909" t="s">
        <v>405</v>
      </c>
      <c r="G1909">
        <v>2</v>
      </c>
      <c r="H1909">
        <v>400</v>
      </c>
      <c r="J1909" cm="1">
        <f t="array" ref="J1909">_xlfn.SWITCH(B1909,1,75,2,61,3,49,4,37,5,25,6,13,7,4,8,1)</f>
        <v>49</v>
      </c>
      <c r="K1909" t="str" cm="1">
        <f t="array" ref="K1909">IFERROR(_xlfn.SWITCH(L1909,2,_xlfn.XLOOKUP(C1909,[1]ModifierDes!$B:$B,[1]ModifierDes!$C:$C),3,_xlfn.XLOOKUP(C1909,[1]StuntDes!$B:$B,[1]StuntDes!$C:$C)),"")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448</v>
      </c>
      <c r="D1910" t="s">
        <v>39</v>
      </c>
      <c r="E1910" t="s">
        <v>405</v>
      </c>
      <c r="G1910">
        <v>2</v>
      </c>
      <c r="H1910">
        <v>600</v>
      </c>
      <c r="J1910" cm="1">
        <f t="array" ref="J1910">_xlfn.SWITCH(B1910,1,75,2,61,3,49,4,37,5,25,6,13,7,4,8,1)</f>
        <v>37</v>
      </c>
      <c r="K1910" t="str" cm="1">
        <f t="array" ref="K1910">IFERROR(_xlfn.SWITCH(L1910,2,_xlfn.XLOOKUP(C1910,[1]ModifierDes!$B:$B,[1]ModifierDes!$C:$C),3,_xlfn.XLOOKUP(C1910,[1]StuntDes!$B:$B,[1]StuntDes!$C:$C)),"")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448</v>
      </c>
      <c r="D1911" t="s">
        <v>39</v>
      </c>
      <c r="E1911" t="s">
        <v>405</v>
      </c>
      <c r="G1911">
        <v>2</v>
      </c>
      <c r="H1911">
        <v>800</v>
      </c>
      <c r="J1911" cm="1">
        <f t="array" ref="J1911">_xlfn.SWITCH(B1911,1,75,2,61,3,49,4,37,5,25,6,13,7,4,8,1)</f>
        <v>25</v>
      </c>
      <c r="K1911" t="str" cm="1">
        <f t="array" ref="K1911">IFERROR(_xlfn.SWITCH(L1911,2,_xlfn.XLOOKUP(C1911,[1]ModifierDes!$B:$B,[1]ModifierDes!$C:$C),3,_xlfn.XLOOKUP(C1911,[1]StuntDes!$B:$B,[1]StuntDes!$C:$C)),"")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448</v>
      </c>
      <c r="D1912" t="s">
        <v>39</v>
      </c>
      <c r="E1912" t="s">
        <v>405</v>
      </c>
      <c r="G1912">
        <v>2</v>
      </c>
      <c r="H1912">
        <v>1000</v>
      </c>
      <c r="J1912" cm="1">
        <f t="array" ref="J1912">_xlfn.SWITCH(B1912,1,75,2,61,3,49,4,37,5,25,6,13,7,4,8,1)</f>
        <v>13</v>
      </c>
      <c r="K1912" t="str" cm="1">
        <f t="array" ref="K1912">IFERROR(_xlfn.SWITCH(L1912,2,_xlfn.XLOOKUP(C1912,[1]ModifierDes!$B:$B,[1]ModifierDes!$C:$C),3,_xlfn.XLOOKUP(C1912,[1]StuntDes!$B:$B,[1]StuntDes!$C:$C)),"")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448</v>
      </c>
      <c r="D1913" t="s">
        <v>39</v>
      </c>
      <c r="E1913" t="s">
        <v>405</v>
      </c>
      <c r="G1913">
        <v>2</v>
      </c>
      <c r="H1913">
        <v>1000</v>
      </c>
      <c r="J1913" cm="1">
        <f t="array" ref="J1913">_xlfn.SWITCH(B1913,1,75,2,61,3,49,4,37,5,25,6,13,7,4,8,1)</f>
        <v>4</v>
      </c>
      <c r="K1913" t="str" cm="1">
        <f t="array" ref="K1913">IFERROR(_xlfn.SWITCH(L1913,2,_xlfn.XLOOKUP(C1913,[1]ModifierDes!$B:$B,[1]ModifierDes!$C:$C),3,_xlfn.XLOOKUP(C1913,[1]StuntDes!$B:$B,[1]StuntDes!$C:$C)),"")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448</v>
      </c>
      <c r="D1914" t="s">
        <v>39</v>
      </c>
      <c r="E1914" t="s">
        <v>405</v>
      </c>
      <c r="G1914">
        <v>2</v>
      </c>
      <c r="H1914">
        <v>1000</v>
      </c>
      <c r="J1914" cm="1">
        <f t="array" ref="J1914">_xlfn.SWITCH(B1914,1,75,2,61,3,49,4,37,5,25,6,13,7,4,8,1)</f>
        <v>1</v>
      </c>
      <c r="K1914" t="str" cm="1">
        <f t="array" ref="K1914">IFERROR(_xlfn.SWITCH(L1914,2,_xlfn.XLOOKUP(C1914,[1]ModifierDes!$B:$B,[1]ModifierDes!$C:$C),3,_xlfn.XLOOKUP(C1914,[1]StuntDes!$B:$B,[1]StuntDes!$C:$C)),"")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449</v>
      </c>
      <c r="D1915" t="s">
        <v>39</v>
      </c>
      <c r="E1915" t="s">
        <v>405</v>
      </c>
      <c r="G1915">
        <v>2</v>
      </c>
      <c r="H1915">
        <v>100</v>
      </c>
      <c r="J1915" cm="1">
        <f t="array" ref="J1915">_xlfn.SWITCH(B1915,1,75,2,61,3,49,4,37,5,25,6,13,7,4,8,1)</f>
        <v>75</v>
      </c>
      <c r="K1915" t="str" cm="1">
        <f t="array" ref="K1915">IFERROR(_xlfn.SWITCH(L1915,2,_xlfn.XLOOKUP(C1915,[1]ModifierDes!$B:$B,[1]ModifierDes!$C:$C),3,_xlfn.XLOOKUP(C1915,[1]StuntDes!$B:$B,[1]StuntDes!$C:$C)),"")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449</v>
      </c>
      <c r="D1916" t="s">
        <v>39</v>
      </c>
      <c r="E1916" t="s">
        <v>405</v>
      </c>
      <c r="G1916">
        <v>2</v>
      </c>
      <c r="H1916">
        <v>200</v>
      </c>
      <c r="J1916" cm="1">
        <f t="array" ref="J1916">_xlfn.SWITCH(B1916,1,75,2,61,3,49,4,37,5,25,6,13,7,4,8,1)</f>
        <v>61</v>
      </c>
      <c r="K1916" t="str" cm="1">
        <f t="array" ref="K1916">IFERROR(_xlfn.SWITCH(L1916,2,_xlfn.XLOOKUP(C1916,[1]ModifierDes!$B:$B,[1]ModifierDes!$C:$C),3,_xlfn.XLOOKUP(C1916,[1]StuntDes!$B:$B,[1]StuntDes!$C:$C)),"")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449</v>
      </c>
      <c r="D1917" t="s">
        <v>39</v>
      </c>
      <c r="E1917" t="s">
        <v>405</v>
      </c>
      <c r="G1917">
        <v>2</v>
      </c>
      <c r="H1917">
        <v>400</v>
      </c>
      <c r="J1917" cm="1">
        <f t="array" ref="J1917">_xlfn.SWITCH(B1917,1,75,2,61,3,49,4,37,5,25,6,13,7,4,8,1)</f>
        <v>49</v>
      </c>
      <c r="K1917" t="str" cm="1">
        <f t="array" ref="K1917">IFERROR(_xlfn.SWITCH(L1917,2,_xlfn.XLOOKUP(C1917,[1]ModifierDes!$B:$B,[1]ModifierDes!$C:$C),3,_xlfn.XLOOKUP(C1917,[1]StuntDes!$B:$B,[1]StuntDes!$C:$C)),"")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449</v>
      </c>
      <c r="D1918" t="s">
        <v>39</v>
      </c>
      <c r="E1918" t="s">
        <v>405</v>
      </c>
      <c r="G1918">
        <v>2</v>
      </c>
      <c r="H1918">
        <v>600</v>
      </c>
      <c r="J1918" cm="1">
        <f t="array" ref="J1918">_xlfn.SWITCH(B1918,1,75,2,61,3,49,4,37,5,25,6,13,7,4,8,1)</f>
        <v>37</v>
      </c>
      <c r="K1918" t="str" cm="1">
        <f t="array" ref="K1918">IFERROR(_xlfn.SWITCH(L1918,2,_xlfn.XLOOKUP(C1918,[1]ModifierDes!$B:$B,[1]ModifierDes!$C:$C),3,_xlfn.XLOOKUP(C1918,[1]StuntDes!$B:$B,[1]StuntDes!$C:$C)),"")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449</v>
      </c>
      <c r="D1919" t="s">
        <v>39</v>
      </c>
      <c r="E1919" t="s">
        <v>405</v>
      </c>
      <c r="G1919">
        <v>2</v>
      </c>
      <c r="H1919">
        <v>800</v>
      </c>
      <c r="J1919" cm="1">
        <f t="array" ref="J1919">_xlfn.SWITCH(B1919,1,75,2,61,3,49,4,37,5,25,6,13,7,4,8,1)</f>
        <v>25</v>
      </c>
      <c r="K1919" t="str" cm="1">
        <f t="array" ref="K1919">IFERROR(_xlfn.SWITCH(L1919,2,_xlfn.XLOOKUP(C1919,[1]ModifierDes!$B:$B,[1]ModifierDes!$C:$C),3,_xlfn.XLOOKUP(C1919,[1]StuntDes!$B:$B,[1]StuntDes!$C:$C)),"")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449</v>
      </c>
      <c r="D1920" t="s">
        <v>39</v>
      </c>
      <c r="E1920" t="s">
        <v>405</v>
      </c>
      <c r="G1920">
        <v>2</v>
      </c>
      <c r="H1920">
        <v>1000</v>
      </c>
      <c r="J1920" cm="1">
        <f t="array" ref="J1920">_xlfn.SWITCH(B1920,1,75,2,61,3,49,4,37,5,25,6,13,7,4,8,1)</f>
        <v>13</v>
      </c>
      <c r="K1920" t="str" cm="1">
        <f t="array" ref="K1920">IFERROR(_xlfn.SWITCH(L1920,2,_xlfn.XLOOKUP(C1920,[1]ModifierDes!$B:$B,[1]ModifierDes!$C:$C),3,_xlfn.XLOOKUP(C1920,[1]StuntDes!$B:$B,[1]StuntDes!$C:$C)),"")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449</v>
      </c>
      <c r="D1921" t="s">
        <v>39</v>
      </c>
      <c r="E1921" t="s">
        <v>405</v>
      </c>
      <c r="G1921">
        <v>2</v>
      </c>
      <c r="H1921">
        <v>1000</v>
      </c>
      <c r="J1921" cm="1">
        <f t="array" ref="J1921">_xlfn.SWITCH(B1921,1,75,2,61,3,49,4,37,5,25,6,13,7,4,8,1)</f>
        <v>4</v>
      </c>
      <c r="K1921" t="str" cm="1">
        <f t="array" ref="K1921">IFERROR(_xlfn.SWITCH(L1921,2,_xlfn.XLOOKUP(C1921,[1]ModifierDes!$B:$B,[1]ModifierDes!$C:$C),3,_xlfn.XLOOKUP(C1921,[1]StuntDes!$B:$B,[1]StuntDes!$C:$C)),"")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449</v>
      </c>
      <c r="D1922" t="s">
        <v>39</v>
      </c>
      <c r="E1922" t="s">
        <v>405</v>
      </c>
      <c r="G1922">
        <v>2</v>
      </c>
      <c r="H1922">
        <v>1000</v>
      </c>
      <c r="J1922" cm="1">
        <f t="array" ref="J1922">_xlfn.SWITCH(B1922,1,75,2,61,3,49,4,37,5,25,6,13,7,4,8,1)</f>
        <v>1</v>
      </c>
      <c r="K1922" t="str" cm="1">
        <f t="array" ref="K1922">IFERROR(_xlfn.SWITCH(L1922,2,_xlfn.XLOOKUP(C1922,[1]ModifierDes!$B:$B,[1]ModifierDes!$C:$C),3,_xlfn.XLOOKUP(C1922,[1]StuntDes!$B:$B,[1]StuntDes!$C:$C)),"")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413</v>
      </c>
      <c r="D1923" t="s">
        <v>39</v>
      </c>
      <c r="E1923" t="s">
        <v>405</v>
      </c>
      <c r="G1923">
        <v>2</v>
      </c>
      <c r="H1923">
        <v>100</v>
      </c>
      <c r="J1923" cm="1">
        <f t="array" ref="J1923">_xlfn.SWITCH(B1923,1,75,2,61,3,49,4,37,5,25,6,13,7,4,8,1)</f>
        <v>75</v>
      </c>
      <c r="K1923" t="str" cm="1">
        <f t="array" ref="K1923">IFERROR(_xlfn.SWITCH(L1923,2,_xlfn.XLOOKUP(C1923,[1]ModifierDes!$B:$B,[1]ModifierDes!$C:$C),3,_xlfn.XLOOKUP(C1923,[1]StuntDes!$B:$B,[1]StuntDes!$C:$C)),"")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413</v>
      </c>
      <c r="D1924" t="s">
        <v>39</v>
      </c>
      <c r="E1924" t="s">
        <v>405</v>
      </c>
      <c r="G1924">
        <v>2</v>
      </c>
      <c r="H1924">
        <v>200</v>
      </c>
      <c r="J1924" cm="1">
        <f t="array" ref="J1924">_xlfn.SWITCH(B1924,1,75,2,61,3,49,4,37,5,25,6,13,7,4,8,1)</f>
        <v>61</v>
      </c>
      <c r="K1924" t="str" cm="1">
        <f t="array" ref="K1924">IFERROR(_xlfn.SWITCH(L1924,2,_xlfn.XLOOKUP(C1924,[1]ModifierDes!$B:$B,[1]ModifierDes!$C:$C),3,_xlfn.XLOOKUP(C1924,[1]StuntDes!$B:$B,[1]StuntDes!$C:$C)),"")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413</v>
      </c>
      <c r="D1925" t="s">
        <v>39</v>
      </c>
      <c r="E1925" t="s">
        <v>405</v>
      </c>
      <c r="G1925">
        <v>2</v>
      </c>
      <c r="H1925">
        <v>400</v>
      </c>
      <c r="J1925" cm="1">
        <f t="array" ref="J1925">_xlfn.SWITCH(B1925,1,75,2,61,3,49,4,37,5,25,6,13,7,4,8,1)</f>
        <v>49</v>
      </c>
      <c r="K1925" t="str" cm="1">
        <f t="array" ref="K1925">IFERROR(_xlfn.SWITCH(L1925,2,_xlfn.XLOOKUP(C1925,[1]ModifierDes!$B:$B,[1]ModifierDes!$C:$C),3,_xlfn.XLOOKUP(C1925,[1]StuntDes!$B:$B,[1]StuntDes!$C:$C)),"")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413</v>
      </c>
      <c r="D1926" t="s">
        <v>39</v>
      </c>
      <c r="E1926" t="s">
        <v>405</v>
      </c>
      <c r="G1926">
        <v>2</v>
      </c>
      <c r="H1926">
        <v>600</v>
      </c>
      <c r="J1926" cm="1">
        <f t="array" ref="J1926">_xlfn.SWITCH(B1926,1,75,2,61,3,49,4,37,5,25,6,13,7,4,8,1)</f>
        <v>37</v>
      </c>
      <c r="K1926" t="str" cm="1">
        <f t="array" ref="K1926">IFERROR(_xlfn.SWITCH(L1926,2,_xlfn.XLOOKUP(C1926,[1]ModifierDes!$B:$B,[1]ModifierDes!$C:$C),3,_xlfn.XLOOKUP(C1926,[1]StuntDes!$B:$B,[1]StuntDes!$C:$C)),"")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413</v>
      </c>
      <c r="D1927" t="s">
        <v>39</v>
      </c>
      <c r="E1927" t="s">
        <v>405</v>
      </c>
      <c r="G1927">
        <v>2</v>
      </c>
      <c r="H1927">
        <v>800</v>
      </c>
      <c r="J1927" cm="1">
        <f t="array" ref="J1927">_xlfn.SWITCH(B1927,1,75,2,61,3,49,4,37,5,25,6,13,7,4,8,1)</f>
        <v>25</v>
      </c>
      <c r="K1927" t="str" cm="1">
        <f t="array" ref="K1927">IFERROR(_xlfn.SWITCH(L1927,2,_xlfn.XLOOKUP(C1927,[1]ModifierDes!$B:$B,[1]ModifierDes!$C:$C),3,_xlfn.XLOOKUP(C1927,[1]StuntDes!$B:$B,[1]StuntDes!$C:$C)),"")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413</v>
      </c>
      <c r="D1928" t="s">
        <v>39</v>
      </c>
      <c r="E1928" t="s">
        <v>405</v>
      </c>
      <c r="G1928">
        <v>2</v>
      </c>
      <c r="H1928">
        <v>1000</v>
      </c>
      <c r="J1928" cm="1">
        <f t="array" ref="J1928">_xlfn.SWITCH(B1928,1,75,2,61,3,49,4,37,5,25,6,13,7,4,8,1)</f>
        <v>13</v>
      </c>
      <c r="K1928" t="str" cm="1">
        <f t="array" ref="K1928">IFERROR(_xlfn.SWITCH(L1928,2,_xlfn.XLOOKUP(C1928,[1]ModifierDes!$B:$B,[1]ModifierDes!$C:$C),3,_xlfn.XLOOKUP(C1928,[1]StuntDes!$B:$B,[1]StuntDes!$C:$C)),"")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413</v>
      </c>
      <c r="D1929" t="s">
        <v>39</v>
      </c>
      <c r="E1929" t="s">
        <v>405</v>
      </c>
      <c r="G1929">
        <v>2</v>
      </c>
      <c r="H1929">
        <v>1000</v>
      </c>
      <c r="J1929" cm="1">
        <f t="array" ref="J1929">_xlfn.SWITCH(B1929,1,75,2,61,3,49,4,37,5,25,6,13,7,4,8,1)</f>
        <v>4</v>
      </c>
      <c r="K1929" t="str" cm="1">
        <f t="array" ref="K1929">IFERROR(_xlfn.SWITCH(L1929,2,_xlfn.XLOOKUP(C1929,[1]ModifierDes!$B:$B,[1]ModifierDes!$C:$C),3,_xlfn.XLOOKUP(C1929,[1]StuntDes!$B:$B,[1]StuntDes!$C:$C)),"")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413</v>
      </c>
      <c r="D1930" t="s">
        <v>39</v>
      </c>
      <c r="E1930" t="s">
        <v>405</v>
      </c>
      <c r="G1930">
        <v>2</v>
      </c>
      <c r="H1930">
        <v>1000</v>
      </c>
      <c r="J1930" cm="1">
        <f t="array" ref="J1930">_xlfn.SWITCH(B1930,1,75,2,61,3,49,4,37,5,25,6,13,7,4,8,1)</f>
        <v>1</v>
      </c>
      <c r="K1930" t="str" cm="1">
        <f t="array" ref="K1930">IFERROR(_xlfn.SWITCH(L1930,2,_xlfn.XLOOKUP(C1930,[1]ModifierDes!$B:$B,[1]ModifierDes!$C:$C),3,_xlfn.XLOOKUP(C1930,[1]StuntDes!$B:$B,[1]StuntDes!$C:$C)),"")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443</v>
      </c>
      <c r="D1931" t="s">
        <v>39</v>
      </c>
      <c r="E1931" t="s">
        <v>405</v>
      </c>
      <c r="G1931">
        <v>2</v>
      </c>
      <c r="H1931">
        <v>100</v>
      </c>
      <c r="J1931" cm="1">
        <f t="array" ref="J1931">_xlfn.SWITCH(B1931,1,75,2,61,3,49,4,37,5,25,6,13,7,4,8,1)</f>
        <v>75</v>
      </c>
      <c r="K1931" t="str" cm="1">
        <f t="array" ref="K1931">IFERROR(_xlfn.SWITCH(L1931,2,_xlfn.XLOOKUP(C1931,[1]ModifierDes!$B:$B,[1]ModifierDes!$C:$C),3,_xlfn.XLOOKUP(C1931,[1]StuntDes!$B:$B,[1]StuntDes!$C:$C)),"")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443</v>
      </c>
      <c r="D1932" t="s">
        <v>39</v>
      </c>
      <c r="E1932" t="s">
        <v>405</v>
      </c>
      <c r="G1932">
        <v>2</v>
      </c>
      <c r="H1932">
        <v>200</v>
      </c>
      <c r="J1932" cm="1">
        <f t="array" ref="J1932">_xlfn.SWITCH(B1932,1,75,2,61,3,49,4,37,5,25,6,13,7,4,8,1)</f>
        <v>61</v>
      </c>
      <c r="K1932" t="str" cm="1">
        <f t="array" ref="K1932">IFERROR(_xlfn.SWITCH(L1932,2,_xlfn.XLOOKUP(C1932,[1]ModifierDes!$B:$B,[1]ModifierDes!$C:$C),3,_xlfn.XLOOKUP(C1932,[1]StuntDes!$B:$B,[1]StuntDes!$C:$C)),"")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443</v>
      </c>
      <c r="D1933" t="s">
        <v>39</v>
      </c>
      <c r="E1933" t="s">
        <v>405</v>
      </c>
      <c r="G1933">
        <v>2</v>
      </c>
      <c r="H1933">
        <v>400</v>
      </c>
      <c r="J1933" cm="1">
        <f t="array" ref="J1933">_xlfn.SWITCH(B1933,1,75,2,61,3,49,4,37,5,25,6,13,7,4,8,1)</f>
        <v>49</v>
      </c>
      <c r="K1933" t="str" cm="1">
        <f t="array" ref="K1933">IFERROR(_xlfn.SWITCH(L1933,2,_xlfn.XLOOKUP(C1933,[1]ModifierDes!$B:$B,[1]ModifierDes!$C:$C),3,_xlfn.XLOOKUP(C1933,[1]StuntDes!$B:$B,[1]StuntDes!$C:$C)),"")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443</v>
      </c>
      <c r="D1934" t="s">
        <v>39</v>
      </c>
      <c r="E1934" t="s">
        <v>405</v>
      </c>
      <c r="G1934">
        <v>2</v>
      </c>
      <c r="H1934">
        <v>600</v>
      </c>
      <c r="J1934" cm="1">
        <f t="array" ref="J1934">_xlfn.SWITCH(B1934,1,75,2,61,3,49,4,37,5,25,6,13,7,4,8,1)</f>
        <v>37</v>
      </c>
      <c r="K1934" t="str" cm="1">
        <f t="array" ref="K1934">IFERROR(_xlfn.SWITCH(L1934,2,_xlfn.XLOOKUP(C1934,[1]ModifierDes!$B:$B,[1]ModifierDes!$C:$C),3,_xlfn.XLOOKUP(C1934,[1]StuntDes!$B:$B,[1]StuntDes!$C:$C)),"")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443</v>
      </c>
      <c r="D1935" t="s">
        <v>39</v>
      </c>
      <c r="E1935" t="s">
        <v>405</v>
      </c>
      <c r="G1935">
        <v>2</v>
      </c>
      <c r="H1935">
        <v>800</v>
      </c>
      <c r="J1935" cm="1">
        <f t="array" ref="J1935">_xlfn.SWITCH(B1935,1,75,2,61,3,49,4,37,5,25,6,13,7,4,8,1)</f>
        <v>25</v>
      </c>
      <c r="K1935" t="str" cm="1">
        <f t="array" ref="K1935">IFERROR(_xlfn.SWITCH(L1935,2,_xlfn.XLOOKUP(C1935,[1]ModifierDes!$B:$B,[1]ModifierDes!$C:$C),3,_xlfn.XLOOKUP(C1935,[1]StuntDes!$B:$B,[1]StuntDes!$C:$C)),"")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443</v>
      </c>
      <c r="D1936" t="s">
        <v>39</v>
      </c>
      <c r="E1936" t="s">
        <v>405</v>
      </c>
      <c r="G1936">
        <v>2</v>
      </c>
      <c r="H1936">
        <v>1000</v>
      </c>
      <c r="J1936" cm="1">
        <f t="array" ref="J1936">_xlfn.SWITCH(B1936,1,75,2,61,3,49,4,37,5,25,6,13,7,4,8,1)</f>
        <v>13</v>
      </c>
      <c r="K1936" t="str" cm="1">
        <f t="array" ref="K1936">IFERROR(_xlfn.SWITCH(L1936,2,_xlfn.XLOOKUP(C1936,[1]ModifierDes!$B:$B,[1]ModifierDes!$C:$C),3,_xlfn.XLOOKUP(C1936,[1]StuntDes!$B:$B,[1]StuntDes!$C:$C)),"")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443</v>
      </c>
      <c r="D1937" t="s">
        <v>39</v>
      </c>
      <c r="E1937" t="s">
        <v>405</v>
      </c>
      <c r="G1937">
        <v>2</v>
      </c>
      <c r="H1937">
        <v>1000</v>
      </c>
      <c r="J1937" cm="1">
        <f t="array" ref="J1937">_xlfn.SWITCH(B1937,1,75,2,61,3,49,4,37,5,25,6,13,7,4,8,1)</f>
        <v>4</v>
      </c>
      <c r="K1937" t="str" cm="1">
        <f t="array" ref="K1937">IFERROR(_xlfn.SWITCH(L1937,2,_xlfn.XLOOKUP(C1937,[1]ModifierDes!$B:$B,[1]ModifierDes!$C:$C),3,_xlfn.XLOOKUP(C1937,[1]StuntDes!$B:$B,[1]StuntDes!$C:$C)),"")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443</v>
      </c>
      <c r="D1938" t="s">
        <v>39</v>
      </c>
      <c r="E1938" t="s">
        <v>405</v>
      </c>
      <c r="G1938">
        <v>2</v>
      </c>
      <c r="H1938">
        <v>1000</v>
      </c>
      <c r="J1938" cm="1">
        <f t="array" ref="J1938">_xlfn.SWITCH(B1938,1,75,2,61,3,49,4,37,5,25,6,13,7,4,8,1)</f>
        <v>1</v>
      </c>
      <c r="K1938" t="str" cm="1">
        <f t="array" ref="K1938">IFERROR(_xlfn.SWITCH(L1938,2,_xlfn.XLOOKUP(C1938,[1]ModifierDes!$B:$B,[1]ModifierDes!$C:$C),3,_xlfn.XLOOKUP(C1938,[1]StuntDes!$B:$B,[1]StuntDes!$C:$C)),"")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419</v>
      </c>
      <c r="D1939" t="s">
        <v>39</v>
      </c>
      <c r="E1939" t="s">
        <v>405</v>
      </c>
      <c r="G1939">
        <v>2</v>
      </c>
      <c r="H1939">
        <v>1000</v>
      </c>
      <c r="J1939" cm="1">
        <f t="array" ref="J1939">_xlfn.SWITCH(B1939,1,75,2,61,3,49,4,37,5,25,6,13,7,4,8,1)</f>
        <v>75</v>
      </c>
      <c r="K1939" t="str" cm="1">
        <f t="array" ref="K1939">IFERROR(_xlfn.SWITCH(L1939,2,_xlfn.XLOOKUP(C1939,[1]ModifierDes!$B:$B,[1]ModifierDes!$C:$C),3,_xlfn.XLOOKUP(C1939,[1]StuntDes!$B:$B,[1]StuntDes!$C:$C)),"")</f>
        <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419</v>
      </c>
      <c r="D1940" t="s">
        <v>39</v>
      </c>
      <c r="E1940" t="s">
        <v>405</v>
      </c>
      <c r="G1940">
        <v>2</v>
      </c>
      <c r="H1940">
        <v>1000</v>
      </c>
      <c r="J1940" cm="1">
        <f t="array" ref="J1940">_xlfn.SWITCH(B1940,1,75,2,61,3,49,4,37,5,25,6,13,7,4,8,1)</f>
        <v>61</v>
      </c>
      <c r="K1940" t="str" cm="1">
        <f t="array" ref="K1940">IFERROR(_xlfn.SWITCH(L1940,2,_xlfn.XLOOKUP(C1940,[1]ModifierDes!$B:$B,[1]ModifierDes!$C:$C),3,_xlfn.XLOOKUP(C1940,[1]StuntDes!$B:$B,[1]StuntDes!$C:$C)),"")</f>
        <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419</v>
      </c>
      <c r="D1941" t="s">
        <v>39</v>
      </c>
      <c r="E1941" t="s">
        <v>405</v>
      </c>
      <c r="G1941">
        <v>2</v>
      </c>
      <c r="H1941">
        <v>1000</v>
      </c>
      <c r="J1941" cm="1">
        <f t="array" ref="J1941">_xlfn.SWITCH(B1941,1,75,2,61,3,49,4,37,5,25,6,13,7,4,8,1)</f>
        <v>49</v>
      </c>
      <c r="K1941" t="str" cm="1">
        <f t="array" ref="K1941">IFERROR(_xlfn.SWITCH(L1941,2,_xlfn.XLOOKUP(C1941,[1]ModifierDes!$B:$B,[1]ModifierDes!$C:$C),3,_xlfn.XLOOKUP(C1941,[1]StuntDes!$B:$B,[1]StuntDes!$C:$C)),"")</f>
        <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419</v>
      </c>
      <c r="D1942" t="s">
        <v>39</v>
      </c>
      <c r="E1942" t="s">
        <v>405</v>
      </c>
      <c r="G1942">
        <v>2</v>
      </c>
      <c r="H1942">
        <v>1000</v>
      </c>
      <c r="J1942" cm="1">
        <f t="array" ref="J1942">_xlfn.SWITCH(B1942,1,75,2,61,3,49,4,37,5,25,6,13,7,4,8,1)</f>
        <v>37</v>
      </c>
      <c r="K1942" t="str" cm="1">
        <f t="array" ref="K1942">IFERROR(_xlfn.SWITCH(L1942,2,_xlfn.XLOOKUP(C1942,[1]ModifierDes!$B:$B,[1]ModifierDes!$C:$C),3,_xlfn.XLOOKUP(C1942,[1]StuntDes!$B:$B,[1]StuntDes!$C:$C)),"")</f>
        <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419</v>
      </c>
      <c r="D1943" t="s">
        <v>39</v>
      </c>
      <c r="E1943" t="s">
        <v>405</v>
      </c>
      <c r="G1943">
        <v>2</v>
      </c>
      <c r="H1943">
        <v>1000</v>
      </c>
      <c r="J1943" cm="1">
        <f t="array" ref="J1943">_xlfn.SWITCH(B1943,1,75,2,61,3,49,4,37,5,25,6,13,7,4,8,1)</f>
        <v>25</v>
      </c>
      <c r="K1943" t="str" cm="1">
        <f t="array" ref="K1943">IFERROR(_xlfn.SWITCH(L1943,2,_xlfn.XLOOKUP(C1943,[1]ModifierDes!$B:$B,[1]ModifierDes!$C:$C),3,_xlfn.XLOOKUP(C1943,[1]StuntDes!$B:$B,[1]StuntDes!$C:$C)),"")</f>
        <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419</v>
      </c>
      <c r="D1944" t="s">
        <v>39</v>
      </c>
      <c r="E1944" t="s">
        <v>405</v>
      </c>
      <c r="G1944">
        <v>2</v>
      </c>
      <c r="H1944">
        <v>1000</v>
      </c>
      <c r="J1944" cm="1">
        <f t="array" ref="J1944">_xlfn.SWITCH(B1944,1,75,2,61,3,49,4,37,5,25,6,13,7,4,8,1)</f>
        <v>13</v>
      </c>
      <c r="K1944" t="str" cm="1">
        <f t="array" ref="K1944">IFERROR(_xlfn.SWITCH(L1944,2,_xlfn.XLOOKUP(C1944,[1]ModifierDes!$B:$B,[1]ModifierDes!$C:$C),3,_xlfn.XLOOKUP(C1944,[1]StuntDes!$B:$B,[1]StuntDes!$C:$C)),"")</f>
        <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419</v>
      </c>
      <c r="D1945" t="s">
        <v>39</v>
      </c>
      <c r="E1945" t="s">
        <v>405</v>
      </c>
      <c r="G1945">
        <v>2</v>
      </c>
      <c r="H1945">
        <v>1000</v>
      </c>
      <c r="J1945" cm="1">
        <f t="array" ref="J1945">_xlfn.SWITCH(B1945,1,75,2,61,3,49,4,37,5,25,6,13,7,4,8,1)</f>
        <v>4</v>
      </c>
      <c r="K1945" t="str" cm="1">
        <f t="array" ref="K1945">IFERROR(_xlfn.SWITCH(L1945,2,_xlfn.XLOOKUP(C1945,[1]ModifierDes!$B:$B,[1]ModifierDes!$C:$C),3,_xlfn.XLOOKUP(C1945,[1]StuntDes!$B:$B,[1]StuntDes!$C:$C)),"")</f>
        <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419</v>
      </c>
      <c r="D1946" t="s">
        <v>39</v>
      </c>
      <c r="E1946" t="s">
        <v>405</v>
      </c>
      <c r="G1946">
        <v>2</v>
      </c>
      <c r="H1946">
        <v>1000</v>
      </c>
      <c r="J1946" cm="1">
        <f t="array" ref="J1946">_xlfn.SWITCH(B1946,1,75,2,61,3,49,4,37,5,25,6,13,7,4,8,1)</f>
        <v>1</v>
      </c>
      <c r="K1946" t="str" cm="1">
        <f t="array" ref="K1946">IFERROR(_xlfn.SWITCH(L1946,2,_xlfn.XLOOKUP(C1946,[1]ModifierDes!$B:$B,[1]ModifierDes!$C:$C),3,_xlfn.XLOOKUP(C1946,[1]StuntDes!$B:$B,[1]StuntDes!$C:$C)),"")</f>
        <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387</v>
      </c>
      <c r="D1947" t="s">
        <v>24</v>
      </c>
      <c r="E1947" t="s">
        <v>388</v>
      </c>
      <c r="G1947">
        <v>1</v>
      </c>
      <c r="H1947">
        <v>100</v>
      </c>
      <c r="I1947">
        <v>1</v>
      </c>
      <c r="J1947" cm="1">
        <f t="array" ref="J1947">_xlfn.SWITCH(B1947,1,75,2,61,3,49,4,37,5,25,6,13,7,4,8,1)</f>
        <v>75</v>
      </c>
      <c r="K1947" t="str" cm="1">
        <f t="array" ref="K1947">IFERROR(_xlfn.SWITCH(L1947,2,_xlfn.XLOOKUP(C1947,[1]ModifierDes!$B:$B,[1]ModifierDes!$C:$C),3,_xlfn.XLOOKUP(C1947,[1]StuntDes!$B:$B,[1]StuntDes!$C:$C)),"")</f>
        <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387</v>
      </c>
      <c r="D1948" t="s">
        <v>24</v>
      </c>
      <c r="E1948" t="s">
        <v>388</v>
      </c>
      <c r="G1948">
        <v>1</v>
      </c>
      <c r="H1948">
        <v>200</v>
      </c>
      <c r="I1948">
        <v>1</v>
      </c>
      <c r="J1948" cm="1">
        <f t="array" ref="J1948">_xlfn.SWITCH(B1948,1,75,2,61,3,49,4,37,5,25,6,13,7,4,8,1)</f>
        <v>61</v>
      </c>
      <c r="K1948" t="str" cm="1">
        <f t="array" ref="K1948">IFERROR(_xlfn.SWITCH(L1948,2,_xlfn.XLOOKUP(C1948,[1]ModifierDes!$B:$B,[1]ModifierDes!$C:$C),3,_xlfn.XLOOKUP(C1948,[1]StuntDes!$B:$B,[1]StuntDes!$C:$C)),"")</f>
        <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387</v>
      </c>
      <c r="D1949" t="s">
        <v>24</v>
      </c>
      <c r="E1949" t="s">
        <v>388</v>
      </c>
      <c r="G1949">
        <v>1</v>
      </c>
      <c r="H1949">
        <v>400</v>
      </c>
      <c r="I1949">
        <v>1</v>
      </c>
      <c r="J1949" cm="1">
        <f t="array" ref="J1949">_xlfn.SWITCH(B1949,1,75,2,61,3,49,4,37,5,25,6,13,7,4,8,1)</f>
        <v>49</v>
      </c>
      <c r="K1949" t="str" cm="1">
        <f t="array" ref="K1949">IFERROR(_xlfn.SWITCH(L1949,2,_xlfn.XLOOKUP(C1949,[1]ModifierDes!$B:$B,[1]ModifierDes!$C:$C),3,_xlfn.XLOOKUP(C1949,[1]StuntDes!$B:$B,[1]StuntDes!$C:$C)),"")</f>
        <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387</v>
      </c>
      <c r="D1950" t="s">
        <v>24</v>
      </c>
      <c r="E1950" t="s">
        <v>388</v>
      </c>
      <c r="G1950">
        <v>1</v>
      </c>
      <c r="H1950">
        <v>600</v>
      </c>
      <c r="I1950">
        <v>1</v>
      </c>
      <c r="J1950" cm="1">
        <f t="array" ref="J1950">_xlfn.SWITCH(B1950,1,75,2,61,3,49,4,37,5,25,6,13,7,4,8,1)</f>
        <v>37</v>
      </c>
      <c r="K1950" t="str" cm="1">
        <f t="array" ref="K1950">IFERROR(_xlfn.SWITCH(L1950,2,_xlfn.XLOOKUP(C1950,[1]ModifierDes!$B:$B,[1]ModifierDes!$C:$C),3,_xlfn.XLOOKUP(C1950,[1]StuntDes!$B:$B,[1]StuntDes!$C:$C)),"")</f>
        <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387</v>
      </c>
      <c r="D1951" t="s">
        <v>24</v>
      </c>
      <c r="E1951" t="s">
        <v>388</v>
      </c>
      <c r="G1951">
        <v>1</v>
      </c>
      <c r="H1951">
        <v>800</v>
      </c>
      <c r="I1951">
        <v>1</v>
      </c>
      <c r="J1951" cm="1">
        <f t="array" ref="J1951">_xlfn.SWITCH(B1951,1,75,2,61,3,49,4,37,5,25,6,13,7,4,8,1)</f>
        <v>25</v>
      </c>
      <c r="K1951" t="str" cm="1">
        <f t="array" ref="K1951">IFERROR(_xlfn.SWITCH(L1951,2,_xlfn.XLOOKUP(C1951,[1]ModifierDes!$B:$B,[1]ModifierDes!$C:$C),3,_xlfn.XLOOKUP(C1951,[1]StuntDes!$B:$B,[1]StuntDes!$C:$C)),"")</f>
        <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387</v>
      </c>
      <c r="D1952" t="s">
        <v>24</v>
      </c>
      <c r="E1952" t="s">
        <v>388</v>
      </c>
      <c r="G1952">
        <v>1</v>
      </c>
      <c r="H1952">
        <v>1000</v>
      </c>
      <c r="I1952">
        <v>1</v>
      </c>
      <c r="J1952" cm="1">
        <f t="array" ref="J1952">_xlfn.SWITCH(B1952,1,75,2,61,3,49,4,37,5,25,6,13,7,4,8,1)</f>
        <v>13</v>
      </c>
      <c r="K1952" t="str" cm="1">
        <f t="array" ref="K1952">IFERROR(_xlfn.SWITCH(L1952,2,_xlfn.XLOOKUP(C1952,[1]ModifierDes!$B:$B,[1]ModifierDes!$C:$C),3,_xlfn.XLOOKUP(C1952,[1]StuntDes!$B:$B,[1]StuntDes!$C:$C)),"")</f>
        <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387</v>
      </c>
      <c r="D1953" t="s">
        <v>24</v>
      </c>
      <c r="E1953" t="s">
        <v>388</v>
      </c>
      <c r="G1953">
        <v>1</v>
      </c>
      <c r="H1953">
        <v>1000</v>
      </c>
      <c r="I1953">
        <v>1</v>
      </c>
      <c r="J1953" cm="1">
        <f t="array" ref="J1953">_xlfn.SWITCH(B1953,1,75,2,61,3,49,4,37,5,25,6,13,7,4,8,1)</f>
        <v>4</v>
      </c>
      <c r="K1953" t="str" cm="1">
        <f t="array" ref="K1953">IFERROR(_xlfn.SWITCH(L1953,2,_xlfn.XLOOKUP(C1953,[1]ModifierDes!$B:$B,[1]ModifierDes!$C:$C),3,_xlfn.XLOOKUP(C1953,[1]StuntDes!$B:$B,[1]StuntDes!$C:$C)),"")</f>
        <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387</v>
      </c>
      <c r="D1954" t="s">
        <v>24</v>
      </c>
      <c r="E1954" t="s">
        <v>388</v>
      </c>
      <c r="G1954">
        <v>1</v>
      </c>
      <c r="H1954">
        <v>1000</v>
      </c>
      <c r="I1954">
        <v>1</v>
      </c>
      <c r="J1954" cm="1">
        <f t="array" ref="J1954">_xlfn.SWITCH(B1954,1,75,2,61,3,49,4,37,5,25,6,13,7,4,8,1)</f>
        <v>1</v>
      </c>
      <c r="K1954" t="str" cm="1">
        <f t="array" ref="K1954">IFERROR(_xlfn.SWITCH(L1954,2,_xlfn.XLOOKUP(C1954,[1]ModifierDes!$B:$B,[1]ModifierDes!$C:$C),3,_xlfn.XLOOKUP(C1954,[1]StuntDes!$B:$B,[1]StuntDes!$C:$C)),"")</f>
        <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389</v>
      </c>
      <c r="D1955" t="s">
        <v>24</v>
      </c>
      <c r="E1955" t="s">
        <v>388</v>
      </c>
      <c r="G1955">
        <v>1</v>
      </c>
      <c r="H1955">
        <v>100</v>
      </c>
      <c r="I1955">
        <v>1</v>
      </c>
      <c r="J1955" cm="1">
        <f t="array" ref="J1955">_xlfn.SWITCH(B1955,1,75,2,61,3,49,4,37,5,25,6,13,7,4,8,1)</f>
        <v>75</v>
      </c>
      <c r="K1955" t="str" cm="1">
        <f t="array" ref="K1955">IFERROR(_xlfn.SWITCH(L1955,2,_xlfn.XLOOKUP(C1955,[1]ModifierDes!$B:$B,[1]ModifierDes!$C:$C),3,_xlfn.XLOOKUP(C1955,[1]StuntDes!$B:$B,[1]StuntDes!$C:$C)),"")</f>
        <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389</v>
      </c>
      <c r="D1956" t="s">
        <v>24</v>
      </c>
      <c r="E1956" t="s">
        <v>388</v>
      </c>
      <c r="G1956">
        <v>1</v>
      </c>
      <c r="H1956">
        <v>200</v>
      </c>
      <c r="I1956">
        <v>1</v>
      </c>
      <c r="J1956" cm="1">
        <f t="array" ref="J1956">_xlfn.SWITCH(B1956,1,75,2,61,3,49,4,37,5,25,6,13,7,4,8,1)</f>
        <v>61</v>
      </c>
      <c r="K1956" t="str" cm="1">
        <f t="array" ref="K1956">IFERROR(_xlfn.SWITCH(L1956,2,_xlfn.XLOOKUP(C1956,[1]ModifierDes!$B:$B,[1]ModifierDes!$C:$C),3,_xlfn.XLOOKUP(C1956,[1]StuntDes!$B:$B,[1]StuntDes!$C:$C)),"")</f>
        <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389</v>
      </c>
      <c r="D1957" t="s">
        <v>24</v>
      </c>
      <c r="E1957" t="s">
        <v>388</v>
      </c>
      <c r="G1957">
        <v>1</v>
      </c>
      <c r="H1957">
        <v>400</v>
      </c>
      <c r="I1957">
        <v>1</v>
      </c>
      <c r="J1957" cm="1">
        <f t="array" ref="J1957">_xlfn.SWITCH(B1957,1,75,2,61,3,49,4,37,5,25,6,13,7,4,8,1)</f>
        <v>49</v>
      </c>
      <c r="K1957" t="str" cm="1">
        <f t="array" ref="K1957">IFERROR(_xlfn.SWITCH(L1957,2,_xlfn.XLOOKUP(C1957,[1]ModifierDes!$B:$B,[1]ModifierDes!$C:$C),3,_xlfn.XLOOKUP(C1957,[1]StuntDes!$B:$B,[1]StuntDes!$C:$C)),"")</f>
        <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389</v>
      </c>
      <c r="D1958" t="s">
        <v>24</v>
      </c>
      <c r="E1958" t="s">
        <v>388</v>
      </c>
      <c r="G1958">
        <v>1</v>
      </c>
      <c r="H1958">
        <v>600</v>
      </c>
      <c r="I1958">
        <v>1</v>
      </c>
      <c r="J1958" cm="1">
        <f t="array" ref="J1958">_xlfn.SWITCH(B1958,1,75,2,61,3,49,4,37,5,25,6,13,7,4,8,1)</f>
        <v>37</v>
      </c>
      <c r="K1958" t="str" cm="1">
        <f t="array" ref="K1958">IFERROR(_xlfn.SWITCH(L1958,2,_xlfn.XLOOKUP(C1958,[1]ModifierDes!$B:$B,[1]ModifierDes!$C:$C),3,_xlfn.XLOOKUP(C1958,[1]StuntDes!$B:$B,[1]StuntDes!$C:$C)),"")</f>
        <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389</v>
      </c>
      <c r="D1959" t="s">
        <v>24</v>
      </c>
      <c r="E1959" t="s">
        <v>388</v>
      </c>
      <c r="G1959">
        <v>1</v>
      </c>
      <c r="H1959">
        <v>800</v>
      </c>
      <c r="I1959">
        <v>1</v>
      </c>
      <c r="J1959" cm="1">
        <f t="array" ref="J1959">_xlfn.SWITCH(B1959,1,75,2,61,3,49,4,37,5,25,6,13,7,4,8,1)</f>
        <v>25</v>
      </c>
      <c r="K1959" t="str" cm="1">
        <f t="array" ref="K1959">IFERROR(_xlfn.SWITCH(L1959,2,_xlfn.XLOOKUP(C1959,[1]ModifierDes!$B:$B,[1]ModifierDes!$C:$C),3,_xlfn.XLOOKUP(C1959,[1]StuntDes!$B:$B,[1]StuntDes!$C:$C)),"")</f>
        <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389</v>
      </c>
      <c r="D1960" t="s">
        <v>24</v>
      </c>
      <c r="E1960" t="s">
        <v>388</v>
      </c>
      <c r="G1960">
        <v>1</v>
      </c>
      <c r="H1960">
        <v>1000</v>
      </c>
      <c r="I1960">
        <v>1</v>
      </c>
      <c r="J1960" cm="1">
        <f t="array" ref="J1960">_xlfn.SWITCH(B1960,1,75,2,61,3,49,4,37,5,25,6,13,7,4,8,1)</f>
        <v>13</v>
      </c>
      <c r="K1960" t="str" cm="1">
        <f t="array" ref="K1960">IFERROR(_xlfn.SWITCH(L1960,2,_xlfn.XLOOKUP(C1960,[1]ModifierDes!$B:$B,[1]ModifierDes!$C:$C),3,_xlfn.XLOOKUP(C1960,[1]StuntDes!$B:$B,[1]StuntDes!$C:$C)),"")</f>
        <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389</v>
      </c>
      <c r="D1961" t="s">
        <v>24</v>
      </c>
      <c r="E1961" t="s">
        <v>388</v>
      </c>
      <c r="G1961">
        <v>1</v>
      </c>
      <c r="H1961">
        <v>1000</v>
      </c>
      <c r="I1961">
        <v>1</v>
      </c>
      <c r="J1961" cm="1">
        <f t="array" ref="J1961">_xlfn.SWITCH(B1961,1,75,2,61,3,49,4,37,5,25,6,13,7,4,8,1)</f>
        <v>4</v>
      </c>
      <c r="K1961" t="str" cm="1">
        <f t="array" ref="K1961">IFERROR(_xlfn.SWITCH(L1961,2,_xlfn.XLOOKUP(C1961,[1]ModifierDes!$B:$B,[1]ModifierDes!$C:$C),3,_xlfn.XLOOKUP(C1961,[1]StuntDes!$B:$B,[1]StuntDes!$C:$C)),"")</f>
        <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389</v>
      </c>
      <c r="D1962" t="s">
        <v>24</v>
      </c>
      <c r="E1962" t="s">
        <v>388</v>
      </c>
      <c r="G1962">
        <v>1</v>
      </c>
      <c r="H1962">
        <v>1000</v>
      </c>
      <c r="I1962">
        <v>1</v>
      </c>
      <c r="J1962" cm="1">
        <f t="array" ref="J1962">_xlfn.SWITCH(B1962,1,75,2,61,3,49,4,37,5,25,6,13,7,4,8,1)</f>
        <v>1</v>
      </c>
      <c r="K1962" t="str" cm="1">
        <f t="array" ref="K1962">IFERROR(_xlfn.SWITCH(L1962,2,_xlfn.XLOOKUP(C1962,[1]ModifierDes!$B:$B,[1]ModifierDes!$C:$C),3,_xlfn.XLOOKUP(C1962,[1]StuntDes!$B:$B,[1]StuntDes!$C:$C)),"")</f>
        <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390</v>
      </c>
      <c r="D1963" t="s">
        <v>24</v>
      </c>
      <c r="E1963" t="s">
        <v>388</v>
      </c>
      <c r="G1963">
        <v>1</v>
      </c>
      <c r="H1963">
        <v>100</v>
      </c>
      <c r="I1963">
        <v>1</v>
      </c>
      <c r="J1963" cm="1">
        <f t="array" ref="J1963">_xlfn.SWITCH(B1963,1,75,2,61,3,49,4,37,5,25,6,13,7,4,8,1)</f>
        <v>75</v>
      </c>
      <c r="K1963" t="str" cm="1">
        <f t="array" ref="K1963">IFERROR(_xlfn.SWITCH(L1963,2,_xlfn.XLOOKUP(C1963,[1]ModifierDes!$B:$B,[1]ModifierDes!$C:$C),3,_xlfn.XLOOKUP(C1963,[1]StuntDes!$B:$B,[1]StuntDes!$C:$C)),"")</f>
        <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390</v>
      </c>
      <c r="D1964" t="s">
        <v>24</v>
      </c>
      <c r="E1964" t="s">
        <v>388</v>
      </c>
      <c r="G1964">
        <v>1</v>
      </c>
      <c r="H1964">
        <v>200</v>
      </c>
      <c r="I1964">
        <v>1</v>
      </c>
      <c r="J1964" cm="1">
        <f t="array" ref="J1964">_xlfn.SWITCH(B1964,1,75,2,61,3,49,4,37,5,25,6,13,7,4,8,1)</f>
        <v>61</v>
      </c>
      <c r="K1964" t="str" cm="1">
        <f t="array" ref="K1964">IFERROR(_xlfn.SWITCH(L1964,2,_xlfn.XLOOKUP(C1964,[1]ModifierDes!$B:$B,[1]ModifierDes!$C:$C),3,_xlfn.XLOOKUP(C1964,[1]StuntDes!$B:$B,[1]StuntDes!$C:$C)),"")</f>
        <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390</v>
      </c>
      <c r="D1965" t="s">
        <v>24</v>
      </c>
      <c r="E1965" t="s">
        <v>388</v>
      </c>
      <c r="G1965">
        <v>1</v>
      </c>
      <c r="H1965">
        <v>400</v>
      </c>
      <c r="I1965">
        <v>1</v>
      </c>
      <c r="J1965" cm="1">
        <f t="array" ref="J1965">_xlfn.SWITCH(B1965,1,75,2,61,3,49,4,37,5,25,6,13,7,4,8,1)</f>
        <v>49</v>
      </c>
      <c r="K1965" t="str" cm="1">
        <f t="array" ref="K1965">IFERROR(_xlfn.SWITCH(L1965,2,_xlfn.XLOOKUP(C1965,[1]ModifierDes!$B:$B,[1]ModifierDes!$C:$C),3,_xlfn.XLOOKUP(C1965,[1]StuntDes!$B:$B,[1]StuntDes!$C:$C)),"")</f>
        <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390</v>
      </c>
      <c r="D1966" t="s">
        <v>24</v>
      </c>
      <c r="E1966" t="s">
        <v>388</v>
      </c>
      <c r="G1966">
        <v>1</v>
      </c>
      <c r="H1966">
        <v>600</v>
      </c>
      <c r="I1966">
        <v>1</v>
      </c>
      <c r="J1966" cm="1">
        <f t="array" ref="J1966">_xlfn.SWITCH(B1966,1,75,2,61,3,49,4,37,5,25,6,13,7,4,8,1)</f>
        <v>37</v>
      </c>
      <c r="K1966" t="str" cm="1">
        <f t="array" ref="K1966">IFERROR(_xlfn.SWITCH(L1966,2,_xlfn.XLOOKUP(C1966,[1]ModifierDes!$B:$B,[1]ModifierDes!$C:$C),3,_xlfn.XLOOKUP(C1966,[1]StuntDes!$B:$B,[1]StuntDes!$C:$C)),"")</f>
        <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390</v>
      </c>
      <c r="D1967" t="s">
        <v>24</v>
      </c>
      <c r="E1967" t="s">
        <v>388</v>
      </c>
      <c r="G1967">
        <v>1</v>
      </c>
      <c r="H1967">
        <v>800</v>
      </c>
      <c r="I1967">
        <v>1</v>
      </c>
      <c r="J1967" cm="1">
        <f t="array" ref="J1967">_xlfn.SWITCH(B1967,1,75,2,61,3,49,4,37,5,25,6,13,7,4,8,1)</f>
        <v>25</v>
      </c>
      <c r="K1967" t="str" cm="1">
        <f t="array" ref="K1967">IFERROR(_xlfn.SWITCH(L1967,2,_xlfn.XLOOKUP(C1967,[1]ModifierDes!$B:$B,[1]ModifierDes!$C:$C),3,_xlfn.XLOOKUP(C1967,[1]StuntDes!$B:$B,[1]StuntDes!$C:$C)),"")</f>
        <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390</v>
      </c>
      <c r="D1968" t="s">
        <v>24</v>
      </c>
      <c r="E1968" t="s">
        <v>388</v>
      </c>
      <c r="G1968">
        <v>1</v>
      </c>
      <c r="H1968">
        <v>1000</v>
      </c>
      <c r="I1968">
        <v>1</v>
      </c>
      <c r="J1968" cm="1">
        <f t="array" ref="J1968">_xlfn.SWITCH(B1968,1,75,2,61,3,49,4,37,5,25,6,13,7,4,8,1)</f>
        <v>13</v>
      </c>
      <c r="K1968" t="str" cm="1">
        <f t="array" ref="K1968">IFERROR(_xlfn.SWITCH(L1968,2,_xlfn.XLOOKUP(C1968,[1]ModifierDes!$B:$B,[1]ModifierDes!$C:$C),3,_xlfn.XLOOKUP(C1968,[1]StuntDes!$B:$B,[1]StuntDes!$C:$C)),"")</f>
        <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390</v>
      </c>
      <c r="D1969" t="s">
        <v>24</v>
      </c>
      <c r="E1969" t="s">
        <v>388</v>
      </c>
      <c r="G1969">
        <v>1</v>
      </c>
      <c r="H1969">
        <v>1000</v>
      </c>
      <c r="I1969">
        <v>1</v>
      </c>
      <c r="J1969" cm="1">
        <f t="array" ref="J1969">_xlfn.SWITCH(B1969,1,75,2,61,3,49,4,37,5,25,6,13,7,4,8,1)</f>
        <v>4</v>
      </c>
      <c r="K1969" t="str" cm="1">
        <f t="array" ref="K1969">IFERROR(_xlfn.SWITCH(L1969,2,_xlfn.XLOOKUP(C1969,[1]ModifierDes!$B:$B,[1]ModifierDes!$C:$C),3,_xlfn.XLOOKUP(C1969,[1]StuntDes!$B:$B,[1]StuntDes!$C:$C)),"")</f>
        <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390</v>
      </c>
      <c r="D1970" t="s">
        <v>24</v>
      </c>
      <c r="E1970" t="s">
        <v>388</v>
      </c>
      <c r="G1970">
        <v>1</v>
      </c>
      <c r="H1970">
        <v>1000</v>
      </c>
      <c r="I1970">
        <v>1</v>
      </c>
      <c r="J1970" cm="1">
        <f t="array" ref="J1970">_xlfn.SWITCH(B1970,1,75,2,61,3,49,4,37,5,25,6,13,7,4,8,1)</f>
        <v>1</v>
      </c>
      <c r="K1970" t="str" cm="1">
        <f t="array" ref="K1970">IFERROR(_xlfn.SWITCH(L1970,2,_xlfn.XLOOKUP(C1970,[1]ModifierDes!$B:$B,[1]ModifierDes!$C:$C),3,_xlfn.XLOOKUP(C1970,[1]StuntDes!$B:$B,[1]StuntDes!$C:$C)),"")</f>
        <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391</v>
      </c>
      <c r="D1971" t="s">
        <v>24</v>
      </c>
      <c r="E1971" t="s">
        <v>388</v>
      </c>
      <c r="G1971">
        <v>1</v>
      </c>
      <c r="H1971">
        <v>100</v>
      </c>
      <c r="I1971">
        <v>1</v>
      </c>
      <c r="J1971" cm="1">
        <f t="array" ref="J1971">_xlfn.SWITCH(B1971,1,75,2,61,3,49,4,37,5,25,6,13,7,4,8,1)</f>
        <v>75</v>
      </c>
      <c r="K1971" t="str" cm="1">
        <f t="array" ref="K1971">IFERROR(_xlfn.SWITCH(L1971,2,_xlfn.XLOOKUP(C1971,[1]ModifierDes!$B:$B,[1]ModifierDes!$C:$C),3,_xlfn.XLOOKUP(C1971,[1]StuntDes!$B:$B,[1]StuntDes!$C:$C)),"")</f>
        <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391</v>
      </c>
      <c r="D1972" t="s">
        <v>24</v>
      </c>
      <c r="E1972" t="s">
        <v>388</v>
      </c>
      <c r="G1972">
        <v>1</v>
      </c>
      <c r="H1972">
        <v>200</v>
      </c>
      <c r="I1972">
        <v>1</v>
      </c>
      <c r="J1972" cm="1">
        <f t="array" ref="J1972">_xlfn.SWITCH(B1972,1,75,2,61,3,49,4,37,5,25,6,13,7,4,8,1)</f>
        <v>61</v>
      </c>
      <c r="K1972" t="str" cm="1">
        <f t="array" ref="K1972">IFERROR(_xlfn.SWITCH(L1972,2,_xlfn.XLOOKUP(C1972,[1]ModifierDes!$B:$B,[1]ModifierDes!$C:$C),3,_xlfn.XLOOKUP(C1972,[1]StuntDes!$B:$B,[1]StuntDes!$C:$C)),"")</f>
        <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391</v>
      </c>
      <c r="D1973" t="s">
        <v>24</v>
      </c>
      <c r="E1973" t="s">
        <v>388</v>
      </c>
      <c r="G1973">
        <v>1</v>
      </c>
      <c r="H1973">
        <v>400</v>
      </c>
      <c r="I1973">
        <v>1</v>
      </c>
      <c r="J1973" cm="1">
        <f t="array" ref="J1973">_xlfn.SWITCH(B1973,1,75,2,61,3,49,4,37,5,25,6,13,7,4,8,1)</f>
        <v>49</v>
      </c>
      <c r="K1973" t="str" cm="1">
        <f t="array" ref="K1973">IFERROR(_xlfn.SWITCH(L1973,2,_xlfn.XLOOKUP(C1973,[1]ModifierDes!$B:$B,[1]ModifierDes!$C:$C),3,_xlfn.XLOOKUP(C1973,[1]StuntDes!$B:$B,[1]StuntDes!$C:$C)),"")</f>
        <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391</v>
      </c>
      <c r="D1974" t="s">
        <v>24</v>
      </c>
      <c r="E1974" t="s">
        <v>388</v>
      </c>
      <c r="G1974">
        <v>1</v>
      </c>
      <c r="H1974">
        <v>600</v>
      </c>
      <c r="I1974">
        <v>1</v>
      </c>
      <c r="J1974" cm="1">
        <f t="array" ref="J1974">_xlfn.SWITCH(B1974,1,75,2,61,3,49,4,37,5,25,6,13,7,4,8,1)</f>
        <v>37</v>
      </c>
      <c r="K1974" t="str" cm="1">
        <f t="array" ref="K1974">IFERROR(_xlfn.SWITCH(L1974,2,_xlfn.XLOOKUP(C1974,[1]ModifierDes!$B:$B,[1]ModifierDes!$C:$C),3,_xlfn.XLOOKUP(C1974,[1]StuntDes!$B:$B,[1]StuntDes!$C:$C)),"")</f>
        <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391</v>
      </c>
      <c r="D1975" t="s">
        <v>24</v>
      </c>
      <c r="E1975" t="s">
        <v>388</v>
      </c>
      <c r="G1975">
        <v>1</v>
      </c>
      <c r="H1975">
        <v>800</v>
      </c>
      <c r="I1975">
        <v>1</v>
      </c>
      <c r="J1975" cm="1">
        <f t="array" ref="J1975">_xlfn.SWITCH(B1975,1,75,2,61,3,49,4,37,5,25,6,13,7,4,8,1)</f>
        <v>25</v>
      </c>
      <c r="K1975" t="str" cm="1">
        <f t="array" ref="K1975">IFERROR(_xlfn.SWITCH(L1975,2,_xlfn.XLOOKUP(C1975,[1]ModifierDes!$B:$B,[1]ModifierDes!$C:$C),3,_xlfn.XLOOKUP(C1975,[1]StuntDes!$B:$B,[1]StuntDes!$C:$C)),"")</f>
        <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391</v>
      </c>
      <c r="D1976" t="s">
        <v>24</v>
      </c>
      <c r="E1976" t="s">
        <v>388</v>
      </c>
      <c r="G1976">
        <v>1</v>
      </c>
      <c r="H1976">
        <v>1000</v>
      </c>
      <c r="I1976">
        <v>1</v>
      </c>
      <c r="J1976" cm="1">
        <f t="array" ref="J1976">_xlfn.SWITCH(B1976,1,75,2,61,3,49,4,37,5,25,6,13,7,4,8,1)</f>
        <v>13</v>
      </c>
      <c r="K1976" t="str" cm="1">
        <f t="array" ref="K1976">IFERROR(_xlfn.SWITCH(L1976,2,_xlfn.XLOOKUP(C1976,[1]ModifierDes!$B:$B,[1]ModifierDes!$C:$C),3,_xlfn.XLOOKUP(C1976,[1]StuntDes!$B:$B,[1]StuntDes!$C:$C)),"")</f>
        <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391</v>
      </c>
      <c r="D1977" t="s">
        <v>24</v>
      </c>
      <c r="E1977" t="s">
        <v>388</v>
      </c>
      <c r="G1977">
        <v>1</v>
      </c>
      <c r="H1977">
        <v>1000</v>
      </c>
      <c r="I1977">
        <v>1</v>
      </c>
      <c r="J1977" cm="1">
        <f t="array" ref="J1977">_xlfn.SWITCH(B1977,1,75,2,61,3,49,4,37,5,25,6,13,7,4,8,1)</f>
        <v>4</v>
      </c>
      <c r="K1977" t="str" cm="1">
        <f t="array" ref="K1977">IFERROR(_xlfn.SWITCH(L1977,2,_xlfn.XLOOKUP(C1977,[1]ModifierDes!$B:$B,[1]ModifierDes!$C:$C),3,_xlfn.XLOOKUP(C1977,[1]StuntDes!$B:$B,[1]StuntDes!$C:$C)),"")</f>
        <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391</v>
      </c>
      <c r="D1978" t="s">
        <v>24</v>
      </c>
      <c r="E1978" t="s">
        <v>388</v>
      </c>
      <c r="G1978">
        <v>1</v>
      </c>
      <c r="H1978">
        <v>1000</v>
      </c>
      <c r="I1978">
        <v>1</v>
      </c>
      <c r="J1978" cm="1">
        <f t="array" ref="J1978">_xlfn.SWITCH(B1978,1,75,2,61,3,49,4,37,5,25,6,13,7,4,8,1)</f>
        <v>1</v>
      </c>
      <c r="K1978" t="str" cm="1">
        <f t="array" ref="K1978">IFERROR(_xlfn.SWITCH(L1978,2,_xlfn.XLOOKUP(C1978,[1]ModifierDes!$B:$B,[1]ModifierDes!$C:$C),3,_xlfn.XLOOKUP(C1978,[1]StuntDes!$B:$B,[1]StuntDes!$C:$C)),"")</f>
        <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392</v>
      </c>
      <c r="D1979" t="s">
        <v>24</v>
      </c>
      <c r="E1979" t="s">
        <v>388</v>
      </c>
      <c r="G1979">
        <v>1</v>
      </c>
      <c r="H1979">
        <v>100</v>
      </c>
      <c r="I1979">
        <v>1</v>
      </c>
      <c r="J1979" cm="1">
        <f t="array" ref="J1979">_xlfn.SWITCH(B1979,1,75,2,61,3,49,4,37,5,25,6,13,7,4,8,1)</f>
        <v>75</v>
      </c>
      <c r="K1979" t="str" cm="1">
        <f t="array" ref="K1979">IFERROR(_xlfn.SWITCH(L1979,2,_xlfn.XLOOKUP(C1979,[1]ModifierDes!$B:$B,[1]ModifierDes!$C:$C),3,_xlfn.XLOOKUP(C1979,[1]StuntDes!$B:$B,[1]StuntDes!$C:$C)),"")</f>
        <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392</v>
      </c>
      <c r="D1980" t="s">
        <v>24</v>
      </c>
      <c r="E1980" t="s">
        <v>388</v>
      </c>
      <c r="G1980">
        <v>1</v>
      </c>
      <c r="H1980">
        <v>200</v>
      </c>
      <c r="I1980">
        <v>1</v>
      </c>
      <c r="J1980" cm="1">
        <f t="array" ref="J1980">_xlfn.SWITCH(B1980,1,75,2,61,3,49,4,37,5,25,6,13,7,4,8,1)</f>
        <v>61</v>
      </c>
      <c r="K1980" t="str" cm="1">
        <f t="array" ref="K1980">IFERROR(_xlfn.SWITCH(L1980,2,_xlfn.XLOOKUP(C1980,[1]ModifierDes!$B:$B,[1]ModifierDes!$C:$C),3,_xlfn.XLOOKUP(C1980,[1]StuntDes!$B:$B,[1]StuntDes!$C:$C)),"")</f>
        <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392</v>
      </c>
      <c r="D1981" t="s">
        <v>24</v>
      </c>
      <c r="E1981" t="s">
        <v>388</v>
      </c>
      <c r="G1981">
        <v>1</v>
      </c>
      <c r="H1981">
        <v>400</v>
      </c>
      <c r="I1981">
        <v>1</v>
      </c>
      <c r="J1981" cm="1">
        <f t="array" ref="J1981">_xlfn.SWITCH(B1981,1,75,2,61,3,49,4,37,5,25,6,13,7,4,8,1)</f>
        <v>49</v>
      </c>
      <c r="K1981" t="str" cm="1">
        <f t="array" ref="K1981">IFERROR(_xlfn.SWITCH(L1981,2,_xlfn.XLOOKUP(C1981,[1]ModifierDes!$B:$B,[1]ModifierDes!$C:$C),3,_xlfn.XLOOKUP(C1981,[1]StuntDes!$B:$B,[1]StuntDes!$C:$C)),"")</f>
        <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392</v>
      </c>
      <c r="D1982" t="s">
        <v>24</v>
      </c>
      <c r="E1982" t="s">
        <v>388</v>
      </c>
      <c r="G1982">
        <v>1</v>
      </c>
      <c r="H1982">
        <v>600</v>
      </c>
      <c r="I1982">
        <v>1</v>
      </c>
      <c r="J1982" cm="1">
        <f t="array" ref="J1982">_xlfn.SWITCH(B1982,1,75,2,61,3,49,4,37,5,25,6,13,7,4,8,1)</f>
        <v>37</v>
      </c>
      <c r="K1982" t="str" cm="1">
        <f t="array" ref="K1982">IFERROR(_xlfn.SWITCH(L1982,2,_xlfn.XLOOKUP(C1982,[1]ModifierDes!$B:$B,[1]ModifierDes!$C:$C),3,_xlfn.XLOOKUP(C1982,[1]StuntDes!$B:$B,[1]StuntDes!$C:$C)),"")</f>
        <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392</v>
      </c>
      <c r="D1983" t="s">
        <v>24</v>
      </c>
      <c r="E1983" t="s">
        <v>388</v>
      </c>
      <c r="G1983">
        <v>1</v>
      </c>
      <c r="H1983">
        <v>800</v>
      </c>
      <c r="I1983">
        <v>1</v>
      </c>
      <c r="J1983" cm="1">
        <f t="array" ref="J1983">_xlfn.SWITCH(B1983,1,75,2,61,3,49,4,37,5,25,6,13,7,4,8,1)</f>
        <v>25</v>
      </c>
      <c r="K1983" t="str" cm="1">
        <f t="array" ref="K1983">IFERROR(_xlfn.SWITCH(L1983,2,_xlfn.XLOOKUP(C1983,[1]ModifierDes!$B:$B,[1]ModifierDes!$C:$C),3,_xlfn.XLOOKUP(C1983,[1]StuntDes!$B:$B,[1]StuntDes!$C:$C)),"")</f>
        <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392</v>
      </c>
      <c r="D1984" t="s">
        <v>24</v>
      </c>
      <c r="E1984" t="s">
        <v>388</v>
      </c>
      <c r="G1984">
        <v>1</v>
      </c>
      <c r="H1984">
        <v>1000</v>
      </c>
      <c r="I1984">
        <v>1</v>
      </c>
      <c r="J1984" cm="1">
        <f t="array" ref="J1984">_xlfn.SWITCH(B1984,1,75,2,61,3,49,4,37,5,25,6,13,7,4,8,1)</f>
        <v>13</v>
      </c>
      <c r="K1984" t="str" cm="1">
        <f t="array" ref="K1984">IFERROR(_xlfn.SWITCH(L1984,2,_xlfn.XLOOKUP(C1984,[1]ModifierDes!$B:$B,[1]ModifierDes!$C:$C),3,_xlfn.XLOOKUP(C1984,[1]StuntDes!$B:$B,[1]StuntDes!$C:$C)),"")</f>
        <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392</v>
      </c>
      <c r="D1985" t="s">
        <v>24</v>
      </c>
      <c r="E1985" t="s">
        <v>388</v>
      </c>
      <c r="G1985">
        <v>1</v>
      </c>
      <c r="H1985">
        <v>1000</v>
      </c>
      <c r="I1985">
        <v>1</v>
      </c>
      <c r="J1985" cm="1">
        <f t="array" ref="J1985">_xlfn.SWITCH(B1985,1,75,2,61,3,49,4,37,5,25,6,13,7,4,8,1)</f>
        <v>4</v>
      </c>
      <c r="K1985" t="str" cm="1">
        <f t="array" ref="K1985">IFERROR(_xlfn.SWITCH(L1985,2,_xlfn.XLOOKUP(C1985,[1]ModifierDes!$B:$B,[1]ModifierDes!$C:$C),3,_xlfn.XLOOKUP(C1985,[1]StuntDes!$B:$B,[1]StuntDes!$C:$C)),"")</f>
        <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392</v>
      </c>
      <c r="D1986" t="s">
        <v>24</v>
      </c>
      <c r="E1986" t="s">
        <v>388</v>
      </c>
      <c r="G1986">
        <v>1</v>
      </c>
      <c r="H1986">
        <v>1000</v>
      </c>
      <c r="I1986">
        <v>1</v>
      </c>
      <c r="J1986" cm="1">
        <f t="array" ref="J1986">_xlfn.SWITCH(B1986,1,75,2,61,3,49,4,37,5,25,6,13,7,4,8,1)</f>
        <v>1</v>
      </c>
      <c r="K1986" t="str" cm="1">
        <f t="array" ref="K1986">IFERROR(_xlfn.SWITCH(L1986,2,_xlfn.XLOOKUP(C1986,[1]ModifierDes!$B:$B,[1]ModifierDes!$C:$C),3,_xlfn.XLOOKUP(C1986,[1]StuntDes!$B:$B,[1]StuntDes!$C:$C)),"")</f>
        <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393</v>
      </c>
      <c r="D1987" t="s">
        <v>24</v>
      </c>
      <c r="E1987" t="s">
        <v>388</v>
      </c>
      <c r="G1987">
        <v>1</v>
      </c>
      <c r="H1987">
        <v>1000</v>
      </c>
      <c r="J1987" cm="1">
        <f t="array" ref="J1987">_xlfn.SWITCH(B1987,1,75,2,61,3,49,4,37,5,25,6,13,7,4,8,1)</f>
        <v>75</v>
      </c>
      <c r="K1987" t="str" cm="1">
        <f t="array" ref="K1987">IFERROR(_xlfn.SWITCH(L1987,2,_xlfn.XLOOKUP(C1987,[1]ModifierDes!$B:$B,[1]ModifierDes!$C:$C),3,_xlfn.XLOOKUP(C1987,[1]StuntDes!$B:$B,[1]StuntDes!$C:$C)),"")</f>
        <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393</v>
      </c>
      <c r="D1988" t="s">
        <v>24</v>
      </c>
      <c r="E1988" t="s">
        <v>388</v>
      </c>
      <c r="G1988">
        <v>1</v>
      </c>
      <c r="H1988">
        <v>1000</v>
      </c>
      <c r="J1988" cm="1">
        <f t="array" ref="J1988">_xlfn.SWITCH(B1988,1,75,2,61,3,49,4,37,5,25,6,13,7,4,8,1)</f>
        <v>61</v>
      </c>
      <c r="K1988" t="str" cm="1">
        <f t="array" ref="K1988">IFERROR(_xlfn.SWITCH(L1988,2,_xlfn.XLOOKUP(C1988,[1]ModifierDes!$B:$B,[1]ModifierDes!$C:$C),3,_xlfn.XLOOKUP(C1988,[1]StuntDes!$B:$B,[1]StuntDes!$C:$C)),"")</f>
        <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393</v>
      </c>
      <c r="D1989" t="s">
        <v>24</v>
      </c>
      <c r="E1989" t="s">
        <v>388</v>
      </c>
      <c r="G1989">
        <v>1</v>
      </c>
      <c r="H1989">
        <v>1000</v>
      </c>
      <c r="J1989" cm="1">
        <f t="array" ref="J1989">_xlfn.SWITCH(B1989,1,75,2,61,3,49,4,37,5,25,6,13,7,4,8,1)</f>
        <v>49</v>
      </c>
      <c r="K1989" t="str" cm="1">
        <f t="array" ref="K1989">IFERROR(_xlfn.SWITCH(L1989,2,_xlfn.XLOOKUP(C1989,[1]ModifierDes!$B:$B,[1]ModifierDes!$C:$C),3,_xlfn.XLOOKUP(C1989,[1]StuntDes!$B:$B,[1]StuntDes!$C:$C)),"")</f>
        <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393</v>
      </c>
      <c r="D1990" t="s">
        <v>24</v>
      </c>
      <c r="E1990" t="s">
        <v>388</v>
      </c>
      <c r="G1990">
        <v>1</v>
      </c>
      <c r="H1990">
        <v>1000</v>
      </c>
      <c r="J1990" cm="1">
        <f t="array" ref="J1990">_xlfn.SWITCH(B1990,1,75,2,61,3,49,4,37,5,25,6,13,7,4,8,1)</f>
        <v>37</v>
      </c>
      <c r="K1990" t="str" cm="1">
        <f t="array" ref="K1990">IFERROR(_xlfn.SWITCH(L1990,2,_xlfn.XLOOKUP(C1990,[1]ModifierDes!$B:$B,[1]ModifierDes!$C:$C),3,_xlfn.XLOOKUP(C1990,[1]StuntDes!$B:$B,[1]StuntDes!$C:$C)),"")</f>
        <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393</v>
      </c>
      <c r="D1991" t="s">
        <v>24</v>
      </c>
      <c r="E1991" t="s">
        <v>388</v>
      </c>
      <c r="G1991">
        <v>1</v>
      </c>
      <c r="H1991">
        <v>1000</v>
      </c>
      <c r="J1991" cm="1">
        <f t="array" ref="J1991">_xlfn.SWITCH(B1991,1,75,2,61,3,49,4,37,5,25,6,13,7,4,8,1)</f>
        <v>25</v>
      </c>
      <c r="K1991" t="str" cm="1">
        <f t="array" ref="K1991">IFERROR(_xlfn.SWITCH(L1991,2,_xlfn.XLOOKUP(C1991,[1]ModifierDes!$B:$B,[1]ModifierDes!$C:$C),3,_xlfn.XLOOKUP(C1991,[1]StuntDes!$B:$B,[1]StuntDes!$C:$C)),"")</f>
        <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393</v>
      </c>
      <c r="D1992" t="s">
        <v>24</v>
      </c>
      <c r="E1992" t="s">
        <v>388</v>
      </c>
      <c r="G1992">
        <v>1</v>
      </c>
      <c r="H1992">
        <v>1000</v>
      </c>
      <c r="J1992" cm="1">
        <f t="array" ref="J1992">_xlfn.SWITCH(B1992,1,75,2,61,3,49,4,37,5,25,6,13,7,4,8,1)</f>
        <v>13</v>
      </c>
      <c r="K1992" t="str" cm="1">
        <f t="array" ref="K1992">IFERROR(_xlfn.SWITCH(L1992,2,_xlfn.XLOOKUP(C1992,[1]ModifierDes!$B:$B,[1]ModifierDes!$C:$C),3,_xlfn.XLOOKUP(C1992,[1]StuntDes!$B:$B,[1]StuntDes!$C:$C)),"")</f>
        <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393</v>
      </c>
      <c r="D1993" t="s">
        <v>24</v>
      </c>
      <c r="E1993" t="s">
        <v>388</v>
      </c>
      <c r="G1993">
        <v>1</v>
      </c>
      <c r="H1993">
        <v>1000</v>
      </c>
      <c r="J1993" cm="1">
        <f t="array" ref="J1993">_xlfn.SWITCH(B1993,1,75,2,61,3,49,4,37,5,25,6,13,7,4,8,1)</f>
        <v>4</v>
      </c>
      <c r="K1993" t="str" cm="1">
        <f t="array" ref="K1993">IFERROR(_xlfn.SWITCH(L1993,2,_xlfn.XLOOKUP(C1993,[1]ModifierDes!$B:$B,[1]ModifierDes!$C:$C),3,_xlfn.XLOOKUP(C1993,[1]StuntDes!$B:$B,[1]StuntDes!$C:$C)),"")</f>
        <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393</v>
      </c>
      <c r="D1994" t="s">
        <v>24</v>
      </c>
      <c r="E1994" t="s">
        <v>388</v>
      </c>
      <c r="G1994">
        <v>1</v>
      </c>
      <c r="H1994">
        <v>1000</v>
      </c>
      <c r="J1994" cm="1">
        <f t="array" ref="J1994">_xlfn.SWITCH(B1994,1,75,2,61,3,49,4,37,5,25,6,13,7,4,8,1)</f>
        <v>1</v>
      </c>
      <c r="K1994" t="str" cm="1">
        <f t="array" ref="K1994">IFERROR(_xlfn.SWITCH(L1994,2,_xlfn.XLOOKUP(C1994,[1]ModifierDes!$B:$B,[1]ModifierDes!$C:$C),3,_xlfn.XLOOKUP(C1994,[1]StuntDes!$B:$B,[1]StuntDes!$C:$C)),"")</f>
        <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394</v>
      </c>
      <c r="D1995" t="s">
        <v>24</v>
      </c>
      <c r="E1995" t="s">
        <v>388</v>
      </c>
      <c r="G1995">
        <v>1</v>
      </c>
      <c r="H1995">
        <v>1000</v>
      </c>
      <c r="J1995" cm="1">
        <f t="array" ref="J1995">_xlfn.SWITCH(B1995,1,75,2,61,3,49,4,37,5,25,6,13,7,4,8,1)</f>
        <v>75</v>
      </c>
      <c r="K1995" t="str" cm="1">
        <f t="array" ref="K1995">IFERROR(_xlfn.SWITCH(L1995,2,_xlfn.XLOOKUP(C1995,[1]ModifierDes!$B:$B,[1]ModifierDes!$C:$C),3,_xlfn.XLOOKUP(C1995,[1]StuntDes!$B:$B,[1]StuntDes!$C:$C)),"")</f>
        <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394</v>
      </c>
      <c r="D1996" t="s">
        <v>24</v>
      </c>
      <c r="E1996" t="s">
        <v>388</v>
      </c>
      <c r="G1996">
        <v>1</v>
      </c>
      <c r="H1996">
        <v>1000</v>
      </c>
      <c r="J1996" cm="1">
        <f t="array" ref="J1996">_xlfn.SWITCH(B1996,1,75,2,61,3,49,4,37,5,25,6,13,7,4,8,1)</f>
        <v>61</v>
      </c>
      <c r="K1996" t="str" cm="1">
        <f t="array" ref="K1996">IFERROR(_xlfn.SWITCH(L1996,2,_xlfn.XLOOKUP(C1996,[1]ModifierDes!$B:$B,[1]ModifierDes!$C:$C),3,_xlfn.XLOOKUP(C1996,[1]StuntDes!$B:$B,[1]StuntDes!$C:$C)),"")</f>
        <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394</v>
      </c>
      <c r="D1997" t="s">
        <v>24</v>
      </c>
      <c r="E1997" t="s">
        <v>388</v>
      </c>
      <c r="G1997">
        <v>1</v>
      </c>
      <c r="H1997">
        <v>1000</v>
      </c>
      <c r="J1997" cm="1">
        <f t="array" ref="J1997">_xlfn.SWITCH(B1997,1,75,2,61,3,49,4,37,5,25,6,13,7,4,8,1)</f>
        <v>49</v>
      </c>
      <c r="K1997" t="str" cm="1">
        <f t="array" ref="K1997">IFERROR(_xlfn.SWITCH(L1997,2,_xlfn.XLOOKUP(C1997,[1]ModifierDes!$B:$B,[1]ModifierDes!$C:$C),3,_xlfn.XLOOKUP(C1997,[1]StuntDes!$B:$B,[1]StuntDes!$C:$C)),"")</f>
        <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394</v>
      </c>
      <c r="D1998" t="s">
        <v>24</v>
      </c>
      <c r="E1998" t="s">
        <v>388</v>
      </c>
      <c r="G1998">
        <v>1</v>
      </c>
      <c r="H1998">
        <v>1000</v>
      </c>
      <c r="J1998" cm="1">
        <f t="array" ref="J1998">_xlfn.SWITCH(B1998,1,75,2,61,3,49,4,37,5,25,6,13,7,4,8,1)</f>
        <v>37</v>
      </c>
      <c r="K1998" t="str" cm="1">
        <f t="array" ref="K1998">IFERROR(_xlfn.SWITCH(L1998,2,_xlfn.XLOOKUP(C1998,[1]ModifierDes!$B:$B,[1]ModifierDes!$C:$C),3,_xlfn.XLOOKUP(C1998,[1]StuntDes!$B:$B,[1]StuntDes!$C:$C)),"")</f>
        <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394</v>
      </c>
      <c r="D1999" t="s">
        <v>24</v>
      </c>
      <c r="E1999" t="s">
        <v>388</v>
      </c>
      <c r="G1999">
        <v>1</v>
      </c>
      <c r="H1999">
        <v>1000</v>
      </c>
      <c r="J1999" cm="1">
        <f t="array" ref="J1999">_xlfn.SWITCH(B1999,1,75,2,61,3,49,4,37,5,25,6,13,7,4,8,1)</f>
        <v>25</v>
      </c>
      <c r="K1999" t="str" cm="1">
        <f t="array" ref="K1999">IFERROR(_xlfn.SWITCH(L1999,2,_xlfn.XLOOKUP(C1999,[1]ModifierDes!$B:$B,[1]ModifierDes!$C:$C),3,_xlfn.XLOOKUP(C1999,[1]StuntDes!$B:$B,[1]StuntDes!$C:$C)),"")</f>
        <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394</v>
      </c>
      <c r="D2000" t="s">
        <v>24</v>
      </c>
      <c r="E2000" t="s">
        <v>388</v>
      </c>
      <c r="G2000">
        <v>1</v>
      </c>
      <c r="H2000">
        <v>1000</v>
      </c>
      <c r="J2000" cm="1">
        <f t="array" ref="J2000">_xlfn.SWITCH(B2000,1,75,2,61,3,49,4,37,5,25,6,13,7,4,8,1)</f>
        <v>13</v>
      </c>
      <c r="K2000" t="str" cm="1">
        <f t="array" ref="K2000">IFERROR(_xlfn.SWITCH(L2000,2,_xlfn.XLOOKUP(C2000,[1]ModifierDes!$B:$B,[1]ModifierDes!$C:$C),3,_xlfn.XLOOKUP(C2000,[1]StuntDes!$B:$B,[1]StuntDes!$C:$C)),"")</f>
        <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394</v>
      </c>
      <c r="D2001" t="s">
        <v>24</v>
      </c>
      <c r="E2001" t="s">
        <v>388</v>
      </c>
      <c r="G2001">
        <v>1</v>
      </c>
      <c r="H2001">
        <v>1000</v>
      </c>
      <c r="J2001" cm="1">
        <f t="array" ref="J2001">_xlfn.SWITCH(B2001,1,75,2,61,3,49,4,37,5,25,6,13,7,4,8,1)</f>
        <v>4</v>
      </c>
      <c r="K2001" t="str" cm="1">
        <f t="array" ref="K2001">IFERROR(_xlfn.SWITCH(L2001,2,_xlfn.XLOOKUP(C2001,[1]ModifierDes!$B:$B,[1]ModifierDes!$C:$C),3,_xlfn.XLOOKUP(C2001,[1]StuntDes!$B:$B,[1]StuntDes!$C:$C)),"")</f>
        <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394</v>
      </c>
      <c r="D2002" t="s">
        <v>24</v>
      </c>
      <c r="E2002" t="s">
        <v>388</v>
      </c>
      <c r="G2002">
        <v>1</v>
      </c>
      <c r="H2002">
        <v>1000</v>
      </c>
      <c r="J2002" cm="1">
        <f t="array" ref="J2002">_xlfn.SWITCH(B2002,1,75,2,61,3,49,4,37,5,25,6,13,7,4,8,1)</f>
        <v>1</v>
      </c>
      <c r="K2002" t="str" cm="1">
        <f t="array" ref="K2002">IFERROR(_xlfn.SWITCH(L2002,2,_xlfn.XLOOKUP(C2002,[1]ModifierDes!$B:$B,[1]ModifierDes!$C:$C),3,_xlfn.XLOOKUP(C2002,[1]StuntDes!$B:$B,[1]StuntDes!$C:$C)),"")</f>
        <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395</v>
      </c>
      <c r="D2003" t="s">
        <v>24</v>
      </c>
      <c r="E2003" t="s">
        <v>388</v>
      </c>
      <c r="G2003">
        <v>1</v>
      </c>
      <c r="H2003">
        <v>1000</v>
      </c>
      <c r="J2003" cm="1">
        <f t="array" ref="J2003">_xlfn.SWITCH(B2003,1,75,2,61,3,49,4,37,5,25,6,13,7,4,8,1)</f>
        <v>75</v>
      </c>
      <c r="K2003" t="str" cm="1">
        <f t="array" ref="K2003">IFERROR(_xlfn.SWITCH(L2003,2,_xlfn.XLOOKUP(C2003,[1]ModifierDes!$B:$B,[1]ModifierDes!$C:$C),3,_xlfn.XLOOKUP(C2003,[1]StuntDes!$B:$B,[1]StuntDes!$C:$C)),"")</f>
        <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395</v>
      </c>
      <c r="D2004" t="s">
        <v>24</v>
      </c>
      <c r="E2004" t="s">
        <v>388</v>
      </c>
      <c r="G2004">
        <v>1</v>
      </c>
      <c r="H2004">
        <v>1000</v>
      </c>
      <c r="J2004" cm="1">
        <f t="array" ref="J2004">_xlfn.SWITCH(B2004,1,75,2,61,3,49,4,37,5,25,6,13,7,4,8,1)</f>
        <v>61</v>
      </c>
      <c r="K2004" t="str" cm="1">
        <f t="array" ref="K2004">IFERROR(_xlfn.SWITCH(L2004,2,_xlfn.XLOOKUP(C2004,[1]ModifierDes!$B:$B,[1]ModifierDes!$C:$C),3,_xlfn.XLOOKUP(C2004,[1]StuntDes!$B:$B,[1]StuntDes!$C:$C)),"")</f>
        <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395</v>
      </c>
      <c r="D2005" t="s">
        <v>24</v>
      </c>
      <c r="E2005" t="s">
        <v>388</v>
      </c>
      <c r="G2005">
        <v>1</v>
      </c>
      <c r="H2005">
        <v>1000</v>
      </c>
      <c r="J2005" cm="1">
        <f t="array" ref="J2005">_xlfn.SWITCH(B2005,1,75,2,61,3,49,4,37,5,25,6,13,7,4,8,1)</f>
        <v>49</v>
      </c>
      <c r="K2005" t="str" cm="1">
        <f t="array" ref="K2005">IFERROR(_xlfn.SWITCH(L2005,2,_xlfn.XLOOKUP(C2005,[1]ModifierDes!$B:$B,[1]ModifierDes!$C:$C),3,_xlfn.XLOOKUP(C2005,[1]StuntDes!$B:$B,[1]StuntDes!$C:$C)),"")</f>
        <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395</v>
      </c>
      <c r="D2006" t="s">
        <v>24</v>
      </c>
      <c r="E2006" t="s">
        <v>388</v>
      </c>
      <c r="G2006">
        <v>1</v>
      </c>
      <c r="H2006">
        <v>1000</v>
      </c>
      <c r="J2006" cm="1">
        <f t="array" ref="J2006">_xlfn.SWITCH(B2006,1,75,2,61,3,49,4,37,5,25,6,13,7,4,8,1)</f>
        <v>37</v>
      </c>
      <c r="K2006" t="str" cm="1">
        <f t="array" ref="K2006">IFERROR(_xlfn.SWITCH(L2006,2,_xlfn.XLOOKUP(C2006,[1]ModifierDes!$B:$B,[1]ModifierDes!$C:$C),3,_xlfn.XLOOKUP(C2006,[1]StuntDes!$B:$B,[1]StuntDes!$C:$C)),"")</f>
        <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395</v>
      </c>
      <c r="D2007" t="s">
        <v>24</v>
      </c>
      <c r="E2007" t="s">
        <v>388</v>
      </c>
      <c r="G2007">
        <v>1</v>
      </c>
      <c r="H2007">
        <v>1000</v>
      </c>
      <c r="J2007" cm="1">
        <f t="array" ref="J2007">_xlfn.SWITCH(B2007,1,75,2,61,3,49,4,37,5,25,6,13,7,4,8,1)</f>
        <v>25</v>
      </c>
      <c r="K2007" t="str" cm="1">
        <f t="array" ref="K2007">IFERROR(_xlfn.SWITCH(L2007,2,_xlfn.XLOOKUP(C2007,[1]ModifierDes!$B:$B,[1]ModifierDes!$C:$C),3,_xlfn.XLOOKUP(C2007,[1]StuntDes!$B:$B,[1]StuntDes!$C:$C)),"")</f>
        <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395</v>
      </c>
      <c r="D2008" t="s">
        <v>24</v>
      </c>
      <c r="E2008" t="s">
        <v>388</v>
      </c>
      <c r="G2008">
        <v>1</v>
      </c>
      <c r="H2008">
        <v>1000</v>
      </c>
      <c r="J2008" cm="1">
        <f t="array" ref="J2008">_xlfn.SWITCH(B2008,1,75,2,61,3,49,4,37,5,25,6,13,7,4,8,1)</f>
        <v>13</v>
      </c>
      <c r="K2008" t="str" cm="1">
        <f t="array" ref="K2008">IFERROR(_xlfn.SWITCH(L2008,2,_xlfn.XLOOKUP(C2008,[1]ModifierDes!$B:$B,[1]ModifierDes!$C:$C),3,_xlfn.XLOOKUP(C2008,[1]StuntDes!$B:$B,[1]StuntDes!$C:$C)),"")</f>
        <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395</v>
      </c>
      <c r="D2009" t="s">
        <v>24</v>
      </c>
      <c r="E2009" t="s">
        <v>388</v>
      </c>
      <c r="G2009">
        <v>1</v>
      </c>
      <c r="H2009">
        <v>1000</v>
      </c>
      <c r="J2009" cm="1">
        <f t="array" ref="J2009">_xlfn.SWITCH(B2009,1,75,2,61,3,49,4,37,5,25,6,13,7,4,8,1)</f>
        <v>4</v>
      </c>
      <c r="K2009" t="str" cm="1">
        <f t="array" ref="K2009">IFERROR(_xlfn.SWITCH(L2009,2,_xlfn.XLOOKUP(C2009,[1]ModifierDes!$B:$B,[1]ModifierDes!$C:$C),3,_xlfn.XLOOKUP(C2009,[1]StuntDes!$B:$B,[1]StuntDes!$C:$C)),"")</f>
        <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395</v>
      </c>
      <c r="D2010" t="s">
        <v>24</v>
      </c>
      <c r="E2010" t="s">
        <v>388</v>
      </c>
      <c r="G2010">
        <v>1</v>
      </c>
      <c r="H2010">
        <v>1000</v>
      </c>
      <c r="J2010" cm="1">
        <f t="array" ref="J2010">_xlfn.SWITCH(B2010,1,75,2,61,3,49,4,37,5,25,6,13,7,4,8,1)</f>
        <v>1</v>
      </c>
      <c r="K2010" t="str" cm="1">
        <f t="array" ref="K2010">IFERROR(_xlfn.SWITCH(L2010,2,_xlfn.XLOOKUP(C2010,[1]ModifierDes!$B:$B,[1]ModifierDes!$C:$C),3,_xlfn.XLOOKUP(C2010,[1]StuntDes!$B:$B,[1]StuntDes!$C:$C)),"")</f>
        <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396</v>
      </c>
      <c r="D2011" t="s">
        <v>24</v>
      </c>
      <c r="E2011" t="s">
        <v>388</v>
      </c>
      <c r="G2011">
        <v>1</v>
      </c>
      <c r="H2011">
        <v>1000</v>
      </c>
      <c r="J2011" cm="1">
        <f t="array" ref="J2011">_xlfn.SWITCH(B2011,1,75,2,61,3,49,4,37,5,25,6,13,7,4,8,1)</f>
        <v>75</v>
      </c>
      <c r="K2011" t="str" cm="1">
        <f t="array" ref="K2011">IFERROR(_xlfn.SWITCH(L2011,2,_xlfn.XLOOKUP(C2011,[1]ModifierDes!$B:$B,[1]ModifierDes!$C:$C),3,_xlfn.XLOOKUP(C2011,[1]StuntDes!$B:$B,[1]StuntDes!$C:$C)),"")</f>
        <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396</v>
      </c>
      <c r="D2012" t="s">
        <v>24</v>
      </c>
      <c r="E2012" t="s">
        <v>388</v>
      </c>
      <c r="G2012">
        <v>1</v>
      </c>
      <c r="H2012">
        <v>1000</v>
      </c>
      <c r="J2012" cm="1">
        <f t="array" ref="J2012">_xlfn.SWITCH(B2012,1,75,2,61,3,49,4,37,5,25,6,13,7,4,8,1)</f>
        <v>61</v>
      </c>
      <c r="K2012" t="str" cm="1">
        <f t="array" ref="K2012">IFERROR(_xlfn.SWITCH(L2012,2,_xlfn.XLOOKUP(C2012,[1]ModifierDes!$B:$B,[1]ModifierDes!$C:$C),3,_xlfn.XLOOKUP(C2012,[1]StuntDes!$B:$B,[1]StuntDes!$C:$C)),"")</f>
        <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396</v>
      </c>
      <c r="D2013" t="s">
        <v>24</v>
      </c>
      <c r="E2013" t="s">
        <v>388</v>
      </c>
      <c r="G2013">
        <v>1</v>
      </c>
      <c r="H2013">
        <v>1000</v>
      </c>
      <c r="J2013" cm="1">
        <f t="array" ref="J2013">_xlfn.SWITCH(B2013,1,75,2,61,3,49,4,37,5,25,6,13,7,4,8,1)</f>
        <v>49</v>
      </c>
      <c r="K2013" t="str" cm="1">
        <f t="array" ref="K2013">IFERROR(_xlfn.SWITCH(L2013,2,_xlfn.XLOOKUP(C2013,[1]ModifierDes!$B:$B,[1]ModifierDes!$C:$C),3,_xlfn.XLOOKUP(C2013,[1]StuntDes!$B:$B,[1]StuntDes!$C:$C)),"")</f>
        <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396</v>
      </c>
      <c r="D2014" t="s">
        <v>24</v>
      </c>
      <c r="E2014" t="s">
        <v>388</v>
      </c>
      <c r="G2014">
        <v>1</v>
      </c>
      <c r="H2014">
        <v>1000</v>
      </c>
      <c r="J2014" cm="1">
        <f t="array" ref="J2014">_xlfn.SWITCH(B2014,1,75,2,61,3,49,4,37,5,25,6,13,7,4,8,1)</f>
        <v>37</v>
      </c>
      <c r="K2014" t="str" cm="1">
        <f t="array" ref="K2014">IFERROR(_xlfn.SWITCH(L2014,2,_xlfn.XLOOKUP(C2014,[1]ModifierDes!$B:$B,[1]ModifierDes!$C:$C),3,_xlfn.XLOOKUP(C2014,[1]StuntDes!$B:$B,[1]StuntDes!$C:$C)),"")</f>
        <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396</v>
      </c>
      <c r="D2015" t="s">
        <v>24</v>
      </c>
      <c r="E2015" t="s">
        <v>388</v>
      </c>
      <c r="G2015">
        <v>1</v>
      </c>
      <c r="H2015">
        <v>1000</v>
      </c>
      <c r="J2015" cm="1">
        <f t="array" ref="J2015">_xlfn.SWITCH(B2015,1,75,2,61,3,49,4,37,5,25,6,13,7,4,8,1)</f>
        <v>25</v>
      </c>
      <c r="K2015" t="str" cm="1">
        <f t="array" ref="K2015">IFERROR(_xlfn.SWITCH(L2015,2,_xlfn.XLOOKUP(C2015,[1]ModifierDes!$B:$B,[1]ModifierDes!$C:$C),3,_xlfn.XLOOKUP(C2015,[1]StuntDes!$B:$B,[1]StuntDes!$C:$C)),"")</f>
        <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396</v>
      </c>
      <c r="D2016" t="s">
        <v>24</v>
      </c>
      <c r="E2016" t="s">
        <v>388</v>
      </c>
      <c r="G2016">
        <v>1</v>
      </c>
      <c r="H2016">
        <v>1000</v>
      </c>
      <c r="J2016" cm="1">
        <f t="array" ref="J2016">_xlfn.SWITCH(B2016,1,75,2,61,3,49,4,37,5,25,6,13,7,4,8,1)</f>
        <v>13</v>
      </c>
      <c r="K2016" t="str" cm="1">
        <f t="array" ref="K2016">IFERROR(_xlfn.SWITCH(L2016,2,_xlfn.XLOOKUP(C2016,[1]ModifierDes!$B:$B,[1]ModifierDes!$C:$C),3,_xlfn.XLOOKUP(C2016,[1]StuntDes!$B:$B,[1]StuntDes!$C:$C)),"")</f>
        <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396</v>
      </c>
      <c r="D2017" t="s">
        <v>24</v>
      </c>
      <c r="E2017" t="s">
        <v>388</v>
      </c>
      <c r="G2017">
        <v>1</v>
      </c>
      <c r="H2017">
        <v>1000</v>
      </c>
      <c r="J2017" cm="1">
        <f t="array" ref="J2017">_xlfn.SWITCH(B2017,1,75,2,61,3,49,4,37,5,25,6,13,7,4,8,1)</f>
        <v>4</v>
      </c>
      <c r="K2017" t="str" cm="1">
        <f t="array" ref="K2017">IFERROR(_xlfn.SWITCH(L2017,2,_xlfn.XLOOKUP(C2017,[1]ModifierDes!$B:$B,[1]ModifierDes!$C:$C),3,_xlfn.XLOOKUP(C2017,[1]StuntDes!$B:$B,[1]StuntDes!$C:$C)),"")</f>
        <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396</v>
      </c>
      <c r="D2018" t="s">
        <v>24</v>
      </c>
      <c r="E2018" t="s">
        <v>388</v>
      </c>
      <c r="G2018">
        <v>1</v>
      </c>
      <c r="H2018">
        <v>1000</v>
      </c>
      <c r="J2018" cm="1">
        <f t="array" ref="J2018">_xlfn.SWITCH(B2018,1,75,2,61,3,49,4,37,5,25,6,13,7,4,8,1)</f>
        <v>1</v>
      </c>
      <c r="K2018" t="str" cm="1">
        <f t="array" ref="K2018">IFERROR(_xlfn.SWITCH(L2018,2,_xlfn.XLOOKUP(C2018,[1]ModifierDes!$B:$B,[1]ModifierDes!$C:$C),3,_xlfn.XLOOKUP(C2018,[1]StuntDes!$B:$B,[1]StuntDes!$C:$C)),"")</f>
        <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397</v>
      </c>
      <c r="D2019" t="s">
        <v>24</v>
      </c>
      <c r="E2019" t="s">
        <v>388</v>
      </c>
      <c r="G2019">
        <v>1</v>
      </c>
      <c r="H2019">
        <v>1000</v>
      </c>
      <c r="J2019" cm="1">
        <f t="array" ref="J2019">_xlfn.SWITCH(B2019,1,75,2,61,3,49,4,37,5,25,6,13,7,4,8,1)</f>
        <v>75</v>
      </c>
      <c r="K2019" t="str" cm="1">
        <f t="array" ref="K2019">IFERROR(_xlfn.SWITCH(L2019,2,_xlfn.XLOOKUP(C2019,[1]ModifierDes!$B:$B,[1]ModifierDes!$C:$C),3,_xlfn.XLOOKUP(C2019,[1]StuntDes!$B:$B,[1]StuntDes!$C:$C)),"")</f>
        <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397</v>
      </c>
      <c r="D2020" t="s">
        <v>24</v>
      </c>
      <c r="E2020" t="s">
        <v>388</v>
      </c>
      <c r="G2020">
        <v>1</v>
      </c>
      <c r="H2020">
        <v>1000</v>
      </c>
      <c r="J2020" cm="1">
        <f t="array" ref="J2020">_xlfn.SWITCH(B2020,1,75,2,61,3,49,4,37,5,25,6,13,7,4,8,1)</f>
        <v>61</v>
      </c>
      <c r="K2020" t="str" cm="1">
        <f t="array" ref="K2020">IFERROR(_xlfn.SWITCH(L2020,2,_xlfn.XLOOKUP(C2020,[1]ModifierDes!$B:$B,[1]ModifierDes!$C:$C),3,_xlfn.XLOOKUP(C2020,[1]StuntDes!$B:$B,[1]StuntDes!$C:$C)),"")</f>
        <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397</v>
      </c>
      <c r="D2021" t="s">
        <v>24</v>
      </c>
      <c r="E2021" t="s">
        <v>388</v>
      </c>
      <c r="G2021">
        <v>1</v>
      </c>
      <c r="H2021">
        <v>1000</v>
      </c>
      <c r="J2021" cm="1">
        <f t="array" ref="J2021">_xlfn.SWITCH(B2021,1,75,2,61,3,49,4,37,5,25,6,13,7,4,8,1)</f>
        <v>49</v>
      </c>
      <c r="K2021" t="str" cm="1">
        <f t="array" ref="K2021">IFERROR(_xlfn.SWITCH(L2021,2,_xlfn.XLOOKUP(C2021,[1]ModifierDes!$B:$B,[1]ModifierDes!$C:$C),3,_xlfn.XLOOKUP(C2021,[1]StuntDes!$B:$B,[1]StuntDes!$C:$C)),"")</f>
        <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397</v>
      </c>
      <c r="D2022" t="s">
        <v>24</v>
      </c>
      <c r="E2022" t="s">
        <v>388</v>
      </c>
      <c r="G2022">
        <v>1</v>
      </c>
      <c r="H2022">
        <v>1000</v>
      </c>
      <c r="J2022" cm="1">
        <f t="array" ref="J2022">_xlfn.SWITCH(B2022,1,75,2,61,3,49,4,37,5,25,6,13,7,4,8,1)</f>
        <v>37</v>
      </c>
      <c r="K2022" t="str" cm="1">
        <f t="array" ref="K2022">IFERROR(_xlfn.SWITCH(L2022,2,_xlfn.XLOOKUP(C2022,[1]ModifierDes!$B:$B,[1]ModifierDes!$C:$C),3,_xlfn.XLOOKUP(C2022,[1]StuntDes!$B:$B,[1]StuntDes!$C:$C)),"")</f>
        <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397</v>
      </c>
      <c r="D2023" t="s">
        <v>24</v>
      </c>
      <c r="E2023" t="s">
        <v>388</v>
      </c>
      <c r="G2023">
        <v>1</v>
      </c>
      <c r="H2023">
        <v>1000</v>
      </c>
      <c r="J2023" cm="1">
        <f t="array" ref="J2023">_xlfn.SWITCH(B2023,1,75,2,61,3,49,4,37,5,25,6,13,7,4,8,1)</f>
        <v>25</v>
      </c>
      <c r="K2023" t="str" cm="1">
        <f t="array" ref="K2023">IFERROR(_xlfn.SWITCH(L2023,2,_xlfn.XLOOKUP(C2023,[1]ModifierDes!$B:$B,[1]ModifierDes!$C:$C),3,_xlfn.XLOOKUP(C2023,[1]StuntDes!$B:$B,[1]StuntDes!$C:$C)),"")</f>
        <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397</v>
      </c>
      <c r="D2024" t="s">
        <v>24</v>
      </c>
      <c r="E2024" t="s">
        <v>388</v>
      </c>
      <c r="G2024">
        <v>1</v>
      </c>
      <c r="H2024">
        <v>1000</v>
      </c>
      <c r="J2024" cm="1">
        <f t="array" ref="J2024">_xlfn.SWITCH(B2024,1,75,2,61,3,49,4,37,5,25,6,13,7,4,8,1)</f>
        <v>13</v>
      </c>
      <c r="K2024" t="str" cm="1">
        <f t="array" ref="K2024">IFERROR(_xlfn.SWITCH(L2024,2,_xlfn.XLOOKUP(C2024,[1]ModifierDes!$B:$B,[1]ModifierDes!$C:$C),3,_xlfn.XLOOKUP(C2024,[1]StuntDes!$B:$B,[1]StuntDes!$C:$C)),"")</f>
        <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397</v>
      </c>
      <c r="D2025" t="s">
        <v>24</v>
      </c>
      <c r="E2025" t="s">
        <v>388</v>
      </c>
      <c r="G2025">
        <v>1</v>
      </c>
      <c r="H2025">
        <v>1000</v>
      </c>
      <c r="J2025" cm="1">
        <f t="array" ref="J2025">_xlfn.SWITCH(B2025,1,75,2,61,3,49,4,37,5,25,6,13,7,4,8,1)</f>
        <v>4</v>
      </c>
      <c r="K2025" t="str" cm="1">
        <f t="array" ref="K2025">IFERROR(_xlfn.SWITCH(L2025,2,_xlfn.XLOOKUP(C2025,[1]ModifierDes!$B:$B,[1]ModifierDes!$C:$C),3,_xlfn.XLOOKUP(C2025,[1]StuntDes!$B:$B,[1]StuntDes!$C:$C)),"")</f>
        <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397</v>
      </c>
      <c r="D2026" t="s">
        <v>24</v>
      </c>
      <c r="E2026" t="s">
        <v>388</v>
      </c>
      <c r="G2026">
        <v>1</v>
      </c>
      <c r="H2026">
        <v>1000</v>
      </c>
      <c r="J2026" cm="1">
        <f t="array" ref="J2026">_xlfn.SWITCH(B2026,1,75,2,61,3,49,4,37,5,25,6,13,7,4,8,1)</f>
        <v>1</v>
      </c>
      <c r="K2026" t="str" cm="1">
        <f t="array" ref="K2026">IFERROR(_xlfn.SWITCH(L2026,2,_xlfn.XLOOKUP(C2026,[1]ModifierDes!$B:$B,[1]ModifierDes!$C:$C),3,_xlfn.XLOOKUP(C2026,[1]StuntDes!$B:$B,[1]StuntDes!$C:$C)),"")</f>
        <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439</v>
      </c>
      <c r="D2027" t="s">
        <v>24</v>
      </c>
      <c r="E2027" t="s">
        <v>388</v>
      </c>
      <c r="G2027">
        <v>1</v>
      </c>
      <c r="H2027">
        <v>1000</v>
      </c>
      <c r="J2027" cm="1">
        <f t="array" ref="J2027">_xlfn.SWITCH(B2027,1,75,2,61,3,49,4,37,5,25,6,13,7,4,8,1)</f>
        <v>75</v>
      </c>
      <c r="K2027" t="str" cm="1">
        <f t="array" ref="K2027">IFERROR(_xlfn.SWITCH(L2027,2,_xlfn.XLOOKUP(C2027,[1]ModifierDes!$B:$B,[1]ModifierDes!$C:$C),3,_xlfn.XLOOKUP(C2027,[1]StuntDes!$B:$B,[1]StuntDes!$C:$C)),"")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439</v>
      </c>
      <c r="D2028" t="s">
        <v>24</v>
      </c>
      <c r="E2028" t="s">
        <v>388</v>
      </c>
      <c r="G2028">
        <v>1</v>
      </c>
      <c r="H2028">
        <v>1000</v>
      </c>
      <c r="J2028" cm="1">
        <f t="array" ref="J2028">_xlfn.SWITCH(B2028,1,75,2,61,3,49,4,37,5,25,6,13,7,4,8,1)</f>
        <v>61</v>
      </c>
      <c r="K2028" t="str" cm="1">
        <f t="array" ref="K2028">IFERROR(_xlfn.SWITCH(L2028,2,_xlfn.XLOOKUP(C2028,[1]ModifierDes!$B:$B,[1]ModifierDes!$C:$C),3,_xlfn.XLOOKUP(C2028,[1]StuntDes!$B:$B,[1]StuntDes!$C:$C)),"")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439</v>
      </c>
      <c r="D2029" t="s">
        <v>24</v>
      </c>
      <c r="E2029" t="s">
        <v>388</v>
      </c>
      <c r="G2029">
        <v>1</v>
      </c>
      <c r="H2029">
        <v>1000</v>
      </c>
      <c r="J2029" cm="1">
        <f t="array" ref="J2029">_xlfn.SWITCH(B2029,1,75,2,61,3,49,4,37,5,25,6,13,7,4,8,1)</f>
        <v>49</v>
      </c>
      <c r="K2029" t="str" cm="1">
        <f t="array" ref="K2029">IFERROR(_xlfn.SWITCH(L2029,2,_xlfn.XLOOKUP(C2029,[1]ModifierDes!$B:$B,[1]ModifierDes!$C:$C),3,_xlfn.XLOOKUP(C2029,[1]StuntDes!$B:$B,[1]StuntDes!$C:$C)),"")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439</v>
      </c>
      <c r="D2030" t="s">
        <v>24</v>
      </c>
      <c r="E2030" t="s">
        <v>388</v>
      </c>
      <c r="G2030">
        <v>1</v>
      </c>
      <c r="H2030">
        <v>1000</v>
      </c>
      <c r="J2030" cm="1">
        <f t="array" ref="J2030">_xlfn.SWITCH(B2030,1,75,2,61,3,49,4,37,5,25,6,13,7,4,8,1)</f>
        <v>37</v>
      </c>
      <c r="K2030" t="str" cm="1">
        <f t="array" ref="K2030">IFERROR(_xlfn.SWITCH(L2030,2,_xlfn.XLOOKUP(C2030,[1]ModifierDes!$B:$B,[1]ModifierDes!$C:$C),3,_xlfn.XLOOKUP(C2030,[1]StuntDes!$B:$B,[1]StuntDes!$C:$C)),"")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439</v>
      </c>
      <c r="D2031" t="s">
        <v>24</v>
      </c>
      <c r="E2031" t="s">
        <v>388</v>
      </c>
      <c r="G2031">
        <v>1</v>
      </c>
      <c r="H2031">
        <v>1000</v>
      </c>
      <c r="J2031" cm="1">
        <f t="array" ref="J2031">_xlfn.SWITCH(B2031,1,75,2,61,3,49,4,37,5,25,6,13,7,4,8,1)</f>
        <v>25</v>
      </c>
      <c r="K2031" t="str" cm="1">
        <f t="array" ref="K2031">IFERROR(_xlfn.SWITCH(L2031,2,_xlfn.XLOOKUP(C2031,[1]ModifierDes!$B:$B,[1]ModifierDes!$C:$C),3,_xlfn.XLOOKUP(C2031,[1]StuntDes!$B:$B,[1]StuntDes!$C:$C)),"")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439</v>
      </c>
      <c r="D2032" t="s">
        <v>24</v>
      </c>
      <c r="E2032" t="s">
        <v>388</v>
      </c>
      <c r="G2032">
        <v>1</v>
      </c>
      <c r="H2032">
        <v>1000</v>
      </c>
      <c r="J2032" cm="1">
        <f t="array" ref="J2032">_xlfn.SWITCH(B2032,1,75,2,61,3,49,4,37,5,25,6,13,7,4,8,1)</f>
        <v>13</v>
      </c>
      <c r="K2032" t="str" cm="1">
        <f t="array" ref="K2032">IFERROR(_xlfn.SWITCH(L2032,2,_xlfn.XLOOKUP(C2032,[1]ModifierDes!$B:$B,[1]ModifierDes!$C:$C),3,_xlfn.XLOOKUP(C2032,[1]StuntDes!$B:$B,[1]StuntDes!$C:$C)),"")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439</v>
      </c>
      <c r="D2033" t="s">
        <v>24</v>
      </c>
      <c r="E2033" t="s">
        <v>388</v>
      </c>
      <c r="G2033">
        <v>1</v>
      </c>
      <c r="H2033">
        <v>1000</v>
      </c>
      <c r="J2033" cm="1">
        <f t="array" ref="J2033">_xlfn.SWITCH(B2033,1,75,2,61,3,49,4,37,5,25,6,13,7,4,8,1)</f>
        <v>4</v>
      </c>
      <c r="K2033" t="str" cm="1">
        <f t="array" ref="K2033">IFERROR(_xlfn.SWITCH(L2033,2,_xlfn.XLOOKUP(C2033,[1]ModifierDes!$B:$B,[1]ModifierDes!$C:$C),3,_xlfn.XLOOKUP(C2033,[1]StuntDes!$B:$B,[1]StuntDes!$C:$C)),"")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439</v>
      </c>
      <c r="D2034" t="s">
        <v>24</v>
      </c>
      <c r="E2034" t="s">
        <v>388</v>
      </c>
      <c r="G2034">
        <v>1</v>
      </c>
      <c r="H2034">
        <v>1000</v>
      </c>
      <c r="J2034" cm="1">
        <f t="array" ref="J2034">_xlfn.SWITCH(B2034,1,75,2,61,3,49,4,37,5,25,6,13,7,4,8,1)</f>
        <v>1</v>
      </c>
      <c r="K2034" t="str" cm="1">
        <f t="array" ref="K2034">IFERROR(_xlfn.SWITCH(L2034,2,_xlfn.XLOOKUP(C2034,[1]ModifierDes!$B:$B,[1]ModifierDes!$C:$C),3,_xlfn.XLOOKUP(C2034,[1]StuntDes!$B:$B,[1]StuntDes!$C:$C)),"")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399</v>
      </c>
      <c r="D2035" t="s">
        <v>24</v>
      </c>
      <c r="E2035" t="s">
        <v>388</v>
      </c>
      <c r="G2035">
        <v>1</v>
      </c>
      <c r="H2035">
        <v>1000</v>
      </c>
      <c r="J2035" cm="1">
        <f t="array" ref="J2035">_xlfn.SWITCH(B2035,1,75,2,61,3,49,4,37,5,25,6,13,7,4,8,1)</f>
        <v>75</v>
      </c>
      <c r="K2035" t="str" cm="1">
        <f t="array" ref="K2035">IFERROR(_xlfn.SWITCH(L2035,2,_xlfn.XLOOKUP(C2035,[1]ModifierDes!$B:$B,[1]ModifierDes!$C:$C),3,_xlfn.XLOOKUP(C2035,[1]StuntDes!$B:$B,[1]StuntDes!$C:$C)),"")</f>
        <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399</v>
      </c>
      <c r="D2036" t="s">
        <v>24</v>
      </c>
      <c r="E2036" t="s">
        <v>388</v>
      </c>
      <c r="G2036">
        <v>1</v>
      </c>
      <c r="H2036">
        <v>1000</v>
      </c>
      <c r="J2036" cm="1">
        <f t="array" ref="J2036">_xlfn.SWITCH(B2036,1,75,2,61,3,49,4,37,5,25,6,13,7,4,8,1)</f>
        <v>61</v>
      </c>
      <c r="K2036" t="str" cm="1">
        <f t="array" ref="K2036">IFERROR(_xlfn.SWITCH(L2036,2,_xlfn.XLOOKUP(C2036,[1]ModifierDes!$B:$B,[1]ModifierDes!$C:$C),3,_xlfn.XLOOKUP(C2036,[1]StuntDes!$B:$B,[1]StuntDes!$C:$C)),"")</f>
        <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399</v>
      </c>
      <c r="D2037" t="s">
        <v>24</v>
      </c>
      <c r="E2037" t="s">
        <v>388</v>
      </c>
      <c r="G2037">
        <v>1</v>
      </c>
      <c r="H2037">
        <v>1000</v>
      </c>
      <c r="J2037" cm="1">
        <f t="array" ref="J2037">_xlfn.SWITCH(B2037,1,75,2,61,3,49,4,37,5,25,6,13,7,4,8,1)</f>
        <v>49</v>
      </c>
      <c r="K2037" t="str" cm="1">
        <f t="array" ref="K2037">IFERROR(_xlfn.SWITCH(L2037,2,_xlfn.XLOOKUP(C2037,[1]ModifierDes!$B:$B,[1]ModifierDes!$C:$C),3,_xlfn.XLOOKUP(C2037,[1]StuntDes!$B:$B,[1]StuntDes!$C:$C)),"")</f>
        <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399</v>
      </c>
      <c r="D2038" t="s">
        <v>24</v>
      </c>
      <c r="E2038" t="s">
        <v>388</v>
      </c>
      <c r="G2038">
        <v>1</v>
      </c>
      <c r="H2038">
        <v>1000</v>
      </c>
      <c r="J2038" cm="1">
        <f t="array" ref="J2038">_xlfn.SWITCH(B2038,1,75,2,61,3,49,4,37,5,25,6,13,7,4,8,1)</f>
        <v>37</v>
      </c>
      <c r="K2038" t="str" cm="1">
        <f t="array" ref="K2038">IFERROR(_xlfn.SWITCH(L2038,2,_xlfn.XLOOKUP(C2038,[1]ModifierDes!$B:$B,[1]ModifierDes!$C:$C),3,_xlfn.XLOOKUP(C2038,[1]StuntDes!$B:$B,[1]StuntDes!$C:$C)),"")</f>
        <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399</v>
      </c>
      <c r="D2039" t="s">
        <v>24</v>
      </c>
      <c r="E2039" t="s">
        <v>388</v>
      </c>
      <c r="G2039">
        <v>1</v>
      </c>
      <c r="H2039">
        <v>1000</v>
      </c>
      <c r="J2039" cm="1">
        <f t="array" ref="J2039">_xlfn.SWITCH(B2039,1,75,2,61,3,49,4,37,5,25,6,13,7,4,8,1)</f>
        <v>25</v>
      </c>
      <c r="K2039" t="str" cm="1">
        <f t="array" ref="K2039">IFERROR(_xlfn.SWITCH(L2039,2,_xlfn.XLOOKUP(C2039,[1]ModifierDes!$B:$B,[1]ModifierDes!$C:$C),3,_xlfn.XLOOKUP(C2039,[1]StuntDes!$B:$B,[1]StuntDes!$C:$C)),"")</f>
        <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399</v>
      </c>
      <c r="D2040" t="s">
        <v>24</v>
      </c>
      <c r="E2040" t="s">
        <v>388</v>
      </c>
      <c r="G2040">
        <v>1</v>
      </c>
      <c r="H2040">
        <v>1000</v>
      </c>
      <c r="J2040" cm="1">
        <f t="array" ref="J2040">_xlfn.SWITCH(B2040,1,75,2,61,3,49,4,37,5,25,6,13,7,4,8,1)</f>
        <v>13</v>
      </c>
      <c r="K2040" t="str" cm="1">
        <f t="array" ref="K2040">IFERROR(_xlfn.SWITCH(L2040,2,_xlfn.XLOOKUP(C2040,[1]ModifierDes!$B:$B,[1]ModifierDes!$C:$C),3,_xlfn.XLOOKUP(C2040,[1]StuntDes!$B:$B,[1]StuntDes!$C:$C)),"")</f>
        <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399</v>
      </c>
      <c r="D2041" t="s">
        <v>24</v>
      </c>
      <c r="E2041" t="s">
        <v>388</v>
      </c>
      <c r="G2041">
        <v>1</v>
      </c>
      <c r="H2041">
        <v>1000</v>
      </c>
      <c r="J2041" cm="1">
        <f t="array" ref="J2041">_xlfn.SWITCH(B2041,1,75,2,61,3,49,4,37,5,25,6,13,7,4,8,1)</f>
        <v>4</v>
      </c>
      <c r="K2041" t="str" cm="1">
        <f t="array" ref="K2041">IFERROR(_xlfn.SWITCH(L2041,2,_xlfn.XLOOKUP(C2041,[1]ModifierDes!$B:$B,[1]ModifierDes!$C:$C),3,_xlfn.XLOOKUP(C2041,[1]StuntDes!$B:$B,[1]StuntDes!$C:$C)),"")</f>
        <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399</v>
      </c>
      <c r="D2042" t="s">
        <v>24</v>
      </c>
      <c r="E2042" t="s">
        <v>388</v>
      </c>
      <c r="G2042">
        <v>1</v>
      </c>
      <c r="H2042">
        <v>1000</v>
      </c>
      <c r="J2042" cm="1">
        <f t="array" ref="J2042">_xlfn.SWITCH(B2042,1,75,2,61,3,49,4,37,5,25,6,13,7,4,8,1)</f>
        <v>1</v>
      </c>
      <c r="K2042" t="str" cm="1">
        <f t="array" ref="K2042">IFERROR(_xlfn.SWITCH(L2042,2,_xlfn.XLOOKUP(C2042,[1]ModifierDes!$B:$B,[1]ModifierDes!$C:$C),3,_xlfn.XLOOKUP(C2042,[1]StuntDes!$B:$B,[1]StuntDes!$C:$C)),"")</f>
        <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400</v>
      </c>
      <c r="D2043" t="s">
        <v>24</v>
      </c>
      <c r="E2043" t="s">
        <v>388</v>
      </c>
      <c r="G2043">
        <v>1</v>
      </c>
      <c r="H2043">
        <v>1000</v>
      </c>
      <c r="J2043" cm="1">
        <f t="array" ref="J2043">_xlfn.SWITCH(B2043,1,75,2,61,3,49,4,37,5,25,6,13,7,4,8,1)</f>
        <v>75</v>
      </c>
      <c r="K2043" t="str" cm="1">
        <f t="array" ref="K2043">IFERROR(_xlfn.SWITCH(L2043,2,_xlfn.XLOOKUP(C2043,[1]ModifierDes!$B:$B,[1]ModifierDes!$C:$C),3,_xlfn.XLOOKUP(C2043,[1]StuntDes!$B:$B,[1]StuntDes!$C:$C)),"")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400</v>
      </c>
      <c r="D2044" t="s">
        <v>24</v>
      </c>
      <c r="E2044" t="s">
        <v>388</v>
      </c>
      <c r="G2044">
        <v>1</v>
      </c>
      <c r="H2044">
        <v>1000</v>
      </c>
      <c r="J2044" cm="1">
        <f t="array" ref="J2044">_xlfn.SWITCH(B2044,1,75,2,61,3,49,4,37,5,25,6,13,7,4,8,1)</f>
        <v>61</v>
      </c>
      <c r="K2044" t="str" cm="1">
        <f t="array" ref="K2044">IFERROR(_xlfn.SWITCH(L2044,2,_xlfn.XLOOKUP(C2044,[1]ModifierDes!$B:$B,[1]ModifierDes!$C:$C),3,_xlfn.XLOOKUP(C2044,[1]StuntDes!$B:$B,[1]StuntDes!$C:$C)),"")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400</v>
      </c>
      <c r="D2045" t="s">
        <v>24</v>
      </c>
      <c r="E2045" t="s">
        <v>388</v>
      </c>
      <c r="G2045">
        <v>1</v>
      </c>
      <c r="H2045">
        <v>1000</v>
      </c>
      <c r="J2045" cm="1">
        <f t="array" ref="J2045">_xlfn.SWITCH(B2045,1,75,2,61,3,49,4,37,5,25,6,13,7,4,8,1)</f>
        <v>49</v>
      </c>
      <c r="K2045" t="str" cm="1">
        <f t="array" ref="K2045">IFERROR(_xlfn.SWITCH(L2045,2,_xlfn.XLOOKUP(C2045,[1]ModifierDes!$B:$B,[1]ModifierDes!$C:$C),3,_xlfn.XLOOKUP(C2045,[1]StuntDes!$B:$B,[1]StuntDes!$C:$C)),"")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400</v>
      </c>
      <c r="D2046" t="s">
        <v>24</v>
      </c>
      <c r="E2046" t="s">
        <v>388</v>
      </c>
      <c r="G2046">
        <v>1</v>
      </c>
      <c r="H2046">
        <v>1000</v>
      </c>
      <c r="J2046" cm="1">
        <f t="array" ref="J2046">_xlfn.SWITCH(B2046,1,75,2,61,3,49,4,37,5,25,6,13,7,4,8,1)</f>
        <v>37</v>
      </c>
      <c r="K2046" t="str" cm="1">
        <f t="array" ref="K2046">IFERROR(_xlfn.SWITCH(L2046,2,_xlfn.XLOOKUP(C2046,[1]ModifierDes!$B:$B,[1]ModifierDes!$C:$C),3,_xlfn.XLOOKUP(C2046,[1]StuntDes!$B:$B,[1]StuntDes!$C:$C)),"")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400</v>
      </c>
      <c r="D2047" t="s">
        <v>24</v>
      </c>
      <c r="E2047" t="s">
        <v>388</v>
      </c>
      <c r="G2047">
        <v>1</v>
      </c>
      <c r="H2047">
        <v>1000</v>
      </c>
      <c r="J2047" cm="1">
        <f t="array" ref="J2047">_xlfn.SWITCH(B2047,1,75,2,61,3,49,4,37,5,25,6,13,7,4,8,1)</f>
        <v>25</v>
      </c>
      <c r="K2047" t="str" cm="1">
        <f t="array" ref="K2047">IFERROR(_xlfn.SWITCH(L2047,2,_xlfn.XLOOKUP(C2047,[1]ModifierDes!$B:$B,[1]ModifierDes!$C:$C),3,_xlfn.XLOOKUP(C2047,[1]StuntDes!$B:$B,[1]StuntDes!$C:$C)),"")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400</v>
      </c>
      <c r="D2048" t="s">
        <v>24</v>
      </c>
      <c r="E2048" t="s">
        <v>388</v>
      </c>
      <c r="G2048">
        <v>1</v>
      </c>
      <c r="H2048">
        <v>1000</v>
      </c>
      <c r="J2048" cm="1">
        <f t="array" ref="J2048">_xlfn.SWITCH(B2048,1,75,2,61,3,49,4,37,5,25,6,13,7,4,8,1)</f>
        <v>13</v>
      </c>
      <c r="K2048" t="str" cm="1">
        <f t="array" ref="K2048">IFERROR(_xlfn.SWITCH(L2048,2,_xlfn.XLOOKUP(C2048,[1]ModifierDes!$B:$B,[1]ModifierDes!$C:$C),3,_xlfn.XLOOKUP(C2048,[1]StuntDes!$B:$B,[1]StuntDes!$C:$C)),"")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400</v>
      </c>
      <c r="D2049" t="s">
        <v>24</v>
      </c>
      <c r="E2049" t="s">
        <v>388</v>
      </c>
      <c r="G2049">
        <v>1</v>
      </c>
      <c r="H2049">
        <v>1000</v>
      </c>
      <c r="J2049" cm="1">
        <f t="array" ref="J2049">_xlfn.SWITCH(B2049,1,75,2,61,3,49,4,37,5,25,6,13,7,4,8,1)</f>
        <v>4</v>
      </c>
      <c r="K2049" t="str" cm="1">
        <f t="array" ref="K2049">IFERROR(_xlfn.SWITCH(L2049,2,_xlfn.XLOOKUP(C2049,[1]ModifierDes!$B:$B,[1]ModifierDes!$C:$C),3,_xlfn.XLOOKUP(C2049,[1]StuntDes!$B:$B,[1]StuntDes!$C:$C)),"")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400</v>
      </c>
      <c r="D2050" t="s">
        <v>24</v>
      </c>
      <c r="E2050" t="s">
        <v>388</v>
      </c>
      <c r="G2050">
        <v>1</v>
      </c>
      <c r="H2050">
        <v>1000</v>
      </c>
      <c r="J2050" cm="1">
        <f t="array" ref="J2050">_xlfn.SWITCH(B2050,1,75,2,61,3,49,4,37,5,25,6,13,7,4,8,1)</f>
        <v>1</v>
      </c>
      <c r="K2050" t="str" cm="1">
        <f t="array" ref="K2050">IFERROR(_xlfn.SWITCH(L2050,2,_xlfn.XLOOKUP(C2050,[1]ModifierDes!$B:$B,[1]ModifierDes!$C:$C),3,_xlfn.XLOOKUP(C2050,[1]StuntDes!$B:$B,[1]StuntDes!$C:$C)),"")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401</v>
      </c>
      <c r="D2051" t="s">
        <v>24</v>
      </c>
      <c r="E2051" t="s">
        <v>388</v>
      </c>
      <c r="G2051">
        <v>1</v>
      </c>
      <c r="H2051">
        <v>1000</v>
      </c>
      <c r="J2051" cm="1">
        <f t="array" ref="J2051">_xlfn.SWITCH(B2051,1,75,2,61,3,49,4,37,5,25,6,13,7,4,8,1)</f>
        <v>75</v>
      </c>
      <c r="K2051" t="str" cm="1">
        <f t="array" ref="K2051">IFERROR(_xlfn.SWITCH(L2051,2,_xlfn.XLOOKUP(C2051,[1]ModifierDes!$B:$B,[1]ModifierDes!$C:$C),3,_xlfn.XLOOKUP(C2051,[1]StuntDes!$B:$B,[1]StuntDes!$C:$C)),"")</f>
        <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401</v>
      </c>
      <c r="D2052" t="s">
        <v>24</v>
      </c>
      <c r="E2052" t="s">
        <v>388</v>
      </c>
      <c r="G2052">
        <v>1</v>
      </c>
      <c r="H2052">
        <v>1000</v>
      </c>
      <c r="J2052" cm="1">
        <f t="array" ref="J2052">_xlfn.SWITCH(B2052,1,75,2,61,3,49,4,37,5,25,6,13,7,4,8,1)</f>
        <v>61</v>
      </c>
      <c r="K2052" t="str" cm="1">
        <f t="array" ref="K2052">IFERROR(_xlfn.SWITCH(L2052,2,_xlfn.XLOOKUP(C2052,[1]ModifierDes!$B:$B,[1]ModifierDes!$C:$C),3,_xlfn.XLOOKUP(C2052,[1]StuntDes!$B:$B,[1]StuntDes!$C:$C)),"")</f>
        <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401</v>
      </c>
      <c r="D2053" t="s">
        <v>24</v>
      </c>
      <c r="E2053" t="s">
        <v>388</v>
      </c>
      <c r="G2053">
        <v>1</v>
      </c>
      <c r="H2053">
        <v>1000</v>
      </c>
      <c r="J2053" cm="1">
        <f t="array" ref="J2053">_xlfn.SWITCH(B2053,1,75,2,61,3,49,4,37,5,25,6,13,7,4,8,1)</f>
        <v>49</v>
      </c>
      <c r="K2053" t="str" cm="1">
        <f t="array" ref="K2053">IFERROR(_xlfn.SWITCH(L2053,2,_xlfn.XLOOKUP(C2053,[1]ModifierDes!$B:$B,[1]ModifierDes!$C:$C),3,_xlfn.XLOOKUP(C2053,[1]StuntDes!$B:$B,[1]StuntDes!$C:$C)),"")</f>
        <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401</v>
      </c>
      <c r="D2054" t="s">
        <v>24</v>
      </c>
      <c r="E2054" t="s">
        <v>388</v>
      </c>
      <c r="G2054">
        <v>1</v>
      </c>
      <c r="H2054">
        <v>1000</v>
      </c>
      <c r="J2054" cm="1">
        <f t="array" ref="J2054">_xlfn.SWITCH(B2054,1,75,2,61,3,49,4,37,5,25,6,13,7,4,8,1)</f>
        <v>37</v>
      </c>
      <c r="K2054" t="str" cm="1">
        <f t="array" ref="K2054">IFERROR(_xlfn.SWITCH(L2054,2,_xlfn.XLOOKUP(C2054,[1]ModifierDes!$B:$B,[1]ModifierDes!$C:$C),3,_xlfn.XLOOKUP(C2054,[1]StuntDes!$B:$B,[1]StuntDes!$C:$C)),"")</f>
        <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401</v>
      </c>
      <c r="D2055" t="s">
        <v>24</v>
      </c>
      <c r="E2055" t="s">
        <v>388</v>
      </c>
      <c r="G2055">
        <v>1</v>
      </c>
      <c r="H2055">
        <v>1000</v>
      </c>
      <c r="J2055" cm="1">
        <f t="array" ref="J2055">_xlfn.SWITCH(B2055,1,75,2,61,3,49,4,37,5,25,6,13,7,4,8,1)</f>
        <v>25</v>
      </c>
      <c r="K2055" t="str" cm="1">
        <f t="array" ref="K2055">IFERROR(_xlfn.SWITCH(L2055,2,_xlfn.XLOOKUP(C2055,[1]ModifierDes!$B:$B,[1]ModifierDes!$C:$C),3,_xlfn.XLOOKUP(C2055,[1]StuntDes!$B:$B,[1]StuntDes!$C:$C)),"")</f>
        <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401</v>
      </c>
      <c r="D2056" t="s">
        <v>24</v>
      </c>
      <c r="E2056" t="s">
        <v>388</v>
      </c>
      <c r="G2056">
        <v>1</v>
      </c>
      <c r="H2056">
        <v>1000</v>
      </c>
      <c r="J2056" cm="1">
        <f t="array" ref="J2056">_xlfn.SWITCH(B2056,1,75,2,61,3,49,4,37,5,25,6,13,7,4,8,1)</f>
        <v>13</v>
      </c>
      <c r="K2056" t="str" cm="1">
        <f t="array" ref="K2056">IFERROR(_xlfn.SWITCH(L2056,2,_xlfn.XLOOKUP(C2056,[1]ModifierDes!$B:$B,[1]ModifierDes!$C:$C),3,_xlfn.XLOOKUP(C2056,[1]StuntDes!$B:$B,[1]StuntDes!$C:$C)),"")</f>
        <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401</v>
      </c>
      <c r="D2057" t="s">
        <v>24</v>
      </c>
      <c r="E2057" t="s">
        <v>388</v>
      </c>
      <c r="G2057">
        <v>1</v>
      </c>
      <c r="H2057">
        <v>1000</v>
      </c>
      <c r="J2057" cm="1">
        <f t="array" ref="J2057">_xlfn.SWITCH(B2057,1,75,2,61,3,49,4,37,5,25,6,13,7,4,8,1)</f>
        <v>4</v>
      </c>
      <c r="K2057" t="str" cm="1">
        <f t="array" ref="K2057">IFERROR(_xlfn.SWITCH(L2057,2,_xlfn.XLOOKUP(C2057,[1]ModifierDes!$B:$B,[1]ModifierDes!$C:$C),3,_xlfn.XLOOKUP(C2057,[1]StuntDes!$B:$B,[1]StuntDes!$C:$C)),"")</f>
        <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401</v>
      </c>
      <c r="D2058" t="s">
        <v>24</v>
      </c>
      <c r="E2058" t="s">
        <v>388</v>
      </c>
      <c r="G2058">
        <v>1</v>
      </c>
      <c r="H2058">
        <v>1000</v>
      </c>
      <c r="J2058" cm="1">
        <f t="array" ref="J2058">_xlfn.SWITCH(B2058,1,75,2,61,3,49,4,37,5,25,6,13,7,4,8,1)</f>
        <v>1</v>
      </c>
      <c r="K2058" t="str" cm="1">
        <f t="array" ref="K2058">IFERROR(_xlfn.SWITCH(L2058,2,_xlfn.XLOOKUP(C2058,[1]ModifierDes!$B:$B,[1]ModifierDes!$C:$C),3,_xlfn.XLOOKUP(C2058,[1]StuntDes!$B:$B,[1]StuntDes!$C:$C)),"")</f>
        <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402</v>
      </c>
      <c r="D2059" t="s">
        <v>24</v>
      </c>
      <c r="E2059" t="s">
        <v>388</v>
      </c>
      <c r="G2059">
        <v>1</v>
      </c>
      <c r="H2059">
        <v>1000</v>
      </c>
      <c r="J2059" cm="1">
        <f t="array" ref="J2059">_xlfn.SWITCH(B2059,1,75,2,61,3,49,4,37,5,25,6,13,7,4,8,1)</f>
        <v>75</v>
      </c>
      <c r="K2059" t="str" cm="1">
        <f t="array" ref="K2059">IFERROR(_xlfn.SWITCH(L2059,2,_xlfn.XLOOKUP(C2059,[1]ModifierDes!$B:$B,[1]ModifierDes!$C:$C),3,_xlfn.XLOOKUP(C2059,[1]StuntDes!$B:$B,[1]StuntDes!$C:$C)),"")</f>
        <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402</v>
      </c>
      <c r="D2060" t="s">
        <v>24</v>
      </c>
      <c r="E2060" t="s">
        <v>388</v>
      </c>
      <c r="G2060">
        <v>1</v>
      </c>
      <c r="H2060">
        <v>1000</v>
      </c>
      <c r="J2060" cm="1">
        <f t="array" ref="J2060">_xlfn.SWITCH(B2060,1,75,2,61,3,49,4,37,5,25,6,13,7,4,8,1)</f>
        <v>61</v>
      </c>
      <c r="K2060" t="str" cm="1">
        <f t="array" ref="K2060">IFERROR(_xlfn.SWITCH(L2060,2,_xlfn.XLOOKUP(C2060,[1]ModifierDes!$B:$B,[1]ModifierDes!$C:$C),3,_xlfn.XLOOKUP(C2060,[1]StuntDes!$B:$B,[1]StuntDes!$C:$C)),"")</f>
        <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402</v>
      </c>
      <c r="D2061" t="s">
        <v>24</v>
      </c>
      <c r="E2061" t="s">
        <v>388</v>
      </c>
      <c r="G2061">
        <v>1</v>
      </c>
      <c r="H2061">
        <v>1000</v>
      </c>
      <c r="J2061" cm="1">
        <f t="array" ref="J2061">_xlfn.SWITCH(B2061,1,75,2,61,3,49,4,37,5,25,6,13,7,4,8,1)</f>
        <v>49</v>
      </c>
      <c r="K2061" t="str" cm="1">
        <f t="array" ref="K2061">IFERROR(_xlfn.SWITCH(L2061,2,_xlfn.XLOOKUP(C2061,[1]ModifierDes!$B:$B,[1]ModifierDes!$C:$C),3,_xlfn.XLOOKUP(C2061,[1]StuntDes!$B:$B,[1]StuntDes!$C:$C)),"")</f>
        <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402</v>
      </c>
      <c r="D2062" t="s">
        <v>24</v>
      </c>
      <c r="E2062" t="s">
        <v>388</v>
      </c>
      <c r="G2062">
        <v>1</v>
      </c>
      <c r="H2062">
        <v>1000</v>
      </c>
      <c r="J2062" cm="1">
        <f t="array" ref="J2062">_xlfn.SWITCH(B2062,1,75,2,61,3,49,4,37,5,25,6,13,7,4,8,1)</f>
        <v>37</v>
      </c>
      <c r="K2062" t="str" cm="1">
        <f t="array" ref="K2062">IFERROR(_xlfn.SWITCH(L2062,2,_xlfn.XLOOKUP(C2062,[1]ModifierDes!$B:$B,[1]ModifierDes!$C:$C),3,_xlfn.XLOOKUP(C2062,[1]StuntDes!$B:$B,[1]StuntDes!$C:$C)),"")</f>
        <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402</v>
      </c>
      <c r="D2063" t="s">
        <v>24</v>
      </c>
      <c r="E2063" t="s">
        <v>388</v>
      </c>
      <c r="G2063">
        <v>1</v>
      </c>
      <c r="H2063">
        <v>1000</v>
      </c>
      <c r="J2063" cm="1">
        <f t="array" ref="J2063">_xlfn.SWITCH(B2063,1,75,2,61,3,49,4,37,5,25,6,13,7,4,8,1)</f>
        <v>25</v>
      </c>
      <c r="K2063" t="str" cm="1">
        <f t="array" ref="K2063">IFERROR(_xlfn.SWITCH(L2063,2,_xlfn.XLOOKUP(C2063,[1]ModifierDes!$B:$B,[1]ModifierDes!$C:$C),3,_xlfn.XLOOKUP(C2063,[1]StuntDes!$B:$B,[1]StuntDes!$C:$C)),"")</f>
        <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402</v>
      </c>
      <c r="D2064" t="s">
        <v>24</v>
      </c>
      <c r="E2064" t="s">
        <v>388</v>
      </c>
      <c r="G2064">
        <v>1</v>
      </c>
      <c r="H2064">
        <v>1000</v>
      </c>
      <c r="J2064" cm="1">
        <f t="array" ref="J2064">_xlfn.SWITCH(B2064,1,75,2,61,3,49,4,37,5,25,6,13,7,4,8,1)</f>
        <v>13</v>
      </c>
      <c r="K2064" t="str" cm="1">
        <f t="array" ref="K2064">IFERROR(_xlfn.SWITCH(L2064,2,_xlfn.XLOOKUP(C2064,[1]ModifierDes!$B:$B,[1]ModifierDes!$C:$C),3,_xlfn.XLOOKUP(C2064,[1]StuntDes!$B:$B,[1]StuntDes!$C:$C)),"")</f>
        <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402</v>
      </c>
      <c r="D2065" t="s">
        <v>24</v>
      </c>
      <c r="E2065" t="s">
        <v>388</v>
      </c>
      <c r="G2065">
        <v>1</v>
      </c>
      <c r="H2065">
        <v>1000</v>
      </c>
      <c r="J2065" cm="1">
        <f t="array" ref="J2065">_xlfn.SWITCH(B2065,1,75,2,61,3,49,4,37,5,25,6,13,7,4,8,1)</f>
        <v>4</v>
      </c>
      <c r="K2065" t="str" cm="1">
        <f t="array" ref="K2065">IFERROR(_xlfn.SWITCH(L2065,2,_xlfn.XLOOKUP(C2065,[1]ModifierDes!$B:$B,[1]ModifierDes!$C:$C),3,_xlfn.XLOOKUP(C2065,[1]StuntDes!$B:$B,[1]StuntDes!$C:$C)),"")</f>
        <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402</v>
      </c>
      <c r="D2066" t="s">
        <v>24</v>
      </c>
      <c r="E2066" t="s">
        <v>388</v>
      </c>
      <c r="G2066">
        <v>1</v>
      </c>
      <c r="H2066">
        <v>1000</v>
      </c>
      <c r="J2066" cm="1">
        <f t="array" ref="J2066">_xlfn.SWITCH(B2066,1,75,2,61,3,49,4,37,5,25,6,13,7,4,8,1)</f>
        <v>1</v>
      </c>
      <c r="K2066" t="str" cm="1">
        <f t="array" ref="K2066">IFERROR(_xlfn.SWITCH(L2066,2,_xlfn.XLOOKUP(C2066,[1]ModifierDes!$B:$B,[1]ModifierDes!$C:$C),3,_xlfn.XLOOKUP(C2066,[1]StuntDes!$B:$B,[1]StuntDes!$C:$C)),"")</f>
        <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403</v>
      </c>
      <c r="D2067" t="s">
        <v>24</v>
      </c>
      <c r="E2067" t="s">
        <v>388</v>
      </c>
      <c r="G2067">
        <v>1</v>
      </c>
      <c r="H2067">
        <v>1000</v>
      </c>
      <c r="J2067" cm="1">
        <f t="array" ref="J2067">_xlfn.SWITCH(B2067,1,75,2,61,3,49,4,37,5,25,6,13,7,4,8,1)</f>
        <v>75</v>
      </c>
      <c r="K2067" t="str" cm="1">
        <f t="array" ref="K2067">IFERROR(_xlfn.SWITCH(L2067,2,_xlfn.XLOOKUP(C2067,[1]ModifierDes!$B:$B,[1]ModifierDes!$C:$C),3,_xlfn.XLOOKUP(C2067,[1]StuntDes!$B:$B,[1]StuntDes!$C:$C)),"")</f>
        <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403</v>
      </c>
      <c r="D2068" t="s">
        <v>24</v>
      </c>
      <c r="E2068" t="s">
        <v>388</v>
      </c>
      <c r="G2068">
        <v>1</v>
      </c>
      <c r="H2068">
        <v>1000</v>
      </c>
      <c r="J2068" cm="1">
        <f t="array" ref="J2068">_xlfn.SWITCH(B2068,1,75,2,61,3,49,4,37,5,25,6,13,7,4,8,1)</f>
        <v>61</v>
      </c>
      <c r="K2068" t="str" cm="1">
        <f t="array" ref="K2068">IFERROR(_xlfn.SWITCH(L2068,2,_xlfn.XLOOKUP(C2068,[1]ModifierDes!$B:$B,[1]ModifierDes!$C:$C),3,_xlfn.XLOOKUP(C2068,[1]StuntDes!$B:$B,[1]StuntDes!$C:$C)),"")</f>
        <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403</v>
      </c>
      <c r="D2069" t="s">
        <v>24</v>
      </c>
      <c r="E2069" t="s">
        <v>388</v>
      </c>
      <c r="G2069">
        <v>1</v>
      </c>
      <c r="H2069">
        <v>1000</v>
      </c>
      <c r="J2069" cm="1">
        <f t="array" ref="J2069">_xlfn.SWITCH(B2069,1,75,2,61,3,49,4,37,5,25,6,13,7,4,8,1)</f>
        <v>49</v>
      </c>
      <c r="K2069" t="str" cm="1">
        <f t="array" ref="K2069">IFERROR(_xlfn.SWITCH(L2069,2,_xlfn.XLOOKUP(C2069,[1]ModifierDes!$B:$B,[1]ModifierDes!$C:$C),3,_xlfn.XLOOKUP(C2069,[1]StuntDes!$B:$B,[1]StuntDes!$C:$C)),"")</f>
        <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403</v>
      </c>
      <c r="D2070" t="s">
        <v>24</v>
      </c>
      <c r="E2070" t="s">
        <v>388</v>
      </c>
      <c r="G2070">
        <v>1</v>
      </c>
      <c r="H2070">
        <v>1000</v>
      </c>
      <c r="J2070" cm="1">
        <f t="array" ref="J2070">_xlfn.SWITCH(B2070,1,75,2,61,3,49,4,37,5,25,6,13,7,4,8,1)</f>
        <v>37</v>
      </c>
      <c r="K2070" t="str" cm="1">
        <f t="array" ref="K2070">IFERROR(_xlfn.SWITCH(L2070,2,_xlfn.XLOOKUP(C2070,[1]ModifierDes!$B:$B,[1]ModifierDes!$C:$C),3,_xlfn.XLOOKUP(C2070,[1]StuntDes!$B:$B,[1]StuntDes!$C:$C)),"")</f>
        <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403</v>
      </c>
      <c r="D2071" t="s">
        <v>24</v>
      </c>
      <c r="E2071" t="s">
        <v>388</v>
      </c>
      <c r="G2071">
        <v>1</v>
      </c>
      <c r="H2071">
        <v>1000</v>
      </c>
      <c r="J2071" cm="1">
        <f t="array" ref="J2071">_xlfn.SWITCH(B2071,1,75,2,61,3,49,4,37,5,25,6,13,7,4,8,1)</f>
        <v>25</v>
      </c>
      <c r="K2071" t="str" cm="1">
        <f t="array" ref="K2071">IFERROR(_xlfn.SWITCH(L2071,2,_xlfn.XLOOKUP(C2071,[1]ModifierDes!$B:$B,[1]ModifierDes!$C:$C),3,_xlfn.XLOOKUP(C2071,[1]StuntDes!$B:$B,[1]StuntDes!$C:$C)),"")</f>
        <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403</v>
      </c>
      <c r="D2072" t="s">
        <v>24</v>
      </c>
      <c r="E2072" t="s">
        <v>388</v>
      </c>
      <c r="G2072">
        <v>1</v>
      </c>
      <c r="H2072">
        <v>1000</v>
      </c>
      <c r="J2072" cm="1">
        <f t="array" ref="J2072">_xlfn.SWITCH(B2072,1,75,2,61,3,49,4,37,5,25,6,13,7,4,8,1)</f>
        <v>13</v>
      </c>
      <c r="K2072" t="str" cm="1">
        <f t="array" ref="K2072">IFERROR(_xlfn.SWITCH(L2072,2,_xlfn.XLOOKUP(C2072,[1]ModifierDes!$B:$B,[1]ModifierDes!$C:$C),3,_xlfn.XLOOKUP(C2072,[1]StuntDes!$B:$B,[1]StuntDes!$C:$C)),"")</f>
        <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403</v>
      </c>
      <c r="D2073" t="s">
        <v>24</v>
      </c>
      <c r="E2073" t="s">
        <v>388</v>
      </c>
      <c r="G2073">
        <v>1</v>
      </c>
      <c r="H2073">
        <v>1000</v>
      </c>
      <c r="J2073" cm="1">
        <f t="array" ref="J2073">_xlfn.SWITCH(B2073,1,75,2,61,3,49,4,37,5,25,6,13,7,4,8,1)</f>
        <v>4</v>
      </c>
      <c r="K2073" t="str" cm="1">
        <f t="array" ref="K2073">IFERROR(_xlfn.SWITCH(L2073,2,_xlfn.XLOOKUP(C2073,[1]ModifierDes!$B:$B,[1]ModifierDes!$C:$C),3,_xlfn.XLOOKUP(C2073,[1]StuntDes!$B:$B,[1]StuntDes!$C:$C)),"")</f>
        <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403</v>
      </c>
      <c r="D2074" t="s">
        <v>24</v>
      </c>
      <c r="E2074" t="s">
        <v>388</v>
      </c>
      <c r="G2074">
        <v>1</v>
      </c>
      <c r="H2074">
        <v>1000</v>
      </c>
      <c r="J2074" cm="1">
        <f t="array" ref="J2074">_xlfn.SWITCH(B2074,1,75,2,61,3,49,4,37,5,25,6,13,7,4,8,1)</f>
        <v>1</v>
      </c>
      <c r="K2074" t="str" cm="1">
        <f t="array" ref="K2074">IFERROR(_xlfn.SWITCH(L2074,2,_xlfn.XLOOKUP(C2074,[1]ModifierDes!$B:$B,[1]ModifierDes!$C:$C),3,_xlfn.XLOOKUP(C2074,[1]StuntDes!$B:$B,[1]StuntDes!$C:$C)),"")</f>
        <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404</v>
      </c>
      <c r="D2075" t="s">
        <v>24</v>
      </c>
      <c r="E2075" s="13" t="s">
        <v>405</v>
      </c>
      <c r="G2075">
        <v>2</v>
      </c>
      <c r="H2075">
        <v>1000</v>
      </c>
      <c r="J2075" cm="1">
        <f t="array" ref="J2075">_xlfn.SWITCH(B2075,1,75,2,61,3,49,4,37,5,25,6,13,7,4,8,1)</f>
        <v>75</v>
      </c>
      <c r="K2075" t="str" cm="1">
        <f t="array" ref="K2075">IFERROR(_xlfn.SWITCH(L2075,2,_xlfn.XLOOKUP(C2075,[1]ModifierDes!$B:$B,[1]ModifierDes!$C:$C),3,_xlfn.XLOOKUP(C2075,[1]StuntDes!$B:$B,[1]StuntDes!$C:$C)),"")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404</v>
      </c>
      <c r="D2076" t="s">
        <v>24</v>
      </c>
      <c r="E2076" s="13" t="s">
        <v>405</v>
      </c>
      <c r="G2076">
        <v>2</v>
      </c>
      <c r="H2076">
        <v>1000</v>
      </c>
      <c r="J2076" cm="1">
        <f t="array" ref="J2076">_xlfn.SWITCH(B2076,1,75,2,61,3,49,4,37,5,25,6,13,7,4,8,1)</f>
        <v>61</v>
      </c>
      <c r="K2076" t="str" cm="1">
        <f t="array" ref="K2076">IFERROR(_xlfn.SWITCH(L2076,2,_xlfn.XLOOKUP(C2076,[1]ModifierDes!$B:$B,[1]ModifierDes!$C:$C),3,_xlfn.XLOOKUP(C2076,[1]StuntDes!$B:$B,[1]StuntDes!$C:$C)),"")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404</v>
      </c>
      <c r="D2077" t="s">
        <v>24</v>
      </c>
      <c r="E2077" s="13" t="s">
        <v>405</v>
      </c>
      <c r="G2077">
        <v>2</v>
      </c>
      <c r="H2077">
        <v>1000</v>
      </c>
      <c r="J2077" cm="1">
        <f t="array" ref="J2077">_xlfn.SWITCH(B2077,1,75,2,61,3,49,4,37,5,25,6,13,7,4,8,1)</f>
        <v>49</v>
      </c>
      <c r="K2077" t="str" cm="1">
        <f t="array" ref="K2077">IFERROR(_xlfn.SWITCH(L2077,2,_xlfn.XLOOKUP(C2077,[1]ModifierDes!$B:$B,[1]ModifierDes!$C:$C),3,_xlfn.XLOOKUP(C2077,[1]StuntDes!$B:$B,[1]StuntDes!$C:$C)),"")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404</v>
      </c>
      <c r="D2078" t="s">
        <v>24</v>
      </c>
      <c r="E2078" s="13" t="s">
        <v>405</v>
      </c>
      <c r="G2078">
        <v>2</v>
      </c>
      <c r="H2078">
        <v>1000</v>
      </c>
      <c r="J2078" cm="1">
        <f t="array" ref="J2078">_xlfn.SWITCH(B2078,1,75,2,61,3,49,4,37,5,25,6,13,7,4,8,1)</f>
        <v>37</v>
      </c>
      <c r="K2078" t="str" cm="1">
        <f t="array" ref="K2078">IFERROR(_xlfn.SWITCH(L2078,2,_xlfn.XLOOKUP(C2078,[1]ModifierDes!$B:$B,[1]ModifierDes!$C:$C),3,_xlfn.XLOOKUP(C2078,[1]StuntDes!$B:$B,[1]StuntDes!$C:$C)),"")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404</v>
      </c>
      <c r="D2079" t="s">
        <v>24</v>
      </c>
      <c r="E2079" s="13" t="s">
        <v>405</v>
      </c>
      <c r="G2079">
        <v>2</v>
      </c>
      <c r="H2079">
        <v>1000</v>
      </c>
      <c r="J2079" cm="1">
        <f t="array" ref="J2079">_xlfn.SWITCH(B2079,1,75,2,61,3,49,4,37,5,25,6,13,7,4,8,1)</f>
        <v>25</v>
      </c>
      <c r="K2079" t="str" cm="1">
        <f t="array" ref="K2079">IFERROR(_xlfn.SWITCH(L2079,2,_xlfn.XLOOKUP(C2079,[1]ModifierDes!$B:$B,[1]ModifierDes!$C:$C),3,_xlfn.XLOOKUP(C2079,[1]StuntDes!$B:$B,[1]StuntDes!$C:$C)),"")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404</v>
      </c>
      <c r="D2080" t="s">
        <v>24</v>
      </c>
      <c r="E2080" s="13" t="s">
        <v>405</v>
      </c>
      <c r="G2080">
        <v>2</v>
      </c>
      <c r="H2080">
        <v>1000</v>
      </c>
      <c r="J2080" cm="1">
        <f t="array" ref="J2080">_xlfn.SWITCH(B2080,1,75,2,61,3,49,4,37,5,25,6,13,7,4,8,1)</f>
        <v>13</v>
      </c>
      <c r="K2080" t="str" cm="1">
        <f t="array" ref="K2080">IFERROR(_xlfn.SWITCH(L2080,2,_xlfn.XLOOKUP(C2080,[1]ModifierDes!$B:$B,[1]ModifierDes!$C:$C),3,_xlfn.XLOOKUP(C2080,[1]StuntDes!$B:$B,[1]StuntDes!$C:$C)),"")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404</v>
      </c>
      <c r="D2081" t="s">
        <v>24</v>
      </c>
      <c r="E2081" s="13" t="s">
        <v>405</v>
      </c>
      <c r="G2081">
        <v>2</v>
      </c>
      <c r="H2081">
        <v>1000</v>
      </c>
      <c r="J2081" cm="1">
        <f t="array" ref="J2081">_xlfn.SWITCH(B2081,1,75,2,61,3,49,4,37,5,25,6,13,7,4,8,1)</f>
        <v>4</v>
      </c>
      <c r="K2081" t="str" cm="1">
        <f t="array" ref="K2081">IFERROR(_xlfn.SWITCH(L2081,2,_xlfn.XLOOKUP(C2081,[1]ModifierDes!$B:$B,[1]ModifierDes!$C:$C),3,_xlfn.XLOOKUP(C2081,[1]StuntDes!$B:$B,[1]StuntDes!$C:$C)),"")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404</v>
      </c>
      <c r="D2082" t="s">
        <v>24</v>
      </c>
      <c r="E2082" s="13" t="s">
        <v>405</v>
      </c>
      <c r="G2082">
        <v>2</v>
      </c>
      <c r="H2082">
        <v>1000</v>
      </c>
      <c r="J2082" cm="1">
        <f t="array" ref="J2082">_xlfn.SWITCH(B2082,1,75,2,61,3,49,4,37,5,25,6,13,7,4,8,1)</f>
        <v>1</v>
      </c>
      <c r="K2082" t="str" cm="1">
        <f t="array" ref="K2082">IFERROR(_xlfn.SWITCH(L2082,2,_xlfn.XLOOKUP(C2082,[1]ModifierDes!$B:$B,[1]ModifierDes!$C:$C),3,_xlfn.XLOOKUP(C2082,[1]StuntDes!$B:$B,[1]StuntDes!$C:$C)),"")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406</v>
      </c>
      <c r="D2083" t="s">
        <v>24</v>
      </c>
      <c r="E2083" s="13" t="s">
        <v>405</v>
      </c>
      <c r="G2083">
        <v>2</v>
      </c>
      <c r="H2083">
        <v>25</v>
      </c>
      <c r="I2083">
        <v>2</v>
      </c>
      <c r="J2083" cm="1">
        <f t="array" ref="J2083">_xlfn.SWITCH(B2083,1,75,2,61,3,49,4,37,5,25,6,13,7,4,8,1)</f>
        <v>75</v>
      </c>
      <c r="K2083" t="str" cm="1">
        <f t="array" ref="K2083">IFERROR(_xlfn.SWITCH(L2083,2,_xlfn.XLOOKUP(C2083,[1]ModifierDes!$B:$B,[1]ModifierDes!$C:$C),3,_xlfn.XLOOKUP(C2083,[1]StuntDes!$B:$B,[1]StuntDes!$C:$C)),"")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406</v>
      </c>
      <c r="D2084" t="s">
        <v>24</v>
      </c>
      <c r="E2084" s="13" t="s">
        <v>405</v>
      </c>
      <c r="G2084">
        <v>2</v>
      </c>
      <c r="H2084">
        <v>100</v>
      </c>
      <c r="I2084">
        <v>2</v>
      </c>
      <c r="J2084" cm="1">
        <f t="array" ref="J2084">_xlfn.SWITCH(B2084,1,75,2,61,3,49,4,37,5,25,6,13,7,4,8,1)</f>
        <v>61</v>
      </c>
      <c r="K2084" t="str" cm="1">
        <f t="array" ref="K2084">IFERROR(_xlfn.SWITCH(L2084,2,_xlfn.XLOOKUP(C2084,[1]ModifierDes!$B:$B,[1]ModifierDes!$C:$C),3,_xlfn.XLOOKUP(C2084,[1]StuntDes!$B:$B,[1]StuntDes!$C:$C)),"")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406</v>
      </c>
      <c r="D2085" t="s">
        <v>24</v>
      </c>
      <c r="E2085" s="13" t="s">
        <v>405</v>
      </c>
      <c r="G2085">
        <v>2</v>
      </c>
      <c r="H2085">
        <v>400</v>
      </c>
      <c r="I2085">
        <v>2</v>
      </c>
      <c r="J2085" cm="1">
        <f t="array" ref="J2085">_xlfn.SWITCH(B2085,1,75,2,61,3,49,4,37,5,25,6,13,7,4,8,1)</f>
        <v>49</v>
      </c>
      <c r="K2085" t="str" cm="1">
        <f t="array" ref="K2085">IFERROR(_xlfn.SWITCH(L2085,2,_xlfn.XLOOKUP(C2085,[1]ModifierDes!$B:$B,[1]ModifierDes!$C:$C),3,_xlfn.XLOOKUP(C2085,[1]StuntDes!$B:$B,[1]StuntDes!$C:$C)),"")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406</v>
      </c>
      <c r="D2086" t="s">
        <v>24</v>
      </c>
      <c r="E2086" s="13" t="s">
        <v>405</v>
      </c>
      <c r="G2086">
        <v>2</v>
      </c>
      <c r="H2086">
        <v>1000</v>
      </c>
      <c r="I2086">
        <v>2</v>
      </c>
      <c r="J2086" cm="1">
        <f t="array" ref="J2086">_xlfn.SWITCH(B2086,1,75,2,61,3,49,4,37,5,25,6,13,7,4,8,1)</f>
        <v>25</v>
      </c>
      <c r="K2086" t="str" cm="1">
        <f t="array" ref="K2086">IFERROR(_xlfn.SWITCH(L2086,2,_xlfn.XLOOKUP(C2086,[1]ModifierDes!$B:$B,[1]ModifierDes!$C:$C),3,_xlfn.XLOOKUP(C2086,[1]StuntDes!$B:$B,[1]StuntDes!$C:$C)),"")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407</v>
      </c>
      <c r="D2087" t="s">
        <v>24</v>
      </c>
      <c r="E2087" s="13" t="s">
        <v>405</v>
      </c>
      <c r="G2087">
        <v>2</v>
      </c>
      <c r="H2087">
        <v>25</v>
      </c>
      <c r="I2087">
        <v>2</v>
      </c>
      <c r="J2087" cm="1">
        <f t="array" ref="J2087">_xlfn.SWITCH(B2087,1,75,2,61,3,49,4,37,5,25,6,13,7,4,8,1)</f>
        <v>75</v>
      </c>
      <c r="K2087" t="str" cm="1">
        <f t="array" ref="K2087">IFERROR(_xlfn.SWITCH(L2087,2,_xlfn.XLOOKUP(C2087,[1]ModifierDes!$B:$B,[1]ModifierDes!$C:$C),3,_xlfn.XLOOKUP(C2087,[1]StuntDes!$B:$B,[1]StuntDes!$C:$C)),"")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407</v>
      </c>
      <c r="D2088" t="s">
        <v>24</v>
      </c>
      <c r="E2088" s="13" t="s">
        <v>405</v>
      </c>
      <c r="G2088">
        <v>2</v>
      </c>
      <c r="H2088">
        <v>100</v>
      </c>
      <c r="I2088">
        <v>2</v>
      </c>
      <c r="J2088" cm="1">
        <f t="array" ref="J2088">_xlfn.SWITCH(B2088,1,75,2,61,3,49,4,37,5,25,6,13,7,4,8,1)</f>
        <v>61</v>
      </c>
      <c r="K2088" t="str" cm="1">
        <f t="array" ref="K2088">IFERROR(_xlfn.SWITCH(L2088,2,_xlfn.XLOOKUP(C2088,[1]ModifierDes!$B:$B,[1]ModifierDes!$C:$C),3,_xlfn.XLOOKUP(C2088,[1]StuntDes!$B:$B,[1]StuntDes!$C:$C)),"")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407</v>
      </c>
      <c r="D2089" t="s">
        <v>24</v>
      </c>
      <c r="E2089" s="13" t="s">
        <v>405</v>
      </c>
      <c r="G2089">
        <v>2</v>
      </c>
      <c r="H2089">
        <v>400</v>
      </c>
      <c r="I2089">
        <v>2</v>
      </c>
      <c r="J2089" cm="1">
        <f t="array" ref="J2089">_xlfn.SWITCH(B2089,1,75,2,61,3,49,4,37,5,25,6,13,7,4,8,1)</f>
        <v>49</v>
      </c>
      <c r="K2089" t="str" cm="1">
        <f t="array" ref="K2089">IFERROR(_xlfn.SWITCH(L2089,2,_xlfn.XLOOKUP(C2089,[1]ModifierDes!$B:$B,[1]ModifierDes!$C:$C),3,_xlfn.XLOOKUP(C2089,[1]StuntDes!$B:$B,[1]StuntDes!$C:$C)),"")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407</v>
      </c>
      <c r="D2090" t="s">
        <v>24</v>
      </c>
      <c r="E2090" s="13" t="s">
        <v>405</v>
      </c>
      <c r="G2090">
        <v>2</v>
      </c>
      <c r="H2090">
        <v>1000</v>
      </c>
      <c r="I2090">
        <v>2</v>
      </c>
      <c r="J2090" cm="1">
        <f t="array" ref="J2090">_xlfn.SWITCH(B2090,1,75,2,61,3,49,4,37,5,25,6,13,7,4,8,1)</f>
        <v>25</v>
      </c>
      <c r="K2090" t="str" cm="1">
        <f t="array" ref="K2090">IFERROR(_xlfn.SWITCH(L2090,2,_xlfn.XLOOKUP(C2090,[1]ModifierDes!$B:$B,[1]ModifierDes!$C:$C),3,_xlfn.XLOOKUP(C2090,[1]StuntDes!$B:$B,[1]StuntDes!$C:$C)),"")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408</v>
      </c>
      <c r="D2091" t="s">
        <v>24</v>
      </c>
      <c r="E2091" s="13" t="s">
        <v>405</v>
      </c>
      <c r="G2091">
        <v>2</v>
      </c>
      <c r="H2091">
        <v>25</v>
      </c>
      <c r="I2091">
        <v>2</v>
      </c>
      <c r="J2091" cm="1">
        <f t="array" ref="J2091">_xlfn.SWITCH(B2091,1,75,2,61,3,49,4,37,5,25,6,13,7,4,8,1)</f>
        <v>75</v>
      </c>
      <c r="K2091" t="str" cm="1">
        <f t="array" ref="K2091">IFERROR(_xlfn.SWITCH(L2091,2,_xlfn.XLOOKUP(C2091,[1]ModifierDes!$B:$B,[1]ModifierDes!$C:$C),3,_xlfn.XLOOKUP(C2091,[1]StuntDes!$B:$B,[1]StuntDes!$C:$C)),"")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408</v>
      </c>
      <c r="D2092" t="s">
        <v>24</v>
      </c>
      <c r="E2092" s="13" t="s">
        <v>405</v>
      </c>
      <c r="G2092">
        <v>2</v>
      </c>
      <c r="H2092">
        <v>100</v>
      </c>
      <c r="I2092">
        <v>2</v>
      </c>
      <c r="J2092" cm="1">
        <f t="array" ref="J2092">_xlfn.SWITCH(B2092,1,75,2,61,3,49,4,37,5,25,6,13,7,4,8,1)</f>
        <v>61</v>
      </c>
      <c r="K2092" t="str" cm="1">
        <f t="array" ref="K2092">IFERROR(_xlfn.SWITCH(L2092,2,_xlfn.XLOOKUP(C2092,[1]ModifierDes!$B:$B,[1]ModifierDes!$C:$C),3,_xlfn.XLOOKUP(C2092,[1]StuntDes!$B:$B,[1]StuntDes!$C:$C)),"")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408</v>
      </c>
      <c r="D2093" t="s">
        <v>24</v>
      </c>
      <c r="E2093" s="13" t="s">
        <v>405</v>
      </c>
      <c r="G2093">
        <v>2</v>
      </c>
      <c r="H2093">
        <v>400</v>
      </c>
      <c r="I2093">
        <v>2</v>
      </c>
      <c r="J2093" cm="1">
        <f t="array" ref="J2093">_xlfn.SWITCH(B2093,1,75,2,61,3,49,4,37,5,25,6,13,7,4,8,1)</f>
        <v>49</v>
      </c>
      <c r="K2093" t="str" cm="1">
        <f t="array" ref="K2093">IFERROR(_xlfn.SWITCH(L2093,2,_xlfn.XLOOKUP(C2093,[1]ModifierDes!$B:$B,[1]ModifierDes!$C:$C),3,_xlfn.XLOOKUP(C2093,[1]StuntDes!$B:$B,[1]StuntDes!$C:$C)),"")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408</v>
      </c>
      <c r="D2094" t="s">
        <v>24</v>
      </c>
      <c r="E2094" s="13" t="s">
        <v>405</v>
      </c>
      <c r="G2094">
        <v>2</v>
      </c>
      <c r="H2094">
        <v>1000</v>
      </c>
      <c r="I2094">
        <v>2</v>
      </c>
      <c r="J2094" cm="1">
        <f t="array" ref="J2094">_xlfn.SWITCH(B2094,1,75,2,61,3,49,4,37,5,25,6,13,7,4,8,1)</f>
        <v>25</v>
      </c>
      <c r="K2094" t="str" cm="1">
        <f t="array" ref="K2094">IFERROR(_xlfn.SWITCH(L2094,2,_xlfn.XLOOKUP(C2094,[1]ModifierDes!$B:$B,[1]ModifierDes!$C:$C),3,_xlfn.XLOOKUP(C2094,[1]StuntDes!$B:$B,[1]StuntDes!$C:$C)),"")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409</v>
      </c>
      <c r="D2095" t="s">
        <v>24</v>
      </c>
      <c r="E2095" s="13" t="s">
        <v>405</v>
      </c>
      <c r="G2095">
        <v>2</v>
      </c>
      <c r="H2095">
        <v>25</v>
      </c>
      <c r="I2095">
        <v>2</v>
      </c>
      <c r="J2095" cm="1">
        <f t="array" ref="J2095">_xlfn.SWITCH(B2095,1,75,2,61,3,49,4,37,5,25,6,13,7,4,8,1)</f>
        <v>75</v>
      </c>
      <c r="K2095" t="str" cm="1">
        <f t="array" ref="K2095">IFERROR(_xlfn.SWITCH(L2095,2,_xlfn.XLOOKUP(C2095,[1]ModifierDes!$B:$B,[1]ModifierDes!$C:$C),3,_xlfn.XLOOKUP(C2095,[1]StuntDes!$B:$B,[1]StuntDes!$C:$C)),"")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409</v>
      </c>
      <c r="D2096" t="s">
        <v>24</v>
      </c>
      <c r="E2096" s="13" t="s">
        <v>405</v>
      </c>
      <c r="G2096">
        <v>2</v>
      </c>
      <c r="H2096">
        <v>100</v>
      </c>
      <c r="I2096">
        <v>2</v>
      </c>
      <c r="J2096" cm="1">
        <f t="array" ref="J2096">_xlfn.SWITCH(B2096,1,75,2,61,3,49,4,37,5,25,6,13,7,4,8,1)</f>
        <v>61</v>
      </c>
      <c r="K2096" t="str" cm="1">
        <f t="array" ref="K2096">IFERROR(_xlfn.SWITCH(L2096,2,_xlfn.XLOOKUP(C2096,[1]ModifierDes!$B:$B,[1]ModifierDes!$C:$C),3,_xlfn.XLOOKUP(C2096,[1]StuntDes!$B:$B,[1]StuntDes!$C:$C)),"")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409</v>
      </c>
      <c r="D2097" t="s">
        <v>24</v>
      </c>
      <c r="E2097" s="13" t="s">
        <v>405</v>
      </c>
      <c r="G2097">
        <v>2</v>
      </c>
      <c r="H2097">
        <v>400</v>
      </c>
      <c r="I2097">
        <v>2</v>
      </c>
      <c r="J2097" cm="1">
        <f t="array" ref="J2097">_xlfn.SWITCH(B2097,1,75,2,61,3,49,4,37,5,25,6,13,7,4,8,1)</f>
        <v>49</v>
      </c>
      <c r="K2097" t="str" cm="1">
        <f t="array" ref="K2097">IFERROR(_xlfn.SWITCH(L2097,2,_xlfn.XLOOKUP(C2097,[1]ModifierDes!$B:$B,[1]ModifierDes!$C:$C),3,_xlfn.XLOOKUP(C2097,[1]StuntDes!$B:$B,[1]StuntDes!$C:$C)),"")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409</v>
      </c>
      <c r="D2098" t="s">
        <v>24</v>
      </c>
      <c r="E2098" s="13" t="s">
        <v>405</v>
      </c>
      <c r="G2098">
        <v>2</v>
      </c>
      <c r="H2098">
        <v>1000</v>
      </c>
      <c r="I2098">
        <v>2</v>
      </c>
      <c r="J2098" cm="1">
        <f t="array" ref="J2098">_xlfn.SWITCH(B2098,1,75,2,61,3,49,4,37,5,25,6,13,7,4,8,1)</f>
        <v>25</v>
      </c>
      <c r="K2098" t="str" cm="1">
        <f t="array" ref="K2098">IFERROR(_xlfn.SWITCH(L2098,2,_xlfn.XLOOKUP(C2098,[1]ModifierDes!$B:$B,[1]ModifierDes!$C:$C),3,_xlfn.XLOOKUP(C2098,[1]StuntDes!$B:$B,[1]StuntDes!$C:$C)),"")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410</v>
      </c>
      <c r="D2099" t="s">
        <v>24</v>
      </c>
      <c r="E2099" s="13" t="s">
        <v>405</v>
      </c>
      <c r="G2099">
        <v>2</v>
      </c>
      <c r="H2099">
        <v>25</v>
      </c>
      <c r="I2099">
        <v>2</v>
      </c>
      <c r="J2099" cm="1">
        <f t="array" ref="J2099">_xlfn.SWITCH(B2099,1,75,2,61,3,49,4,37,5,25,6,13,7,4,8,1)</f>
        <v>75</v>
      </c>
      <c r="K2099" t="str" cm="1">
        <f t="array" ref="K2099">IFERROR(_xlfn.SWITCH(L2099,2,_xlfn.XLOOKUP(C2099,[1]ModifierDes!$B:$B,[1]ModifierDes!$C:$C),3,_xlfn.XLOOKUP(C2099,[1]StuntDes!$B:$B,[1]StuntDes!$C:$C)),"")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410</v>
      </c>
      <c r="D2100" t="s">
        <v>24</v>
      </c>
      <c r="E2100" s="13" t="s">
        <v>405</v>
      </c>
      <c r="G2100">
        <v>2</v>
      </c>
      <c r="H2100">
        <v>100</v>
      </c>
      <c r="I2100">
        <v>2</v>
      </c>
      <c r="J2100" cm="1">
        <f t="array" ref="J2100">_xlfn.SWITCH(B2100,1,75,2,61,3,49,4,37,5,25,6,13,7,4,8,1)</f>
        <v>61</v>
      </c>
      <c r="K2100" t="str" cm="1">
        <f t="array" ref="K2100">IFERROR(_xlfn.SWITCH(L2100,2,_xlfn.XLOOKUP(C2100,[1]ModifierDes!$B:$B,[1]ModifierDes!$C:$C),3,_xlfn.XLOOKUP(C2100,[1]StuntDes!$B:$B,[1]StuntDes!$C:$C)),"")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410</v>
      </c>
      <c r="D2101" t="s">
        <v>24</v>
      </c>
      <c r="E2101" s="13" t="s">
        <v>405</v>
      </c>
      <c r="G2101">
        <v>2</v>
      </c>
      <c r="H2101">
        <v>400</v>
      </c>
      <c r="I2101">
        <v>2</v>
      </c>
      <c r="J2101" cm="1">
        <f t="array" ref="J2101">_xlfn.SWITCH(B2101,1,75,2,61,3,49,4,37,5,25,6,13,7,4,8,1)</f>
        <v>49</v>
      </c>
      <c r="K2101" t="str" cm="1">
        <f t="array" ref="K2101">IFERROR(_xlfn.SWITCH(L2101,2,_xlfn.XLOOKUP(C2101,[1]ModifierDes!$B:$B,[1]ModifierDes!$C:$C),3,_xlfn.XLOOKUP(C2101,[1]StuntDes!$B:$B,[1]StuntDes!$C:$C)),"")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410</v>
      </c>
      <c r="D2102" t="s">
        <v>24</v>
      </c>
      <c r="E2102" s="13" t="s">
        <v>405</v>
      </c>
      <c r="G2102">
        <v>2</v>
      </c>
      <c r="H2102">
        <v>1000</v>
      </c>
      <c r="I2102">
        <v>2</v>
      </c>
      <c r="J2102" cm="1">
        <f t="array" ref="J2102">_xlfn.SWITCH(B2102,1,75,2,61,3,49,4,37,5,25,6,13,7,4,8,1)</f>
        <v>25</v>
      </c>
      <c r="K2102" t="str" cm="1">
        <f t="array" ref="K2102">IFERROR(_xlfn.SWITCH(L2102,2,_xlfn.XLOOKUP(C2102,[1]ModifierDes!$B:$B,[1]ModifierDes!$C:$C),3,_xlfn.XLOOKUP(C2102,[1]StuntDes!$B:$B,[1]StuntDes!$C:$C)),"")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437</v>
      </c>
      <c r="D2103" t="s">
        <v>24</v>
      </c>
      <c r="E2103" s="13" t="s">
        <v>405</v>
      </c>
      <c r="G2103">
        <v>2</v>
      </c>
      <c r="H2103">
        <v>100</v>
      </c>
      <c r="J2103" cm="1">
        <f t="array" ref="J2103">_xlfn.SWITCH(B2103,1,75,2,61,3,49,4,37,5,25,6,13,7,4,8,1)</f>
        <v>75</v>
      </c>
      <c r="K2103" t="str" cm="1">
        <f t="array" ref="K2103">IFERROR(_xlfn.SWITCH(L2103,2,_xlfn.XLOOKUP(C2103,[1]ModifierDes!$B:$B,[1]ModifierDes!$C:$C),3,_xlfn.XLOOKUP(C2103,[1]StuntDes!$B:$B,[1]StuntDes!$C:$C)),"")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437</v>
      </c>
      <c r="D2104" t="s">
        <v>24</v>
      </c>
      <c r="E2104" s="13" t="s">
        <v>405</v>
      </c>
      <c r="G2104">
        <v>2</v>
      </c>
      <c r="H2104">
        <v>200</v>
      </c>
      <c r="J2104" cm="1">
        <f t="array" ref="J2104">_xlfn.SWITCH(B2104,1,75,2,61,3,49,4,37,5,25,6,13,7,4,8,1)</f>
        <v>61</v>
      </c>
      <c r="K2104" t="str" cm="1">
        <f t="array" ref="K2104">IFERROR(_xlfn.SWITCH(L2104,2,_xlfn.XLOOKUP(C2104,[1]ModifierDes!$B:$B,[1]ModifierDes!$C:$C),3,_xlfn.XLOOKUP(C2104,[1]StuntDes!$B:$B,[1]StuntDes!$C:$C)),"")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437</v>
      </c>
      <c r="D2105" t="s">
        <v>24</v>
      </c>
      <c r="E2105" s="13" t="s">
        <v>405</v>
      </c>
      <c r="G2105">
        <v>2</v>
      </c>
      <c r="H2105">
        <v>400</v>
      </c>
      <c r="J2105" cm="1">
        <f t="array" ref="J2105">_xlfn.SWITCH(B2105,1,75,2,61,3,49,4,37,5,25,6,13,7,4,8,1)</f>
        <v>49</v>
      </c>
      <c r="K2105" t="str" cm="1">
        <f t="array" ref="K2105">IFERROR(_xlfn.SWITCH(L2105,2,_xlfn.XLOOKUP(C2105,[1]ModifierDes!$B:$B,[1]ModifierDes!$C:$C),3,_xlfn.XLOOKUP(C2105,[1]StuntDes!$B:$B,[1]StuntDes!$C:$C)),"")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437</v>
      </c>
      <c r="D2106" t="s">
        <v>24</v>
      </c>
      <c r="E2106" s="13" t="s">
        <v>405</v>
      </c>
      <c r="G2106">
        <v>2</v>
      </c>
      <c r="H2106">
        <v>600</v>
      </c>
      <c r="J2106" cm="1">
        <f t="array" ref="J2106">_xlfn.SWITCH(B2106,1,75,2,61,3,49,4,37,5,25,6,13,7,4,8,1)</f>
        <v>37</v>
      </c>
      <c r="K2106" t="str" cm="1">
        <f t="array" ref="K2106">IFERROR(_xlfn.SWITCH(L2106,2,_xlfn.XLOOKUP(C2106,[1]ModifierDes!$B:$B,[1]ModifierDes!$C:$C),3,_xlfn.XLOOKUP(C2106,[1]StuntDes!$B:$B,[1]StuntDes!$C:$C)),"")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437</v>
      </c>
      <c r="D2107" t="s">
        <v>24</v>
      </c>
      <c r="E2107" s="13" t="s">
        <v>405</v>
      </c>
      <c r="G2107">
        <v>2</v>
      </c>
      <c r="H2107">
        <v>800</v>
      </c>
      <c r="J2107" cm="1">
        <f t="array" ref="J2107">_xlfn.SWITCH(B2107,1,75,2,61,3,49,4,37,5,25,6,13,7,4,8,1)</f>
        <v>25</v>
      </c>
      <c r="K2107" t="str" cm="1">
        <f t="array" ref="K2107">IFERROR(_xlfn.SWITCH(L2107,2,_xlfn.XLOOKUP(C2107,[1]ModifierDes!$B:$B,[1]ModifierDes!$C:$C),3,_xlfn.XLOOKUP(C2107,[1]StuntDes!$B:$B,[1]StuntDes!$C:$C)),"")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437</v>
      </c>
      <c r="D2108" t="s">
        <v>24</v>
      </c>
      <c r="E2108" s="13" t="s">
        <v>405</v>
      </c>
      <c r="G2108">
        <v>2</v>
      </c>
      <c r="H2108">
        <v>1000</v>
      </c>
      <c r="J2108" cm="1">
        <f t="array" ref="J2108">_xlfn.SWITCH(B2108,1,75,2,61,3,49,4,37,5,25,6,13,7,4,8,1)</f>
        <v>13</v>
      </c>
      <c r="K2108" t="str" cm="1">
        <f t="array" ref="K2108">IFERROR(_xlfn.SWITCH(L2108,2,_xlfn.XLOOKUP(C2108,[1]ModifierDes!$B:$B,[1]ModifierDes!$C:$C),3,_xlfn.XLOOKUP(C2108,[1]StuntDes!$B:$B,[1]StuntDes!$C:$C)),"")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437</v>
      </c>
      <c r="D2109" t="s">
        <v>24</v>
      </c>
      <c r="E2109" s="13" t="s">
        <v>405</v>
      </c>
      <c r="G2109">
        <v>2</v>
      </c>
      <c r="H2109">
        <v>1000</v>
      </c>
      <c r="J2109" cm="1">
        <f t="array" ref="J2109">_xlfn.SWITCH(B2109,1,75,2,61,3,49,4,37,5,25,6,13,7,4,8,1)</f>
        <v>4</v>
      </c>
      <c r="K2109" t="str" cm="1">
        <f t="array" ref="K2109">IFERROR(_xlfn.SWITCH(L2109,2,_xlfn.XLOOKUP(C2109,[1]ModifierDes!$B:$B,[1]ModifierDes!$C:$C),3,_xlfn.XLOOKUP(C2109,[1]StuntDes!$B:$B,[1]StuntDes!$C:$C)),"")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437</v>
      </c>
      <c r="D2110" t="s">
        <v>24</v>
      </c>
      <c r="E2110" s="13" t="s">
        <v>405</v>
      </c>
      <c r="G2110">
        <v>2</v>
      </c>
      <c r="H2110">
        <v>1000</v>
      </c>
      <c r="J2110" cm="1">
        <f t="array" ref="J2110">_xlfn.SWITCH(B2110,1,75,2,61,3,49,4,37,5,25,6,13,7,4,8,1)</f>
        <v>1</v>
      </c>
      <c r="K2110" t="str" cm="1">
        <f t="array" ref="K2110">IFERROR(_xlfn.SWITCH(L2110,2,_xlfn.XLOOKUP(C2110,[1]ModifierDes!$B:$B,[1]ModifierDes!$C:$C),3,_xlfn.XLOOKUP(C2110,[1]StuntDes!$B:$B,[1]StuntDes!$C:$C)),"")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438</v>
      </c>
      <c r="D2111" t="s">
        <v>24</v>
      </c>
      <c r="E2111" s="13" t="s">
        <v>405</v>
      </c>
      <c r="G2111">
        <v>2</v>
      </c>
      <c r="H2111">
        <v>100</v>
      </c>
      <c r="J2111" cm="1">
        <f t="array" ref="J2111">_xlfn.SWITCH(B2111,1,75,2,61,3,49,4,37,5,25,6,13,7,4,8,1)</f>
        <v>75</v>
      </c>
      <c r="K2111" t="str" cm="1">
        <f t="array" ref="K2111">IFERROR(_xlfn.SWITCH(L2111,2,_xlfn.XLOOKUP(C2111,[1]ModifierDes!$B:$B,[1]ModifierDes!$C:$C),3,_xlfn.XLOOKUP(C2111,[1]StuntDes!$B:$B,[1]StuntDes!$C:$C)),"")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438</v>
      </c>
      <c r="D2112" t="s">
        <v>24</v>
      </c>
      <c r="E2112" s="13" t="s">
        <v>405</v>
      </c>
      <c r="G2112">
        <v>2</v>
      </c>
      <c r="H2112">
        <v>200</v>
      </c>
      <c r="J2112" cm="1">
        <f t="array" ref="J2112">_xlfn.SWITCH(B2112,1,75,2,61,3,49,4,37,5,25,6,13,7,4,8,1)</f>
        <v>61</v>
      </c>
      <c r="K2112" t="str" cm="1">
        <f t="array" ref="K2112">IFERROR(_xlfn.SWITCH(L2112,2,_xlfn.XLOOKUP(C2112,[1]ModifierDes!$B:$B,[1]ModifierDes!$C:$C),3,_xlfn.XLOOKUP(C2112,[1]StuntDes!$B:$B,[1]StuntDes!$C:$C)),"")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438</v>
      </c>
      <c r="D2113" t="s">
        <v>24</v>
      </c>
      <c r="E2113" s="13" t="s">
        <v>405</v>
      </c>
      <c r="G2113">
        <v>2</v>
      </c>
      <c r="H2113">
        <v>400</v>
      </c>
      <c r="J2113" cm="1">
        <f t="array" ref="J2113">_xlfn.SWITCH(B2113,1,75,2,61,3,49,4,37,5,25,6,13,7,4,8,1)</f>
        <v>49</v>
      </c>
      <c r="K2113" t="str" cm="1">
        <f t="array" ref="K2113">IFERROR(_xlfn.SWITCH(L2113,2,_xlfn.XLOOKUP(C2113,[1]ModifierDes!$B:$B,[1]ModifierDes!$C:$C),3,_xlfn.XLOOKUP(C2113,[1]StuntDes!$B:$B,[1]StuntDes!$C:$C)),"")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438</v>
      </c>
      <c r="D2114" t="s">
        <v>24</v>
      </c>
      <c r="E2114" s="13" t="s">
        <v>405</v>
      </c>
      <c r="G2114">
        <v>2</v>
      </c>
      <c r="H2114">
        <v>600</v>
      </c>
      <c r="J2114" cm="1">
        <f t="array" ref="J2114">_xlfn.SWITCH(B2114,1,75,2,61,3,49,4,37,5,25,6,13,7,4,8,1)</f>
        <v>37</v>
      </c>
      <c r="K2114" t="str" cm="1">
        <f t="array" ref="K2114">IFERROR(_xlfn.SWITCH(L2114,2,_xlfn.XLOOKUP(C2114,[1]ModifierDes!$B:$B,[1]ModifierDes!$C:$C),3,_xlfn.XLOOKUP(C2114,[1]StuntDes!$B:$B,[1]StuntDes!$C:$C)),"")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438</v>
      </c>
      <c r="D2115" t="s">
        <v>24</v>
      </c>
      <c r="E2115" s="13" t="s">
        <v>405</v>
      </c>
      <c r="G2115">
        <v>2</v>
      </c>
      <c r="H2115">
        <v>800</v>
      </c>
      <c r="J2115" cm="1">
        <f t="array" ref="J2115">_xlfn.SWITCH(B2115,1,75,2,61,3,49,4,37,5,25,6,13,7,4,8,1)</f>
        <v>25</v>
      </c>
      <c r="K2115" t="str" cm="1">
        <f t="array" ref="K2115">IFERROR(_xlfn.SWITCH(L2115,2,_xlfn.XLOOKUP(C2115,[1]ModifierDes!$B:$B,[1]ModifierDes!$C:$C),3,_xlfn.XLOOKUP(C2115,[1]StuntDes!$B:$B,[1]StuntDes!$C:$C)),"")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438</v>
      </c>
      <c r="D2116" t="s">
        <v>24</v>
      </c>
      <c r="E2116" s="13" t="s">
        <v>405</v>
      </c>
      <c r="G2116">
        <v>2</v>
      </c>
      <c r="H2116">
        <v>1000</v>
      </c>
      <c r="J2116" cm="1">
        <f t="array" ref="J2116">_xlfn.SWITCH(B2116,1,75,2,61,3,49,4,37,5,25,6,13,7,4,8,1)</f>
        <v>13</v>
      </c>
      <c r="K2116" t="str" cm="1">
        <f t="array" ref="K2116">IFERROR(_xlfn.SWITCH(L2116,2,_xlfn.XLOOKUP(C2116,[1]ModifierDes!$B:$B,[1]ModifierDes!$C:$C),3,_xlfn.XLOOKUP(C2116,[1]StuntDes!$B:$B,[1]StuntDes!$C:$C)),"")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438</v>
      </c>
      <c r="D2117" t="s">
        <v>24</v>
      </c>
      <c r="E2117" s="13" t="s">
        <v>405</v>
      </c>
      <c r="G2117">
        <v>2</v>
      </c>
      <c r="H2117">
        <v>1000</v>
      </c>
      <c r="J2117" cm="1">
        <f t="array" ref="J2117">_xlfn.SWITCH(B2117,1,75,2,61,3,49,4,37,5,25,6,13,7,4,8,1)</f>
        <v>4</v>
      </c>
      <c r="K2117" t="str" cm="1">
        <f t="array" ref="K2117">IFERROR(_xlfn.SWITCH(L2117,2,_xlfn.XLOOKUP(C2117,[1]ModifierDes!$B:$B,[1]ModifierDes!$C:$C),3,_xlfn.XLOOKUP(C2117,[1]StuntDes!$B:$B,[1]StuntDes!$C:$C)),"")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438</v>
      </c>
      <c r="D2118" t="s">
        <v>24</v>
      </c>
      <c r="E2118" s="13" t="s">
        <v>405</v>
      </c>
      <c r="G2118">
        <v>2</v>
      </c>
      <c r="H2118">
        <v>1000</v>
      </c>
      <c r="J2118" cm="1">
        <f t="array" ref="J2118">_xlfn.SWITCH(B2118,1,75,2,61,3,49,4,37,5,25,6,13,7,4,8,1)</f>
        <v>1</v>
      </c>
      <c r="K2118" t="str" cm="1">
        <f t="array" ref="K2118">IFERROR(_xlfn.SWITCH(L2118,2,_xlfn.XLOOKUP(C2118,[1]ModifierDes!$B:$B,[1]ModifierDes!$C:$C),3,_xlfn.XLOOKUP(C2118,[1]StuntDes!$B:$B,[1]StuntDes!$C:$C)),"")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443</v>
      </c>
      <c r="D2119" t="s">
        <v>24</v>
      </c>
      <c r="E2119" s="13" t="s">
        <v>405</v>
      </c>
      <c r="G2119">
        <v>2</v>
      </c>
      <c r="H2119">
        <v>100</v>
      </c>
      <c r="J2119" cm="1">
        <f t="array" ref="J2119">_xlfn.SWITCH(B2119,1,75,2,61,3,49,4,37,5,25,6,13,7,4,8,1)</f>
        <v>75</v>
      </c>
      <c r="K2119" t="str" cm="1">
        <f t="array" ref="K2119">IFERROR(_xlfn.SWITCH(L2119,2,_xlfn.XLOOKUP(C2119,[1]ModifierDes!$B:$B,[1]ModifierDes!$C:$C),3,_xlfn.XLOOKUP(C2119,[1]StuntDes!$B:$B,[1]StuntDes!$C:$C)),"")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443</v>
      </c>
      <c r="D2120" t="s">
        <v>24</v>
      </c>
      <c r="E2120" s="13" t="s">
        <v>405</v>
      </c>
      <c r="G2120">
        <v>2</v>
      </c>
      <c r="H2120">
        <v>200</v>
      </c>
      <c r="J2120" cm="1">
        <f t="array" ref="J2120">_xlfn.SWITCH(B2120,1,75,2,61,3,49,4,37,5,25,6,13,7,4,8,1)</f>
        <v>61</v>
      </c>
      <c r="K2120" t="str" cm="1">
        <f t="array" ref="K2120">IFERROR(_xlfn.SWITCH(L2120,2,_xlfn.XLOOKUP(C2120,[1]ModifierDes!$B:$B,[1]ModifierDes!$C:$C),3,_xlfn.XLOOKUP(C2120,[1]StuntDes!$B:$B,[1]StuntDes!$C:$C)),"")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443</v>
      </c>
      <c r="D2121" t="s">
        <v>24</v>
      </c>
      <c r="E2121" s="13" t="s">
        <v>405</v>
      </c>
      <c r="G2121">
        <v>2</v>
      </c>
      <c r="H2121">
        <v>400</v>
      </c>
      <c r="J2121" cm="1">
        <f t="array" ref="J2121">_xlfn.SWITCH(B2121,1,75,2,61,3,49,4,37,5,25,6,13,7,4,8,1)</f>
        <v>49</v>
      </c>
      <c r="K2121" t="str" cm="1">
        <f t="array" ref="K2121">IFERROR(_xlfn.SWITCH(L2121,2,_xlfn.XLOOKUP(C2121,[1]ModifierDes!$B:$B,[1]ModifierDes!$C:$C),3,_xlfn.XLOOKUP(C2121,[1]StuntDes!$B:$B,[1]StuntDes!$C:$C)),"")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443</v>
      </c>
      <c r="D2122" t="s">
        <v>24</v>
      </c>
      <c r="E2122" s="13" t="s">
        <v>405</v>
      </c>
      <c r="G2122">
        <v>2</v>
      </c>
      <c r="H2122">
        <v>600</v>
      </c>
      <c r="J2122" cm="1">
        <f t="array" ref="J2122">_xlfn.SWITCH(B2122,1,75,2,61,3,49,4,37,5,25,6,13,7,4,8,1)</f>
        <v>37</v>
      </c>
      <c r="K2122" t="str" cm="1">
        <f t="array" ref="K2122">IFERROR(_xlfn.SWITCH(L2122,2,_xlfn.XLOOKUP(C2122,[1]ModifierDes!$B:$B,[1]ModifierDes!$C:$C),3,_xlfn.XLOOKUP(C2122,[1]StuntDes!$B:$B,[1]StuntDes!$C:$C)),"")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443</v>
      </c>
      <c r="D2123" t="s">
        <v>24</v>
      </c>
      <c r="E2123" s="13" t="s">
        <v>405</v>
      </c>
      <c r="G2123">
        <v>2</v>
      </c>
      <c r="H2123">
        <v>800</v>
      </c>
      <c r="J2123" cm="1">
        <f t="array" ref="J2123">_xlfn.SWITCH(B2123,1,75,2,61,3,49,4,37,5,25,6,13,7,4,8,1)</f>
        <v>25</v>
      </c>
      <c r="K2123" t="str" cm="1">
        <f t="array" ref="K2123">IFERROR(_xlfn.SWITCH(L2123,2,_xlfn.XLOOKUP(C2123,[1]ModifierDes!$B:$B,[1]ModifierDes!$C:$C),3,_xlfn.XLOOKUP(C2123,[1]StuntDes!$B:$B,[1]StuntDes!$C:$C)),"")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443</v>
      </c>
      <c r="D2124" t="s">
        <v>24</v>
      </c>
      <c r="E2124" s="13" t="s">
        <v>405</v>
      </c>
      <c r="G2124">
        <v>2</v>
      </c>
      <c r="H2124">
        <v>1000</v>
      </c>
      <c r="J2124" cm="1">
        <f t="array" ref="J2124">_xlfn.SWITCH(B2124,1,75,2,61,3,49,4,37,5,25,6,13,7,4,8,1)</f>
        <v>13</v>
      </c>
      <c r="K2124" t="str" cm="1">
        <f t="array" ref="K2124">IFERROR(_xlfn.SWITCH(L2124,2,_xlfn.XLOOKUP(C2124,[1]ModifierDes!$B:$B,[1]ModifierDes!$C:$C),3,_xlfn.XLOOKUP(C2124,[1]StuntDes!$B:$B,[1]StuntDes!$C:$C)),"")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443</v>
      </c>
      <c r="D2125" t="s">
        <v>24</v>
      </c>
      <c r="E2125" s="13" t="s">
        <v>405</v>
      </c>
      <c r="G2125">
        <v>2</v>
      </c>
      <c r="H2125">
        <v>1000</v>
      </c>
      <c r="J2125" cm="1">
        <f t="array" ref="J2125">_xlfn.SWITCH(B2125,1,75,2,61,3,49,4,37,5,25,6,13,7,4,8,1)</f>
        <v>4</v>
      </c>
      <c r="K2125" t="str" cm="1">
        <f t="array" ref="K2125">IFERROR(_xlfn.SWITCH(L2125,2,_xlfn.XLOOKUP(C2125,[1]ModifierDes!$B:$B,[1]ModifierDes!$C:$C),3,_xlfn.XLOOKUP(C2125,[1]StuntDes!$B:$B,[1]StuntDes!$C:$C)),"")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443</v>
      </c>
      <c r="D2126" t="s">
        <v>24</v>
      </c>
      <c r="E2126" s="13" t="s">
        <v>405</v>
      </c>
      <c r="G2126">
        <v>2</v>
      </c>
      <c r="H2126">
        <v>1000</v>
      </c>
      <c r="J2126" cm="1">
        <f t="array" ref="J2126">_xlfn.SWITCH(B2126,1,75,2,61,3,49,4,37,5,25,6,13,7,4,8,1)</f>
        <v>1</v>
      </c>
      <c r="K2126" t="str" cm="1">
        <f t="array" ref="K2126">IFERROR(_xlfn.SWITCH(L2126,2,_xlfn.XLOOKUP(C2126,[1]ModifierDes!$B:$B,[1]ModifierDes!$C:$C),3,_xlfn.XLOOKUP(C2126,[1]StuntDes!$B:$B,[1]StuntDes!$C:$C)),"")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414</v>
      </c>
      <c r="D2127" t="s">
        <v>24</v>
      </c>
      <c r="E2127" s="13" t="s">
        <v>405</v>
      </c>
      <c r="G2127">
        <v>2</v>
      </c>
      <c r="H2127">
        <v>1000</v>
      </c>
      <c r="J2127" cm="1">
        <f t="array" ref="J2127">_xlfn.SWITCH(B2127,1,75,2,61,3,49,4,37,5,25,6,13,7,4,8,1)</f>
        <v>75</v>
      </c>
      <c r="K2127" t="str" cm="1">
        <f t="array" ref="K2127">IFERROR(_xlfn.SWITCH(L2127,2,_xlfn.XLOOKUP(C2127,[1]ModifierDes!$B:$B,[1]ModifierDes!$C:$C),3,_xlfn.XLOOKUP(C2127,[1]StuntDes!$B:$B,[1]StuntDes!$C:$C)),"")</f>
        <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414</v>
      </c>
      <c r="D2128" t="s">
        <v>24</v>
      </c>
      <c r="E2128" s="13" t="s">
        <v>405</v>
      </c>
      <c r="G2128">
        <v>2</v>
      </c>
      <c r="H2128">
        <v>1000</v>
      </c>
      <c r="J2128" cm="1">
        <f t="array" ref="J2128">_xlfn.SWITCH(B2128,1,75,2,61,3,49,4,37,5,25,6,13,7,4,8,1)</f>
        <v>61</v>
      </c>
      <c r="K2128" t="str" cm="1">
        <f t="array" ref="K2128">IFERROR(_xlfn.SWITCH(L2128,2,_xlfn.XLOOKUP(C2128,[1]ModifierDes!$B:$B,[1]ModifierDes!$C:$C),3,_xlfn.XLOOKUP(C2128,[1]StuntDes!$B:$B,[1]StuntDes!$C:$C)),"")</f>
        <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414</v>
      </c>
      <c r="D2129" t="s">
        <v>24</v>
      </c>
      <c r="E2129" s="13" t="s">
        <v>405</v>
      </c>
      <c r="G2129">
        <v>2</v>
      </c>
      <c r="H2129">
        <v>1000</v>
      </c>
      <c r="J2129" cm="1">
        <f t="array" ref="J2129">_xlfn.SWITCH(B2129,1,75,2,61,3,49,4,37,5,25,6,13,7,4,8,1)</f>
        <v>49</v>
      </c>
      <c r="K2129" t="str" cm="1">
        <f t="array" ref="K2129">IFERROR(_xlfn.SWITCH(L2129,2,_xlfn.XLOOKUP(C2129,[1]ModifierDes!$B:$B,[1]ModifierDes!$C:$C),3,_xlfn.XLOOKUP(C2129,[1]StuntDes!$B:$B,[1]StuntDes!$C:$C)),"")</f>
        <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414</v>
      </c>
      <c r="D2130" t="s">
        <v>24</v>
      </c>
      <c r="E2130" s="13" t="s">
        <v>405</v>
      </c>
      <c r="G2130">
        <v>2</v>
      </c>
      <c r="H2130">
        <v>1000</v>
      </c>
      <c r="J2130" cm="1">
        <f t="array" ref="J2130">_xlfn.SWITCH(B2130,1,75,2,61,3,49,4,37,5,25,6,13,7,4,8,1)</f>
        <v>37</v>
      </c>
      <c r="K2130" t="str" cm="1">
        <f t="array" ref="K2130">IFERROR(_xlfn.SWITCH(L2130,2,_xlfn.XLOOKUP(C2130,[1]ModifierDes!$B:$B,[1]ModifierDes!$C:$C),3,_xlfn.XLOOKUP(C2130,[1]StuntDes!$B:$B,[1]StuntDes!$C:$C)),"")</f>
        <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414</v>
      </c>
      <c r="D2131" t="s">
        <v>24</v>
      </c>
      <c r="E2131" s="13" t="s">
        <v>405</v>
      </c>
      <c r="G2131">
        <v>2</v>
      </c>
      <c r="H2131">
        <v>1000</v>
      </c>
      <c r="J2131" cm="1">
        <f t="array" ref="J2131">_xlfn.SWITCH(B2131,1,75,2,61,3,49,4,37,5,25,6,13,7,4,8,1)</f>
        <v>25</v>
      </c>
      <c r="K2131" t="str" cm="1">
        <f t="array" ref="K2131">IFERROR(_xlfn.SWITCH(L2131,2,_xlfn.XLOOKUP(C2131,[1]ModifierDes!$B:$B,[1]ModifierDes!$C:$C),3,_xlfn.XLOOKUP(C2131,[1]StuntDes!$B:$B,[1]StuntDes!$C:$C)),"")</f>
        <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414</v>
      </c>
      <c r="D2132" t="s">
        <v>24</v>
      </c>
      <c r="E2132" s="13" t="s">
        <v>405</v>
      </c>
      <c r="G2132">
        <v>2</v>
      </c>
      <c r="H2132">
        <v>1000</v>
      </c>
      <c r="J2132" cm="1">
        <f t="array" ref="J2132">_xlfn.SWITCH(B2132,1,75,2,61,3,49,4,37,5,25,6,13,7,4,8,1)</f>
        <v>13</v>
      </c>
      <c r="K2132" t="str" cm="1">
        <f t="array" ref="K2132">IFERROR(_xlfn.SWITCH(L2132,2,_xlfn.XLOOKUP(C2132,[1]ModifierDes!$B:$B,[1]ModifierDes!$C:$C),3,_xlfn.XLOOKUP(C2132,[1]StuntDes!$B:$B,[1]StuntDes!$C:$C)),"")</f>
        <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414</v>
      </c>
      <c r="D2133" t="s">
        <v>24</v>
      </c>
      <c r="E2133" s="13" t="s">
        <v>405</v>
      </c>
      <c r="G2133">
        <v>2</v>
      </c>
      <c r="H2133">
        <v>1000</v>
      </c>
      <c r="J2133" cm="1">
        <f t="array" ref="J2133">_xlfn.SWITCH(B2133,1,75,2,61,3,49,4,37,5,25,6,13,7,4,8,1)</f>
        <v>4</v>
      </c>
      <c r="K2133" t="str" cm="1">
        <f t="array" ref="K2133">IFERROR(_xlfn.SWITCH(L2133,2,_xlfn.XLOOKUP(C2133,[1]ModifierDes!$B:$B,[1]ModifierDes!$C:$C),3,_xlfn.XLOOKUP(C2133,[1]StuntDes!$B:$B,[1]StuntDes!$C:$C)),"")</f>
        <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414</v>
      </c>
      <c r="D2134" t="s">
        <v>24</v>
      </c>
      <c r="E2134" s="13" t="s">
        <v>405</v>
      </c>
      <c r="G2134">
        <v>2</v>
      </c>
      <c r="H2134">
        <v>1000</v>
      </c>
      <c r="J2134" cm="1">
        <f t="array" ref="J2134">_xlfn.SWITCH(B2134,1,75,2,61,3,49,4,37,5,25,6,13,7,4,8,1)</f>
        <v>1</v>
      </c>
      <c r="K2134" t="str" cm="1">
        <f t="array" ref="K2134">IFERROR(_xlfn.SWITCH(L2134,2,_xlfn.XLOOKUP(C2134,[1]ModifierDes!$B:$B,[1]ModifierDes!$C:$C),3,_xlfn.XLOOKUP(C2134,[1]StuntDes!$B:$B,[1]StuntDes!$C:$C)),"")</f>
        <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415</v>
      </c>
      <c r="D2135" t="s">
        <v>24</v>
      </c>
      <c r="E2135" s="13" t="s">
        <v>405</v>
      </c>
      <c r="G2135">
        <v>2</v>
      </c>
      <c r="H2135">
        <v>1000</v>
      </c>
      <c r="J2135" cm="1">
        <f t="array" ref="J2135">_xlfn.SWITCH(B2135,1,75,2,61,3,49,4,37,5,25,6,13,7,4,8,1)</f>
        <v>75</v>
      </c>
      <c r="K2135" t="str" cm="1">
        <f t="array" ref="K2135">IFERROR(_xlfn.SWITCH(L2135,2,_xlfn.XLOOKUP(C2135,[1]ModifierDes!$B:$B,[1]ModifierDes!$C:$C),3,_xlfn.XLOOKUP(C2135,[1]StuntDes!$B:$B,[1]StuntDes!$C:$C)),"")</f>
        <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415</v>
      </c>
      <c r="D2136" t="s">
        <v>24</v>
      </c>
      <c r="E2136" s="13" t="s">
        <v>405</v>
      </c>
      <c r="G2136">
        <v>2</v>
      </c>
      <c r="H2136">
        <v>1000</v>
      </c>
      <c r="J2136" cm="1">
        <f t="array" ref="J2136">_xlfn.SWITCH(B2136,1,75,2,61,3,49,4,37,5,25,6,13,7,4,8,1)</f>
        <v>61</v>
      </c>
      <c r="K2136" t="str" cm="1">
        <f t="array" ref="K2136">IFERROR(_xlfn.SWITCH(L2136,2,_xlfn.XLOOKUP(C2136,[1]ModifierDes!$B:$B,[1]ModifierDes!$C:$C),3,_xlfn.XLOOKUP(C2136,[1]StuntDes!$B:$B,[1]StuntDes!$C:$C)),"")</f>
        <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415</v>
      </c>
      <c r="D2137" t="s">
        <v>24</v>
      </c>
      <c r="E2137" s="13" t="s">
        <v>405</v>
      </c>
      <c r="G2137">
        <v>2</v>
      </c>
      <c r="H2137">
        <v>1000</v>
      </c>
      <c r="J2137" cm="1">
        <f t="array" ref="J2137">_xlfn.SWITCH(B2137,1,75,2,61,3,49,4,37,5,25,6,13,7,4,8,1)</f>
        <v>49</v>
      </c>
      <c r="K2137" t="str" cm="1">
        <f t="array" ref="K2137">IFERROR(_xlfn.SWITCH(L2137,2,_xlfn.XLOOKUP(C2137,[1]ModifierDes!$B:$B,[1]ModifierDes!$C:$C),3,_xlfn.XLOOKUP(C2137,[1]StuntDes!$B:$B,[1]StuntDes!$C:$C)),"")</f>
        <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415</v>
      </c>
      <c r="D2138" t="s">
        <v>24</v>
      </c>
      <c r="E2138" s="13" t="s">
        <v>405</v>
      </c>
      <c r="G2138">
        <v>2</v>
      </c>
      <c r="H2138">
        <v>1000</v>
      </c>
      <c r="J2138" cm="1">
        <f t="array" ref="J2138">_xlfn.SWITCH(B2138,1,75,2,61,3,49,4,37,5,25,6,13,7,4,8,1)</f>
        <v>37</v>
      </c>
      <c r="K2138" t="str" cm="1">
        <f t="array" ref="K2138">IFERROR(_xlfn.SWITCH(L2138,2,_xlfn.XLOOKUP(C2138,[1]ModifierDes!$B:$B,[1]ModifierDes!$C:$C),3,_xlfn.XLOOKUP(C2138,[1]StuntDes!$B:$B,[1]StuntDes!$C:$C)),"")</f>
        <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415</v>
      </c>
      <c r="D2139" t="s">
        <v>24</v>
      </c>
      <c r="E2139" s="13" t="s">
        <v>405</v>
      </c>
      <c r="G2139">
        <v>2</v>
      </c>
      <c r="H2139">
        <v>1000</v>
      </c>
      <c r="J2139" cm="1">
        <f t="array" ref="J2139">_xlfn.SWITCH(B2139,1,75,2,61,3,49,4,37,5,25,6,13,7,4,8,1)</f>
        <v>25</v>
      </c>
      <c r="K2139" t="str" cm="1">
        <f t="array" ref="K2139">IFERROR(_xlfn.SWITCH(L2139,2,_xlfn.XLOOKUP(C2139,[1]ModifierDes!$B:$B,[1]ModifierDes!$C:$C),3,_xlfn.XLOOKUP(C2139,[1]StuntDes!$B:$B,[1]StuntDes!$C:$C)),"")</f>
        <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415</v>
      </c>
      <c r="D2140" t="s">
        <v>24</v>
      </c>
      <c r="E2140" s="13" t="s">
        <v>405</v>
      </c>
      <c r="G2140">
        <v>2</v>
      </c>
      <c r="H2140">
        <v>1000</v>
      </c>
      <c r="J2140" cm="1">
        <f t="array" ref="J2140">_xlfn.SWITCH(B2140,1,75,2,61,3,49,4,37,5,25,6,13,7,4,8,1)</f>
        <v>13</v>
      </c>
      <c r="K2140" t="str" cm="1">
        <f t="array" ref="K2140">IFERROR(_xlfn.SWITCH(L2140,2,_xlfn.XLOOKUP(C2140,[1]ModifierDes!$B:$B,[1]ModifierDes!$C:$C),3,_xlfn.XLOOKUP(C2140,[1]StuntDes!$B:$B,[1]StuntDes!$C:$C)),"")</f>
        <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415</v>
      </c>
      <c r="D2141" t="s">
        <v>24</v>
      </c>
      <c r="E2141" s="13" t="s">
        <v>405</v>
      </c>
      <c r="G2141">
        <v>2</v>
      </c>
      <c r="H2141">
        <v>1000</v>
      </c>
      <c r="J2141" cm="1">
        <f t="array" ref="J2141">_xlfn.SWITCH(B2141,1,75,2,61,3,49,4,37,5,25,6,13,7,4,8,1)</f>
        <v>4</v>
      </c>
      <c r="K2141" t="str" cm="1">
        <f t="array" ref="K2141">IFERROR(_xlfn.SWITCH(L2141,2,_xlfn.XLOOKUP(C2141,[1]ModifierDes!$B:$B,[1]ModifierDes!$C:$C),3,_xlfn.XLOOKUP(C2141,[1]StuntDes!$B:$B,[1]StuntDes!$C:$C)),"")</f>
        <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415</v>
      </c>
      <c r="D2142" t="s">
        <v>24</v>
      </c>
      <c r="E2142" s="13" t="s">
        <v>405</v>
      </c>
      <c r="G2142">
        <v>2</v>
      </c>
      <c r="H2142">
        <v>1000</v>
      </c>
      <c r="J2142" cm="1">
        <f t="array" ref="J2142">_xlfn.SWITCH(B2142,1,75,2,61,3,49,4,37,5,25,6,13,7,4,8,1)</f>
        <v>1</v>
      </c>
      <c r="K2142" t="str" cm="1">
        <f t="array" ref="K2142">IFERROR(_xlfn.SWITCH(L2142,2,_xlfn.XLOOKUP(C2142,[1]ModifierDes!$B:$B,[1]ModifierDes!$C:$C),3,_xlfn.XLOOKUP(C2142,[1]StuntDes!$B:$B,[1]StuntDes!$C:$C)),"")</f>
        <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416</v>
      </c>
      <c r="D2143" t="s">
        <v>24</v>
      </c>
      <c r="E2143" s="13" t="s">
        <v>405</v>
      </c>
      <c r="G2143">
        <v>2</v>
      </c>
      <c r="H2143">
        <v>1000</v>
      </c>
      <c r="J2143" cm="1">
        <f t="array" ref="J2143">_xlfn.SWITCH(B2143,1,75,2,61,3,49,4,37,5,25,6,13,7,4,8,1)</f>
        <v>75</v>
      </c>
      <c r="K2143" t="str" cm="1">
        <f t="array" ref="K2143">IFERROR(_xlfn.SWITCH(L2143,2,_xlfn.XLOOKUP(C2143,[1]ModifierDes!$B:$B,[1]ModifierDes!$C:$C),3,_xlfn.XLOOKUP(C2143,[1]StuntDes!$B:$B,[1]StuntDes!$C:$C)),"")</f>
        <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416</v>
      </c>
      <c r="D2144" t="s">
        <v>24</v>
      </c>
      <c r="E2144" s="13" t="s">
        <v>405</v>
      </c>
      <c r="G2144">
        <v>2</v>
      </c>
      <c r="H2144">
        <v>1000</v>
      </c>
      <c r="J2144" cm="1">
        <f t="array" ref="J2144">_xlfn.SWITCH(B2144,1,75,2,61,3,49,4,37,5,25,6,13,7,4,8,1)</f>
        <v>61</v>
      </c>
      <c r="K2144" t="str" cm="1">
        <f t="array" ref="K2144">IFERROR(_xlfn.SWITCH(L2144,2,_xlfn.XLOOKUP(C2144,[1]ModifierDes!$B:$B,[1]ModifierDes!$C:$C),3,_xlfn.XLOOKUP(C2144,[1]StuntDes!$B:$B,[1]StuntDes!$C:$C)),"")</f>
        <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416</v>
      </c>
      <c r="D2145" t="s">
        <v>24</v>
      </c>
      <c r="E2145" s="13" t="s">
        <v>405</v>
      </c>
      <c r="G2145">
        <v>2</v>
      </c>
      <c r="H2145">
        <v>1000</v>
      </c>
      <c r="J2145" cm="1">
        <f t="array" ref="J2145">_xlfn.SWITCH(B2145,1,75,2,61,3,49,4,37,5,25,6,13,7,4,8,1)</f>
        <v>49</v>
      </c>
      <c r="K2145" t="str" cm="1">
        <f t="array" ref="K2145">IFERROR(_xlfn.SWITCH(L2145,2,_xlfn.XLOOKUP(C2145,[1]ModifierDes!$B:$B,[1]ModifierDes!$C:$C),3,_xlfn.XLOOKUP(C2145,[1]StuntDes!$B:$B,[1]StuntDes!$C:$C)),"")</f>
        <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416</v>
      </c>
      <c r="D2146" t="s">
        <v>24</v>
      </c>
      <c r="E2146" s="13" t="s">
        <v>405</v>
      </c>
      <c r="G2146">
        <v>2</v>
      </c>
      <c r="H2146">
        <v>1000</v>
      </c>
      <c r="J2146" cm="1">
        <f t="array" ref="J2146">_xlfn.SWITCH(B2146,1,75,2,61,3,49,4,37,5,25,6,13,7,4,8,1)</f>
        <v>37</v>
      </c>
      <c r="K2146" t="str" cm="1">
        <f t="array" ref="K2146">IFERROR(_xlfn.SWITCH(L2146,2,_xlfn.XLOOKUP(C2146,[1]ModifierDes!$B:$B,[1]ModifierDes!$C:$C),3,_xlfn.XLOOKUP(C2146,[1]StuntDes!$B:$B,[1]StuntDes!$C:$C)),"")</f>
        <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416</v>
      </c>
      <c r="D2147" t="s">
        <v>24</v>
      </c>
      <c r="E2147" s="13" t="s">
        <v>405</v>
      </c>
      <c r="G2147">
        <v>2</v>
      </c>
      <c r="H2147">
        <v>1000</v>
      </c>
      <c r="J2147" cm="1">
        <f t="array" ref="J2147">_xlfn.SWITCH(B2147,1,75,2,61,3,49,4,37,5,25,6,13,7,4,8,1)</f>
        <v>25</v>
      </c>
      <c r="K2147" t="str" cm="1">
        <f t="array" ref="K2147">IFERROR(_xlfn.SWITCH(L2147,2,_xlfn.XLOOKUP(C2147,[1]ModifierDes!$B:$B,[1]ModifierDes!$C:$C),3,_xlfn.XLOOKUP(C2147,[1]StuntDes!$B:$B,[1]StuntDes!$C:$C)),"")</f>
        <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416</v>
      </c>
      <c r="D2148" t="s">
        <v>24</v>
      </c>
      <c r="E2148" s="13" t="s">
        <v>405</v>
      </c>
      <c r="G2148">
        <v>2</v>
      </c>
      <c r="H2148">
        <v>1000</v>
      </c>
      <c r="J2148" cm="1">
        <f t="array" ref="J2148">_xlfn.SWITCH(B2148,1,75,2,61,3,49,4,37,5,25,6,13,7,4,8,1)</f>
        <v>13</v>
      </c>
      <c r="K2148" t="str" cm="1">
        <f t="array" ref="K2148">IFERROR(_xlfn.SWITCH(L2148,2,_xlfn.XLOOKUP(C2148,[1]ModifierDes!$B:$B,[1]ModifierDes!$C:$C),3,_xlfn.XLOOKUP(C2148,[1]StuntDes!$B:$B,[1]StuntDes!$C:$C)),"")</f>
        <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416</v>
      </c>
      <c r="D2149" t="s">
        <v>24</v>
      </c>
      <c r="E2149" s="13" t="s">
        <v>405</v>
      </c>
      <c r="G2149">
        <v>2</v>
      </c>
      <c r="H2149">
        <v>1000</v>
      </c>
      <c r="J2149" cm="1">
        <f t="array" ref="J2149">_xlfn.SWITCH(B2149,1,75,2,61,3,49,4,37,5,25,6,13,7,4,8,1)</f>
        <v>4</v>
      </c>
      <c r="K2149" t="str" cm="1">
        <f t="array" ref="K2149">IFERROR(_xlfn.SWITCH(L2149,2,_xlfn.XLOOKUP(C2149,[1]ModifierDes!$B:$B,[1]ModifierDes!$C:$C),3,_xlfn.XLOOKUP(C2149,[1]StuntDes!$B:$B,[1]StuntDes!$C:$C)),"")</f>
        <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416</v>
      </c>
      <c r="D2150" t="s">
        <v>24</v>
      </c>
      <c r="E2150" s="13" t="s">
        <v>405</v>
      </c>
      <c r="G2150">
        <v>2</v>
      </c>
      <c r="H2150">
        <v>1000</v>
      </c>
      <c r="J2150" cm="1">
        <f t="array" ref="J2150">_xlfn.SWITCH(B2150,1,75,2,61,3,49,4,37,5,25,6,13,7,4,8,1)</f>
        <v>1</v>
      </c>
      <c r="K2150" t="str" cm="1">
        <f t="array" ref="K2150">IFERROR(_xlfn.SWITCH(L2150,2,_xlfn.XLOOKUP(C2150,[1]ModifierDes!$B:$B,[1]ModifierDes!$C:$C),3,_xlfn.XLOOKUP(C2150,[1]StuntDes!$B:$B,[1]StuntDes!$C:$C)),"")</f>
        <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417</v>
      </c>
      <c r="D2151" t="s">
        <v>24</v>
      </c>
      <c r="E2151" s="13" t="s">
        <v>405</v>
      </c>
      <c r="G2151">
        <v>2</v>
      </c>
      <c r="H2151">
        <v>1000</v>
      </c>
      <c r="J2151" cm="1">
        <f t="array" ref="J2151">_xlfn.SWITCH(B2151,1,75,2,61,3,49,4,37,5,25,6,13,7,4,8,1)</f>
        <v>75</v>
      </c>
      <c r="K2151" t="str" cm="1">
        <f t="array" ref="K2151">IFERROR(_xlfn.SWITCH(L2151,2,_xlfn.XLOOKUP(C2151,[1]ModifierDes!$B:$B,[1]ModifierDes!$C:$C),3,_xlfn.XLOOKUP(C2151,[1]StuntDes!$B:$B,[1]StuntDes!$C:$C)),"")</f>
        <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417</v>
      </c>
      <c r="D2152" t="s">
        <v>24</v>
      </c>
      <c r="E2152" s="13" t="s">
        <v>405</v>
      </c>
      <c r="G2152">
        <v>2</v>
      </c>
      <c r="H2152">
        <v>1000</v>
      </c>
      <c r="J2152" cm="1">
        <f t="array" ref="J2152">_xlfn.SWITCH(B2152,1,75,2,61,3,49,4,37,5,25,6,13,7,4,8,1)</f>
        <v>61</v>
      </c>
      <c r="K2152" t="str" cm="1">
        <f t="array" ref="K2152">IFERROR(_xlfn.SWITCH(L2152,2,_xlfn.XLOOKUP(C2152,[1]ModifierDes!$B:$B,[1]ModifierDes!$C:$C),3,_xlfn.XLOOKUP(C2152,[1]StuntDes!$B:$B,[1]StuntDes!$C:$C)),"")</f>
        <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417</v>
      </c>
      <c r="D2153" t="s">
        <v>24</v>
      </c>
      <c r="E2153" s="13" t="s">
        <v>405</v>
      </c>
      <c r="G2153">
        <v>2</v>
      </c>
      <c r="H2153">
        <v>1000</v>
      </c>
      <c r="J2153" cm="1">
        <f t="array" ref="J2153">_xlfn.SWITCH(B2153,1,75,2,61,3,49,4,37,5,25,6,13,7,4,8,1)</f>
        <v>49</v>
      </c>
      <c r="K2153" t="str" cm="1">
        <f t="array" ref="K2153">IFERROR(_xlfn.SWITCH(L2153,2,_xlfn.XLOOKUP(C2153,[1]ModifierDes!$B:$B,[1]ModifierDes!$C:$C),3,_xlfn.XLOOKUP(C2153,[1]StuntDes!$B:$B,[1]StuntDes!$C:$C)),"")</f>
        <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417</v>
      </c>
      <c r="D2154" t="s">
        <v>24</v>
      </c>
      <c r="E2154" s="13" t="s">
        <v>405</v>
      </c>
      <c r="G2154">
        <v>2</v>
      </c>
      <c r="H2154">
        <v>1000</v>
      </c>
      <c r="J2154" cm="1">
        <f t="array" ref="J2154">_xlfn.SWITCH(B2154,1,75,2,61,3,49,4,37,5,25,6,13,7,4,8,1)</f>
        <v>37</v>
      </c>
      <c r="K2154" t="str" cm="1">
        <f t="array" ref="K2154">IFERROR(_xlfn.SWITCH(L2154,2,_xlfn.XLOOKUP(C2154,[1]ModifierDes!$B:$B,[1]ModifierDes!$C:$C),3,_xlfn.XLOOKUP(C2154,[1]StuntDes!$B:$B,[1]StuntDes!$C:$C)),"")</f>
        <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417</v>
      </c>
      <c r="D2155" t="s">
        <v>24</v>
      </c>
      <c r="E2155" s="13" t="s">
        <v>405</v>
      </c>
      <c r="G2155">
        <v>2</v>
      </c>
      <c r="H2155">
        <v>1000</v>
      </c>
      <c r="J2155" cm="1">
        <f t="array" ref="J2155">_xlfn.SWITCH(B2155,1,75,2,61,3,49,4,37,5,25,6,13,7,4,8,1)</f>
        <v>25</v>
      </c>
      <c r="K2155" t="str" cm="1">
        <f t="array" ref="K2155">IFERROR(_xlfn.SWITCH(L2155,2,_xlfn.XLOOKUP(C2155,[1]ModifierDes!$B:$B,[1]ModifierDes!$C:$C),3,_xlfn.XLOOKUP(C2155,[1]StuntDes!$B:$B,[1]StuntDes!$C:$C)),"")</f>
        <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417</v>
      </c>
      <c r="D2156" t="s">
        <v>24</v>
      </c>
      <c r="E2156" s="13" t="s">
        <v>405</v>
      </c>
      <c r="G2156">
        <v>2</v>
      </c>
      <c r="H2156">
        <v>1000</v>
      </c>
      <c r="J2156" cm="1">
        <f t="array" ref="J2156">_xlfn.SWITCH(B2156,1,75,2,61,3,49,4,37,5,25,6,13,7,4,8,1)</f>
        <v>13</v>
      </c>
      <c r="K2156" t="str" cm="1">
        <f t="array" ref="K2156">IFERROR(_xlfn.SWITCH(L2156,2,_xlfn.XLOOKUP(C2156,[1]ModifierDes!$B:$B,[1]ModifierDes!$C:$C),3,_xlfn.XLOOKUP(C2156,[1]StuntDes!$B:$B,[1]StuntDes!$C:$C)),"")</f>
        <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417</v>
      </c>
      <c r="D2157" t="s">
        <v>24</v>
      </c>
      <c r="E2157" s="13" t="s">
        <v>405</v>
      </c>
      <c r="G2157">
        <v>2</v>
      </c>
      <c r="H2157">
        <v>1000</v>
      </c>
      <c r="J2157" cm="1">
        <f t="array" ref="J2157">_xlfn.SWITCH(B2157,1,75,2,61,3,49,4,37,5,25,6,13,7,4,8,1)</f>
        <v>4</v>
      </c>
      <c r="K2157" t="str" cm="1">
        <f t="array" ref="K2157">IFERROR(_xlfn.SWITCH(L2157,2,_xlfn.XLOOKUP(C2157,[1]ModifierDes!$B:$B,[1]ModifierDes!$C:$C),3,_xlfn.XLOOKUP(C2157,[1]StuntDes!$B:$B,[1]StuntDes!$C:$C)),"")</f>
        <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417</v>
      </c>
      <c r="D2158" t="s">
        <v>24</v>
      </c>
      <c r="E2158" s="13" t="s">
        <v>405</v>
      </c>
      <c r="G2158">
        <v>2</v>
      </c>
      <c r="H2158">
        <v>1000</v>
      </c>
      <c r="J2158" cm="1">
        <f t="array" ref="J2158">_xlfn.SWITCH(B2158,1,75,2,61,3,49,4,37,5,25,6,13,7,4,8,1)</f>
        <v>1</v>
      </c>
      <c r="K2158" t="str" cm="1">
        <f t="array" ref="K2158">IFERROR(_xlfn.SWITCH(L2158,2,_xlfn.XLOOKUP(C2158,[1]ModifierDes!$B:$B,[1]ModifierDes!$C:$C),3,_xlfn.XLOOKUP(C2158,[1]StuntDes!$B:$B,[1]StuntDes!$C:$C)),"")</f>
        <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418</v>
      </c>
      <c r="D2159" t="s">
        <v>24</v>
      </c>
      <c r="E2159" s="13" t="s">
        <v>405</v>
      </c>
      <c r="G2159">
        <v>2</v>
      </c>
      <c r="H2159">
        <v>1000</v>
      </c>
      <c r="J2159" cm="1">
        <f t="array" ref="J2159">_xlfn.SWITCH(B2159,1,75,2,61,3,49,4,37,5,25,6,13,7,4,8,1)</f>
        <v>75</v>
      </c>
      <c r="K2159" t="str" cm="1">
        <f t="array" ref="K2159">IFERROR(_xlfn.SWITCH(L2159,2,_xlfn.XLOOKUP(C2159,[1]ModifierDes!$B:$B,[1]ModifierDes!$C:$C),3,_xlfn.XLOOKUP(C2159,[1]StuntDes!$B:$B,[1]StuntDes!$C:$C)),"")</f>
        <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418</v>
      </c>
      <c r="D2160" t="s">
        <v>24</v>
      </c>
      <c r="E2160" s="13" t="s">
        <v>405</v>
      </c>
      <c r="G2160">
        <v>2</v>
      </c>
      <c r="H2160">
        <v>1000</v>
      </c>
      <c r="J2160" cm="1">
        <f t="array" ref="J2160">_xlfn.SWITCH(B2160,1,75,2,61,3,49,4,37,5,25,6,13,7,4,8,1)</f>
        <v>61</v>
      </c>
      <c r="K2160" t="str" cm="1">
        <f t="array" ref="K2160">IFERROR(_xlfn.SWITCH(L2160,2,_xlfn.XLOOKUP(C2160,[1]ModifierDes!$B:$B,[1]ModifierDes!$C:$C),3,_xlfn.XLOOKUP(C2160,[1]StuntDes!$B:$B,[1]StuntDes!$C:$C)),"")</f>
        <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418</v>
      </c>
      <c r="D2161" t="s">
        <v>24</v>
      </c>
      <c r="E2161" s="13" t="s">
        <v>405</v>
      </c>
      <c r="G2161">
        <v>2</v>
      </c>
      <c r="H2161">
        <v>1000</v>
      </c>
      <c r="J2161" cm="1">
        <f t="array" ref="J2161">_xlfn.SWITCH(B2161,1,75,2,61,3,49,4,37,5,25,6,13,7,4,8,1)</f>
        <v>49</v>
      </c>
      <c r="K2161" t="str" cm="1">
        <f t="array" ref="K2161">IFERROR(_xlfn.SWITCH(L2161,2,_xlfn.XLOOKUP(C2161,[1]ModifierDes!$B:$B,[1]ModifierDes!$C:$C),3,_xlfn.XLOOKUP(C2161,[1]StuntDes!$B:$B,[1]StuntDes!$C:$C)),"")</f>
        <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418</v>
      </c>
      <c r="D2162" t="s">
        <v>24</v>
      </c>
      <c r="E2162" s="13" t="s">
        <v>405</v>
      </c>
      <c r="G2162">
        <v>2</v>
      </c>
      <c r="H2162">
        <v>1000</v>
      </c>
      <c r="J2162" cm="1">
        <f t="array" ref="J2162">_xlfn.SWITCH(B2162,1,75,2,61,3,49,4,37,5,25,6,13,7,4,8,1)</f>
        <v>37</v>
      </c>
      <c r="K2162" t="str" cm="1">
        <f t="array" ref="K2162">IFERROR(_xlfn.SWITCH(L2162,2,_xlfn.XLOOKUP(C2162,[1]ModifierDes!$B:$B,[1]ModifierDes!$C:$C),3,_xlfn.XLOOKUP(C2162,[1]StuntDes!$B:$B,[1]StuntDes!$C:$C)),"")</f>
        <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418</v>
      </c>
      <c r="D2163" t="s">
        <v>24</v>
      </c>
      <c r="E2163" s="13" t="s">
        <v>405</v>
      </c>
      <c r="G2163">
        <v>2</v>
      </c>
      <c r="H2163">
        <v>1000</v>
      </c>
      <c r="J2163" cm="1">
        <f t="array" ref="J2163">_xlfn.SWITCH(B2163,1,75,2,61,3,49,4,37,5,25,6,13,7,4,8,1)</f>
        <v>25</v>
      </c>
      <c r="K2163" t="str" cm="1">
        <f t="array" ref="K2163">IFERROR(_xlfn.SWITCH(L2163,2,_xlfn.XLOOKUP(C2163,[1]ModifierDes!$B:$B,[1]ModifierDes!$C:$C),3,_xlfn.XLOOKUP(C2163,[1]StuntDes!$B:$B,[1]StuntDes!$C:$C)),"")</f>
        <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418</v>
      </c>
      <c r="D2164" t="s">
        <v>24</v>
      </c>
      <c r="E2164" s="13" t="s">
        <v>405</v>
      </c>
      <c r="G2164">
        <v>2</v>
      </c>
      <c r="H2164">
        <v>1000</v>
      </c>
      <c r="J2164" cm="1">
        <f t="array" ref="J2164">_xlfn.SWITCH(B2164,1,75,2,61,3,49,4,37,5,25,6,13,7,4,8,1)</f>
        <v>13</v>
      </c>
      <c r="K2164" t="str" cm="1">
        <f t="array" ref="K2164">IFERROR(_xlfn.SWITCH(L2164,2,_xlfn.XLOOKUP(C2164,[1]ModifierDes!$B:$B,[1]ModifierDes!$C:$C),3,_xlfn.XLOOKUP(C2164,[1]StuntDes!$B:$B,[1]StuntDes!$C:$C)),"")</f>
        <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418</v>
      </c>
      <c r="D2165" t="s">
        <v>24</v>
      </c>
      <c r="E2165" s="13" t="s">
        <v>405</v>
      </c>
      <c r="G2165">
        <v>2</v>
      </c>
      <c r="H2165">
        <v>1000</v>
      </c>
      <c r="J2165" cm="1">
        <f t="array" ref="J2165">_xlfn.SWITCH(B2165,1,75,2,61,3,49,4,37,5,25,6,13,7,4,8,1)</f>
        <v>4</v>
      </c>
      <c r="K2165" t="str" cm="1">
        <f t="array" ref="K2165">IFERROR(_xlfn.SWITCH(L2165,2,_xlfn.XLOOKUP(C2165,[1]ModifierDes!$B:$B,[1]ModifierDes!$C:$C),3,_xlfn.XLOOKUP(C2165,[1]StuntDes!$B:$B,[1]StuntDes!$C:$C)),"")</f>
        <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418</v>
      </c>
      <c r="D2166" t="s">
        <v>24</v>
      </c>
      <c r="E2166" s="13" t="s">
        <v>405</v>
      </c>
      <c r="G2166">
        <v>2</v>
      </c>
      <c r="H2166">
        <v>1000</v>
      </c>
      <c r="J2166" cm="1">
        <f t="array" ref="J2166">_xlfn.SWITCH(B2166,1,75,2,61,3,49,4,37,5,25,6,13,7,4,8,1)</f>
        <v>1</v>
      </c>
      <c r="K2166" t="str" cm="1">
        <f t="array" ref="K2166">IFERROR(_xlfn.SWITCH(L2166,2,_xlfn.XLOOKUP(C2166,[1]ModifierDes!$B:$B,[1]ModifierDes!$C:$C),3,_xlfn.XLOOKUP(C2166,[1]StuntDes!$B:$B,[1]StuntDes!$C:$C)),"")</f>
        <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419</v>
      </c>
      <c r="D2167" t="s">
        <v>24</v>
      </c>
      <c r="E2167" s="13" t="s">
        <v>405</v>
      </c>
      <c r="G2167">
        <v>2</v>
      </c>
      <c r="H2167">
        <v>1000</v>
      </c>
      <c r="J2167" cm="1">
        <f t="array" ref="J2167">_xlfn.SWITCH(B2167,1,75,2,61,3,49,4,37,5,25,6,13,7,4,8,1)</f>
        <v>75</v>
      </c>
      <c r="K2167" t="str" cm="1">
        <f t="array" ref="K2167">IFERROR(_xlfn.SWITCH(L2167,2,_xlfn.XLOOKUP(C2167,[1]ModifierDes!$B:$B,[1]ModifierDes!$C:$C),3,_xlfn.XLOOKUP(C2167,[1]StuntDes!$B:$B,[1]StuntDes!$C:$C)),"")</f>
        <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419</v>
      </c>
      <c r="D2168" t="s">
        <v>24</v>
      </c>
      <c r="E2168" s="13" t="s">
        <v>405</v>
      </c>
      <c r="G2168">
        <v>2</v>
      </c>
      <c r="H2168">
        <v>1000</v>
      </c>
      <c r="J2168" cm="1">
        <f t="array" ref="J2168">_xlfn.SWITCH(B2168,1,75,2,61,3,49,4,37,5,25,6,13,7,4,8,1)</f>
        <v>61</v>
      </c>
      <c r="K2168" t="str" cm="1">
        <f t="array" ref="K2168">IFERROR(_xlfn.SWITCH(L2168,2,_xlfn.XLOOKUP(C2168,[1]ModifierDes!$B:$B,[1]ModifierDes!$C:$C),3,_xlfn.XLOOKUP(C2168,[1]StuntDes!$B:$B,[1]StuntDes!$C:$C)),"")</f>
        <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419</v>
      </c>
      <c r="D2169" t="s">
        <v>24</v>
      </c>
      <c r="E2169" s="13" t="s">
        <v>405</v>
      </c>
      <c r="G2169">
        <v>2</v>
      </c>
      <c r="H2169">
        <v>1000</v>
      </c>
      <c r="J2169" cm="1">
        <f t="array" ref="J2169">_xlfn.SWITCH(B2169,1,75,2,61,3,49,4,37,5,25,6,13,7,4,8,1)</f>
        <v>49</v>
      </c>
      <c r="K2169" t="str" cm="1">
        <f t="array" ref="K2169">IFERROR(_xlfn.SWITCH(L2169,2,_xlfn.XLOOKUP(C2169,[1]ModifierDes!$B:$B,[1]ModifierDes!$C:$C),3,_xlfn.XLOOKUP(C2169,[1]StuntDes!$B:$B,[1]StuntDes!$C:$C)),"")</f>
        <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419</v>
      </c>
      <c r="D2170" t="s">
        <v>24</v>
      </c>
      <c r="E2170" s="13" t="s">
        <v>405</v>
      </c>
      <c r="G2170">
        <v>2</v>
      </c>
      <c r="H2170">
        <v>1000</v>
      </c>
      <c r="J2170" cm="1">
        <f t="array" ref="J2170">_xlfn.SWITCH(B2170,1,75,2,61,3,49,4,37,5,25,6,13,7,4,8,1)</f>
        <v>37</v>
      </c>
      <c r="K2170" t="str" cm="1">
        <f t="array" ref="K2170">IFERROR(_xlfn.SWITCH(L2170,2,_xlfn.XLOOKUP(C2170,[1]ModifierDes!$B:$B,[1]ModifierDes!$C:$C),3,_xlfn.XLOOKUP(C2170,[1]StuntDes!$B:$B,[1]StuntDes!$C:$C)),"")</f>
        <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419</v>
      </c>
      <c r="D2171" t="s">
        <v>24</v>
      </c>
      <c r="E2171" s="13" t="s">
        <v>405</v>
      </c>
      <c r="G2171">
        <v>2</v>
      </c>
      <c r="H2171">
        <v>1000</v>
      </c>
      <c r="J2171" cm="1">
        <f t="array" ref="J2171">_xlfn.SWITCH(B2171,1,75,2,61,3,49,4,37,5,25,6,13,7,4,8,1)</f>
        <v>25</v>
      </c>
      <c r="K2171" t="str" cm="1">
        <f t="array" ref="K2171">IFERROR(_xlfn.SWITCH(L2171,2,_xlfn.XLOOKUP(C2171,[1]ModifierDes!$B:$B,[1]ModifierDes!$C:$C),3,_xlfn.XLOOKUP(C2171,[1]StuntDes!$B:$B,[1]StuntDes!$C:$C)),"")</f>
        <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419</v>
      </c>
      <c r="D2172" t="s">
        <v>24</v>
      </c>
      <c r="E2172" s="13" t="s">
        <v>405</v>
      </c>
      <c r="G2172">
        <v>2</v>
      </c>
      <c r="H2172">
        <v>1000</v>
      </c>
      <c r="J2172" cm="1">
        <f t="array" ref="J2172">_xlfn.SWITCH(B2172,1,75,2,61,3,49,4,37,5,25,6,13,7,4,8,1)</f>
        <v>13</v>
      </c>
      <c r="K2172" t="str" cm="1">
        <f t="array" ref="K2172">IFERROR(_xlfn.SWITCH(L2172,2,_xlfn.XLOOKUP(C2172,[1]ModifierDes!$B:$B,[1]ModifierDes!$C:$C),3,_xlfn.XLOOKUP(C2172,[1]StuntDes!$B:$B,[1]StuntDes!$C:$C)),"")</f>
        <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419</v>
      </c>
      <c r="D2173" t="s">
        <v>24</v>
      </c>
      <c r="E2173" s="13" t="s">
        <v>405</v>
      </c>
      <c r="G2173">
        <v>2</v>
      </c>
      <c r="H2173">
        <v>1000</v>
      </c>
      <c r="J2173" cm="1">
        <f t="array" ref="J2173">_xlfn.SWITCH(B2173,1,75,2,61,3,49,4,37,5,25,6,13,7,4,8,1)</f>
        <v>4</v>
      </c>
      <c r="K2173" t="str" cm="1">
        <f t="array" ref="K2173">IFERROR(_xlfn.SWITCH(L2173,2,_xlfn.XLOOKUP(C2173,[1]ModifierDes!$B:$B,[1]ModifierDes!$C:$C),3,_xlfn.XLOOKUP(C2173,[1]StuntDes!$B:$B,[1]StuntDes!$C:$C)),"")</f>
        <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419</v>
      </c>
      <c r="D2174" t="s">
        <v>24</v>
      </c>
      <c r="E2174" s="13" t="s">
        <v>405</v>
      </c>
      <c r="G2174">
        <v>2</v>
      </c>
      <c r="H2174">
        <v>1000</v>
      </c>
      <c r="J2174" cm="1">
        <f t="array" ref="J2174">_xlfn.SWITCH(B2174,1,75,2,61,3,49,4,37,5,25,6,13,7,4,8,1)</f>
        <v>1</v>
      </c>
      <c r="K2174" t="str" cm="1">
        <f t="array" ref="K2174">IFERROR(_xlfn.SWITCH(L2174,2,_xlfn.XLOOKUP(C2174,[1]ModifierDes!$B:$B,[1]ModifierDes!$C:$C),3,_xlfn.XLOOKUP(C2174,[1]StuntDes!$B:$B,[1]StuntDes!$C:$C)),"")</f>
        <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420</v>
      </c>
      <c r="D2175" t="s">
        <v>24</v>
      </c>
      <c r="E2175" s="13" t="s">
        <v>405</v>
      </c>
      <c r="G2175">
        <v>2</v>
      </c>
      <c r="H2175">
        <v>1000</v>
      </c>
      <c r="J2175" cm="1">
        <f t="array" ref="J2175">_xlfn.SWITCH(B2175,1,75,2,61,3,49,4,37,5,25,6,13,7,4,8,1)</f>
        <v>75</v>
      </c>
      <c r="K2175" t="str" cm="1">
        <f t="array" ref="K2175">IFERROR(_xlfn.SWITCH(L2175,2,_xlfn.XLOOKUP(C2175,[1]ModifierDes!$B:$B,[1]ModifierDes!$C:$C),3,_xlfn.XLOOKUP(C2175,[1]StuntDes!$B:$B,[1]StuntDes!$C:$C)),"")</f>
        <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420</v>
      </c>
      <c r="D2176" t="s">
        <v>24</v>
      </c>
      <c r="E2176" s="13" t="s">
        <v>405</v>
      </c>
      <c r="G2176">
        <v>2</v>
      </c>
      <c r="H2176">
        <v>1000</v>
      </c>
      <c r="J2176" cm="1">
        <f t="array" ref="J2176">_xlfn.SWITCH(B2176,1,75,2,61,3,49,4,37,5,25,6,13,7,4,8,1)</f>
        <v>61</v>
      </c>
      <c r="K2176" t="str" cm="1">
        <f t="array" ref="K2176">IFERROR(_xlfn.SWITCH(L2176,2,_xlfn.XLOOKUP(C2176,[1]ModifierDes!$B:$B,[1]ModifierDes!$C:$C),3,_xlfn.XLOOKUP(C2176,[1]StuntDes!$B:$B,[1]StuntDes!$C:$C)),"")</f>
        <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420</v>
      </c>
      <c r="D2177" t="s">
        <v>24</v>
      </c>
      <c r="E2177" s="13" t="s">
        <v>405</v>
      </c>
      <c r="G2177">
        <v>2</v>
      </c>
      <c r="H2177">
        <v>1000</v>
      </c>
      <c r="J2177" cm="1">
        <f t="array" ref="J2177">_xlfn.SWITCH(B2177,1,75,2,61,3,49,4,37,5,25,6,13,7,4,8,1)</f>
        <v>49</v>
      </c>
      <c r="K2177" t="str" cm="1">
        <f t="array" ref="K2177">IFERROR(_xlfn.SWITCH(L2177,2,_xlfn.XLOOKUP(C2177,[1]ModifierDes!$B:$B,[1]ModifierDes!$C:$C),3,_xlfn.XLOOKUP(C2177,[1]StuntDes!$B:$B,[1]StuntDes!$C:$C)),"")</f>
        <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420</v>
      </c>
      <c r="D2178" t="s">
        <v>24</v>
      </c>
      <c r="E2178" s="13" t="s">
        <v>405</v>
      </c>
      <c r="G2178">
        <v>2</v>
      </c>
      <c r="H2178">
        <v>1000</v>
      </c>
      <c r="J2178" cm="1">
        <f t="array" ref="J2178">_xlfn.SWITCH(B2178,1,75,2,61,3,49,4,37,5,25,6,13,7,4,8,1)</f>
        <v>37</v>
      </c>
      <c r="K2178" t="str" cm="1">
        <f t="array" ref="K2178">IFERROR(_xlfn.SWITCH(L2178,2,_xlfn.XLOOKUP(C2178,[1]ModifierDes!$B:$B,[1]ModifierDes!$C:$C),3,_xlfn.XLOOKUP(C2178,[1]StuntDes!$B:$B,[1]StuntDes!$C:$C)),"")</f>
        <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420</v>
      </c>
      <c r="D2179" t="s">
        <v>24</v>
      </c>
      <c r="E2179" s="13" t="s">
        <v>405</v>
      </c>
      <c r="G2179">
        <v>2</v>
      </c>
      <c r="H2179">
        <v>1000</v>
      </c>
      <c r="J2179" cm="1">
        <f t="array" ref="J2179">_xlfn.SWITCH(B2179,1,75,2,61,3,49,4,37,5,25,6,13,7,4,8,1)</f>
        <v>25</v>
      </c>
      <c r="K2179" t="str" cm="1">
        <f t="array" ref="K2179">IFERROR(_xlfn.SWITCH(L2179,2,_xlfn.XLOOKUP(C2179,[1]ModifierDes!$B:$B,[1]ModifierDes!$C:$C),3,_xlfn.XLOOKUP(C2179,[1]StuntDes!$B:$B,[1]StuntDes!$C:$C)),"")</f>
        <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420</v>
      </c>
      <c r="D2180" t="s">
        <v>24</v>
      </c>
      <c r="E2180" s="13" t="s">
        <v>405</v>
      </c>
      <c r="G2180">
        <v>2</v>
      </c>
      <c r="H2180">
        <v>1000</v>
      </c>
      <c r="J2180" cm="1">
        <f t="array" ref="J2180">_xlfn.SWITCH(B2180,1,75,2,61,3,49,4,37,5,25,6,13,7,4,8,1)</f>
        <v>13</v>
      </c>
      <c r="K2180" t="str" cm="1">
        <f t="array" ref="K2180">IFERROR(_xlfn.SWITCH(L2180,2,_xlfn.XLOOKUP(C2180,[1]ModifierDes!$B:$B,[1]ModifierDes!$C:$C),3,_xlfn.XLOOKUP(C2180,[1]StuntDes!$B:$B,[1]StuntDes!$C:$C)),"")</f>
        <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420</v>
      </c>
      <c r="D2181" t="s">
        <v>24</v>
      </c>
      <c r="E2181" s="13" t="s">
        <v>405</v>
      </c>
      <c r="G2181">
        <v>2</v>
      </c>
      <c r="H2181">
        <v>1000</v>
      </c>
      <c r="J2181" cm="1">
        <f t="array" ref="J2181">_xlfn.SWITCH(B2181,1,75,2,61,3,49,4,37,5,25,6,13,7,4,8,1)</f>
        <v>4</v>
      </c>
      <c r="K2181" t="str" cm="1">
        <f t="array" ref="K2181">IFERROR(_xlfn.SWITCH(L2181,2,_xlfn.XLOOKUP(C2181,[1]ModifierDes!$B:$B,[1]ModifierDes!$C:$C),3,_xlfn.XLOOKUP(C2181,[1]StuntDes!$B:$B,[1]StuntDes!$C:$C)),"")</f>
        <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420</v>
      </c>
      <c r="D2182" t="s">
        <v>24</v>
      </c>
      <c r="E2182" s="13" t="s">
        <v>405</v>
      </c>
      <c r="G2182">
        <v>2</v>
      </c>
      <c r="H2182">
        <v>1000</v>
      </c>
      <c r="J2182" cm="1">
        <f t="array" ref="J2182">_xlfn.SWITCH(B2182,1,75,2,61,3,49,4,37,5,25,6,13,7,4,8,1)</f>
        <v>1</v>
      </c>
      <c r="K2182" t="str" cm="1">
        <f t="array" ref="K2182">IFERROR(_xlfn.SWITCH(L2182,2,_xlfn.XLOOKUP(C2182,[1]ModifierDes!$B:$B,[1]ModifierDes!$C:$C),3,_xlfn.XLOOKUP(C2182,[1]StuntDes!$B:$B,[1]StuntDes!$C:$C)),"")</f>
        <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421</v>
      </c>
      <c r="D2183" t="s">
        <v>24</v>
      </c>
      <c r="E2183" s="13" t="s">
        <v>405</v>
      </c>
      <c r="G2183">
        <v>2</v>
      </c>
      <c r="H2183">
        <v>1000</v>
      </c>
      <c r="J2183" cm="1">
        <f t="array" ref="J2183">_xlfn.SWITCH(B2183,1,75,2,61,3,49,4,37,5,25,6,13,7,4,8,1)</f>
        <v>75</v>
      </c>
      <c r="K2183" t="str" cm="1">
        <f t="array" ref="K2183">IFERROR(_xlfn.SWITCH(L2183,2,_xlfn.XLOOKUP(C2183,[1]ModifierDes!$B:$B,[1]ModifierDes!$C:$C),3,_xlfn.XLOOKUP(C2183,[1]StuntDes!$B:$B,[1]StuntDes!$C:$C)),"")</f>
        <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421</v>
      </c>
      <c r="D2184" t="s">
        <v>24</v>
      </c>
      <c r="E2184" s="13" t="s">
        <v>405</v>
      </c>
      <c r="G2184">
        <v>2</v>
      </c>
      <c r="H2184">
        <v>1000</v>
      </c>
      <c r="J2184" cm="1">
        <f t="array" ref="J2184">_xlfn.SWITCH(B2184,1,75,2,61,3,49,4,37,5,25,6,13,7,4,8,1)</f>
        <v>61</v>
      </c>
      <c r="K2184" t="str" cm="1">
        <f t="array" ref="K2184">IFERROR(_xlfn.SWITCH(L2184,2,_xlfn.XLOOKUP(C2184,[1]ModifierDes!$B:$B,[1]ModifierDes!$C:$C),3,_xlfn.XLOOKUP(C2184,[1]StuntDes!$B:$B,[1]StuntDes!$C:$C)),"")</f>
        <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421</v>
      </c>
      <c r="D2185" t="s">
        <v>24</v>
      </c>
      <c r="E2185" s="13" t="s">
        <v>405</v>
      </c>
      <c r="G2185">
        <v>2</v>
      </c>
      <c r="H2185">
        <v>1000</v>
      </c>
      <c r="J2185" cm="1">
        <f t="array" ref="J2185">_xlfn.SWITCH(B2185,1,75,2,61,3,49,4,37,5,25,6,13,7,4,8,1)</f>
        <v>49</v>
      </c>
      <c r="K2185" t="str" cm="1">
        <f t="array" ref="K2185">IFERROR(_xlfn.SWITCH(L2185,2,_xlfn.XLOOKUP(C2185,[1]ModifierDes!$B:$B,[1]ModifierDes!$C:$C),3,_xlfn.XLOOKUP(C2185,[1]StuntDes!$B:$B,[1]StuntDes!$C:$C)),"")</f>
        <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421</v>
      </c>
      <c r="D2186" t="s">
        <v>24</v>
      </c>
      <c r="E2186" s="13" t="s">
        <v>405</v>
      </c>
      <c r="G2186">
        <v>2</v>
      </c>
      <c r="H2186">
        <v>1000</v>
      </c>
      <c r="J2186" cm="1">
        <f t="array" ref="J2186">_xlfn.SWITCH(B2186,1,75,2,61,3,49,4,37,5,25,6,13,7,4,8,1)</f>
        <v>37</v>
      </c>
      <c r="K2186" t="str" cm="1">
        <f t="array" ref="K2186">IFERROR(_xlfn.SWITCH(L2186,2,_xlfn.XLOOKUP(C2186,[1]ModifierDes!$B:$B,[1]ModifierDes!$C:$C),3,_xlfn.XLOOKUP(C2186,[1]StuntDes!$B:$B,[1]StuntDes!$C:$C)),"")</f>
        <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421</v>
      </c>
      <c r="D2187" t="s">
        <v>24</v>
      </c>
      <c r="E2187" s="13" t="s">
        <v>405</v>
      </c>
      <c r="G2187">
        <v>2</v>
      </c>
      <c r="H2187">
        <v>1000</v>
      </c>
      <c r="J2187" cm="1">
        <f t="array" ref="J2187">_xlfn.SWITCH(B2187,1,75,2,61,3,49,4,37,5,25,6,13,7,4,8,1)</f>
        <v>25</v>
      </c>
      <c r="K2187" t="str" cm="1">
        <f t="array" ref="K2187">IFERROR(_xlfn.SWITCH(L2187,2,_xlfn.XLOOKUP(C2187,[1]ModifierDes!$B:$B,[1]ModifierDes!$C:$C),3,_xlfn.XLOOKUP(C2187,[1]StuntDes!$B:$B,[1]StuntDes!$C:$C)),"")</f>
        <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421</v>
      </c>
      <c r="D2188" t="s">
        <v>24</v>
      </c>
      <c r="E2188" s="13" t="s">
        <v>405</v>
      </c>
      <c r="G2188">
        <v>2</v>
      </c>
      <c r="H2188">
        <v>1000</v>
      </c>
      <c r="J2188" cm="1">
        <f t="array" ref="J2188">_xlfn.SWITCH(B2188,1,75,2,61,3,49,4,37,5,25,6,13,7,4,8,1)</f>
        <v>13</v>
      </c>
      <c r="K2188" t="str" cm="1">
        <f t="array" ref="K2188">IFERROR(_xlfn.SWITCH(L2188,2,_xlfn.XLOOKUP(C2188,[1]ModifierDes!$B:$B,[1]ModifierDes!$C:$C),3,_xlfn.XLOOKUP(C2188,[1]StuntDes!$B:$B,[1]StuntDes!$C:$C)),"")</f>
        <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421</v>
      </c>
      <c r="D2189" t="s">
        <v>24</v>
      </c>
      <c r="E2189" s="13" t="s">
        <v>405</v>
      </c>
      <c r="G2189">
        <v>2</v>
      </c>
      <c r="H2189">
        <v>1000</v>
      </c>
      <c r="J2189" cm="1">
        <f t="array" ref="J2189">_xlfn.SWITCH(B2189,1,75,2,61,3,49,4,37,5,25,6,13,7,4,8,1)</f>
        <v>4</v>
      </c>
      <c r="K2189" t="str" cm="1">
        <f t="array" ref="K2189">IFERROR(_xlfn.SWITCH(L2189,2,_xlfn.XLOOKUP(C2189,[1]ModifierDes!$B:$B,[1]ModifierDes!$C:$C),3,_xlfn.XLOOKUP(C2189,[1]StuntDes!$B:$B,[1]StuntDes!$C:$C)),"")</f>
        <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421</v>
      </c>
      <c r="D2190" t="s">
        <v>24</v>
      </c>
      <c r="E2190" s="13" t="s">
        <v>405</v>
      </c>
      <c r="G2190">
        <v>2</v>
      </c>
      <c r="H2190">
        <v>1000</v>
      </c>
      <c r="J2190" cm="1">
        <f t="array" ref="J2190">_xlfn.SWITCH(B2190,1,75,2,61,3,49,4,37,5,25,6,13,7,4,8,1)</f>
        <v>1</v>
      </c>
      <c r="K2190" t="str" cm="1">
        <f t="array" ref="K2190">IFERROR(_xlfn.SWITCH(L2190,2,_xlfn.XLOOKUP(C2190,[1]ModifierDes!$B:$B,[1]ModifierDes!$C:$C),3,_xlfn.XLOOKUP(C2190,[1]StuntDes!$B:$B,[1]StuntDes!$C:$C)),"")</f>
        <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387</v>
      </c>
      <c r="D2191" t="s">
        <v>28</v>
      </c>
      <c r="E2191" t="s">
        <v>388</v>
      </c>
      <c r="G2191">
        <v>1</v>
      </c>
      <c r="H2191">
        <v>100</v>
      </c>
      <c r="I2191">
        <v>1</v>
      </c>
      <c r="J2191" cm="1">
        <f t="array" ref="J2191">_xlfn.SWITCH(B2191,1,75,2,61,3,49,4,37,5,25,6,13,7,4,8,1)</f>
        <v>75</v>
      </c>
      <c r="K2191" t="str" cm="1">
        <f t="array" ref="K2191">IFERROR(_xlfn.SWITCH(L2191,2,_xlfn.XLOOKUP(C2191,[1]ModifierDes!$B:$B,[1]ModifierDes!$C:$C),3,_xlfn.XLOOKUP(C2191,[1]StuntDes!$B:$B,[1]StuntDes!$C:$C)),"")</f>
        <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387</v>
      </c>
      <c r="D2192" t="s">
        <v>28</v>
      </c>
      <c r="E2192" t="s">
        <v>388</v>
      </c>
      <c r="G2192">
        <v>1</v>
      </c>
      <c r="H2192">
        <v>200</v>
      </c>
      <c r="I2192">
        <v>1</v>
      </c>
      <c r="J2192" cm="1">
        <f t="array" ref="J2192">_xlfn.SWITCH(B2192,1,75,2,61,3,49,4,37,5,25,6,13,7,4,8,1)</f>
        <v>61</v>
      </c>
      <c r="K2192" t="str" cm="1">
        <f t="array" ref="K2192">IFERROR(_xlfn.SWITCH(L2192,2,_xlfn.XLOOKUP(C2192,[1]ModifierDes!$B:$B,[1]ModifierDes!$C:$C),3,_xlfn.XLOOKUP(C2192,[1]StuntDes!$B:$B,[1]StuntDes!$C:$C)),"")</f>
        <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387</v>
      </c>
      <c r="D2193" t="s">
        <v>28</v>
      </c>
      <c r="E2193" t="s">
        <v>388</v>
      </c>
      <c r="G2193">
        <v>1</v>
      </c>
      <c r="H2193">
        <v>400</v>
      </c>
      <c r="I2193">
        <v>1</v>
      </c>
      <c r="J2193" cm="1">
        <f t="array" ref="J2193">_xlfn.SWITCH(B2193,1,75,2,61,3,49,4,37,5,25,6,13,7,4,8,1)</f>
        <v>49</v>
      </c>
      <c r="K2193" t="str" cm="1">
        <f t="array" ref="K2193">IFERROR(_xlfn.SWITCH(L2193,2,_xlfn.XLOOKUP(C2193,[1]ModifierDes!$B:$B,[1]ModifierDes!$C:$C),3,_xlfn.XLOOKUP(C2193,[1]StuntDes!$B:$B,[1]StuntDes!$C:$C)),"")</f>
        <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387</v>
      </c>
      <c r="D2194" t="s">
        <v>28</v>
      </c>
      <c r="E2194" t="s">
        <v>388</v>
      </c>
      <c r="G2194">
        <v>1</v>
      </c>
      <c r="H2194">
        <v>600</v>
      </c>
      <c r="I2194">
        <v>1</v>
      </c>
      <c r="J2194" cm="1">
        <f t="array" ref="J2194">_xlfn.SWITCH(B2194,1,75,2,61,3,49,4,37,5,25,6,13,7,4,8,1)</f>
        <v>37</v>
      </c>
      <c r="K2194" t="str" cm="1">
        <f t="array" ref="K2194">IFERROR(_xlfn.SWITCH(L2194,2,_xlfn.XLOOKUP(C2194,[1]ModifierDes!$B:$B,[1]ModifierDes!$C:$C),3,_xlfn.XLOOKUP(C2194,[1]StuntDes!$B:$B,[1]StuntDes!$C:$C)),"")</f>
        <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387</v>
      </c>
      <c r="D2195" t="s">
        <v>28</v>
      </c>
      <c r="E2195" t="s">
        <v>388</v>
      </c>
      <c r="G2195">
        <v>1</v>
      </c>
      <c r="H2195">
        <v>800</v>
      </c>
      <c r="I2195">
        <v>1</v>
      </c>
      <c r="J2195" cm="1">
        <f t="array" ref="J2195">_xlfn.SWITCH(B2195,1,75,2,61,3,49,4,37,5,25,6,13,7,4,8,1)</f>
        <v>25</v>
      </c>
      <c r="K2195" t="str" cm="1">
        <f t="array" ref="K2195">IFERROR(_xlfn.SWITCH(L2195,2,_xlfn.XLOOKUP(C2195,[1]ModifierDes!$B:$B,[1]ModifierDes!$C:$C),3,_xlfn.XLOOKUP(C2195,[1]StuntDes!$B:$B,[1]StuntDes!$C:$C)),"")</f>
        <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387</v>
      </c>
      <c r="D2196" t="s">
        <v>28</v>
      </c>
      <c r="E2196" t="s">
        <v>388</v>
      </c>
      <c r="G2196">
        <v>1</v>
      </c>
      <c r="H2196">
        <v>1000</v>
      </c>
      <c r="I2196">
        <v>1</v>
      </c>
      <c r="J2196" cm="1">
        <f t="array" ref="J2196">_xlfn.SWITCH(B2196,1,75,2,61,3,49,4,37,5,25,6,13,7,4,8,1)</f>
        <v>13</v>
      </c>
      <c r="K2196" t="str" cm="1">
        <f t="array" ref="K2196">IFERROR(_xlfn.SWITCH(L2196,2,_xlfn.XLOOKUP(C2196,[1]ModifierDes!$B:$B,[1]ModifierDes!$C:$C),3,_xlfn.XLOOKUP(C2196,[1]StuntDes!$B:$B,[1]StuntDes!$C:$C)),"")</f>
        <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387</v>
      </c>
      <c r="D2197" t="s">
        <v>28</v>
      </c>
      <c r="E2197" t="s">
        <v>388</v>
      </c>
      <c r="G2197">
        <v>1</v>
      </c>
      <c r="H2197">
        <v>1000</v>
      </c>
      <c r="I2197">
        <v>1</v>
      </c>
      <c r="J2197" cm="1">
        <f t="array" ref="J2197">_xlfn.SWITCH(B2197,1,75,2,61,3,49,4,37,5,25,6,13,7,4,8,1)</f>
        <v>4</v>
      </c>
      <c r="K2197" t="str" cm="1">
        <f t="array" ref="K2197">IFERROR(_xlfn.SWITCH(L2197,2,_xlfn.XLOOKUP(C2197,[1]ModifierDes!$B:$B,[1]ModifierDes!$C:$C),3,_xlfn.XLOOKUP(C2197,[1]StuntDes!$B:$B,[1]StuntDes!$C:$C)),"")</f>
        <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387</v>
      </c>
      <c r="D2198" t="s">
        <v>28</v>
      </c>
      <c r="E2198" t="s">
        <v>388</v>
      </c>
      <c r="G2198">
        <v>1</v>
      </c>
      <c r="H2198">
        <v>1000</v>
      </c>
      <c r="I2198">
        <v>1</v>
      </c>
      <c r="J2198" cm="1">
        <f t="array" ref="J2198">_xlfn.SWITCH(B2198,1,75,2,61,3,49,4,37,5,25,6,13,7,4,8,1)</f>
        <v>1</v>
      </c>
      <c r="K2198" t="str" cm="1">
        <f t="array" ref="K2198">IFERROR(_xlfn.SWITCH(L2198,2,_xlfn.XLOOKUP(C2198,[1]ModifierDes!$B:$B,[1]ModifierDes!$C:$C),3,_xlfn.XLOOKUP(C2198,[1]StuntDes!$B:$B,[1]StuntDes!$C:$C)),"")</f>
        <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389</v>
      </c>
      <c r="D2199" t="s">
        <v>28</v>
      </c>
      <c r="E2199" t="s">
        <v>388</v>
      </c>
      <c r="G2199">
        <v>1</v>
      </c>
      <c r="H2199">
        <v>100</v>
      </c>
      <c r="I2199">
        <v>1</v>
      </c>
      <c r="J2199" cm="1">
        <f t="array" ref="J2199">_xlfn.SWITCH(B2199,1,75,2,61,3,49,4,37,5,25,6,13,7,4,8,1)</f>
        <v>75</v>
      </c>
      <c r="K2199" t="str" cm="1">
        <f t="array" ref="K2199">IFERROR(_xlfn.SWITCH(L2199,2,_xlfn.XLOOKUP(C2199,[1]ModifierDes!$B:$B,[1]ModifierDes!$C:$C),3,_xlfn.XLOOKUP(C2199,[1]StuntDes!$B:$B,[1]StuntDes!$C:$C)),"")</f>
        <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389</v>
      </c>
      <c r="D2200" t="s">
        <v>28</v>
      </c>
      <c r="E2200" t="s">
        <v>388</v>
      </c>
      <c r="G2200">
        <v>1</v>
      </c>
      <c r="H2200">
        <v>200</v>
      </c>
      <c r="I2200">
        <v>1</v>
      </c>
      <c r="J2200" cm="1">
        <f t="array" ref="J2200">_xlfn.SWITCH(B2200,1,75,2,61,3,49,4,37,5,25,6,13,7,4,8,1)</f>
        <v>61</v>
      </c>
      <c r="K2200" t="str" cm="1">
        <f t="array" ref="K2200">IFERROR(_xlfn.SWITCH(L2200,2,_xlfn.XLOOKUP(C2200,[1]ModifierDes!$B:$B,[1]ModifierDes!$C:$C),3,_xlfn.XLOOKUP(C2200,[1]StuntDes!$B:$B,[1]StuntDes!$C:$C)),"")</f>
        <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389</v>
      </c>
      <c r="D2201" t="s">
        <v>28</v>
      </c>
      <c r="E2201" t="s">
        <v>388</v>
      </c>
      <c r="G2201">
        <v>1</v>
      </c>
      <c r="H2201">
        <v>400</v>
      </c>
      <c r="I2201">
        <v>1</v>
      </c>
      <c r="J2201" cm="1">
        <f t="array" ref="J2201">_xlfn.SWITCH(B2201,1,75,2,61,3,49,4,37,5,25,6,13,7,4,8,1)</f>
        <v>49</v>
      </c>
      <c r="K2201" t="str" cm="1">
        <f t="array" ref="K2201">IFERROR(_xlfn.SWITCH(L2201,2,_xlfn.XLOOKUP(C2201,[1]ModifierDes!$B:$B,[1]ModifierDes!$C:$C),3,_xlfn.XLOOKUP(C2201,[1]StuntDes!$B:$B,[1]StuntDes!$C:$C)),"")</f>
        <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389</v>
      </c>
      <c r="D2202" t="s">
        <v>28</v>
      </c>
      <c r="E2202" t="s">
        <v>388</v>
      </c>
      <c r="G2202">
        <v>1</v>
      </c>
      <c r="H2202">
        <v>600</v>
      </c>
      <c r="I2202">
        <v>1</v>
      </c>
      <c r="J2202" cm="1">
        <f t="array" ref="J2202">_xlfn.SWITCH(B2202,1,75,2,61,3,49,4,37,5,25,6,13,7,4,8,1)</f>
        <v>37</v>
      </c>
      <c r="K2202" t="str" cm="1">
        <f t="array" ref="K2202">IFERROR(_xlfn.SWITCH(L2202,2,_xlfn.XLOOKUP(C2202,[1]ModifierDes!$B:$B,[1]ModifierDes!$C:$C),3,_xlfn.XLOOKUP(C2202,[1]StuntDes!$B:$B,[1]StuntDes!$C:$C)),"")</f>
        <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389</v>
      </c>
      <c r="D2203" t="s">
        <v>28</v>
      </c>
      <c r="E2203" t="s">
        <v>388</v>
      </c>
      <c r="G2203">
        <v>1</v>
      </c>
      <c r="H2203">
        <v>800</v>
      </c>
      <c r="I2203">
        <v>1</v>
      </c>
      <c r="J2203" cm="1">
        <f t="array" ref="J2203">_xlfn.SWITCH(B2203,1,75,2,61,3,49,4,37,5,25,6,13,7,4,8,1)</f>
        <v>25</v>
      </c>
      <c r="K2203" t="str" cm="1">
        <f t="array" ref="K2203">IFERROR(_xlfn.SWITCH(L2203,2,_xlfn.XLOOKUP(C2203,[1]ModifierDes!$B:$B,[1]ModifierDes!$C:$C),3,_xlfn.XLOOKUP(C2203,[1]StuntDes!$B:$B,[1]StuntDes!$C:$C)),"")</f>
        <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389</v>
      </c>
      <c r="D2204" t="s">
        <v>28</v>
      </c>
      <c r="E2204" t="s">
        <v>388</v>
      </c>
      <c r="G2204">
        <v>1</v>
      </c>
      <c r="H2204">
        <v>1000</v>
      </c>
      <c r="I2204">
        <v>1</v>
      </c>
      <c r="J2204" cm="1">
        <f t="array" ref="J2204">_xlfn.SWITCH(B2204,1,75,2,61,3,49,4,37,5,25,6,13,7,4,8,1)</f>
        <v>13</v>
      </c>
      <c r="K2204" t="str" cm="1">
        <f t="array" ref="K2204">IFERROR(_xlfn.SWITCH(L2204,2,_xlfn.XLOOKUP(C2204,[1]ModifierDes!$B:$B,[1]ModifierDes!$C:$C),3,_xlfn.XLOOKUP(C2204,[1]StuntDes!$B:$B,[1]StuntDes!$C:$C)),"")</f>
        <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389</v>
      </c>
      <c r="D2205" t="s">
        <v>28</v>
      </c>
      <c r="E2205" t="s">
        <v>388</v>
      </c>
      <c r="G2205">
        <v>1</v>
      </c>
      <c r="H2205">
        <v>1000</v>
      </c>
      <c r="I2205">
        <v>1</v>
      </c>
      <c r="J2205" cm="1">
        <f t="array" ref="J2205">_xlfn.SWITCH(B2205,1,75,2,61,3,49,4,37,5,25,6,13,7,4,8,1)</f>
        <v>4</v>
      </c>
      <c r="K2205" t="str" cm="1">
        <f t="array" ref="K2205">IFERROR(_xlfn.SWITCH(L2205,2,_xlfn.XLOOKUP(C2205,[1]ModifierDes!$B:$B,[1]ModifierDes!$C:$C),3,_xlfn.XLOOKUP(C2205,[1]StuntDes!$B:$B,[1]StuntDes!$C:$C)),"")</f>
        <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389</v>
      </c>
      <c r="D2206" t="s">
        <v>28</v>
      </c>
      <c r="E2206" t="s">
        <v>388</v>
      </c>
      <c r="G2206">
        <v>1</v>
      </c>
      <c r="H2206">
        <v>1000</v>
      </c>
      <c r="I2206">
        <v>1</v>
      </c>
      <c r="J2206" cm="1">
        <f t="array" ref="J2206">_xlfn.SWITCH(B2206,1,75,2,61,3,49,4,37,5,25,6,13,7,4,8,1)</f>
        <v>1</v>
      </c>
      <c r="K2206" t="str" cm="1">
        <f t="array" ref="K2206">IFERROR(_xlfn.SWITCH(L2206,2,_xlfn.XLOOKUP(C2206,[1]ModifierDes!$B:$B,[1]ModifierDes!$C:$C),3,_xlfn.XLOOKUP(C2206,[1]StuntDes!$B:$B,[1]StuntDes!$C:$C)),"")</f>
        <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390</v>
      </c>
      <c r="D2207" t="s">
        <v>28</v>
      </c>
      <c r="E2207" t="s">
        <v>388</v>
      </c>
      <c r="G2207">
        <v>1</v>
      </c>
      <c r="H2207">
        <v>100</v>
      </c>
      <c r="I2207">
        <v>1</v>
      </c>
      <c r="J2207" cm="1">
        <f t="array" ref="J2207">_xlfn.SWITCH(B2207,1,75,2,61,3,49,4,37,5,25,6,13,7,4,8,1)</f>
        <v>75</v>
      </c>
      <c r="K2207" t="str" cm="1">
        <f t="array" ref="K2207">IFERROR(_xlfn.SWITCH(L2207,2,_xlfn.XLOOKUP(C2207,[1]ModifierDes!$B:$B,[1]ModifierDes!$C:$C),3,_xlfn.XLOOKUP(C2207,[1]StuntDes!$B:$B,[1]StuntDes!$C:$C)),"")</f>
        <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390</v>
      </c>
      <c r="D2208" t="s">
        <v>28</v>
      </c>
      <c r="E2208" t="s">
        <v>388</v>
      </c>
      <c r="G2208">
        <v>1</v>
      </c>
      <c r="H2208">
        <v>200</v>
      </c>
      <c r="I2208">
        <v>1</v>
      </c>
      <c r="J2208" cm="1">
        <f t="array" ref="J2208">_xlfn.SWITCH(B2208,1,75,2,61,3,49,4,37,5,25,6,13,7,4,8,1)</f>
        <v>61</v>
      </c>
      <c r="K2208" t="str" cm="1">
        <f t="array" ref="K2208">IFERROR(_xlfn.SWITCH(L2208,2,_xlfn.XLOOKUP(C2208,[1]ModifierDes!$B:$B,[1]ModifierDes!$C:$C),3,_xlfn.XLOOKUP(C2208,[1]StuntDes!$B:$B,[1]StuntDes!$C:$C)),"")</f>
        <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390</v>
      </c>
      <c r="D2209" t="s">
        <v>28</v>
      </c>
      <c r="E2209" t="s">
        <v>388</v>
      </c>
      <c r="G2209">
        <v>1</v>
      </c>
      <c r="H2209">
        <v>400</v>
      </c>
      <c r="I2209">
        <v>1</v>
      </c>
      <c r="J2209" cm="1">
        <f t="array" ref="J2209">_xlfn.SWITCH(B2209,1,75,2,61,3,49,4,37,5,25,6,13,7,4,8,1)</f>
        <v>49</v>
      </c>
      <c r="K2209" t="str" cm="1">
        <f t="array" ref="K2209">IFERROR(_xlfn.SWITCH(L2209,2,_xlfn.XLOOKUP(C2209,[1]ModifierDes!$B:$B,[1]ModifierDes!$C:$C),3,_xlfn.XLOOKUP(C2209,[1]StuntDes!$B:$B,[1]StuntDes!$C:$C)),"")</f>
        <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390</v>
      </c>
      <c r="D2210" t="s">
        <v>28</v>
      </c>
      <c r="E2210" t="s">
        <v>388</v>
      </c>
      <c r="G2210">
        <v>1</v>
      </c>
      <c r="H2210">
        <v>600</v>
      </c>
      <c r="I2210">
        <v>1</v>
      </c>
      <c r="J2210" cm="1">
        <f t="array" ref="J2210">_xlfn.SWITCH(B2210,1,75,2,61,3,49,4,37,5,25,6,13,7,4,8,1)</f>
        <v>37</v>
      </c>
      <c r="K2210" t="str" cm="1">
        <f t="array" ref="K2210">IFERROR(_xlfn.SWITCH(L2210,2,_xlfn.XLOOKUP(C2210,[1]ModifierDes!$B:$B,[1]ModifierDes!$C:$C),3,_xlfn.XLOOKUP(C2210,[1]StuntDes!$B:$B,[1]StuntDes!$C:$C)),"")</f>
        <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390</v>
      </c>
      <c r="D2211" t="s">
        <v>28</v>
      </c>
      <c r="E2211" t="s">
        <v>388</v>
      </c>
      <c r="G2211">
        <v>1</v>
      </c>
      <c r="H2211">
        <v>800</v>
      </c>
      <c r="I2211">
        <v>1</v>
      </c>
      <c r="J2211" cm="1">
        <f t="array" ref="J2211">_xlfn.SWITCH(B2211,1,75,2,61,3,49,4,37,5,25,6,13,7,4,8,1)</f>
        <v>25</v>
      </c>
      <c r="K2211" t="str" cm="1">
        <f t="array" ref="K2211">IFERROR(_xlfn.SWITCH(L2211,2,_xlfn.XLOOKUP(C2211,[1]ModifierDes!$B:$B,[1]ModifierDes!$C:$C),3,_xlfn.XLOOKUP(C2211,[1]StuntDes!$B:$B,[1]StuntDes!$C:$C)),"")</f>
        <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390</v>
      </c>
      <c r="D2212" t="s">
        <v>28</v>
      </c>
      <c r="E2212" t="s">
        <v>388</v>
      </c>
      <c r="G2212">
        <v>1</v>
      </c>
      <c r="H2212">
        <v>1000</v>
      </c>
      <c r="I2212">
        <v>1</v>
      </c>
      <c r="J2212" cm="1">
        <f t="array" ref="J2212">_xlfn.SWITCH(B2212,1,75,2,61,3,49,4,37,5,25,6,13,7,4,8,1)</f>
        <v>13</v>
      </c>
      <c r="K2212" t="str" cm="1">
        <f t="array" ref="K2212">IFERROR(_xlfn.SWITCH(L2212,2,_xlfn.XLOOKUP(C2212,[1]ModifierDes!$B:$B,[1]ModifierDes!$C:$C),3,_xlfn.XLOOKUP(C2212,[1]StuntDes!$B:$B,[1]StuntDes!$C:$C)),"")</f>
        <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390</v>
      </c>
      <c r="D2213" t="s">
        <v>28</v>
      </c>
      <c r="E2213" t="s">
        <v>388</v>
      </c>
      <c r="G2213">
        <v>1</v>
      </c>
      <c r="H2213">
        <v>1000</v>
      </c>
      <c r="I2213">
        <v>1</v>
      </c>
      <c r="J2213" cm="1">
        <f t="array" ref="J2213">_xlfn.SWITCH(B2213,1,75,2,61,3,49,4,37,5,25,6,13,7,4,8,1)</f>
        <v>4</v>
      </c>
      <c r="K2213" t="str" cm="1">
        <f t="array" ref="K2213">IFERROR(_xlfn.SWITCH(L2213,2,_xlfn.XLOOKUP(C2213,[1]ModifierDes!$B:$B,[1]ModifierDes!$C:$C),3,_xlfn.XLOOKUP(C2213,[1]StuntDes!$B:$B,[1]StuntDes!$C:$C)),"")</f>
        <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390</v>
      </c>
      <c r="D2214" t="s">
        <v>28</v>
      </c>
      <c r="E2214" t="s">
        <v>388</v>
      </c>
      <c r="G2214">
        <v>1</v>
      </c>
      <c r="H2214">
        <v>1000</v>
      </c>
      <c r="I2214">
        <v>1</v>
      </c>
      <c r="J2214" cm="1">
        <f t="array" ref="J2214">_xlfn.SWITCH(B2214,1,75,2,61,3,49,4,37,5,25,6,13,7,4,8,1)</f>
        <v>1</v>
      </c>
      <c r="K2214" t="str" cm="1">
        <f t="array" ref="K2214">IFERROR(_xlfn.SWITCH(L2214,2,_xlfn.XLOOKUP(C2214,[1]ModifierDes!$B:$B,[1]ModifierDes!$C:$C),3,_xlfn.XLOOKUP(C2214,[1]StuntDes!$B:$B,[1]StuntDes!$C:$C)),"")</f>
        <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391</v>
      </c>
      <c r="D2215" t="s">
        <v>28</v>
      </c>
      <c r="E2215" t="s">
        <v>388</v>
      </c>
      <c r="G2215">
        <v>1</v>
      </c>
      <c r="H2215">
        <v>100</v>
      </c>
      <c r="I2215">
        <v>1</v>
      </c>
      <c r="J2215" cm="1">
        <f t="array" ref="J2215">_xlfn.SWITCH(B2215,1,75,2,61,3,49,4,37,5,25,6,13,7,4,8,1)</f>
        <v>75</v>
      </c>
      <c r="K2215" t="str" cm="1">
        <f t="array" ref="K2215">IFERROR(_xlfn.SWITCH(L2215,2,_xlfn.XLOOKUP(C2215,[1]ModifierDes!$B:$B,[1]ModifierDes!$C:$C),3,_xlfn.XLOOKUP(C2215,[1]StuntDes!$B:$B,[1]StuntDes!$C:$C)),"")</f>
        <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391</v>
      </c>
      <c r="D2216" t="s">
        <v>28</v>
      </c>
      <c r="E2216" t="s">
        <v>388</v>
      </c>
      <c r="G2216">
        <v>1</v>
      </c>
      <c r="H2216">
        <v>200</v>
      </c>
      <c r="I2216">
        <v>1</v>
      </c>
      <c r="J2216" cm="1">
        <f t="array" ref="J2216">_xlfn.SWITCH(B2216,1,75,2,61,3,49,4,37,5,25,6,13,7,4,8,1)</f>
        <v>61</v>
      </c>
      <c r="K2216" t="str" cm="1">
        <f t="array" ref="K2216">IFERROR(_xlfn.SWITCH(L2216,2,_xlfn.XLOOKUP(C2216,[1]ModifierDes!$B:$B,[1]ModifierDes!$C:$C),3,_xlfn.XLOOKUP(C2216,[1]StuntDes!$B:$B,[1]StuntDes!$C:$C)),"")</f>
        <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391</v>
      </c>
      <c r="D2217" t="s">
        <v>28</v>
      </c>
      <c r="E2217" t="s">
        <v>388</v>
      </c>
      <c r="G2217">
        <v>1</v>
      </c>
      <c r="H2217">
        <v>400</v>
      </c>
      <c r="I2217">
        <v>1</v>
      </c>
      <c r="J2217" cm="1">
        <f t="array" ref="J2217">_xlfn.SWITCH(B2217,1,75,2,61,3,49,4,37,5,25,6,13,7,4,8,1)</f>
        <v>49</v>
      </c>
      <c r="K2217" t="str" cm="1">
        <f t="array" ref="K2217">IFERROR(_xlfn.SWITCH(L2217,2,_xlfn.XLOOKUP(C2217,[1]ModifierDes!$B:$B,[1]ModifierDes!$C:$C),3,_xlfn.XLOOKUP(C2217,[1]StuntDes!$B:$B,[1]StuntDes!$C:$C)),"")</f>
        <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391</v>
      </c>
      <c r="D2218" t="s">
        <v>28</v>
      </c>
      <c r="E2218" t="s">
        <v>388</v>
      </c>
      <c r="G2218">
        <v>1</v>
      </c>
      <c r="H2218">
        <v>600</v>
      </c>
      <c r="I2218">
        <v>1</v>
      </c>
      <c r="J2218" cm="1">
        <f t="array" ref="J2218">_xlfn.SWITCH(B2218,1,75,2,61,3,49,4,37,5,25,6,13,7,4,8,1)</f>
        <v>37</v>
      </c>
      <c r="K2218" t="str" cm="1">
        <f t="array" ref="K2218">IFERROR(_xlfn.SWITCH(L2218,2,_xlfn.XLOOKUP(C2218,[1]ModifierDes!$B:$B,[1]ModifierDes!$C:$C),3,_xlfn.XLOOKUP(C2218,[1]StuntDes!$B:$B,[1]StuntDes!$C:$C)),"")</f>
        <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391</v>
      </c>
      <c r="D2219" t="s">
        <v>28</v>
      </c>
      <c r="E2219" t="s">
        <v>388</v>
      </c>
      <c r="G2219">
        <v>1</v>
      </c>
      <c r="H2219">
        <v>800</v>
      </c>
      <c r="I2219">
        <v>1</v>
      </c>
      <c r="J2219" cm="1">
        <f t="array" ref="J2219">_xlfn.SWITCH(B2219,1,75,2,61,3,49,4,37,5,25,6,13,7,4,8,1)</f>
        <v>25</v>
      </c>
      <c r="K2219" t="str" cm="1">
        <f t="array" ref="K2219">IFERROR(_xlfn.SWITCH(L2219,2,_xlfn.XLOOKUP(C2219,[1]ModifierDes!$B:$B,[1]ModifierDes!$C:$C),3,_xlfn.XLOOKUP(C2219,[1]StuntDes!$B:$B,[1]StuntDes!$C:$C)),"")</f>
        <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391</v>
      </c>
      <c r="D2220" t="s">
        <v>28</v>
      </c>
      <c r="E2220" t="s">
        <v>388</v>
      </c>
      <c r="G2220">
        <v>1</v>
      </c>
      <c r="H2220">
        <v>1000</v>
      </c>
      <c r="I2220">
        <v>1</v>
      </c>
      <c r="J2220" cm="1">
        <f t="array" ref="J2220">_xlfn.SWITCH(B2220,1,75,2,61,3,49,4,37,5,25,6,13,7,4,8,1)</f>
        <v>13</v>
      </c>
      <c r="K2220" t="str" cm="1">
        <f t="array" ref="K2220">IFERROR(_xlfn.SWITCH(L2220,2,_xlfn.XLOOKUP(C2220,[1]ModifierDes!$B:$B,[1]ModifierDes!$C:$C),3,_xlfn.XLOOKUP(C2220,[1]StuntDes!$B:$B,[1]StuntDes!$C:$C)),"")</f>
        <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391</v>
      </c>
      <c r="D2221" t="s">
        <v>28</v>
      </c>
      <c r="E2221" t="s">
        <v>388</v>
      </c>
      <c r="G2221">
        <v>1</v>
      </c>
      <c r="H2221">
        <v>1000</v>
      </c>
      <c r="I2221">
        <v>1</v>
      </c>
      <c r="J2221" cm="1">
        <f t="array" ref="J2221">_xlfn.SWITCH(B2221,1,75,2,61,3,49,4,37,5,25,6,13,7,4,8,1)</f>
        <v>4</v>
      </c>
      <c r="K2221" t="str" cm="1">
        <f t="array" ref="K2221">IFERROR(_xlfn.SWITCH(L2221,2,_xlfn.XLOOKUP(C2221,[1]ModifierDes!$B:$B,[1]ModifierDes!$C:$C),3,_xlfn.XLOOKUP(C2221,[1]StuntDes!$B:$B,[1]StuntDes!$C:$C)),"")</f>
        <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391</v>
      </c>
      <c r="D2222" t="s">
        <v>28</v>
      </c>
      <c r="E2222" t="s">
        <v>388</v>
      </c>
      <c r="G2222">
        <v>1</v>
      </c>
      <c r="H2222">
        <v>1000</v>
      </c>
      <c r="I2222">
        <v>1</v>
      </c>
      <c r="J2222" cm="1">
        <f t="array" ref="J2222">_xlfn.SWITCH(B2222,1,75,2,61,3,49,4,37,5,25,6,13,7,4,8,1)</f>
        <v>1</v>
      </c>
      <c r="K2222" t="str" cm="1">
        <f t="array" ref="K2222">IFERROR(_xlfn.SWITCH(L2222,2,_xlfn.XLOOKUP(C2222,[1]ModifierDes!$B:$B,[1]ModifierDes!$C:$C),3,_xlfn.XLOOKUP(C2222,[1]StuntDes!$B:$B,[1]StuntDes!$C:$C)),"")</f>
        <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392</v>
      </c>
      <c r="D2223" t="s">
        <v>28</v>
      </c>
      <c r="E2223" t="s">
        <v>388</v>
      </c>
      <c r="G2223">
        <v>1</v>
      </c>
      <c r="H2223">
        <v>100</v>
      </c>
      <c r="I2223">
        <v>1</v>
      </c>
      <c r="J2223" cm="1">
        <f t="array" ref="J2223">_xlfn.SWITCH(B2223,1,75,2,61,3,49,4,37,5,25,6,13,7,4,8,1)</f>
        <v>75</v>
      </c>
      <c r="K2223" t="str" cm="1">
        <f t="array" ref="K2223">IFERROR(_xlfn.SWITCH(L2223,2,_xlfn.XLOOKUP(C2223,[1]ModifierDes!$B:$B,[1]ModifierDes!$C:$C),3,_xlfn.XLOOKUP(C2223,[1]StuntDes!$B:$B,[1]StuntDes!$C:$C)),"")</f>
        <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392</v>
      </c>
      <c r="D2224" t="s">
        <v>28</v>
      </c>
      <c r="E2224" t="s">
        <v>388</v>
      </c>
      <c r="G2224">
        <v>1</v>
      </c>
      <c r="H2224">
        <v>200</v>
      </c>
      <c r="I2224">
        <v>1</v>
      </c>
      <c r="J2224" cm="1">
        <f t="array" ref="J2224">_xlfn.SWITCH(B2224,1,75,2,61,3,49,4,37,5,25,6,13,7,4,8,1)</f>
        <v>61</v>
      </c>
      <c r="K2224" t="str" cm="1">
        <f t="array" ref="K2224">IFERROR(_xlfn.SWITCH(L2224,2,_xlfn.XLOOKUP(C2224,[1]ModifierDes!$B:$B,[1]ModifierDes!$C:$C),3,_xlfn.XLOOKUP(C2224,[1]StuntDes!$B:$B,[1]StuntDes!$C:$C)),"")</f>
        <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392</v>
      </c>
      <c r="D2225" t="s">
        <v>28</v>
      </c>
      <c r="E2225" t="s">
        <v>388</v>
      </c>
      <c r="G2225">
        <v>1</v>
      </c>
      <c r="H2225">
        <v>400</v>
      </c>
      <c r="I2225">
        <v>1</v>
      </c>
      <c r="J2225" cm="1">
        <f t="array" ref="J2225">_xlfn.SWITCH(B2225,1,75,2,61,3,49,4,37,5,25,6,13,7,4,8,1)</f>
        <v>49</v>
      </c>
      <c r="K2225" t="str" cm="1">
        <f t="array" ref="K2225">IFERROR(_xlfn.SWITCH(L2225,2,_xlfn.XLOOKUP(C2225,[1]ModifierDes!$B:$B,[1]ModifierDes!$C:$C),3,_xlfn.XLOOKUP(C2225,[1]StuntDes!$B:$B,[1]StuntDes!$C:$C)),"")</f>
        <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392</v>
      </c>
      <c r="D2226" t="s">
        <v>28</v>
      </c>
      <c r="E2226" t="s">
        <v>388</v>
      </c>
      <c r="G2226">
        <v>1</v>
      </c>
      <c r="H2226">
        <v>600</v>
      </c>
      <c r="I2226">
        <v>1</v>
      </c>
      <c r="J2226" cm="1">
        <f t="array" ref="J2226">_xlfn.SWITCH(B2226,1,75,2,61,3,49,4,37,5,25,6,13,7,4,8,1)</f>
        <v>37</v>
      </c>
      <c r="K2226" t="str" cm="1">
        <f t="array" ref="K2226">IFERROR(_xlfn.SWITCH(L2226,2,_xlfn.XLOOKUP(C2226,[1]ModifierDes!$B:$B,[1]ModifierDes!$C:$C),3,_xlfn.XLOOKUP(C2226,[1]StuntDes!$B:$B,[1]StuntDes!$C:$C)),"")</f>
        <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392</v>
      </c>
      <c r="D2227" t="s">
        <v>28</v>
      </c>
      <c r="E2227" t="s">
        <v>388</v>
      </c>
      <c r="G2227">
        <v>1</v>
      </c>
      <c r="H2227">
        <v>800</v>
      </c>
      <c r="I2227">
        <v>1</v>
      </c>
      <c r="J2227" cm="1">
        <f t="array" ref="J2227">_xlfn.SWITCH(B2227,1,75,2,61,3,49,4,37,5,25,6,13,7,4,8,1)</f>
        <v>25</v>
      </c>
      <c r="K2227" t="str" cm="1">
        <f t="array" ref="K2227">IFERROR(_xlfn.SWITCH(L2227,2,_xlfn.XLOOKUP(C2227,[1]ModifierDes!$B:$B,[1]ModifierDes!$C:$C),3,_xlfn.XLOOKUP(C2227,[1]StuntDes!$B:$B,[1]StuntDes!$C:$C)),"")</f>
        <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392</v>
      </c>
      <c r="D2228" t="s">
        <v>28</v>
      </c>
      <c r="E2228" t="s">
        <v>388</v>
      </c>
      <c r="G2228">
        <v>1</v>
      </c>
      <c r="H2228">
        <v>1000</v>
      </c>
      <c r="I2228">
        <v>1</v>
      </c>
      <c r="J2228" cm="1">
        <f t="array" ref="J2228">_xlfn.SWITCH(B2228,1,75,2,61,3,49,4,37,5,25,6,13,7,4,8,1)</f>
        <v>13</v>
      </c>
      <c r="K2228" t="str" cm="1">
        <f t="array" ref="K2228">IFERROR(_xlfn.SWITCH(L2228,2,_xlfn.XLOOKUP(C2228,[1]ModifierDes!$B:$B,[1]ModifierDes!$C:$C),3,_xlfn.XLOOKUP(C2228,[1]StuntDes!$B:$B,[1]StuntDes!$C:$C)),"")</f>
        <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392</v>
      </c>
      <c r="D2229" t="s">
        <v>28</v>
      </c>
      <c r="E2229" t="s">
        <v>388</v>
      </c>
      <c r="G2229">
        <v>1</v>
      </c>
      <c r="H2229">
        <v>1000</v>
      </c>
      <c r="I2229">
        <v>1</v>
      </c>
      <c r="J2229" cm="1">
        <f t="array" ref="J2229">_xlfn.SWITCH(B2229,1,75,2,61,3,49,4,37,5,25,6,13,7,4,8,1)</f>
        <v>4</v>
      </c>
      <c r="K2229" t="str" cm="1">
        <f t="array" ref="K2229">IFERROR(_xlfn.SWITCH(L2229,2,_xlfn.XLOOKUP(C2229,[1]ModifierDes!$B:$B,[1]ModifierDes!$C:$C),3,_xlfn.XLOOKUP(C2229,[1]StuntDes!$B:$B,[1]StuntDes!$C:$C)),"")</f>
        <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392</v>
      </c>
      <c r="D2230" t="s">
        <v>28</v>
      </c>
      <c r="E2230" t="s">
        <v>388</v>
      </c>
      <c r="G2230">
        <v>1</v>
      </c>
      <c r="H2230">
        <v>1000</v>
      </c>
      <c r="I2230">
        <v>1</v>
      </c>
      <c r="J2230" cm="1">
        <f t="array" ref="J2230">_xlfn.SWITCH(B2230,1,75,2,61,3,49,4,37,5,25,6,13,7,4,8,1)</f>
        <v>1</v>
      </c>
      <c r="K2230" t="str" cm="1">
        <f t="array" ref="K2230">IFERROR(_xlfn.SWITCH(L2230,2,_xlfn.XLOOKUP(C2230,[1]ModifierDes!$B:$B,[1]ModifierDes!$C:$C),3,_xlfn.XLOOKUP(C2230,[1]StuntDes!$B:$B,[1]StuntDes!$C:$C)),"")</f>
        <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393</v>
      </c>
      <c r="D2231" t="s">
        <v>28</v>
      </c>
      <c r="E2231" t="s">
        <v>388</v>
      </c>
      <c r="G2231">
        <v>1</v>
      </c>
      <c r="H2231">
        <v>1000</v>
      </c>
      <c r="J2231" cm="1">
        <f t="array" ref="J2231">_xlfn.SWITCH(B2231,1,75,2,61,3,49,4,37,5,25,6,13,7,4,8,1)</f>
        <v>75</v>
      </c>
      <c r="K2231" t="str" cm="1">
        <f t="array" ref="K2231">IFERROR(_xlfn.SWITCH(L2231,2,_xlfn.XLOOKUP(C2231,[1]ModifierDes!$B:$B,[1]ModifierDes!$C:$C),3,_xlfn.XLOOKUP(C2231,[1]StuntDes!$B:$B,[1]StuntDes!$C:$C)),"")</f>
        <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393</v>
      </c>
      <c r="D2232" t="s">
        <v>28</v>
      </c>
      <c r="E2232" t="s">
        <v>388</v>
      </c>
      <c r="G2232">
        <v>1</v>
      </c>
      <c r="H2232">
        <v>1000</v>
      </c>
      <c r="J2232" cm="1">
        <f t="array" ref="J2232">_xlfn.SWITCH(B2232,1,75,2,61,3,49,4,37,5,25,6,13,7,4,8,1)</f>
        <v>61</v>
      </c>
      <c r="K2232" t="str" cm="1">
        <f t="array" ref="K2232">IFERROR(_xlfn.SWITCH(L2232,2,_xlfn.XLOOKUP(C2232,[1]ModifierDes!$B:$B,[1]ModifierDes!$C:$C),3,_xlfn.XLOOKUP(C2232,[1]StuntDes!$B:$B,[1]StuntDes!$C:$C)),"")</f>
        <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393</v>
      </c>
      <c r="D2233" t="s">
        <v>28</v>
      </c>
      <c r="E2233" t="s">
        <v>388</v>
      </c>
      <c r="G2233">
        <v>1</v>
      </c>
      <c r="H2233">
        <v>1000</v>
      </c>
      <c r="J2233" cm="1">
        <f t="array" ref="J2233">_xlfn.SWITCH(B2233,1,75,2,61,3,49,4,37,5,25,6,13,7,4,8,1)</f>
        <v>49</v>
      </c>
      <c r="K2233" t="str" cm="1">
        <f t="array" ref="K2233">IFERROR(_xlfn.SWITCH(L2233,2,_xlfn.XLOOKUP(C2233,[1]ModifierDes!$B:$B,[1]ModifierDes!$C:$C),3,_xlfn.XLOOKUP(C2233,[1]StuntDes!$B:$B,[1]StuntDes!$C:$C)),"")</f>
        <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393</v>
      </c>
      <c r="D2234" t="s">
        <v>28</v>
      </c>
      <c r="E2234" t="s">
        <v>388</v>
      </c>
      <c r="G2234">
        <v>1</v>
      </c>
      <c r="H2234">
        <v>1000</v>
      </c>
      <c r="J2234" cm="1">
        <f t="array" ref="J2234">_xlfn.SWITCH(B2234,1,75,2,61,3,49,4,37,5,25,6,13,7,4,8,1)</f>
        <v>37</v>
      </c>
      <c r="K2234" t="str" cm="1">
        <f t="array" ref="K2234">IFERROR(_xlfn.SWITCH(L2234,2,_xlfn.XLOOKUP(C2234,[1]ModifierDes!$B:$B,[1]ModifierDes!$C:$C),3,_xlfn.XLOOKUP(C2234,[1]StuntDes!$B:$B,[1]StuntDes!$C:$C)),"")</f>
        <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393</v>
      </c>
      <c r="D2235" t="s">
        <v>28</v>
      </c>
      <c r="E2235" t="s">
        <v>388</v>
      </c>
      <c r="G2235">
        <v>1</v>
      </c>
      <c r="H2235">
        <v>1000</v>
      </c>
      <c r="J2235" cm="1">
        <f t="array" ref="J2235">_xlfn.SWITCH(B2235,1,75,2,61,3,49,4,37,5,25,6,13,7,4,8,1)</f>
        <v>25</v>
      </c>
      <c r="K2235" t="str" cm="1">
        <f t="array" ref="K2235">IFERROR(_xlfn.SWITCH(L2235,2,_xlfn.XLOOKUP(C2235,[1]ModifierDes!$B:$B,[1]ModifierDes!$C:$C),3,_xlfn.XLOOKUP(C2235,[1]StuntDes!$B:$B,[1]StuntDes!$C:$C)),"")</f>
        <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393</v>
      </c>
      <c r="D2236" t="s">
        <v>28</v>
      </c>
      <c r="E2236" t="s">
        <v>388</v>
      </c>
      <c r="G2236">
        <v>1</v>
      </c>
      <c r="H2236">
        <v>1000</v>
      </c>
      <c r="J2236" cm="1">
        <f t="array" ref="J2236">_xlfn.SWITCH(B2236,1,75,2,61,3,49,4,37,5,25,6,13,7,4,8,1)</f>
        <v>13</v>
      </c>
      <c r="K2236" t="str" cm="1">
        <f t="array" ref="K2236">IFERROR(_xlfn.SWITCH(L2236,2,_xlfn.XLOOKUP(C2236,[1]ModifierDes!$B:$B,[1]ModifierDes!$C:$C),3,_xlfn.XLOOKUP(C2236,[1]StuntDes!$B:$B,[1]StuntDes!$C:$C)),"")</f>
        <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393</v>
      </c>
      <c r="D2237" t="s">
        <v>28</v>
      </c>
      <c r="E2237" t="s">
        <v>388</v>
      </c>
      <c r="G2237">
        <v>1</v>
      </c>
      <c r="H2237">
        <v>1000</v>
      </c>
      <c r="J2237" cm="1">
        <f t="array" ref="J2237">_xlfn.SWITCH(B2237,1,75,2,61,3,49,4,37,5,25,6,13,7,4,8,1)</f>
        <v>4</v>
      </c>
      <c r="K2237" t="str" cm="1">
        <f t="array" ref="K2237">IFERROR(_xlfn.SWITCH(L2237,2,_xlfn.XLOOKUP(C2237,[1]ModifierDes!$B:$B,[1]ModifierDes!$C:$C),3,_xlfn.XLOOKUP(C2237,[1]StuntDes!$B:$B,[1]StuntDes!$C:$C)),"")</f>
        <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393</v>
      </c>
      <c r="D2238" t="s">
        <v>28</v>
      </c>
      <c r="E2238" t="s">
        <v>388</v>
      </c>
      <c r="G2238">
        <v>1</v>
      </c>
      <c r="H2238">
        <v>1000</v>
      </c>
      <c r="J2238" cm="1">
        <f t="array" ref="J2238">_xlfn.SWITCH(B2238,1,75,2,61,3,49,4,37,5,25,6,13,7,4,8,1)</f>
        <v>1</v>
      </c>
      <c r="K2238" t="str" cm="1">
        <f t="array" ref="K2238">IFERROR(_xlfn.SWITCH(L2238,2,_xlfn.XLOOKUP(C2238,[1]ModifierDes!$B:$B,[1]ModifierDes!$C:$C),3,_xlfn.XLOOKUP(C2238,[1]StuntDes!$B:$B,[1]StuntDes!$C:$C)),"")</f>
        <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394</v>
      </c>
      <c r="D2239" t="s">
        <v>28</v>
      </c>
      <c r="E2239" t="s">
        <v>388</v>
      </c>
      <c r="G2239">
        <v>1</v>
      </c>
      <c r="H2239">
        <v>1000</v>
      </c>
      <c r="J2239" cm="1">
        <f t="array" ref="J2239">_xlfn.SWITCH(B2239,1,75,2,61,3,49,4,37,5,25,6,13,7,4,8,1)</f>
        <v>75</v>
      </c>
      <c r="K2239" t="str" cm="1">
        <f t="array" ref="K2239">IFERROR(_xlfn.SWITCH(L2239,2,_xlfn.XLOOKUP(C2239,[1]ModifierDes!$B:$B,[1]ModifierDes!$C:$C),3,_xlfn.XLOOKUP(C2239,[1]StuntDes!$B:$B,[1]StuntDes!$C:$C)),"")</f>
        <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394</v>
      </c>
      <c r="D2240" t="s">
        <v>28</v>
      </c>
      <c r="E2240" t="s">
        <v>388</v>
      </c>
      <c r="G2240">
        <v>1</v>
      </c>
      <c r="H2240">
        <v>1000</v>
      </c>
      <c r="J2240" cm="1">
        <f t="array" ref="J2240">_xlfn.SWITCH(B2240,1,75,2,61,3,49,4,37,5,25,6,13,7,4,8,1)</f>
        <v>61</v>
      </c>
      <c r="K2240" t="str" cm="1">
        <f t="array" ref="K2240">IFERROR(_xlfn.SWITCH(L2240,2,_xlfn.XLOOKUP(C2240,[1]ModifierDes!$B:$B,[1]ModifierDes!$C:$C),3,_xlfn.XLOOKUP(C2240,[1]StuntDes!$B:$B,[1]StuntDes!$C:$C)),"")</f>
        <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394</v>
      </c>
      <c r="D2241" t="s">
        <v>28</v>
      </c>
      <c r="E2241" t="s">
        <v>388</v>
      </c>
      <c r="G2241">
        <v>1</v>
      </c>
      <c r="H2241">
        <v>1000</v>
      </c>
      <c r="J2241" cm="1">
        <f t="array" ref="J2241">_xlfn.SWITCH(B2241,1,75,2,61,3,49,4,37,5,25,6,13,7,4,8,1)</f>
        <v>49</v>
      </c>
      <c r="K2241" t="str" cm="1">
        <f t="array" ref="K2241">IFERROR(_xlfn.SWITCH(L2241,2,_xlfn.XLOOKUP(C2241,[1]ModifierDes!$B:$B,[1]ModifierDes!$C:$C),3,_xlfn.XLOOKUP(C2241,[1]StuntDes!$B:$B,[1]StuntDes!$C:$C)),"")</f>
        <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394</v>
      </c>
      <c r="D2242" t="s">
        <v>28</v>
      </c>
      <c r="E2242" t="s">
        <v>388</v>
      </c>
      <c r="G2242">
        <v>1</v>
      </c>
      <c r="H2242">
        <v>1000</v>
      </c>
      <c r="J2242" cm="1">
        <f t="array" ref="J2242">_xlfn.SWITCH(B2242,1,75,2,61,3,49,4,37,5,25,6,13,7,4,8,1)</f>
        <v>37</v>
      </c>
      <c r="K2242" t="str" cm="1">
        <f t="array" ref="K2242">IFERROR(_xlfn.SWITCH(L2242,2,_xlfn.XLOOKUP(C2242,[1]ModifierDes!$B:$B,[1]ModifierDes!$C:$C),3,_xlfn.XLOOKUP(C2242,[1]StuntDes!$B:$B,[1]StuntDes!$C:$C)),"")</f>
        <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394</v>
      </c>
      <c r="D2243" t="s">
        <v>28</v>
      </c>
      <c r="E2243" t="s">
        <v>388</v>
      </c>
      <c r="G2243">
        <v>1</v>
      </c>
      <c r="H2243">
        <v>1000</v>
      </c>
      <c r="J2243" cm="1">
        <f t="array" ref="J2243">_xlfn.SWITCH(B2243,1,75,2,61,3,49,4,37,5,25,6,13,7,4,8,1)</f>
        <v>25</v>
      </c>
      <c r="K2243" t="str" cm="1">
        <f t="array" ref="K2243">IFERROR(_xlfn.SWITCH(L2243,2,_xlfn.XLOOKUP(C2243,[1]ModifierDes!$B:$B,[1]ModifierDes!$C:$C),3,_xlfn.XLOOKUP(C2243,[1]StuntDes!$B:$B,[1]StuntDes!$C:$C)),"")</f>
        <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394</v>
      </c>
      <c r="D2244" t="s">
        <v>28</v>
      </c>
      <c r="E2244" t="s">
        <v>388</v>
      </c>
      <c r="G2244">
        <v>1</v>
      </c>
      <c r="H2244">
        <v>1000</v>
      </c>
      <c r="J2244" cm="1">
        <f t="array" ref="J2244">_xlfn.SWITCH(B2244,1,75,2,61,3,49,4,37,5,25,6,13,7,4,8,1)</f>
        <v>13</v>
      </c>
      <c r="K2244" t="str" cm="1">
        <f t="array" ref="K2244">IFERROR(_xlfn.SWITCH(L2244,2,_xlfn.XLOOKUP(C2244,[1]ModifierDes!$B:$B,[1]ModifierDes!$C:$C),3,_xlfn.XLOOKUP(C2244,[1]StuntDes!$B:$B,[1]StuntDes!$C:$C)),"")</f>
        <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394</v>
      </c>
      <c r="D2245" t="s">
        <v>28</v>
      </c>
      <c r="E2245" t="s">
        <v>388</v>
      </c>
      <c r="G2245">
        <v>1</v>
      </c>
      <c r="H2245">
        <v>1000</v>
      </c>
      <c r="J2245" cm="1">
        <f t="array" ref="J2245">_xlfn.SWITCH(B2245,1,75,2,61,3,49,4,37,5,25,6,13,7,4,8,1)</f>
        <v>4</v>
      </c>
      <c r="K2245" t="str" cm="1">
        <f t="array" ref="K2245">IFERROR(_xlfn.SWITCH(L2245,2,_xlfn.XLOOKUP(C2245,[1]ModifierDes!$B:$B,[1]ModifierDes!$C:$C),3,_xlfn.XLOOKUP(C2245,[1]StuntDes!$B:$B,[1]StuntDes!$C:$C)),"")</f>
        <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394</v>
      </c>
      <c r="D2246" t="s">
        <v>28</v>
      </c>
      <c r="E2246" t="s">
        <v>388</v>
      </c>
      <c r="G2246">
        <v>1</v>
      </c>
      <c r="H2246">
        <v>1000</v>
      </c>
      <c r="J2246" cm="1">
        <f t="array" ref="J2246">_xlfn.SWITCH(B2246,1,75,2,61,3,49,4,37,5,25,6,13,7,4,8,1)</f>
        <v>1</v>
      </c>
      <c r="K2246" t="str" cm="1">
        <f t="array" ref="K2246">IFERROR(_xlfn.SWITCH(L2246,2,_xlfn.XLOOKUP(C2246,[1]ModifierDes!$B:$B,[1]ModifierDes!$C:$C),3,_xlfn.XLOOKUP(C2246,[1]StuntDes!$B:$B,[1]StuntDes!$C:$C)),"")</f>
        <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395</v>
      </c>
      <c r="D2247" t="s">
        <v>28</v>
      </c>
      <c r="E2247" t="s">
        <v>388</v>
      </c>
      <c r="G2247">
        <v>1</v>
      </c>
      <c r="H2247">
        <v>1000</v>
      </c>
      <c r="J2247" cm="1">
        <f t="array" ref="J2247">_xlfn.SWITCH(B2247,1,75,2,61,3,49,4,37,5,25,6,13,7,4,8,1)</f>
        <v>75</v>
      </c>
      <c r="K2247" t="str" cm="1">
        <f t="array" ref="K2247">IFERROR(_xlfn.SWITCH(L2247,2,_xlfn.XLOOKUP(C2247,[1]ModifierDes!$B:$B,[1]ModifierDes!$C:$C),3,_xlfn.XLOOKUP(C2247,[1]StuntDes!$B:$B,[1]StuntDes!$C:$C)),"")</f>
        <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395</v>
      </c>
      <c r="D2248" t="s">
        <v>28</v>
      </c>
      <c r="E2248" t="s">
        <v>388</v>
      </c>
      <c r="G2248">
        <v>1</v>
      </c>
      <c r="H2248">
        <v>1000</v>
      </c>
      <c r="J2248" cm="1">
        <f t="array" ref="J2248">_xlfn.SWITCH(B2248,1,75,2,61,3,49,4,37,5,25,6,13,7,4,8,1)</f>
        <v>61</v>
      </c>
      <c r="K2248" t="str" cm="1">
        <f t="array" ref="K2248">IFERROR(_xlfn.SWITCH(L2248,2,_xlfn.XLOOKUP(C2248,[1]ModifierDes!$B:$B,[1]ModifierDes!$C:$C),3,_xlfn.XLOOKUP(C2248,[1]StuntDes!$B:$B,[1]StuntDes!$C:$C)),"")</f>
        <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395</v>
      </c>
      <c r="D2249" t="s">
        <v>28</v>
      </c>
      <c r="E2249" t="s">
        <v>388</v>
      </c>
      <c r="G2249">
        <v>1</v>
      </c>
      <c r="H2249">
        <v>1000</v>
      </c>
      <c r="J2249" cm="1">
        <f t="array" ref="J2249">_xlfn.SWITCH(B2249,1,75,2,61,3,49,4,37,5,25,6,13,7,4,8,1)</f>
        <v>49</v>
      </c>
      <c r="K2249" t="str" cm="1">
        <f t="array" ref="K2249">IFERROR(_xlfn.SWITCH(L2249,2,_xlfn.XLOOKUP(C2249,[1]ModifierDes!$B:$B,[1]ModifierDes!$C:$C),3,_xlfn.XLOOKUP(C2249,[1]StuntDes!$B:$B,[1]StuntDes!$C:$C)),"")</f>
        <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395</v>
      </c>
      <c r="D2250" t="s">
        <v>28</v>
      </c>
      <c r="E2250" t="s">
        <v>388</v>
      </c>
      <c r="G2250">
        <v>1</v>
      </c>
      <c r="H2250">
        <v>1000</v>
      </c>
      <c r="J2250" cm="1">
        <f t="array" ref="J2250">_xlfn.SWITCH(B2250,1,75,2,61,3,49,4,37,5,25,6,13,7,4,8,1)</f>
        <v>37</v>
      </c>
      <c r="K2250" t="str" cm="1">
        <f t="array" ref="K2250">IFERROR(_xlfn.SWITCH(L2250,2,_xlfn.XLOOKUP(C2250,[1]ModifierDes!$B:$B,[1]ModifierDes!$C:$C),3,_xlfn.XLOOKUP(C2250,[1]StuntDes!$B:$B,[1]StuntDes!$C:$C)),"")</f>
        <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395</v>
      </c>
      <c r="D2251" t="s">
        <v>28</v>
      </c>
      <c r="E2251" t="s">
        <v>388</v>
      </c>
      <c r="G2251">
        <v>1</v>
      </c>
      <c r="H2251">
        <v>1000</v>
      </c>
      <c r="J2251" cm="1">
        <f t="array" ref="J2251">_xlfn.SWITCH(B2251,1,75,2,61,3,49,4,37,5,25,6,13,7,4,8,1)</f>
        <v>25</v>
      </c>
      <c r="K2251" t="str" cm="1">
        <f t="array" ref="K2251">IFERROR(_xlfn.SWITCH(L2251,2,_xlfn.XLOOKUP(C2251,[1]ModifierDes!$B:$B,[1]ModifierDes!$C:$C),3,_xlfn.XLOOKUP(C2251,[1]StuntDes!$B:$B,[1]StuntDes!$C:$C)),"")</f>
        <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395</v>
      </c>
      <c r="D2252" t="s">
        <v>28</v>
      </c>
      <c r="E2252" t="s">
        <v>388</v>
      </c>
      <c r="G2252">
        <v>1</v>
      </c>
      <c r="H2252">
        <v>1000</v>
      </c>
      <c r="J2252" cm="1">
        <f t="array" ref="J2252">_xlfn.SWITCH(B2252,1,75,2,61,3,49,4,37,5,25,6,13,7,4,8,1)</f>
        <v>13</v>
      </c>
      <c r="K2252" t="str" cm="1">
        <f t="array" ref="K2252">IFERROR(_xlfn.SWITCH(L2252,2,_xlfn.XLOOKUP(C2252,[1]ModifierDes!$B:$B,[1]ModifierDes!$C:$C),3,_xlfn.XLOOKUP(C2252,[1]StuntDes!$B:$B,[1]StuntDes!$C:$C)),"")</f>
        <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395</v>
      </c>
      <c r="D2253" t="s">
        <v>28</v>
      </c>
      <c r="E2253" t="s">
        <v>388</v>
      </c>
      <c r="G2253">
        <v>1</v>
      </c>
      <c r="H2253">
        <v>1000</v>
      </c>
      <c r="J2253" cm="1">
        <f t="array" ref="J2253">_xlfn.SWITCH(B2253,1,75,2,61,3,49,4,37,5,25,6,13,7,4,8,1)</f>
        <v>4</v>
      </c>
      <c r="K2253" t="str" cm="1">
        <f t="array" ref="K2253">IFERROR(_xlfn.SWITCH(L2253,2,_xlfn.XLOOKUP(C2253,[1]ModifierDes!$B:$B,[1]ModifierDes!$C:$C),3,_xlfn.XLOOKUP(C2253,[1]StuntDes!$B:$B,[1]StuntDes!$C:$C)),"")</f>
        <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395</v>
      </c>
      <c r="D2254" t="s">
        <v>28</v>
      </c>
      <c r="E2254" t="s">
        <v>388</v>
      </c>
      <c r="G2254">
        <v>1</v>
      </c>
      <c r="H2254">
        <v>1000</v>
      </c>
      <c r="J2254" cm="1">
        <f t="array" ref="J2254">_xlfn.SWITCH(B2254,1,75,2,61,3,49,4,37,5,25,6,13,7,4,8,1)</f>
        <v>1</v>
      </c>
      <c r="K2254" t="str" cm="1">
        <f t="array" ref="K2254">IFERROR(_xlfn.SWITCH(L2254,2,_xlfn.XLOOKUP(C2254,[1]ModifierDes!$B:$B,[1]ModifierDes!$C:$C),3,_xlfn.XLOOKUP(C2254,[1]StuntDes!$B:$B,[1]StuntDes!$C:$C)),"")</f>
        <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396</v>
      </c>
      <c r="D2255" t="s">
        <v>28</v>
      </c>
      <c r="E2255" t="s">
        <v>388</v>
      </c>
      <c r="G2255">
        <v>1</v>
      </c>
      <c r="H2255">
        <v>1000</v>
      </c>
      <c r="J2255" cm="1">
        <f t="array" ref="J2255">_xlfn.SWITCH(B2255,1,75,2,61,3,49,4,37,5,25,6,13,7,4,8,1)</f>
        <v>75</v>
      </c>
      <c r="K2255" t="str" cm="1">
        <f t="array" ref="K2255">IFERROR(_xlfn.SWITCH(L2255,2,_xlfn.XLOOKUP(C2255,[1]ModifierDes!$B:$B,[1]ModifierDes!$C:$C),3,_xlfn.XLOOKUP(C2255,[1]StuntDes!$B:$B,[1]StuntDes!$C:$C)),"")</f>
        <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396</v>
      </c>
      <c r="D2256" t="s">
        <v>28</v>
      </c>
      <c r="E2256" t="s">
        <v>388</v>
      </c>
      <c r="G2256">
        <v>1</v>
      </c>
      <c r="H2256">
        <v>1000</v>
      </c>
      <c r="J2256" cm="1">
        <f t="array" ref="J2256">_xlfn.SWITCH(B2256,1,75,2,61,3,49,4,37,5,25,6,13,7,4,8,1)</f>
        <v>61</v>
      </c>
      <c r="K2256" t="str" cm="1">
        <f t="array" ref="K2256">IFERROR(_xlfn.SWITCH(L2256,2,_xlfn.XLOOKUP(C2256,[1]ModifierDes!$B:$B,[1]ModifierDes!$C:$C),3,_xlfn.XLOOKUP(C2256,[1]StuntDes!$B:$B,[1]StuntDes!$C:$C)),"")</f>
        <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396</v>
      </c>
      <c r="D2257" t="s">
        <v>28</v>
      </c>
      <c r="E2257" t="s">
        <v>388</v>
      </c>
      <c r="G2257">
        <v>1</v>
      </c>
      <c r="H2257">
        <v>1000</v>
      </c>
      <c r="J2257" cm="1">
        <f t="array" ref="J2257">_xlfn.SWITCH(B2257,1,75,2,61,3,49,4,37,5,25,6,13,7,4,8,1)</f>
        <v>49</v>
      </c>
      <c r="K2257" t="str" cm="1">
        <f t="array" ref="K2257">IFERROR(_xlfn.SWITCH(L2257,2,_xlfn.XLOOKUP(C2257,[1]ModifierDes!$B:$B,[1]ModifierDes!$C:$C),3,_xlfn.XLOOKUP(C2257,[1]StuntDes!$B:$B,[1]StuntDes!$C:$C)),"")</f>
        <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396</v>
      </c>
      <c r="D2258" t="s">
        <v>28</v>
      </c>
      <c r="E2258" t="s">
        <v>388</v>
      </c>
      <c r="G2258">
        <v>1</v>
      </c>
      <c r="H2258">
        <v>1000</v>
      </c>
      <c r="J2258" cm="1">
        <f t="array" ref="J2258">_xlfn.SWITCH(B2258,1,75,2,61,3,49,4,37,5,25,6,13,7,4,8,1)</f>
        <v>37</v>
      </c>
      <c r="K2258" t="str" cm="1">
        <f t="array" ref="K2258">IFERROR(_xlfn.SWITCH(L2258,2,_xlfn.XLOOKUP(C2258,[1]ModifierDes!$B:$B,[1]ModifierDes!$C:$C),3,_xlfn.XLOOKUP(C2258,[1]StuntDes!$B:$B,[1]StuntDes!$C:$C)),"")</f>
        <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396</v>
      </c>
      <c r="D2259" t="s">
        <v>28</v>
      </c>
      <c r="E2259" t="s">
        <v>388</v>
      </c>
      <c r="G2259">
        <v>1</v>
      </c>
      <c r="H2259">
        <v>1000</v>
      </c>
      <c r="J2259" cm="1">
        <f t="array" ref="J2259">_xlfn.SWITCH(B2259,1,75,2,61,3,49,4,37,5,25,6,13,7,4,8,1)</f>
        <v>25</v>
      </c>
      <c r="K2259" t="str" cm="1">
        <f t="array" ref="K2259">IFERROR(_xlfn.SWITCH(L2259,2,_xlfn.XLOOKUP(C2259,[1]ModifierDes!$B:$B,[1]ModifierDes!$C:$C),3,_xlfn.XLOOKUP(C2259,[1]StuntDes!$B:$B,[1]StuntDes!$C:$C)),"")</f>
        <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396</v>
      </c>
      <c r="D2260" t="s">
        <v>28</v>
      </c>
      <c r="E2260" t="s">
        <v>388</v>
      </c>
      <c r="G2260">
        <v>1</v>
      </c>
      <c r="H2260">
        <v>1000</v>
      </c>
      <c r="J2260" cm="1">
        <f t="array" ref="J2260">_xlfn.SWITCH(B2260,1,75,2,61,3,49,4,37,5,25,6,13,7,4,8,1)</f>
        <v>13</v>
      </c>
      <c r="K2260" t="str" cm="1">
        <f t="array" ref="K2260">IFERROR(_xlfn.SWITCH(L2260,2,_xlfn.XLOOKUP(C2260,[1]ModifierDes!$B:$B,[1]ModifierDes!$C:$C),3,_xlfn.XLOOKUP(C2260,[1]StuntDes!$B:$B,[1]StuntDes!$C:$C)),"")</f>
        <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396</v>
      </c>
      <c r="D2261" t="s">
        <v>28</v>
      </c>
      <c r="E2261" t="s">
        <v>388</v>
      </c>
      <c r="G2261">
        <v>1</v>
      </c>
      <c r="H2261">
        <v>1000</v>
      </c>
      <c r="J2261" cm="1">
        <f t="array" ref="J2261">_xlfn.SWITCH(B2261,1,75,2,61,3,49,4,37,5,25,6,13,7,4,8,1)</f>
        <v>4</v>
      </c>
      <c r="K2261" t="str" cm="1">
        <f t="array" ref="K2261">IFERROR(_xlfn.SWITCH(L2261,2,_xlfn.XLOOKUP(C2261,[1]ModifierDes!$B:$B,[1]ModifierDes!$C:$C),3,_xlfn.XLOOKUP(C2261,[1]StuntDes!$B:$B,[1]StuntDes!$C:$C)),"")</f>
        <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396</v>
      </c>
      <c r="D2262" t="s">
        <v>28</v>
      </c>
      <c r="E2262" t="s">
        <v>388</v>
      </c>
      <c r="G2262">
        <v>1</v>
      </c>
      <c r="H2262">
        <v>1000</v>
      </c>
      <c r="J2262" cm="1">
        <f t="array" ref="J2262">_xlfn.SWITCH(B2262,1,75,2,61,3,49,4,37,5,25,6,13,7,4,8,1)</f>
        <v>1</v>
      </c>
      <c r="K2262" t="str" cm="1">
        <f t="array" ref="K2262">IFERROR(_xlfn.SWITCH(L2262,2,_xlfn.XLOOKUP(C2262,[1]ModifierDes!$B:$B,[1]ModifierDes!$C:$C),3,_xlfn.XLOOKUP(C2262,[1]StuntDes!$B:$B,[1]StuntDes!$C:$C)),"")</f>
        <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397</v>
      </c>
      <c r="D2263" t="s">
        <v>28</v>
      </c>
      <c r="E2263" t="s">
        <v>388</v>
      </c>
      <c r="G2263">
        <v>1</v>
      </c>
      <c r="H2263">
        <v>1000</v>
      </c>
      <c r="J2263" cm="1">
        <f t="array" ref="J2263">_xlfn.SWITCH(B2263,1,75,2,61,3,49,4,37,5,25,6,13,7,4,8,1)</f>
        <v>75</v>
      </c>
      <c r="K2263" t="str" cm="1">
        <f t="array" ref="K2263">IFERROR(_xlfn.SWITCH(L2263,2,_xlfn.XLOOKUP(C2263,[1]ModifierDes!$B:$B,[1]ModifierDes!$C:$C),3,_xlfn.XLOOKUP(C2263,[1]StuntDes!$B:$B,[1]StuntDes!$C:$C)),"")</f>
        <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397</v>
      </c>
      <c r="D2264" t="s">
        <v>28</v>
      </c>
      <c r="E2264" t="s">
        <v>388</v>
      </c>
      <c r="G2264">
        <v>1</v>
      </c>
      <c r="H2264">
        <v>1000</v>
      </c>
      <c r="J2264" cm="1">
        <f t="array" ref="J2264">_xlfn.SWITCH(B2264,1,75,2,61,3,49,4,37,5,25,6,13,7,4,8,1)</f>
        <v>61</v>
      </c>
      <c r="K2264" t="str" cm="1">
        <f t="array" ref="K2264">IFERROR(_xlfn.SWITCH(L2264,2,_xlfn.XLOOKUP(C2264,[1]ModifierDes!$B:$B,[1]ModifierDes!$C:$C),3,_xlfn.XLOOKUP(C2264,[1]StuntDes!$B:$B,[1]StuntDes!$C:$C)),"")</f>
        <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397</v>
      </c>
      <c r="D2265" t="s">
        <v>28</v>
      </c>
      <c r="E2265" t="s">
        <v>388</v>
      </c>
      <c r="G2265">
        <v>1</v>
      </c>
      <c r="H2265">
        <v>1000</v>
      </c>
      <c r="J2265" cm="1">
        <f t="array" ref="J2265">_xlfn.SWITCH(B2265,1,75,2,61,3,49,4,37,5,25,6,13,7,4,8,1)</f>
        <v>49</v>
      </c>
      <c r="K2265" t="str" cm="1">
        <f t="array" ref="K2265">IFERROR(_xlfn.SWITCH(L2265,2,_xlfn.XLOOKUP(C2265,[1]ModifierDes!$B:$B,[1]ModifierDes!$C:$C),3,_xlfn.XLOOKUP(C2265,[1]StuntDes!$B:$B,[1]StuntDes!$C:$C)),"")</f>
        <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397</v>
      </c>
      <c r="D2266" t="s">
        <v>28</v>
      </c>
      <c r="E2266" t="s">
        <v>388</v>
      </c>
      <c r="G2266">
        <v>1</v>
      </c>
      <c r="H2266">
        <v>1000</v>
      </c>
      <c r="J2266" cm="1">
        <f t="array" ref="J2266">_xlfn.SWITCH(B2266,1,75,2,61,3,49,4,37,5,25,6,13,7,4,8,1)</f>
        <v>37</v>
      </c>
      <c r="K2266" t="str" cm="1">
        <f t="array" ref="K2266">IFERROR(_xlfn.SWITCH(L2266,2,_xlfn.XLOOKUP(C2266,[1]ModifierDes!$B:$B,[1]ModifierDes!$C:$C),3,_xlfn.XLOOKUP(C2266,[1]StuntDes!$B:$B,[1]StuntDes!$C:$C)),"")</f>
        <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397</v>
      </c>
      <c r="D2267" t="s">
        <v>28</v>
      </c>
      <c r="E2267" t="s">
        <v>388</v>
      </c>
      <c r="G2267">
        <v>1</v>
      </c>
      <c r="H2267">
        <v>1000</v>
      </c>
      <c r="J2267" cm="1">
        <f t="array" ref="J2267">_xlfn.SWITCH(B2267,1,75,2,61,3,49,4,37,5,25,6,13,7,4,8,1)</f>
        <v>25</v>
      </c>
      <c r="K2267" t="str" cm="1">
        <f t="array" ref="K2267">IFERROR(_xlfn.SWITCH(L2267,2,_xlfn.XLOOKUP(C2267,[1]ModifierDes!$B:$B,[1]ModifierDes!$C:$C),3,_xlfn.XLOOKUP(C2267,[1]StuntDes!$B:$B,[1]StuntDes!$C:$C)),"")</f>
        <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397</v>
      </c>
      <c r="D2268" t="s">
        <v>28</v>
      </c>
      <c r="E2268" t="s">
        <v>388</v>
      </c>
      <c r="G2268">
        <v>1</v>
      </c>
      <c r="H2268">
        <v>1000</v>
      </c>
      <c r="J2268" cm="1">
        <f t="array" ref="J2268">_xlfn.SWITCH(B2268,1,75,2,61,3,49,4,37,5,25,6,13,7,4,8,1)</f>
        <v>13</v>
      </c>
      <c r="K2268" t="str" cm="1">
        <f t="array" ref="K2268">IFERROR(_xlfn.SWITCH(L2268,2,_xlfn.XLOOKUP(C2268,[1]ModifierDes!$B:$B,[1]ModifierDes!$C:$C),3,_xlfn.XLOOKUP(C2268,[1]StuntDes!$B:$B,[1]StuntDes!$C:$C)),"")</f>
        <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397</v>
      </c>
      <c r="D2269" t="s">
        <v>28</v>
      </c>
      <c r="E2269" t="s">
        <v>388</v>
      </c>
      <c r="G2269">
        <v>1</v>
      </c>
      <c r="H2269">
        <v>1000</v>
      </c>
      <c r="J2269" cm="1">
        <f t="array" ref="J2269">_xlfn.SWITCH(B2269,1,75,2,61,3,49,4,37,5,25,6,13,7,4,8,1)</f>
        <v>4</v>
      </c>
      <c r="K2269" t="str" cm="1">
        <f t="array" ref="K2269">IFERROR(_xlfn.SWITCH(L2269,2,_xlfn.XLOOKUP(C2269,[1]ModifierDes!$B:$B,[1]ModifierDes!$C:$C),3,_xlfn.XLOOKUP(C2269,[1]StuntDes!$B:$B,[1]StuntDes!$C:$C)),"")</f>
        <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397</v>
      </c>
      <c r="D2270" t="s">
        <v>28</v>
      </c>
      <c r="E2270" t="s">
        <v>388</v>
      </c>
      <c r="G2270">
        <v>1</v>
      </c>
      <c r="H2270">
        <v>1000</v>
      </c>
      <c r="J2270" cm="1">
        <f t="array" ref="J2270">_xlfn.SWITCH(B2270,1,75,2,61,3,49,4,37,5,25,6,13,7,4,8,1)</f>
        <v>1</v>
      </c>
      <c r="K2270" t="str" cm="1">
        <f t="array" ref="K2270">IFERROR(_xlfn.SWITCH(L2270,2,_xlfn.XLOOKUP(C2270,[1]ModifierDes!$B:$B,[1]ModifierDes!$C:$C),3,_xlfn.XLOOKUP(C2270,[1]StuntDes!$B:$B,[1]StuntDes!$C:$C)),"")</f>
        <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439</v>
      </c>
      <c r="D2271" t="s">
        <v>28</v>
      </c>
      <c r="E2271" t="s">
        <v>388</v>
      </c>
      <c r="G2271">
        <v>1</v>
      </c>
      <c r="H2271">
        <v>1000</v>
      </c>
      <c r="J2271" cm="1">
        <f t="array" ref="J2271">_xlfn.SWITCH(B2271,1,75,2,61,3,49,4,37,5,25,6,13,7,4,8,1)</f>
        <v>75</v>
      </c>
      <c r="K2271" t="str" cm="1">
        <f t="array" ref="K2271">IFERROR(_xlfn.SWITCH(L2271,2,_xlfn.XLOOKUP(C2271,[1]ModifierDes!$B:$B,[1]ModifierDes!$C:$C),3,_xlfn.XLOOKUP(C2271,[1]StuntDes!$B:$B,[1]StuntDes!$C:$C)),"")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439</v>
      </c>
      <c r="D2272" t="s">
        <v>28</v>
      </c>
      <c r="E2272" t="s">
        <v>388</v>
      </c>
      <c r="G2272">
        <v>1</v>
      </c>
      <c r="H2272">
        <v>1000</v>
      </c>
      <c r="J2272" cm="1">
        <f t="array" ref="J2272">_xlfn.SWITCH(B2272,1,75,2,61,3,49,4,37,5,25,6,13,7,4,8,1)</f>
        <v>61</v>
      </c>
      <c r="K2272" t="str" cm="1">
        <f t="array" ref="K2272">IFERROR(_xlfn.SWITCH(L2272,2,_xlfn.XLOOKUP(C2272,[1]ModifierDes!$B:$B,[1]ModifierDes!$C:$C),3,_xlfn.XLOOKUP(C2272,[1]StuntDes!$B:$B,[1]StuntDes!$C:$C)),"")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439</v>
      </c>
      <c r="D2273" t="s">
        <v>28</v>
      </c>
      <c r="E2273" t="s">
        <v>388</v>
      </c>
      <c r="G2273">
        <v>1</v>
      </c>
      <c r="H2273">
        <v>1000</v>
      </c>
      <c r="J2273" cm="1">
        <f t="array" ref="J2273">_xlfn.SWITCH(B2273,1,75,2,61,3,49,4,37,5,25,6,13,7,4,8,1)</f>
        <v>49</v>
      </c>
      <c r="K2273" t="str" cm="1">
        <f t="array" ref="K2273">IFERROR(_xlfn.SWITCH(L2273,2,_xlfn.XLOOKUP(C2273,[1]ModifierDes!$B:$B,[1]ModifierDes!$C:$C),3,_xlfn.XLOOKUP(C2273,[1]StuntDes!$B:$B,[1]StuntDes!$C:$C)),"")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439</v>
      </c>
      <c r="D2274" t="s">
        <v>28</v>
      </c>
      <c r="E2274" t="s">
        <v>388</v>
      </c>
      <c r="G2274">
        <v>1</v>
      </c>
      <c r="H2274">
        <v>1000</v>
      </c>
      <c r="J2274" cm="1">
        <f t="array" ref="J2274">_xlfn.SWITCH(B2274,1,75,2,61,3,49,4,37,5,25,6,13,7,4,8,1)</f>
        <v>37</v>
      </c>
      <c r="K2274" t="str" cm="1">
        <f t="array" ref="K2274">IFERROR(_xlfn.SWITCH(L2274,2,_xlfn.XLOOKUP(C2274,[1]ModifierDes!$B:$B,[1]ModifierDes!$C:$C),3,_xlfn.XLOOKUP(C2274,[1]StuntDes!$B:$B,[1]StuntDes!$C:$C)),"")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439</v>
      </c>
      <c r="D2275" t="s">
        <v>28</v>
      </c>
      <c r="E2275" t="s">
        <v>388</v>
      </c>
      <c r="G2275">
        <v>1</v>
      </c>
      <c r="H2275">
        <v>1000</v>
      </c>
      <c r="J2275" cm="1">
        <f t="array" ref="J2275">_xlfn.SWITCH(B2275,1,75,2,61,3,49,4,37,5,25,6,13,7,4,8,1)</f>
        <v>25</v>
      </c>
      <c r="K2275" t="str" cm="1">
        <f t="array" ref="K2275">IFERROR(_xlfn.SWITCH(L2275,2,_xlfn.XLOOKUP(C2275,[1]ModifierDes!$B:$B,[1]ModifierDes!$C:$C),3,_xlfn.XLOOKUP(C2275,[1]StuntDes!$B:$B,[1]StuntDes!$C:$C)),"")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439</v>
      </c>
      <c r="D2276" t="s">
        <v>28</v>
      </c>
      <c r="E2276" t="s">
        <v>388</v>
      </c>
      <c r="G2276">
        <v>1</v>
      </c>
      <c r="H2276">
        <v>1000</v>
      </c>
      <c r="J2276" cm="1">
        <f t="array" ref="J2276">_xlfn.SWITCH(B2276,1,75,2,61,3,49,4,37,5,25,6,13,7,4,8,1)</f>
        <v>13</v>
      </c>
      <c r="K2276" t="str" cm="1">
        <f t="array" ref="K2276">IFERROR(_xlfn.SWITCH(L2276,2,_xlfn.XLOOKUP(C2276,[1]ModifierDes!$B:$B,[1]ModifierDes!$C:$C),3,_xlfn.XLOOKUP(C2276,[1]StuntDes!$B:$B,[1]StuntDes!$C:$C)),"")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439</v>
      </c>
      <c r="D2277" t="s">
        <v>28</v>
      </c>
      <c r="E2277" t="s">
        <v>388</v>
      </c>
      <c r="G2277">
        <v>1</v>
      </c>
      <c r="H2277">
        <v>1000</v>
      </c>
      <c r="J2277" cm="1">
        <f t="array" ref="J2277">_xlfn.SWITCH(B2277,1,75,2,61,3,49,4,37,5,25,6,13,7,4,8,1)</f>
        <v>4</v>
      </c>
      <c r="K2277" t="str" cm="1">
        <f t="array" ref="K2277">IFERROR(_xlfn.SWITCH(L2277,2,_xlfn.XLOOKUP(C2277,[1]ModifierDes!$B:$B,[1]ModifierDes!$C:$C),3,_xlfn.XLOOKUP(C2277,[1]StuntDes!$B:$B,[1]StuntDes!$C:$C)),"")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439</v>
      </c>
      <c r="D2278" t="s">
        <v>28</v>
      </c>
      <c r="E2278" t="s">
        <v>388</v>
      </c>
      <c r="G2278">
        <v>1</v>
      </c>
      <c r="H2278">
        <v>1000</v>
      </c>
      <c r="J2278" cm="1">
        <f t="array" ref="J2278">_xlfn.SWITCH(B2278,1,75,2,61,3,49,4,37,5,25,6,13,7,4,8,1)</f>
        <v>1</v>
      </c>
      <c r="K2278" t="str" cm="1">
        <f t="array" ref="K2278">IFERROR(_xlfn.SWITCH(L2278,2,_xlfn.XLOOKUP(C2278,[1]ModifierDes!$B:$B,[1]ModifierDes!$C:$C),3,_xlfn.XLOOKUP(C2278,[1]StuntDes!$B:$B,[1]StuntDes!$C:$C)),"")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399</v>
      </c>
      <c r="D2279" t="s">
        <v>28</v>
      </c>
      <c r="E2279" t="s">
        <v>388</v>
      </c>
      <c r="G2279">
        <v>1</v>
      </c>
      <c r="H2279">
        <v>1000</v>
      </c>
      <c r="J2279" cm="1">
        <f t="array" ref="J2279">_xlfn.SWITCH(B2279,1,75,2,61,3,49,4,37,5,25,6,13,7,4,8,1)</f>
        <v>75</v>
      </c>
      <c r="K2279" t="str" cm="1">
        <f t="array" ref="K2279">IFERROR(_xlfn.SWITCH(L2279,2,_xlfn.XLOOKUP(C2279,[1]ModifierDes!$B:$B,[1]ModifierDes!$C:$C),3,_xlfn.XLOOKUP(C2279,[1]StuntDes!$B:$B,[1]StuntDes!$C:$C)),"")</f>
        <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399</v>
      </c>
      <c r="D2280" t="s">
        <v>28</v>
      </c>
      <c r="E2280" t="s">
        <v>388</v>
      </c>
      <c r="G2280">
        <v>1</v>
      </c>
      <c r="H2280">
        <v>1000</v>
      </c>
      <c r="J2280" cm="1">
        <f t="array" ref="J2280">_xlfn.SWITCH(B2280,1,75,2,61,3,49,4,37,5,25,6,13,7,4,8,1)</f>
        <v>61</v>
      </c>
      <c r="K2280" t="str" cm="1">
        <f t="array" ref="K2280">IFERROR(_xlfn.SWITCH(L2280,2,_xlfn.XLOOKUP(C2280,[1]ModifierDes!$B:$B,[1]ModifierDes!$C:$C),3,_xlfn.XLOOKUP(C2280,[1]StuntDes!$B:$B,[1]StuntDes!$C:$C)),"")</f>
        <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399</v>
      </c>
      <c r="D2281" t="s">
        <v>28</v>
      </c>
      <c r="E2281" t="s">
        <v>388</v>
      </c>
      <c r="G2281">
        <v>1</v>
      </c>
      <c r="H2281">
        <v>1000</v>
      </c>
      <c r="J2281" cm="1">
        <f t="array" ref="J2281">_xlfn.SWITCH(B2281,1,75,2,61,3,49,4,37,5,25,6,13,7,4,8,1)</f>
        <v>49</v>
      </c>
      <c r="K2281" t="str" cm="1">
        <f t="array" ref="K2281">IFERROR(_xlfn.SWITCH(L2281,2,_xlfn.XLOOKUP(C2281,[1]ModifierDes!$B:$B,[1]ModifierDes!$C:$C),3,_xlfn.XLOOKUP(C2281,[1]StuntDes!$B:$B,[1]StuntDes!$C:$C)),"")</f>
        <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399</v>
      </c>
      <c r="D2282" t="s">
        <v>28</v>
      </c>
      <c r="E2282" t="s">
        <v>388</v>
      </c>
      <c r="G2282">
        <v>1</v>
      </c>
      <c r="H2282">
        <v>1000</v>
      </c>
      <c r="J2282" cm="1">
        <f t="array" ref="J2282">_xlfn.SWITCH(B2282,1,75,2,61,3,49,4,37,5,25,6,13,7,4,8,1)</f>
        <v>37</v>
      </c>
      <c r="K2282" t="str" cm="1">
        <f t="array" ref="K2282">IFERROR(_xlfn.SWITCH(L2282,2,_xlfn.XLOOKUP(C2282,[1]ModifierDes!$B:$B,[1]ModifierDes!$C:$C),3,_xlfn.XLOOKUP(C2282,[1]StuntDes!$B:$B,[1]StuntDes!$C:$C)),"")</f>
        <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399</v>
      </c>
      <c r="D2283" t="s">
        <v>28</v>
      </c>
      <c r="E2283" t="s">
        <v>388</v>
      </c>
      <c r="G2283">
        <v>1</v>
      </c>
      <c r="H2283">
        <v>1000</v>
      </c>
      <c r="J2283" cm="1">
        <f t="array" ref="J2283">_xlfn.SWITCH(B2283,1,75,2,61,3,49,4,37,5,25,6,13,7,4,8,1)</f>
        <v>25</v>
      </c>
      <c r="K2283" t="str" cm="1">
        <f t="array" ref="K2283">IFERROR(_xlfn.SWITCH(L2283,2,_xlfn.XLOOKUP(C2283,[1]ModifierDes!$B:$B,[1]ModifierDes!$C:$C),3,_xlfn.XLOOKUP(C2283,[1]StuntDes!$B:$B,[1]StuntDes!$C:$C)),"")</f>
        <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399</v>
      </c>
      <c r="D2284" t="s">
        <v>28</v>
      </c>
      <c r="E2284" t="s">
        <v>388</v>
      </c>
      <c r="G2284">
        <v>1</v>
      </c>
      <c r="H2284">
        <v>1000</v>
      </c>
      <c r="J2284" cm="1">
        <f t="array" ref="J2284">_xlfn.SWITCH(B2284,1,75,2,61,3,49,4,37,5,25,6,13,7,4,8,1)</f>
        <v>13</v>
      </c>
      <c r="K2284" t="str" cm="1">
        <f t="array" ref="K2284">IFERROR(_xlfn.SWITCH(L2284,2,_xlfn.XLOOKUP(C2284,[1]ModifierDes!$B:$B,[1]ModifierDes!$C:$C),3,_xlfn.XLOOKUP(C2284,[1]StuntDes!$B:$B,[1]StuntDes!$C:$C)),"")</f>
        <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399</v>
      </c>
      <c r="D2285" t="s">
        <v>28</v>
      </c>
      <c r="E2285" t="s">
        <v>388</v>
      </c>
      <c r="G2285">
        <v>1</v>
      </c>
      <c r="H2285">
        <v>1000</v>
      </c>
      <c r="J2285" cm="1">
        <f t="array" ref="J2285">_xlfn.SWITCH(B2285,1,75,2,61,3,49,4,37,5,25,6,13,7,4,8,1)</f>
        <v>4</v>
      </c>
      <c r="K2285" t="str" cm="1">
        <f t="array" ref="K2285">IFERROR(_xlfn.SWITCH(L2285,2,_xlfn.XLOOKUP(C2285,[1]ModifierDes!$B:$B,[1]ModifierDes!$C:$C),3,_xlfn.XLOOKUP(C2285,[1]StuntDes!$B:$B,[1]StuntDes!$C:$C)),"")</f>
        <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399</v>
      </c>
      <c r="D2286" t="s">
        <v>28</v>
      </c>
      <c r="E2286" t="s">
        <v>388</v>
      </c>
      <c r="G2286">
        <v>1</v>
      </c>
      <c r="H2286">
        <v>1000</v>
      </c>
      <c r="J2286" cm="1">
        <f t="array" ref="J2286">_xlfn.SWITCH(B2286,1,75,2,61,3,49,4,37,5,25,6,13,7,4,8,1)</f>
        <v>1</v>
      </c>
      <c r="K2286" t="str" cm="1">
        <f t="array" ref="K2286">IFERROR(_xlfn.SWITCH(L2286,2,_xlfn.XLOOKUP(C2286,[1]ModifierDes!$B:$B,[1]ModifierDes!$C:$C),3,_xlfn.XLOOKUP(C2286,[1]StuntDes!$B:$B,[1]StuntDes!$C:$C)),"")</f>
        <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400</v>
      </c>
      <c r="D2287" t="s">
        <v>28</v>
      </c>
      <c r="E2287" t="s">
        <v>388</v>
      </c>
      <c r="G2287">
        <v>1</v>
      </c>
      <c r="H2287">
        <v>1000</v>
      </c>
      <c r="J2287" cm="1">
        <f t="array" ref="J2287">_xlfn.SWITCH(B2287,1,75,2,61,3,49,4,37,5,25,6,13,7,4,8,1)</f>
        <v>75</v>
      </c>
      <c r="K2287" t="str" cm="1">
        <f t="array" ref="K2287">IFERROR(_xlfn.SWITCH(L2287,2,_xlfn.XLOOKUP(C2287,[1]ModifierDes!$B:$B,[1]ModifierDes!$C:$C),3,_xlfn.XLOOKUP(C2287,[1]StuntDes!$B:$B,[1]StuntDes!$C:$C)),"")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400</v>
      </c>
      <c r="D2288" t="s">
        <v>28</v>
      </c>
      <c r="E2288" t="s">
        <v>388</v>
      </c>
      <c r="G2288">
        <v>1</v>
      </c>
      <c r="H2288">
        <v>1000</v>
      </c>
      <c r="J2288" cm="1">
        <f t="array" ref="J2288">_xlfn.SWITCH(B2288,1,75,2,61,3,49,4,37,5,25,6,13,7,4,8,1)</f>
        <v>61</v>
      </c>
      <c r="K2288" t="str" cm="1">
        <f t="array" ref="K2288">IFERROR(_xlfn.SWITCH(L2288,2,_xlfn.XLOOKUP(C2288,[1]ModifierDes!$B:$B,[1]ModifierDes!$C:$C),3,_xlfn.XLOOKUP(C2288,[1]StuntDes!$B:$B,[1]StuntDes!$C:$C)),"")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400</v>
      </c>
      <c r="D2289" t="s">
        <v>28</v>
      </c>
      <c r="E2289" t="s">
        <v>388</v>
      </c>
      <c r="G2289">
        <v>1</v>
      </c>
      <c r="H2289">
        <v>1000</v>
      </c>
      <c r="J2289" cm="1">
        <f t="array" ref="J2289">_xlfn.SWITCH(B2289,1,75,2,61,3,49,4,37,5,25,6,13,7,4,8,1)</f>
        <v>49</v>
      </c>
      <c r="K2289" t="str" cm="1">
        <f t="array" ref="K2289">IFERROR(_xlfn.SWITCH(L2289,2,_xlfn.XLOOKUP(C2289,[1]ModifierDes!$B:$B,[1]ModifierDes!$C:$C),3,_xlfn.XLOOKUP(C2289,[1]StuntDes!$B:$B,[1]StuntDes!$C:$C)),"")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400</v>
      </c>
      <c r="D2290" t="s">
        <v>28</v>
      </c>
      <c r="E2290" t="s">
        <v>388</v>
      </c>
      <c r="G2290">
        <v>1</v>
      </c>
      <c r="H2290">
        <v>1000</v>
      </c>
      <c r="J2290" cm="1">
        <f t="array" ref="J2290">_xlfn.SWITCH(B2290,1,75,2,61,3,49,4,37,5,25,6,13,7,4,8,1)</f>
        <v>37</v>
      </c>
      <c r="K2290" t="str" cm="1">
        <f t="array" ref="K2290">IFERROR(_xlfn.SWITCH(L2290,2,_xlfn.XLOOKUP(C2290,[1]ModifierDes!$B:$B,[1]ModifierDes!$C:$C),3,_xlfn.XLOOKUP(C2290,[1]StuntDes!$B:$B,[1]StuntDes!$C:$C)),"")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400</v>
      </c>
      <c r="D2291" t="s">
        <v>28</v>
      </c>
      <c r="E2291" t="s">
        <v>388</v>
      </c>
      <c r="G2291">
        <v>1</v>
      </c>
      <c r="H2291">
        <v>1000</v>
      </c>
      <c r="J2291" cm="1">
        <f t="array" ref="J2291">_xlfn.SWITCH(B2291,1,75,2,61,3,49,4,37,5,25,6,13,7,4,8,1)</f>
        <v>25</v>
      </c>
      <c r="K2291" t="str" cm="1">
        <f t="array" ref="K2291">IFERROR(_xlfn.SWITCH(L2291,2,_xlfn.XLOOKUP(C2291,[1]ModifierDes!$B:$B,[1]ModifierDes!$C:$C),3,_xlfn.XLOOKUP(C2291,[1]StuntDes!$B:$B,[1]StuntDes!$C:$C)),"")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400</v>
      </c>
      <c r="D2292" t="s">
        <v>28</v>
      </c>
      <c r="E2292" t="s">
        <v>388</v>
      </c>
      <c r="G2292">
        <v>1</v>
      </c>
      <c r="H2292">
        <v>1000</v>
      </c>
      <c r="J2292" cm="1">
        <f t="array" ref="J2292">_xlfn.SWITCH(B2292,1,75,2,61,3,49,4,37,5,25,6,13,7,4,8,1)</f>
        <v>13</v>
      </c>
      <c r="K2292" t="str" cm="1">
        <f t="array" ref="K2292">IFERROR(_xlfn.SWITCH(L2292,2,_xlfn.XLOOKUP(C2292,[1]ModifierDes!$B:$B,[1]ModifierDes!$C:$C),3,_xlfn.XLOOKUP(C2292,[1]StuntDes!$B:$B,[1]StuntDes!$C:$C)),"")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400</v>
      </c>
      <c r="D2293" t="s">
        <v>28</v>
      </c>
      <c r="E2293" t="s">
        <v>388</v>
      </c>
      <c r="G2293">
        <v>1</v>
      </c>
      <c r="H2293">
        <v>1000</v>
      </c>
      <c r="J2293" cm="1">
        <f t="array" ref="J2293">_xlfn.SWITCH(B2293,1,75,2,61,3,49,4,37,5,25,6,13,7,4,8,1)</f>
        <v>4</v>
      </c>
      <c r="K2293" t="str" cm="1">
        <f t="array" ref="K2293">IFERROR(_xlfn.SWITCH(L2293,2,_xlfn.XLOOKUP(C2293,[1]ModifierDes!$B:$B,[1]ModifierDes!$C:$C),3,_xlfn.XLOOKUP(C2293,[1]StuntDes!$B:$B,[1]StuntDes!$C:$C)),"")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400</v>
      </c>
      <c r="D2294" t="s">
        <v>28</v>
      </c>
      <c r="E2294" t="s">
        <v>388</v>
      </c>
      <c r="G2294">
        <v>1</v>
      </c>
      <c r="H2294">
        <v>1000</v>
      </c>
      <c r="J2294" cm="1">
        <f t="array" ref="J2294">_xlfn.SWITCH(B2294,1,75,2,61,3,49,4,37,5,25,6,13,7,4,8,1)</f>
        <v>1</v>
      </c>
      <c r="K2294" t="str" cm="1">
        <f t="array" ref="K2294">IFERROR(_xlfn.SWITCH(L2294,2,_xlfn.XLOOKUP(C2294,[1]ModifierDes!$B:$B,[1]ModifierDes!$C:$C),3,_xlfn.XLOOKUP(C2294,[1]StuntDes!$B:$B,[1]StuntDes!$C:$C)),"")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401</v>
      </c>
      <c r="D2295" t="s">
        <v>28</v>
      </c>
      <c r="E2295" t="s">
        <v>388</v>
      </c>
      <c r="G2295">
        <v>1</v>
      </c>
      <c r="H2295">
        <v>1000</v>
      </c>
      <c r="J2295" cm="1">
        <f t="array" ref="J2295">_xlfn.SWITCH(B2295,1,75,2,61,3,49,4,37,5,25,6,13,7,4,8,1)</f>
        <v>75</v>
      </c>
      <c r="K2295" t="str" cm="1">
        <f t="array" ref="K2295">IFERROR(_xlfn.SWITCH(L2295,2,_xlfn.XLOOKUP(C2295,[1]ModifierDes!$B:$B,[1]ModifierDes!$C:$C),3,_xlfn.XLOOKUP(C2295,[1]StuntDes!$B:$B,[1]StuntDes!$C:$C)),"")</f>
        <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401</v>
      </c>
      <c r="D2296" t="s">
        <v>28</v>
      </c>
      <c r="E2296" t="s">
        <v>388</v>
      </c>
      <c r="G2296">
        <v>1</v>
      </c>
      <c r="H2296">
        <v>1000</v>
      </c>
      <c r="J2296" cm="1">
        <f t="array" ref="J2296">_xlfn.SWITCH(B2296,1,75,2,61,3,49,4,37,5,25,6,13,7,4,8,1)</f>
        <v>61</v>
      </c>
      <c r="K2296" t="str" cm="1">
        <f t="array" ref="K2296">IFERROR(_xlfn.SWITCH(L2296,2,_xlfn.XLOOKUP(C2296,[1]ModifierDes!$B:$B,[1]ModifierDes!$C:$C),3,_xlfn.XLOOKUP(C2296,[1]StuntDes!$B:$B,[1]StuntDes!$C:$C)),"")</f>
        <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401</v>
      </c>
      <c r="D2297" t="s">
        <v>28</v>
      </c>
      <c r="E2297" t="s">
        <v>388</v>
      </c>
      <c r="G2297">
        <v>1</v>
      </c>
      <c r="H2297">
        <v>1000</v>
      </c>
      <c r="J2297" cm="1">
        <f t="array" ref="J2297">_xlfn.SWITCH(B2297,1,75,2,61,3,49,4,37,5,25,6,13,7,4,8,1)</f>
        <v>49</v>
      </c>
      <c r="K2297" t="str" cm="1">
        <f t="array" ref="K2297">IFERROR(_xlfn.SWITCH(L2297,2,_xlfn.XLOOKUP(C2297,[1]ModifierDes!$B:$B,[1]ModifierDes!$C:$C),3,_xlfn.XLOOKUP(C2297,[1]StuntDes!$B:$B,[1]StuntDes!$C:$C)),"")</f>
        <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401</v>
      </c>
      <c r="D2298" t="s">
        <v>28</v>
      </c>
      <c r="E2298" t="s">
        <v>388</v>
      </c>
      <c r="G2298">
        <v>1</v>
      </c>
      <c r="H2298">
        <v>1000</v>
      </c>
      <c r="J2298" cm="1">
        <f t="array" ref="J2298">_xlfn.SWITCH(B2298,1,75,2,61,3,49,4,37,5,25,6,13,7,4,8,1)</f>
        <v>37</v>
      </c>
      <c r="K2298" t="str" cm="1">
        <f t="array" ref="K2298">IFERROR(_xlfn.SWITCH(L2298,2,_xlfn.XLOOKUP(C2298,[1]ModifierDes!$B:$B,[1]ModifierDes!$C:$C),3,_xlfn.XLOOKUP(C2298,[1]StuntDes!$B:$B,[1]StuntDes!$C:$C)),"")</f>
        <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401</v>
      </c>
      <c r="D2299" t="s">
        <v>28</v>
      </c>
      <c r="E2299" t="s">
        <v>388</v>
      </c>
      <c r="G2299">
        <v>1</v>
      </c>
      <c r="H2299">
        <v>1000</v>
      </c>
      <c r="J2299" cm="1">
        <f t="array" ref="J2299">_xlfn.SWITCH(B2299,1,75,2,61,3,49,4,37,5,25,6,13,7,4,8,1)</f>
        <v>25</v>
      </c>
      <c r="K2299" t="str" cm="1">
        <f t="array" ref="K2299">IFERROR(_xlfn.SWITCH(L2299,2,_xlfn.XLOOKUP(C2299,[1]ModifierDes!$B:$B,[1]ModifierDes!$C:$C),3,_xlfn.XLOOKUP(C2299,[1]StuntDes!$B:$B,[1]StuntDes!$C:$C)),"")</f>
        <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401</v>
      </c>
      <c r="D2300" t="s">
        <v>28</v>
      </c>
      <c r="E2300" t="s">
        <v>388</v>
      </c>
      <c r="G2300">
        <v>1</v>
      </c>
      <c r="H2300">
        <v>1000</v>
      </c>
      <c r="J2300" cm="1">
        <f t="array" ref="J2300">_xlfn.SWITCH(B2300,1,75,2,61,3,49,4,37,5,25,6,13,7,4,8,1)</f>
        <v>13</v>
      </c>
      <c r="K2300" t="str" cm="1">
        <f t="array" ref="K2300">IFERROR(_xlfn.SWITCH(L2300,2,_xlfn.XLOOKUP(C2300,[1]ModifierDes!$B:$B,[1]ModifierDes!$C:$C),3,_xlfn.XLOOKUP(C2300,[1]StuntDes!$B:$B,[1]StuntDes!$C:$C)),"")</f>
        <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401</v>
      </c>
      <c r="D2301" t="s">
        <v>28</v>
      </c>
      <c r="E2301" t="s">
        <v>388</v>
      </c>
      <c r="G2301">
        <v>1</v>
      </c>
      <c r="H2301">
        <v>1000</v>
      </c>
      <c r="J2301" cm="1">
        <f t="array" ref="J2301">_xlfn.SWITCH(B2301,1,75,2,61,3,49,4,37,5,25,6,13,7,4,8,1)</f>
        <v>4</v>
      </c>
      <c r="K2301" t="str" cm="1">
        <f t="array" ref="K2301">IFERROR(_xlfn.SWITCH(L2301,2,_xlfn.XLOOKUP(C2301,[1]ModifierDes!$B:$B,[1]ModifierDes!$C:$C),3,_xlfn.XLOOKUP(C2301,[1]StuntDes!$B:$B,[1]StuntDes!$C:$C)),"")</f>
        <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401</v>
      </c>
      <c r="D2302" t="s">
        <v>28</v>
      </c>
      <c r="E2302" t="s">
        <v>388</v>
      </c>
      <c r="G2302">
        <v>1</v>
      </c>
      <c r="H2302">
        <v>1000</v>
      </c>
      <c r="J2302" cm="1">
        <f t="array" ref="J2302">_xlfn.SWITCH(B2302,1,75,2,61,3,49,4,37,5,25,6,13,7,4,8,1)</f>
        <v>1</v>
      </c>
      <c r="K2302" t="str" cm="1">
        <f t="array" ref="K2302">IFERROR(_xlfn.SWITCH(L2302,2,_xlfn.XLOOKUP(C2302,[1]ModifierDes!$B:$B,[1]ModifierDes!$C:$C),3,_xlfn.XLOOKUP(C2302,[1]StuntDes!$B:$B,[1]StuntDes!$C:$C)),"")</f>
        <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402</v>
      </c>
      <c r="D2303" t="s">
        <v>28</v>
      </c>
      <c r="E2303" t="s">
        <v>388</v>
      </c>
      <c r="G2303">
        <v>1</v>
      </c>
      <c r="H2303">
        <v>1000</v>
      </c>
      <c r="J2303" cm="1">
        <f t="array" ref="J2303">_xlfn.SWITCH(B2303,1,75,2,61,3,49,4,37,5,25,6,13,7,4,8,1)</f>
        <v>75</v>
      </c>
      <c r="K2303" t="str" cm="1">
        <f t="array" ref="K2303">IFERROR(_xlfn.SWITCH(L2303,2,_xlfn.XLOOKUP(C2303,[1]ModifierDes!$B:$B,[1]ModifierDes!$C:$C),3,_xlfn.XLOOKUP(C2303,[1]StuntDes!$B:$B,[1]StuntDes!$C:$C)),"")</f>
        <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402</v>
      </c>
      <c r="D2304" t="s">
        <v>28</v>
      </c>
      <c r="E2304" t="s">
        <v>388</v>
      </c>
      <c r="G2304">
        <v>1</v>
      </c>
      <c r="H2304">
        <v>1000</v>
      </c>
      <c r="J2304" cm="1">
        <f t="array" ref="J2304">_xlfn.SWITCH(B2304,1,75,2,61,3,49,4,37,5,25,6,13,7,4,8,1)</f>
        <v>61</v>
      </c>
      <c r="K2304" t="str" cm="1">
        <f t="array" ref="K2304">IFERROR(_xlfn.SWITCH(L2304,2,_xlfn.XLOOKUP(C2304,[1]ModifierDes!$B:$B,[1]ModifierDes!$C:$C),3,_xlfn.XLOOKUP(C2304,[1]StuntDes!$B:$B,[1]StuntDes!$C:$C)),"")</f>
        <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402</v>
      </c>
      <c r="D2305" t="s">
        <v>28</v>
      </c>
      <c r="E2305" t="s">
        <v>388</v>
      </c>
      <c r="G2305">
        <v>1</v>
      </c>
      <c r="H2305">
        <v>1000</v>
      </c>
      <c r="J2305" cm="1">
        <f t="array" ref="J2305">_xlfn.SWITCH(B2305,1,75,2,61,3,49,4,37,5,25,6,13,7,4,8,1)</f>
        <v>49</v>
      </c>
      <c r="K2305" t="str" cm="1">
        <f t="array" ref="K2305">IFERROR(_xlfn.SWITCH(L2305,2,_xlfn.XLOOKUP(C2305,[1]ModifierDes!$B:$B,[1]ModifierDes!$C:$C),3,_xlfn.XLOOKUP(C2305,[1]StuntDes!$B:$B,[1]StuntDes!$C:$C)),"")</f>
        <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402</v>
      </c>
      <c r="D2306" t="s">
        <v>28</v>
      </c>
      <c r="E2306" t="s">
        <v>388</v>
      </c>
      <c r="G2306">
        <v>1</v>
      </c>
      <c r="H2306">
        <v>1000</v>
      </c>
      <c r="J2306" cm="1">
        <f t="array" ref="J2306">_xlfn.SWITCH(B2306,1,75,2,61,3,49,4,37,5,25,6,13,7,4,8,1)</f>
        <v>37</v>
      </c>
      <c r="K2306" t="str" cm="1">
        <f t="array" ref="K2306">IFERROR(_xlfn.SWITCH(L2306,2,_xlfn.XLOOKUP(C2306,[1]ModifierDes!$B:$B,[1]ModifierDes!$C:$C),3,_xlfn.XLOOKUP(C2306,[1]StuntDes!$B:$B,[1]StuntDes!$C:$C)),"")</f>
        <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402</v>
      </c>
      <c r="D2307" t="s">
        <v>28</v>
      </c>
      <c r="E2307" t="s">
        <v>388</v>
      </c>
      <c r="G2307">
        <v>1</v>
      </c>
      <c r="H2307">
        <v>1000</v>
      </c>
      <c r="J2307" cm="1">
        <f t="array" ref="J2307">_xlfn.SWITCH(B2307,1,75,2,61,3,49,4,37,5,25,6,13,7,4,8,1)</f>
        <v>25</v>
      </c>
      <c r="K2307" t="str" cm="1">
        <f t="array" ref="K2307">IFERROR(_xlfn.SWITCH(L2307,2,_xlfn.XLOOKUP(C2307,[1]ModifierDes!$B:$B,[1]ModifierDes!$C:$C),3,_xlfn.XLOOKUP(C2307,[1]StuntDes!$B:$B,[1]StuntDes!$C:$C)),"")</f>
        <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402</v>
      </c>
      <c r="D2308" t="s">
        <v>28</v>
      </c>
      <c r="E2308" t="s">
        <v>388</v>
      </c>
      <c r="G2308">
        <v>1</v>
      </c>
      <c r="H2308">
        <v>1000</v>
      </c>
      <c r="J2308" cm="1">
        <f t="array" ref="J2308">_xlfn.SWITCH(B2308,1,75,2,61,3,49,4,37,5,25,6,13,7,4,8,1)</f>
        <v>13</v>
      </c>
      <c r="K2308" t="str" cm="1">
        <f t="array" ref="K2308">IFERROR(_xlfn.SWITCH(L2308,2,_xlfn.XLOOKUP(C2308,[1]ModifierDes!$B:$B,[1]ModifierDes!$C:$C),3,_xlfn.XLOOKUP(C2308,[1]StuntDes!$B:$B,[1]StuntDes!$C:$C)),"")</f>
        <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402</v>
      </c>
      <c r="D2309" t="s">
        <v>28</v>
      </c>
      <c r="E2309" t="s">
        <v>388</v>
      </c>
      <c r="G2309">
        <v>1</v>
      </c>
      <c r="H2309">
        <v>1000</v>
      </c>
      <c r="J2309" cm="1">
        <f t="array" ref="J2309">_xlfn.SWITCH(B2309,1,75,2,61,3,49,4,37,5,25,6,13,7,4,8,1)</f>
        <v>4</v>
      </c>
      <c r="K2309" t="str" cm="1">
        <f t="array" ref="K2309">IFERROR(_xlfn.SWITCH(L2309,2,_xlfn.XLOOKUP(C2309,[1]ModifierDes!$B:$B,[1]ModifierDes!$C:$C),3,_xlfn.XLOOKUP(C2309,[1]StuntDes!$B:$B,[1]StuntDes!$C:$C)),"")</f>
        <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402</v>
      </c>
      <c r="D2310" t="s">
        <v>28</v>
      </c>
      <c r="E2310" t="s">
        <v>388</v>
      </c>
      <c r="G2310">
        <v>1</v>
      </c>
      <c r="H2310">
        <v>1000</v>
      </c>
      <c r="J2310" cm="1">
        <f t="array" ref="J2310">_xlfn.SWITCH(B2310,1,75,2,61,3,49,4,37,5,25,6,13,7,4,8,1)</f>
        <v>1</v>
      </c>
      <c r="K2310" t="str" cm="1">
        <f t="array" ref="K2310">IFERROR(_xlfn.SWITCH(L2310,2,_xlfn.XLOOKUP(C2310,[1]ModifierDes!$B:$B,[1]ModifierDes!$C:$C),3,_xlfn.XLOOKUP(C2310,[1]StuntDes!$B:$B,[1]StuntDes!$C:$C)),"")</f>
        <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403</v>
      </c>
      <c r="D2311" t="s">
        <v>28</v>
      </c>
      <c r="E2311" t="s">
        <v>388</v>
      </c>
      <c r="G2311">
        <v>1</v>
      </c>
      <c r="H2311">
        <v>1000</v>
      </c>
      <c r="J2311" cm="1">
        <f t="array" ref="J2311">_xlfn.SWITCH(B2311,1,75,2,61,3,49,4,37,5,25,6,13,7,4,8,1)</f>
        <v>75</v>
      </c>
      <c r="K2311" t="str" cm="1">
        <f t="array" ref="K2311">IFERROR(_xlfn.SWITCH(L2311,2,_xlfn.XLOOKUP(C2311,[1]ModifierDes!$B:$B,[1]ModifierDes!$C:$C),3,_xlfn.XLOOKUP(C2311,[1]StuntDes!$B:$B,[1]StuntDes!$C:$C)),"")</f>
        <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403</v>
      </c>
      <c r="D2312" t="s">
        <v>28</v>
      </c>
      <c r="E2312" t="s">
        <v>388</v>
      </c>
      <c r="G2312">
        <v>1</v>
      </c>
      <c r="H2312">
        <v>1000</v>
      </c>
      <c r="J2312" cm="1">
        <f t="array" ref="J2312">_xlfn.SWITCH(B2312,1,75,2,61,3,49,4,37,5,25,6,13,7,4,8,1)</f>
        <v>61</v>
      </c>
      <c r="K2312" t="str" cm="1">
        <f t="array" ref="K2312">IFERROR(_xlfn.SWITCH(L2312,2,_xlfn.XLOOKUP(C2312,[1]ModifierDes!$B:$B,[1]ModifierDes!$C:$C),3,_xlfn.XLOOKUP(C2312,[1]StuntDes!$B:$B,[1]StuntDes!$C:$C)),"")</f>
        <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403</v>
      </c>
      <c r="D2313" t="s">
        <v>28</v>
      </c>
      <c r="E2313" t="s">
        <v>388</v>
      </c>
      <c r="G2313">
        <v>1</v>
      </c>
      <c r="H2313">
        <v>1000</v>
      </c>
      <c r="J2313" cm="1">
        <f t="array" ref="J2313">_xlfn.SWITCH(B2313,1,75,2,61,3,49,4,37,5,25,6,13,7,4,8,1)</f>
        <v>49</v>
      </c>
      <c r="K2313" t="str" cm="1">
        <f t="array" ref="K2313">IFERROR(_xlfn.SWITCH(L2313,2,_xlfn.XLOOKUP(C2313,[1]ModifierDes!$B:$B,[1]ModifierDes!$C:$C),3,_xlfn.XLOOKUP(C2313,[1]StuntDes!$B:$B,[1]StuntDes!$C:$C)),"")</f>
        <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403</v>
      </c>
      <c r="D2314" t="s">
        <v>28</v>
      </c>
      <c r="E2314" t="s">
        <v>388</v>
      </c>
      <c r="G2314">
        <v>1</v>
      </c>
      <c r="H2314">
        <v>1000</v>
      </c>
      <c r="J2314" cm="1">
        <f t="array" ref="J2314">_xlfn.SWITCH(B2314,1,75,2,61,3,49,4,37,5,25,6,13,7,4,8,1)</f>
        <v>37</v>
      </c>
      <c r="K2314" t="str" cm="1">
        <f t="array" ref="K2314">IFERROR(_xlfn.SWITCH(L2314,2,_xlfn.XLOOKUP(C2314,[1]ModifierDes!$B:$B,[1]ModifierDes!$C:$C),3,_xlfn.XLOOKUP(C2314,[1]StuntDes!$B:$B,[1]StuntDes!$C:$C)),"")</f>
        <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403</v>
      </c>
      <c r="D2315" t="s">
        <v>28</v>
      </c>
      <c r="E2315" t="s">
        <v>388</v>
      </c>
      <c r="G2315">
        <v>1</v>
      </c>
      <c r="H2315">
        <v>1000</v>
      </c>
      <c r="J2315" cm="1">
        <f t="array" ref="J2315">_xlfn.SWITCH(B2315,1,75,2,61,3,49,4,37,5,25,6,13,7,4,8,1)</f>
        <v>25</v>
      </c>
      <c r="K2315" t="str" cm="1">
        <f t="array" ref="K2315">IFERROR(_xlfn.SWITCH(L2315,2,_xlfn.XLOOKUP(C2315,[1]ModifierDes!$B:$B,[1]ModifierDes!$C:$C),3,_xlfn.XLOOKUP(C2315,[1]StuntDes!$B:$B,[1]StuntDes!$C:$C)),"")</f>
        <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403</v>
      </c>
      <c r="D2316" t="s">
        <v>28</v>
      </c>
      <c r="E2316" t="s">
        <v>388</v>
      </c>
      <c r="G2316">
        <v>1</v>
      </c>
      <c r="H2316">
        <v>1000</v>
      </c>
      <c r="J2316" cm="1">
        <f t="array" ref="J2316">_xlfn.SWITCH(B2316,1,75,2,61,3,49,4,37,5,25,6,13,7,4,8,1)</f>
        <v>13</v>
      </c>
      <c r="K2316" t="str" cm="1">
        <f t="array" ref="K2316">IFERROR(_xlfn.SWITCH(L2316,2,_xlfn.XLOOKUP(C2316,[1]ModifierDes!$B:$B,[1]ModifierDes!$C:$C),3,_xlfn.XLOOKUP(C2316,[1]StuntDes!$B:$B,[1]StuntDes!$C:$C)),"")</f>
        <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403</v>
      </c>
      <c r="D2317" t="s">
        <v>28</v>
      </c>
      <c r="E2317" t="s">
        <v>388</v>
      </c>
      <c r="G2317">
        <v>1</v>
      </c>
      <c r="H2317">
        <v>1000</v>
      </c>
      <c r="J2317" cm="1">
        <f t="array" ref="J2317">_xlfn.SWITCH(B2317,1,75,2,61,3,49,4,37,5,25,6,13,7,4,8,1)</f>
        <v>4</v>
      </c>
      <c r="K2317" t="str" cm="1">
        <f t="array" ref="K2317">IFERROR(_xlfn.SWITCH(L2317,2,_xlfn.XLOOKUP(C2317,[1]ModifierDes!$B:$B,[1]ModifierDes!$C:$C),3,_xlfn.XLOOKUP(C2317,[1]StuntDes!$B:$B,[1]StuntDes!$C:$C)),"")</f>
        <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403</v>
      </c>
      <c r="D2318" t="s">
        <v>28</v>
      </c>
      <c r="E2318" t="s">
        <v>388</v>
      </c>
      <c r="G2318">
        <v>1</v>
      </c>
      <c r="H2318">
        <v>1000</v>
      </c>
      <c r="J2318" cm="1">
        <f t="array" ref="J2318">_xlfn.SWITCH(B2318,1,75,2,61,3,49,4,37,5,25,6,13,7,4,8,1)</f>
        <v>1</v>
      </c>
      <c r="K2318" t="str" cm="1">
        <f t="array" ref="K2318">IFERROR(_xlfn.SWITCH(L2318,2,_xlfn.XLOOKUP(C2318,[1]ModifierDes!$B:$B,[1]ModifierDes!$C:$C),3,_xlfn.XLOOKUP(C2318,[1]StuntDes!$B:$B,[1]StuntDes!$C:$C)),"")</f>
        <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404</v>
      </c>
      <c r="D2319" t="s">
        <v>28</v>
      </c>
      <c r="E2319" s="13" t="s">
        <v>405</v>
      </c>
      <c r="G2319">
        <v>2</v>
      </c>
      <c r="H2319">
        <v>1000</v>
      </c>
      <c r="J2319" cm="1">
        <f t="array" ref="J2319">_xlfn.SWITCH(B2319,1,75,2,61,3,49,4,37,5,25,6,13,7,4,8,1)</f>
        <v>75</v>
      </c>
      <c r="K2319" t="str" cm="1">
        <f t="array" ref="K2319">IFERROR(_xlfn.SWITCH(L2319,2,_xlfn.XLOOKUP(C2319,[1]ModifierDes!$B:$B,[1]ModifierDes!$C:$C),3,_xlfn.XLOOKUP(C2319,[1]StuntDes!$B:$B,[1]StuntDes!$C:$C)),"")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404</v>
      </c>
      <c r="D2320" t="s">
        <v>28</v>
      </c>
      <c r="E2320" s="13" t="s">
        <v>405</v>
      </c>
      <c r="G2320">
        <v>2</v>
      </c>
      <c r="H2320">
        <v>1000</v>
      </c>
      <c r="J2320" cm="1">
        <f t="array" ref="J2320">_xlfn.SWITCH(B2320,1,75,2,61,3,49,4,37,5,25,6,13,7,4,8,1)</f>
        <v>61</v>
      </c>
      <c r="K2320" t="str" cm="1">
        <f t="array" ref="K2320">IFERROR(_xlfn.SWITCH(L2320,2,_xlfn.XLOOKUP(C2320,[1]ModifierDes!$B:$B,[1]ModifierDes!$C:$C),3,_xlfn.XLOOKUP(C2320,[1]StuntDes!$B:$B,[1]StuntDes!$C:$C)),"")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404</v>
      </c>
      <c r="D2321" t="s">
        <v>28</v>
      </c>
      <c r="E2321" s="13" t="s">
        <v>405</v>
      </c>
      <c r="G2321">
        <v>2</v>
      </c>
      <c r="H2321">
        <v>1000</v>
      </c>
      <c r="J2321" cm="1">
        <f t="array" ref="J2321">_xlfn.SWITCH(B2321,1,75,2,61,3,49,4,37,5,25,6,13,7,4,8,1)</f>
        <v>49</v>
      </c>
      <c r="K2321" t="str" cm="1">
        <f t="array" ref="K2321">IFERROR(_xlfn.SWITCH(L2321,2,_xlfn.XLOOKUP(C2321,[1]ModifierDes!$B:$B,[1]ModifierDes!$C:$C),3,_xlfn.XLOOKUP(C2321,[1]StuntDes!$B:$B,[1]StuntDes!$C:$C)),"")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404</v>
      </c>
      <c r="D2322" t="s">
        <v>28</v>
      </c>
      <c r="E2322" s="13" t="s">
        <v>405</v>
      </c>
      <c r="G2322">
        <v>2</v>
      </c>
      <c r="H2322">
        <v>1000</v>
      </c>
      <c r="J2322" cm="1">
        <f t="array" ref="J2322">_xlfn.SWITCH(B2322,1,75,2,61,3,49,4,37,5,25,6,13,7,4,8,1)</f>
        <v>37</v>
      </c>
      <c r="K2322" t="str" cm="1">
        <f t="array" ref="K2322">IFERROR(_xlfn.SWITCH(L2322,2,_xlfn.XLOOKUP(C2322,[1]ModifierDes!$B:$B,[1]ModifierDes!$C:$C),3,_xlfn.XLOOKUP(C2322,[1]StuntDes!$B:$B,[1]StuntDes!$C:$C)),"")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404</v>
      </c>
      <c r="D2323" t="s">
        <v>28</v>
      </c>
      <c r="E2323" s="13" t="s">
        <v>405</v>
      </c>
      <c r="G2323">
        <v>2</v>
      </c>
      <c r="H2323">
        <v>1000</v>
      </c>
      <c r="J2323" cm="1">
        <f t="array" ref="J2323">_xlfn.SWITCH(B2323,1,75,2,61,3,49,4,37,5,25,6,13,7,4,8,1)</f>
        <v>25</v>
      </c>
      <c r="K2323" t="str" cm="1">
        <f t="array" ref="K2323">IFERROR(_xlfn.SWITCH(L2323,2,_xlfn.XLOOKUP(C2323,[1]ModifierDes!$B:$B,[1]ModifierDes!$C:$C),3,_xlfn.XLOOKUP(C2323,[1]StuntDes!$B:$B,[1]StuntDes!$C:$C)),"")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404</v>
      </c>
      <c r="D2324" t="s">
        <v>28</v>
      </c>
      <c r="E2324" s="13" t="s">
        <v>405</v>
      </c>
      <c r="G2324">
        <v>2</v>
      </c>
      <c r="H2324">
        <v>1000</v>
      </c>
      <c r="J2324" cm="1">
        <f t="array" ref="J2324">_xlfn.SWITCH(B2324,1,75,2,61,3,49,4,37,5,25,6,13,7,4,8,1)</f>
        <v>13</v>
      </c>
      <c r="K2324" t="str" cm="1">
        <f t="array" ref="K2324">IFERROR(_xlfn.SWITCH(L2324,2,_xlfn.XLOOKUP(C2324,[1]ModifierDes!$B:$B,[1]ModifierDes!$C:$C),3,_xlfn.XLOOKUP(C2324,[1]StuntDes!$B:$B,[1]StuntDes!$C:$C)),"")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404</v>
      </c>
      <c r="D2325" t="s">
        <v>28</v>
      </c>
      <c r="E2325" s="13" t="s">
        <v>405</v>
      </c>
      <c r="G2325">
        <v>2</v>
      </c>
      <c r="H2325">
        <v>1000</v>
      </c>
      <c r="J2325" cm="1">
        <f t="array" ref="J2325">_xlfn.SWITCH(B2325,1,75,2,61,3,49,4,37,5,25,6,13,7,4,8,1)</f>
        <v>4</v>
      </c>
      <c r="K2325" t="str" cm="1">
        <f t="array" ref="K2325">IFERROR(_xlfn.SWITCH(L2325,2,_xlfn.XLOOKUP(C2325,[1]ModifierDes!$B:$B,[1]ModifierDes!$C:$C),3,_xlfn.XLOOKUP(C2325,[1]StuntDes!$B:$B,[1]StuntDes!$C:$C)),"")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404</v>
      </c>
      <c r="D2326" t="s">
        <v>28</v>
      </c>
      <c r="E2326" s="13" t="s">
        <v>405</v>
      </c>
      <c r="G2326">
        <v>2</v>
      </c>
      <c r="H2326">
        <v>1000</v>
      </c>
      <c r="J2326" cm="1">
        <f t="array" ref="J2326">_xlfn.SWITCH(B2326,1,75,2,61,3,49,4,37,5,25,6,13,7,4,8,1)</f>
        <v>1</v>
      </c>
      <c r="K2326" t="str" cm="1">
        <f t="array" ref="K2326">IFERROR(_xlfn.SWITCH(L2326,2,_xlfn.XLOOKUP(C2326,[1]ModifierDes!$B:$B,[1]ModifierDes!$C:$C),3,_xlfn.XLOOKUP(C2326,[1]StuntDes!$B:$B,[1]StuntDes!$C:$C)),"")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406</v>
      </c>
      <c r="D2327" t="s">
        <v>28</v>
      </c>
      <c r="E2327" s="13" t="s">
        <v>405</v>
      </c>
      <c r="G2327">
        <v>2</v>
      </c>
      <c r="H2327">
        <v>25</v>
      </c>
      <c r="I2327">
        <v>2</v>
      </c>
      <c r="J2327" cm="1">
        <f t="array" ref="J2327">_xlfn.SWITCH(B2327,1,75,2,61,3,49,4,37,5,25,6,13,7,4,8,1)</f>
        <v>75</v>
      </c>
      <c r="K2327" t="str" cm="1">
        <f t="array" ref="K2327">IFERROR(_xlfn.SWITCH(L2327,2,_xlfn.XLOOKUP(C2327,[1]ModifierDes!$B:$B,[1]ModifierDes!$C:$C),3,_xlfn.XLOOKUP(C2327,[1]StuntDes!$B:$B,[1]StuntDes!$C:$C)),"")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406</v>
      </c>
      <c r="D2328" t="s">
        <v>28</v>
      </c>
      <c r="E2328" s="13" t="s">
        <v>405</v>
      </c>
      <c r="G2328">
        <v>2</v>
      </c>
      <c r="H2328">
        <v>100</v>
      </c>
      <c r="I2328">
        <v>2</v>
      </c>
      <c r="J2328" cm="1">
        <f t="array" ref="J2328">_xlfn.SWITCH(B2328,1,75,2,61,3,49,4,37,5,25,6,13,7,4,8,1)</f>
        <v>61</v>
      </c>
      <c r="K2328" t="str" cm="1">
        <f t="array" ref="K2328">IFERROR(_xlfn.SWITCH(L2328,2,_xlfn.XLOOKUP(C2328,[1]ModifierDes!$B:$B,[1]ModifierDes!$C:$C),3,_xlfn.XLOOKUP(C2328,[1]StuntDes!$B:$B,[1]StuntDes!$C:$C)),"")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406</v>
      </c>
      <c r="D2329" t="s">
        <v>28</v>
      </c>
      <c r="E2329" s="13" t="s">
        <v>405</v>
      </c>
      <c r="G2329">
        <v>2</v>
      </c>
      <c r="H2329">
        <v>400</v>
      </c>
      <c r="I2329">
        <v>2</v>
      </c>
      <c r="J2329" cm="1">
        <f t="array" ref="J2329">_xlfn.SWITCH(B2329,1,75,2,61,3,49,4,37,5,25,6,13,7,4,8,1)</f>
        <v>49</v>
      </c>
      <c r="K2329" t="str" cm="1">
        <f t="array" ref="K2329">IFERROR(_xlfn.SWITCH(L2329,2,_xlfn.XLOOKUP(C2329,[1]ModifierDes!$B:$B,[1]ModifierDes!$C:$C),3,_xlfn.XLOOKUP(C2329,[1]StuntDes!$B:$B,[1]StuntDes!$C:$C)),"")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406</v>
      </c>
      <c r="D2330" t="s">
        <v>28</v>
      </c>
      <c r="E2330" s="13" t="s">
        <v>405</v>
      </c>
      <c r="G2330">
        <v>2</v>
      </c>
      <c r="H2330">
        <v>1000</v>
      </c>
      <c r="I2330">
        <v>2</v>
      </c>
      <c r="J2330" cm="1">
        <f t="array" ref="J2330">_xlfn.SWITCH(B2330,1,75,2,61,3,49,4,37,5,25,6,13,7,4,8,1)</f>
        <v>25</v>
      </c>
      <c r="K2330" t="str" cm="1">
        <f t="array" ref="K2330">IFERROR(_xlfn.SWITCH(L2330,2,_xlfn.XLOOKUP(C2330,[1]ModifierDes!$B:$B,[1]ModifierDes!$C:$C),3,_xlfn.XLOOKUP(C2330,[1]StuntDes!$B:$B,[1]StuntDes!$C:$C)),"")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407</v>
      </c>
      <c r="D2331" t="s">
        <v>28</v>
      </c>
      <c r="E2331" s="13" t="s">
        <v>405</v>
      </c>
      <c r="G2331">
        <v>2</v>
      </c>
      <c r="H2331">
        <v>25</v>
      </c>
      <c r="I2331">
        <v>2</v>
      </c>
      <c r="J2331" cm="1">
        <f t="array" ref="J2331">_xlfn.SWITCH(B2331,1,75,2,61,3,49,4,37,5,25,6,13,7,4,8,1)</f>
        <v>75</v>
      </c>
      <c r="K2331" t="str" cm="1">
        <f t="array" ref="K2331">IFERROR(_xlfn.SWITCH(L2331,2,_xlfn.XLOOKUP(C2331,[1]ModifierDes!$B:$B,[1]ModifierDes!$C:$C),3,_xlfn.XLOOKUP(C2331,[1]StuntDes!$B:$B,[1]StuntDes!$C:$C)),"")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407</v>
      </c>
      <c r="D2332" t="s">
        <v>28</v>
      </c>
      <c r="E2332" s="13" t="s">
        <v>405</v>
      </c>
      <c r="G2332">
        <v>2</v>
      </c>
      <c r="H2332">
        <v>100</v>
      </c>
      <c r="I2332">
        <v>2</v>
      </c>
      <c r="J2332" cm="1">
        <f t="array" ref="J2332">_xlfn.SWITCH(B2332,1,75,2,61,3,49,4,37,5,25,6,13,7,4,8,1)</f>
        <v>61</v>
      </c>
      <c r="K2332" t="str" cm="1">
        <f t="array" ref="K2332">IFERROR(_xlfn.SWITCH(L2332,2,_xlfn.XLOOKUP(C2332,[1]ModifierDes!$B:$B,[1]ModifierDes!$C:$C),3,_xlfn.XLOOKUP(C2332,[1]StuntDes!$B:$B,[1]StuntDes!$C:$C)),"")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407</v>
      </c>
      <c r="D2333" t="s">
        <v>28</v>
      </c>
      <c r="E2333" s="13" t="s">
        <v>405</v>
      </c>
      <c r="G2333">
        <v>2</v>
      </c>
      <c r="H2333">
        <v>400</v>
      </c>
      <c r="I2333">
        <v>2</v>
      </c>
      <c r="J2333" cm="1">
        <f t="array" ref="J2333">_xlfn.SWITCH(B2333,1,75,2,61,3,49,4,37,5,25,6,13,7,4,8,1)</f>
        <v>49</v>
      </c>
      <c r="K2333" t="str" cm="1">
        <f t="array" ref="K2333">IFERROR(_xlfn.SWITCH(L2333,2,_xlfn.XLOOKUP(C2333,[1]ModifierDes!$B:$B,[1]ModifierDes!$C:$C),3,_xlfn.XLOOKUP(C2333,[1]StuntDes!$B:$B,[1]StuntDes!$C:$C)),"")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407</v>
      </c>
      <c r="D2334" t="s">
        <v>28</v>
      </c>
      <c r="E2334" s="13" t="s">
        <v>405</v>
      </c>
      <c r="G2334">
        <v>2</v>
      </c>
      <c r="H2334">
        <v>1000</v>
      </c>
      <c r="I2334">
        <v>2</v>
      </c>
      <c r="J2334" cm="1">
        <f t="array" ref="J2334">_xlfn.SWITCH(B2334,1,75,2,61,3,49,4,37,5,25,6,13,7,4,8,1)</f>
        <v>25</v>
      </c>
      <c r="K2334" t="str" cm="1">
        <f t="array" ref="K2334">IFERROR(_xlfn.SWITCH(L2334,2,_xlfn.XLOOKUP(C2334,[1]ModifierDes!$B:$B,[1]ModifierDes!$C:$C),3,_xlfn.XLOOKUP(C2334,[1]StuntDes!$B:$B,[1]StuntDes!$C:$C)),"")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408</v>
      </c>
      <c r="D2335" t="s">
        <v>28</v>
      </c>
      <c r="E2335" s="13" t="s">
        <v>405</v>
      </c>
      <c r="G2335">
        <v>2</v>
      </c>
      <c r="H2335">
        <v>25</v>
      </c>
      <c r="I2335">
        <v>2</v>
      </c>
      <c r="J2335" cm="1">
        <f t="array" ref="J2335">_xlfn.SWITCH(B2335,1,75,2,61,3,49,4,37,5,25,6,13,7,4,8,1)</f>
        <v>75</v>
      </c>
      <c r="K2335" t="str" cm="1">
        <f t="array" ref="K2335">IFERROR(_xlfn.SWITCH(L2335,2,_xlfn.XLOOKUP(C2335,[1]ModifierDes!$B:$B,[1]ModifierDes!$C:$C),3,_xlfn.XLOOKUP(C2335,[1]StuntDes!$B:$B,[1]StuntDes!$C:$C)),"")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408</v>
      </c>
      <c r="D2336" t="s">
        <v>28</v>
      </c>
      <c r="E2336" s="13" t="s">
        <v>405</v>
      </c>
      <c r="G2336">
        <v>2</v>
      </c>
      <c r="H2336">
        <v>100</v>
      </c>
      <c r="I2336">
        <v>2</v>
      </c>
      <c r="J2336" cm="1">
        <f t="array" ref="J2336">_xlfn.SWITCH(B2336,1,75,2,61,3,49,4,37,5,25,6,13,7,4,8,1)</f>
        <v>61</v>
      </c>
      <c r="K2336" t="str" cm="1">
        <f t="array" ref="K2336">IFERROR(_xlfn.SWITCH(L2336,2,_xlfn.XLOOKUP(C2336,[1]ModifierDes!$B:$B,[1]ModifierDes!$C:$C),3,_xlfn.XLOOKUP(C2336,[1]StuntDes!$B:$B,[1]StuntDes!$C:$C)),"")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408</v>
      </c>
      <c r="D2337" t="s">
        <v>28</v>
      </c>
      <c r="E2337" s="13" t="s">
        <v>405</v>
      </c>
      <c r="G2337">
        <v>2</v>
      </c>
      <c r="H2337">
        <v>400</v>
      </c>
      <c r="I2337">
        <v>2</v>
      </c>
      <c r="J2337" cm="1">
        <f t="array" ref="J2337">_xlfn.SWITCH(B2337,1,75,2,61,3,49,4,37,5,25,6,13,7,4,8,1)</f>
        <v>49</v>
      </c>
      <c r="K2337" t="str" cm="1">
        <f t="array" ref="K2337">IFERROR(_xlfn.SWITCH(L2337,2,_xlfn.XLOOKUP(C2337,[1]ModifierDes!$B:$B,[1]ModifierDes!$C:$C),3,_xlfn.XLOOKUP(C2337,[1]StuntDes!$B:$B,[1]StuntDes!$C:$C)),"")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408</v>
      </c>
      <c r="D2338" t="s">
        <v>28</v>
      </c>
      <c r="E2338" s="13" t="s">
        <v>405</v>
      </c>
      <c r="G2338">
        <v>2</v>
      </c>
      <c r="H2338">
        <v>1000</v>
      </c>
      <c r="I2338">
        <v>2</v>
      </c>
      <c r="J2338" cm="1">
        <f t="array" ref="J2338">_xlfn.SWITCH(B2338,1,75,2,61,3,49,4,37,5,25,6,13,7,4,8,1)</f>
        <v>25</v>
      </c>
      <c r="K2338" t="str" cm="1">
        <f t="array" ref="K2338">IFERROR(_xlfn.SWITCH(L2338,2,_xlfn.XLOOKUP(C2338,[1]ModifierDes!$B:$B,[1]ModifierDes!$C:$C),3,_xlfn.XLOOKUP(C2338,[1]StuntDes!$B:$B,[1]StuntDes!$C:$C)),"")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409</v>
      </c>
      <c r="D2339" t="s">
        <v>28</v>
      </c>
      <c r="E2339" s="13" t="s">
        <v>405</v>
      </c>
      <c r="G2339">
        <v>2</v>
      </c>
      <c r="H2339">
        <v>25</v>
      </c>
      <c r="I2339">
        <v>2</v>
      </c>
      <c r="J2339" cm="1">
        <f t="array" ref="J2339">_xlfn.SWITCH(B2339,1,75,2,61,3,49,4,37,5,25,6,13,7,4,8,1)</f>
        <v>75</v>
      </c>
      <c r="K2339" t="str" cm="1">
        <f t="array" ref="K2339">IFERROR(_xlfn.SWITCH(L2339,2,_xlfn.XLOOKUP(C2339,[1]ModifierDes!$B:$B,[1]ModifierDes!$C:$C),3,_xlfn.XLOOKUP(C2339,[1]StuntDes!$B:$B,[1]StuntDes!$C:$C)),"")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409</v>
      </c>
      <c r="D2340" t="s">
        <v>28</v>
      </c>
      <c r="E2340" s="13" t="s">
        <v>405</v>
      </c>
      <c r="G2340">
        <v>2</v>
      </c>
      <c r="H2340">
        <v>100</v>
      </c>
      <c r="I2340">
        <v>2</v>
      </c>
      <c r="J2340" cm="1">
        <f t="array" ref="J2340">_xlfn.SWITCH(B2340,1,75,2,61,3,49,4,37,5,25,6,13,7,4,8,1)</f>
        <v>61</v>
      </c>
      <c r="K2340" t="str" cm="1">
        <f t="array" ref="K2340">IFERROR(_xlfn.SWITCH(L2340,2,_xlfn.XLOOKUP(C2340,[1]ModifierDes!$B:$B,[1]ModifierDes!$C:$C),3,_xlfn.XLOOKUP(C2340,[1]StuntDes!$B:$B,[1]StuntDes!$C:$C)),"")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409</v>
      </c>
      <c r="D2341" t="s">
        <v>28</v>
      </c>
      <c r="E2341" s="13" t="s">
        <v>405</v>
      </c>
      <c r="G2341">
        <v>2</v>
      </c>
      <c r="H2341">
        <v>400</v>
      </c>
      <c r="I2341">
        <v>2</v>
      </c>
      <c r="J2341" cm="1">
        <f t="array" ref="J2341">_xlfn.SWITCH(B2341,1,75,2,61,3,49,4,37,5,25,6,13,7,4,8,1)</f>
        <v>49</v>
      </c>
      <c r="K2341" t="str" cm="1">
        <f t="array" ref="K2341">IFERROR(_xlfn.SWITCH(L2341,2,_xlfn.XLOOKUP(C2341,[1]ModifierDes!$B:$B,[1]ModifierDes!$C:$C),3,_xlfn.XLOOKUP(C2341,[1]StuntDes!$B:$B,[1]StuntDes!$C:$C)),"")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409</v>
      </c>
      <c r="D2342" t="s">
        <v>28</v>
      </c>
      <c r="E2342" s="13" t="s">
        <v>405</v>
      </c>
      <c r="G2342">
        <v>2</v>
      </c>
      <c r="H2342">
        <v>1000</v>
      </c>
      <c r="I2342">
        <v>2</v>
      </c>
      <c r="J2342" cm="1">
        <f t="array" ref="J2342">_xlfn.SWITCH(B2342,1,75,2,61,3,49,4,37,5,25,6,13,7,4,8,1)</f>
        <v>25</v>
      </c>
      <c r="K2342" t="str" cm="1">
        <f t="array" ref="K2342">IFERROR(_xlfn.SWITCH(L2342,2,_xlfn.XLOOKUP(C2342,[1]ModifierDes!$B:$B,[1]ModifierDes!$C:$C),3,_xlfn.XLOOKUP(C2342,[1]StuntDes!$B:$B,[1]StuntDes!$C:$C)),"")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410</v>
      </c>
      <c r="D2343" t="s">
        <v>28</v>
      </c>
      <c r="E2343" s="13" t="s">
        <v>405</v>
      </c>
      <c r="G2343">
        <v>2</v>
      </c>
      <c r="H2343">
        <v>25</v>
      </c>
      <c r="I2343">
        <v>2</v>
      </c>
      <c r="J2343" cm="1">
        <f t="array" ref="J2343">_xlfn.SWITCH(B2343,1,75,2,61,3,49,4,37,5,25,6,13,7,4,8,1)</f>
        <v>75</v>
      </c>
      <c r="K2343" t="str" cm="1">
        <f t="array" ref="K2343">IFERROR(_xlfn.SWITCH(L2343,2,_xlfn.XLOOKUP(C2343,[1]ModifierDes!$B:$B,[1]ModifierDes!$C:$C),3,_xlfn.XLOOKUP(C2343,[1]StuntDes!$B:$B,[1]StuntDes!$C:$C)),"")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410</v>
      </c>
      <c r="D2344" t="s">
        <v>28</v>
      </c>
      <c r="E2344" s="13" t="s">
        <v>405</v>
      </c>
      <c r="G2344">
        <v>2</v>
      </c>
      <c r="H2344">
        <v>100</v>
      </c>
      <c r="I2344">
        <v>2</v>
      </c>
      <c r="J2344" cm="1">
        <f t="array" ref="J2344">_xlfn.SWITCH(B2344,1,75,2,61,3,49,4,37,5,25,6,13,7,4,8,1)</f>
        <v>61</v>
      </c>
      <c r="K2344" t="str" cm="1">
        <f t="array" ref="K2344">IFERROR(_xlfn.SWITCH(L2344,2,_xlfn.XLOOKUP(C2344,[1]ModifierDes!$B:$B,[1]ModifierDes!$C:$C),3,_xlfn.XLOOKUP(C2344,[1]StuntDes!$B:$B,[1]StuntDes!$C:$C)),"")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410</v>
      </c>
      <c r="D2345" t="s">
        <v>28</v>
      </c>
      <c r="E2345" s="13" t="s">
        <v>405</v>
      </c>
      <c r="G2345">
        <v>2</v>
      </c>
      <c r="H2345">
        <v>400</v>
      </c>
      <c r="I2345">
        <v>2</v>
      </c>
      <c r="J2345" cm="1">
        <f t="array" ref="J2345">_xlfn.SWITCH(B2345,1,75,2,61,3,49,4,37,5,25,6,13,7,4,8,1)</f>
        <v>49</v>
      </c>
      <c r="K2345" t="str" cm="1">
        <f t="array" ref="K2345">IFERROR(_xlfn.SWITCH(L2345,2,_xlfn.XLOOKUP(C2345,[1]ModifierDes!$B:$B,[1]ModifierDes!$C:$C),3,_xlfn.XLOOKUP(C2345,[1]StuntDes!$B:$B,[1]StuntDes!$C:$C)),"")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410</v>
      </c>
      <c r="D2346" t="s">
        <v>28</v>
      </c>
      <c r="E2346" s="13" t="s">
        <v>405</v>
      </c>
      <c r="G2346">
        <v>2</v>
      </c>
      <c r="H2346">
        <v>1000</v>
      </c>
      <c r="I2346">
        <v>2</v>
      </c>
      <c r="J2346" cm="1">
        <f t="array" ref="J2346">_xlfn.SWITCH(B2346,1,75,2,61,3,49,4,37,5,25,6,13,7,4,8,1)</f>
        <v>25</v>
      </c>
      <c r="K2346" t="str" cm="1">
        <f t="array" ref="K2346">IFERROR(_xlfn.SWITCH(L2346,2,_xlfn.XLOOKUP(C2346,[1]ModifierDes!$B:$B,[1]ModifierDes!$C:$C),3,_xlfn.XLOOKUP(C2346,[1]StuntDes!$B:$B,[1]StuntDes!$C:$C)),"")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437</v>
      </c>
      <c r="D2347" t="s">
        <v>28</v>
      </c>
      <c r="E2347" s="13" t="s">
        <v>405</v>
      </c>
      <c r="G2347">
        <v>2</v>
      </c>
      <c r="H2347">
        <v>100</v>
      </c>
      <c r="J2347" cm="1">
        <f t="array" ref="J2347">_xlfn.SWITCH(B2347,1,75,2,61,3,49,4,37,5,25,6,13,7,4,8,1)</f>
        <v>75</v>
      </c>
      <c r="K2347" t="str" cm="1">
        <f t="array" ref="K2347">IFERROR(_xlfn.SWITCH(L2347,2,_xlfn.XLOOKUP(C2347,[1]ModifierDes!$B:$B,[1]ModifierDes!$C:$C),3,_xlfn.XLOOKUP(C2347,[1]StuntDes!$B:$B,[1]StuntDes!$C:$C)),"")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437</v>
      </c>
      <c r="D2348" t="s">
        <v>28</v>
      </c>
      <c r="E2348" s="13" t="s">
        <v>405</v>
      </c>
      <c r="G2348">
        <v>2</v>
      </c>
      <c r="H2348">
        <v>200</v>
      </c>
      <c r="J2348" cm="1">
        <f t="array" ref="J2348">_xlfn.SWITCH(B2348,1,75,2,61,3,49,4,37,5,25,6,13,7,4,8,1)</f>
        <v>61</v>
      </c>
      <c r="K2348" t="str" cm="1">
        <f t="array" ref="K2348">IFERROR(_xlfn.SWITCH(L2348,2,_xlfn.XLOOKUP(C2348,[1]ModifierDes!$B:$B,[1]ModifierDes!$C:$C),3,_xlfn.XLOOKUP(C2348,[1]StuntDes!$B:$B,[1]StuntDes!$C:$C)),"")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437</v>
      </c>
      <c r="D2349" t="s">
        <v>28</v>
      </c>
      <c r="E2349" s="13" t="s">
        <v>405</v>
      </c>
      <c r="G2349">
        <v>2</v>
      </c>
      <c r="H2349">
        <v>400</v>
      </c>
      <c r="J2349" cm="1">
        <f t="array" ref="J2349">_xlfn.SWITCH(B2349,1,75,2,61,3,49,4,37,5,25,6,13,7,4,8,1)</f>
        <v>49</v>
      </c>
      <c r="K2349" t="str" cm="1">
        <f t="array" ref="K2349">IFERROR(_xlfn.SWITCH(L2349,2,_xlfn.XLOOKUP(C2349,[1]ModifierDes!$B:$B,[1]ModifierDes!$C:$C),3,_xlfn.XLOOKUP(C2349,[1]StuntDes!$B:$B,[1]StuntDes!$C:$C)),"")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437</v>
      </c>
      <c r="D2350" t="s">
        <v>28</v>
      </c>
      <c r="E2350" s="13" t="s">
        <v>405</v>
      </c>
      <c r="G2350">
        <v>2</v>
      </c>
      <c r="H2350">
        <v>600</v>
      </c>
      <c r="J2350" cm="1">
        <f t="array" ref="J2350">_xlfn.SWITCH(B2350,1,75,2,61,3,49,4,37,5,25,6,13,7,4,8,1)</f>
        <v>37</v>
      </c>
      <c r="K2350" t="str" cm="1">
        <f t="array" ref="K2350">IFERROR(_xlfn.SWITCH(L2350,2,_xlfn.XLOOKUP(C2350,[1]ModifierDes!$B:$B,[1]ModifierDes!$C:$C),3,_xlfn.XLOOKUP(C2350,[1]StuntDes!$B:$B,[1]StuntDes!$C:$C)),"")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437</v>
      </c>
      <c r="D2351" t="s">
        <v>28</v>
      </c>
      <c r="E2351" s="13" t="s">
        <v>405</v>
      </c>
      <c r="G2351">
        <v>2</v>
      </c>
      <c r="H2351">
        <v>800</v>
      </c>
      <c r="J2351" cm="1">
        <f t="array" ref="J2351">_xlfn.SWITCH(B2351,1,75,2,61,3,49,4,37,5,25,6,13,7,4,8,1)</f>
        <v>25</v>
      </c>
      <c r="K2351" t="str" cm="1">
        <f t="array" ref="K2351">IFERROR(_xlfn.SWITCH(L2351,2,_xlfn.XLOOKUP(C2351,[1]ModifierDes!$B:$B,[1]ModifierDes!$C:$C),3,_xlfn.XLOOKUP(C2351,[1]StuntDes!$B:$B,[1]StuntDes!$C:$C)),"")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437</v>
      </c>
      <c r="D2352" t="s">
        <v>28</v>
      </c>
      <c r="E2352" s="13" t="s">
        <v>405</v>
      </c>
      <c r="G2352">
        <v>2</v>
      </c>
      <c r="H2352">
        <v>1000</v>
      </c>
      <c r="J2352" cm="1">
        <f t="array" ref="J2352">_xlfn.SWITCH(B2352,1,75,2,61,3,49,4,37,5,25,6,13,7,4,8,1)</f>
        <v>13</v>
      </c>
      <c r="K2352" t="str" cm="1">
        <f t="array" ref="K2352">IFERROR(_xlfn.SWITCH(L2352,2,_xlfn.XLOOKUP(C2352,[1]ModifierDes!$B:$B,[1]ModifierDes!$C:$C),3,_xlfn.XLOOKUP(C2352,[1]StuntDes!$B:$B,[1]StuntDes!$C:$C)),"")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437</v>
      </c>
      <c r="D2353" t="s">
        <v>28</v>
      </c>
      <c r="E2353" s="13" t="s">
        <v>405</v>
      </c>
      <c r="G2353">
        <v>2</v>
      </c>
      <c r="H2353">
        <v>1000</v>
      </c>
      <c r="J2353" cm="1">
        <f t="array" ref="J2353">_xlfn.SWITCH(B2353,1,75,2,61,3,49,4,37,5,25,6,13,7,4,8,1)</f>
        <v>4</v>
      </c>
      <c r="K2353" t="str" cm="1">
        <f t="array" ref="K2353">IFERROR(_xlfn.SWITCH(L2353,2,_xlfn.XLOOKUP(C2353,[1]ModifierDes!$B:$B,[1]ModifierDes!$C:$C),3,_xlfn.XLOOKUP(C2353,[1]StuntDes!$B:$B,[1]StuntDes!$C:$C)),"")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437</v>
      </c>
      <c r="D2354" t="s">
        <v>28</v>
      </c>
      <c r="E2354" s="13" t="s">
        <v>405</v>
      </c>
      <c r="G2354">
        <v>2</v>
      </c>
      <c r="H2354">
        <v>1000</v>
      </c>
      <c r="J2354" cm="1">
        <f t="array" ref="J2354">_xlfn.SWITCH(B2354,1,75,2,61,3,49,4,37,5,25,6,13,7,4,8,1)</f>
        <v>1</v>
      </c>
      <c r="K2354" t="str" cm="1">
        <f t="array" ref="K2354">IFERROR(_xlfn.SWITCH(L2354,2,_xlfn.XLOOKUP(C2354,[1]ModifierDes!$B:$B,[1]ModifierDes!$C:$C),3,_xlfn.XLOOKUP(C2354,[1]StuntDes!$B:$B,[1]StuntDes!$C:$C)),"")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438</v>
      </c>
      <c r="D2355" t="s">
        <v>28</v>
      </c>
      <c r="E2355" s="13" t="s">
        <v>405</v>
      </c>
      <c r="G2355">
        <v>2</v>
      </c>
      <c r="H2355">
        <v>100</v>
      </c>
      <c r="J2355" cm="1">
        <f t="array" ref="J2355">_xlfn.SWITCH(B2355,1,75,2,61,3,49,4,37,5,25,6,13,7,4,8,1)</f>
        <v>75</v>
      </c>
      <c r="K2355" t="str" cm="1">
        <f t="array" ref="K2355">IFERROR(_xlfn.SWITCH(L2355,2,_xlfn.XLOOKUP(C2355,[1]ModifierDes!$B:$B,[1]ModifierDes!$C:$C),3,_xlfn.XLOOKUP(C2355,[1]StuntDes!$B:$B,[1]StuntDes!$C:$C)),"")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438</v>
      </c>
      <c r="D2356" t="s">
        <v>28</v>
      </c>
      <c r="E2356" s="13" t="s">
        <v>405</v>
      </c>
      <c r="G2356">
        <v>2</v>
      </c>
      <c r="H2356">
        <v>200</v>
      </c>
      <c r="J2356" cm="1">
        <f t="array" ref="J2356">_xlfn.SWITCH(B2356,1,75,2,61,3,49,4,37,5,25,6,13,7,4,8,1)</f>
        <v>61</v>
      </c>
      <c r="K2356" t="str" cm="1">
        <f t="array" ref="K2356">IFERROR(_xlfn.SWITCH(L2356,2,_xlfn.XLOOKUP(C2356,[1]ModifierDes!$B:$B,[1]ModifierDes!$C:$C),3,_xlfn.XLOOKUP(C2356,[1]StuntDes!$B:$B,[1]StuntDes!$C:$C)),"")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438</v>
      </c>
      <c r="D2357" t="s">
        <v>28</v>
      </c>
      <c r="E2357" s="13" t="s">
        <v>405</v>
      </c>
      <c r="G2357">
        <v>2</v>
      </c>
      <c r="H2357">
        <v>400</v>
      </c>
      <c r="J2357" cm="1">
        <f t="array" ref="J2357">_xlfn.SWITCH(B2357,1,75,2,61,3,49,4,37,5,25,6,13,7,4,8,1)</f>
        <v>49</v>
      </c>
      <c r="K2357" t="str" cm="1">
        <f t="array" ref="K2357">IFERROR(_xlfn.SWITCH(L2357,2,_xlfn.XLOOKUP(C2357,[1]ModifierDes!$B:$B,[1]ModifierDes!$C:$C),3,_xlfn.XLOOKUP(C2357,[1]StuntDes!$B:$B,[1]StuntDes!$C:$C)),"")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438</v>
      </c>
      <c r="D2358" t="s">
        <v>28</v>
      </c>
      <c r="E2358" s="13" t="s">
        <v>405</v>
      </c>
      <c r="G2358">
        <v>2</v>
      </c>
      <c r="H2358">
        <v>600</v>
      </c>
      <c r="J2358" cm="1">
        <f t="array" ref="J2358">_xlfn.SWITCH(B2358,1,75,2,61,3,49,4,37,5,25,6,13,7,4,8,1)</f>
        <v>37</v>
      </c>
      <c r="K2358" t="str" cm="1">
        <f t="array" ref="K2358">IFERROR(_xlfn.SWITCH(L2358,2,_xlfn.XLOOKUP(C2358,[1]ModifierDes!$B:$B,[1]ModifierDes!$C:$C),3,_xlfn.XLOOKUP(C2358,[1]StuntDes!$B:$B,[1]StuntDes!$C:$C)),"")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438</v>
      </c>
      <c r="D2359" t="s">
        <v>28</v>
      </c>
      <c r="E2359" s="13" t="s">
        <v>405</v>
      </c>
      <c r="G2359">
        <v>2</v>
      </c>
      <c r="H2359">
        <v>800</v>
      </c>
      <c r="J2359" cm="1">
        <f t="array" ref="J2359">_xlfn.SWITCH(B2359,1,75,2,61,3,49,4,37,5,25,6,13,7,4,8,1)</f>
        <v>25</v>
      </c>
      <c r="K2359" t="str" cm="1">
        <f t="array" ref="K2359">IFERROR(_xlfn.SWITCH(L2359,2,_xlfn.XLOOKUP(C2359,[1]ModifierDes!$B:$B,[1]ModifierDes!$C:$C),3,_xlfn.XLOOKUP(C2359,[1]StuntDes!$B:$B,[1]StuntDes!$C:$C)),"")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438</v>
      </c>
      <c r="D2360" t="s">
        <v>28</v>
      </c>
      <c r="E2360" s="13" t="s">
        <v>405</v>
      </c>
      <c r="G2360">
        <v>2</v>
      </c>
      <c r="H2360">
        <v>1000</v>
      </c>
      <c r="J2360" cm="1">
        <f t="array" ref="J2360">_xlfn.SWITCH(B2360,1,75,2,61,3,49,4,37,5,25,6,13,7,4,8,1)</f>
        <v>13</v>
      </c>
      <c r="K2360" t="str" cm="1">
        <f t="array" ref="K2360">IFERROR(_xlfn.SWITCH(L2360,2,_xlfn.XLOOKUP(C2360,[1]ModifierDes!$B:$B,[1]ModifierDes!$C:$C),3,_xlfn.XLOOKUP(C2360,[1]StuntDes!$B:$B,[1]StuntDes!$C:$C)),"")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438</v>
      </c>
      <c r="D2361" t="s">
        <v>28</v>
      </c>
      <c r="E2361" s="13" t="s">
        <v>405</v>
      </c>
      <c r="G2361">
        <v>2</v>
      </c>
      <c r="H2361">
        <v>1000</v>
      </c>
      <c r="J2361" cm="1">
        <f t="array" ref="J2361">_xlfn.SWITCH(B2361,1,75,2,61,3,49,4,37,5,25,6,13,7,4,8,1)</f>
        <v>4</v>
      </c>
      <c r="K2361" t="str" cm="1">
        <f t="array" ref="K2361">IFERROR(_xlfn.SWITCH(L2361,2,_xlfn.XLOOKUP(C2361,[1]ModifierDes!$B:$B,[1]ModifierDes!$C:$C),3,_xlfn.XLOOKUP(C2361,[1]StuntDes!$B:$B,[1]StuntDes!$C:$C)),"")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438</v>
      </c>
      <c r="D2362" t="s">
        <v>28</v>
      </c>
      <c r="E2362" s="13" t="s">
        <v>405</v>
      </c>
      <c r="G2362">
        <v>2</v>
      </c>
      <c r="H2362">
        <v>1000</v>
      </c>
      <c r="J2362" cm="1">
        <f t="array" ref="J2362">_xlfn.SWITCH(B2362,1,75,2,61,3,49,4,37,5,25,6,13,7,4,8,1)</f>
        <v>1</v>
      </c>
      <c r="K2362" t="str" cm="1">
        <f t="array" ref="K2362">IFERROR(_xlfn.SWITCH(L2362,2,_xlfn.XLOOKUP(C2362,[1]ModifierDes!$B:$B,[1]ModifierDes!$C:$C),3,_xlfn.XLOOKUP(C2362,[1]StuntDes!$B:$B,[1]StuntDes!$C:$C)),"")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443</v>
      </c>
      <c r="D2363" t="s">
        <v>28</v>
      </c>
      <c r="E2363" s="13" t="s">
        <v>405</v>
      </c>
      <c r="G2363">
        <v>2</v>
      </c>
      <c r="H2363">
        <v>100</v>
      </c>
      <c r="J2363" cm="1">
        <f t="array" ref="J2363">_xlfn.SWITCH(B2363,1,75,2,61,3,49,4,37,5,25,6,13,7,4,8,1)</f>
        <v>75</v>
      </c>
      <c r="K2363" t="str" cm="1">
        <f t="array" ref="K2363">IFERROR(_xlfn.SWITCH(L2363,2,_xlfn.XLOOKUP(C2363,[1]ModifierDes!$B:$B,[1]ModifierDes!$C:$C),3,_xlfn.XLOOKUP(C2363,[1]StuntDes!$B:$B,[1]StuntDes!$C:$C)),"")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443</v>
      </c>
      <c r="D2364" t="s">
        <v>28</v>
      </c>
      <c r="E2364" s="13" t="s">
        <v>405</v>
      </c>
      <c r="G2364">
        <v>2</v>
      </c>
      <c r="H2364">
        <v>200</v>
      </c>
      <c r="J2364" cm="1">
        <f t="array" ref="J2364">_xlfn.SWITCH(B2364,1,75,2,61,3,49,4,37,5,25,6,13,7,4,8,1)</f>
        <v>61</v>
      </c>
      <c r="K2364" t="str" cm="1">
        <f t="array" ref="K2364">IFERROR(_xlfn.SWITCH(L2364,2,_xlfn.XLOOKUP(C2364,[1]ModifierDes!$B:$B,[1]ModifierDes!$C:$C),3,_xlfn.XLOOKUP(C2364,[1]StuntDes!$B:$B,[1]StuntDes!$C:$C)),"")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443</v>
      </c>
      <c r="D2365" t="s">
        <v>28</v>
      </c>
      <c r="E2365" s="13" t="s">
        <v>405</v>
      </c>
      <c r="G2365">
        <v>2</v>
      </c>
      <c r="H2365">
        <v>400</v>
      </c>
      <c r="J2365" cm="1">
        <f t="array" ref="J2365">_xlfn.SWITCH(B2365,1,75,2,61,3,49,4,37,5,25,6,13,7,4,8,1)</f>
        <v>49</v>
      </c>
      <c r="K2365" t="str" cm="1">
        <f t="array" ref="K2365">IFERROR(_xlfn.SWITCH(L2365,2,_xlfn.XLOOKUP(C2365,[1]ModifierDes!$B:$B,[1]ModifierDes!$C:$C),3,_xlfn.XLOOKUP(C2365,[1]StuntDes!$B:$B,[1]StuntDes!$C:$C)),"")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443</v>
      </c>
      <c r="D2366" t="s">
        <v>28</v>
      </c>
      <c r="E2366" s="13" t="s">
        <v>405</v>
      </c>
      <c r="G2366">
        <v>2</v>
      </c>
      <c r="H2366">
        <v>600</v>
      </c>
      <c r="J2366" cm="1">
        <f t="array" ref="J2366">_xlfn.SWITCH(B2366,1,75,2,61,3,49,4,37,5,25,6,13,7,4,8,1)</f>
        <v>37</v>
      </c>
      <c r="K2366" t="str" cm="1">
        <f t="array" ref="K2366">IFERROR(_xlfn.SWITCH(L2366,2,_xlfn.XLOOKUP(C2366,[1]ModifierDes!$B:$B,[1]ModifierDes!$C:$C),3,_xlfn.XLOOKUP(C2366,[1]StuntDes!$B:$B,[1]StuntDes!$C:$C)),"")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443</v>
      </c>
      <c r="D2367" t="s">
        <v>28</v>
      </c>
      <c r="E2367" s="13" t="s">
        <v>405</v>
      </c>
      <c r="G2367">
        <v>2</v>
      </c>
      <c r="H2367">
        <v>800</v>
      </c>
      <c r="J2367" cm="1">
        <f t="array" ref="J2367">_xlfn.SWITCH(B2367,1,75,2,61,3,49,4,37,5,25,6,13,7,4,8,1)</f>
        <v>25</v>
      </c>
      <c r="K2367" t="str" cm="1">
        <f t="array" ref="K2367">IFERROR(_xlfn.SWITCH(L2367,2,_xlfn.XLOOKUP(C2367,[1]ModifierDes!$B:$B,[1]ModifierDes!$C:$C),3,_xlfn.XLOOKUP(C2367,[1]StuntDes!$B:$B,[1]StuntDes!$C:$C)),"")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443</v>
      </c>
      <c r="D2368" t="s">
        <v>28</v>
      </c>
      <c r="E2368" s="13" t="s">
        <v>405</v>
      </c>
      <c r="G2368">
        <v>2</v>
      </c>
      <c r="H2368">
        <v>1000</v>
      </c>
      <c r="J2368" cm="1">
        <f t="array" ref="J2368">_xlfn.SWITCH(B2368,1,75,2,61,3,49,4,37,5,25,6,13,7,4,8,1)</f>
        <v>13</v>
      </c>
      <c r="K2368" t="str" cm="1">
        <f t="array" ref="K2368">IFERROR(_xlfn.SWITCH(L2368,2,_xlfn.XLOOKUP(C2368,[1]ModifierDes!$B:$B,[1]ModifierDes!$C:$C),3,_xlfn.XLOOKUP(C2368,[1]StuntDes!$B:$B,[1]StuntDes!$C:$C)),"")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443</v>
      </c>
      <c r="D2369" t="s">
        <v>28</v>
      </c>
      <c r="E2369" s="13" t="s">
        <v>405</v>
      </c>
      <c r="G2369">
        <v>2</v>
      </c>
      <c r="H2369">
        <v>1000</v>
      </c>
      <c r="J2369" cm="1">
        <f t="array" ref="J2369">_xlfn.SWITCH(B2369,1,75,2,61,3,49,4,37,5,25,6,13,7,4,8,1)</f>
        <v>4</v>
      </c>
      <c r="K2369" t="str" cm="1">
        <f t="array" ref="K2369">IFERROR(_xlfn.SWITCH(L2369,2,_xlfn.XLOOKUP(C2369,[1]ModifierDes!$B:$B,[1]ModifierDes!$C:$C),3,_xlfn.XLOOKUP(C2369,[1]StuntDes!$B:$B,[1]StuntDes!$C:$C)),"")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443</v>
      </c>
      <c r="D2370" t="s">
        <v>28</v>
      </c>
      <c r="E2370" s="13" t="s">
        <v>405</v>
      </c>
      <c r="G2370">
        <v>2</v>
      </c>
      <c r="H2370">
        <v>1000</v>
      </c>
      <c r="J2370" cm="1">
        <f t="array" ref="J2370">_xlfn.SWITCH(B2370,1,75,2,61,3,49,4,37,5,25,6,13,7,4,8,1)</f>
        <v>1</v>
      </c>
      <c r="K2370" t="str" cm="1">
        <f t="array" ref="K2370">IFERROR(_xlfn.SWITCH(L2370,2,_xlfn.XLOOKUP(C2370,[1]ModifierDes!$B:$B,[1]ModifierDes!$C:$C),3,_xlfn.XLOOKUP(C2370,[1]StuntDes!$B:$B,[1]StuntDes!$C:$C)),"")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414</v>
      </c>
      <c r="D2371" t="s">
        <v>28</v>
      </c>
      <c r="E2371" s="13" t="s">
        <v>405</v>
      </c>
      <c r="G2371">
        <v>2</v>
      </c>
      <c r="H2371">
        <v>1000</v>
      </c>
      <c r="J2371" cm="1">
        <f t="array" ref="J2371">_xlfn.SWITCH(B2371,1,75,2,61,3,49,4,37,5,25,6,13,7,4,8,1)</f>
        <v>75</v>
      </c>
      <c r="K2371" t="str" cm="1">
        <f t="array" ref="K2371">IFERROR(_xlfn.SWITCH(L2371,2,_xlfn.XLOOKUP(C2371,[1]ModifierDes!$B:$B,[1]ModifierDes!$C:$C),3,_xlfn.XLOOKUP(C2371,[1]StuntDes!$B:$B,[1]StuntDes!$C:$C)),"")</f>
        <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414</v>
      </c>
      <c r="D2372" t="s">
        <v>28</v>
      </c>
      <c r="E2372" s="13" t="s">
        <v>405</v>
      </c>
      <c r="G2372">
        <v>2</v>
      </c>
      <c r="H2372">
        <v>1000</v>
      </c>
      <c r="J2372" cm="1">
        <f t="array" ref="J2372">_xlfn.SWITCH(B2372,1,75,2,61,3,49,4,37,5,25,6,13,7,4,8,1)</f>
        <v>61</v>
      </c>
      <c r="K2372" t="str" cm="1">
        <f t="array" ref="K2372">IFERROR(_xlfn.SWITCH(L2372,2,_xlfn.XLOOKUP(C2372,[1]ModifierDes!$B:$B,[1]ModifierDes!$C:$C),3,_xlfn.XLOOKUP(C2372,[1]StuntDes!$B:$B,[1]StuntDes!$C:$C)),"")</f>
        <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414</v>
      </c>
      <c r="D2373" t="s">
        <v>28</v>
      </c>
      <c r="E2373" s="13" t="s">
        <v>405</v>
      </c>
      <c r="G2373">
        <v>2</v>
      </c>
      <c r="H2373">
        <v>1000</v>
      </c>
      <c r="J2373" cm="1">
        <f t="array" ref="J2373">_xlfn.SWITCH(B2373,1,75,2,61,3,49,4,37,5,25,6,13,7,4,8,1)</f>
        <v>49</v>
      </c>
      <c r="K2373" t="str" cm="1">
        <f t="array" ref="K2373">IFERROR(_xlfn.SWITCH(L2373,2,_xlfn.XLOOKUP(C2373,[1]ModifierDes!$B:$B,[1]ModifierDes!$C:$C),3,_xlfn.XLOOKUP(C2373,[1]StuntDes!$B:$B,[1]StuntDes!$C:$C)),"")</f>
        <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414</v>
      </c>
      <c r="D2374" t="s">
        <v>28</v>
      </c>
      <c r="E2374" s="13" t="s">
        <v>405</v>
      </c>
      <c r="G2374">
        <v>2</v>
      </c>
      <c r="H2374">
        <v>1000</v>
      </c>
      <c r="J2374" cm="1">
        <f t="array" ref="J2374">_xlfn.SWITCH(B2374,1,75,2,61,3,49,4,37,5,25,6,13,7,4,8,1)</f>
        <v>37</v>
      </c>
      <c r="K2374" t="str" cm="1">
        <f t="array" ref="K2374">IFERROR(_xlfn.SWITCH(L2374,2,_xlfn.XLOOKUP(C2374,[1]ModifierDes!$B:$B,[1]ModifierDes!$C:$C),3,_xlfn.XLOOKUP(C2374,[1]StuntDes!$B:$B,[1]StuntDes!$C:$C)),"")</f>
        <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414</v>
      </c>
      <c r="D2375" t="s">
        <v>28</v>
      </c>
      <c r="E2375" s="13" t="s">
        <v>405</v>
      </c>
      <c r="G2375">
        <v>2</v>
      </c>
      <c r="H2375">
        <v>1000</v>
      </c>
      <c r="J2375" cm="1">
        <f t="array" ref="J2375">_xlfn.SWITCH(B2375,1,75,2,61,3,49,4,37,5,25,6,13,7,4,8,1)</f>
        <v>25</v>
      </c>
      <c r="K2375" t="str" cm="1">
        <f t="array" ref="K2375">IFERROR(_xlfn.SWITCH(L2375,2,_xlfn.XLOOKUP(C2375,[1]ModifierDes!$B:$B,[1]ModifierDes!$C:$C),3,_xlfn.XLOOKUP(C2375,[1]StuntDes!$B:$B,[1]StuntDes!$C:$C)),"")</f>
        <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414</v>
      </c>
      <c r="D2376" t="s">
        <v>28</v>
      </c>
      <c r="E2376" s="13" t="s">
        <v>405</v>
      </c>
      <c r="G2376">
        <v>2</v>
      </c>
      <c r="H2376">
        <v>1000</v>
      </c>
      <c r="J2376" cm="1">
        <f t="array" ref="J2376">_xlfn.SWITCH(B2376,1,75,2,61,3,49,4,37,5,25,6,13,7,4,8,1)</f>
        <v>13</v>
      </c>
      <c r="K2376" t="str" cm="1">
        <f t="array" ref="K2376">IFERROR(_xlfn.SWITCH(L2376,2,_xlfn.XLOOKUP(C2376,[1]ModifierDes!$B:$B,[1]ModifierDes!$C:$C),3,_xlfn.XLOOKUP(C2376,[1]StuntDes!$B:$B,[1]StuntDes!$C:$C)),"")</f>
        <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414</v>
      </c>
      <c r="D2377" t="s">
        <v>28</v>
      </c>
      <c r="E2377" s="13" t="s">
        <v>405</v>
      </c>
      <c r="G2377">
        <v>2</v>
      </c>
      <c r="H2377">
        <v>1000</v>
      </c>
      <c r="J2377" cm="1">
        <f t="array" ref="J2377">_xlfn.SWITCH(B2377,1,75,2,61,3,49,4,37,5,25,6,13,7,4,8,1)</f>
        <v>4</v>
      </c>
      <c r="K2377" t="str" cm="1">
        <f t="array" ref="K2377">IFERROR(_xlfn.SWITCH(L2377,2,_xlfn.XLOOKUP(C2377,[1]ModifierDes!$B:$B,[1]ModifierDes!$C:$C),3,_xlfn.XLOOKUP(C2377,[1]StuntDes!$B:$B,[1]StuntDes!$C:$C)),"")</f>
        <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414</v>
      </c>
      <c r="D2378" t="s">
        <v>28</v>
      </c>
      <c r="E2378" s="13" t="s">
        <v>405</v>
      </c>
      <c r="G2378">
        <v>2</v>
      </c>
      <c r="H2378">
        <v>1000</v>
      </c>
      <c r="J2378" cm="1">
        <f t="array" ref="J2378">_xlfn.SWITCH(B2378,1,75,2,61,3,49,4,37,5,25,6,13,7,4,8,1)</f>
        <v>1</v>
      </c>
      <c r="K2378" t="str" cm="1">
        <f t="array" ref="K2378">IFERROR(_xlfn.SWITCH(L2378,2,_xlfn.XLOOKUP(C2378,[1]ModifierDes!$B:$B,[1]ModifierDes!$C:$C),3,_xlfn.XLOOKUP(C2378,[1]StuntDes!$B:$B,[1]StuntDes!$C:$C)),"")</f>
        <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415</v>
      </c>
      <c r="D2379" t="s">
        <v>28</v>
      </c>
      <c r="E2379" s="13" t="s">
        <v>405</v>
      </c>
      <c r="G2379">
        <v>2</v>
      </c>
      <c r="H2379">
        <v>1000</v>
      </c>
      <c r="J2379" cm="1">
        <f t="array" ref="J2379">_xlfn.SWITCH(B2379,1,75,2,61,3,49,4,37,5,25,6,13,7,4,8,1)</f>
        <v>75</v>
      </c>
      <c r="K2379" t="str" cm="1">
        <f t="array" ref="K2379">IFERROR(_xlfn.SWITCH(L2379,2,_xlfn.XLOOKUP(C2379,[1]ModifierDes!$B:$B,[1]ModifierDes!$C:$C),3,_xlfn.XLOOKUP(C2379,[1]StuntDes!$B:$B,[1]StuntDes!$C:$C)),"")</f>
        <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415</v>
      </c>
      <c r="D2380" t="s">
        <v>28</v>
      </c>
      <c r="E2380" s="13" t="s">
        <v>405</v>
      </c>
      <c r="G2380">
        <v>2</v>
      </c>
      <c r="H2380">
        <v>1000</v>
      </c>
      <c r="J2380" cm="1">
        <f t="array" ref="J2380">_xlfn.SWITCH(B2380,1,75,2,61,3,49,4,37,5,25,6,13,7,4,8,1)</f>
        <v>61</v>
      </c>
      <c r="K2380" t="str" cm="1">
        <f t="array" ref="K2380">IFERROR(_xlfn.SWITCH(L2380,2,_xlfn.XLOOKUP(C2380,[1]ModifierDes!$B:$B,[1]ModifierDes!$C:$C),3,_xlfn.XLOOKUP(C2380,[1]StuntDes!$B:$B,[1]StuntDes!$C:$C)),"")</f>
        <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415</v>
      </c>
      <c r="D2381" t="s">
        <v>28</v>
      </c>
      <c r="E2381" s="13" t="s">
        <v>405</v>
      </c>
      <c r="G2381">
        <v>2</v>
      </c>
      <c r="H2381">
        <v>1000</v>
      </c>
      <c r="J2381" cm="1">
        <f t="array" ref="J2381">_xlfn.SWITCH(B2381,1,75,2,61,3,49,4,37,5,25,6,13,7,4,8,1)</f>
        <v>49</v>
      </c>
      <c r="K2381" t="str" cm="1">
        <f t="array" ref="K2381">IFERROR(_xlfn.SWITCH(L2381,2,_xlfn.XLOOKUP(C2381,[1]ModifierDes!$B:$B,[1]ModifierDes!$C:$C),3,_xlfn.XLOOKUP(C2381,[1]StuntDes!$B:$B,[1]StuntDes!$C:$C)),"")</f>
        <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415</v>
      </c>
      <c r="D2382" t="s">
        <v>28</v>
      </c>
      <c r="E2382" s="13" t="s">
        <v>405</v>
      </c>
      <c r="G2382">
        <v>2</v>
      </c>
      <c r="H2382">
        <v>1000</v>
      </c>
      <c r="J2382" cm="1">
        <f t="array" ref="J2382">_xlfn.SWITCH(B2382,1,75,2,61,3,49,4,37,5,25,6,13,7,4,8,1)</f>
        <v>37</v>
      </c>
      <c r="K2382" t="str" cm="1">
        <f t="array" ref="K2382">IFERROR(_xlfn.SWITCH(L2382,2,_xlfn.XLOOKUP(C2382,[1]ModifierDes!$B:$B,[1]ModifierDes!$C:$C),3,_xlfn.XLOOKUP(C2382,[1]StuntDes!$B:$B,[1]StuntDes!$C:$C)),"")</f>
        <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415</v>
      </c>
      <c r="D2383" t="s">
        <v>28</v>
      </c>
      <c r="E2383" s="13" t="s">
        <v>405</v>
      </c>
      <c r="G2383">
        <v>2</v>
      </c>
      <c r="H2383">
        <v>1000</v>
      </c>
      <c r="J2383" cm="1">
        <f t="array" ref="J2383">_xlfn.SWITCH(B2383,1,75,2,61,3,49,4,37,5,25,6,13,7,4,8,1)</f>
        <v>25</v>
      </c>
      <c r="K2383" t="str" cm="1">
        <f t="array" ref="K2383">IFERROR(_xlfn.SWITCH(L2383,2,_xlfn.XLOOKUP(C2383,[1]ModifierDes!$B:$B,[1]ModifierDes!$C:$C),3,_xlfn.XLOOKUP(C2383,[1]StuntDes!$B:$B,[1]StuntDes!$C:$C)),"")</f>
        <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415</v>
      </c>
      <c r="D2384" t="s">
        <v>28</v>
      </c>
      <c r="E2384" s="13" t="s">
        <v>405</v>
      </c>
      <c r="G2384">
        <v>2</v>
      </c>
      <c r="H2384">
        <v>1000</v>
      </c>
      <c r="J2384" cm="1">
        <f t="array" ref="J2384">_xlfn.SWITCH(B2384,1,75,2,61,3,49,4,37,5,25,6,13,7,4,8,1)</f>
        <v>13</v>
      </c>
      <c r="K2384" t="str" cm="1">
        <f t="array" ref="K2384">IFERROR(_xlfn.SWITCH(L2384,2,_xlfn.XLOOKUP(C2384,[1]ModifierDes!$B:$B,[1]ModifierDes!$C:$C),3,_xlfn.XLOOKUP(C2384,[1]StuntDes!$B:$B,[1]StuntDes!$C:$C)),"")</f>
        <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415</v>
      </c>
      <c r="D2385" t="s">
        <v>28</v>
      </c>
      <c r="E2385" s="13" t="s">
        <v>405</v>
      </c>
      <c r="G2385">
        <v>2</v>
      </c>
      <c r="H2385">
        <v>1000</v>
      </c>
      <c r="J2385" cm="1">
        <f t="array" ref="J2385">_xlfn.SWITCH(B2385,1,75,2,61,3,49,4,37,5,25,6,13,7,4,8,1)</f>
        <v>4</v>
      </c>
      <c r="K2385" t="str" cm="1">
        <f t="array" ref="K2385">IFERROR(_xlfn.SWITCH(L2385,2,_xlfn.XLOOKUP(C2385,[1]ModifierDes!$B:$B,[1]ModifierDes!$C:$C),3,_xlfn.XLOOKUP(C2385,[1]StuntDes!$B:$B,[1]StuntDes!$C:$C)),"")</f>
        <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415</v>
      </c>
      <c r="D2386" t="s">
        <v>28</v>
      </c>
      <c r="E2386" s="13" t="s">
        <v>405</v>
      </c>
      <c r="G2386">
        <v>2</v>
      </c>
      <c r="H2386">
        <v>1000</v>
      </c>
      <c r="J2386" cm="1">
        <f t="array" ref="J2386">_xlfn.SWITCH(B2386,1,75,2,61,3,49,4,37,5,25,6,13,7,4,8,1)</f>
        <v>1</v>
      </c>
      <c r="K2386" t="str" cm="1">
        <f t="array" ref="K2386">IFERROR(_xlfn.SWITCH(L2386,2,_xlfn.XLOOKUP(C2386,[1]ModifierDes!$B:$B,[1]ModifierDes!$C:$C),3,_xlfn.XLOOKUP(C2386,[1]StuntDes!$B:$B,[1]StuntDes!$C:$C)),"")</f>
        <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416</v>
      </c>
      <c r="D2387" t="s">
        <v>28</v>
      </c>
      <c r="E2387" s="13" t="s">
        <v>405</v>
      </c>
      <c r="G2387">
        <v>2</v>
      </c>
      <c r="H2387">
        <v>1000</v>
      </c>
      <c r="J2387" cm="1">
        <f t="array" ref="J2387">_xlfn.SWITCH(B2387,1,75,2,61,3,49,4,37,5,25,6,13,7,4,8,1)</f>
        <v>75</v>
      </c>
      <c r="K2387" t="str" cm="1">
        <f t="array" ref="K2387">IFERROR(_xlfn.SWITCH(L2387,2,_xlfn.XLOOKUP(C2387,[1]ModifierDes!$B:$B,[1]ModifierDes!$C:$C),3,_xlfn.XLOOKUP(C2387,[1]StuntDes!$B:$B,[1]StuntDes!$C:$C)),"")</f>
        <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416</v>
      </c>
      <c r="D2388" t="s">
        <v>28</v>
      </c>
      <c r="E2388" s="13" t="s">
        <v>405</v>
      </c>
      <c r="G2388">
        <v>2</v>
      </c>
      <c r="H2388">
        <v>1000</v>
      </c>
      <c r="J2388" cm="1">
        <f t="array" ref="J2388">_xlfn.SWITCH(B2388,1,75,2,61,3,49,4,37,5,25,6,13,7,4,8,1)</f>
        <v>61</v>
      </c>
      <c r="K2388" t="str" cm="1">
        <f t="array" ref="K2388">IFERROR(_xlfn.SWITCH(L2388,2,_xlfn.XLOOKUP(C2388,[1]ModifierDes!$B:$B,[1]ModifierDes!$C:$C),3,_xlfn.XLOOKUP(C2388,[1]StuntDes!$B:$B,[1]StuntDes!$C:$C)),"")</f>
        <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416</v>
      </c>
      <c r="D2389" t="s">
        <v>28</v>
      </c>
      <c r="E2389" s="13" t="s">
        <v>405</v>
      </c>
      <c r="G2389">
        <v>2</v>
      </c>
      <c r="H2389">
        <v>1000</v>
      </c>
      <c r="J2389" cm="1">
        <f t="array" ref="J2389">_xlfn.SWITCH(B2389,1,75,2,61,3,49,4,37,5,25,6,13,7,4,8,1)</f>
        <v>49</v>
      </c>
      <c r="K2389" t="str" cm="1">
        <f t="array" ref="K2389">IFERROR(_xlfn.SWITCH(L2389,2,_xlfn.XLOOKUP(C2389,[1]ModifierDes!$B:$B,[1]ModifierDes!$C:$C),3,_xlfn.XLOOKUP(C2389,[1]StuntDes!$B:$B,[1]StuntDes!$C:$C)),"")</f>
        <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416</v>
      </c>
      <c r="D2390" t="s">
        <v>28</v>
      </c>
      <c r="E2390" s="13" t="s">
        <v>405</v>
      </c>
      <c r="G2390">
        <v>2</v>
      </c>
      <c r="H2390">
        <v>1000</v>
      </c>
      <c r="J2390" cm="1">
        <f t="array" ref="J2390">_xlfn.SWITCH(B2390,1,75,2,61,3,49,4,37,5,25,6,13,7,4,8,1)</f>
        <v>37</v>
      </c>
      <c r="K2390" t="str" cm="1">
        <f t="array" ref="K2390">IFERROR(_xlfn.SWITCH(L2390,2,_xlfn.XLOOKUP(C2390,[1]ModifierDes!$B:$B,[1]ModifierDes!$C:$C),3,_xlfn.XLOOKUP(C2390,[1]StuntDes!$B:$B,[1]StuntDes!$C:$C)),"")</f>
        <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416</v>
      </c>
      <c r="D2391" t="s">
        <v>28</v>
      </c>
      <c r="E2391" s="13" t="s">
        <v>405</v>
      </c>
      <c r="G2391">
        <v>2</v>
      </c>
      <c r="H2391">
        <v>1000</v>
      </c>
      <c r="J2391" cm="1">
        <f t="array" ref="J2391">_xlfn.SWITCH(B2391,1,75,2,61,3,49,4,37,5,25,6,13,7,4,8,1)</f>
        <v>25</v>
      </c>
      <c r="K2391" t="str" cm="1">
        <f t="array" ref="K2391">IFERROR(_xlfn.SWITCH(L2391,2,_xlfn.XLOOKUP(C2391,[1]ModifierDes!$B:$B,[1]ModifierDes!$C:$C),3,_xlfn.XLOOKUP(C2391,[1]StuntDes!$B:$B,[1]StuntDes!$C:$C)),"")</f>
        <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416</v>
      </c>
      <c r="D2392" t="s">
        <v>28</v>
      </c>
      <c r="E2392" s="13" t="s">
        <v>405</v>
      </c>
      <c r="G2392">
        <v>2</v>
      </c>
      <c r="H2392">
        <v>1000</v>
      </c>
      <c r="J2392" cm="1">
        <f t="array" ref="J2392">_xlfn.SWITCH(B2392,1,75,2,61,3,49,4,37,5,25,6,13,7,4,8,1)</f>
        <v>13</v>
      </c>
      <c r="K2392" t="str" cm="1">
        <f t="array" ref="K2392">IFERROR(_xlfn.SWITCH(L2392,2,_xlfn.XLOOKUP(C2392,[1]ModifierDes!$B:$B,[1]ModifierDes!$C:$C),3,_xlfn.XLOOKUP(C2392,[1]StuntDes!$B:$B,[1]StuntDes!$C:$C)),"")</f>
        <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416</v>
      </c>
      <c r="D2393" t="s">
        <v>28</v>
      </c>
      <c r="E2393" s="13" t="s">
        <v>405</v>
      </c>
      <c r="G2393">
        <v>2</v>
      </c>
      <c r="H2393">
        <v>1000</v>
      </c>
      <c r="J2393" cm="1">
        <f t="array" ref="J2393">_xlfn.SWITCH(B2393,1,75,2,61,3,49,4,37,5,25,6,13,7,4,8,1)</f>
        <v>4</v>
      </c>
      <c r="K2393" t="str" cm="1">
        <f t="array" ref="K2393">IFERROR(_xlfn.SWITCH(L2393,2,_xlfn.XLOOKUP(C2393,[1]ModifierDes!$B:$B,[1]ModifierDes!$C:$C),3,_xlfn.XLOOKUP(C2393,[1]StuntDes!$B:$B,[1]StuntDes!$C:$C)),"")</f>
        <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416</v>
      </c>
      <c r="D2394" t="s">
        <v>28</v>
      </c>
      <c r="E2394" s="13" t="s">
        <v>405</v>
      </c>
      <c r="G2394">
        <v>2</v>
      </c>
      <c r="H2394">
        <v>1000</v>
      </c>
      <c r="J2394" cm="1">
        <f t="array" ref="J2394">_xlfn.SWITCH(B2394,1,75,2,61,3,49,4,37,5,25,6,13,7,4,8,1)</f>
        <v>1</v>
      </c>
      <c r="K2394" t="str" cm="1">
        <f t="array" ref="K2394">IFERROR(_xlfn.SWITCH(L2394,2,_xlfn.XLOOKUP(C2394,[1]ModifierDes!$B:$B,[1]ModifierDes!$C:$C),3,_xlfn.XLOOKUP(C2394,[1]StuntDes!$B:$B,[1]StuntDes!$C:$C)),"")</f>
        <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417</v>
      </c>
      <c r="D2395" t="s">
        <v>28</v>
      </c>
      <c r="E2395" s="13" t="s">
        <v>405</v>
      </c>
      <c r="G2395">
        <v>2</v>
      </c>
      <c r="H2395">
        <v>1000</v>
      </c>
      <c r="J2395" cm="1">
        <f t="array" ref="J2395">_xlfn.SWITCH(B2395,1,75,2,61,3,49,4,37,5,25,6,13,7,4,8,1)</f>
        <v>75</v>
      </c>
      <c r="K2395" t="str" cm="1">
        <f t="array" ref="K2395">IFERROR(_xlfn.SWITCH(L2395,2,_xlfn.XLOOKUP(C2395,[1]ModifierDes!$B:$B,[1]ModifierDes!$C:$C),3,_xlfn.XLOOKUP(C2395,[1]StuntDes!$B:$B,[1]StuntDes!$C:$C)),"")</f>
        <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417</v>
      </c>
      <c r="D2396" t="s">
        <v>28</v>
      </c>
      <c r="E2396" s="13" t="s">
        <v>405</v>
      </c>
      <c r="G2396">
        <v>2</v>
      </c>
      <c r="H2396">
        <v>1000</v>
      </c>
      <c r="J2396" cm="1">
        <f t="array" ref="J2396">_xlfn.SWITCH(B2396,1,75,2,61,3,49,4,37,5,25,6,13,7,4,8,1)</f>
        <v>61</v>
      </c>
      <c r="K2396" t="str" cm="1">
        <f t="array" ref="K2396">IFERROR(_xlfn.SWITCH(L2396,2,_xlfn.XLOOKUP(C2396,[1]ModifierDes!$B:$B,[1]ModifierDes!$C:$C),3,_xlfn.XLOOKUP(C2396,[1]StuntDes!$B:$B,[1]StuntDes!$C:$C)),"")</f>
        <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417</v>
      </c>
      <c r="D2397" t="s">
        <v>28</v>
      </c>
      <c r="E2397" s="13" t="s">
        <v>405</v>
      </c>
      <c r="G2397">
        <v>2</v>
      </c>
      <c r="H2397">
        <v>1000</v>
      </c>
      <c r="J2397" cm="1">
        <f t="array" ref="J2397">_xlfn.SWITCH(B2397,1,75,2,61,3,49,4,37,5,25,6,13,7,4,8,1)</f>
        <v>49</v>
      </c>
      <c r="K2397" t="str" cm="1">
        <f t="array" ref="K2397">IFERROR(_xlfn.SWITCH(L2397,2,_xlfn.XLOOKUP(C2397,[1]ModifierDes!$B:$B,[1]ModifierDes!$C:$C),3,_xlfn.XLOOKUP(C2397,[1]StuntDes!$B:$B,[1]StuntDes!$C:$C)),"")</f>
        <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417</v>
      </c>
      <c r="D2398" t="s">
        <v>28</v>
      </c>
      <c r="E2398" s="13" t="s">
        <v>405</v>
      </c>
      <c r="G2398">
        <v>2</v>
      </c>
      <c r="H2398">
        <v>1000</v>
      </c>
      <c r="J2398" cm="1">
        <f t="array" ref="J2398">_xlfn.SWITCH(B2398,1,75,2,61,3,49,4,37,5,25,6,13,7,4,8,1)</f>
        <v>37</v>
      </c>
      <c r="K2398" t="str" cm="1">
        <f t="array" ref="K2398">IFERROR(_xlfn.SWITCH(L2398,2,_xlfn.XLOOKUP(C2398,[1]ModifierDes!$B:$B,[1]ModifierDes!$C:$C),3,_xlfn.XLOOKUP(C2398,[1]StuntDes!$B:$B,[1]StuntDes!$C:$C)),"")</f>
        <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417</v>
      </c>
      <c r="D2399" t="s">
        <v>28</v>
      </c>
      <c r="E2399" s="13" t="s">
        <v>405</v>
      </c>
      <c r="G2399">
        <v>2</v>
      </c>
      <c r="H2399">
        <v>1000</v>
      </c>
      <c r="J2399" cm="1">
        <f t="array" ref="J2399">_xlfn.SWITCH(B2399,1,75,2,61,3,49,4,37,5,25,6,13,7,4,8,1)</f>
        <v>25</v>
      </c>
      <c r="K2399" t="str" cm="1">
        <f t="array" ref="K2399">IFERROR(_xlfn.SWITCH(L2399,2,_xlfn.XLOOKUP(C2399,[1]ModifierDes!$B:$B,[1]ModifierDes!$C:$C),3,_xlfn.XLOOKUP(C2399,[1]StuntDes!$B:$B,[1]StuntDes!$C:$C)),"")</f>
        <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417</v>
      </c>
      <c r="D2400" t="s">
        <v>28</v>
      </c>
      <c r="E2400" s="13" t="s">
        <v>405</v>
      </c>
      <c r="G2400">
        <v>2</v>
      </c>
      <c r="H2400">
        <v>1000</v>
      </c>
      <c r="J2400" cm="1">
        <f t="array" ref="J2400">_xlfn.SWITCH(B2400,1,75,2,61,3,49,4,37,5,25,6,13,7,4,8,1)</f>
        <v>13</v>
      </c>
      <c r="K2400" t="str" cm="1">
        <f t="array" ref="K2400">IFERROR(_xlfn.SWITCH(L2400,2,_xlfn.XLOOKUP(C2400,[1]ModifierDes!$B:$B,[1]ModifierDes!$C:$C),3,_xlfn.XLOOKUP(C2400,[1]StuntDes!$B:$B,[1]StuntDes!$C:$C)),"")</f>
        <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417</v>
      </c>
      <c r="D2401" t="s">
        <v>28</v>
      </c>
      <c r="E2401" s="13" t="s">
        <v>405</v>
      </c>
      <c r="G2401">
        <v>2</v>
      </c>
      <c r="H2401">
        <v>1000</v>
      </c>
      <c r="J2401" cm="1">
        <f t="array" ref="J2401">_xlfn.SWITCH(B2401,1,75,2,61,3,49,4,37,5,25,6,13,7,4,8,1)</f>
        <v>4</v>
      </c>
      <c r="K2401" t="str" cm="1">
        <f t="array" ref="K2401">IFERROR(_xlfn.SWITCH(L2401,2,_xlfn.XLOOKUP(C2401,[1]ModifierDes!$B:$B,[1]ModifierDes!$C:$C),3,_xlfn.XLOOKUP(C2401,[1]StuntDes!$B:$B,[1]StuntDes!$C:$C)),"")</f>
        <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417</v>
      </c>
      <c r="D2402" t="s">
        <v>28</v>
      </c>
      <c r="E2402" s="13" t="s">
        <v>405</v>
      </c>
      <c r="G2402">
        <v>2</v>
      </c>
      <c r="H2402">
        <v>1000</v>
      </c>
      <c r="J2402" cm="1">
        <f t="array" ref="J2402">_xlfn.SWITCH(B2402,1,75,2,61,3,49,4,37,5,25,6,13,7,4,8,1)</f>
        <v>1</v>
      </c>
      <c r="K2402" t="str" cm="1">
        <f t="array" ref="K2402">IFERROR(_xlfn.SWITCH(L2402,2,_xlfn.XLOOKUP(C2402,[1]ModifierDes!$B:$B,[1]ModifierDes!$C:$C),3,_xlfn.XLOOKUP(C2402,[1]StuntDes!$B:$B,[1]StuntDes!$C:$C)),"")</f>
        <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418</v>
      </c>
      <c r="D2403" t="s">
        <v>28</v>
      </c>
      <c r="E2403" s="13" t="s">
        <v>405</v>
      </c>
      <c r="G2403">
        <v>2</v>
      </c>
      <c r="H2403">
        <v>1000</v>
      </c>
      <c r="J2403" cm="1">
        <f t="array" ref="J2403">_xlfn.SWITCH(B2403,1,75,2,61,3,49,4,37,5,25,6,13,7,4,8,1)</f>
        <v>75</v>
      </c>
      <c r="K2403" t="str" cm="1">
        <f t="array" ref="K2403">IFERROR(_xlfn.SWITCH(L2403,2,_xlfn.XLOOKUP(C2403,[1]ModifierDes!$B:$B,[1]ModifierDes!$C:$C),3,_xlfn.XLOOKUP(C2403,[1]StuntDes!$B:$B,[1]StuntDes!$C:$C)),"")</f>
        <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418</v>
      </c>
      <c r="D2404" t="s">
        <v>28</v>
      </c>
      <c r="E2404" s="13" t="s">
        <v>405</v>
      </c>
      <c r="G2404">
        <v>2</v>
      </c>
      <c r="H2404">
        <v>1000</v>
      </c>
      <c r="J2404" cm="1">
        <f t="array" ref="J2404">_xlfn.SWITCH(B2404,1,75,2,61,3,49,4,37,5,25,6,13,7,4,8,1)</f>
        <v>61</v>
      </c>
      <c r="K2404" t="str" cm="1">
        <f t="array" ref="K2404">IFERROR(_xlfn.SWITCH(L2404,2,_xlfn.XLOOKUP(C2404,[1]ModifierDes!$B:$B,[1]ModifierDes!$C:$C),3,_xlfn.XLOOKUP(C2404,[1]StuntDes!$B:$B,[1]StuntDes!$C:$C)),"")</f>
        <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418</v>
      </c>
      <c r="D2405" t="s">
        <v>28</v>
      </c>
      <c r="E2405" s="13" t="s">
        <v>405</v>
      </c>
      <c r="G2405">
        <v>2</v>
      </c>
      <c r="H2405">
        <v>1000</v>
      </c>
      <c r="J2405" cm="1">
        <f t="array" ref="J2405">_xlfn.SWITCH(B2405,1,75,2,61,3,49,4,37,5,25,6,13,7,4,8,1)</f>
        <v>49</v>
      </c>
      <c r="K2405" t="str" cm="1">
        <f t="array" ref="K2405">IFERROR(_xlfn.SWITCH(L2405,2,_xlfn.XLOOKUP(C2405,[1]ModifierDes!$B:$B,[1]ModifierDes!$C:$C),3,_xlfn.XLOOKUP(C2405,[1]StuntDes!$B:$B,[1]StuntDes!$C:$C)),"")</f>
        <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418</v>
      </c>
      <c r="D2406" t="s">
        <v>28</v>
      </c>
      <c r="E2406" s="13" t="s">
        <v>405</v>
      </c>
      <c r="G2406">
        <v>2</v>
      </c>
      <c r="H2406">
        <v>1000</v>
      </c>
      <c r="J2406" cm="1">
        <f t="array" ref="J2406">_xlfn.SWITCH(B2406,1,75,2,61,3,49,4,37,5,25,6,13,7,4,8,1)</f>
        <v>37</v>
      </c>
      <c r="K2406" t="str" cm="1">
        <f t="array" ref="K2406">IFERROR(_xlfn.SWITCH(L2406,2,_xlfn.XLOOKUP(C2406,[1]ModifierDes!$B:$B,[1]ModifierDes!$C:$C),3,_xlfn.XLOOKUP(C2406,[1]StuntDes!$B:$B,[1]StuntDes!$C:$C)),"")</f>
        <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418</v>
      </c>
      <c r="D2407" t="s">
        <v>28</v>
      </c>
      <c r="E2407" s="13" t="s">
        <v>405</v>
      </c>
      <c r="G2407">
        <v>2</v>
      </c>
      <c r="H2407">
        <v>1000</v>
      </c>
      <c r="J2407" cm="1">
        <f t="array" ref="J2407">_xlfn.SWITCH(B2407,1,75,2,61,3,49,4,37,5,25,6,13,7,4,8,1)</f>
        <v>25</v>
      </c>
      <c r="K2407" t="str" cm="1">
        <f t="array" ref="K2407">IFERROR(_xlfn.SWITCH(L2407,2,_xlfn.XLOOKUP(C2407,[1]ModifierDes!$B:$B,[1]ModifierDes!$C:$C),3,_xlfn.XLOOKUP(C2407,[1]StuntDes!$B:$B,[1]StuntDes!$C:$C)),"")</f>
        <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418</v>
      </c>
      <c r="D2408" t="s">
        <v>28</v>
      </c>
      <c r="E2408" s="13" t="s">
        <v>405</v>
      </c>
      <c r="G2408">
        <v>2</v>
      </c>
      <c r="H2408">
        <v>1000</v>
      </c>
      <c r="J2408" cm="1">
        <f t="array" ref="J2408">_xlfn.SWITCH(B2408,1,75,2,61,3,49,4,37,5,25,6,13,7,4,8,1)</f>
        <v>13</v>
      </c>
      <c r="K2408" t="str" cm="1">
        <f t="array" ref="K2408">IFERROR(_xlfn.SWITCH(L2408,2,_xlfn.XLOOKUP(C2408,[1]ModifierDes!$B:$B,[1]ModifierDes!$C:$C),3,_xlfn.XLOOKUP(C2408,[1]StuntDes!$B:$B,[1]StuntDes!$C:$C)),"")</f>
        <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418</v>
      </c>
      <c r="D2409" t="s">
        <v>28</v>
      </c>
      <c r="E2409" s="13" t="s">
        <v>405</v>
      </c>
      <c r="G2409">
        <v>2</v>
      </c>
      <c r="H2409">
        <v>1000</v>
      </c>
      <c r="J2409" cm="1">
        <f t="array" ref="J2409">_xlfn.SWITCH(B2409,1,75,2,61,3,49,4,37,5,25,6,13,7,4,8,1)</f>
        <v>4</v>
      </c>
      <c r="K2409" t="str" cm="1">
        <f t="array" ref="K2409">IFERROR(_xlfn.SWITCH(L2409,2,_xlfn.XLOOKUP(C2409,[1]ModifierDes!$B:$B,[1]ModifierDes!$C:$C),3,_xlfn.XLOOKUP(C2409,[1]StuntDes!$B:$B,[1]StuntDes!$C:$C)),"")</f>
        <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418</v>
      </c>
      <c r="D2410" t="s">
        <v>28</v>
      </c>
      <c r="E2410" s="13" t="s">
        <v>405</v>
      </c>
      <c r="G2410">
        <v>2</v>
      </c>
      <c r="H2410">
        <v>1000</v>
      </c>
      <c r="J2410" cm="1">
        <f t="array" ref="J2410">_xlfn.SWITCH(B2410,1,75,2,61,3,49,4,37,5,25,6,13,7,4,8,1)</f>
        <v>1</v>
      </c>
      <c r="K2410" t="str" cm="1">
        <f t="array" ref="K2410">IFERROR(_xlfn.SWITCH(L2410,2,_xlfn.XLOOKUP(C2410,[1]ModifierDes!$B:$B,[1]ModifierDes!$C:$C),3,_xlfn.XLOOKUP(C2410,[1]StuntDes!$B:$B,[1]StuntDes!$C:$C)),"")</f>
        <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419</v>
      </c>
      <c r="D2411" t="s">
        <v>28</v>
      </c>
      <c r="E2411" s="13" t="s">
        <v>405</v>
      </c>
      <c r="G2411">
        <v>2</v>
      </c>
      <c r="H2411">
        <v>1000</v>
      </c>
      <c r="J2411" cm="1">
        <f t="array" ref="J2411">_xlfn.SWITCH(B2411,1,75,2,61,3,49,4,37,5,25,6,13,7,4,8,1)</f>
        <v>75</v>
      </c>
      <c r="K2411" t="str" cm="1">
        <f t="array" ref="K2411">IFERROR(_xlfn.SWITCH(L2411,2,_xlfn.XLOOKUP(C2411,[1]ModifierDes!$B:$B,[1]ModifierDes!$C:$C),3,_xlfn.XLOOKUP(C2411,[1]StuntDes!$B:$B,[1]StuntDes!$C:$C)),"")</f>
        <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0.36</v>
      </c>
      <c r="R2411">
        <v>0.4</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419</v>
      </c>
      <c r="D2412" t="s">
        <v>28</v>
      </c>
      <c r="E2412" s="13" t="s">
        <v>405</v>
      </c>
      <c r="G2412">
        <v>2</v>
      </c>
      <c r="H2412">
        <v>1000</v>
      </c>
      <c r="J2412" cm="1">
        <f t="array" ref="J2412">_xlfn.SWITCH(B2412,1,75,2,61,3,49,4,37,5,25,6,13,7,4,8,1)</f>
        <v>61</v>
      </c>
      <c r="K2412" t="str" cm="1">
        <f t="array" ref="K2412">IFERROR(_xlfn.SWITCH(L2412,2,_xlfn.XLOOKUP(C2412,[1]ModifierDes!$B:$B,[1]ModifierDes!$C:$C),3,_xlfn.XLOOKUP(C2412,[1]StuntDes!$B:$B,[1]StuntDes!$C:$C)),"")</f>
        <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0.31</v>
      </c>
      <c r="R2412">
        <v>0.35</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419</v>
      </c>
      <c r="D2413" t="s">
        <v>28</v>
      </c>
      <c r="E2413" s="13" t="s">
        <v>405</v>
      </c>
      <c r="G2413">
        <v>2</v>
      </c>
      <c r="H2413">
        <v>1000</v>
      </c>
      <c r="J2413" cm="1">
        <f t="array" ref="J2413">_xlfn.SWITCH(B2413,1,75,2,61,3,49,4,37,5,25,6,13,7,4,8,1)</f>
        <v>49</v>
      </c>
      <c r="K2413" t="str" cm="1">
        <f t="array" ref="K2413">IFERROR(_xlfn.SWITCH(L2413,2,_xlfn.XLOOKUP(C2413,[1]ModifierDes!$B:$B,[1]ModifierDes!$C:$C),3,_xlfn.XLOOKUP(C2413,[1]StuntDes!$B:$B,[1]StuntDes!$C:$C)),"")</f>
        <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0.26</v>
      </c>
      <c r="R2413">
        <v>0.3</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419</v>
      </c>
      <c r="D2414" t="s">
        <v>28</v>
      </c>
      <c r="E2414" s="13" t="s">
        <v>405</v>
      </c>
      <c r="G2414">
        <v>2</v>
      </c>
      <c r="H2414">
        <v>1000</v>
      </c>
      <c r="J2414" cm="1">
        <f t="array" ref="J2414">_xlfn.SWITCH(B2414,1,75,2,61,3,49,4,37,5,25,6,13,7,4,8,1)</f>
        <v>37</v>
      </c>
      <c r="K2414" t="str" cm="1">
        <f t="array" ref="K2414">IFERROR(_xlfn.SWITCH(L2414,2,_xlfn.XLOOKUP(C2414,[1]ModifierDes!$B:$B,[1]ModifierDes!$C:$C),3,_xlfn.XLOOKUP(C2414,[1]StuntDes!$B:$B,[1]StuntDes!$C:$C)),"")</f>
        <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0.21</v>
      </c>
      <c r="R2414">
        <v>0.25</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419</v>
      </c>
      <c r="D2415" t="s">
        <v>28</v>
      </c>
      <c r="E2415" s="13" t="s">
        <v>405</v>
      </c>
      <c r="G2415">
        <v>2</v>
      </c>
      <c r="H2415">
        <v>1000</v>
      </c>
      <c r="J2415" cm="1">
        <f t="array" ref="J2415">_xlfn.SWITCH(B2415,1,75,2,61,3,49,4,37,5,25,6,13,7,4,8,1)</f>
        <v>25</v>
      </c>
      <c r="K2415" t="str" cm="1">
        <f t="array" ref="K2415">IFERROR(_xlfn.SWITCH(L2415,2,_xlfn.XLOOKUP(C2415,[1]ModifierDes!$B:$B,[1]ModifierDes!$C:$C),3,_xlfn.XLOOKUP(C2415,[1]StuntDes!$B:$B,[1]StuntDes!$C:$C)),"")</f>
        <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0.16</v>
      </c>
      <c r="R2415">
        <v>0.2</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419</v>
      </c>
      <c r="D2416" t="s">
        <v>28</v>
      </c>
      <c r="E2416" s="13" t="s">
        <v>405</v>
      </c>
      <c r="G2416">
        <v>2</v>
      </c>
      <c r="H2416">
        <v>1000</v>
      </c>
      <c r="J2416" cm="1">
        <f t="array" ref="J2416">_xlfn.SWITCH(B2416,1,75,2,61,3,49,4,37,5,25,6,13,7,4,8,1)</f>
        <v>13</v>
      </c>
      <c r="K2416" t="str" cm="1">
        <f t="array" ref="K2416">IFERROR(_xlfn.SWITCH(L2416,2,_xlfn.XLOOKUP(C2416,[1]ModifierDes!$B:$B,[1]ModifierDes!$C:$C),3,_xlfn.XLOOKUP(C2416,[1]StuntDes!$B:$B,[1]StuntDes!$C:$C)),"")</f>
        <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0.11</v>
      </c>
      <c r="R2416">
        <v>0.15</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419</v>
      </c>
      <c r="D2417" t="s">
        <v>28</v>
      </c>
      <c r="E2417" s="13" t="s">
        <v>405</v>
      </c>
      <c r="G2417">
        <v>2</v>
      </c>
      <c r="H2417">
        <v>1000</v>
      </c>
      <c r="J2417" cm="1">
        <f t="array" ref="J2417">_xlfn.SWITCH(B2417,1,75,2,61,3,49,4,37,5,25,6,13,7,4,8,1)</f>
        <v>4</v>
      </c>
      <c r="K2417" t="str" cm="1">
        <f t="array" ref="K2417">IFERROR(_xlfn.SWITCH(L2417,2,_xlfn.XLOOKUP(C2417,[1]ModifierDes!$B:$B,[1]ModifierDes!$C:$C),3,_xlfn.XLOOKUP(C2417,[1]StuntDes!$B:$B,[1]StuntDes!$C:$C)),"")</f>
        <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0.06</v>
      </c>
      <c r="R2417">
        <v>0.1</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419</v>
      </c>
      <c r="D2418" t="s">
        <v>28</v>
      </c>
      <c r="E2418" s="13" t="s">
        <v>405</v>
      </c>
      <c r="G2418">
        <v>2</v>
      </c>
      <c r="H2418">
        <v>1000</v>
      </c>
      <c r="J2418" cm="1">
        <f t="array" ref="J2418">_xlfn.SWITCH(B2418,1,75,2,61,3,49,4,37,5,25,6,13,7,4,8,1)</f>
        <v>1</v>
      </c>
      <c r="K2418" t="str" cm="1">
        <f t="array" ref="K2418">IFERROR(_xlfn.SWITCH(L2418,2,_xlfn.XLOOKUP(C2418,[1]ModifierDes!$B:$B,[1]ModifierDes!$C:$C),3,_xlfn.XLOOKUP(C2418,[1]StuntDes!$B:$B,[1]StuntDes!$C:$C)),"")</f>
        <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0.01</v>
      </c>
      <c r="R2418">
        <v>0.05</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420</v>
      </c>
      <c r="D2419" t="s">
        <v>28</v>
      </c>
      <c r="E2419" s="13" t="s">
        <v>405</v>
      </c>
      <c r="G2419">
        <v>2</v>
      </c>
      <c r="H2419">
        <v>1000</v>
      </c>
      <c r="J2419" cm="1">
        <f t="array" ref="J2419">_xlfn.SWITCH(B2419,1,75,2,61,3,49,4,37,5,25,6,13,7,4,8,1)</f>
        <v>75</v>
      </c>
      <c r="K2419" t="str" cm="1">
        <f t="array" ref="K2419">IFERROR(_xlfn.SWITCH(L2419,2,_xlfn.XLOOKUP(C2419,[1]ModifierDes!$B:$B,[1]ModifierDes!$C:$C),3,_xlfn.XLOOKUP(C2419,[1]StuntDes!$B:$B,[1]StuntDes!$C:$C)),"")</f>
        <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420</v>
      </c>
      <c r="D2420" t="s">
        <v>28</v>
      </c>
      <c r="E2420" s="13" t="s">
        <v>405</v>
      </c>
      <c r="G2420">
        <v>2</v>
      </c>
      <c r="H2420">
        <v>1000</v>
      </c>
      <c r="J2420" cm="1">
        <f t="array" ref="J2420">_xlfn.SWITCH(B2420,1,75,2,61,3,49,4,37,5,25,6,13,7,4,8,1)</f>
        <v>61</v>
      </c>
      <c r="K2420" t="str" cm="1">
        <f t="array" ref="K2420">IFERROR(_xlfn.SWITCH(L2420,2,_xlfn.XLOOKUP(C2420,[1]ModifierDes!$B:$B,[1]ModifierDes!$C:$C),3,_xlfn.XLOOKUP(C2420,[1]StuntDes!$B:$B,[1]StuntDes!$C:$C)),"")</f>
        <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420</v>
      </c>
      <c r="D2421" t="s">
        <v>28</v>
      </c>
      <c r="E2421" s="13" t="s">
        <v>405</v>
      </c>
      <c r="G2421">
        <v>2</v>
      </c>
      <c r="H2421">
        <v>1000</v>
      </c>
      <c r="J2421" cm="1">
        <f t="array" ref="J2421">_xlfn.SWITCH(B2421,1,75,2,61,3,49,4,37,5,25,6,13,7,4,8,1)</f>
        <v>49</v>
      </c>
      <c r="K2421" t="str" cm="1">
        <f t="array" ref="K2421">IFERROR(_xlfn.SWITCH(L2421,2,_xlfn.XLOOKUP(C2421,[1]ModifierDes!$B:$B,[1]ModifierDes!$C:$C),3,_xlfn.XLOOKUP(C2421,[1]StuntDes!$B:$B,[1]StuntDes!$C:$C)),"")</f>
        <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420</v>
      </c>
      <c r="D2422" t="s">
        <v>28</v>
      </c>
      <c r="E2422" s="13" t="s">
        <v>405</v>
      </c>
      <c r="G2422">
        <v>2</v>
      </c>
      <c r="H2422">
        <v>1000</v>
      </c>
      <c r="J2422" cm="1">
        <f t="array" ref="J2422">_xlfn.SWITCH(B2422,1,75,2,61,3,49,4,37,5,25,6,13,7,4,8,1)</f>
        <v>37</v>
      </c>
      <c r="K2422" t="str" cm="1">
        <f t="array" ref="K2422">IFERROR(_xlfn.SWITCH(L2422,2,_xlfn.XLOOKUP(C2422,[1]ModifierDes!$B:$B,[1]ModifierDes!$C:$C),3,_xlfn.XLOOKUP(C2422,[1]StuntDes!$B:$B,[1]StuntDes!$C:$C)),"")</f>
        <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420</v>
      </c>
      <c r="D2423" t="s">
        <v>28</v>
      </c>
      <c r="E2423" s="13" t="s">
        <v>405</v>
      </c>
      <c r="G2423">
        <v>2</v>
      </c>
      <c r="H2423">
        <v>1000</v>
      </c>
      <c r="J2423" cm="1">
        <f t="array" ref="J2423">_xlfn.SWITCH(B2423,1,75,2,61,3,49,4,37,5,25,6,13,7,4,8,1)</f>
        <v>25</v>
      </c>
      <c r="K2423" t="str" cm="1">
        <f t="array" ref="K2423">IFERROR(_xlfn.SWITCH(L2423,2,_xlfn.XLOOKUP(C2423,[1]ModifierDes!$B:$B,[1]ModifierDes!$C:$C),3,_xlfn.XLOOKUP(C2423,[1]StuntDes!$B:$B,[1]StuntDes!$C:$C)),"")</f>
        <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420</v>
      </c>
      <c r="D2424" t="s">
        <v>28</v>
      </c>
      <c r="E2424" s="13" t="s">
        <v>405</v>
      </c>
      <c r="G2424">
        <v>2</v>
      </c>
      <c r="H2424">
        <v>1000</v>
      </c>
      <c r="J2424" cm="1">
        <f t="array" ref="J2424">_xlfn.SWITCH(B2424,1,75,2,61,3,49,4,37,5,25,6,13,7,4,8,1)</f>
        <v>13</v>
      </c>
      <c r="K2424" t="str" cm="1">
        <f t="array" ref="K2424">IFERROR(_xlfn.SWITCH(L2424,2,_xlfn.XLOOKUP(C2424,[1]ModifierDes!$B:$B,[1]ModifierDes!$C:$C),3,_xlfn.XLOOKUP(C2424,[1]StuntDes!$B:$B,[1]StuntDes!$C:$C)),"")</f>
        <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420</v>
      </c>
      <c r="D2425" t="s">
        <v>28</v>
      </c>
      <c r="E2425" s="13" t="s">
        <v>405</v>
      </c>
      <c r="G2425">
        <v>2</v>
      </c>
      <c r="H2425">
        <v>1000</v>
      </c>
      <c r="J2425" cm="1">
        <f t="array" ref="J2425">_xlfn.SWITCH(B2425,1,75,2,61,3,49,4,37,5,25,6,13,7,4,8,1)</f>
        <v>4</v>
      </c>
      <c r="K2425" t="str" cm="1">
        <f t="array" ref="K2425">IFERROR(_xlfn.SWITCH(L2425,2,_xlfn.XLOOKUP(C2425,[1]ModifierDes!$B:$B,[1]ModifierDes!$C:$C),3,_xlfn.XLOOKUP(C2425,[1]StuntDes!$B:$B,[1]StuntDes!$C:$C)),"")</f>
        <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420</v>
      </c>
      <c r="D2426" t="s">
        <v>28</v>
      </c>
      <c r="E2426" s="13" t="s">
        <v>405</v>
      </c>
      <c r="G2426">
        <v>2</v>
      </c>
      <c r="H2426">
        <v>1000</v>
      </c>
      <c r="J2426" cm="1">
        <f t="array" ref="J2426">_xlfn.SWITCH(B2426,1,75,2,61,3,49,4,37,5,25,6,13,7,4,8,1)</f>
        <v>1</v>
      </c>
      <c r="K2426" t="str" cm="1">
        <f t="array" ref="K2426">IFERROR(_xlfn.SWITCH(L2426,2,_xlfn.XLOOKUP(C2426,[1]ModifierDes!$B:$B,[1]ModifierDes!$C:$C),3,_xlfn.XLOOKUP(C2426,[1]StuntDes!$B:$B,[1]StuntDes!$C:$C)),"")</f>
        <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421</v>
      </c>
      <c r="D2427" t="s">
        <v>28</v>
      </c>
      <c r="E2427" s="13" t="s">
        <v>405</v>
      </c>
      <c r="G2427">
        <v>2</v>
      </c>
      <c r="H2427">
        <v>1000</v>
      </c>
      <c r="J2427" cm="1">
        <f t="array" ref="J2427">_xlfn.SWITCH(B2427,1,75,2,61,3,49,4,37,5,25,6,13,7,4,8,1)</f>
        <v>75</v>
      </c>
      <c r="K2427" t="str" cm="1">
        <f t="array" ref="K2427">IFERROR(_xlfn.SWITCH(L2427,2,_xlfn.XLOOKUP(C2427,[1]ModifierDes!$B:$B,[1]ModifierDes!$C:$C),3,_xlfn.XLOOKUP(C2427,[1]StuntDes!$B:$B,[1]StuntDes!$C:$C)),"")</f>
        <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421</v>
      </c>
      <c r="D2428" t="s">
        <v>28</v>
      </c>
      <c r="E2428" s="13" t="s">
        <v>405</v>
      </c>
      <c r="G2428">
        <v>2</v>
      </c>
      <c r="H2428">
        <v>1000</v>
      </c>
      <c r="J2428" cm="1">
        <f t="array" ref="J2428">_xlfn.SWITCH(B2428,1,75,2,61,3,49,4,37,5,25,6,13,7,4,8,1)</f>
        <v>61</v>
      </c>
      <c r="K2428" t="str" cm="1">
        <f t="array" ref="K2428">IFERROR(_xlfn.SWITCH(L2428,2,_xlfn.XLOOKUP(C2428,[1]ModifierDes!$B:$B,[1]ModifierDes!$C:$C),3,_xlfn.XLOOKUP(C2428,[1]StuntDes!$B:$B,[1]StuntDes!$C:$C)),"")</f>
        <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421</v>
      </c>
      <c r="D2429" t="s">
        <v>28</v>
      </c>
      <c r="E2429" s="13" t="s">
        <v>405</v>
      </c>
      <c r="G2429">
        <v>2</v>
      </c>
      <c r="H2429">
        <v>1000</v>
      </c>
      <c r="J2429" cm="1">
        <f t="array" ref="J2429">_xlfn.SWITCH(B2429,1,75,2,61,3,49,4,37,5,25,6,13,7,4,8,1)</f>
        <v>49</v>
      </c>
      <c r="K2429" t="str" cm="1">
        <f t="array" ref="K2429">IFERROR(_xlfn.SWITCH(L2429,2,_xlfn.XLOOKUP(C2429,[1]ModifierDes!$B:$B,[1]ModifierDes!$C:$C),3,_xlfn.XLOOKUP(C2429,[1]StuntDes!$B:$B,[1]StuntDes!$C:$C)),"")</f>
        <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421</v>
      </c>
      <c r="D2430" t="s">
        <v>28</v>
      </c>
      <c r="E2430" s="13" t="s">
        <v>405</v>
      </c>
      <c r="G2430">
        <v>2</v>
      </c>
      <c r="H2430">
        <v>1000</v>
      </c>
      <c r="J2430" cm="1">
        <f t="array" ref="J2430">_xlfn.SWITCH(B2430,1,75,2,61,3,49,4,37,5,25,6,13,7,4,8,1)</f>
        <v>37</v>
      </c>
      <c r="K2430" t="str" cm="1">
        <f t="array" ref="K2430">IFERROR(_xlfn.SWITCH(L2430,2,_xlfn.XLOOKUP(C2430,[1]ModifierDes!$B:$B,[1]ModifierDes!$C:$C),3,_xlfn.XLOOKUP(C2430,[1]StuntDes!$B:$B,[1]StuntDes!$C:$C)),"")</f>
        <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421</v>
      </c>
      <c r="D2431" t="s">
        <v>28</v>
      </c>
      <c r="E2431" s="13" t="s">
        <v>405</v>
      </c>
      <c r="G2431">
        <v>2</v>
      </c>
      <c r="H2431">
        <v>1000</v>
      </c>
      <c r="J2431" cm="1">
        <f t="array" ref="J2431">_xlfn.SWITCH(B2431,1,75,2,61,3,49,4,37,5,25,6,13,7,4,8,1)</f>
        <v>25</v>
      </c>
      <c r="K2431" t="str" cm="1">
        <f t="array" ref="K2431">IFERROR(_xlfn.SWITCH(L2431,2,_xlfn.XLOOKUP(C2431,[1]ModifierDes!$B:$B,[1]ModifierDes!$C:$C),3,_xlfn.XLOOKUP(C2431,[1]StuntDes!$B:$B,[1]StuntDes!$C:$C)),"")</f>
        <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421</v>
      </c>
      <c r="D2432" t="s">
        <v>28</v>
      </c>
      <c r="E2432" s="13" t="s">
        <v>405</v>
      </c>
      <c r="G2432">
        <v>2</v>
      </c>
      <c r="H2432">
        <v>1000</v>
      </c>
      <c r="J2432" cm="1">
        <f t="array" ref="J2432">_xlfn.SWITCH(B2432,1,75,2,61,3,49,4,37,5,25,6,13,7,4,8,1)</f>
        <v>13</v>
      </c>
      <c r="K2432" t="str" cm="1">
        <f t="array" ref="K2432">IFERROR(_xlfn.SWITCH(L2432,2,_xlfn.XLOOKUP(C2432,[1]ModifierDes!$B:$B,[1]ModifierDes!$C:$C),3,_xlfn.XLOOKUP(C2432,[1]StuntDes!$B:$B,[1]StuntDes!$C:$C)),"")</f>
        <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421</v>
      </c>
      <c r="D2433" t="s">
        <v>28</v>
      </c>
      <c r="E2433" s="13" t="s">
        <v>405</v>
      </c>
      <c r="G2433">
        <v>2</v>
      </c>
      <c r="H2433">
        <v>1000</v>
      </c>
      <c r="J2433" cm="1">
        <f t="array" ref="J2433">_xlfn.SWITCH(B2433,1,75,2,61,3,49,4,37,5,25,6,13,7,4,8,1)</f>
        <v>4</v>
      </c>
      <c r="K2433" t="str" cm="1">
        <f t="array" ref="K2433">IFERROR(_xlfn.SWITCH(L2433,2,_xlfn.XLOOKUP(C2433,[1]ModifierDes!$B:$B,[1]ModifierDes!$C:$C),3,_xlfn.XLOOKUP(C2433,[1]StuntDes!$B:$B,[1]StuntDes!$C:$C)),"")</f>
        <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421</v>
      </c>
      <c r="D2434" t="s">
        <v>28</v>
      </c>
      <c r="E2434" s="13" t="s">
        <v>405</v>
      </c>
      <c r="G2434">
        <v>2</v>
      </c>
      <c r="H2434">
        <v>1000</v>
      </c>
      <c r="J2434" cm="1">
        <f t="array" ref="J2434">_xlfn.SWITCH(B2434,1,75,2,61,3,49,4,37,5,25,6,13,7,4,8,1)</f>
        <v>1</v>
      </c>
      <c r="K2434" t="str" cm="1">
        <f t="array" ref="K2434">IFERROR(_xlfn.SWITCH(L2434,2,_xlfn.XLOOKUP(C2434,[1]ModifierDes!$B:$B,[1]ModifierDes!$C:$C),3,_xlfn.XLOOKUP(C2434,[1]StuntDes!$B:$B,[1]StuntDes!$C:$C)),"")</f>
        <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402</v>
      </c>
      <c r="D2435" t="s">
        <v>26</v>
      </c>
      <c r="E2435" s="13" t="s">
        <v>457</v>
      </c>
      <c r="G2435">
        <v>3</v>
      </c>
      <c r="H2435">
        <v>1000</v>
      </c>
      <c r="J2435" cm="1">
        <f t="array" ref="J2435">_xlfn.SWITCH(B2435,1,75,2,61,3,49,4,37,5,25,6,13,7,4,8,1)</f>
        <v>75</v>
      </c>
      <c r="K2435" t="str" cm="1">
        <f t="array" ref="K2435">IFERROR(_xlfn.SWITCH(L2435,2,_xlfn.XLOOKUP(C2435,[1]ModifierDes!$B:$B,[1]ModifierDes!$C:$C),3,_xlfn.XLOOKUP(C2435,[1]StuntDes!$B:$B,[1]StuntDes!$C:$C)),"")</f>
        <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403</v>
      </c>
      <c r="D2436" t="s">
        <v>26</v>
      </c>
      <c r="E2436" s="13" t="s">
        <v>457</v>
      </c>
      <c r="G2436">
        <v>3</v>
      </c>
      <c r="H2436">
        <v>1000</v>
      </c>
      <c r="J2436" cm="1">
        <f t="array" ref="J2436">_xlfn.SWITCH(B2436,1,75,2,61,3,49,4,37,5,25,6,13,7,4,8,1)</f>
        <v>75</v>
      </c>
      <c r="K2436" t="str" cm="1">
        <f t="array" ref="K2436">IFERROR(_xlfn.SWITCH(L2436,2,_xlfn.XLOOKUP(C2436,[1]ModifierDes!$B:$B,[1]ModifierDes!$C:$C),3,_xlfn.XLOOKUP(C2436,[1]StuntDes!$B:$B,[1]StuntDes!$C:$C)),"")</f>
        <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440</v>
      </c>
      <c r="D2437" t="s">
        <v>26</v>
      </c>
      <c r="E2437" s="13" t="s">
        <v>457</v>
      </c>
      <c r="G2437">
        <v>3</v>
      </c>
      <c r="H2437">
        <v>1000</v>
      </c>
      <c r="J2437" cm="1">
        <f t="array" ref="J2437">_xlfn.SWITCH(B2437,1,75,2,61,3,49,4,37,5,25,6,13,7,4,8,1)</f>
        <v>75</v>
      </c>
      <c r="K2437" t="str" cm="1">
        <f t="array" ref="K2437">IFERROR(_xlfn.SWITCH(L2437,2,_xlfn.XLOOKUP(C2437,[1]ModifierDes!$B:$B,[1]ModifierDes!$C:$C),3,_xlfn.XLOOKUP(C2437,[1]StuntDes!$B:$B,[1]StuntDes!$C:$C)),"")</f>
        <v/>
      </c>
      <c r="L2437">
        <f t="shared" si="184"/>
        <v>1</v>
      </c>
      <c r="M2437" s="10" t="str">
        <f>IFERROR(_xlfn.XLOOKUP(C2437,[1]StuntDes!$B:$B,[1]StuntDes!$A:$A),"")</f>
        <v/>
      </c>
      <c r="N2437" s="10" t="str">
        <f>IFERROR(_xlfn.XLOOKUP(C2437,[1]ModifierDes!$B:$B,[1]ModifierDes!$A:$A),"")</f>
        <v/>
      </c>
      <c r="O2437" s="10">
        <f>IFERROR(_xlfn.XLOOKUP(C2437,[1]AttributeName!$C:$C,[1]AttributeName!$B:$B),"")</f>
        <v>10003</v>
      </c>
      <c r="P2437" s="10"/>
      <c r="Q2437">
        <v>8</v>
      </c>
      <c r="R2437">
        <v>10</v>
      </c>
      <c r="S2437" cm="1">
        <f t="array" ref="S2437">IFERROR(_xlfn.SWITCH(L2437,1,_xlfn.XLOOKUP(O2437,[1]AttributeName!$B:$B,[1]AttributeName!$D:$D),2,_xlfn.XLOOKUP(C2437,[1]ModifierDes!$B:$B,[1]ModifierDes!$D:$D),3,_xlfn.XLOOKUP(C2437,[1]StuntDes!$B:$B,[1]StuntDes!$D:$D)),0)</f>
        <v>0</v>
      </c>
      <c r="T2437" cm="1">
        <f t="array" ref="T2437">IFERROR(_xlfn.SWITCH(L2437,1,_xlfn.XLOOKUP(O2437,[1]AttributeName!$B:$B,[1]AttributeName!$E:$E),2,_xlfn.XLOOKUP(C2437,[1]ModifierDes!$B:$B,[1]ModifierDes!$E:$E),3,_xlfn.XLOOKUP(C2437,[1]StuntDes!$B:$B,[1]StuntDes!$E:$E)),0)</f>
        <v>1</v>
      </c>
    </row>
    <row r="2438" customFormat="1" spans="1:20">
      <c r="A2438">
        <v>10004</v>
      </c>
      <c r="B2438">
        <v>1</v>
      </c>
      <c r="C2438" t="s">
        <v>441</v>
      </c>
      <c r="D2438" t="s">
        <v>26</v>
      </c>
      <c r="E2438" s="13" t="s">
        <v>457</v>
      </c>
      <c r="G2438">
        <v>3</v>
      </c>
      <c r="H2438">
        <v>1000</v>
      </c>
      <c r="J2438" cm="1">
        <f t="array" ref="J2438">_xlfn.SWITCH(B2438,1,75,2,61,3,49,4,37,5,25,6,13,7,4,8,1)</f>
        <v>75</v>
      </c>
      <c r="K2438" t="str" cm="1">
        <f t="array" ref="K2438">IFERROR(_xlfn.SWITCH(L2438,2,_xlfn.XLOOKUP(C2438,[1]ModifierDes!$B:$B,[1]ModifierDes!$C:$C),3,_xlfn.XLOOKUP(C2438,[1]StuntDes!$B:$B,[1]StuntDes!$C:$C)),"")</f>
        <v/>
      </c>
      <c r="L2438">
        <f t="shared" si="184"/>
        <v>1</v>
      </c>
      <c r="M2438" s="10" t="str">
        <f>IFERROR(_xlfn.XLOOKUP(C2438,[1]StuntDes!$B:$B,[1]StuntDes!$A:$A),"")</f>
        <v/>
      </c>
      <c r="N2438" s="10" t="str">
        <f>IFERROR(_xlfn.XLOOKUP(C2438,[1]ModifierDes!$B:$B,[1]ModifierDes!$A:$A),"")</f>
        <v/>
      </c>
      <c r="O2438" s="10">
        <f>IFERROR(_xlfn.XLOOKUP(C2438,[1]AttributeName!$C:$C,[1]AttributeName!$B:$B),"")</f>
        <v>10005</v>
      </c>
      <c r="P2438" s="10"/>
      <c r="Q2438">
        <v>8</v>
      </c>
      <c r="R2438">
        <v>10</v>
      </c>
      <c r="S2438" cm="1">
        <f t="array" ref="S2438">IFERROR(_xlfn.SWITCH(L2438,1,_xlfn.XLOOKUP(O2438,[1]AttributeName!$B:$B,[1]AttributeName!$D:$D),2,_xlfn.XLOOKUP(C2438,[1]ModifierDes!$B:$B,[1]ModifierDes!$D:$D),3,_xlfn.XLOOKUP(C2438,[1]StuntDes!$B:$B,[1]StuntDes!$D:$D)),0)</f>
        <v>0</v>
      </c>
      <c r="T2438" cm="1">
        <f t="array" ref="T2438">IFERROR(_xlfn.SWITCH(L2438,1,_xlfn.XLOOKUP(O2438,[1]AttributeName!$B:$B,[1]AttributeName!$E:$E),2,_xlfn.XLOOKUP(C2438,[1]ModifierDes!$B:$B,[1]ModifierDes!$E:$E),3,_xlfn.XLOOKUP(C2438,[1]StuntDes!$B:$B,[1]StuntDes!$E:$E)),0)</f>
        <v>1</v>
      </c>
    </row>
    <row r="2439" customFormat="1" spans="1:20">
      <c r="A2439">
        <v>10005</v>
      </c>
      <c r="B2439">
        <v>1</v>
      </c>
      <c r="C2439" t="s">
        <v>399</v>
      </c>
      <c r="D2439" t="s">
        <v>26</v>
      </c>
      <c r="E2439" s="13" t="s">
        <v>457</v>
      </c>
      <c r="G2439">
        <v>3</v>
      </c>
      <c r="H2439">
        <v>1000</v>
      </c>
      <c r="J2439" cm="1">
        <f t="array" ref="J2439">_xlfn.SWITCH(B2439,1,75,2,61,3,49,4,37,5,25,6,13,7,4,8,1)</f>
        <v>75</v>
      </c>
      <c r="K2439" t="str" cm="1">
        <f t="array" ref="K2439">IFERROR(_xlfn.SWITCH(L2439,2,_xlfn.XLOOKUP(C2439,[1]ModifierDes!$B:$B,[1]ModifierDes!$C:$C),3,_xlfn.XLOOKUP(C2439,[1]StuntDes!$B:$B,[1]StuntDes!$C:$C)),"")</f>
        <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400</v>
      </c>
      <c r="D2440" t="s">
        <v>26</v>
      </c>
      <c r="E2440" s="13" t="s">
        <v>457</v>
      </c>
      <c r="G2440">
        <v>3</v>
      </c>
      <c r="H2440">
        <v>1000</v>
      </c>
      <c r="J2440" cm="1">
        <f t="array" ref="J2440">_xlfn.SWITCH(B2440,1,75,2,61,3,49,4,37,5,25,6,13,7,4,8,1)</f>
        <v>75</v>
      </c>
      <c r="K2440" t="str" cm="1">
        <f t="array" ref="K2440">IFERROR(_xlfn.SWITCH(L2440,2,_xlfn.XLOOKUP(C2440,[1]ModifierDes!$B:$B,[1]ModifierDes!$C:$C),3,_xlfn.XLOOKUP(C2440,[1]StuntDes!$B:$B,[1]StuntDes!$C:$C)),"")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401</v>
      </c>
      <c r="D2441" t="s">
        <v>26</v>
      </c>
      <c r="E2441" s="13" t="s">
        <v>457</v>
      </c>
      <c r="G2441">
        <v>3</v>
      </c>
      <c r="H2441">
        <v>1000</v>
      </c>
      <c r="J2441" cm="1">
        <f t="array" ref="J2441">_xlfn.SWITCH(B2441,1,75,2,61,3,49,4,37,5,25,6,13,7,4,8,1)</f>
        <v>75</v>
      </c>
      <c r="K2441" t="str" cm="1">
        <f t="array" ref="K2441">IFERROR(_xlfn.SWITCH(L2441,2,_xlfn.XLOOKUP(C2441,[1]ModifierDes!$B:$B,[1]ModifierDes!$C:$C),3,_xlfn.XLOOKUP(C2441,[1]StuntDes!$B:$B,[1]StuntDes!$C:$C)),"")</f>
        <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413</v>
      </c>
      <c r="D2442" t="s">
        <v>26</v>
      </c>
      <c r="E2442" s="13" t="s">
        <v>457</v>
      </c>
      <c r="G2442">
        <v>3</v>
      </c>
      <c r="H2442">
        <v>1000</v>
      </c>
      <c r="J2442" cm="1">
        <f t="array" ref="J2442">_xlfn.SWITCH(B2442,1,75,2,61,3,49,4,37,5,25,6,13,7,4,8,1)</f>
        <v>75</v>
      </c>
      <c r="K2442" t="str" cm="1">
        <f t="array" ref="K2442">IFERROR(_xlfn.SWITCH(L2442,2,_xlfn.XLOOKUP(C2442,[1]ModifierDes!$B:$B,[1]ModifierDes!$C:$C),3,_xlfn.XLOOKUP(C2442,[1]StuntDes!$B:$B,[1]StuntDes!$C:$C)),"")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393</v>
      </c>
      <c r="D2443" t="s">
        <v>26</v>
      </c>
      <c r="E2443" s="13" t="s">
        <v>457</v>
      </c>
      <c r="G2443">
        <v>3</v>
      </c>
      <c r="H2443">
        <v>1000</v>
      </c>
      <c r="J2443" cm="1">
        <f t="array" ref="J2443">_xlfn.SWITCH(B2443,1,75,2,61,3,49,4,37,5,25,6,13,7,4,8,1)</f>
        <v>75</v>
      </c>
      <c r="K2443" t="str" cm="1">
        <f t="array" ref="K2443">IFERROR(_xlfn.SWITCH(L2443,2,_xlfn.XLOOKUP(C2443,[1]ModifierDes!$B:$B,[1]ModifierDes!$C:$C),3,_xlfn.XLOOKUP(C2443,[1]StuntDes!$B:$B,[1]StuntDes!$C:$C)),"")</f>
        <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394</v>
      </c>
      <c r="D2444" t="s">
        <v>26</v>
      </c>
      <c r="E2444" s="13" t="s">
        <v>457</v>
      </c>
      <c r="G2444">
        <v>3</v>
      </c>
      <c r="H2444">
        <v>1000</v>
      </c>
      <c r="J2444" cm="1">
        <f t="array" ref="J2444">_xlfn.SWITCH(B2444,1,75,2,61,3,49,4,37,5,25,6,13,7,4,8,1)</f>
        <v>75</v>
      </c>
      <c r="K2444" t="str" cm="1">
        <f t="array" ref="K2444">IFERROR(_xlfn.SWITCH(L2444,2,_xlfn.XLOOKUP(C2444,[1]ModifierDes!$B:$B,[1]ModifierDes!$C:$C),3,_xlfn.XLOOKUP(C2444,[1]StuntDes!$B:$B,[1]StuntDes!$C:$C)),"")</f>
        <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395</v>
      </c>
      <c r="D2445" t="s">
        <v>26</v>
      </c>
      <c r="E2445" s="13" t="s">
        <v>457</v>
      </c>
      <c r="G2445">
        <v>3</v>
      </c>
      <c r="H2445">
        <v>1000</v>
      </c>
      <c r="J2445" cm="1">
        <f t="array" ref="J2445">_xlfn.SWITCH(B2445,1,75,2,61,3,49,4,37,5,25,6,13,7,4,8,1)</f>
        <v>75</v>
      </c>
      <c r="K2445" t="str" cm="1">
        <f t="array" ref="K2445">IFERROR(_xlfn.SWITCH(L2445,2,_xlfn.XLOOKUP(C2445,[1]ModifierDes!$B:$B,[1]ModifierDes!$C:$C),3,_xlfn.XLOOKUP(C2445,[1]StuntDes!$B:$B,[1]StuntDes!$C:$C)),"")</f>
        <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396</v>
      </c>
      <c r="D2446" t="s">
        <v>26</v>
      </c>
      <c r="E2446" s="13" t="s">
        <v>457</v>
      </c>
      <c r="G2446">
        <v>3</v>
      </c>
      <c r="H2446">
        <v>1000</v>
      </c>
      <c r="J2446" cm="1">
        <f t="array" ref="J2446">_xlfn.SWITCH(B2446,1,75,2,61,3,49,4,37,5,25,6,13,7,4,8,1)</f>
        <v>75</v>
      </c>
      <c r="K2446" t="str" cm="1">
        <f t="array" ref="K2446">IFERROR(_xlfn.SWITCH(L2446,2,_xlfn.XLOOKUP(C2446,[1]ModifierDes!$B:$B,[1]ModifierDes!$C:$C),3,_xlfn.XLOOKUP(C2446,[1]StuntDes!$B:$B,[1]StuntDes!$C:$C)),"")</f>
        <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397</v>
      </c>
      <c r="D2447" t="s">
        <v>26</v>
      </c>
      <c r="E2447" s="13" t="s">
        <v>457</v>
      </c>
      <c r="G2447">
        <v>3</v>
      </c>
      <c r="H2447">
        <v>1000</v>
      </c>
      <c r="J2447" cm="1">
        <f t="array" ref="J2447">_xlfn.SWITCH(B2447,1,75,2,61,3,49,4,37,5,25,6,13,7,4,8,1)</f>
        <v>75</v>
      </c>
      <c r="K2447" t="str" cm="1">
        <f t="array" ref="K2447">IFERROR(_xlfn.SWITCH(L2447,2,_xlfn.XLOOKUP(C2447,[1]ModifierDes!$B:$B,[1]ModifierDes!$C:$C),3,_xlfn.XLOOKUP(C2447,[1]StuntDes!$B:$B,[1]StuntDes!$C:$C)),"")</f>
        <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458</v>
      </c>
      <c r="D2448" t="s">
        <v>26</v>
      </c>
      <c r="E2448" s="13" t="s">
        <v>457</v>
      </c>
      <c r="G2448">
        <v>3</v>
      </c>
      <c r="H2448">
        <v>1000</v>
      </c>
      <c r="J2448" cm="1">
        <f t="array" ref="J2448">_xlfn.SWITCH(B2448,1,75,2,61,3,49,4,37,5,25,6,13,7,4,8,1)</f>
        <v>75</v>
      </c>
      <c r="K2448" t="str" cm="1">
        <f t="array" ref="K2448">IFERROR(_xlfn.SWITCH(L2448,2,_xlfn.XLOOKUP(C2448,[1]ModifierDes!$B:$B,[1]ModifierDes!$C:$C),3,_xlfn.XLOOKUP(C2448,[1]StuntDes!$B:$B,[1]StuntDes!$C:$C)),"")</f>
        <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412</v>
      </c>
      <c r="D2449" t="s">
        <v>26</v>
      </c>
      <c r="E2449" s="13" t="s">
        <v>457</v>
      </c>
      <c r="G2449">
        <v>3</v>
      </c>
      <c r="H2449">
        <v>1000</v>
      </c>
      <c r="J2449" cm="1">
        <f t="array" ref="J2449">_xlfn.SWITCH(B2449,1,75,2,61,3,49,4,37,5,25,6,13,7,4,8,1)</f>
        <v>75</v>
      </c>
      <c r="K2449" t="str" cm="1">
        <f t="array" ref="K2449">IFERROR(_xlfn.SWITCH(L2449,2,_xlfn.XLOOKUP(C2449,[1]ModifierDes!$B:$B,[1]ModifierDes!$C:$C),3,_xlfn.XLOOKUP(C2449,[1]StuntDes!$B:$B,[1]StuntDes!$C:$C)),"")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459</v>
      </c>
      <c r="D2450" t="s">
        <v>26</v>
      </c>
      <c r="E2450" s="13" t="s">
        <v>457</v>
      </c>
      <c r="G2450">
        <v>3</v>
      </c>
      <c r="H2450">
        <v>1000</v>
      </c>
      <c r="J2450" cm="1">
        <f t="array" ref="J2450">_xlfn.SWITCH(B2450,1,75,2,61,3,49,4,37,5,25,6,13,7,4,8,1)</f>
        <v>75</v>
      </c>
      <c r="K2450" t="str" cm="1">
        <f t="array" ref="K2450">IFERROR(_xlfn.SWITCH(L2450,2,_xlfn.XLOOKUP(C2450,[1]ModifierDes!$B:$B,[1]ModifierDes!$C:$C),3,_xlfn.XLOOKUP(C2450,[1]StuntDes!$B:$B,[1]StuntDes!$C:$C)),"")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402</v>
      </c>
      <c r="D2451" t="s">
        <v>422</v>
      </c>
      <c r="E2451" s="13" t="s">
        <v>457</v>
      </c>
      <c r="G2451">
        <v>3</v>
      </c>
      <c r="H2451">
        <v>1000</v>
      </c>
      <c r="J2451" cm="1">
        <f t="array" ref="J2451">_xlfn.SWITCH(B2451,1,75,2,61,3,49,4,37,5,25,6,13,7,4,8,1)</f>
        <v>75</v>
      </c>
      <c r="K2451" t="str" cm="1">
        <f t="array" ref="K2451">IFERROR(_xlfn.SWITCH(L2451,2,_xlfn.XLOOKUP(C2451,[1]ModifierDes!$B:$B,[1]ModifierDes!$C:$C),3,_xlfn.XLOOKUP(C2451,[1]StuntDes!$B:$B,[1]StuntDes!$C:$C)),"")</f>
        <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403</v>
      </c>
      <c r="D2452" t="s">
        <v>422</v>
      </c>
      <c r="E2452" s="13" t="s">
        <v>457</v>
      </c>
      <c r="G2452">
        <v>3</v>
      </c>
      <c r="H2452">
        <v>1000</v>
      </c>
      <c r="J2452" cm="1">
        <f t="array" ref="J2452">_xlfn.SWITCH(B2452,1,75,2,61,3,49,4,37,5,25,6,13,7,4,8,1)</f>
        <v>75</v>
      </c>
      <c r="K2452" t="str" cm="1">
        <f t="array" ref="K2452">IFERROR(_xlfn.SWITCH(L2452,2,_xlfn.XLOOKUP(C2452,[1]ModifierDes!$B:$B,[1]ModifierDes!$C:$C),3,_xlfn.XLOOKUP(C2452,[1]StuntDes!$B:$B,[1]StuntDes!$C:$C)),"")</f>
        <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423</v>
      </c>
      <c r="D2453" t="s">
        <v>422</v>
      </c>
      <c r="E2453" s="13" t="s">
        <v>457</v>
      </c>
      <c r="G2453">
        <v>3</v>
      </c>
      <c r="H2453">
        <v>1000</v>
      </c>
      <c r="J2453" cm="1">
        <f t="array" ref="J2453">_xlfn.SWITCH(B2453,1,75,2,61,3,49,4,37,5,25,6,13,7,4,8,1)</f>
        <v>75</v>
      </c>
      <c r="K2453" t="str" cm="1">
        <f t="array" ref="K2453">IFERROR(_xlfn.SWITCH(L2453,2,_xlfn.XLOOKUP(C2453,[1]ModifierDes!$B:$B,[1]ModifierDes!$C:$C),3,_xlfn.XLOOKUP(C2453,[1]StuntDes!$B:$B,[1]StuntDes!$C:$C)),"")</f>
        <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424</v>
      </c>
      <c r="D2454" t="s">
        <v>422</v>
      </c>
      <c r="E2454" s="13" t="s">
        <v>457</v>
      </c>
      <c r="G2454">
        <v>3</v>
      </c>
      <c r="H2454">
        <v>1000</v>
      </c>
      <c r="J2454" cm="1">
        <f t="array" ref="J2454">_xlfn.SWITCH(B2454,1,75,2,61,3,49,4,37,5,25,6,13,7,4,8,1)</f>
        <v>75</v>
      </c>
      <c r="K2454" t="str" cm="1">
        <f t="array" ref="K2454">IFERROR(_xlfn.SWITCH(L2454,2,_xlfn.XLOOKUP(C2454,[1]ModifierDes!$B:$B,[1]ModifierDes!$C:$C),3,_xlfn.XLOOKUP(C2454,[1]StuntDes!$B:$B,[1]StuntDes!$C:$C)),"")</f>
        <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425</v>
      </c>
      <c r="D2455" t="s">
        <v>422</v>
      </c>
      <c r="E2455" s="13" t="s">
        <v>457</v>
      </c>
      <c r="G2455">
        <v>3</v>
      </c>
      <c r="H2455">
        <v>1000</v>
      </c>
      <c r="J2455" cm="1">
        <f t="array" ref="J2455">_xlfn.SWITCH(B2455,1,75,2,61,3,49,4,37,5,25,6,13,7,4,8,1)</f>
        <v>75</v>
      </c>
      <c r="K2455" t="str" cm="1">
        <f t="array" ref="K2455">IFERROR(_xlfn.SWITCH(L2455,2,_xlfn.XLOOKUP(C2455,[1]ModifierDes!$B:$B,[1]ModifierDes!$C:$C),3,_xlfn.XLOOKUP(C2455,[1]StuntDes!$B:$B,[1]StuntDes!$C:$C)),"")</f>
        <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450</v>
      </c>
      <c r="D2456" t="s">
        <v>422</v>
      </c>
      <c r="E2456" s="13" t="s">
        <v>457</v>
      </c>
      <c r="G2456">
        <v>3</v>
      </c>
      <c r="H2456">
        <v>1000</v>
      </c>
      <c r="J2456" cm="1">
        <f t="array" ref="J2456">_xlfn.SWITCH(B2456,1,75,2,61,3,49,4,37,5,25,6,13,7,4,8,1)</f>
        <v>75</v>
      </c>
      <c r="K2456" t="str" cm="1">
        <f t="array" ref="K2456">IFERROR(_xlfn.SWITCH(L2456,2,_xlfn.XLOOKUP(C2456,[1]ModifierDes!$B:$B,[1]ModifierDes!$C:$C),3,_xlfn.XLOOKUP(C2456,[1]StuntDes!$B:$B,[1]StuntDes!$C:$C)),"")</f>
        <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440</v>
      </c>
      <c r="D2457" t="s">
        <v>422</v>
      </c>
      <c r="E2457" s="13" t="s">
        <v>457</v>
      </c>
      <c r="G2457">
        <v>3</v>
      </c>
      <c r="H2457">
        <v>1000</v>
      </c>
      <c r="J2457" cm="1">
        <f t="array" ref="J2457">_xlfn.SWITCH(B2457,1,75,2,61,3,49,4,37,5,25,6,13,7,4,8,1)</f>
        <v>75</v>
      </c>
      <c r="K2457" t="str" cm="1">
        <f t="array" ref="K2457">IFERROR(_xlfn.SWITCH(L2457,2,_xlfn.XLOOKUP(C2457,[1]ModifierDes!$B:$B,[1]ModifierDes!$C:$C),3,_xlfn.XLOOKUP(C2457,[1]StuntDes!$B:$B,[1]StuntDes!$C:$C)),"")</f>
        <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10003</v>
      </c>
      <c r="P2457" s="10"/>
      <c r="Q2457">
        <v>8</v>
      </c>
      <c r="R2457">
        <v>10</v>
      </c>
      <c r="S2457" cm="1">
        <f t="array" ref="S2457">IFERROR(_xlfn.SWITCH(L2457,1,_xlfn.XLOOKUP(O2457,[1]AttributeName!$B:$B,[1]AttributeName!$D:$D),2,_xlfn.XLOOKUP(C2457,[1]ModifierDes!$B:$B,[1]ModifierDes!$D:$D),3,_xlfn.XLOOKUP(C2457,[1]StuntDes!$B:$B,[1]StuntDes!$D:$D)),0)</f>
        <v>0</v>
      </c>
      <c r="T2457" cm="1">
        <f t="array" ref="T2457">IFERROR(_xlfn.SWITCH(L2457,1,_xlfn.XLOOKUP(O2457,[1]AttributeName!$B:$B,[1]AttributeName!$E:$E),2,_xlfn.XLOOKUP(C2457,[1]ModifierDes!$B:$B,[1]ModifierDes!$E:$E),3,_xlfn.XLOOKUP(C2457,[1]StuntDes!$B:$B,[1]StuntDes!$E:$E)),0)</f>
        <v>1</v>
      </c>
    </row>
    <row r="2458" customFormat="1" spans="1:20">
      <c r="A2458">
        <v>10108</v>
      </c>
      <c r="B2458">
        <v>1</v>
      </c>
      <c r="C2458" t="s">
        <v>441</v>
      </c>
      <c r="D2458" t="s">
        <v>422</v>
      </c>
      <c r="E2458" s="13" t="s">
        <v>457</v>
      </c>
      <c r="G2458">
        <v>3</v>
      </c>
      <c r="H2458">
        <v>1000</v>
      </c>
      <c r="J2458" cm="1">
        <f t="array" ref="J2458">_xlfn.SWITCH(B2458,1,75,2,61,3,49,4,37,5,25,6,13,7,4,8,1)</f>
        <v>75</v>
      </c>
      <c r="K2458" t="str" cm="1">
        <f t="array" ref="K2458">IFERROR(_xlfn.SWITCH(L2458,2,_xlfn.XLOOKUP(C2458,[1]ModifierDes!$B:$B,[1]ModifierDes!$C:$C),3,_xlfn.XLOOKUP(C2458,[1]StuntDes!$B:$B,[1]StuntDes!$C:$C)),"")</f>
        <v/>
      </c>
      <c r="L2458">
        <f t="shared" si="188"/>
        <v>1</v>
      </c>
      <c r="M2458" s="10" t="str">
        <f>IFERROR(_xlfn.XLOOKUP(C2458,[1]StuntDes!$B:$B,[1]StuntDes!$A:$A),"")</f>
        <v/>
      </c>
      <c r="N2458" s="10" t="str">
        <f>IFERROR(_xlfn.XLOOKUP(C2458,[1]ModifierDes!$B:$B,[1]ModifierDes!$A:$A),"")</f>
        <v/>
      </c>
      <c r="O2458" s="10">
        <f>IFERROR(_xlfn.XLOOKUP(C2458,[1]AttributeName!$C:$C,[1]AttributeName!$B:$B),"")</f>
        <v>10005</v>
      </c>
      <c r="P2458" s="10"/>
      <c r="Q2458">
        <v>8</v>
      </c>
      <c r="R2458">
        <v>10</v>
      </c>
      <c r="S2458" cm="1">
        <f t="array" ref="S2458">IFERROR(_xlfn.SWITCH(L2458,1,_xlfn.XLOOKUP(O2458,[1]AttributeName!$B:$B,[1]AttributeName!$D:$D),2,_xlfn.XLOOKUP(C2458,[1]ModifierDes!$B:$B,[1]ModifierDes!$D:$D),3,_xlfn.XLOOKUP(C2458,[1]StuntDes!$B:$B,[1]StuntDes!$D:$D)),0)</f>
        <v>0</v>
      </c>
      <c r="T2458" cm="1">
        <f t="array" ref="T2458">IFERROR(_xlfn.SWITCH(L2458,1,_xlfn.XLOOKUP(O2458,[1]AttributeName!$B:$B,[1]AttributeName!$E:$E),2,_xlfn.XLOOKUP(C2458,[1]ModifierDes!$B:$B,[1]ModifierDes!$E:$E),3,_xlfn.XLOOKUP(C2458,[1]StuntDes!$B:$B,[1]StuntDes!$E:$E)),0)</f>
        <v>1</v>
      </c>
    </row>
    <row r="2459" customFormat="1" spans="1:20">
      <c r="A2459">
        <v>10109</v>
      </c>
      <c r="B2459">
        <v>1</v>
      </c>
      <c r="C2459" t="s">
        <v>447</v>
      </c>
      <c r="D2459" t="s">
        <v>422</v>
      </c>
      <c r="E2459" s="13" t="s">
        <v>457</v>
      </c>
      <c r="G2459">
        <v>3</v>
      </c>
      <c r="H2459">
        <v>1000</v>
      </c>
      <c r="J2459" cm="1">
        <f t="array" ref="J2459">_xlfn.SWITCH(B2459,1,75,2,61,3,49,4,37,5,25,6,13,7,4,8,1)</f>
        <v>75</v>
      </c>
      <c r="K2459" t="str" cm="1">
        <f t="array" ref="K2459">IFERROR(_xlfn.SWITCH(L2459,2,_xlfn.XLOOKUP(C2459,[1]ModifierDes!$B:$B,[1]ModifierDes!$C:$C),3,_xlfn.XLOOKUP(C2459,[1]StuntDes!$B:$B,[1]StuntDes!$C:$C)),"")</f>
        <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436</v>
      </c>
      <c r="D2460" t="s">
        <v>422</v>
      </c>
      <c r="E2460" s="13" t="s">
        <v>457</v>
      </c>
      <c r="G2460">
        <v>3</v>
      </c>
      <c r="H2460">
        <v>1000</v>
      </c>
      <c r="J2460" cm="1">
        <f t="array" ref="J2460">_xlfn.SWITCH(B2460,1,75,2,61,3,49,4,37,5,25,6,13,7,4,8,1)</f>
        <v>75</v>
      </c>
      <c r="K2460" t="str" cm="1">
        <f t="array" ref="K2460">IFERROR(_xlfn.SWITCH(L2460,2,_xlfn.XLOOKUP(C2460,[1]ModifierDes!$B:$B,[1]ModifierDes!$C:$C),3,_xlfn.XLOOKUP(C2460,[1]StuntDes!$B:$B,[1]StuntDes!$C:$C)),"")</f>
        <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402</v>
      </c>
      <c r="D2461" t="s">
        <v>24</v>
      </c>
      <c r="E2461" s="13" t="s">
        <v>457</v>
      </c>
      <c r="G2461">
        <v>3</v>
      </c>
      <c r="H2461">
        <v>1000</v>
      </c>
      <c r="J2461" cm="1">
        <f t="array" ref="J2461">_xlfn.SWITCH(B2461,1,75,2,61,3,49,4,37,5,25,6,13,7,4,8,1)</f>
        <v>75</v>
      </c>
      <c r="K2461" t="str" cm="1">
        <f t="array" ref="K2461">IFERROR(_xlfn.SWITCH(L2461,2,_xlfn.XLOOKUP(C2461,[1]ModifierDes!$B:$B,[1]ModifierDes!$C:$C),3,_xlfn.XLOOKUP(C2461,[1]StuntDes!$B:$B,[1]StuntDes!$C:$C)),"")</f>
        <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403</v>
      </c>
      <c r="D2462" t="s">
        <v>24</v>
      </c>
      <c r="E2462" s="13" t="s">
        <v>457</v>
      </c>
      <c r="G2462">
        <v>3</v>
      </c>
      <c r="H2462">
        <v>1000</v>
      </c>
      <c r="J2462" cm="1">
        <f t="array" ref="J2462">_xlfn.SWITCH(B2462,1,75,2,61,3,49,4,37,5,25,6,13,7,4,8,1)</f>
        <v>75</v>
      </c>
      <c r="K2462" t="str" cm="1">
        <f t="array" ref="K2462">IFERROR(_xlfn.SWITCH(L2462,2,_xlfn.XLOOKUP(C2462,[1]ModifierDes!$B:$B,[1]ModifierDes!$C:$C),3,_xlfn.XLOOKUP(C2462,[1]StuntDes!$B:$B,[1]StuntDes!$C:$C)),"")</f>
        <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440</v>
      </c>
      <c r="D2463" t="s">
        <v>24</v>
      </c>
      <c r="E2463" s="13" t="s">
        <v>457</v>
      </c>
      <c r="G2463">
        <v>3</v>
      </c>
      <c r="H2463">
        <v>1000</v>
      </c>
      <c r="J2463" cm="1">
        <f t="array" ref="J2463">_xlfn.SWITCH(B2463,1,75,2,61,3,49,4,37,5,25,6,13,7,4,8,1)</f>
        <v>75</v>
      </c>
      <c r="K2463" t="str" cm="1">
        <f t="array" ref="K2463">IFERROR(_xlfn.SWITCH(L2463,2,_xlfn.XLOOKUP(C2463,[1]ModifierDes!$B:$B,[1]ModifierDes!$C:$C),3,_xlfn.XLOOKUP(C2463,[1]StuntDes!$B:$B,[1]StuntDes!$C:$C)),"")</f>
        <v/>
      </c>
      <c r="L2463">
        <f t="shared" si="188"/>
        <v>1</v>
      </c>
      <c r="M2463" s="10" t="str">
        <f>IFERROR(_xlfn.XLOOKUP(C2463,[1]StuntDes!$B:$B,[1]StuntDes!$A:$A),"")</f>
        <v/>
      </c>
      <c r="N2463" s="10" t="str">
        <f>IFERROR(_xlfn.XLOOKUP(C2463,[1]ModifierDes!$B:$B,[1]ModifierDes!$A:$A),"")</f>
        <v/>
      </c>
      <c r="O2463" s="10">
        <f>IFERROR(_xlfn.XLOOKUP(C2463,[1]AttributeName!$C:$C,[1]AttributeName!$B:$B),"")</f>
        <v>10003</v>
      </c>
      <c r="P2463" s="10"/>
      <c r="Q2463">
        <v>8</v>
      </c>
      <c r="R2463">
        <v>10</v>
      </c>
      <c r="S2463" cm="1">
        <f t="array" ref="S2463">IFERROR(_xlfn.SWITCH(L2463,1,_xlfn.XLOOKUP(O2463,[1]AttributeName!$B:$B,[1]AttributeName!$D:$D),2,_xlfn.XLOOKUP(C2463,[1]ModifierDes!$B:$B,[1]ModifierDes!$D:$D),3,_xlfn.XLOOKUP(C2463,[1]StuntDes!$B:$B,[1]StuntDes!$D:$D)),0)</f>
        <v>0</v>
      </c>
      <c r="T2463" cm="1">
        <f t="array" ref="T2463">IFERROR(_xlfn.SWITCH(L2463,1,_xlfn.XLOOKUP(O2463,[1]AttributeName!$B:$B,[1]AttributeName!$E:$E),2,_xlfn.XLOOKUP(C2463,[1]ModifierDes!$B:$B,[1]ModifierDes!$E:$E),3,_xlfn.XLOOKUP(C2463,[1]StuntDes!$B:$B,[1]StuntDes!$E:$E)),0)</f>
        <v>1</v>
      </c>
    </row>
    <row r="2464" customFormat="1" spans="1:20">
      <c r="A2464">
        <v>11204</v>
      </c>
      <c r="B2464">
        <v>1</v>
      </c>
      <c r="C2464" t="s">
        <v>441</v>
      </c>
      <c r="D2464" t="s">
        <v>24</v>
      </c>
      <c r="E2464" s="13" t="s">
        <v>457</v>
      </c>
      <c r="G2464">
        <v>3</v>
      </c>
      <c r="H2464">
        <v>1000</v>
      </c>
      <c r="J2464" cm="1">
        <f t="array" ref="J2464">_xlfn.SWITCH(B2464,1,75,2,61,3,49,4,37,5,25,6,13,7,4,8,1)</f>
        <v>75</v>
      </c>
      <c r="K2464" t="str" cm="1">
        <f t="array" ref="K2464">IFERROR(_xlfn.SWITCH(L2464,2,_xlfn.XLOOKUP(C2464,[1]ModifierDes!$B:$B,[1]ModifierDes!$C:$C),3,_xlfn.XLOOKUP(C2464,[1]StuntDes!$B:$B,[1]StuntDes!$C:$C)),"")</f>
        <v/>
      </c>
      <c r="L2464">
        <f t="shared" si="188"/>
        <v>1</v>
      </c>
      <c r="M2464" s="10" t="str">
        <f>IFERROR(_xlfn.XLOOKUP(C2464,[1]StuntDes!$B:$B,[1]StuntDes!$A:$A),"")</f>
        <v/>
      </c>
      <c r="N2464" s="10" t="str">
        <f>IFERROR(_xlfn.XLOOKUP(C2464,[1]ModifierDes!$B:$B,[1]ModifierDes!$A:$A),"")</f>
        <v/>
      </c>
      <c r="O2464" s="10">
        <f>IFERROR(_xlfn.XLOOKUP(C2464,[1]AttributeName!$C:$C,[1]AttributeName!$B:$B),"")</f>
        <v>10005</v>
      </c>
      <c r="P2464" s="10"/>
      <c r="Q2464">
        <v>8</v>
      </c>
      <c r="R2464">
        <v>10</v>
      </c>
      <c r="S2464" cm="1">
        <f t="array" ref="S2464">IFERROR(_xlfn.SWITCH(L2464,1,_xlfn.XLOOKUP(O2464,[1]AttributeName!$B:$B,[1]AttributeName!$D:$D),2,_xlfn.XLOOKUP(C2464,[1]ModifierDes!$B:$B,[1]ModifierDes!$D:$D),3,_xlfn.XLOOKUP(C2464,[1]StuntDes!$B:$B,[1]StuntDes!$D:$D)),0)</f>
        <v>0</v>
      </c>
      <c r="T2464" cm="1">
        <f t="array" ref="T2464">IFERROR(_xlfn.SWITCH(L2464,1,_xlfn.XLOOKUP(O2464,[1]AttributeName!$B:$B,[1]AttributeName!$E:$E),2,_xlfn.XLOOKUP(C2464,[1]ModifierDes!$B:$B,[1]ModifierDes!$E:$E),3,_xlfn.XLOOKUP(C2464,[1]StuntDes!$B:$B,[1]StuntDes!$E:$E)),0)</f>
        <v>1</v>
      </c>
    </row>
    <row r="2465" customFormat="1" spans="1:20">
      <c r="A2465">
        <v>11205</v>
      </c>
      <c r="B2465">
        <v>1</v>
      </c>
      <c r="C2465" t="s">
        <v>399</v>
      </c>
      <c r="D2465" t="s">
        <v>24</v>
      </c>
      <c r="E2465" s="13" t="s">
        <v>457</v>
      </c>
      <c r="G2465">
        <v>3</v>
      </c>
      <c r="H2465">
        <v>1000</v>
      </c>
      <c r="J2465" cm="1">
        <f t="array" ref="J2465">_xlfn.SWITCH(B2465,1,75,2,61,3,49,4,37,5,25,6,13,7,4,8,1)</f>
        <v>75</v>
      </c>
      <c r="K2465" t="str" cm="1">
        <f t="array" ref="K2465">IFERROR(_xlfn.SWITCH(L2465,2,_xlfn.XLOOKUP(C2465,[1]ModifierDes!$B:$B,[1]ModifierDes!$C:$C),3,_xlfn.XLOOKUP(C2465,[1]StuntDes!$B:$B,[1]StuntDes!$C:$C)),"")</f>
        <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400</v>
      </c>
      <c r="D2466" t="s">
        <v>24</v>
      </c>
      <c r="E2466" s="13" t="s">
        <v>457</v>
      </c>
      <c r="G2466">
        <v>3</v>
      </c>
      <c r="H2466">
        <v>1000</v>
      </c>
      <c r="J2466" cm="1">
        <f t="array" ref="J2466">_xlfn.SWITCH(B2466,1,75,2,61,3,49,4,37,5,25,6,13,7,4,8,1)</f>
        <v>75</v>
      </c>
      <c r="K2466" t="str" cm="1">
        <f t="array" ref="K2466">IFERROR(_xlfn.SWITCH(L2466,2,_xlfn.XLOOKUP(C2466,[1]ModifierDes!$B:$B,[1]ModifierDes!$C:$C),3,_xlfn.XLOOKUP(C2466,[1]StuntDes!$B:$B,[1]StuntDes!$C:$C)),"")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401</v>
      </c>
      <c r="D2467" t="s">
        <v>24</v>
      </c>
      <c r="E2467" s="13" t="s">
        <v>457</v>
      </c>
      <c r="G2467">
        <v>3</v>
      </c>
      <c r="H2467">
        <v>1000</v>
      </c>
      <c r="J2467" cm="1">
        <f t="array" ref="J2467">_xlfn.SWITCH(B2467,1,75,2,61,3,49,4,37,5,25,6,13,7,4,8,1)</f>
        <v>75</v>
      </c>
      <c r="K2467" t="str" cm="1">
        <f t="array" ref="K2467">IFERROR(_xlfn.SWITCH(L2467,2,_xlfn.XLOOKUP(C2467,[1]ModifierDes!$B:$B,[1]ModifierDes!$C:$C),3,_xlfn.XLOOKUP(C2467,[1]StuntDes!$B:$B,[1]StuntDes!$C:$C)),"")</f>
        <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460</v>
      </c>
      <c r="D2468" t="s">
        <v>24</v>
      </c>
      <c r="E2468" s="13" t="s">
        <v>457</v>
      </c>
      <c r="G2468">
        <v>3</v>
      </c>
      <c r="H2468">
        <v>1000</v>
      </c>
      <c r="J2468" cm="1">
        <f t="array" ref="J2468">_xlfn.SWITCH(B2468,1,75,2,61,3,49,4,37,5,25,6,13,7,4,8,1)</f>
        <v>75</v>
      </c>
      <c r="K2468" t="str" cm="1">
        <f t="array" ref="K2468">IFERROR(_xlfn.SWITCH(L2468,2,_xlfn.XLOOKUP(C2468,[1]ModifierDes!$B:$B,[1]ModifierDes!$C:$C),3,_xlfn.XLOOKUP(C2468,[1]StuntDes!$B:$B,[1]StuntDes!$C:$C)),"")</f>
        <v/>
      </c>
      <c r="L2468">
        <f t="shared" si="188"/>
        <v>1</v>
      </c>
      <c r="M2468" s="10" t="str">
        <f>IFERROR(_xlfn.XLOOKUP(C2468,[1]StuntDes!$B:$B,[1]StuntDes!$A:$A),"")</f>
        <v/>
      </c>
      <c r="N2468" s="10" t="str">
        <f>IFERROR(_xlfn.XLOOKUP(C2468,[1]ModifierDes!$B:$B,[1]ModifierDes!$A:$A),"")</f>
        <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0</v>
      </c>
      <c r="T2468" cm="1">
        <f t="array" ref="T2468">IFERROR(_xlfn.SWITCH(L2468,1,_xlfn.XLOOKUP(O2468,[1]AttributeName!$B:$B,[1]AttributeName!$E:$E),2,_xlfn.XLOOKUP(C2468,[1]ModifierDes!$B:$B,[1]ModifierDes!$E:$E),3,_xlfn.XLOOKUP(C2468,[1]StuntDes!$B:$B,[1]StuntDes!$E:$E)),0)</f>
        <v>0</v>
      </c>
    </row>
    <row r="2469" customFormat="1" spans="1:20">
      <c r="A2469">
        <v>11209</v>
      </c>
      <c r="B2469">
        <v>1</v>
      </c>
      <c r="C2469" t="s">
        <v>393</v>
      </c>
      <c r="D2469" t="s">
        <v>24</v>
      </c>
      <c r="E2469" s="13" t="s">
        <v>457</v>
      </c>
      <c r="G2469">
        <v>3</v>
      </c>
      <c r="H2469">
        <v>1000</v>
      </c>
      <c r="J2469" cm="1">
        <f t="array" ref="J2469">_xlfn.SWITCH(B2469,1,75,2,61,3,49,4,37,5,25,6,13,7,4,8,1)</f>
        <v>75</v>
      </c>
      <c r="K2469" t="str" cm="1">
        <f t="array" ref="K2469">IFERROR(_xlfn.SWITCH(L2469,2,_xlfn.XLOOKUP(C2469,[1]ModifierDes!$B:$B,[1]ModifierDes!$C:$C),3,_xlfn.XLOOKUP(C2469,[1]StuntDes!$B:$B,[1]StuntDes!$C:$C)),"")</f>
        <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394</v>
      </c>
      <c r="D2470" t="s">
        <v>24</v>
      </c>
      <c r="E2470" s="13" t="s">
        <v>457</v>
      </c>
      <c r="G2470">
        <v>3</v>
      </c>
      <c r="H2470">
        <v>1000</v>
      </c>
      <c r="J2470" cm="1">
        <f t="array" ref="J2470">_xlfn.SWITCH(B2470,1,75,2,61,3,49,4,37,5,25,6,13,7,4,8,1)</f>
        <v>75</v>
      </c>
      <c r="K2470" t="str" cm="1">
        <f t="array" ref="K2470">IFERROR(_xlfn.SWITCH(L2470,2,_xlfn.XLOOKUP(C2470,[1]ModifierDes!$B:$B,[1]ModifierDes!$C:$C),3,_xlfn.XLOOKUP(C2470,[1]StuntDes!$B:$B,[1]StuntDes!$C:$C)),"")</f>
        <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395</v>
      </c>
      <c r="D2471" t="s">
        <v>24</v>
      </c>
      <c r="E2471" s="13" t="s">
        <v>457</v>
      </c>
      <c r="G2471">
        <v>3</v>
      </c>
      <c r="H2471">
        <v>1000</v>
      </c>
      <c r="J2471" cm="1">
        <f t="array" ref="J2471">_xlfn.SWITCH(B2471,1,75,2,61,3,49,4,37,5,25,6,13,7,4,8,1)</f>
        <v>75</v>
      </c>
      <c r="K2471" t="str" cm="1">
        <f t="array" ref="K2471">IFERROR(_xlfn.SWITCH(L2471,2,_xlfn.XLOOKUP(C2471,[1]ModifierDes!$B:$B,[1]ModifierDes!$C:$C),3,_xlfn.XLOOKUP(C2471,[1]StuntDes!$B:$B,[1]StuntDes!$C:$C)),"")</f>
        <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396</v>
      </c>
      <c r="D2472" t="s">
        <v>24</v>
      </c>
      <c r="E2472" s="13" t="s">
        <v>457</v>
      </c>
      <c r="G2472">
        <v>3</v>
      </c>
      <c r="H2472">
        <v>1000</v>
      </c>
      <c r="J2472" cm="1">
        <f t="array" ref="J2472">_xlfn.SWITCH(B2472,1,75,2,61,3,49,4,37,5,25,6,13,7,4,8,1)</f>
        <v>75</v>
      </c>
      <c r="K2472" t="str" cm="1">
        <f t="array" ref="K2472">IFERROR(_xlfn.SWITCH(L2472,2,_xlfn.XLOOKUP(C2472,[1]ModifierDes!$B:$B,[1]ModifierDes!$C:$C),3,_xlfn.XLOOKUP(C2472,[1]StuntDes!$B:$B,[1]StuntDes!$C:$C)),"")</f>
        <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397</v>
      </c>
      <c r="D2473" t="s">
        <v>24</v>
      </c>
      <c r="E2473" s="13" t="s">
        <v>457</v>
      </c>
      <c r="G2473">
        <v>3</v>
      </c>
      <c r="H2473">
        <v>1000</v>
      </c>
      <c r="J2473" cm="1">
        <f t="array" ref="J2473">_xlfn.SWITCH(B2473,1,75,2,61,3,49,4,37,5,25,6,13,7,4,8,1)</f>
        <v>75</v>
      </c>
      <c r="K2473" t="str" cm="1">
        <f t="array" ref="K2473">IFERROR(_xlfn.SWITCH(L2473,2,_xlfn.XLOOKUP(C2473,[1]ModifierDes!$B:$B,[1]ModifierDes!$C:$C),3,_xlfn.XLOOKUP(C2473,[1]StuntDes!$B:$B,[1]StuntDes!$C:$C)),"")</f>
        <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458</v>
      </c>
      <c r="D2474" t="s">
        <v>24</v>
      </c>
      <c r="E2474" s="13" t="s">
        <v>457</v>
      </c>
      <c r="G2474">
        <v>3</v>
      </c>
      <c r="H2474">
        <v>1000</v>
      </c>
      <c r="J2474" cm="1">
        <f t="array" ref="J2474">_xlfn.SWITCH(B2474,1,75,2,61,3,49,4,37,5,25,6,13,7,4,8,1)</f>
        <v>75</v>
      </c>
      <c r="K2474" t="str" cm="1">
        <f t="array" ref="K2474">IFERROR(_xlfn.SWITCH(L2474,2,_xlfn.XLOOKUP(C2474,[1]ModifierDes!$B:$B,[1]ModifierDes!$C:$C),3,_xlfn.XLOOKUP(C2474,[1]StuntDes!$B:$B,[1]StuntDes!$C:$C)),"")</f>
        <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438</v>
      </c>
      <c r="D2475" t="s">
        <v>24</v>
      </c>
      <c r="E2475" s="13" t="s">
        <v>457</v>
      </c>
      <c r="G2475">
        <v>3</v>
      </c>
      <c r="H2475">
        <v>1000</v>
      </c>
      <c r="J2475" cm="1">
        <f t="array" ref="J2475">_xlfn.SWITCH(B2475,1,75,2,61,3,49,4,37,5,25,6,13,7,4,8,1)</f>
        <v>75</v>
      </c>
      <c r="K2475" t="str" cm="1">
        <f t="array" ref="K2475">IFERROR(_xlfn.SWITCH(L2475,2,_xlfn.XLOOKUP(C2475,[1]ModifierDes!$B:$B,[1]ModifierDes!$C:$C),3,_xlfn.XLOOKUP(C2475,[1]StuntDes!$B:$B,[1]StuntDes!$C:$C)),"")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461</v>
      </c>
      <c r="D2476" t="s">
        <v>24</v>
      </c>
      <c r="E2476" s="13" t="s">
        <v>457</v>
      </c>
      <c r="G2476">
        <v>3</v>
      </c>
      <c r="H2476">
        <v>1000</v>
      </c>
      <c r="J2476" cm="1">
        <f t="array" ref="J2476">_xlfn.SWITCH(B2476,1,75,2,61,3,49,4,37,5,25,6,13,7,4,8,1)</f>
        <v>75</v>
      </c>
      <c r="K2476" t="str" cm="1">
        <f t="array" ref="K2476">IFERROR(_xlfn.SWITCH(L2476,2,_xlfn.XLOOKUP(C2476,[1]ModifierDes!$B:$B,[1]ModifierDes!$C:$C),3,_xlfn.XLOOKUP(C2476,[1]StuntDes!$B:$B,[1]StuntDes!$C:$C)),"")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402</v>
      </c>
      <c r="D2477" t="s">
        <v>28</v>
      </c>
      <c r="E2477" s="13" t="s">
        <v>457</v>
      </c>
      <c r="G2477">
        <v>3</v>
      </c>
      <c r="H2477">
        <v>1000</v>
      </c>
      <c r="J2477" cm="1">
        <f t="array" ref="J2477">_xlfn.SWITCH(B2477,1,75,2,61,3,49,4,37,5,25,6,13,7,4,8,1)</f>
        <v>75</v>
      </c>
      <c r="K2477" t="str" cm="1">
        <f t="array" ref="K2477">IFERROR(_xlfn.SWITCH(L2477,2,_xlfn.XLOOKUP(C2477,[1]ModifierDes!$B:$B,[1]ModifierDes!$C:$C),3,_xlfn.XLOOKUP(C2477,[1]StuntDes!$B:$B,[1]StuntDes!$C:$C)),"")</f>
        <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403</v>
      </c>
      <c r="D2478" t="s">
        <v>28</v>
      </c>
      <c r="E2478" s="13" t="s">
        <v>457</v>
      </c>
      <c r="G2478">
        <v>3</v>
      </c>
      <c r="H2478">
        <v>1000</v>
      </c>
      <c r="J2478" cm="1">
        <f t="array" ref="J2478">_xlfn.SWITCH(B2478,1,75,2,61,3,49,4,37,5,25,6,13,7,4,8,1)</f>
        <v>75</v>
      </c>
      <c r="K2478" t="str" cm="1">
        <f t="array" ref="K2478">IFERROR(_xlfn.SWITCH(L2478,2,_xlfn.XLOOKUP(C2478,[1]ModifierDes!$B:$B,[1]ModifierDes!$C:$C),3,_xlfn.XLOOKUP(C2478,[1]StuntDes!$B:$B,[1]StuntDes!$C:$C)),"")</f>
        <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440</v>
      </c>
      <c r="D2479" t="s">
        <v>28</v>
      </c>
      <c r="E2479" s="13" t="s">
        <v>457</v>
      </c>
      <c r="G2479">
        <v>3</v>
      </c>
      <c r="H2479">
        <v>1000</v>
      </c>
      <c r="J2479" cm="1">
        <f t="array" ref="J2479">_xlfn.SWITCH(B2479,1,75,2,61,3,49,4,37,5,25,6,13,7,4,8,1)</f>
        <v>75</v>
      </c>
      <c r="K2479" t="str" cm="1">
        <f t="array" ref="K2479">IFERROR(_xlfn.SWITCH(L2479,2,_xlfn.XLOOKUP(C2479,[1]ModifierDes!$B:$B,[1]ModifierDes!$C:$C),3,_xlfn.XLOOKUP(C2479,[1]StuntDes!$B:$B,[1]StuntDes!$C:$C)),"")</f>
        <v/>
      </c>
      <c r="L2479">
        <f t="shared" si="188"/>
        <v>1</v>
      </c>
      <c r="M2479" s="10" t="str">
        <f>IFERROR(_xlfn.XLOOKUP(C2479,[1]StuntDes!$B:$B,[1]StuntDes!$A:$A),"")</f>
        <v/>
      </c>
      <c r="N2479" s="10" t="str">
        <f>IFERROR(_xlfn.XLOOKUP(C2479,[1]ModifierDes!$B:$B,[1]ModifierDes!$A:$A),"")</f>
        <v/>
      </c>
      <c r="O2479" s="10">
        <f>IFERROR(_xlfn.XLOOKUP(C2479,[1]AttributeName!$C:$C,[1]AttributeName!$B:$B),"")</f>
        <v>10003</v>
      </c>
      <c r="P2479" s="10"/>
      <c r="Q2479">
        <v>8</v>
      </c>
      <c r="R2479">
        <v>10</v>
      </c>
      <c r="S2479" cm="1">
        <f t="array" ref="S2479">IFERROR(_xlfn.SWITCH(L2479,1,_xlfn.XLOOKUP(O2479,[1]AttributeName!$B:$B,[1]AttributeName!$D:$D),2,_xlfn.XLOOKUP(C2479,[1]ModifierDes!$B:$B,[1]ModifierDes!$D:$D),3,_xlfn.XLOOKUP(C2479,[1]StuntDes!$B:$B,[1]StuntDes!$D:$D)),0)</f>
        <v>0</v>
      </c>
      <c r="T2479" cm="1">
        <f t="array" ref="T2479">IFERROR(_xlfn.SWITCH(L2479,1,_xlfn.XLOOKUP(O2479,[1]AttributeName!$B:$B,[1]AttributeName!$E:$E),2,_xlfn.XLOOKUP(C2479,[1]ModifierDes!$B:$B,[1]ModifierDes!$E:$E),3,_xlfn.XLOOKUP(C2479,[1]StuntDes!$B:$B,[1]StuntDes!$E:$E)),0)</f>
        <v>1</v>
      </c>
    </row>
    <row r="2480" customFormat="1" spans="1:20">
      <c r="A2480">
        <v>11304</v>
      </c>
      <c r="B2480">
        <v>1</v>
      </c>
      <c r="C2480" t="s">
        <v>441</v>
      </c>
      <c r="D2480" t="s">
        <v>28</v>
      </c>
      <c r="E2480" s="13" t="s">
        <v>457</v>
      </c>
      <c r="G2480">
        <v>3</v>
      </c>
      <c r="H2480">
        <v>1000</v>
      </c>
      <c r="J2480" cm="1">
        <f t="array" ref="J2480">_xlfn.SWITCH(B2480,1,75,2,61,3,49,4,37,5,25,6,13,7,4,8,1)</f>
        <v>75</v>
      </c>
      <c r="K2480" t="str" cm="1">
        <f t="array" ref="K2480">IFERROR(_xlfn.SWITCH(L2480,2,_xlfn.XLOOKUP(C2480,[1]ModifierDes!$B:$B,[1]ModifierDes!$C:$C),3,_xlfn.XLOOKUP(C2480,[1]StuntDes!$B:$B,[1]StuntDes!$C:$C)),"")</f>
        <v/>
      </c>
      <c r="L2480">
        <f t="shared" si="188"/>
        <v>1</v>
      </c>
      <c r="M2480" s="10" t="str">
        <f>IFERROR(_xlfn.XLOOKUP(C2480,[1]StuntDes!$B:$B,[1]StuntDes!$A:$A),"")</f>
        <v/>
      </c>
      <c r="N2480" s="10" t="str">
        <f>IFERROR(_xlfn.XLOOKUP(C2480,[1]ModifierDes!$B:$B,[1]ModifierDes!$A:$A),"")</f>
        <v/>
      </c>
      <c r="O2480" s="10">
        <f>IFERROR(_xlfn.XLOOKUP(C2480,[1]AttributeName!$C:$C,[1]AttributeName!$B:$B),"")</f>
        <v>10005</v>
      </c>
      <c r="P2480" s="10"/>
      <c r="Q2480">
        <v>8</v>
      </c>
      <c r="R2480">
        <v>10</v>
      </c>
      <c r="S2480" cm="1">
        <f t="array" ref="S2480">IFERROR(_xlfn.SWITCH(L2480,1,_xlfn.XLOOKUP(O2480,[1]AttributeName!$B:$B,[1]AttributeName!$D:$D),2,_xlfn.XLOOKUP(C2480,[1]ModifierDes!$B:$B,[1]ModifierDes!$D:$D),3,_xlfn.XLOOKUP(C2480,[1]StuntDes!$B:$B,[1]StuntDes!$D:$D)),0)</f>
        <v>0</v>
      </c>
      <c r="T2480" cm="1">
        <f t="array" ref="T2480">IFERROR(_xlfn.SWITCH(L2480,1,_xlfn.XLOOKUP(O2480,[1]AttributeName!$B:$B,[1]AttributeName!$E:$E),2,_xlfn.XLOOKUP(C2480,[1]ModifierDes!$B:$B,[1]ModifierDes!$E:$E),3,_xlfn.XLOOKUP(C2480,[1]StuntDes!$B:$B,[1]StuntDes!$E:$E)),0)</f>
        <v>1</v>
      </c>
    </row>
    <row r="2481" customFormat="1" spans="1:20">
      <c r="A2481">
        <v>11305</v>
      </c>
      <c r="B2481">
        <v>1</v>
      </c>
      <c r="C2481" t="s">
        <v>399</v>
      </c>
      <c r="D2481" t="s">
        <v>28</v>
      </c>
      <c r="E2481" s="13" t="s">
        <v>457</v>
      </c>
      <c r="G2481">
        <v>3</v>
      </c>
      <c r="H2481">
        <v>1000</v>
      </c>
      <c r="J2481" cm="1">
        <f t="array" ref="J2481">_xlfn.SWITCH(B2481,1,75,2,61,3,49,4,37,5,25,6,13,7,4,8,1)</f>
        <v>75</v>
      </c>
      <c r="K2481" t="str" cm="1">
        <f t="array" ref="K2481">IFERROR(_xlfn.SWITCH(L2481,2,_xlfn.XLOOKUP(C2481,[1]ModifierDes!$B:$B,[1]ModifierDes!$C:$C),3,_xlfn.XLOOKUP(C2481,[1]StuntDes!$B:$B,[1]StuntDes!$C:$C)),"")</f>
        <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400</v>
      </c>
      <c r="D2482" t="s">
        <v>28</v>
      </c>
      <c r="E2482" s="13" t="s">
        <v>457</v>
      </c>
      <c r="G2482">
        <v>3</v>
      </c>
      <c r="H2482">
        <v>1000</v>
      </c>
      <c r="J2482" cm="1">
        <f t="array" ref="J2482">_xlfn.SWITCH(B2482,1,75,2,61,3,49,4,37,5,25,6,13,7,4,8,1)</f>
        <v>75</v>
      </c>
      <c r="K2482" t="str" cm="1">
        <f t="array" ref="K2482">IFERROR(_xlfn.SWITCH(L2482,2,_xlfn.XLOOKUP(C2482,[1]ModifierDes!$B:$B,[1]ModifierDes!$C:$C),3,_xlfn.XLOOKUP(C2482,[1]StuntDes!$B:$B,[1]StuntDes!$C:$C)),"")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401</v>
      </c>
      <c r="D2483" t="s">
        <v>28</v>
      </c>
      <c r="E2483" s="13" t="s">
        <v>457</v>
      </c>
      <c r="G2483">
        <v>3</v>
      </c>
      <c r="H2483">
        <v>1000</v>
      </c>
      <c r="J2483" cm="1">
        <f t="array" ref="J2483">_xlfn.SWITCH(B2483,1,75,2,61,3,49,4,37,5,25,6,13,7,4,8,1)</f>
        <v>75</v>
      </c>
      <c r="K2483" t="str" cm="1">
        <f t="array" ref="K2483">IFERROR(_xlfn.SWITCH(L2483,2,_xlfn.XLOOKUP(C2483,[1]ModifierDes!$B:$B,[1]ModifierDes!$C:$C),3,_xlfn.XLOOKUP(C2483,[1]StuntDes!$B:$B,[1]StuntDes!$C:$C)),"")</f>
        <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460</v>
      </c>
      <c r="D2484" t="s">
        <v>28</v>
      </c>
      <c r="E2484" s="13" t="s">
        <v>457</v>
      </c>
      <c r="G2484">
        <v>3</v>
      </c>
      <c r="H2484">
        <v>1000</v>
      </c>
      <c r="J2484" cm="1">
        <f t="array" ref="J2484">_xlfn.SWITCH(B2484,1,75,2,61,3,49,4,37,5,25,6,13,7,4,8,1)</f>
        <v>75</v>
      </c>
      <c r="K2484" t="str" cm="1">
        <f t="array" ref="K2484">IFERROR(_xlfn.SWITCH(L2484,2,_xlfn.XLOOKUP(C2484,[1]ModifierDes!$B:$B,[1]ModifierDes!$C:$C),3,_xlfn.XLOOKUP(C2484,[1]StuntDes!$B:$B,[1]StuntDes!$C:$C)),"")</f>
        <v/>
      </c>
      <c r="L2484">
        <f t="shared" si="188"/>
        <v>1</v>
      </c>
      <c r="M2484" s="10" t="str">
        <f>IFERROR(_xlfn.XLOOKUP(C2484,[1]StuntDes!$B:$B,[1]StuntDes!$A:$A),"")</f>
        <v/>
      </c>
      <c r="N2484" s="10" t="str">
        <f>IFERROR(_xlfn.XLOOKUP(C2484,[1]ModifierDes!$B:$B,[1]ModifierDes!$A:$A),"")</f>
        <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0</v>
      </c>
      <c r="T2484" cm="1">
        <f t="array" ref="T2484">IFERROR(_xlfn.SWITCH(L2484,1,_xlfn.XLOOKUP(O2484,[1]AttributeName!$B:$B,[1]AttributeName!$E:$E),2,_xlfn.XLOOKUP(C2484,[1]ModifierDes!$B:$B,[1]ModifierDes!$E:$E),3,_xlfn.XLOOKUP(C2484,[1]StuntDes!$B:$B,[1]StuntDes!$E:$E)),0)</f>
        <v>0</v>
      </c>
    </row>
    <row r="2485" customFormat="1" spans="1:20">
      <c r="A2485">
        <v>11309</v>
      </c>
      <c r="B2485">
        <v>1</v>
      </c>
      <c r="C2485" t="s">
        <v>393</v>
      </c>
      <c r="D2485" t="s">
        <v>28</v>
      </c>
      <c r="E2485" s="13" t="s">
        <v>457</v>
      </c>
      <c r="G2485">
        <v>3</v>
      </c>
      <c r="H2485">
        <v>1000</v>
      </c>
      <c r="J2485" cm="1">
        <f t="array" ref="J2485">_xlfn.SWITCH(B2485,1,75,2,61,3,49,4,37,5,25,6,13,7,4,8,1)</f>
        <v>75</v>
      </c>
      <c r="K2485" t="str" cm="1">
        <f t="array" ref="K2485">IFERROR(_xlfn.SWITCH(L2485,2,_xlfn.XLOOKUP(C2485,[1]ModifierDes!$B:$B,[1]ModifierDes!$C:$C),3,_xlfn.XLOOKUP(C2485,[1]StuntDes!$B:$B,[1]StuntDes!$C:$C)),"")</f>
        <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394</v>
      </c>
      <c r="D2486" t="s">
        <v>28</v>
      </c>
      <c r="E2486" s="13" t="s">
        <v>457</v>
      </c>
      <c r="G2486">
        <v>3</v>
      </c>
      <c r="H2486">
        <v>1000</v>
      </c>
      <c r="J2486" cm="1">
        <f t="array" ref="J2486">_xlfn.SWITCH(B2486,1,75,2,61,3,49,4,37,5,25,6,13,7,4,8,1)</f>
        <v>75</v>
      </c>
      <c r="K2486" t="str" cm="1">
        <f t="array" ref="K2486">IFERROR(_xlfn.SWITCH(L2486,2,_xlfn.XLOOKUP(C2486,[1]ModifierDes!$B:$B,[1]ModifierDes!$C:$C),3,_xlfn.XLOOKUP(C2486,[1]StuntDes!$B:$B,[1]StuntDes!$C:$C)),"")</f>
        <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395</v>
      </c>
      <c r="D2487" t="s">
        <v>28</v>
      </c>
      <c r="E2487" s="13" t="s">
        <v>457</v>
      </c>
      <c r="G2487">
        <v>3</v>
      </c>
      <c r="H2487">
        <v>1000</v>
      </c>
      <c r="J2487" cm="1">
        <f t="array" ref="J2487">_xlfn.SWITCH(B2487,1,75,2,61,3,49,4,37,5,25,6,13,7,4,8,1)</f>
        <v>75</v>
      </c>
      <c r="K2487" t="str" cm="1">
        <f t="array" ref="K2487">IFERROR(_xlfn.SWITCH(L2487,2,_xlfn.XLOOKUP(C2487,[1]ModifierDes!$B:$B,[1]ModifierDes!$C:$C),3,_xlfn.XLOOKUP(C2487,[1]StuntDes!$B:$B,[1]StuntDes!$C:$C)),"")</f>
        <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396</v>
      </c>
      <c r="D2488" t="s">
        <v>28</v>
      </c>
      <c r="E2488" s="13" t="s">
        <v>457</v>
      </c>
      <c r="G2488">
        <v>3</v>
      </c>
      <c r="H2488">
        <v>1000</v>
      </c>
      <c r="J2488" cm="1">
        <f t="array" ref="J2488">_xlfn.SWITCH(B2488,1,75,2,61,3,49,4,37,5,25,6,13,7,4,8,1)</f>
        <v>75</v>
      </c>
      <c r="K2488" t="str" cm="1">
        <f t="array" ref="K2488">IFERROR(_xlfn.SWITCH(L2488,2,_xlfn.XLOOKUP(C2488,[1]ModifierDes!$B:$B,[1]ModifierDes!$C:$C),3,_xlfn.XLOOKUP(C2488,[1]StuntDes!$B:$B,[1]StuntDes!$C:$C)),"")</f>
        <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397</v>
      </c>
      <c r="D2489" t="s">
        <v>28</v>
      </c>
      <c r="E2489" s="13" t="s">
        <v>457</v>
      </c>
      <c r="G2489">
        <v>3</v>
      </c>
      <c r="H2489">
        <v>1000</v>
      </c>
      <c r="J2489" cm="1">
        <f t="array" ref="J2489">_xlfn.SWITCH(B2489,1,75,2,61,3,49,4,37,5,25,6,13,7,4,8,1)</f>
        <v>75</v>
      </c>
      <c r="K2489" t="str" cm="1">
        <f t="array" ref="K2489">IFERROR(_xlfn.SWITCH(L2489,2,_xlfn.XLOOKUP(C2489,[1]ModifierDes!$B:$B,[1]ModifierDes!$C:$C),3,_xlfn.XLOOKUP(C2489,[1]StuntDes!$B:$B,[1]StuntDes!$C:$C)),"")</f>
        <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458</v>
      </c>
      <c r="D2490" t="s">
        <v>28</v>
      </c>
      <c r="E2490" s="13" t="s">
        <v>457</v>
      </c>
      <c r="G2490">
        <v>3</v>
      </c>
      <c r="H2490">
        <v>1000</v>
      </c>
      <c r="J2490" cm="1">
        <f t="array" ref="J2490">_xlfn.SWITCH(B2490,1,75,2,61,3,49,4,37,5,25,6,13,7,4,8,1)</f>
        <v>75</v>
      </c>
      <c r="K2490" t="str" cm="1">
        <f t="array" ref="K2490">IFERROR(_xlfn.SWITCH(L2490,2,_xlfn.XLOOKUP(C2490,[1]ModifierDes!$B:$B,[1]ModifierDes!$C:$C),3,_xlfn.XLOOKUP(C2490,[1]StuntDes!$B:$B,[1]StuntDes!$C:$C)),"")</f>
        <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438</v>
      </c>
      <c r="D2491" t="s">
        <v>28</v>
      </c>
      <c r="E2491" s="13" t="s">
        <v>457</v>
      </c>
      <c r="G2491">
        <v>3</v>
      </c>
      <c r="H2491">
        <v>1000</v>
      </c>
      <c r="J2491" cm="1">
        <f t="array" ref="J2491">_xlfn.SWITCH(B2491,1,75,2,61,3,49,4,37,5,25,6,13,7,4,8,1)</f>
        <v>75</v>
      </c>
      <c r="K2491" t="str" cm="1">
        <f t="array" ref="K2491">IFERROR(_xlfn.SWITCH(L2491,2,_xlfn.XLOOKUP(C2491,[1]ModifierDes!$B:$B,[1]ModifierDes!$C:$C),3,_xlfn.XLOOKUP(C2491,[1]StuntDes!$B:$B,[1]StuntDes!$C:$C)),"")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461</v>
      </c>
      <c r="D2492" t="s">
        <v>28</v>
      </c>
      <c r="E2492" s="13" t="s">
        <v>457</v>
      </c>
      <c r="G2492">
        <v>3</v>
      </c>
      <c r="H2492">
        <v>1000</v>
      </c>
      <c r="J2492" cm="1">
        <f t="array" ref="J2492">_xlfn.SWITCH(B2492,1,75,2,61,3,49,4,37,5,25,6,13,7,4,8,1)</f>
        <v>75</v>
      </c>
      <c r="K2492" t="str" cm="1">
        <f t="array" ref="K2492">IFERROR(_xlfn.SWITCH(L2492,2,_xlfn.XLOOKUP(C2492,[1]ModifierDes!$B:$B,[1]ModifierDes!$C:$C),3,_xlfn.XLOOKUP(C2492,[1]StuntDes!$B:$B,[1]StuntDes!$C:$C)),"")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393</v>
      </c>
      <c r="D2493" t="s">
        <v>145</v>
      </c>
      <c r="E2493" t="s">
        <v>462</v>
      </c>
      <c r="H2493">
        <v>1000</v>
      </c>
      <c r="J2493">
        <v>1</v>
      </c>
      <c r="K2493" t="str" cm="1">
        <f t="array" ref="K2493">IFERROR(_xlfn.SWITCH(L2493,2,_xlfn.XLOOKUP(C2493,[1]ModifierDes!$B:$B,[1]ModifierDes!$C:$C),3,_xlfn.XLOOKUP(C2493,[1]StuntDes!$B:$B,[1]StuntDes!$C:$C)),"")</f>
        <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413</v>
      </c>
      <c r="D2494" t="s">
        <v>145</v>
      </c>
      <c r="E2494" t="s">
        <v>462</v>
      </c>
      <c r="H2494">
        <v>1000</v>
      </c>
      <c r="J2494">
        <v>1</v>
      </c>
      <c r="K2494" t="str" cm="1">
        <f t="array" ref="K2494">IFERROR(_xlfn.SWITCH(L2494,2,_xlfn.XLOOKUP(C2494,[1]ModifierDes!$B:$B,[1]ModifierDes!$C:$C),3,_xlfn.XLOOKUP(C2494,[1]StuntDes!$B:$B,[1]StuntDes!$C:$C)),"")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406</v>
      </c>
      <c r="D2495" t="s">
        <v>145</v>
      </c>
      <c r="E2495" t="s">
        <v>462</v>
      </c>
      <c r="H2495">
        <v>1000</v>
      </c>
      <c r="J2495">
        <v>1</v>
      </c>
      <c r="K2495" t="str" cm="1">
        <f t="array" ref="K2495">IFERROR(_xlfn.SWITCH(L2495,2,_xlfn.XLOOKUP(C2495,[1]ModifierDes!$B:$B,[1]ModifierDes!$C:$C),3,_xlfn.XLOOKUP(C2495,[1]StuntDes!$B:$B,[1]StuntDes!$C:$C)),"")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411</v>
      </c>
      <c r="D2496" t="s">
        <v>145</v>
      </c>
      <c r="E2496" t="s">
        <v>462</v>
      </c>
      <c r="H2496">
        <v>1000</v>
      </c>
      <c r="J2496">
        <v>1</v>
      </c>
      <c r="K2496" t="str" cm="1">
        <f t="array" ref="K2496">IFERROR(_xlfn.SWITCH(L2496,2,_xlfn.XLOOKUP(C2496,[1]ModifierDes!$B:$B,[1]ModifierDes!$C:$C),3,_xlfn.XLOOKUP(C2496,[1]StuntDes!$B:$B,[1]StuntDes!$C:$C)),"")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463</v>
      </c>
      <c r="D2497" t="s">
        <v>202</v>
      </c>
      <c r="E2497" t="s">
        <v>462</v>
      </c>
      <c r="H2497">
        <v>1000</v>
      </c>
      <c r="J2497">
        <v>1</v>
      </c>
      <c r="K2497" t="str" cm="1">
        <f t="array" ref="K2497">IFERROR(_xlfn.SWITCH(L2497,2,_xlfn.XLOOKUP(C2497,[1]ModifierDes!$B:$B,[1]ModifierDes!$C:$C),3,_xlfn.XLOOKUP(C2497,[1]StuntDes!$B:$B,[1]StuntDes!$C:$C)),"")</f>
        <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406</v>
      </c>
      <c r="D2498" t="s">
        <v>202</v>
      </c>
      <c r="E2498" t="s">
        <v>462</v>
      </c>
      <c r="H2498">
        <v>1000</v>
      </c>
      <c r="J2498">
        <v>1</v>
      </c>
      <c r="K2498" t="str" cm="1">
        <f t="array" ref="K2498">IFERROR(_xlfn.SWITCH(L2498,2,_xlfn.XLOOKUP(C2498,[1]ModifierDes!$B:$B,[1]ModifierDes!$C:$C),3,_xlfn.XLOOKUP(C2498,[1]StuntDes!$B:$B,[1]StuntDes!$C:$C)),"")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447</v>
      </c>
      <c r="D2499" t="s">
        <v>202</v>
      </c>
      <c r="E2499" t="s">
        <v>462</v>
      </c>
      <c r="H2499">
        <v>1000</v>
      </c>
      <c r="J2499">
        <v>1</v>
      </c>
      <c r="K2499" t="str" cm="1">
        <f t="array" ref="K2499">IFERROR(_xlfn.SWITCH(L2499,2,_xlfn.XLOOKUP(C2499,[1]ModifierDes!$B:$B,[1]ModifierDes!$C:$C),3,_xlfn.XLOOKUP(C2499,[1]StuntDes!$B:$B,[1]StuntDes!$C:$C)),"")</f>
        <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464</v>
      </c>
      <c r="D2500" t="s">
        <v>202</v>
      </c>
      <c r="E2500" t="s">
        <v>462</v>
      </c>
      <c r="H2500">
        <v>1000</v>
      </c>
      <c r="J2500">
        <v>1</v>
      </c>
      <c r="K2500" t="str" cm="1">
        <f t="array" ref="K2500">IFERROR(_xlfn.SWITCH(L2500,2,_xlfn.XLOOKUP(C2500,[1]ModifierDes!$B:$B,[1]ModifierDes!$C:$C),3,_xlfn.XLOOKUP(C2500,[1]StuntDes!$B:$B,[1]StuntDes!$C:$C)),"")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430</v>
      </c>
      <c r="D2501" t="s">
        <v>202</v>
      </c>
      <c r="E2501" t="s">
        <v>462</v>
      </c>
      <c r="H2501">
        <v>1000</v>
      </c>
      <c r="J2501">
        <v>1</v>
      </c>
      <c r="K2501" t="str" cm="1">
        <f t="array" ref="K2501">IFERROR(_xlfn.SWITCH(L2501,2,_xlfn.XLOOKUP(C2501,[1]ModifierDes!$B:$B,[1]ModifierDes!$C:$C),3,_xlfn.XLOOKUP(C2501,[1]StuntDes!$B:$B,[1]StuntDes!$C:$C)),"")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402</v>
      </c>
      <c r="D2502" t="s">
        <v>159</v>
      </c>
      <c r="E2502" t="s">
        <v>462</v>
      </c>
      <c r="H2502">
        <v>1000</v>
      </c>
      <c r="J2502">
        <v>1</v>
      </c>
      <c r="K2502" t="str" cm="1">
        <f t="array" ref="K2502">IFERROR(_xlfn.SWITCH(L2502,2,_xlfn.XLOOKUP(C2502,[1]ModifierDes!$B:$B,[1]ModifierDes!$C:$C),3,_xlfn.XLOOKUP(C2502,[1]StuntDes!$B:$B,[1]StuntDes!$C:$C)),"")</f>
        <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447</v>
      </c>
      <c r="D2503" t="s">
        <v>159</v>
      </c>
      <c r="E2503" t="s">
        <v>462</v>
      </c>
      <c r="H2503">
        <v>1000</v>
      </c>
      <c r="J2503">
        <v>1</v>
      </c>
      <c r="K2503" t="str" cm="1">
        <f t="array" ref="K2503">IFERROR(_xlfn.SWITCH(L2503,2,_xlfn.XLOOKUP(C2503,[1]ModifierDes!$B:$B,[1]ModifierDes!$C:$C),3,_xlfn.XLOOKUP(C2503,[1]StuntDes!$B:$B,[1]StuntDes!$C:$C)),"")</f>
        <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465</v>
      </c>
      <c r="D2504" t="s">
        <v>159</v>
      </c>
      <c r="E2504" t="s">
        <v>462</v>
      </c>
      <c r="H2504">
        <v>1000</v>
      </c>
      <c r="J2504">
        <v>1</v>
      </c>
      <c r="K2504" t="str" cm="1">
        <f t="array" ref="K2504">IFERROR(_xlfn.SWITCH(L2504,2,_xlfn.XLOOKUP(C2504,[1]ModifierDes!$B:$B,[1]ModifierDes!$C:$C),3,_xlfn.XLOOKUP(C2504,[1]StuntDes!$B:$B,[1]StuntDes!$C:$C)),"")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466</v>
      </c>
      <c r="D2505" t="s">
        <v>159</v>
      </c>
      <c r="E2505" t="s">
        <v>462</v>
      </c>
      <c r="H2505">
        <v>1000</v>
      </c>
      <c r="J2505">
        <v>1</v>
      </c>
      <c r="K2505" t="str" cm="1">
        <f t="array" ref="K2505">IFERROR(_xlfn.SWITCH(L2505,2,_xlfn.XLOOKUP(C2505,[1]ModifierDes!$B:$B,[1]ModifierDes!$C:$C),3,_xlfn.XLOOKUP(C2505,[1]StuntDes!$B:$B,[1]StuntDes!$C:$C)),"")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467</v>
      </c>
      <c r="D2506" t="s">
        <v>159</v>
      </c>
      <c r="E2506" t="s">
        <v>462</v>
      </c>
      <c r="H2506">
        <v>1000</v>
      </c>
      <c r="J2506">
        <v>1</v>
      </c>
      <c r="K2506" t="str" cm="1">
        <f t="array" ref="K2506">IFERROR(_xlfn.SWITCH(L2506,2,_xlfn.XLOOKUP(C2506,[1]ModifierDes!$B:$B,[1]ModifierDes!$C:$C),3,_xlfn.XLOOKUP(C2506,[1]StuntDes!$B:$B,[1]StuntDes!$C:$C)),"")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402</v>
      </c>
      <c r="D2507" t="s">
        <v>170</v>
      </c>
      <c r="E2507" t="s">
        <v>462</v>
      </c>
      <c r="H2507">
        <v>1000</v>
      </c>
      <c r="J2507">
        <v>1</v>
      </c>
      <c r="K2507" t="str" cm="1">
        <f t="array" ref="K2507">IFERROR(_xlfn.SWITCH(L2507,2,_xlfn.XLOOKUP(C2507,[1]ModifierDes!$B:$B,[1]ModifierDes!$C:$C),3,_xlfn.XLOOKUP(C2507,[1]StuntDes!$B:$B,[1]StuntDes!$C:$C)),"")</f>
        <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100403</v>
      </c>
      <c r="B2508">
        <v>1</v>
      </c>
      <c r="C2508" s="13" t="s">
        <v>442</v>
      </c>
      <c r="D2508" t="s">
        <v>170</v>
      </c>
      <c r="E2508" t="s">
        <v>462</v>
      </c>
      <c r="H2508">
        <v>1000</v>
      </c>
      <c r="J2508">
        <v>1</v>
      </c>
      <c r="K2508" t="str" cm="1">
        <f t="array" ref="K2508">IFERROR(_xlfn.SWITCH(L2508,2,_xlfn.XLOOKUP(C2508,[1]ModifierDes!$B:$B,[1]ModifierDes!$C:$C),3,_xlfn.XLOOKUP(C2508,[1]StuntDes!$B:$B,[1]StuntDes!$C:$C)),"")</f>
        <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100404</v>
      </c>
      <c r="B2509">
        <v>1</v>
      </c>
      <c r="C2509" s="13" t="s">
        <v>436</v>
      </c>
      <c r="D2509" t="s">
        <v>170</v>
      </c>
      <c r="E2509" t="s">
        <v>462</v>
      </c>
      <c r="H2509">
        <v>1000</v>
      </c>
      <c r="J2509">
        <v>1</v>
      </c>
      <c r="K2509" t="str" cm="1">
        <f t="array" ref="K2509">IFERROR(_xlfn.SWITCH(L2509,2,_xlfn.XLOOKUP(C2509,[1]ModifierDes!$B:$B,[1]ModifierDes!$C:$C),3,_xlfn.XLOOKUP(C2509,[1]StuntDes!$B:$B,[1]StuntDes!$C:$C)),"")</f>
        <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396</v>
      </c>
      <c r="D2510" t="s">
        <v>179</v>
      </c>
      <c r="E2510" t="s">
        <v>462</v>
      </c>
      <c r="H2510">
        <v>1000</v>
      </c>
      <c r="J2510">
        <v>1</v>
      </c>
      <c r="K2510" t="str" cm="1">
        <f t="array" ref="K2510">IFERROR(_xlfn.SWITCH(L2510,2,_xlfn.XLOOKUP(C2510,[1]ModifierDes!$B:$B,[1]ModifierDes!$C:$C),3,_xlfn.XLOOKUP(C2510,[1]StuntDes!$B:$B,[1]StuntDes!$C:$C)),"")</f>
        <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413</v>
      </c>
      <c r="D2511" t="s">
        <v>179</v>
      </c>
      <c r="E2511" t="s">
        <v>462</v>
      </c>
      <c r="H2511">
        <v>1000</v>
      </c>
      <c r="J2511">
        <v>1</v>
      </c>
      <c r="K2511" t="str" cm="1">
        <f t="array" ref="K2511">IFERROR(_xlfn.SWITCH(L2511,2,_xlfn.XLOOKUP(C2511,[1]ModifierDes!$B:$B,[1]ModifierDes!$C:$C),3,_xlfn.XLOOKUP(C2511,[1]StuntDes!$B:$B,[1]StuntDes!$C:$C)),"")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416</v>
      </c>
      <c r="D2512" t="s">
        <v>179</v>
      </c>
      <c r="E2512" t="s">
        <v>462</v>
      </c>
      <c r="H2512">
        <v>1000</v>
      </c>
      <c r="J2512">
        <v>1</v>
      </c>
      <c r="K2512" t="str" cm="1">
        <f t="array" ref="K2512">IFERROR(_xlfn.SWITCH(L2512,2,_xlfn.XLOOKUP(C2512,[1]ModifierDes!$B:$B,[1]ModifierDes!$C:$C),3,_xlfn.XLOOKUP(C2512,[1]StuntDes!$B:$B,[1]StuntDes!$C:$C)),"")</f>
        <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468</v>
      </c>
      <c r="D2513" t="s">
        <v>179</v>
      </c>
      <c r="E2513" t="s">
        <v>462</v>
      </c>
      <c r="H2513">
        <v>1000</v>
      </c>
      <c r="J2513">
        <v>1</v>
      </c>
      <c r="K2513" t="str" cm="1">
        <f t="array" ref="K2513">IFERROR(_xlfn.SWITCH(L2513,2,_xlfn.XLOOKUP(C2513,[1]ModifierDes!$B:$B,[1]ModifierDes!$C:$C),3,_xlfn.XLOOKUP(C2513,[1]StuntDes!$B:$B,[1]StuntDes!$C:$C)),"")</f>
        <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393</v>
      </c>
      <c r="D2514" t="s">
        <v>182</v>
      </c>
      <c r="E2514" t="s">
        <v>462</v>
      </c>
      <c r="H2514">
        <v>1000</v>
      </c>
      <c r="J2514">
        <v>1</v>
      </c>
      <c r="K2514" t="str" cm="1">
        <f t="array" ref="K2514">IFERROR(_xlfn.SWITCH(L2514,2,_xlfn.XLOOKUP(C2514,[1]ModifierDes!$B:$B,[1]ModifierDes!$C:$C),3,_xlfn.XLOOKUP(C2514,[1]StuntDes!$B:$B,[1]StuntDes!$C:$C)),"")</f>
        <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399</v>
      </c>
      <c r="D2515" t="s">
        <v>182</v>
      </c>
      <c r="E2515" t="s">
        <v>462</v>
      </c>
      <c r="H2515">
        <v>1000</v>
      </c>
      <c r="J2515">
        <v>1</v>
      </c>
      <c r="K2515" t="str" cm="1">
        <f t="array" ref="K2515">IFERROR(_xlfn.SWITCH(L2515,2,_xlfn.XLOOKUP(C2515,[1]ModifierDes!$B:$B,[1]ModifierDes!$C:$C),3,_xlfn.XLOOKUP(C2515,[1]StuntDes!$B:$B,[1]StuntDes!$C:$C)),"")</f>
        <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469</v>
      </c>
      <c r="D2516" t="s">
        <v>182</v>
      </c>
      <c r="E2516" t="s">
        <v>462</v>
      </c>
      <c r="H2516">
        <v>1000</v>
      </c>
      <c r="J2516">
        <v>1</v>
      </c>
      <c r="K2516" t="str" cm="1">
        <f t="array" ref="K2516">IFERROR(_xlfn.SWITCH(L2516,2,_xlfn.XLOOKUP(C2516,[1]ModifierDes!$B:$B,[1]ModifierDes!$C:$C),3,_xlfn.XLOOKUP(C2516,[1]StuntDes!$B:$B,[1]StuntDes!$C:$C)),"")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470</v>
      </c>
      <c r="D2517" t="s">
        <v>182</v>
      </c>
      <c r="E2517" t="s">
        <v>462</v>
      </c>
      <c r="H2517">
        <v>1000</v>
      </c>
      <c r="J2517">
        <v>1</v>
      </c>
      <c r="K2517" t="str" cm="1">
        <f t="array" ref="K2517">IFERROR(_xlfn.SWITCH(L2517,2,_xlfn.XLOOKUP(C2517,[1]ModifierDes!$B:$B,[1]ModifierDes!$C:$C),3,_xlfn.XLOOKUP(C2517,[1]StuntDes!$B:$B,[1]StuntDes!$C:$C)),"")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471</v>
      </c>
      <c r="D2518" t="s">
        <v>182</v>
      </c>
      <c r="E2518" t="s">
        <v>462</v>
      </c>
      <c r="H2518">
        <v>1000</v>
      </c>
      <c r="J2518">
        <v>1</v>
      </c>
      <c r="K2518" t="str" cm="1">
        <f t="array" ref="K2518">IFERROR(_xlfn.SWITCH(L2518,2,_xlfn.XLOOKUP(C2518,[1]ModifierDes!$B:$B,[1]ModifierDes!$C:$C),3,_xlfn.XLOOKUP(C2518,[1]StuntDes!$B:$B,[1]StuntDes!$C:$C)),"")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425</v>
      </c>
      <c r="D2519" t="s">
        <v>154</v>
      </c>
      <c r="E2519" t="s">
        <v>462</v>
      </c>
      <c r="H2519">
        <v>1000</v>
      </c>
      <c r="J2519">
        <v>1</v>
      </c>
      <c r="K2519" t="str" cm="1">
        <f t="array" ref="K2519">IFERROR(_xlfn.SWITCH(L2519,2,_xlfn.XLOOKUP(C2519,[1]ModifierDes!$B:$B,[1]ModifierDes!$C:$C),3,_xlfn.XLOOKUP(C2519,[1]StuntDes!$B:$B,[1]StuntDes!$C:$C)),"")</f>
        <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445</v>
      </c>
      <c r="D2520" t="s">
        <v>154</v>
      </c>
      <c r="E2520" t="s">
        <v>462</v>
      </c>
      <c r="H2520">
        <v>1000</v>
      </c>
      <c r="J2520">
        <v>1</v>
      </c>
      <c r="K2520" t="str" cm="1">
        <f t="array" ref="K2520">IFERROR(_xlfn.SWITCH(L2520,2,_xlfn.XLOOKUP(C2520,[1]ModifierDes!$B:$B,[1]ModifierDes!$C:$C),3,_xlfn.XLOOKUP(C2520,[1]StuntDes!$B:$B,[1]StuntDes!$C:$C)),"")</f>
        <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415</v>
      </c>
      <c r="D2521" t="s">
        <v>154</v>
      </c>
      <c r="E2521" t="s">
        <v>462</v>
      </c>
      <c r="H2521">
        <v>1000</v>
      </c>
      <c r="J2521">
        <v>1</v>
      </c>
      <c r="K2521" t="str" cm="1">
        <f t="array" ref="K2521">IFERROR(_xlfn.SWITCH(L2521,2,_xlfn.XLOOKUP(C2521,[1]ModifierDes!$B:$B,[1]ModifierDes!$C:$C),3,_xlfn.XLOOKUP(C2521,[1]StuntDes!$B:$B,[1]StuntDes!$C:$C)),"")</f>
        <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469</v>
      </c>
      <c r="D2522" t="s">
        <v>154</v>
      </c>
      <c r="E2522" t="s">
        <v>462</v>
      </c>
      <c r="H2522">
        <v>1000</v>
      </c>
      <c r="J2522">
        <v>1</v>
      </c>
      <c r="K2522" t="str" cm="1">
        <f t="array" ref="K2522">IFERROR(_xlfn.SWITCH(L2522,2,_xlfn.XLOOKUP(C2522,[1]ModifierDes!$B:$B,[1]ModifierDes!$C:$C),3,_xlfn.XLOOKUP(C2522,[1]StuntDes!$B:$B,[1]StuntDes!$C:$C)),"")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434</v>
      </c>
      <c r="D2523" t="s">
        <v>154</v>
      </c>
      <c r="E2523" t="s">
        <v>462</v>
      </c>
      <c r="H2523">
        <v>1000</v>
      </c>
      <c r="J2523">
        <v>1</v>
      </c>
      <c r="K2523" t="str" cm="1">
        <f t="array" ref="K2523">IFERROR(_xlfn.SWITCH(L2523,2,_xlfn.XLOOKUP(C2523,[1]ModifierDes!$B:$B,[1]ModifierDes!$C:$C),3,_xlfn.XLOOKUP(C2523,[1]StuntDes!$B:$B,[1]StuntDes!$C:$C)),"")</f>
        <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423</v>
      </c>
      <c r="D2524" t="s">
        <v>185</v>
      </c>
      <c r="E2524" t="s">
        <v>462</v>
      </c>
      <c r="H2524">
        <v>1000</v>
      </c>
      <c r="J2524">
        <v>1</v>
      </c>
      <c r="K2524" t="str" cm="1">
        <f t="array" ref="K2524">IFERROR(_xlfn.SWITCH(L2524,2,_xlfn.XLOOKUP(C2524,[1]ModifierDes!$B:$B,[1]ModifierDes!$C:$C),3,_xlfn.XLOOKUP(C2524,[1]StuntDes!$B:$B,[1]StuntDes!$C:$C)),"")</f>
        <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395</v>
      </c>
      <c r="D2525" t="s">
        <v>185</v>
      </c>
      <c r="E2525" t="s">
        <v>462</v>
      </c>
      <c r="H2525">
        <v>1000</v>
      </c>
      <c r="J2525">
        <v>1</v>
      </c>
      <c r="K2525" t="str" cm="1">
        <f t="array" ref="K2525">IFERROR(_xlfn.SWITCH(L2525,2,_xlfn.XLOOKUP(C2525,[1]ModifierDes!$B:$B,[1]ModifierDes!$C:$C),3,_xlfn.XLOOKUP(C2525,[1]StuntDes!$B:$B,[1]StuntDes!$C:$C)),"")</f>
        <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412</v>
      </c>
      <c r="D2526" t="s">
        <v>185</v>
      </c>
      <c r="E2526" t="s">
        <v>462</v>
      </c>
      <c r="H2526">
        <v>1000</v>
      </c>
      <c r="J2526">
        <v>1</v>
      </c>
      <c r="K2526" t="str" cm="1">
        <f t="array" ref="K2526">IFERROR(_xlfn.SWITCH(L2526,2,_xlfn.XLOOKUP(C2526,[1]ModifierDes!$B:$B,[1]ModifierDes!$C:$C),3,_xlfn.XLOOKUP(C2526,[1]StuntDes!$B:$B,[1]StuntDes!$C:$C)),"")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472</v>
      </c>
      <c r="D2527" t="s">
        <v>185</v>
      </c>
      <c r="E2527" t="s">
        <v>462</v>
      </c>
      <c r="H2527">
        <v>1000</v>
      </c>
      <c r="J2527">
        <v>1</v>
      </c>
      <c r="K2527" t="str" cm="1">
        <f t="array" ref="K2527">IFERROR(_xlfn.SWITCH(L2527,2,_xlfn.XLOOKUP(C2527,[1]ModifierDes!$B:$B,[1]ModifierDes!$C:$C),3,_xlfn.XLOOKUP(C2527,[1]StuntDes!$B:$B,[1]StuntDes!$C:$C)),"")</f>
        <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402</v>
      </c>
      <c r="D2528" t="s">
        <v>211</v>
      </c>
      <c r="E2528" t="s">
        <v>462</v>
      </c>
      <c r="H2528">
        <v>1000</v>
      </c>
      <c r="J2528">
        <v>1</v>
      </c>
      <c r="K2528" t="str" cm="1">
        <f t="array" ref="K2528">IFERROR(_xlfn.SWITCH(L2528,2,_xlfn.XLOOKUP(C2528,[1]ModifierDes!$B:$B,[1]ModifierDes!$C:$C),3,_xlfn.XLOOKUP(C2528,[1]StuntDes!$B:$B,[1]StuntDes!$C:$C)),"")</f>
        <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473</v>
      </c>
      <c r="D2529" t="s">
        <v>211</v>
      </c>
      <c r="E2529" t="s">
        <v>462</v>
      </c>
      <c r="H2529">
        <v>1000</v>
      </c>
      <c r="J2529">
        <v>1</v>
      </c>
      <c r="K2529" t="str" cm="1">
        <f t="array" ref="K2529">IFERROR(_xlfn.SWITCH(L2529,2,_xlfn.XLOOKUP(C2529,[1]ModifierDes!$B:$B,[1]ModifierDes!$C:$C),3,_xlfn.XLOOKUP(C2529,[1]StuntDes!$B:$B,[1]StuntDes!$C:$C)),"")</f>
        <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411</v>
      </c>
      <c r="D2530" t="s">
        <v>211</v>
      </c>
      <c r="E2530" t="s">
        <v>462</v>
      </c>
      <c r="H2530">
        <v>1000</v>
      </c>
      <c r="J2530">
        <v>1</v>
      </c>
      <c r="K2530" t="str" cm="1">
        <f t="array" ref="K2530">IFERROR(_xlfn.SWITCH(L2530,2,_xlfn.XLOOKUP(C2530,[1]ModifierDes!$B:$B,[1]ModifierDes!$C:$C),3,_xlfn.XLOOKUP(C2530,[1]StuntDes!$B:$B,[1]StuntDes!$C:$C)),"")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445</v>
      </c>
      <c r="D2531" t="s">
        <v>211</v>
      </c>
      <c r="E2531" t="s">
        <v>462</v>
      </c>
      <c r="H2531">
        <v>1000</v>
      </c>
      <c r="J2531">
        <v>1</v>
      </c>
      <c r="K2531" t="str" cm="1">
        <f t="array" ref="K2531">IFERROR(_xlfn.SWITCH(L2531,2,_xlfn.XLOOKUP(C2531,[1]ModifierDes!$B:$B,[1]ModifierDes!$C:$C),3,_xlfn.XLOOKUP(C2531,[1]StuntDes!$B:$B,[1]StuntDes!$C:$C)),"")</f>
        <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395</v>
      </c>
      <c r="D2532" t="s">
        <v>148</v>
      </c>
      <c r="E2532" t="s">
        <v>462</v>
      </c>
      <c r="H2532">
        <v>1000</v>
      </c>
      <c r="J2532">
        <v>1</v>
      </c>
      <c r="K2532" t="str" cm="1">
        <f t="array" ref="K2532">IFERROR(_xlfn.SWITCH(L2532,2,_xlfn.XLOOKUP(C2532,[1]ModifierDes!$B:$B,[1]ModifierDes!$C:$C),3,_xlfn.XLOOKUP(C2532,[1]StuntDes!$B:$B,[1]StuntDes!$C:$C)),"")</f>
        <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445</v>
      </c>
      <c r="D2533" t="s">
        <v>148</v>
      </c>
      <c r="E2533" t="s">
        <v>462</v>
      </c>
      <c r="H2533">
        <v>1000</v>
      </c>
      <c r="J2533">
        <v>1</v>
      </c>
      <c r="K2533" t="str" cm="1">
        <f t="array" ref="K2533">IFERROR(_xlfn.SWITCH(L2533,2,_xlfn.XLOOKUP(C2533,[1]ModifierDes!$B:$B,[1]ModifierDes!$C:$C),3,_xlfn.XLOOKUP(C2533,[1]StuntDes!$B:$B,[1]StuntDes!$C:$C)),"")</f>
        <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469</v>
      </c>
      <c r="D2534" t="s">
        <v>148</v>
      </c>
      <c r="E2534" t="s">
        <v>462</v>
      </c>
      <c r="H2534">
        <v>1000</v>
      </c>
      <c r="J2534">
        <v>1</v>
      </c>
      <c r="K2534" t="str" cm="1">
        <f t="array" ref="K2534">IFERROR(_xlfn.SWITCH(L2534,2,_xlfn.XLOOKUP(C2534,[1]ModifierDes!$B:$B,[1]ModifierDes!$C:$C),3,_xlfn.XLOOKUP(C2534,[1]StuntDes!$B:$B,[1]StuntDes!$C:$C)),"")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408</v>
      </c>
      <c r="D2535" t="s">
        <v>148</v>
      </c>
      <c r="E2535" t="s">
        <v>462</v>
      </c>
      <c r="H2535">
        <v>1000</v>
      </c>
      <c r="J2535">
        <v>1</v>
      </c>
      <c r="K2535" t="str" cm="1">
        <f t="array" ref="K2535">IFERROR(_xlfn.SWITCH(L2535,2,_xlfn.XLOOKUP(C2535,[1]ModifierDes!$B:$B,[1]ModifierDes!$C:$C),3,_xlfn.XLOOKUP(C2535,[1]StuntDes!$B:$B,[1]StuntDes!$C:$C)),"")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403</v>
      </c>
      <c r="D2536" t="s">
        <v>157</v>
      </c>
      <c r="E2536" t="s">
        <v>462</v>
      </c>
      <c r="H2536">
        <v>1000</v>
      </c>
      <c r="J2536">
        <v>1</v>
      </c>
      <c r="K2536" t="str" cm="1">
        <f t="array" ref="K2536">IFERROR(_xlfn.SWITCH(L2536,2,_xlfn.XLOOKUP(C2536,[1]ModifierDes!$B:$B,[1]ModifierDes!$C:$C),3,_xlfn.XLOOKUP(C2536,[1]StuntDes!$B:$B,[1]StuntDes!$C:$C)),"")</f>
        <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474</v>
      </c>
      <c r="D2537" t="s">
        <v>157</v>
      </c>
      <c r="E2537" t="s">
        <v>462</v>
      </c>
      <c r="H2537">
        <v>1000</v>
      </c>
      <c r="J2537">
        <v>1</v>
      </c>
      <c r="K2537" t="str" cm="1">
        <f t="array" ref="K2537">IFERROR(_xlfn.SWITCH(L2537,2,_xlfn.XLOOKUP(C2537,[1]ModifierDes!$B:$B,[1]ModifierDes!$C:$C),3,_xlfn.XLOOKUP(C2537,[1]StuntDes!$B:$B,[1]StuntDes!$C:$C)),"")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433</v>
      </c>
      <c r="D2538" t="s">
        <v>157</v>
      </c>
      <c r="E2538" t="s">
        <v>462</v>
      </c>
      <c r="H2538">
        <v>1000</v>
      </c>
      <c r="J2538">
        <v>1</v>
      </c>
      <c r="K2538" t="str" cm="1">
        <f t="array" ref="K2538">IFERROR(_xlfn.SWITCH(L2538,2,_xlfn.XLOOKUP(C2538,[1]ModifierDes!$B:$B,[1]ModifierDes!$C:$C),3,_xlfn.XLOOKUP(C2538,[1]StuntDes!$B:$B,[1]StuntDes!$C:$C)),"")</f>
        <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423</v>
      </c>
      <c r="D2539" t="s">
        <v>188</v>
      </c>
      <c r="E2539" t="s">
        <v>462</v>
      </c>
      <c r="H2539">
        <v>1000</v>
      </c>
      <c r="J2539">
        <v>1</v>
      </c>
      <c r="K2539" t="str" cm="1">
        <f t="array" ref="K2539">IFERROR(_xlfn.SWITCH(L2539,2,_xlfn.XLOOKUP(C2539,[1]ModifierDes!$B:$B,[1]ModifierDes!$C:$C),3,_xlfn.XLOOKUP(C2539,[1]StuntDes!$B:$B,[1]StuntDes!$C:$C)),"")</f>
        <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413</v>
      </c>
      <c r="D2540" t="s">
        <v>188</v>
      </c>
      <c r="E2540" t="s">
        <v>462</v>
      </c>
      <c r="H2540">
        <v>1000</v>
      </c>
      <c r="J2540">
        <v>1</v>
      </c>
      <c r="K2540" t="str" cm="1">
        <f t="array" ref="K2540">IFERROR(_xlfn.SWITCH(L2540,2,_xlfn.XLOOKUP(C2540,[1]ModifierDes!$B:$B,[1]ModifierDes!$C:$C),3,_xlfn.XLOOKUP(C2540,[1]StuntDes!$B:$B,[1]StuntDes!$C:$C)),"")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475</v>
      </c>
      <c r="D2541" t="s">
        <v>188</v>
      </c>
      <c r="E2541" t="s">
        <v>462</v>
      </c>
      <c r="H2541">
        <v>1000</v>
      </c>
      <c r="J2541">
        <v>1</v>
      </c>
      <c r="K2541" t="str" cm="1">
        <f t="array" ref="K2541">IFERROR(_xlfn.SWITCH(L2541,2,_xlfn.XLOOKUP(C2541,[1]ModifierDes!$B:$B,[1]ModifierDes!$C:$C),3,_xlfn.XLOOKUP(C2541,[1]StuntDes!$B:$B,[1]StuntDes!$C:$C)),"")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476</v>
      </c>
      <c r="D2542" t="s">
        <v>188</v>
      </c>
      <c r="E2542" t="s">
        <v>462</v>
      </c>
      <c r="H2542">
        <v>1000</v>
      </c>
      <c r="J2542">
        <v>1</v>
      </c>
      <c r="K2542" t="str" cm="1">
        <f t="array" ref="K2542">IFERROR(_xlfn.SWITCH(L2542,2,_xlfn.XLOOKUP(C2542,[1]ModifierDes!$B:$B,[1]ModifierDes!$C:$C),3,_xlfn.XLOOKUP(C2542,[1]StuntDes!$B:$B,[1]StuntDes!$C:$C)),"")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477</v>
      </c>
      <c r="D2543" t="s">
        <v>162</v>
      </c>
      <c r="E2543" t="s">
        <v>462</v>
      </c>
      <c r="H2543">
        <v>1000</v>
      </c>
      <c r="J2543">
        <v>1</v>
      </c>
      <c r="K2543" t="str" cm="1">
        <f t="array" ref="K2543">IFERROR(_xlfn.SWITCH(L2543,2,_xlfn.XLOOKUP(C2543,[1]ModifierDes!$B:$B,[1]ModifierDes!$C:$C),3,_xlfn.XLOOKUP(C2543,[1]StuntDes!$B:$B,[1]StuntDes!$C:$C)),"")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478</v>
      </c>
      <c r="D2544" t="s">
        <v>162</v>
      </c>
      <c r="E2544" t="s">
        <v>462</v>
      </c>
      <c r="H2544">
        <v>1000</v>
      </c>
      <c r="J2544">
        <v>1</v>
      </c>
      <c r="K2544" t="str" cm="1">
        <f t="array" ref="K2544">IFERROR(_xlfn.SWITCH(L2544,2,_xlfn.XLOOKUP(C2544,[1]ModifierDes!$B:$B,[1]ModifierDes!$C:$C),3,_xlfn.XLOOKUP(C2544,[1]StuntDes!$B:$B,[1]StuntDes!$C:$C)),"")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436</v>
      </c>
      <c r="D2545" t="s">
        <v>162</v>
      </c>
      <c r="E2545" t="s">
        <v>462</v>
      </c>
      <c r="H2545">
        <v>1000</v>
      </c>
      <c r="J2545">
        <v>1</v>
      </c>
      <c r="K2545" t="str" cm="1">
        <f t="array" ref="K2545">IFERROR(_xlfn.SWITCH(L2545,2,_xlfn.XLOOKUP(C2545,[1]ModifierDes!$B:$B,[1]ModifierDes!$C:$C),3,_xlfn.XLOOKUP(C2545,[1]StuntDes!$B:$B,[1]StuntDes!$C:$C)),"")</f>
        <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402</v>
      </c>
      <c r="D2546" t="s">
        <v>162</v>
      </c>
      <c r="E2546" t="s">
        <v>462</v>
      </c>
      <c r="H2546">
        <v>1000</v>
      </c>
      <c r="J2546">
        <v>1</v>
      </c>
      <c r="K2546" t="str" cm="1">
        <f t="array" ref="K2546">IFERROR(_xlfn.SWITCH(L2546,2,_xlfn.XLOOKUP(C2546,[1]ModifierDes!$B:$B,[1]ModifierDes!$C:$C),3,_xlfn.XLOOKUP(C2546,[1]StuntDes!$B:$B,[1]StuntDes!$C:$C)),"")</f>
        <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479</v>
      </c>
      <c r="D2547" t="s">
        <v>191</v>
      </c>
      <c r="E2547" t="s">
        <v>462</v>
      </c>
      <c r="H2547">
        <v>1000</v>
      </c>
      <c r="J2547">
        <v>1</v>
      </c>
      <c r="K2547" t="str" cm="1">
        <f t="array" ref="K2547">IFERROR(_xlfn.SWITCH(L2547,2,_xlfn.XLOOKUP(C2547,[1]ModifierDes!$B:$B,[1]ModifierDes!$C:$C),3,_xlfn.XLOOKUP(C2547,[1]StuntDes!$B:$B,[1]StuntDes!$C:$C)),"")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423</v>
      </c>
      <c r="D2548" t="s">
        <v>191</v>
      </c>
      <c r="E2548" t="s">
        <v>462</v>
      </c>
      <c r="H2548">
        <v>1000</v>
      </c>
      <c r="J2548">
        <v>1</v>
      </c>
      <c r="K2548" t="str" cm="1">
        <f t="array" ref="K2548">IFERROR(_xlfn.SWITCH(L2548,2,_xlfn.XLOOKUP(C2548,[1]ModifierDes!$B:$B,[1]ModifierDes!$C:$C),3,_xlfn.XLOOKUP(C2548,[1]StuntDes!$B:$B,[1]StuntDes!$C:$C)),"")</f>
        <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439</v>
      </c>
      <c r="D2549" t="s">
        <v>191</v>
      </c>
      <c r="E2549" t="s">
        <v>462</v>
      </c>
      <c r="H2549">
        <v>1000</v>
      </c>
      <c r="J2549">
        <v>1</v>
      </c>
      <c r="K2549" t="str" cm="1">
        <f t="array" ref="K2549">IFERROR(_xlfn.SWITCH(L2549,2,_xlfn.XLOOKUP(C2549,[1]ModifierDes!$B:$B,[1]ModifierDes!$C:$C),3,_xlfn.XLOOKUP(C2549,[1]StuntDes!$B:$B,[1]StuntDes!$C:$C)),"")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415</v>
      </c>
      <c r="D2550" t="s">
        <v>191</v>
      </c>
      <c r="E2550" t="s">
        <v>462</v>
      </c>
      <c r="H2550">
        <v>1000</v>
      </c>
      <c r="J2550">
        <v>1</v>
      </c>
      <c r="K2550" t="str" cm="1">
        <f t="array" ref="K2550">IFERROR(_xlfn.SWITCH(L2550,2,_xlfn.XLOOKUP(C2550,[1]ModifierDes!$B:$B,[1]ModifierDes!$C:$C),3,_xlfn.XLOOKUP(C2550,[1]StuntDes!$B:$B,[1]StuntDes!$C:$C)),"")</f>
        <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480</v>
      </c>
      <c r="D2551" t="s">
        <v>194</v>
      </c>
      <c r="E2551" t="s">
        <v>462</v>
      </c>
      <c r="H2551">
        <v>1000</v>
      </c>
      <c r="J2551">
        <v>1</v>
      </c>
      <c r="K2551" t="str" cm="1">
        <f t="array" ref="K2551">IFERROR(_xlfn.SWITCH(L2551,2,_xlfn.XLOOKUP(C2551,[1]ModifierDes!$B:$B,[1]ModifierDes!$C:$C),3,_xlfn.XLOOKUP(C2551,[1]StuntDes!$B:$B,[1]StuntDes!$C:$C)),"")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402</v>
      </c>
      <c r="D2552" t="s">
        <v>194</v>
      </c>
      <c r="E2552" t="s">
        <v>462</v>
      </c>
      <c r="H2552">
        <v>1000</v>
      </c>
      <c r="J2552">
        <v>1</v>
      </c>
      <c r="K2552" t="str" cm="1">
        <f t="array" ref="K2552">IFERROR(_xlfn.SWITCH(L2552,2,_xlfn.XLOOKUP(C2552,[1]ModifierDes!$B:$B,[1]ModifierDes!$C:$C),3,_xlfn.XLOOKUP(C2552,[1]StuntDes!$B:$B,[1]StuntDes!$C:$C)),"")</f>
        <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439</v>
      </c>
      <c r="D2553" t="s">
        <v>194</v>
      </c>
      <c r="E2553" t="s">
        <v>462</v>
      </c>
      <c r="H2553">
        <v>1000</v>
      </c>
      <c r="J2553">
        <v>1</v>
      </c>
      <c r="K2553" t="str" cm="1">
        <f t="array" ref="K2553">IFERROR(_xlfn.SWITCH(L2553,2,_xlfn.XLOOKUP(C2553,[1]ModifierDes!$B:$B,[1]ModifierDes!$C:$C),3,_xlfn.XLOOKUP(C2553,[1]StuntDes!$B:$B,[1]StuntDes!$C:$C)),"")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481</v>
      </c>
      <c r="D2554" t="s">
        <v>194</v>
      </c>
      <c r="E2554" t="s">
        <v>462</v>
      </c>
      <c r="H2554">
        <v>1000</v>
      </c>
      <c r="J2554">
        <v>1</v>
      </c>
      <c r="K2554" t="str" cm="1">
        <f t="array" ref="K2554">IFERROR(_xlfn.SWITCH(L2554,2,_xlfn.XLOOKUP(C2554,[1]ModifierDes!$B:$B,[1]ModifierDes!$C:$C),3,_xlfn.XLOOKUP(C2554,[1]StuntDes!$B:$B,[1]StuntDes!$C:$C)),"")</f>
        <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482</v>
      </c>
      <c r="D2555" t="s">
        <v>205</v>
      </c>
      <c r="E2555" t="s">
        <v>462</v>
      </c>
      <c r="H2555">
        <v>1000</v>
      </c>
      <c r="J2555">
        <v>1</v>
      </c>
      <c r="K2555" t="str" cm="1">
        <f t="array" ref="K2555">IFERROR(_xlfn.SWITCH(L2555,2,_xlfn.XLOOKUP(C2555,[1]ModifierDes!$B:$B,[1]ModifierDes!$C:$C),3,_xlfn.XLOOKUP(C2555,[1]StuntDes!$B:$B,[1]StuntDes!$C:$C)),"")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483</v>
      </c>
      <c r="D2556" t="s">
        <v>205</v>
      </c>
      <c r="E2556" t="s">
        <v>462</v>
      </c>
      <c r="H2556">
        <v>1000</v>
      </c>
      <c r="J2556">
        <v>1</v>
      </c>
      <c r="K2556" t="str" cm="1">
        <f t="array" ref="K2556">IFERROR(_xlfn.SWITCH(L2556,2,_xlfn.XLOOKUP(C2556,[1]ModifierDes!$B:$B,[1]ModifierDes!$C:$C),3,_xlfn.XLOOKUP(C2556,[1]StuntDes!$B:$B,[1]StuntDes!$C:$C)),"")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425</v>
      </c>
      <c r="D2557" t="s">
        <v>205</v>
      </c>
      <c r="E2557" t="s">
        <v>462</v>
      </c>
      <c r="H2557">
        <v>1000</v>
      </c>
      <c r="J2557">
        <v>1</v>
      </c>
      <c r="K2557" t="str" cm="1">
        <f t="array" ref="K2557">IFERROR(_xlfn.SWITCH(L2557,2,_xlfn.XLOOKUP(C2557,[1]ModifierDes!$B:$B,[1]ModifierDes!$C:$C),3,_xlfn.XLOOKUP(C2557,[1]StuntDes!$B:$B,[1]StuntDes!$C:$C)),"")</f>
        <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484</v>
      </c>
      <c r="D2558" t="s">
        <v>205</v>
      </c>
      <c r="E2558" t="s">
        <v>462</v>
      </c>
      <c r="H2558">
        <v>1000</v>
      </c>
      <c r="J2558">
        <v>1</v>
      </c>
      <c r="K2558" t="str" cm="1">
        <f t="array" ref="K2558">IFERROR(_xlfn.SWITCH(L2558,2,_xlfn.XLOOKUP(C2558,[1]ModifierDes!$B:$B,[1]ModifierDes!$C:$C),3,_xlfn.XLOOKUP(C2558,[1]StuntDes!$B:$B,[1]StuntDes!$C:$C)),"")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396</v>
      </c>
      <c r="D2559" t="s">
        <v>142</v>
      </c>
      <c r="E2559" t="s">
        <v>462</v>
      </c>
      <c r="H2559">
        <v>1000</v>
      </c>
      <c r="J2559">
        <v>1</v>
      </c>
      <c r="K2559" t="str" cm="1">
        <f t="array" ref="K2559">IFERROR(_xlfn.SWITCH(L2559,2,_xlfn.XLOOKUP(C2559,[1]ModifierDes!$B:$B,[1]ModifierDes!$C:$C),3,_xlfn.XLOOKUP(C2559,[1]StuntDes!$B:$B,[1]StuntDes!$C:$C)),"")</f>
        <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438</v>
      </c>
      <c r="D2560" t="s">
        <v>142</v>
      </c>
      <c r="E2560" t="s">
        <v>462</v>
      </c>
      <c r="H2560">
        <v>1000</v>
      </c>
      <c r="J2560">
        <v>1</v>
      </c>
      <c r="K2560" t="str" cm="1">
        <f t="array" ref="K2560">IFERROR(_xlfn.SWITCH(L2560,2,_xlfn.XLOOKUP(C2560,[1]ModifierDes!$B:$B,[1]ModifierDes!$C:$C),3,_xlfn.XLOOKUP(C2560,[1]StuntDes!$B:$B,[1]StuntDes!$C:$C)),"")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431</v>
      </c>
      <c r="D2561" t="s">
        <v>142</v>
      </c>
      <c r="E2561" t="s">
        <v>462</v>
      </c>
      <c r="H2561">
        <v>1000</v>
      </c>
      <c r="J2561">
        <v>1</v>
      </c>
      <c r="K2561" t="str" cm="1">
        <f t="array" ref="K2561">IFERROR(_xlfn.SWITCH(L2561,2,_xlfn.XLOOKUP(C2561,[1]ModifierDes!$B:$B,[1]ModifierDes!$C:$C),3,_xlfn.XLOOKUP(C2561,[1]StuntDes!$B:$B,[1]StuntDes!$C:$C)),"")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485</v>
      </c>
      <c r="D2562" t="s">
        <v>142</v>
      </c>
      <c r="E2562" t="s">
        <v>462</v>
      </c>
      <c r="H2562">
        <v>1000</v>
      </c>
      <c r="J2562">
        <v>1</v>
      </c>
      <c r="K2562" t="str" cm="1">
        <f t="array" ref="K2562">IFERROR(_xlfn.SWITCH(L2562,2,_xlfn.XLOOKUP(C2562,[1]ModifierDes!$B:$B,[1]ModifierDes!$C:$C),3,_xlfn.XLOOKUP(C2562,[1]StuntDes!$B:$B,[1]StuntDes!$C:$C)),"")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2</v>
      </c>
      <c r="T2562" cm="1">
        <f t="array" ref="T2562">IFERROR(_xlfn.SWITCH(L2562,1,_xlfn.XLOOKUP(O2562,[1]AttributeName!$B:$B,[1]AttributeName!$E:$E),2,_xlfn.XLOOKUP(C2562,[1]ModifierDes!$B:$B,[1]ModifierDes!$E:$E),3,_xlfn.XLOOKUP(C2562,[1]StuntDes!$B:$B,[1]StuntDes!$E:$E)),0)</f>
        <v>2</v>
      </c>
    </row>
    <row r="2563" customFormat="1" spans="1:20">
      <c r="A2563">
        <v>101705</v>
      </c>
      <c r="B2563">
        <v>1</v>
      </c>
      <c r="C2563" t="s">
        <v>486</v>
      </c>
      <c r="D2563" t="s">
        <v>142</v>
      </c>
      <c r="E2563" t="s">
        <v>462</v>
      </c>
      <c r="H2563">
        <v>1000</v>
      </c>
      <c r="J2563">
        <v>1</v>
      </c>
      <c r="K2563" t="str" cm="1">
        <f t="array" ref="K2563">IFERROR(_xlfn.SWITCH(L2563,2,_xlfn.XLOOKUP(C2563,[1]ModifierDes!$B:$B,[1]ModifierDes!$C:$C),3,_xlfn.XLOOKUP(C2563,[1]StuntDes!$B:$B,[1]StuntDes!$C:$C)),"")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403</v>
      </c>
      <c r="D2564" t="s">
        <v>165</v>
      </c>
      <c r="E2564" t="s">
        <v>462</v>
      </c>
      <c r="H2564">
        <v>1000</v>
      </c>
      <c r="J2564">
        <v>1</v>
      </c>
      <c r="K2564" t="str" cm="1">
        <f t="array" ref="K2564">IFERROR(_xlfn.SWITCH(L2564,2,_xlfn.XLOOKUP(C2564,[1]ModifierDes!$B:$B,[1]ModifierDes!$C:$C),3,_xlfn.XLOOKUP(C2564,[1]StuntDes!$B:$B,[1]StuntDes!$C:$C)),"")</f>
        <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439</v>
      </c>
      <c r="D2565" t="s">
        <v>165</v>
      </c>
      <c r="E2565" t="s">
        <v>462</v>
      </c>
      <c r="H2565">
        <v>1000</v>
      </c>
      <c r="J2565">
        <v>1</v>
      </c>
      <c r="K2565" t="str" cm="1">
        <f t="array" ref="K2565">IFERROR(_xlfn.SWITCH(L2565,2,_xlfn.XLOOKUP(C2565,[1]ModifierDes!$B:$B,[1]ModifierDes!$C:$C),3,_xlfn.XLOOKUP(C2565,[1]StuntDes!$B:$B,[1]StuntDes!$C:$C)),"")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487</v>
      </c>
      <c r="D2566" t="s">
        <v>165</v>
      </c>
      <c r="E2566" t="s">
        <v>462</v>
      </c>
      <c r="H2566">
        <v>1000</v>
      </c>
      <c r="J2566">
        <v>1</v>
      </c>
      <c r="K2566" t="str" cm="1">
        <f t="array" ref="K2566">IFERROR(_xlfn.SWITCH(L2566,2,_xlfn.XLOOKUP(C2566,[1]ModifierDes!$B:$B,[1]ModifierDes!$C:$C),3,_xlfn.XLOOKUP(C2566,[1]StuntDes!$B:$B,[1]StuntDes!$C:$C)),"")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488</v>
      </c>
      <c r="D2567" t="s">
        <v>165</v>
      </c>
      <c r="E2567" t="s">
        <v>462</v>
      </c>
      <c r="H2567">
        <v>1000</v>
      </c>
      <c r="J2567">
        <v>1</v>
      </c>
      <c r="K2567" t="str" cm="1">
        <f t="array" ref="K2567">IFERROR(_xlfn.SWITCH(L2567,2,_xlfn.XLOOKUP(C2567,[1]ModifierDes!$B:$B,[1]ModifierDes!$C:$C),3,_xlfn.XLOOKUP(C2567,[1]StuntDes!$B:$B,[1]StuntDes!$C:$C)),"")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489</v>
      </c>
      <c r="D2568" t="s">
        <v>165</v>
      </c>
      <c r="E2568" t="s">
        <v>462</v>
      </c>
      <c r="H2568">
        <v>1000</v>
      </c>
      <c r="J2568">
        <v>1</v>
      </c>
      <c r="K2568" t="str" cm="1">
        <f t="array" ref="K2568">IFERROR(_xlfn.SWITCH(L2568,2,_xlfn.XLOOKUP(C2568,[1]ModifierDes!$B:$B,[1]ModifierDes!$C:$C),3,_xlfn.XLOOKUP(C2568,[1]StuntDes!$B:$B,[1]StuntDes!$C:$C)),"")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442</v>
      </c>
      <c r="D2569" t="s">
        <v>173</v>
      </c>
      <c r="E2569" t="s">
        <v>462</v>
      </c>
      <c r="H2569">
        <v>1000</v>
      </c>
      <c r="J2569">
        <v>1</v>
      </c>
      <c r="K2569" t="str" cm="1">
        <f t="array" ref="K2569">IFERROR(_xlfn.SWITCH(L2569,2,_xlfn.XLOOKUP(C2569,[1]ModifierDes!$B:$B,[1]ModifierDes!$C:$C),3,_xlfn.XLOOKUP(C2569,[1]StuntDes!$B:$B,[1]StuntDes!$C:$C)),"")</f>
        <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444</v>
      </c>
      <c r="D2570" t="s">
        <v>173</v>
      </c>
      <c r="E2570" t="s">
        <v>462</v>
      </c>
      <c r="H2570">
        <v>1000</v>
      </c>
      <c r="J2570">
        <v>1</v>
      </c>
      <c r="K2570" t="str" cm="1">
        <f t="array" ref="K2570">IFERROR(_xlfn.SWITCH(L2570,2,_xlfn.XLOOKUP(C2570,[1]ModifierDes!$B:$B,[1]ModifierDes!$C:$C),3,_xlfn.XLOOKUP(C2570,[1]StuntDes!$B:$B,[1]StuntDes!$C:$C)),"")</f>
        <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433</v>
      </c>
      <c r="D2571" t="s">
        <v>173</v>
      </c>
      <c r="E2571" t="s">
        <v>462</v>
      </c>
      <c r="H2571">
        <v>1000</v>
      </c>
      <c r="J2571">
        <v>1</v>
      </c>
      <c r="K2571" t="str" cm="1">
        <f t="array" ref="K2571">IFERROR(_xlfn.SWITCH(L2571,2,_xlfn.XLOOKUP(C2571,[1]ModifierDes!$B:$B,[1]ModifierDes!$C:$C),3,_xlfn.XLOOKUP(C2571,[1]StuntDes!$B:$B,[1]StuntDes!$C:$C)),"")</f>
        <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490</v>
      </c>
      <c r="D2572" t="s">
        <v>173</v>
      </c>
      <c r="E2572" t="s">
        <v>462</v>
      </c>
      <c r="H2572">
        <v>1000</v>
      </c>
      <c r="J2572">
        <v>1</v>
      </c>
      <c r="K2572" t="str" cm="1">
        <f t="array" ref="K2572">IFERROR(_xlfn.SWITCH(L2572,2,_xlfn.XLOOKUP(C2572,[1]ModifierDes!$B:$B,[1]ModifierDes!$C:$C),3,_xlfn.XLOOKUP(C2572,[1]StuntDes!$B:$B,[1]StuntDes!$C:$C)),"")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442</v>
      </c>
      <c r="D2573" t="s">
        <v>176</v>
      </c>
      <c r="E2573" t="s">
        <v>462</v>
      </c>
      <c r="H2573">
        <v>1000</v>
      </c>
      <c r="J2573">
        <v>1</v>
      </c>
      <c r="K2573" t="str" cm="1">
        <f t="array" ref="K2573">IFERROR(_xlfn.SWITCH(L2573,2,_xlfn.XLOOKUP(C2573,[1]ModifierDes!$B:$B,[1]ModifierDes!$C:$C),3,_xlfn.XLOOKUP(C2573,[1]StuntDes!$B:$B,[1]StuntDes!$C:$C)),"")</f>
        <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463</v>
      </c>
      <c r="D2574" t="s">
        <v>176</v>
      </c>
      <c r="E2574" t="s">
        <v>462</v>
      </c>
      <c r="H2574">
        <v>1000</v>
      </c>
      <c r="J2574">
        <v>1</v>
      </c>
      <c r="K2574" t="str" cm="1">
        <f t="array" ref="K2574">IFERROR(_xlfn.SWITCH(L2574,2,_xlfn.XLOOKUP(C2574,[1]ModifierDes!$B:$B,[1]ModifierDes!$C:$C),3,_xlfn.XLOOKUP(C2574,[1]StuntDes!$B:$B,[1]StuntDes!$C:$C)),"")</f>
        <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434</v>
      </c>
      <c r="D2575" t="s">
        <v>176</v>
      </c>
      <c r="E2575" t="s">
        <v>462</v>
      </c>
      <c r="H2575">
        <v>1000</v>
      </c>
      <c r="J2575">
        <v>1</v>
      </c>
      <c r="K2575" t="str" cm="1">
        <f t="array" ref="K2575">IFERROR(_xlfn.SWITCH(L2575,2,_xlfn.XLOOKUP(C2575,[1]ModifierDes!$B:$B,[1]ModifierDes!$C:$C),3,_xlfn.XLOOKUP(C2575,[1]StuntDes!$B:$B,[1]StuntDes!$C:$C)),"")</f>
        <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491</v>
      </c>
      <c r="D2576" t="s">
        <v>176</v>
      </c>
      <c r="E2576" t="s">
        <v>462</v>
      </c>
      <c r="H2576">
        <v>1000</v>
      </c>
      <c r="J2576">
        <v>1</v>
      </c>
      <c r="K2576" t="str" cm="1">
        <f t="array" ref="K2576">IFERROR(_xlfn.SWITCH(L2576,2,_xlfn.XLOOKUP(C2576,[1]ModifierDes!$B:$B,[1]ModifierDes!$C:$C),3,_xlfn.XLOOKUP(C2576,[1]StuntDes!$B:$B,[1]StuntDes!$C:$C)),"")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396</v>
      </c>
      <c r="D2577" t="s">
        <v>208</v>
      </c>
      <c r="E2577" t="s">
        <v>462</v>
      </c>
      <c r="H2577">
        <v>1000</v>
      </c>
      <c r="J2577">
        <v>1</v>
      </c>
      <c r="K2577" t="str" cm="1">
        <f t="array" ref="K2577">IFERROR(_xlfn.SWITCH(L2577,2,_xlfn.XLOOKUP(C2577,[1]ModifierDes!$B:$B,[1]ModifierDes!$C:$C),3,_xlfn.XLOOKUP(C2577,[1]StuntDes!$B:$B,[1]StuntDes!$C:$C)),"")</f>
        <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409</v>
      </c>
      <c r="D2578" t="s">
        <v>208</v>
      </c>
      <c r="E2578" t="s">
        <v>462</v>
      </c>
      <c r="H2578">
        <v>1000</v>
      </c>
      <c r="J2578">
        <v>1</v>
      </c>
      <c r="K2578" t="str" cm="1">
        <f t="array" ref="K2578">IFERROR(_xlfn.SWITCH(L2578,2,_xlfn.XLOOKUP(C2578,[1]ModifierDes!$B:$B,[1]ModifierDes!$C:$C),3,_xlfn.XLOOKUP(C2578,[1]StuntDes!$B:$B,[1]StuntDes!$C:$C)),"")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435</v>
      </c>
      <c r="D2579" t="s">
        <v>208</v>
      </c>
      <c r="E2579" t="s">
        <v>462</v>
      </c>
      <c r="H2579">
        <v>1000</v>
      </c>
      <c r="J2579">
        <v>1</v>
      </c>
      <c r="K2579" t="str" cm="1">
        <f t="array" ref="K2579">IFERROR(_xlfn.SWITCH(L2579,2,_xlfn.XLOOKUP(C2579,[1]ModifierDes!$B:$B,[1]ModifierDes!$C:$C),3,_xlfn.XLOOKUP(C2579,[1]StuntDes!$B:$B,[1]StuntDes!$C:$C)),"")</f>
        <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492</v>
      </c>
      <c r="D2580" t="s">
        <v>208</v>
      </c>
      <c r="E2580" t="s">
        <v>462</v>
      </c>
      <c r="H2580">
        <v>1000</v>
      </c>
      <c r="J2580">
        <v>1</v>
      </c>
      <c r="K2580" t="str" cm="1">
        <f t="array" ref="K2580">IFERROR(_xlfn.SWITCH(L2580,2,_xlfn.XLOOKUP(C2580,[1]ModifierDes!$B:$B,[1]ModifierDes!$C:$C),3,_xlfn.XLOOKUP(C2580,[1]StuntDes!$B:$B,[1]StuntDes!$C:$C)),"")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402</v>
      </c>
      <c r="D2581" t="s">
        <v>214</v>
      </c>
      <c r="E2581" t="s">
        <v>462</v>
      </c>
      <c r="H2581">
        <v>1000</v>
      </c>
      <c r="J2581">
        <v>1</v>
      </c>
      <c r="K2581" t="str" cm="1">
        <f t="array" ref="K2581">IFERROR(_xlfn.SWITCH(L2581,2,_xlfn.XLOOKUP(C2581,[1]ModifierDes!$B:$B,[1]ModifierDes!$C:$C),3,_xlfn.XLOOKUP(C2581,[1]StuntDes!$B:$B,[1]StuntDes!$C:$C)),"")</f>
        <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443</v>
      </c>
      <c r="D2582" t="s">
        <v>214</v>
      </c>
      <c r="E2582" t="s">
        <v>462</v>
      </c>
      <c r="H2582">
        <v>1000</v>
      </c>
      <c r="J2582">
        <v>1</v>
      </c>
      <c r="K2582" t="str" cm="1">
        <f t="array" ref="K2582">IFERROR(_xlfn.SWITCH(L2582,2,_xlfn.XLOOKUP(C2582,[1]ModifierDes!$B:$B,[1]ModifierDes!$C:$C),3,_xlfn.XLOOKUP(C2582,[1]StuntDes!$B:$B,[1]StuntDes!$C:$C)),"")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493</v>
      </c>
      <c r="D2583" t="s">
        <v>214</v>
      </c>
      <c r="E2583" t="s">
        <v>462</v>
      </c>
      <c r="H2583">
        <v>1000</v>
      </c>
      <c r="J2583">
        <v>1</v>
      </c>
      <c r="K2583" t="str" cm="1">
        <f t="array" ref="K2583">IFERROR(_xlfn.SWITCH(L2583,2,_xlfn.XLOOKUP(C2583,[1]ModifierDes!$B:$B,[1]ModifierDes!$C:$C),3,_xlfn.XLOOKUP(C2583,[1]StuntDes!$B:$B,[1]StuntDes!$C:$C)),"")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451</v>
      </c>
      <c r="D2584" t="s">
        <v>214</v>
      </c>
      <c r="E2584" t="s">
        <v>462</v>
      </c>
      <c r="H2584">
        <v>1000</v>
      </c>
      <c r="J2584">
        <v>1</v>
      </c>
      <c r="K2584" t="str" cm="1">
        <f t="array" ref="K2584">IFERROR(_xlfn.SWITCH(L2584,2,_xlfn.XLOOKUP(C2584,[1]ModifierDes!$B:$B,[1]ModifierDes!$C:$C),3,_xlfn.XLOOKUP(C2584,[1]StuntDes!$B:$B,[1]StuntDes!$C:$C)),"")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395</v>
      </c>
      <c r="D2585" t="s">
        <v>217</v>
      </c>
      <c r="E2585" t="s">
        <v>462</v>
      </c>
      <c r="H2585">
        <v>1000</v>
      </c>
      <c r="J2585">
        <v>1</v>
      </c>
      <c r="K2585" t="str" cm="1">
        <f t="array" ref="K2585">IFERROR(_xlfn.SWITCH(L2585,2,_xlfn.XLOOKUP(C2585,[1]ModifierDes!$B:$B,[1]ModifierDes!$C:$C),3,_xlfn.XLOOKUP(C2585,[1]StuntDes!$B:$B,[1]StuntDes!$C:$C)),"")</f>
        <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445</v>
      </c>
      <c r="D2586" t="s">
        <v>217</v>
      </c>
      <c r="E2586" t="s">
        <v>462</v>
      </c>
      <c r="H2586">
        <v>1000</v>
      </c>
      <c r="J2586">
        <v>1</v>
      </c>
      <c r="K2586" t="str" cm="1">
        <f t="array" ref="K2586">IFERROR(_xlfn.SWITCH(L2586,2,_xlfn.XLOOKUP(C2586,[1]ModifierDes!$B:$B,[1]ModifierDes!$C:$C),3,_xlfn.XLOOKUP(C2586,[1]StuntDes!$B:$B,[1]StuntDes!$C:$C)),"")</f>
        <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469</v>
      </c>
      <c r="D2587" t="s">
        <v>217</v>
      </c>
      <c r="E2587" t="s">
        <v>462</v>
      </c>
      <c r="H2587">
        <v>1000</v>
      </c>
      <c r="J2587">
        <v>1</v>
      </c>
      <c r="K2587" t="str" cm="1">
        <f t="array" ref="K2587">IFERROR(_xlfn.SWITCH(L2587,2,_xlfn.XLOOKUP(C2587,[1]ModifierDes!$B:$B,[1]ModifierDes!$C:$C),3,_xlfn.XLOOKUP(C2587,[1]StuntDes!$B:$B,[1]StuntDes!$C:$C)),"")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475</v>
      </c>
      <c r="D2588" t="s">
        <v>217</v>
      </c>
      <c r="E2588" t="s">
        <v>462</v>
      </c>
      <c r="H2588">
        <v>1000</v>
      </c>
      <c r="J2588">
        <v>1</v>
      </c>
      <c r="K2588" t="str" cm="1">
        <f t="array" ref="K2588">IFERROR(_xlfn.SWITCH(L2588,2,_xlfn.XLOOKUP(C2588,[1]ModifierDes!$B:$B,[1]ModifierDes!$C:$C),3,_xlfn.XLOOKUP(C2588,[1]StuntDes!$B:$B,[1]StuntDes!$C:$C)),"")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413</v>
      </c>
      <c r="D2589" t="s">
        <v>197</v>
      </c>
      <c r="E2589" t="s">
        <v>462</v>
      </c>
      <c r="H2589">
        <v>1000</v>
      </c>
      <c r="J2589">
        <v>1</v>
      </c>
      <c r="K2589" t="str" cm="1">
        <f t="array" ref="K2589">IFERROR(_xlfn.SWITCH(L2589,2,_xlfn.XLOOKUP(C2589,[1]ModifierDes!$B:$B,[1]ModifierDes!$C:$C),3,_xlfn.XLOOKUP(C2589,[1]StuntDes!$B:$B,[1]StuntDes!$C:$C)),"")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0.5</v>
      </c>
      <c r="R2589">
        <v>0.8</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443</v>
      </c>
      <c r="D2590" t="s">
        <v>197</v>
      </c>
      <c r="E2590" t="s">
        <v>462</v>
      </c>
      <c r="H2590">
        <v>1000</v>
      </c>
      <c r="J2590">
        <v>1</v>
      </c>
      <c r="K2590" t="str" cm="1">
        <f t="array" ref="K2590">IFERROR(_xlfn.SWITCH(L2590,2,_xlfn.XLOOKUP(C2590,[1]ModifierDes!$B:$B,[1]ModifierDes!$C:$C),3,_xlfn.XLOOKUP(C2590,[1]StuntDes!$B:$B,[1]StuntDes!$C:$C)),"")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0.5</v>
      </c>
      <c r="R2590">
        <v>0.8</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494</v>
      </c>
      <c r="D2591" t="s">
        <v>197</v>
      </c>
      <c r="E2591" t="s">
        <v>462</v>
      </c>
      <c r="H2591">
        <v>1000</v>
      </c>
      <c r="J2591">
        <v>1</v>
      </c>
      <c r="K2591" t="str" cm="1">
        <f t="array" ref="K2591">IFERROR(_xlfn.SWITCH(L2591,2,_xlfn.XLOOKUP(C2591,[1]ModifierDes!$B:$B,[1]ModifierDes!$C:$C),3,_xlfn.XLOOKUP(C2591,[1]StuntDes!$B:$B,[1]StuntDes!$C:$C)),"")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3.2</v>
      </c>
      <c r="R2591">
        <v>4.8</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117</v>
      </c>
      <c r="D2592" t="s">
        <v>197</v>
      </c>
      <c r="E2592" t="s">
        <v>462</v>
      </c>
      <c r="H2592">
        <v>1000</v>
      </c>
      <c r="J2592">
        <v>1</v>
      </c>
      <c r="K2592" t="str" cm="1">
        <f t="array" ref="K2592">IFERROR(_xlfn.SWITCH(L2592,2,_xlfn.XLOOKUP(C2592,[1]ModifierDes!$B:$B,[1]ModifierDes!$C:$C),3,_xlfn.XLOOKUP(C2592,[1]StuntDes!$B:$B,[1]StuntDes!$C:$C)),"")</f>
        <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1.6</v>
      </c>
      <c r="R2592">
        <v>2.4</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393</v>
      </c>
      <c r="D2593" t="s">
        <v>197</v>
      </c>
      <c r="E2593" t="s">
        <v>462</v>
      </c>
      <c r="H2593">
        <v>1000</v>
      </c>
      <c r="J2593">
        <v>1</v>
      </c>
      <c r="K2593" t="str" cm="1">
        <f t="array" ref="K2593">IFERROR(_xlfn.SWITCH(L2593,2,_xlfn.XLOOKUP(C2593,[1]ModifierDes!$B:$B,[1]ModifierDes!$C:$C),3,_xlfn.XLOOKUP(C2593,[1]StuntDes!$B:$B,[1]StuntDes!$C:$C)),"")</f>
        <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0.8</v>
      </c>
      <c r="R2593">
        <v>1.2</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394</v>
      </c>
      <c r="D2594" t="s">
        <v>197</v>
      </c>
      <c r="E2594" t="s">
        <v>462</v>
      </c>
      <c r="H2594">
        <v>1000</v>
      </c>
      <c r="J2594">
        <v>1</v>
      </c>
      <c r="K2594" t="str" cm="1">
        <f t="array" ref="K2594">IFERROR(_xlfn.SWITCH(L2594,2,_xlfn.XLOOKUP(C2594,[1]ModifierDes!$B:$B,[1]ModifierDes!$C:$C),3,_xlfn.XLOOKUP(C2594,[1]StuntDes!$B:$B,[1]StuntDes!$C:$C)),"")</f>
        <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0.8</v>
      </c>
      <c r="R2594">
        <v>1.2</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395</v>
      </c>
      <c r="D2595" t="s">
        <v>197</v>
      </c>
      <c r="E2595" t="s">
        <v>462</v>
      </c>
      <c r="H2595">
        <v>1000</v>
      </c>
      <c r="J2595">
        <v>1</v>
      </c>
      <c r="K2595" t="str" cm="1">
        <f t="array" ref="K2595">IFERROR(_xlfn.SWITCH(L2595,2,_xlfn.XLOOKUP(C2595,[1]ModifierDes!$B:$B,[1]ModifierDes!$C:$C),3,_xlfn.XLOOKUP(C2595,[1]StuntDes!$B:$B,[1]StuntDes!$C:$C)),"")</f>
        <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0.8</v>
      </c>
      <c r="R2595">
        <v>1.2</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396</v>
      </c>
      <c r="D2596" t="s">
        <v>197</v>
      </c>
      <c r="E2596" t="s">
        <v>462</v>
      </c>
      <c r="H2596">
        <v>1000</v>
      </c>
      <c r="J2596">
        <v>1</v>
      </c>
      <c r="K2596" t="str" cm="1">
        <f t="array" ref="K2596">IFERROR(_xlfn.SWITCH(L2596,2,_xlfn.XLOOKUP(C2596,[1]ModifierDes!$B:$B,[1]ModifierDes!$C:$C),3,_xlfn.XLOOKUP(C2596,[1]StuntDes!$B:$B,[1]StuntDes!$C:$C)),"")</f>
        <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0.8</v>
      </c>
      <c r="R2596">
        <v>1.2</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397</v>
      </c>
      <c r="D2597" t="s">
        <v>197</v>
      </c>
      <c r="E2597" t="s">
        <v>462</v>
      </c>
      <c r="H2597">
        <v>1000</v>
      </c>
      <c r="J2597">
        <v>1</v>
      </c>
      <c r="K2597" t="str" cm="1">
        <f t="array" ref="K2597">IFERROR(_xlfn.SWITCH(L2597,2,_xlfn.XLOOKUP(C2597,[1]ModifierDes!$B:$B,[1]ModifierDes!$C:$C),3,_xlfn.XLOOKUP(C2597,[1]StuntDes!$B:$B,[1]StuntDes!$C:$C)),"")</f>
        <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0.8</v>
      </c>
      <c r="R2597">
        <v>1.2</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493</v>
      </c>
      <c r="D2598" t="s">
        <v>197</v>
      </c>
      <c r="E2598" t="s">
        <v>462</v>
      </c>
      <c r="H2598">
        <v>1000</v>
      </c>
      <c r="J2598">
        <v>1</v>
      </c>
      <c r="K2598" t="str" cm="1">
        <f t="array" ref="K2598">IFERROR(_xlfn.SWITCH(L2598,2,_xlfn.XLOOKUP(C2598,[1]ModifierDes!$B:$B,[1]ModifierDes!$C:$C),3,_xlfn.XLOOKUP(C2598,[1]StuntDes!$B:$B,[1]StuntDes!$C:$C)),"")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1.6</v>
      </c>
      <c r="R2598">
        <v>2.4</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448</v>
      </c>
      <c r="D2599" t="s">
        <v>197</v>
      </c>
      <c r="E2599" t="s">
        <v>462</v>
      </c>
      <c r="H2599">
        <v>1000</v>
      </c>
      <c r="J2599">
        <v>1</v>
      </c>
      <c r="K2599" t="str" cm="1">
        <f t="array" ref="K2599">IFERROR(_xlfn.SWITCH(L2599,2,_xlfn.XLOOKUP(C2599,[1]ModifierDes!$B:$B,[1]ModifierDes!$C:$C),3,_xlfn.XLOOKUP(C2599,[1]StuntDes!$B:$B,[1]StuntDes!$C:$C)),"")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1.6</v>
      </c>
      <c r="R2599">
        <v>2.4</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449</v>
      </c>
      <c r="D2600" t="s">
        <v>197</v>
      </c>
      <c r="E2600" t="s">
        <v>462</v>
      </c>
      <c r="H2600">
        <v>1000</v>
      </c>
      <c r="J2600">
        <v>1</v>
      </c>
      <c r="K2600" t="str" cm="1">
        <f t="array" ref="K2600">IFERROR(_xlfn.SWITCH(L2600,2,_xlfn.XLOOKUP(C2600,[1]ModifierDes!$B:$B,[1]ModifierDes!$C:$C),3,_xlfn.XLOOKUP(C2600,[1]StuntDes!$B:$B,[1]StuntDes!$C:$C)),"")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1.6</v>
      </c>
      <c r="R2600">
        <v>2.4</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442</v>
      </c>
      <c r="D2601" t="s">
        <v>197</v>
      </c>
      <c r="E2601" t="s">
        <v>462</v>
      </c>
      <c r="H2601">
        <v>1000</v>
      </c>
      <c r="J2601">
        <v>1</v>
      </c>
      <c r="K2601" t="str" cm="1">
        <f t="array" ref="K2601">IFERROR(_xlfn.SWITCH(L2601,2,_xlfn.XLOOKUP(C2601,[1]ModifierDes!$B:$B,[1]ModifierDes!$C:$C),3,_xlfn.XLOOKUP(C2601,[1]StuntDes!$B:$B,[1]StuntDes!$C:$C)),"")</f>
        <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432</v>
      </c>
      <c r="D2602" t="s">
        <v>197</v>
      </c>
      <c r="E2602" t="s">
        <v>462</v>
      </c>
      <c r="H2602">
        <v>1000</v>
      </c>
      <c r="J2602">
        <v>1</v>
      </c>
      <c r="K2602" t="str" cm="1">
        <f t="array" ref="K2602">IFERROR(_xlfn.SWITCH(L2602,2,_xlfn.XLOOKUP(C2602,[1]ModifierDes!$B:$B,[1]ModifierDes!$C:$C),3,_xlfn.XLOOKUP(C2602,[1]StuntDes!$B:$B,[1]StuntDes!$C:$C)),"")</f>
        <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433</v>
      </c>
      <c r="D2603" t="s">
        <v>197</v>
      </c>
      <c r="E2603" t="s">
        <v>462</v>
      </c>
      <c r="H2603">
        <v>1000</v>
      </c>
      <c r="J2603">
        <v>1</v>
      </c>
      <c r="K2603" t="str" cm="1">
        <f t="array" ref="K2603">IFERROR(_xlfn.SWITCH(L2603,2,_xlfn.XLOOKUP(C2603,[1]ModifierDes!$B:$B,[1]ModifierDes!$C:$C),3,_xlfn.XLOOKUP(C2603,[1]StuntDes!$B:$B,[1]StuntDes!$C:$C)),"")</f>
        <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434</v>
      </c>
      <c r="D2604" t="s">
        <v>197</v>
      </c>
      <c r="E2604" t="s">
        <v>462</v>
      </c>
      <c r="H2604">
        <v>1000</v>
      </c>
      <c r="J2604">
        <v>1</v>
      </c>
      <c r="K2604" t="str" cm="1">
        <f t="array" ref="K2604">IFERROR(_xlfn.SWITCH(L2604,2,_xlfn.XLOOKUP(C2604,[1]ModifierDes!$B:$B,[1]ModifierDes!$C:$C),3,_xlfn.XLOOKUP(C2604,[1]StuntDes!$B:$B,[1]StuntDes!$C:$C)),"")</f>
        <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435</v>
      </c>
      <c r="D2605" t="s">
        <v>197</v>
      </c>
      <c r="E2605" t="s">
        <v>462</v>
      </c>
      <c r="H2605">
        <v>1000</v>
      </c>
      <c r="J2605">
        <v>1</v>
      </c>
      <c r="K2605" t="str" cm="1">
        <f t="array" ref="K2605">IFERROR(_xlfn.SWITCH(L2605,2,_xlfn.XLOOKUP(C2605,[1]ModifierDes!$B:$B,[1]ModifierDes!$C:$C),3,_xlfn.XLOOKUP(C2605,[1]StuntDes!$B:$B,[1]StuntDes!$C:$C)),"")</f>
        <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436</v>
      </c>
      <c r="D2606" t="s">
        <v>197</v>
      </c>
      <c r="E2606" t="s">
        <v>462</v>
      </c>
      <c r="H2606">
        <v>1000</v>
      </c>
      <c r="J2606">
        <v>1</v>
      </c>
      <c r="K2606" t="str" cm="1">
        <f t="array" ref="K2606">IFERROR(_xlfn.SWITCH(L2606,2,_xlfn.XLOOKUP(C2606,[1]ModifierDes!$B:$B,[1]ModifierDes!$C:$C),3,_xlfn.XLOOKUP(C2606,[1]StuntDes!$B:$B,[1]StuntDes!$C:$C)),"")</f>
        <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447</v>
      </c>
      <c r="D2607" t="s">
        <v>197</v>
      </c>
      <c r="E2607" t="s">
        <v>462</v>
      </c>
      <c r="H2607">
        <v>1000</v>
      </c>
      <c r="J2607">
        <v>1</v>
      </c>
      <c r="K2607" t="str" cm="1">
        <f t="array" ref="K2607">IFERROR(_xlfn.SWITCH(L2607,2,_xlfn.XLOOKUP(C2607,[1]ModifierDes!$B:$B,[1]ModifierDes!$C:$C),3,_xlfn.XLOOKUP(C2607,[1]StuntDes!$B:$B,[1]StuntDes!$C:$C)),"")</f>
        <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402</v>
      </c>
      <c r="D2608" t="s">
        <v>197</v>
      </c>
      <c r="E2608" t="s">
        <v>462</v>
      </c>
      <c r="H2608">
        <v>1000</v>
      </c>
      <c r="J2608">
        <v>1</v>
      </c>
      <c r="K2608" t="str" cm="1">
        <f t="array" ref="K2608">IFERROR(_xlfn.SWITCH(L2608,2,_xlfn.XLOOKUP(C2608,[1]ModifierDes!$B:$B,[1]ModifierDes!$C:$C),3,_xlfn.XLOOKUP(C2608,[1]StuntDes!$B:$B,[1]StuntDes!$C:$C)),"")</f>
        <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423</v>
      </c>
      <c r="D2609" t="s">
        <v>197</v>
      </c>
      <c r="E2609" t="s">
        <v>462</v>
      </c>
      <c r="H2609">
        <v>1000</v>
      </c>
      <c r="J2609">
        <v>1</v>
      </c>
      <c r="K2609" t="str" cm="1">
        <f t="array" ref="K2609">IFERROR(_xlfn.SWITCH(L2609,2,_xlfn.XLOOKUP(C2609,[1]ModifierDes!$B:$B,[1]ModifierDes!$C:$C),3,_xlfn.XLOOKUP(C2609,[1]StuntDes!$B:$B,[1]StuntDes!$C:$C)),"")</f>
        <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424</v>
      </c>
      <c r="D2610" t="s">
        <v>197</v>
      </c>
      <c r="E2610" t="s">
        <v>462</v>
      </c>
      <c r="H2610">
        <v>1000</v>
      </c>
      <c r="J2610">
        <v>1</v>
      </c>
      <c r="K2610" t="str" cm="1">
        <f t="array" ref="K2610">IFERROR(_xlfn.SWITCH(L2610,2,_xlfn.XLOOKUP(C2610,[1]ModifierDes!$B:$B,[1]ModifierDes!$C:$C),3,_xlfn.XLOOKUP(C2610,[1]StuntDes!$B:$B,[1]StuntDes!$C:$C)),"")</f>
        <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425</v>
      </c>
      <c r="D2611" t="s">
        <v>197</v>
      </c>
      <c r="E2611" t="s">
        <v>462</v>
      </c>
      <c r="H2611">
        <v>1000</v>
      </c>
      <c r="J2611">
        <v>1</v>
      </c>
      <c r="K2611" t="str" cm="1">
        <f t="array" ref="K2611">IFERROR(_xlfn.SWITCH(L2611,2,_xlfn.XLOOKUP(C2611,[1]ModifierDes!$B:$B,[1]ModifierDes!$C:$C),3,_xlfn.XLOOKUP(C2611,[1]StuntDes!$B:$B,[1]StuntDes!$C:$C)),"")</f>
        <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450</v>
      </c>
      <c r="D2612" t="s">
        <v>197</v>
      </c>
      <c r="E2612" t="s">
        <v>462</v>
      </c>
      <c r="H2612">
        <v>1000</v>
      </c>
      <c r="J2612">
        <v>1</v>
      </c>
      <c r="K2612" t="str" cm="1">
        <f t="array" ref="K2612">IFERROR(_xlfn.SWITCH(L2612,2,_xlfn.XLOOKUP(C2612,[1]ModifierDes!$B:$B,[1]ModifierDes!$C:$C),3,_xlfn.XLOOKUP(C2612,[1]StuntDes!$B:$B,[1]StuntDes!$C:$C)),"")</f>
        <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444</v>
      </c>
      <c r="D2613" t="s">
        <v>151</v>
      </c>
      <c r="E2613" t="s">
        <v>462</v>
      </c>
      <c r="H2613">
        <v>1000</v>
      </c>
      <c r="J2613">
        <v>1</v>
      </c>
      <c r="K2613" t="str" cm="1">
        <f t="array" ref="K2613">IFERROR(_xlfn.SWITCH(L2613,2,_xlfn.XLOOKUP(C2613,[1]ModifierDes!$B:$B,[1]ModifierDes!$C:$C),3,_xlfn.XLOOKUP(C2613,[1]StuntDes!$B:$B,[1]StuntDes!$C:$C)),"")</f>
        <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495</v>
      </c>
      <c r="D2614" t="s">
        <v>151</v>
      </c>
      <c r="E2614" t="s">
        <v>462</v>
      </c>
      <c r="H2614">
        <v>1000</v>
      </c>
      <c r="J2614">
        <v>1</v>
      </c>
      <c r="K2614" t="str" cm="1">
        <f t="array" ref="K2614">IFERROR(_xlfn.SWITCH(L2614,2,_xlfn.XLOOKUP(C2614,[1]ModifierDes!$B:$B,[1]ModifierDes!$C:$C),3,_xlfn.XLOOKUP(C2614,[1]StuntDes!$B:$B,[1]StuntDes!$C:$C)),"")</f>
        <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2</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496</v>
      </c>
      <c r="D2615" t="s">
        <v>151</v>
      </c>
      <c r="E2615" t="s">
        <v>462</v>
      </c>
      <c r="H2615">
        <v>1000</v>
      </c>
      <c r="J2615">
        <v>1</v>
      </c>
      <c r="K2615" t="str" cm="1">
        <f t="array" ref="K2615">IFERROR(_xlfn.SWITCH(L2615,2,_xlfn.XLOOKUP(C2615,[1]ModifierDes!$B:$B,[1]ModifierDes!$C:$C),3,_xlfn.XLOOKUP(C2615,[1]StuntDes!$B:$B,[1]StuntDes!$C:$C)),"")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433</v>
      </c>
      <c r="D2616" t="s">
        <v>151</v>
      </c>
      <c r="E2616" t="s">
        <v>462</v>
      </c>
      <c r="H2616">
        <v>1000</v>
      </c>
      <c r="J2616">
        <v>1</v>
      </c>
      <c r="K2616" t="str" cm="1">
        <f t="array" ref="K2616">IFERROR(_xlfn.SWITCH(L2616,2,_xlfn.XLOOKUP(C2616,[1]ModifierDes!$B:$B,[1]ModifierDes!$C:$C),3,_xlfn.XLOOKUP(C2616,[1]StuntDes!$B:$B,[1]StuntDes!$C:$C)),"")</f>
        <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497</v>
      </c>
      <c r="D2617" t="s">
        <v>167</v>
      </c>
      <c r="E2617" t="s">
        <v>462</v>
      </c>
      <c r="F2617"/>
      <c r="H2617">
        <v>1000</v>
      </c>
      <c r="J2617">
        <v>1</v>
      </c>
      <c r="K2617" t="str" cm="1">
        <f t="array" ref="K2617">IFERROR(_xlfn.SWITCH(L2617,2,_xlfn.XLOOKUP(C2617,[1]ModifierDes!$B:$B,[1]ModifierDes!$C:$C),3,_xlfn.XLOOKUP(C2617,[1]StuntDes!$B:$B,[1]StuntDes!$C:$C)),"")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498</v>
      </c>
      <c r="D2618" t="s">
        <v>167</v>
      </c>
      <c r="E2618" t="s">
        <v>462</v>
      </c>
      <c r="F2618"/>
      <c r="H2618">
        <v>1000</v>
      </c>
      <c r="J2618">
        <v>1</v>
      </c>
      <c r="K2618" t="str" cm="1">
        <f t="array" ref="K2618">IFERROR(_xlfn.SWITCH(L2618,2,_xlfn.XLOOKUP(C2618,[1]ModifierDes!$B:$B,[1]ModifierDes!$C:$C),3,_xlfn.XLOOKUP(C2618,[1]StuntDes!$B:$B,[1]StuntDes!$C:$C)),"")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499</v>
      </c>
      <c r="D2619" t="s">
        <v>167</v>
      </c>
      <c r="E2619" t="s">
        <v>462</v>
      </c>
      <c r="F2619"/>
      <c r="H2619">
        <v>1000</v>
      </c>
      <c r="J2619">
        <v>1</v>
      </c>
      <c r="K2619" t="str" cm="1">
        <f t="array" ref="K2619">IFERROR(_xlfn.SWITCH(L2619,2,_xlfn.XLOOKUP(C2619,[1]ModifierDes!$B:$B,[1]ModifierDes!$C:$C),3,_xlfn.XLOOKUP(C2619,[1]StuntDes!$B:$B,[1]StuntDes!$C:$C)),"")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500</v>
      </c>
      <c r="D2620" t="s">
        <v>167</v>
      </c>
      <c r="E2620" t="s">
        <v>462</v>
      </c>
      <c r="H2620">
        <v>1000</v>
      </c>
      <c r="J2620">
        <v>1</v>
      </c>
      <c r="K2620" t="str" cm="1">
        <f t="array" ref="K2620">IFERROR(_xlfn.SWITCH(L2620,2,_xlfn.XLOOKUP(C2620,[1]ModifierDes!$B:$B,[1]ModifierDes!$C:$C),3,_xlfn.XLOOKUP(C2620,[1]StuntDes!$B:$B,[1]StuntDes!$C:$C)),"")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501</v>
      </c>
      <c r="D2621" t="s">
        <v>167</v>
      </c>
      <c r="E2621" t="s">
        <v>462</v>
      </c>
      <c r="H2621">
        <v>1000</v>
      </c>
      <c r="J2621">
        <v>1</v>
      </c>
      <c r="K2621" t="str" cm="1">
        <f t="array" ref="K2621">IFERROR(_xlfn.SWITCH(L2621,2,_xlfn.XLOOKUP(C2621,[1]ModifierDes!$B:$B,[1]ModifierDes!$C:$C),3,_xlfn.XLOOKUP(C2621,[1]StuntDes!$B:$B,[1]StuntDes!$C:$C)),"")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451</v>
      </c>
      <c r="D2622" t="s">
        <v>167</v>
      </c>
      <c r="E2622" t="s">
        <v>462</v>
      </c>
      <c r="H2622">
        <v>1000</v>
      </c>
      <c r="J2622">
        <v>1</v>
      </c>
      <c r="K2622" t="str" cm="1">
        <f t="array" ref="K2622">IFERROR(_xlfn.SWITCH(L2622,2,_xlfn.XLOOKUP(C2622,[1]ModifierDes!$B:$B,[1]ModifierDes!$C:$C),3,_xlfn.XLOOKUP(C2622,[1]StuntDes!$B:$B,[1]StuntDes!$C:$C)),"")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452</v>
      </c>
      <c r="D2623" t="s">
        <v>167</v>
      </c>
      <c r="E2623" t="s">
        <v>462</v>
      </c>
      <c r="H2623">
        <v>1000</v>
      </c>
      <c r="J2623">
        <v>1</v>
      </c>
      <c r="K2623" t="str" cm="1">
        <f t="array" ref="K2623">IFERROR(_xlfn.SWITCH(L2623,2,_xlfn.XLOOKUP(C2623,[1]ModifierDes!$B:$B,[1]ModifierDes!$C:$C),3,_xlfn.XLOOKUP(C2623,[1]StuntDes!$B:$B,[1]StuntDes!$C:$C)),"")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453</v>
      </c>
      <c r="D2624" t="s">
        <v>167</v>
      </c>
      <c r="E2624" t="s">
        <v>462</v>
      </c>
      <c r="H2624">
        <v>1000</v>
      </c>
      <c r="J2624">
        <v>1</v>
      </c>
      <c r="K2624" t="str" cm="1">
        <f t="array" ref="K2624">IFERROR(_xlfn.SWITCH(L2624,2,_xlfn.XLOOKUP(C2624,[1]ModifierDes!$B:$B,[1]ModifierDes!$C:$C),3,_xlfn.XLOOKUP(C2624,[1]StuntDes!$B:$B,[1]StuntDes!$C:$C)),"")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454</v>
      </c>
      <c r="D2625" t="s">
        <v>167</v>
      </c>
      <c r="E2625" t="s">
        <v>462</v>
      </c>
      <c r="H2625">
        <v>1000</v>
      </c>
      <c r="J2625">
        <v>1</v>
      </c>
      <c r="K2625" t="str" cm="1">
        <f t="array" ref="K2625">IFERROR(_xlfn.SWITCH(L2625,2,_xlfn.XLOOKUP(C2625,[1]ModifierDes!$B:$B,[1]ModifierDes!$C:$C),3,_xlfn.XLOOKUP(C2625,[1]StuntDes!$B:$B,[1]StuntDes!$C:$C)),"")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455</v>
      </c>
      <c r="D2626" t="s">
        <v>167</v>
      </c>
      <c r="E2626" t="s">
        <v>462</v>
      </c>
      <c r="H2626">
        <v>1000</v>
      </c>
      <c r="J2626">
        <v>1</v>
      </c>
      <c r="K2626" t="str" cm="1">
        <f t="array" ref="K2626">IFERROR(_xlfn.SWITCH(L2626,2,_xlfn.XLOOKUP(C2626,[1]ModifierDes!$B:$B,[1]ModifierDes!$C:$C),3,_xlfn.XLOOKUP(C2626,[1]StuntDes!$B:$B,[1]StuntDes!$C:$C)),"")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489</v>
      </c>
      <c r="D2627" t="s">
        <v>167</v>
      </c>
      <c r="E2627" t="s">
        <v>462</v>
      </c>
      <c r="H2627">
        <v>1000</v>
      </c>
      <c r="J2627">
        <v>1</v>
      </c>
      <c r="K2627" t="str" cm="1">
        <f t="array" ref="K2627">IFERROR(_xlfn.SWITCH(L2627,2,_xlfn.XLOOKUP(C2627,[1]ModifierDes!$B:$B,[1]ModifierDes!$C:$C),3,_xlfn.XLOOKUP(C2627,[1]StuntDes!$B:$B,[1]StuntDes!$C:$C)),"")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402</v>
      </c>
      <c r="D2628" t="s">
        <v>167</v>
      </c>
      <c r="E2628" t="s">
        <v>462</v>
      </c>
      <c r="H2628">
        <v>1000</v>
      </c>
      <c r="J2628">
        <v>1</v>
      </c>
      <c r="K2628" t="str" cm="1">
        <f t="array" ref="K2628">IFERROR(_xlfn.SWITCH(L2628,2,_xlfn.XLOOKUP(C2628,[1]ModifierDes!$B:$B,[1]ModifierDes!$C:$C),3,_xlfn.XLOOKUP(C2628,[1]StuntDes!$B:$B,[1]StuntDes!$C:$C)),"")</f>
        <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502</v>
      </c>
      <c r="D2629" t="s">
        <v>200</v>
      </c>
      <c r="E2629" t="s">
        <v>462</v>
      </c>
      <c r="H2629">
        <v>1000</v>
      </c>
      <c r="J2629">
        <v>1</v>
      </c>
      <c r="K2629" t="str" cm="1">
        <f t="array" ref="K2629">IFERROR(_xlfn.SWITCH(L2629,2,_xlfn.XLOOKUP(C2629,[1]ModifierDes!$B:$B,[1]ModifierDes!$C:$C),3,_xlfn.XLOOKUP(C2629,[1]StuntDes!$B:$B,[1]StuntDes!$C:$C)),"")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503</v>
      </c>
      <c r="D2630" t="s">
        <v>200</v>
      </c>
      <c r="E2630" t="s">
        <v>462</v>
      </c>
      <c r="H2630">
        <v>1000</v>
      </c>
      <c r="J2630">
        <v>1</v>
      </c>
      <c r="K2630" t="str" cm="1">
        <f t="array" ref="K2630">IFERROR(_xlfn.SWITCH(L2630,2,_xlfn.XLOOKUP(C2630,[1]ModifierDes!$B:$B,[1]ModifierDes!$C:$C),3,_xlfn.XLOOKUP(C2630,[1]StuntDes!$B:$B,[1]StuntDes!$C:$C)),"")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504</v>
      </c>
      <c r="D2631" t="s">
        <v>200</v>
      </c>
      <c r="E2631" t="s">
        <v>462</v>
      </c>
      <c r="H2631">
        <v>1000</v>
      </c>
      <c r="J2631">
        <v>1</v>
      </c>
      <c r="K2631" t="str" cm="1">
        <f t="array" ref="K2631">IFERROR(_xlfn.SWITCH(L2631,2,_xlfn.XLOOKUP(C2631,[1]ModifierDes!$B:$B,[1]ModifierDes!$C:$C),3,_xlfn.XLOOKUP(C2631,[1]StuntDes!$B:$B,[1]StuntDes!$C:$C)),"")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505</v>
      </c>
      <c r="D2632" t="s">
        <v>200</v>
      </c>
      <c r="E2632" t="s">
        <v>462</v>
      </c>
      <c r="H2632">
        <v>1000</v>
      </c>
      <c r="J2632">
        <v>1</v>
      </c>
      <c r="K2632" t="str" cm="1">
        <f t="array" ref="K2632">IFERROR(_xlfn.SWITCH(L2632,2,_xlfn.XLOOKUP(C2632,[1]ModifierDes!$B:$B,[1]ModifierDes!$C:$C),3,_xlfn.XLOOKUP(C2632,[1]StuntDes!$B:$B,[1]StuntDes!$C:$C)),"")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506</v>
      </c>
      <c r="D2633" t="s">
        <v>200</v>
      </c>
      <c r="E2633" t="s">
        <v>462</v>
      </c>
      <c r="H2633">
        <v>1000</v>
      </c>
      <c r="J2633">
        <v>1</v>
      </c>
      <c r="K2633" t="str" cm="1">
        <f t="array" ref="K2633">IFERROR(_xlfn.SWITCH(L2633,2,_xlfn.XLOOKUP(C2633,[1]ModifierDes!$B:$B,[1]ModifierDes!$C:$C),3,_xlfn.XLOOKUP(C2633,[1]StuntDes!$B:$B,[1]StuntDes!$C:$C)),"")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451</v>
      </c>
      <c r="D2634" t="s">
        <v>200</v>
      </c>
      <c r="E2634" t="s">
        <v>462</v>
      </c>
      <c r="H2634">
        <v>1000</v>
      </c>
      <c r="J2634">
        <v>1</v>
      </c>
      <c r="K2634" t="str" cm="1">
        <f t="array" ref="K2634">IFERROR(_xlfn.SWITCH(L2634,2,_xlfn.XLOOKUP(C2634,[1]ModifierDes!$B:$B,[1]ModifierDes!$C:$C),3,_xlfn.XLOOKUP(C2634,[1]StuntDes!$B:$B,[1]StuntDes!$C:$C)),"")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452</v>
      </c>
      <c r="D2635" t="s">
        <v>200</v>
      </c>
      <c r="E2635" t="s">
        <v>462</v>
      </c>
      <c r="H2635">
        <v>1000</v>
      </c>
      <c r="J2635">
        <v>1</v>
      </c>
      <c r="K2635" t="str" cm="1">
        <f t="array" ref="K2635">IFERROR(_xlfn.SWITCH(L2635,2,_xlfn.XLOOKUP(C2635,[1]ModifierDes!$B:$B,[1]ModifierDes!$C:$C),3,_xlfn.XLOOKUP(C2635,[1]StuntDes!$B:$B,[1]StuntDes!$C:$C)),"")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453</v>
      </c>
      <c r="D2636" t="s">
        <v>200</v>
      </c>
      <c r="E2636" t="s">
        <v>462</v>
      </c>
      <c r="H2636">
        <v>1000</v>
      </c>
      <c r="J2636">
        <v>1</v>
      </c>
      <c r="K2636" t="str" cm="1">
        <f t="array" ref="K2636">IFERROR(_xlfn.SWITCH(L2636,2,_xlfn.XLOOKUP(C2636,[1]ModifierDes!$B:$B,[1]ModifierDes!$C:$C),3,_xlfn.XLOOKUP(C2636,[1]StuntDes!$B:$B,[1]StuntDes!$C:$C)),"")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454</v>
      </c>
      <c r="D2637" t="s">
        <v>200</v>
      </c>
      <c r="E2637" t="s">
        <v>462</v>
      </c>
      <c r="H2637">
        <v>1000</v>
      </c>
      <c r="J2637">
        <v>1</v>
      </c>
      <c r="K2637" t="str" cm="1">
        <f t="array" ref="K2637">IFERROR(_xlfn.SWITCH(L2637,2,_xlfn.XLOOKUP(C2637,[1]ModifierDes!$B:$B,[1]ModifierDes!$C:$C),3,_xlfn.XLOOKUP(C2637,[1]StuntDes!$B:$B,[1]StuntDes!$C:$C)),"")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455</v>
      </c>
      <c r="D2638" t="s">
        <v>200</v>
      </c>
      <c r="E2638" t="s">
        <v>462</v>
      </c>
      <c r="H2638">
        <v>1000</v>
      </c>
      <c r="J2638">
        <v>1</v>
      </c>
      <c r="K2638" t="str" cm="1">
        <f t="array" ref="K2638">IFERROR(_xlfn.SWITCH(L2638,2,_xlfn.XLOOKUP(C2638,[1]ModifierDes!$B:$B,[1]ModifierDes!$C:$C),3,_xlfn.XLOOKUP(C2638,[1]StuntDes!$B:$B,[1]StuntDes!$C:$C)),"")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442</v>
      </c>
      <c r="D2639" t="s">
        <v>200</v>
      </c>
      <c r="E2639" t="s">
        <v>462</v>
      </c>
      <c r="H2639">
        <v>1000</v>
      </c>
      <c r="J2639">
        <v>1</v>
      </c>
      <c r="K2639" t="str" cm="1">
        <f t="array" ref="K2639">IFERROR(_xlfn.SWITCH(L2639,2,_xlfn.XLOOKUP(C2639,[1]ModifierDes!$B:$B,[1]ModifierDes!$C:$C),3,_xlfn.XLOOKUP(C2639,[1]StuntDes!$B:$B,[1]StuntDes!$C:$C)),"")</f>
        <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447</v>
      </c>
      <c r="D2640" t="s">
        <v>200</v>
      </c>
      <c r="E2640" t="s">
        <v>462</v>
      </c>
      <c r="H2640">
        <v>1000</v>
      </c>
      <c r="J2640">
        <v>1</v>
      </c>
      <c r="K2640" t="str" cm="1">
        <f t="array" ref="K2640">IFERROR(_xlfn.SWITCH(L2640,2,_xlfn.XLOOKUP(C2640,[1]ModifierDes!$B:$B,[1]ModifierDes!$C:$C),3,_xlfn.XLOOKUP(C2640,[1]StuntDes!$B:$B,[1]StuntDes!$C:$C)),"")</f>
        <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customFormat="1" spans="1:20">
      <c r="A2641">
        <v>90001</v>
      </c>
      <c r="B2641">
        <v>1</v>
      </c>
      <c r="C2641" t="s">
        <v>507</v>
      </c>
      <c r="D2641" t="s">
        <v>145</v>
      </c>
      <c r="E2641" t="s">
        <v>462</v>
      </c>
      <c r="H2641">
        <v>1000</v>
      </c>
      <c r="J2641">
        <v>1</v>
      </c>
      <c r="K2641" t="str" cm="1">
        <f t="array" ref="K2641">IFERROR(_xlfn.SWITCH(L2641,2,_xlfn.XLOOKUP(C2641,[1]ModifierDes!$B:$B,[1]ModifierDes!$C:$C),3,_xlfn.XLOOKUP(C2641,[1]StuntDes!$B:$B,[1]StuntDes!$C:$C)),"")</f>
        <v>物理伤害倍率增加{0}</v>
      </c>
      <c r="L2641">
        <f t="shared" ref="L2641:L2656" si="194">IF(M2641="",IF(N2641="",1,2),3)</f>
        <v>2</v>
      </c>
      <c r="M2641" s="10" t="str">
        <f>IFERROR(_xlfn.XLOOKUP(C2641,[1]StuntDes!$B:$B,[1]StuntDes!$A:$A),"")</f>
        <v/>
      </c>
      <c r="N2641" s="10">
        <f>IFERROR(_xlfn.XLOOKUP(C2641,[1]ModifierDes!$B:$B,[1]ModifierDes!$A:$A),"")</f>
        <v>10056</v>
      </c>
      <c r="O2641" s="10" t="str">
        <f>IFERROR(_xlfn.XLOOKUP(C2641,[1]AttributeName!$C:$C,[1]AttributeName!$B:$B),"")</f>
        <v/>
      </c>
      <c r="P2641" s="10"/>
      <c r="Q2641">
        <v>0.4</v>
      </c>
      <c r="R2641">
        <v>0.6</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customFormat="1" spans="1:20">
      <c r="A2642">
        <v>90002</v>
      </c>
      <c r="B2642">
        <v>1</v>
      </c>
      <c r="C2642" t="s">
        <v>444</v>
      </c>
      <c r="D2642" t="s">
        <v>145</v>
      </c>
      <c r="E2642" t="s">
        <v>462</v>
      </c>
      <c r="H2642">
        <v>1000</v>
      </c>
      <c r="J2642">
        <v>1</v>
      </c>
      <c r="K2642" t="str" cm="1">
        <f t="array" ref="K2642">IFERROR(_xlfn.SWITCH(L2642,2,_xlfn.XLOOKUP(C2642,[1]ModifierDes!$B:$B,[1]ModifierDes!$C:$C),3,_xlfn.XLOOKUP(C2642,[1]StuntDes!$B:$B,[1]StuntDes!$C:$C)),"")</f>
        <v/>
      </c>
      <c r="L2642">
        <f t="shared" si="194"/>
        <v>1</v>
      </c>
      <c r="M2642" s="10" t="str">
        <f>IFERROR(_xlfn.XLOOKUP(C2642,[1]StuntDes!$B:$B,[1]StuntDes!$A:$A),"")</f>
        <v/>
      </c>
      <c r="N2642" s="10" t="str">
        <f>IFERROR(_xlfn.XLOOKUP(C2642,[1]ModifierDes!$B:$B,[1]ModifierDes!$A:$A),"")</f>
        <v/>
      </c>
      <c r="O2642" s="10">
        <f>IFERROR(_xlfn.XLOOKUP(C2642,[1]AttributeName!$C:$C,[1]AttributeName!$B:$B),"")</f>
        <v>10304</v>
      </c>
      <c r="P2642" s="10"/>
      <c r="Q2642">
        <v>0.4</v>
      </c>
      <c r="R2642">
        <v>0.6</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customFormat="1" spans="1:20">
      <c r="A2643">
        <v>90003</v>
      </c>
      <c r="B2643">
        <v>1</v>
      </c>
      <c r="C2643" s="13" t="s">
        <v>463</v>
      </c>
      <c r="D2643" t="s">
        <v>145</v>
      </c>
      <c r="E2643" t="s">
        <v>462</v>
      </c>
      <c r="H2643">
        <v>1000</v>
      </c>
      <c r="J2643">
        <v>1</v>
      </c>
      <c r="K2643" t="str" cm="1">
        <f t="array" ref="K2643">IFERROR(_xlfn.SWITCH(L2643,2,_xlfn.XLOOKUP(C2643,[1]ModifierDes!$B:$B,[1]ModifierDes!$C:$C),3,_xlfn.XLOOKUP(C2643,[1]StuntDes!$B:$B,[1]StuntDes!$C:$C)),"")</f>
        <v/>
      </c>
      <c r="L2643">
        <f t="shared" si="194"/>
        <v>1</v>
      </c>
      <c r="M2643" s="10" t="str">
        <f>IFERROR(_xlfn.XLOOKUP(C2643,[1]StuntDes!$B:$B,[1]StuntDes!$A:$A),"")</f>
        <v/>
      </c>
      <c r="N2643" s="10" t="str">
        <f>IFERROR(_xlfn.XLOOKUP(C2643,[1]ModifierDes!$B:$B,[1]ModifierDes!$A:$A),"")</f>
        <v/>
      </c>
      <c r="O2643" s="10">
        <f>IFERROR(_xlfn.XLOOKUP(C2643,[1]AttributeName!$C:$C,[1]AttributeName!$B:$B),"")</f>
        <v>10300</v>
      </c>
      <c r="P2643" s="10"/>
      <c r="Q2643">
        <v>0.2</v>
      </c>
      <c r="R2643">
        <v>0.4</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90004</v>
      </c>
      <c r="B2644">
        <v>1</v>
      </c>
      <c r="C2644" t="s">
        <v>413</v>
      </c>
      <c r="D2644" t="s">
        <v>145</v>
      </c>
      <c r="E2644" t="s">
        <v>462</v>
      </c>
      <c r="H2644">
        <v>1000</v>
      </c>
      <c r="J2644">
        <v>1</v>
      </c>
      <c r="K2644" t="str" cm="1">
        <f t="array" ref="K2644">IFERROR(_xlfn.SWITCH(L2644,2,_xlfn.XLOOKUP(C2644,[1]ModifierDes!$B:$B,[1]ModifierDes!$C:$C),3,_xlfn.XLOOKUP(C2644,[1]StuntDes!$B:$B,[1]StuntDes!$C:$C)),"")</f>
        <v>攻击速度提高{0}</v>
      </c>
      <c r="L2644">
        <f t="shared" si="194"/>
        <v>2</v>
      </c>
      <c r="M2644" s="10" t="str">
        <f>IFERROR(_xlfn.XLOOKUP(C2644,[1]StuntDes!$B:$B,[1]StuntDes!$A:$A),"")</f>
        <v/>
      </c>
      <c r="N2644" s="10">
        <f>IFERROR(_xlfn.XLOOKUP(C2644,[1]ModifierDes!$B:$B,[1]ModifierDes!$A:$A),"")</f>
        <v>10031</v>
      </c>
      <c r="O2644" s="10" t="str">
        <f>IFERROR(_xlfn.XLOOKUP(C2644,[1]AttributeName!$C:$C,[1]AttributeName!$B:$B),"")</f>
        <v/>
      </c>
      <c r="P2644" s="10"/>
      <c r="Q2644">
        <v>0.1</v>
      </c>
      <c r="R2644">
        <v>0.2</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90005</v>
      </c>
      <c r="B2645">
        <v>1</v>
      </c>
      <c r="C2645" t="s">
        <v>406</v>
      </c>
      <c r="D2645" t="s">
        <v>145</v>
      </c>
      <c r="E2645" t="s">
        <v>462</v>
      </c>
      <c r="H2645">
        <v>1000</v>
      </c>
      <c r="J2645">
        <v>1</v>
      </c>
      <c r="K2645" t="str" cm="1">
        <f t="array" ref="K2645">IFERROR(_xlfn.SWITCH(L2645,2,_xlfn.XLOOKUP(C2645,[1]ModifierDes!$B:$B,[1]ModifierDes!$C:$C),3,_xlfn.XLOOKUP(C2645,[1]StuntDes!$B:$B,[1]StuntDes!$C:$C)),"")</f>
        <v>物理技能等级增加{0}</v>
      </c>
      <c r="L2645">
        <f t="shared" si="194"/>
        <v>2</v>
      </c>
      <c r="M2645" s="10" t="str">
        <f>IFERROR(_xlfn.XLOOKUP(C2645,[1]StuntDes!$B:$B,[1]StuntDes!$A:$A),"")</f>
        <v/>
      </c>
      <c r="N2645" s="10">
        <f>IFERROR(_xlfn.XLOOKUP(C2645,[1]ModifierDes!$B:$B,[1]ModifierDes!$A:$A),"")</f>
        <v>10156</v>
      </c>
      <c r="O2645" s="10" t="str">
        <f>IFERROR(_xlfn.XLOOKUP(C2645,[1]AttributeName!$C:$C,[1]AttributeName!$B:$B),"")</f>
        <v/>
      </c>
      <c r="P2645" s="10"/>
      <c r="Q2645">
        <v>2</v>
      </c>
      <c r="R2645">
        <v>3</v>
      </c>
      <c r="S2645" cm="1">
        <f t="array" ref="S2645">IFERROR(_xlfn.SWITCH(L2645,1,_xlfn.XLOOKUP(O2645,[1]AttributeName!$B:$B,[1]AttributeName!$D:$D),2,_xlfn.XLOOKUP(C2645,[1]ModifierDes!$B:$B,[1]ModifierDes!$D:$D),3,_xlfn.XLOOKUP(C2645,[1]StuntDes!$B:$B,[1]StuntDes!$D:$D)),0)</f>
        <v>0</v>
      </c>
      <c r="T2645" cm="1">
        <f t="array" ref="T2645">IFERROR(_xlfn.SWITCH(L2645,1,_xlfn.XLOOKUP(O2645,[1]AttributeName!$B:$B,[1]AttributeName!$E:$E),2,_xlfn.XLOOKUP(C2645,[1]ModifierDes!$B:$B,[1]ModifierDes!$E:$E),3,_xlfn.XLOOKUP(C2645,[1]StuntDes!$B:$B,[1]StuntDes!$E:$E)),0)</f>
        <v>0</v>
      </c>
    </row>
    <row r="2646" customFormat="1" spans="1:20">
      <c r="A2646">
        <v>90006</v>
      </c>
      <c r="B2646">
        <v>1</v>
      </c>
      <c r="C2646" t="s">
        <v>411</v>
      </c>
      <c r="D2646" t="s">
        <v>145</v>
      </c>
      <c r="E2646" t="s">
        <v>462</v>
      </c>
      <c r="H2646">
        <v>1000</v>
      </c>
      <c r="J2646">
        <v>1</v>
      </c>
      <c r="K2646" t="str" cm="1">
        <f t="array" ref="K2646">IFERROR(_xlfn.SWITCH(L2646,2,_xlfn.XLOOKUP(C2646,[1]ModifierDes!$B:$B,[1]ModifierDes!$C:$C),3,_xlfn.XLOOKUP(C2646,[1]StuntDes!$B:$B,[1]StuntDes!$C:$C)),"")</f>
        <v>攻击暴击率提高{0}</v>
      </c>
      <c r="L2646">
        <f t="shared" si="194"/>
        <v>2</v>
      </c>
      <c r="M2646" s="10" t="str">
        <f>IFERROR(_xlfn.XLOOKUP(C2646,[1]StuntDes!$B:$B,[1]StuntDes!$A:$A),"")</f>
        <v/>
      </c>
      <c r="N2646" s="10">
        <f>IFERROR(_xlfn.XLOOKUP(C2646,[1]ModifierDes!$B:$B,[1]ModifierDes!$A:$A),"")</f>
        <v>10176</v>
      </c>
      <c r="O2646" s="10" t="str">
        <f>IFERROR(_xlfn.XLOOKUP(C2646,[1]AttributeName!$C:$C,[1]AttributeName!$B:$B),"")</f>
        <v/>
      </c>
      <c r="P2646" s="10"/>
      <c r="Q2646">
        <v>0.3</v>
      </c>
      <c r="R2646">
        <v>0.5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90007</v>
      </c>
      <c r="B2647">
        <v>1</v>
      </c>
      <c r="C2647" s="13" t="s">
        <v>463</v>
      </c>
      <c r="D2647" t="s">
        <v>202</v>
      </c>
      <c r="E2647" t="s">
        <v>462</v>
      </c>
      <c r="H2647">
        <v>1000</v>
      </c>
      <c r="J2647">
        <v>1</v>
      </c>
      <c r="K2647" t="str" cm="1">
        <f t="array" ref="K2647">IFERROR(_xlfn.SWITCH(L2647,2,_xlfn.XLOOKUP(C2647,[1]ModifierDes!$B:$B,[1]ModifierDes!$C:$C),3,_xlfn.XLOOKUP(C2647,[1]StuntDes!$B:$B,[1]StuntDes!$C:$C)),"")</f>
        <v/>
      </c>
      <c r="L2647">
        <f t="shared" si="194"/>
        <v>1</v>
      </c>
      <c r="M2647" s="10" t="str">
        <f>IFERROR(_xlfn.XLOOKUP(C2647,[1]StuntDes!$B:$B,[1]StuntDes!$A:$A),"")</f>
        <v/>
      </c>
      <c r="N2647" s="10" t="str">
        <f>IFERROR(_xlfn.XLOOKUP(C2647,[1]ModifierDes!$B:$B,[1]ModifierDes!$A:$A),"")</f>
        <v/>
      </c>
      <c r="O2647" s="10">
        <f>IFERROR(_xlfn.XLOOKUP(C2647,[1]AttributeName!$C:$C,[1]AttributeName!$B:$B),"")</f>
        <v>10300</v>
      </c>
      <c r="P2647" s="10"/>
      <c r="Q2647">
        <v>0.1</v>
      </c>
      <c r="R2647">
        <v>0.3</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spans="1:20">
      <c r="A2648">
        <v>90008</v>
      </c>
      <c r="B2648">
        <v>1</v>
      </c>
      <c r="C2648" t="s">
        <v>402</v>
      </c>
      <c r="D2648" t="s">
        <v>202</v>
      </c>
      <c r="E2648" t="s">
        <v>462</v>
      </c>
      <c r="H2648">
        <v>1000</v>
      </c>
      <c r="J2648">
        <v>1</v>
      </c>
      <c r="K2648" t="str" cm="1">
        <f t="array" ref="K2648">IFERROR(_xlfn.SWITCH(L2648,2,_xlfn.XLOOKUP(C2648,[1]ModifierDes!$B:$B,[1]ModifierDes!$C:$C),3,_xlfn.XLOOKUP(C2648,[1]StuntDes!$B:$B,[1]StuntDes!$C:$C)),"")</f>
        <v/>
      </c>
      <c r="L2648">
        <f t="shared" si="194"/>
        <v>1</v>
      </c>
      <c r="M2648" s="10" t="str">
        <f>IFERROR(_xlfn.XLOOKUP(C2648,[1]StuntDes!$B:$B,[1]StuntDes!$A:$A),"")</f>
        <v/>
      </c>
      <c r="N2648" s="10" t="str">
        <f>IFERROR(_xlfn.XLOOKUP(C2648,[1]ModifierDes!$B:$B,[1]ModifierDes!$A:$A),"")</f>
        <v/>
      </c>
      <c r="O2648" s="10">
        <f>IFERROR(_xlfn.XLOOKUP(C2648,[1]AttributeName!$C:$C,[1]AttributeName!$B:$B),"")</f>
        <v>10001</v>
      </c>
      <c r="P2648" s="10"/>
      <c r="Q2648">
        <v>100</v>
      </c>
      <c r="R2648">
        <v>200</v>
      </c>
      <c r="S2648" cm="1">
        <f t="array" ref="S2648">IFERROR(_xlfn.SWITCH(L2648,1,_xlfn.XLOOKUP(O2648,[1]AttributeName!$B:$B,[1]AttributeName!$D:$D),2,_xlfn.XLOOKUP(C2648,[1]ModifierDes!$B:$B,[1]ModifierDes!$D:$D),3,_xlfn.XLOOKUP(C2648,[1]StuntDes!$B:$B,[1]StuntDes!$D:$D)),0)</f>
        <v>0</v>
      </c>
      <c r="T2648" cm="1">
        <f t="array" ref="T2648">IFERROR(_xlfn.SWITCH(L2648,1,_xlfn.XLOOKUP(O2648,[1]AttributeName!$B:$B,[1]AttributeName!$E:$E),2,_xlfn.XLOOKUP(C2648,[1]ModifierDes!$B:$B,[1]ModifierDes!$E:$E),3,_xlfn.XLOOKUP(C2648,[1]StuntDes!$B:$B,[1]StuntDes!$E:$E)),0)</f>
        <v>1</v>
      </c>
    </row>
    <row r="2649" spans="1:20">
      <c r="A2649">
        <v>90009</v>
      </c>
      <c r="B2649">
        <v>1</v>
      </c>
      <c r="C2649" t="s">
        <v>447</v>
      </c>
      <c r="D2649" t="s">
        <v>202</v>
      </c>
      <c r="E2649" t="s">
        <v>462</v>
      </c>
      <c r="H2649">
        <v>1000</v>
      </c>
      <c r="J2649">
        <v>1</v>
      </c>
      <c r="K2649" t="str" cm="1">
        <f t="array" ref="K2649">IFERROR(_xlfn.SWITCH(L2649,2,_xlfn.XLOOKUP(C2649,[1]ModifierDes!$B:$B,[1]ModifierDes!$C:$C),3,_xlfn.XLOOKUP(C2649,[1]StuntDes!$B:$B,[1]StuntDes!$C:$C)),"")</f>
        <v/>
      </c>
      <c r="L2649">
        <f t="shared" si="194"/>
        <v>1</v>
      </c>
      <c r="M2649" s="10" t="str">
        <f>IFERROR(_xlfn.XLOOKUP(C2649,[1]StuntDes!$B:$B,[1]StuntDes!$A:$A),"")</f>
        <v/>
      </c>
      <c r="N2649" s="10" t="str">
        <f>IFERROR(_xlfn.XLOOKUP(C2649,[1]ModifierDes!$B:$B,[1]ModifierDes!$A:$A),"")</f>
        <v/>
      </c>
      <c r="O2649" s="10">
        <f>IFERROR(_xlfn.XLOOKUP(C2649,[1]AttributeName!$C:$C,[1]AttributeName!$B:$B),"")</f>
        <v>10316</v>
      </c>
      <c r="P2649" s="10"/>
      <c r="Q2649">
        <v>0.1</v>
      </c>
      <c r="R2649">
        <v>0.2</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spans="1:20">
      <c r="A2650">
        <v>90010</v>
      </c>
      <c r="B2650">
        <v>1</v>
      </c>
      <c r="C2650" t="s">
        <v>464</v>
      </c>
      <c r="D2650" t="s">
        <v>202</v>
      </c>
      <c r="E2650" t="s">
        <v>462</v>
      </c>
      <c r="H2650">
        <v>1000</v>
      </c>
      <c r="J2650">
        <v>1</v>
      </c>
      <c r="K2650" t="str" cm="1">
        <f t="array" ref="K2650">IFERROR(_xlfn.SWITCH(L2650,2,_xlfn.XLOOKUP(C2650,[1]ModifierDes!$B:$B,[1]ModifierDes!$C:$C),3,_xlfn.XLOOKUP(C2650,[1]StuntDes!$B:$B,[1]StuntDes!$C:$C)),"")</f>
        <v>旋风斩的冷却时间降至0，但伤害额外降低60%</v>
      </c>
      <c r="L2650">
        <f t="shared" si="194"/>
        <v>2</v>
      </c>
      <c r="M2650" s="10" t="str">
        <f>IFERROR(_xlfn.XLOOKUP(C2650,[1]StuntDes!$B:$B,[1]StuntDes!$A:$A),"")</f>
        <v/>
      </c>
      <c r="N2650" s="10">
        <f>IFERROR(_xlfn.XLOOKUP(C2650,[1]ModifierDes!$B:$B,[1]ModifierDes!$A:$A),"")</f>
        <v>10078</v>
      </c>
      <c r="O2650" s="10" t="str">
        <f>IFERROR(_xlfn.XLOOKUP(C2650,[1]AttributeName!$C:$C,[1]AttributeName!$B:$B),"")</f>
        <v/>
      </c>
      <c r="P2650" s="10"/>
      <c r="Q2650">
        <v>0</v>
      </c>
      <c r="R2650">
        <v>0</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90011</v>
      </c>
      <c r="B2651">
        <v>1</v>
      </c>
      <c r="C2651" t="s">
        <v>430</v>
      </c>
      <c r="D2651" t="s">
        <v>202</v>
      </c>
      <c r="E2651" t="s">
        <v>462</v>
      </c>
      <c r="H2651">
        <v>1000</v>
      </c>
      <c r="J2651">
        <v>1</v>
      </c>
      <c r="K2651" t="str" cm="1">
        <f t="array" ref="K2651">IFERROR(_xlfn.SWITCH(L2651,2,_xlfn.XLOOKUP(C2651,[1]ModifierDes!$B:$B,[1]ModifierDes!$C:$C),3,_xlfn.XLOOKUP(C2651,[1]StuntDes!$B:$B,[1]StuntDes!$C:$C)),"")</f>
        <v>范围效果提高{0}</v>
      </c>
      <c r="L2651">
        <f t="shared" si="194"/>
        <v>2</v>
      </c>
      <c r="M2651" s="10" t="str">
        <f>IFERROR(_xlfn.XLOOKUP(C2651,[1]StuntDes!$B:$B,[1]StuntDes!$A:$A),"")</f>
        <v/>
      </c>
      <c r="N2651" s="10">
        <f>IFERROR(_xlfn.XLOOKUP(C2651,[1]ModifierDes!$B:$B,[1]ModifierDes!$A:$A),"")</f>
        <v>10032</v>
      </c>
      <c r="Q2651">
        <v>0.1</v>
      </c>
      <c r="R2651">
        <v>0.1</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90012</v>
      </c>
      <c r="B2652">
        <v>1</v>
      </c>
      <c r="C2652" t="s">
        <v>508</v>
      </c>
      <c r="D2652" t="s">
        <v>202</v>
      </c>
      <c r="E2652" t="s">
        <v>462</v>
      </c>
      <c r="H2652">
        <v>1000</v>
      </c>
      <c r="J2652">
        <v>1</v>
      </c>
      <c r="K2652" t="str" cm="1">
        <f t="array" ref="K2652">IFERROR(_xlfn.SWITCH(L2652,2,_xlfn.XLOOKUP(C2652,[1]ModifierDes!$B:$B,[1]ModifierDes!$C:$C),3,_xlfn.XLOOKUP(C2652,[1]StuntDes!$B:$B,[1]StuntDes!$C:$C)),"")</f>
        <v/>
      </c>
      <c r="L2652">
        <f t="shared" si="194"/>
        <v>1</v>
      </c>
      <c r="M2652" s="10" t="str">
        <f>IFERROR(_xlfn.XLOOKUP(C2652,[1]StuntDes!$B:$B,[1]StuntDes!$A:$A),"")</f>
        <v/>
      </c>
      <c r="N2652" s="10" t="str">
        <f>IFERROR(_xlfn.XLOOKUP(C2652,[1]ModifierDes!$B:$B,[1]ModifierDes!$A:$A),"")</f>
        <v/>
      </c>
      <c r="O2652" s="10" t="str">
        <f>IFERROR(_xlfn.XLOOKUP(C2652,[1]AttributeName!$C:$C,[1]AttributeName!$B:$B),"")</f>
        <v/>
      </c>
      <c r="P2652" s="10"/>
      <c r="Q2652">
        <v>0.1</v>
      </c>
      <c r="R2652">
        <v>0.2</v>
      </c>
      <c r="S2652" cm="1">
        <f t="array" ref="S2652">IFERROR(_xlfn.SWITCH(L2652,1,_xlfn.XLOOKUP(O2652,[1]AttributeName!$B:$B,[1]AttributeName!$D:$D),2,_xlfn.XLOOKUP(C2652,[1]ModifierDes!$B:$B,[1]ModifierDes!$D:$D),3,_xlfn.XLOOKUP(C2652,[1]StuntDes!$B:$B,[1]StuntDes!$D:$D)),0)</f>
        <v>0</v>
      </c>
      <c r="T2652" cm="1">
        <f t="array" ref="T2652">IFERROR(_xlfn.SWITCH(L2652,1,_xlfn.XLOOKUP(O2652,[1]AttributeName!$B:$B,[1]AttributeName!$E:$E),2,_xlfn.XLOOKUP(C2652,[1]ModifierDes!$B:$B,[1]ModifierDes!$E:$E),3,_xlfn.XLOOKUP(C2652,[1]StuntDes!$B:$B,[1]StuntDes!$E:$E)),0)</f>
        <v>0</v>
      </c>
    </row>
    <row r="2653" customFormat="1" spans="1:20">
      <c r="A2653">
        <v>90013</v>
      </c>
      <c r="B2653">
        <v>1</v>
      </c>
      <c r="C2653" t="s">
        <v>402</v>
      </c>
      <c r="D2653" t="s">
        <v>159</v>
      </c>
      <c r="E2653" t="s">
        <v>462</v>
      </c>
      <c r="H2653">
        <v>1000</v>
      </c>
      <c r="J2653">
        <v>1</v>
      </c>
      <c r="K2653" t="str" cm="1">
        <f t="array" ref="K2653">IFERROR(_xlfn.SWITCH(L2653,2,_xlfn.XLOOKUP(C2653,[1]ModifierDes!$B:$B,[1]ModifierDes!$C:$C),3,_xlfn.XLOOKUP(C2653,[1]StuntDes!$B:$B,[1]StuntDes!$C:$C)),"")</f>
        <v/>
      </c>
      <c r="L2653">
        <f t="shared" si="194"/>
        <v>1</v>
      </c>
      <c r="M2653" s="10" t="str">
        <f>IFERROR(_xlfn.XLOOKUP(C2653,[1]StuntDes!$B:$B,[1]StuntDes!$A:$A),"")</f>
        <v/>
      </c>
      <c r="N2653" s="10" t="str">
        <f>IFERROR(_xlfn.XLOOKUP(C2653,[1]ModifierDes!$B:$B,[1]ModifierDes!$A:$A),"")</f>
        <v/>
      </c>
      <c r="O2653" s="10">
        <f>IFERROR(_xlfn.XLOOKUP(C2653,[1]AttributeName!$C:$C,[1]AttributeName!$B:$B),"")</f>
        <v>10001</v>
      </c>
      <c r="P2653" s="10"/>
      <c r="Q2653">
        <v>60</v>
      </c>
      <c r="R2653">
        <v>100</v>
      </c>
      <c r="S2653" cm="1">
        <f t="array" ref="S2653">IFERROR(_xlfn.SWITCH(L2653,1,_xlfn.XLOOKUP(O2653,[1]AttributeName!$B:$B,[1]AttributeName!$D:$D),2,_xlfn.XLOOKUP(C2653,[1]ModifierDes!$B:$B,[1]ModifierDes!$D:$D),3,_xlfn.XLOOKUP(C2653,[1]StuntDes!$B:$B,[1]StuntDes!$D:$D)),0)</f>
        <v>0</v>
      </c>
      <c r="T2653" cm="1">
        <f t="array" ref="T2653">IFERROR(_xlfn.SWITCH(L2653,1,_xlfn.XLOOKUP(O2653,[1]AttributeName!$B:$B,[1]AttributeName!$E:$E),2,_xlfn.XLOOKUP(C2653,[1]ModifierDes!$B:$B,[1]ModifierDes!$E:$E),3,_xlfn.XLOOKUP(C2653,[1]StuntDes!$B:$B,[1]StuntDes!$E:$E)),0)</f>
        <v>1</v>
      </c>
    </row>
    <row r="2654" customFormat="1" spans="1:20">
      <c r="A2654">
        <v>90014</v>
      </c>
      <c r="B2654">
        <v>1</v>
      </c>
      <c r="C2654" t="s">
        <v>447</v>
      </c>
      <c r="D2654" t="s">
        <v>159</v>
      </c>
      <c r="E2654" t="s">
        <v>462</v>
      </c>
      <c r="H2654">
        <v>1000</v>
      </c>
      <c r="J2654">
        <v>1</v>
      </c>
      <c r="K2654" t="str" cm="1">
        <f t="array" ref="K2654">IFERROR(_xlfn.SWITCH(L2654,2,_xlfn.XLOOKUP(C2654,[1]ModifierDes!$B:$B,[1]ModifierDes!$C:$C),3,_xlfn.XLOOKUP(C2654,[1]StuntDes!$B:$B,[1]StuntDes!$C:$C)),"")</f>
        <v/>
      </c>
      <c r="L2654">
        <f t="shared" si="194"/>
        <v>1</v>
      </c>
      <c r="M2654" s="10" t="str">
        <f>IFERROR(_xlfn.XLOOKUP(C2654,[1]StuntDes!$B:$B,[1]StuntDes!$A:$A),"")</f>
        <v/>
      </c>
      <c r="N2654" s="10" t="str">
        <f>IFERROR(_xlfn.XLOOKUP(C2654,[1]ModifierDes!$B:$B,[1]ModifierDes!$A:$A),"")</f>
        <v/>
      </c>
      <c r="O2654" s="10">
        <f>IFERROR(_xlfn.XLOOKUP(C2654,[1]AttributeName!$C:$C,[1]AttributeName!$B:$B),"")</f>
        <v>10316</v>
      </c>
      <c r="P2654" s="10"/>
      <c r="Q2654">
        <v>0.05</v>
      </c>
      <c r="R2654">
        <v>0.1</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90015</v>
      </c>
      <c r="B2655">
        <v>1</v>
      </c>
      <c r="C2655" t="s">
        <v>508</v>
      </c>
      <c r="D2655" t="s">
        <v>159</v>
      </c>
      <c r="E2655" t="s">
        <v>462</v>
      </c>
      <c r="H2655">
        <v>1000</v>
      </c>
      <c r="J2655">
        <v>1</v>
      </c>
      <c r="K2655" t="str" cm="1">
        <f t="array" ref="K2655">IFERROR(_xlfn.SWITCH(L2655,2,_xlfn.XLOOKUP(C2655,[1]ModifierDes!$B:$B,[1]ModifierDes!$C:$C),3,_xlfn.XLOOKUP(C2655,[1]StuntDes!$B:$B,[1]StuntDes!$C:$C)),"")</f>
        <v/>
      </c>
      <c r="L2655">
        <f t="shared" si="194"/>
        <v>1</v>
      </c>
      <c r="M2655" s="10" t="str">
        <f>IFERROR(_xlfn.XLOOKUP(C2655,[1]StuntDes!$B:$B,[1]StuntDes!$A:$A),"")</f>
        <v/>
      </c>
      <c r="N2655" s="10" t="str">
        <f>IFERROR(_xlfn.XLOOKUP(C2655,[1]ModifierDes!$B:$B,[1]ModifierDes!$A:$A),"")</f>
        <v/>
      </c>
      <c r="O2655" s="10" t="str">
        <f>IFERROR(_xlfn.XLOOKUP(C2655,[1]AttributeName!$C:$C,[1]AttributeName!$B:$B),"")</f>
        <v/>
      </c>
      <c r="P2655" s="10"/>
      <c r="Q2655">
        <v>0</v>
      </c>
      <c r="R2655">
        <v>0</v>
      </c>
      <c r="S2655" cm="1">
        <f t="array" ref="S2655">IFERROR(_xlfn.SWITCH(L2655,1,_xlfn.XLOOKUP(O2655,[1]AttributeName!$B:$B,[1]AttributeName!$D:$D),2,_xlfn.XLOOKUP(C2655,[1]ModifierDes!$B:$B,[1]ModifierDes!$D:$D),3,_xlfn.XLOOKUP(C2655,[1]StuntDes!$B:$B,[1]StuntDes!$D:$D)),0)</f>
        <v>0</v>
      </c>
      <c r="T2655" cm="1">
        <f t="array" ref="T2655">IFERROR(_xlfn.SWITCH(L2655,1,_xlfn.XLOOKUP(O2655,[1]AttributeName!$B:$B,[1]AttributeName!$E:$E),2,_xlfn.XLOOKUP(C2655,[1]ModifierDes!$B:$B,[1]ModifierDes!$E:$E),3,_xlfn.XLOOKUP(C2655,[1]StuntDes!$B:$B,[1]StuntDes!$E:$E)),0)</f>
        <v>0</v>
      </c>
    </row>
    <row r="2656" customFormat="1" spans="1:20">
      <c r="A2656">
        <v>90016</v>
      </c>
      <c r="B2656">
        <v>1</v>
      </c>
      <c r="C2656" s="13" t="s">
        <v>465</v>
      </c>
      <c r="D2656" t="s">
        <v>159</v>
      </c>
      <c r="E2656" t="s">
        <v>462</v>
      </c>
      <c r="H2656">
        <v>1000</v>
      </c>
      <c r="J2656">
        <v>1</v>
      </c>
      <c r="K2656" t="str" cm="1">
        <f t="array" ref="K2656">IFERROR(_xlfn.SWITCH(L2656,2,_xlfn.XLOOKUP(C2656,[1]ModifierDes!$B:$B,[1]ModifierDes!$C:$C),3,_xlfn.XLOOKUP(C2656,[1]StuntDes!$B:$B,[1]StuntDes!$C:$C)),"")</f>
        <v>获得闪电之捷</v>
      </c>
      <c r="L2656">
        <f t="shared" si="194"/>
        <v>3</v>
      </c>
      <c r="M2656" s="10">
        <f>IFERROR(_xlfn.XLOOKUP(C2656,[1]StuntDes!$B:$B,[1]StuntDes!$A:$A),"")</f>
        <v>2110000010</v>
      </c>
      <c r="N2656" s="10" t="str">
        <f>IFERROR(_xlfn.XLOOKUP(C2656,[1]ModifierDes!$B:$B,[1]ModifierDes!$A:$A),"")</f>
        <v/>
      </c>
      <c r="O2656" s="10" t="str">
        <f>IFERROR(_xlfn.XLOOKUP(C2656,[1]AttributeName!$C:$C,[1]AttributeName!$B:$B),"")</f>
        <v/>
      </c>
      <c r="P2656" s="10"/>
      <c r="Q2656">
        <v>0</v>
      </c>
      <c r="R2656">
        <v>0</v>
      </c>
      <c r="S2656" cm="1">
        <f t="array" ref="S2656">IFERROR(_xlfn.SWITCH(L2656,1,_xlfn.XLOOKUP(O2656,[1]AttributeName!$B:$B,[1]AttributeName!$D:$D),2,_xlfn.XLOOKUP(C2656,[1]ModifierDes!$B:$B,[1]ModifierDes!$D:$D),3,_xlfn.XLOOKUP(C2656,[1]StuntDes!$B:$B,[1]StuntDes!$D:$D)),0)</f>
        <v>0</v>
      </c>
      <c r="T2656" cm="1">
        <f t="array" ref="T2656">IFERROR(_xlfn.SWITCH(L2656,1,_xlfn.XLOOKUP(O2656,[1]AttributeName!$B:$B,[1]AttributeName!$E:$E),2,_xlfn.XLOOKUP(C2656,[1]ModifierDes!$B:$B,[1]ModifierDes!$E:$E),3,_xlfn.XLOOKUP(C2656,[1]StuntDes!$B:$B,[1]StuntDes!$E:$E)),0)</f>
        <v>0</v>
      </c>
    </row>
    <row r="2657" customFormat="1" spans="1:20">
      <c r="A2657">
        <v>90017</v>
      </c>
      <c r="B2657">
        <v>1</v>
      </c>
      <c r="C2657" t="s">
        <v>466</v>
      </c>
      <c r="D2657" t="s">
        <v>159</v>
      </c>
      <c r="E2657" t="s">
        <v>462</v>
      </c>
      <c r="H2657">
        <v>1000</v>
      </c>
      <c r="J2657">
        <v>1</v>
      </c>
      <c r="K2657" t="str" cm="1">
        <f t="array" ref="K2657">IFERROR(_xlfn.SWITCH(L2657,2,_xlfn.XLOOKUP(C2657,[1]ModifierDes!$B:$B,[1]ModifierDes!$C:$C),3,_xlfn.XLOOKUP(C2657,[1]StuntDes!$B:$B,[1]StuntDes!$C:$C)),"")</f>
        <v>获得灰烬之捷</v>
      </c>
      <c r="L2657">
        <f t="shared" ref="L2657:L2720" si="195">IF(M2657="",IF(N2657="",1,2),3)</f>
        <v>3</v>
      </c>
      <c r="M2657" s="10">
        <f>IFERROR(_xlfn.XLOOKUP(C2657,[1]StuntDes!$B:$B,[1]StuntDes!$A:$A),"")</f>
        <v>2110000020</v>
      </c>
      <c r="N2657" s="10" t="str">
        <f>IFERROR(_xlfn.XLOOKUP(C2657,[1]ModifierDes!$B:$B,[1]ModifierDes!$A:$A),"")</f>
        <v/>
      </c>
      <c r="O2657" s="10" t="str">
        <f>IFERROR(_xlfn.XLOOKUP(C2657,[1]AttributeName!$C:$C,[1]AttributeName!$B:$B),"")</f>
        <v/>
      </c>
      <c r="P2657" s="10"/>
      <c r="Q2657">
        <v>0</v>
      </c>
      <c r="R2657">
        <v>0</v>
      </c>
      <c r="S2657" cm="1">
        <f t="array" ref="S2657">IFERROR(_xlfn.SWITCH(L2657,1,_xlfn.XLOOKUP(O2657,[1]AttributeName!$B:$B,[1]AttributeName!$D:$D),2,_xlfn.XLOOKUP(C2657,[1]ModifierDes!$B:$B,[1]ModifierDes!$D:$D),3,_xlfn.XLOOKUP(C2657,[1]StuntDes!$B:$B,[1]StuntDes!$D:$D)),0)</f>
        <v>0</v>
      </c>
      <c r="T2657" cm="1">
        <f t="array" ref="T2657">IFERROR(_xlfn.SWITCH(L2657,1,_xlfn.XLOOKUP(O2657,[1]AttributeName!$B:$B,[1]AttributeName!$E:$E),2,_xlfn.XLOOKUP(C2657,[1]ModifierDes!$B:$B,[1]ModifierDes!$E:$E),3,_xlfn.XLOOKUP(C2657,[1]StuntDes!$B:$B,[1]StuntDes!$E:$E)),0)</f>
        <v>0</v>
      </c>
    </row>
    <row r="2658" customFormat="1" spans="1:20">
      <c r="A2658">
        <v>90018</v>
      </c>
      <c r="B2658">
        <v>1</v>
      </c>
      <c r="C2658" t="s">
        <v>467</v>
      </c>
      <c r="D2658" t="s">
        <v>159</v>
      </c>
      <c r="E2658" t="s">
        <v>462</v>
      </c>
      <c r="H2658">
        <v>1000</v>
      </c>
      <c r="J2658">
        <v>1</v>
      </c>
      <c r="K2658" t="str" cm="1">
        <f t="array" ref="K2658">IFERROR(_xlfn.SWITCH(L2658,2,_xlfn.XLOOKUP(C2658,[1]ModifierDes!$B:$B,[1]ModifierDes!$C:$C),3,_xlfn.XLOOKUP(C2658,[1]StuntDes!$B:$B,[1]StuntDes!$C:$C)),"")</f>
        <v>获得冰霜之捷</v>
      </c>
      <c r="L2658">
        <f t="shared" si="195"/>
        <v>3</v>
      </c>
      <c r="M2658" s="10">
        <f>IFERROR(_xlfn.XLOOKUP(C2658,[1]StuntDes!$B:$B,[1]StuntDes!$A:$A),"")</f>
        <v>2110000030</v>
      </c>
      <c r="N2658" s="10" t="str">
        <f>IFERROR(_xlfn.XLOOKUP(C2658,[1]ModifierDes!$B:$B,[1]ModifierDes!$A:$A),"")</f>
        <v/>
      </c>
      <c r="O2658" s="10" t="str">
        <f>IFERROR(_xlfn.XLOOKUP(C2658,[1]AttributeName!$C:$C,[1]AttributeName!$B:$B),"")</f>
        <v/>
      </c>
      <c r="P2658" s="10"/>
      <c r="Q2658">
        <v>0</v>
      </c>
      <c r="R2658">
        <v>0</v>
      </c>
      <c r="S2658" cm="1">
        <f t="array" ref="S2658">IFERROR(_xlfn.SWITCH(L2658,1,_xlfn.XLOOKUP(O2658,[1]AttributeName!$B:$B,[1]AttributeName!$D:$D),2,_xlfn.XLOOKUP(C2658,[1]ModifierDes!$B:$B,[1]ModifierDes!$D:$D),3,_xlfn.XLOOKUP(C2658,[1]StuntDes!$B:$B,[1]StuntDes!$D:$D)),0)</f>
        <v>0</v>
      </c>
      <c r="T2658" cm="1">
        <f t="array" ref="T2658">IFERROR(_xlfn.SWITCH(L2658,1,_xlfn.XLOOKUP(O2658,[1]AttributeName!$B:$B,[1]AttributeName!$E:$E),2,_xlfn.XLOOKUP(C2658,[1]ModifierDes!$B:$B,[1]ModifierDes!$E:$E),3,_xlfn.XLOOKUP(C2658,[1]StuntDes!$B:$B,[1]StuntDes!$E:$E)),0)</f>
        <v>0</v>
      </c>
    </row>
    <row r="2659" customFormat="1" spans="1:20">
      <c r="A2659">
        <v>90019</v>
      </c>
      <c r="B2659">
        <v>1</v>
      </c>
      <c r="C2659" s="13" t="s">
        <v>402</v>
      </c>
      <c r="D2659" t="s">
        <v>170</v>
      </c>
      <c r="E2659" t="s">
        <v>462</v>
      </c>
      <c r="H2659">
        <v>1000</v>
      </c>
      <c r="J2659">
        <v>1</v>
      </c>
      <c r="K2659" t="str" cm="1">
        <f t="array" ref="K2659">IFERROR(_xlfn.SWITCH(L2659,2,_xlfn.XLOOKUP(C2659,[1]ModifierDes!$B:$B,[1]ModifierDes!$C:$C),3,_xlfn.XLOOKUP(C2659,[1]StuntDes!$B:$B,[1]StuntDes!$C:$C)),"")</f>
        <v/>
      </c>
      <c r="L2659">
        <f t="shared" si="195"/>
        <v>1</v>
      </c>
      <c r="M2659" s="10" t="str">
        <f>IFERROR(_xlfn.XLOOKUP(C2659,[1]StuntDes!$B:$B,[1]StuntDes!$A:$A),"")</f>
        <v/>
      </c>
      <c r="N2659" s="10" t="str">
        <f>IFERROR(_xlfn.XLOOKUP(C2659,[1]ModifierDes!$B:$B,[1]ModifierDes!$A:$A),"")</f>
        <v/>
      </c>
      <c r="O2659" s="10">
        <f>IFERROR(_xlfn.XLOOKUP(C2659,[1]AttributeName!$C:$C,[1]AttributeName!$B:$B),"")</f>
        <v>10001</v>
      </c>
      <c r="P2659" s="10"/>
      <c r="Q2659">
        <v>950</v>
      </c>
      <c r="R2659">
        <v>1050</v>
      </c>
      <c r="S2659" cm="1">
        <f t="array" ref="S2659">IFERROR(_xlfn.SWITCH(L2659,1,_xlfn.XLOOKUP(O2659,[1]AttributeName!$B:$B,[1]AttributeName!$D:$D),2,_xlfn.XLOOKUP(C2659,[1]ModifierDes!$B:$B,[1]ModifierDes!$D:$D),3,_xlfn.XLOOKUP(C2659,[1]StuntDes!$B:$B,[1]StuntDes!$D:$D)),0)</f>
        <v>0</v>
      </c>
      <c r="T2659" cm="1">
        <f t="array" ref="T2659">IFERROR(_xlfn.SWITCH(L2659,1,_xlfn.XLOOKUP(O2659,[1]AttributeName!$B:$B,[1]AttributeName!$E:$E),2,_xlfn.XLOOKUP(C2659,[1]ModifierDes!$B:$B,[1]ModifierDes!$E:$E),3,_xlfn.XLOOKUP(C2659,[1]StuntDes!$B:$B,[1]StuntDes!$E:$E)),0)</f>
        <v>1</v>
      </c>
    </row>
    <row r="2660" customFormat="1" spans="1:20">
      <c r="A2660">
        <v>90020</v>
      </c>
      <c r="B2660">
        <v>1</v>
      </c>
      <c r="C2660" t="s">
        <v>403</v>
      </c>
      <c r="D2660" t="s">
        <v>170</v>
      </c>
      <c r="E2660" t="s">
        <v>462</v>
      </c>
      <c r="H2660">
        <v>1000</v>
      </c>
      <c r="J2660">
        <v>1</v>
      </c>
      <c r="K2660" t="str" cm="1">
        <f t="array" ref="K2660">IFERROR(_xlfn.SWITCH(L2660,2,_xlfn.XLOOKUP(C2660,[1]ModifierDes!$B:$B,[1]ModifierDes!$C:$C),3,_xlfn.XLOOKUP(C2660,[1]StuntDes!$B:$B,[1]StuntDes!$C:$C)),"")</f>
        <v/>
      </c>
      <c r="L2660">
        <f t="shared" si="195"/>
        <v>1</v>
      </c>
      <c r="M2660" s="10" t="str">
        <f>IFERROR(_xlfn.XLOOKUP(C2660,[1]StuntDes!$B:$B,[1]StuntDes!$A:$A),"")</f>
        <v/>
      </c>
      <c r="N2660" s="10" t="str">
        <f>IFERROR(_xlfn.XLOOKUP(C2660,[1]ModifierDes!$B:$B,[1]ModifierDes!$A:$A),"")</f>
        <v/>
      </c>
      <c r="O2660" s="10">
        <f>IFERROR(_xlfn.XLOOKUP(C2660,[1]AttributeName!$C:$C,[1]AttributeName!$B:$B),"")</f>
        <v>10002</v>
      </c>
      <c r="P2660" s="10"/>
      <c r="Q2660">
        <v>70</v>
      </c>
      <c r="R2660">
        <v>100</v>
      </c>
      <c r="S2660" cm="1">
        <f t="array" ref="S2660">IFERROR(_xlfn.SWITCH(L2660,1,_xlfn.XLOOKUP(O2660,[1]AttributeName!$B:$B,[1]AttributeName!$D:$D),2,_xlfn.XLOOKUP(C2660,[1]ModifierDes!$B:$B,[1]ModifierDes!$D:$D),3,_xlfn.XLOOKUP(C2660,[1]StuntDes!$B:$B,[1]StuntDes!$D:$D)),0)</f>
        <v>0</v>
      </c>
      <c r="T2660" cm="1">
        <f t="array" ref="T2660">IFERROR(_xlfn.SWITCH(L2660,1,_xlfn.XLOOKUP(O2660,[1]AttributeName!$B:$B,[1]AttributeName!$E:$E),2,_xlfn.XLOOKUP(C2660,[1]ModifierDes!$B:$B,[1]ModifierDes!$E:$E),3,_xlfn.XLOOKUP(C2660,[1]StuntDes!$B:$B,[1]StuntDes!$E:$E)),0)</f>
        <v>1</v>
      </c>
    </row>
    <row r="2661" customFormat="1" spans="1:20">
      <c r="A2661">
        <v>90021</v>
      </c>
      <c r="B2661">
        <v>1</v>
      </c>
      <c r="C2661" t="s">
        <v>508</v>
      </c>
      <c r="D2661" t="s">
        <v>170</v>
      </c>
      <c r="E2661" t="s">
        <v>462</v>
      </c>
      <c r="H2661">
        <v>1000</v>
      </c>
      <c r="J2661">
        <v>1</v>
      </c>
      <c r="K2661" t="str" cm="1">
        <f t="array" ref="K2661">IFERROR(_xlfn.SWITCH(L2661,2,_xlfn.XLOOKUP(C2661,[1]ModifierDes!$B:$B,[1]ModifierDes!$C:$C),3,_xlfn.XLOOKUP(C2661,[1]StuntDes!$B:$B,[1]StuntDes!$C:$C)),"")</f>
        <v/>
      </c>
      <c r="L2661">
        <f t="shared" si="195"/>
        <v>1</v>
      </c>
      <c r="M2661" s="10" t="str">
        <f>IFERROR(_xlfn.XLOOKUP(C2661,[1]StuntDes!$B:$B,[1]StuntDes!$A:$A),"")</f>
        <v/>
      </c>
      <c r="N2661" s="10" t="str">
        <f>IFERROR(_xlfn.XLOOKUP(C2661,[1]ModifierDes!$B:$B,[1]ModifierDes!$A:$A),"")</f>
        <v/>
      </c>
      <c r="O2661" s="10" t="str">
        <f>IFERROR(_xlfn.XLOOKUP(C2661,[1]AttributeName!$C:$C,[1]AttributeName!$B:$B),"")</f>
        <v/>
      </c>
      <c r="P2661" s="10"/>
      <c r="Q2661">
        <v>0</v>
      </c>
      <c r="R2661">
        <v>0</v>
      </c>
      <c r="S2661" cm="1">
        <f t="array" ref="S2661">IFERROR(_xlfn.SWITCH(L2661,1,_xlfn.XLOOKUP(O2661,[1]AttributeName!$B:$B,[1]AttributeName!$D:$D),2,_xlfn.XLOOKUP(C2661,[1]ModifierDes!$B:$B,[1]ModifierDes!$D:$D),3,_xlfn.XLOOKUP(C2661,[1]StuntDes!$B:$B,[1]StuntDes!$D:$D)),0)</f>
        <v>0</v>
      </c>
      <c r="T2661" cm="1">
        <f t="array" ref="T2661">IFERROR(_xlfn.SWITCH(L2661,1,_xlfn.XLOOKUP(O2661,[1]AttributeName!$B:$B,[1]AttributeName!$E:$E),2,_xlfn.XLOOKUP(C2661,[1]ModifierDes!$B:$B,[1]ModifierDes!$E:$E),3,_xlfn.XLOOKUP(C2661,[1]StuntDes!$B:$B,[1]StuntDes!$E:$E)),0)</f>
        <v>0</v>
      </c>
    </row>
    <row r="2662" customFormat="1" spans="1:20">
      <c r="A2662">
        <v>90022</v>
      </c>
      <c r="B2662">
        <v>1</v>
      </c>
      <c r="C2662" s="13" t="s">
        <v>442</v>
      </c>
      <c r="D2662" t="s">
        <v>170</v>
      </c>
      <c r="E2662" t="s">
        <v>462</v>
      </c>
      <c r="H2662">
        <v>1000</v>
      </c>
      <c r="J2662">
        <v>1</v>
      </c>
      <c r="K2662" t="str" cm="1">
        <f t="array" ref="K2662">IFERROR(_xlfn.SWITCH(L2662,2,_xlfn.XLOOKUP(C2662,[1]ModifierDes!$B:$B,[1]ModifierDes!$C:$C),3,_xlfn.XLOOKUP(C2662,[1]StuntDes!$B:$B,[1]StuntDes!$C:$C)),"")</f>
        <v/>
      </c>
      <c r="L2662">
        <f t="shared" si="195"/>
        <v>1</v>
      </c>
      <c r="M2662" s="10" t="str">
        <f>IFERROR(_xlfn.XLOOKUP(C2662,[1]StuntDes!$B:$B,[1]StuntDes!$A:$A),"")</f>
        <v/>
      </c>
      <c r="N2662" s="10" t="str">
        <f>IFERROR(_xlfn.XLOOKUP(C2662,[1]ModifierDes!$B:$B,[1]ModifierDes!$A:$A),"")</f>
        <v/>
      </c>
      <c r="O2662" s="10">
        <f>IFERROR(_xlfn.XLOOKUP(C2662,[1]AttributeName!$C:$C,[1]AttributeName!$B:$B),"")</f>
        <v>10007</v>
      </c>
      <c r="P2662" s="10"/>
      <c r="Q2662">
        <v>0.6</v>
      </c>
      <c r="R2662">
        <v>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90023</v>
      </c>
      <c r="B2663">
        <v>1</v>
      </c>
      <c r="C2663" s="13" t="s">
        <v>433</v>
      </c>
      <c r="D2663" t="s">
        <v>170</v>
      </c>
      <c r="E2663" t="s">
        <v>462</v>
      </c>
      <c r="H2663">
        <v>1000</v>
      </c>
      <c r="J2663">
        <v>1</v>
      </c>
      <c r="K2663" t="str" cm="1">
        <f t="array" ref="K2663">IFERROR(_xlfn.SWITCH(L2663,2,_xlfn.XLOOKUP(C2663,[1]ModifierDes!$B:$B,[1]ModifierDes!$C:$C),3,_xlfn.XLOOKUP(C2663,[1]StuntDes!$B:$B,[1]StuntDes!$C:$C)),"")</f>
        <v/>
      </c>
      <c r="L2663">
        <f t="shared" si="195"/>
        <v>1</v>
      </c>
      <c r="M2663" s="10" t="str">
        <f>IFERROR(_xlfn.XLOOKUP(C2663,[1]StuntDes!$B:$B,[1]StuntDes!$A:$A),"")</f>
        <v/>
      </c>
      <c r="N2663" s="10" t="str">
        <f>IFERROR(_xlfn.XLOOKUP(C2663,[1]ModifierDes!$B:$B,[1]ModifierDes!$A:$A),"")</f>
        <v/>
      </c>
      <c r="O2663" s="10">
        <f>IFERROR(_xlfn.XLOOKUP(C2663,[1]AttributeName!$C:$C,[1]AttributeName!$B:$B),"")</f>
        <v>10312</v>
      </c>
      <c r="P2663" s="10"/>
      <c r="Q2663">
        <v>0.3</v>
      </c>
      <c r="R2663">
        <v>0.4</v>
      </c>
      <c r="S2663" cm="1">
        <f t="array" ref="S2663">IFERROR(_xlfn.SWITCH(L2663,1,_xlfn.XLOOKUP(O2663,[1]AttributeName!$B:$B,[1]AttributeName!$D:$D),2,_xlfn.XLOOKUP(C2663,[1]ModifierDes!$B:$B,[1]ModifierDes!$D:$D),3,_xlfn.XLOOKUP(C2663,[1]StuntDes!$B:$B,[1]StuntDes!$D:$D)),0)</f>
        <v>2</v>
      </c>
      <c r="T2663" cm="1">
        <f t="array" ref="T2663">IFERROR(_xlfn.SWITCH(L2663,1,_xlfn.XLOOKUP(O2663,[1]AttributeName!$B:$B,[1]AttributeName!$E:$E),2,_xlfn.XLOOKUP(C2663,[1]ModifierDes!$B:$B,[1]ModifierDes!$E:$E),3,_xlfn.XLOOKUP(C2663,[1]StuntDes!$B:$B,[1]StuntDes!$E:$E)),0)</f>
        <v>2</v>
      </c>
    </row>
    <row r="2664" customFormat="1" spans="1:20">
      <c r="A2664">
        <v>90024</v>
      </c>
      <c r="B2664">
        <v>1</v>
      </c>
      <c r="C2664" t="s">
        <v>508</v>
      </c>
      <c r="D2664" t="s">
        <v>170</v>
      </c>
      <c r="E2664" t="s">
        <v>462</v>
      </c>
      <c r="H2664">
        <v>1000</v>
      </c>
      <c r="J2664">
        <v>1</v>
      </c>
      <c r="K2664" t="str" cm="1">
        <f t="array" ref="K2664">IFERROR(_xlfn.SWITCH(L2664,2,_xlfn.XLOOKUP(C2664,[1]ModifierDes!$B:$B,[1]ModifierDes!$C:$C),3,_xlfn.XLOOKUP(C2664,[1]StuntDes!$B:$B,[1]StuntDes!$C:$C)),"")</f>
        <v/>
      </c>
      <c r="L2664">
        <f t="shared" si="195"/>
        <v>1</v>
      </c>
      <c r="M2664" s="10" t="str">
        <f>IFERROR(_xlfn.XLOOKUP(C2664,[1]StuntDes!$B:$B,[1]StuntDes!$A:$A),"")</f>
        <v/>
      </c>
      <c r="N2664" s="10" t="str">
        <f>IFERROR(_xlfn.XLOOKUP(C2664,[1]ModifierDes!$B:$B,[1]ModifierDes!$A:$A),"")</f>
        <v/>
      </c>
      <c r="O2664" s="10" t="str">
        <f>IFERROR(_xlfn.XLOOKUP(C2664,[1]AttributeName!$C:$C,[1]AttributeName!$B:$B),"")</f>
        <v/>
      </c>
      <c r="P2664" s="10"/>
      <c r="Q2664">
        <v>0</v>
      </c>
      <c r="R2664">
        <v>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0</v>
      </c>
    </row>
    <row r="2665" customFormat="1" spans="1:20">
      <c r="A2665">
        <v>90025</v>
      </c>
      <c r="B2665">
        <v>1</v>
      </c>
      <c r="C2665" s="13" t="s">
        <v>509</v>
      </c>
      <c r="D2665" t="s">
        <v>179</v>
      </c>
      <c r="E2665" t="s">
        <v>462</v>
      </c>
      <c r="H2665">
        <v>1000</v>
      </c>
      <c r="J2665">
        <v>1</v>
      </c>
      <c r="K2665" t="str" cm="1">
        <f t="array" ref="K2665">IFERROR(_xlfn.SWITCH(L2665,2,_xlfn.XLOOKUP(C2665,[1]ModifierDes!$B:$B,[1]ModifierDes!$C:$C),3,_xlfn.XLOOKUP(C2665,[1]StuntDes!$B:$B,[1]StuntDes!$C:$C)),"")</f>
        <v>闪电伤害倍率增加{0}</v>
      </c>
      <c r="L2665">
        <f t="shared" si="195"/>
        <v>2</v>
      </c>
      <c r="M2665" s="10" t="str">
        <f>IFERROR(_xlfn.XLOOKUP(C2665,[1]StuntDes!$B:$B,[1]StuntDes!$A:$A),"")</f>
        <v/>
      </c>
      <c r="N2665" s="10">
        <f>IFERROR(_xlfn.XLOOKUP(C2665,[1]ModifierDes!$B:$B,[1]ModifierDes!$A:$A),"")</f>
        <v>10059</v>
      </c>
      <c r="O2665" s="10" t="str">
        <f>IFERROR(_xlfn.XLOOKUP(C2665,[1]AttributeName!$C:$C,[1]AttributeName!$B:$B),"")</f>
        <v/>
      </c>
      <c r="P2665" s="10"/>
      <c r="Q2665">
        <v>0.25</v>
      </c>
      <c r="R2665">
        <v>0.35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90026</v>
      </c>
      <c r="B2666">
        <v>1</v>
      </c>
      <c r="C2666" t="s">
        <v>413</v>
      </c>
      <c r="D2666" t="s">
        <v>179</v>
      </c>
      <c r="E2666" t="s">
        <v>462</v>
      </c>
      <c r="H2666">
        <v>1000</v>
      </c>
      <c r="J2666">
        <v>1</v>
      </c>
      <c r="K2666" t="str" cm="1">
        <f t="array" ref="K2666">IFERROR(_xlfn.SWITCH(L2666,2,_xlfn.XLOOKUP(C2666,[1]ModifierDes!$B:$B,[1]ModifierDes!$C:$C),3,_xlfn.XLOOKUP(C2666,[1]StuntDes!$B:$B,[1]StuntDes!$C:$C)),"")</f>
        <v>攻击速度提高{0}</v>
      </c>
      <c r="L2666">
        <f t="shared" si="195"/>
        <v>2</v>
      </c>
      <c r="M2666" s="10" t="str">
        <f>IFERROR(_xlfn.XLOOKUP(C2666,[1]StuntDes!$B:$B,[1]StuntDes!$A:$A),"")</f>
        <v/>
      </c>
      <c r="N2666" s="10">
        <f>IFERROR(_xlfn.XLOOKUP(C2666,[1]ModifierDes!$B:$B,[1]ModifierDes!$A:$A),"")</f>
        <v>10031</v>
      </c>
      <c r="O2666" s="10"/>
      <c r="P2666" s="10"/>
      <c r="Q2666">
        <v>0.3</v>
      </c>
      <c r="R2666">
        <v>0.4</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90027</v>
      </c>
      <c r="B2667">
        <v>1</v>
      </c>
      <c r="C2667" t="s">
        <v>508</v>
      </c>
      <c r="D2667" t="s">
        <v>179</v>
      </c>
      <c r="E2667" t="s">
        <v>462</v>
      </c>
      <c r="H2667">
        <v>1000</v>
      </c>
      <c r="J2667">
        <v>1</v>
      </c>
      <c r="K2667" t="str" cm="1">
        <f t="array" ref="K2667">IFERROR(_xlfn.SWITCH(L2667,2,_xlfn.XLOOKUP(C2667,[1]ModifierDes!$B:$B,[1]ModifierDes!$C:$C),3,_xlfn.XLOOKUP(C2667,[1]StuntDes!$B:$B,[1]StuntDes!$C:$C)),"")</f>
        <v/>
      </c>
      <c r="L2667">
        <f t="shared" si="195"/>
        <v>1</v>
      </c>
      <c r="M2667" s="10" t="str">
        <f>IFERROR(_xlfn.XLOOKUP(C2667,[1]StuntDes!$B:$B,[1]StuntDes!$A:$A),"")</f>
        <v/>
      </c>
      <c r="N2667" s="10" t="str">
        <f>IFERROR(_xlfn.XLOOKUP(C2667,[1]ModifierDes!$B:$B,[1]ModifierDes!$A:$A),"")</f>
        <v/>
      </c>
      <c r="O2667" s="10" t="str">
        <f>IFERROR(_xlfn.XLOOKUP(C2667,[1]AttributeName!$C:$C,[1]AttributeName!$B:$B),"")</f>
        <v/>
      </c>
      <c r="P2667" s="10"/>
      <c r="Q2667">
        <v>0</v>
      </c>
      <c r="R2667">
        <v>0</v>
      </c>
      <c r="S2667" cm="1">
        <f t="array" ref="S2667">IFERROR(_xlfn.SWITCH(L2667,1,_xlfn.XLOOKUP(O2667,[1]AttributeName!$B:$B,[1]AttributeName!$D:$D),2,_xlfn.XLOOKUP(C2667,[1]ModifierDes!$B:$B,[1]ModifierDes!$D:$D),3,_xlfn.XLOOKUP(C2667,[1]StuntDes!$B:$B,[1]StuntDes!$D:$D)),0)</f>
        <v>0</v>
      </c>
      <c r="T2667" cm="1">
        <f t="array" ref="T2667">IFERROR(_xlfn.SWITCH(L2667,1,_xlfn.XLOOKUP(O2667,[1]AttributeName!$B:$B,[1]AttributeName!$E:$E),2,_xlfn.XLOOKUP(C2667,[1]ModifierDes!$B:$B,[1]ModifierDes!$E:$E),3,_xlfn.XLOOKUP(C2667,[1]StuntDes!$B:$B,[1]StuntDes!$E:$E)),0)</f>
        <v>0</v>
      </c>
    </row>
    <row r="2668" customFormat="1" spans="1:20">
      <c r="A2668">
        <v>90028</v>
      </c>
      <c r="B2668">
        <v>1</v>
      </c>
      <c r="C2668" s="13" t="s">
        <v>416</v>
      </c>
      <c r="D2668" t="s">
        <v>179</v>
      </c>
      <c r="E2668" t="s">
        <v>462</v>
      </c>
      <c r="H2668">
        <v>1000</v>
      </c>
      <c r="J2668">
        <v>1</v>
      </c>
      <c r="K2668" t="str" cm="1">
        <f t="array" ref="K2668">IFERROR(_xlfn.SWITCH(L2668,2,_xlfn.XLOOKUP(C2668,[1]ModifierDes!$B:$B,[1]ModifierDes!$C:$C),3,_xlfn.XLOOKUP(C2668,[1]StuntDes!$B:$B,[1]StuntDes!$C:$C)),"")</f>
        <v/>
      </c>
      <c r="L2668">
        <f t="shared" si="195"/>
        <v>1</v>
      </c>
      <c r="M2668" s="10" t="str">
        <f>IFERROR(_xlfn.XLOOKUP(C2668,[1]StuntDes!$B:$B,[1]StuntDes!$A:$A),"")</f>
        <v/>
      </c>
      <c r="N2668" s="10" t="str">
        <f>IFERROR(_xlfn.XLOOKUP(C2668,[1]ModifierDes!$B:$B,[1]ModifierDes!$A:$A),"")</f>
        <v/>
      </c>
      <c r="O2668" s="10">
        <f>IFERROR(_xlfn.XLOOKUP(C2668,[1]AttributeName!$C:$C,[1]AttributeName!$B:$B),"")</f>
        <v>11009</v>
      </c>
      <c r="P2668" s="10"/>
      <c r="Q2668">
        <v>0.6</v>
      </c>
      <c r="R2668">
        <v>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customFormat="1" spans="1:20">
      <c r="A2669">
        <v>90029</v>
      </c>
      <c r="B2669">
        <v>1</v>
      </c>
      <c r="C2669" s="13" t="s">
        <v>468</v>
      </c>
      <c r="D2669" t="s">
        <v>179</v>
      </c>
      <c r="E2669" t="s">
        <v>462</v>
      </c>
      <c r="H2669">
        <v>1000</v>
      </c>
      <c r="J2669">
        <v>1</v>
      </c>
      <c r="K2669" t="str" cm="1">
        <f t="array" ref="K2669">IFERROR(_xlfn.SWITCH(L2669,2,_xlfn.XLOOKUP(C2669,[1]ModifierDes!$B:$B,[1]ModifierDes!$C:$C),3,_xlfn.XLOOKUP(C2669,[1]StuntDes!$B:$B,[1]StuntDes!$C:$C)),"")</f>
        <v/>
      </c>
      <c r="L2669">
        <f t="shared" si="195"/>
        <v>1</v>
      </c>
      <c r="M2669" s="10" t="str">
        <f>IFERROR(_xlfn.XLOOKUP(C2669,[1]StuntDes!$B:$B,[1]StuntDes!$A:$A),"")</f>
        <v/>
      </c>
      <c r="N2669" s="10" t="str">
        <f>IFERROR(_xlfn.XLOOKUP(C2669,[1]ModifierDes!$B:$B,[1]ModifierDes!$A:$A),"")</f>
        <v/>
      </c>
      <c r="O2669" s="10">
        <f>IFERROR(_xlfn.XLOOKUP(C2669,[1]AttributeName!$C:$C,[1]AttributeName!$B:$B),"")</f>
        <v>11010</v>
      </c>
      <c r="P2669" s="10"/>
      <c r="Q2669">
        <v>0.6</v>
      </c>
      <c r="R2669">
        <v>1</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customFormat="1" spans="1:20">
      <c r="A2670">
        <v>90030</v>
      </c>
      <c r="B2670">
        <v>1</v>
      </c>
      <c r="C2670" t="s">
        <v>409</v>
      </c>
      <c r="D2670" t="s">
        <v>179</v>
      </c>
      <c r="E2670" t="s">
        <v>462</v>
      </c>
      <c r="H2670">
        <v>1000</v>
      </c>
      <c r="J2670">
        <v>1</v>
      </c>
      <c r="K2670" t="str" cm="1">
        <f t="array" ref="K2670">IFERROR(_xlfn.SWITCH(L2670,2,_xlfn.XLOOKUP(C2670,[1]ModifierDes!$B:$B,[1]ModifierDes!$C:$C),3,_xlfn.XLOOKUP(C2670,[1]StuntDes!$B:$B,[1]StuntDes!$C:$C)),"")</f>
        <v>闪电技能等级增加{0}</v>
      </c>
      <c r="L2670">
        <f t="shared" si="195"/>
        <v>2</v>
      </c>
      <c r="M2670" s="10" t="str">
        <f>IFERROR(_xlfn.XLOOKUP(C2670,[1]StuntDes!$B:$B,[1]StuntDes!$A:$A),"")</f>
        <v/>
      </c>
      <c r="N2670" s="10">
        <f>IFERROR(_xlfn.XLOOKUP(C2670,[1]ModifierDes!$B:$B,[1]ModifierDes!$A:$A),"")</f>
        <v>10159</v>
      </c>
      <c r="O2670" s="10" t="str">
        <f>IFERROR(_xlfn.XLOOKUP(C2670,[1]AttributeName!$C:$C,[1]AttributeName!$B:$B),"")</f>
        <v/>
      </c>
      <c r="P2670" s="10"/>
      <c r="Q2670">
        <v>2</v>
      </c>
      <c r="R2670">
        <v>3</v>
      </c>
      <c r="S2670" cm="1">
        <f t="array" ref="S2670">IFERROR(_xlfn.SWITCH(L2670,1,_xlfn.XLOOKUP(O2670,[1]AttributeName!$B:$B,[1]AttributeName!$D:$D),2,_xlfn.XLOOKUP(C2670,[1]ModifierDes!$B:$B,[1]ModifierDes!$D:$D),3,_xlfn.XLOOKUP(C2670,[1]StuntDes!$B:$B,[1]StuntDes!$D:$D)),0)</f>
        <v>0</v>
      </c>
      <c r="T2670" cm="1">
        <f t="array" ref="T2670">IFERROR(_xlfn.SWITCH(L2670,1,_xlfn.XLOOKUP(O2670,[1]AttributeName!$B:$B,[1]AttributeName!$E:$E),2,_xlfn.XLOOKUP(C2670,[1]ModifierDes!$B:$B,[1]ModifierDes!$E:$E),3,_xlfn.XLOOKUP(C2670,[1]StuntDes!$B:$B,[1]StuntDes!$E:$E)),0)</f>
        <v>0</v>
      </c>
    </row>
    <row r="2671" customFormat="1" spans="1:20">
      <c r="A2671">
        <v>90031</v>
      </c>
      <c r="B2671">
        <v>1</v>
      </c>
      <c r="C2671" s="13" t="s">
        <v>507</v>
      </c>
      <c r="D2671" t="s">
        <v>182</v>
      </c>
      <c r="E2671" t="s">
        <v>462</v>
      </c>
      <c r="H2671">
        <v>1000</v>
      </c>
      <c r="J2671">
        <v>1</v>
      </c>
      <c r="K2671" t="str" cm="1">
        <f t="array" ref="K2671">IFERROR(_xlfn.SWITCH(L2671,2,_xlfn.XLOOKUP(C2671,[1]ModifierDes!$B:$B,[1]ModifierDes!$C:$C),3,_xlfn.XLOOKUP(C2671,[1]StuntDes!$B:$B,[1]StuntDes!$C:$C)),"")</f>
        <v>物理伤害倍率增加{0}</v>
      </c>
      <c r="L2671">
        <f t="shared" si="195"/>
        <v>2</v>
      </c>
      <c r="M2671" s="10" t="str">
        <f>IFERROR(_xlfn.XLOOKUP(C2671,[1]StuntDes!$B:$B,[1]StuntDes!$A:$A),"")</f>
        <v/>
      </c>
      <c r="N2671" s="10">
        <f>IFERROR(_xlfn.XLOOKUP(C2671,[1]ModifierDes!$B:$B,[1]ModifierDes!$A:$A),"")</f>
        <v>10056</v>
      </c>
      <c r="O2671" s="10" t="str">
        <f>IFERROR(_xlfn.XLOOKUP(C2671,[1]AttributeName!$C:$C,[1]AttributeName!$B:$B),"")</f>
        <v/>
      </c>
      <c r="P2671" s="10"/>
      <c r="Q2671">
        <v>0.25</v>
      </c>
      <c r="R2671">
        <v>0.35</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customFormat="1" spans="1:20">
      <c r="A2672">
        <v>90032</v>
      </c>
      <c r="B2672">
        <v>1</v>
      </c>
      <c r="C2672" t="s">
        <v>406</v>
      </c>
      <c r="D2672" t="s">
        <v>182</v>
      </c>
      <c r="E2672" t="s">
        <v>462</v>
      </c>
      <c r="H2672">
        <v>1000</v>
      </c>
      <c r="J2672">
        <v>1</v>
      </c>
      <c r="K2672" t="str" cm="1">
        <f t="array" ref="K2672">IFERROR(_xlfn.SWITCH(L2672,2,_xlfn.XLOOKUP(C2672,[1]ModifierDes!$B:$B,[1]ModifierDes!$C:$C),3,_xlfn.XLOOKUP(C2672,[1]StuntDes!$B:$B,[1]StuntDes!$C:$C)),"")</f>
        <v>物理技能等级增加{0}</v>
      </c>
      <c r="L2672">
        <f t="shared" si="195"/>
        <v>2</v>
      </c>
      <c r="M2672" s="10" t="str">
        <f>IFERROR(_xlfn.XLOOKUP(C2672,[1]StuntDes!$B:$B,[1]StuntDes!$A:$A),"")</f>
        <v/>
      </c>
      <c r="N2672" s="10">
        <f>IFERROR(_xlfn.XLOOKUP(C2672,[1]ModifierDes!$B:$B,[1]ModifierDes!$A:$A),"")</f>
        <v>10156</v>
      </c>
      <c r="O2672" s="10" t="str">
        <f>IFERROR(_xlfn.XLOOKUP(C2672,[1]AttributeName!$C:$C,[1]AttributeName!$B:$B),"")</f>
        <v/>
      </c>
      <c r="P2672" s="10"/>
      <c r="Q2672">
        <v>1</v>
      </c>
      <c r="R2672">
        <v>2</v>
      </c>
      <c r="S2672" cm="1">
        <f t="array" ref="S2672">IFERROR(_xlfn.SWITCH(L2672,1,_xlfn.XLOOKUP(O2672,[1]AttributeName!$B:$B,[1]AttributeName!$D:$D),2,_xlfn.XLOOKUP(C2672,[1]ModifierDes!$B:$B,[1]ModifierDes!$D:$D),3,_xlfn.XLOOKUP(C2672,[1]StuntDes!$B:$B,[1]StuntDes!$D:$D)),0)</f>
        <v>0</v>
      </c>
      <c r="T2672" cm="1">
        <f t="array" ref="T2672">IFERROR(_xlfn.SWITCH(L2672,1,_xlfn.XLOOKUP(O2672,[1]AttributeName!$B:$B,[1]AttributeName!$E:$E),2,_xlfn.XLOOKUP(C2672,[1]ModifierDes!$B:$B,[1]ModifierDes!$E:$E),3,_xlfn.XLOOKUP(C2672,[1]StuntDes!$B:$B,[1]StuntDes!$E:$E)),0)</f>
        <v>0</v>
      </c>
    </row>
    <row r="2673" customFormat="1" spans="1:20">
      <c r="A2673">
        <v>90033</v>
      </c>
      <c r="B2673">
        <v>1</v>
      </c>
      <c r="C2673" t="s">
        <v>508</v>
      </c>
      <c r="D2673" t="s">
        <v>182</v>
      </c>
      <c r="E2673" t="s">
        <v>462</v>
      </c>
      <c r="H2673">
        <v>1000</v>
      </c>
      <c r="J2673">
        <v>1</v>
      </c>
      <c r="K2673" t="str" cm="1">
        <f t="array" ref="K2673">IFERROR(_xlfn.SWITCH(L2673,2,_xlfn.XLOOKUP(C2673,[1]ModifierDes!$B:$B,[1]ModifierDes!$C:$C),3,_xlfn.XLOOKUP(C2673,[1]StuntDes!$B:$B,[1]StuntDes!$C:$C)),"")</f>
        <v/>
      </c>
      <c r="L2673">
        <f t="shared" si="195"/>
        <v>1</v>
      </c>
      <c r="M2673" s="10" t="str">
        <f>IFERROR(_xlfn.XLOOKUP(C2673,[1]StuntDes!$B:$B,[1]StuntDes!$A:$A),"")</f>
        <v/>
      </c>
      <c r="N2673" s="10" t="str">
        <f>IFERROR(_xlfn.XLOOKUP(C2673,[1]ModifierDes!$B:$B,[1]ModifierDes!$A:$A),"")</f>
        <v/>
      </c>
      <c r="O2673" s="10" t="str">
        <f>IFERROR(_xlfn.XLOOKUP(C2673,[1]AttributeName!$C:$C,[1]AttributeName!$B:$B),"")</f>
        <v/>
      </c>
      <c r="P2673" s="10"/>
      <c r="Q2673">
        <v>0</v>
      </c>
      <c r="R2673">
        <v>0</v>
      </c>
      <c r="S2673" cm="1">
        <f t="array" ref="S2673">IFERROR(_xlfn.SWITCH(L2673,1,_xlfn.XLOOKUP(O2673,[1]AttributeName!$B:$B,[1]AttributeName!$D:$D),2,_xlfn.XLOOKUP(C2673,[1]ModifierDes!$B:$B,[1]ModifierDes!$D:$D),3,_xlfn.XLOOKUP(C2673,[1]StuntDes!$B:$B,[1]StuntDes!$D:$D)),0)</f>
        <v>0</v>
      </c>
      <c r="T2673" cm="1">
        <f t="array" ref="T2673">IFERROR(_xlfn.SWITCH(L2673,1,_xlfn.XLOOKUP(O2673,[1]AttributeName!$B:$B,[1]AttributeName!$E:$E),2,_xlfn.XLOOKUP(C2673,[1]ModifierDes!$B:$B,[1]ModifierDes!$E:$E),3,_xlfn.XLOOKUP(C2673,[1]StuntDes!$B:$B,[1]StuntDes!$E:$E)),0)</f>
        <v>0</v>
      </c>
    </row>
    <row r="2674" customFormat="1" spans="1:20">
      <c r="A2674">
        <v>90034</v>
      </c>
      <c r="B2674">
        <v>1</v>
      </c>
      <c r="C2674" s="13" t="s">
        <v>469</v>
      </c>
      <c r="D2674" t="s">
        <v>182</v>
      </c>
      <c r="E2674" t="s">
        <v>462</v>
      </c>
      <c r="H2674">
        <v>1000</v>
      </c>
      <c r="J2674">
        <v>1</v>
      </c>
      <c r="K2674" t="str" cm="1">
        <f t="array" ref="K2674">IFERROR(_xlfn.SWITCH(L2674,2,_xlfn.XLOOKUP(C2674,[1]ModifierDes!$B:$B,[1]ModifierDes!$C:$C),3,_xlfn.XLOOKUP(C2674,[1]StuntDes!$B:$B,[1]StuntDes!$C:$C)),"")</f>
        <v>物理伤害转冰冷伤害增加{0}</v>
      </c>
      <c r="L2674">
        <f t="shared" si="195"/>
        <v>2</v>
      </c>
      <c r="M2674" s="10" t="str">
        <f>IFERROR(_xlfn.XLOOKUP(C2674,[1]StuntDes!$B:$B,[1]StuntDes!$A:$A),"")</f>
        <v/>
      </c>
      <c r="N2674" s="10">
        <f>IFERROR(_xlfn.XLOOKUP(C2674,[1]ModifierDes!$B:$B,[1]ModifierDes!$A:$A),"")</f>
        <v>10070</v>
      </c>
      <c r="O2674" s="10" t="str">
        <f>IFERROR(_xlfn.XLOOKUP(C2674,[1]AttributeName!$C:$C,[1]AttributeName!$B:$B),"")</f>
        <v/>
      </c>
      <c r="P2674" s="10"/>
      <c r="Q2674">
        <v>1</v>
      </c>
      <c r="R2674">
        <v>1</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customFormat="1" spans="1:20">
      <c r="A2675">
        <v>90035</v>
      </c>
      <c r="B2675">
        <v>1</v>
      </c>
      <c r="C2675" s="13" t="s">
        <v>470</v>
      </c>
      <c r="D2675" t="s">
        <v>182</v>
      </c>
      <c r="E2675" t="s">
        <v>462</v>
      </c>
      <c r="H2675">
        <v>1000</v>
      </c>
      <c r="J2675">
        <v>1</v>
      </c>
      <c r="K2675" t="str" cm="1">
        <f t="array" ref="K2675">IFERROR(_xlfn.SWITCH(L2675,2,_xlfn.XLOOKUP(C2675,[1]ModifierDes!$B:$B,[1]ModifierDes!$C:$C),3,_xlfn.XLOOKUP(C2675,[1]StuntDes!$B:$B,[1]StuntDes!$C:$C)),"")</f>
        <v>物理伤害转火焰伤害增加{0}</v>
      </c>
      <c r="L2675">
        <f t="shared" si="195"/>
        <v>2</v>
      </c>
      <c r="M2675" s="10" t="str">
        <f>IFERROR(_xlfn.XLOOKUP(C2675,[1]StuntDes!$B:$B,[1]StuntDes!$A:$A),"")</f>
        <v/>
      </c>
      <c r="N2675" s="10">
        <f>IFERROR(_xlfn.XLOOKUP(C2675,[1]ModifierDes!$B:$B,[1]ModifierDes!$A:$A),"")</f>
        <v>10069</v>
      </c>
      <c r="O2675" s="10" t="str">
        <f>IFERROR(_xlfn.XLOOKUP(C2675,[1]AttributeName!$C:$C,[1]AttributeName!$B:$B),"")</f>
        <v/>
      </c>
      <c r="P2675" s="10"/>
      <c r="Q2675">
        <v>1</v>
      </c>
      <c r="R2675">
        <v>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customFormat="1" spans="1:20">
      <c r="A2676">
        <v>90036</v>
      </c>
      <c r="B2676">
        <v>1</v>
      </c>
      <c r="C2676" t="s">
        <v>471</v>
      </c>
      <c r="D2676" t="s">
        <v>182</v>
      </c>
      <c r="E2676" t="s">
        <v>462</v>
      </c>
      <c r="H2676">
        <v>1000</v>
      </c>
      <c r="J2676">
        <v>1</v>
      </c>
      <c r="K2676" t="str" cm="1">
        <f t="array" ref="K2676">IFERROR(_xlfn.SWITCH(L2676,2,_xlfn.XLOOKUP(C2676,[1]ModifierDes!$B:$B,[1]ModifierDes!$C:$C),3,_xlfn.XLOOKUP(C2676,[1]StuntDes!$B:$B,[1]StuntDes!$C:$C)),"")</f>
        <v>物理伤害转闪电伤害增加{0}</v>
      </c>
      <c r="L2676">
        <f t="shared" si="195"/>
        <v>2</v>
      </c>
      <c r="M2676" s="10" t="str">
        <f>IFERROR(_xlfn.XLOOKUP(C2676,[1]StuntDes!$B:$B,[1]StuntDes!$A:$A),"")</f>
        <v/>
      </c>
      <c r="N2676" s="10">
        <f>IFERROR(_xlfn.XLOOKUP(C2676,[1]ModifierDes!$B:$B,[1]ModifierDes!$A:$A),"")</f>
        <v>10071</v>
      </c>
      <c r="O2676" s="10" t="str">
        <f>IFERROR(_xlfn.XLOOKUP(C2676,[1]AttributeName!$C:$C,[1]AttributeName!$B:$B),"")</f>
        <v/>
      </c>
      <c r="P2676" s="10"/>
      <c r="Q2676">
        <v>1</v>
      </c>
      <c r="R2676">
        <v>1</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customFormat="1" spans="1:20">
      <c r="A2677">
        <v>90037</v>
      </c>
      <c r="B2677">
        <v>1</v>
      </c>
      <c r="C2677" s="13" t="s">
        <v>402</v>
      </c>
      <c r="D2677" t="s">
        <v>154</v>
      </c>
      <c r="E2677" t="s">
        <v>462</v>
      </c>
      <c r="H2677">
        <v>1000</v>
      </c>
      <c r="J2677">
        <v>1</v>
      </c>
      <c r="K2677" t="str" cm="1">
        <f t="array" ref="K2677">IFERROR(_xlfn.SWITCH(L2677,2,_xlfn.XLOOKUP(C2677,[1]ModifierDes!$B:$B,[1]ModifierDes!$C:$C),3,_xlfn.XLOOKUP(C2677,[1]StuntDes!$B:$B,[1]StuntDes!$C:$C)),"")</f>
        <v/>
      </c>
      <c r="L2677">
        <f t="shared" si="195"/>
        <v>1</v>
      </c>
      <c r="M2677" s="10" t="str">
        <f>IFERROR(_xlfn.XLOOKUP(C2677,[1]StuntDes!$B:$B,[1]StuntDes!$A:$A),"")</f>
        <v/>
      </c>
      <c r="N2677" s="10" t="str">
        <f>IFERROR(_xlfn.XLOOKUP(C2677,[1]ModifierDes!$B:$B,[1]ModifierDes!$A:$A),"")</f>
        <v/>
      </c>
      <c r="O2677" s="10">
        <f>IFERROR(_xlfn.XLOOKUP(C2677,[1]AttributeName!$C:$C,[1]AttributeName!$B:$B),"")</f>
        <v>10001</v>
      </c>
      <c r="P2677" s="10"/>
      <c r="Q2677">
        <v>950</v>
      </c>
      <c r="R2677">
        <v>1050</v>
      </c>
      <c r="S2677" cm="1">
        <f t="array" ref="S2677">IFERROR(_xlfn.SWITCH(L2677,1,_xlfn.XLOOKUP(O2677,[1]AttributeName!$B:$B,[1]AttributeName!$D:$D),2,_xlfn.XLOOKUP(C2677,[1]ModifierDes!$B:$B,[1]ModifierDes!$D:$D),3,_xlfn.XLOOKUP(C2677,[1]StuntDes!$B:$B,[1]StuntDes!$D:$D)),0)</f>
        <v>0</v>
      </c>
      <c r="T2677" cm="1">
        <f t="array" ref="T2677">IFERROR(_xlfn.SWITCH(L2677,1,_xlfn.XLOOKUP(O2677,[1]AttributeName!$B:$B,[1]AttributeName!$E:$E),2,_xlfn.XLOOKUP(C2677,[1]ModifierDes!$B:$B,[1]ModifierDes!$E:$E),3,_xlfn.XLOOKUP(C2677,[1]StuntDes!$B:$B,[1]StuntDes!$E:$E)),0)</f>
        <v>1</v>
      </c>
    </row>
    <row r="2678" customFormat="1" spans="1:20">
      <c r="A2678">
        <v>90038</v>
      </c>
      <c r="B2678">
        <v>1</v>
      </c>
      <c r="C2678" t="s">
        <v>510</v>
      </c>
      <c r="D2678" t="s">
        <v>154</v>
      </c>
      <c r="E2678" t="s">
        <v>462</v>
      </c>
      <c r="H2678">
        <v>1000</v>
      </c>
      <c r="J2678">
        <v>1</v>
      </c>
      <c r="K2678" t="str" cm="1">
        <f t="array" ref="K2678">IFERROR(_xlfn.SWITCH(L2678,2,_xlfn.XLOOKUP(C2678,[1]ModifierDes!$B:$B,[1]ModifierDes!$C:$C),3,_xlfn.XLOOKUP(C2678,[1]StuntDes!$B:$B,[1]StuntDes!$C:$C)),"")</f>
        <v/>
      </c>
      <c r="L2678">
        <f t="shared" si="195"/>
        <v>1</v>
      </c>
      <c r="M2678" s="10" t="str">
        <f>IFERROR(_xlfn.XLOOKUP(C2678,[1]StuntDes!$B:$B,[1]StuntDes!$A:$A),"")</f>
        <v/>
      </c>
      <c r="N2678" s="10" t="str">
        <f>IFERROR(_xlfn.XLOOKUP(C2678,[1]ModifierDes!$B:$B,[1]ModifierDes!$A:$A),"")</f>
        <v/>
      </c>
      <c r="O2678" s="10" t="str">
        <f>IFERROR(_xlfn.XLOOKUP(C2678,[1]AttributeName!$C:$C,[1]AttributeName!$B:$B),"")</f>
        <v/>
      </c>
      <c r="P2678" s="10"/>
      <c r="Q2678">
        <v>0.08</v>
      </c>
      <c r="R2678">
        <v>0.1</v>
      </c>
      <c r="S2678" cm="1">
        <f t="array" ref="S2678">IFERROR(_xlfn.SWITCH(L2678,1,_xlfn.XLOOKUP(O2678,[1]AttributeName!$B:$B,[1]AttributeName!$D:$D),2,_xlfn.XLOOKUP(C2678,[1]ModifierDes!$B:$B,[1]ModifierDes!$D:$D),3,_xlfn.XLOOKUP(C2678,[1]StuntDes!$B:$B,[1]StuntDes!$D:$D)),0)</f>
        <v>0</v>
      </c>
      <c r="T2678" cm="1">
        <f t="array" ref="T2678">IFERROR(_xlfn.SWITCH(L2678,1,_xlfn.XLOOKUP(O2678,[1]AttributeName!$B:$B,[1]AttributeName!$E:$E),2,_xlfn.XLOOKUP(C2678,[1]ModifierDes!$B:$B,[1]ModifierDes!$E:$E),3,_xlfn.XLOOKUP(C2678,[1]StuntDes!$B:$B,[1]StuntDes!$E:$E)),0)</f>
        <v>0</v>
      </c>
    </row>
    <row r="2679" customFormat="1" spans="1:20">
      <c r="A2679">
        <v>90039</v>
      </c>
      <c r="B2679">
        <v>1</v>
      </c>
      <c r="C2679" t="s">
        <v>508</v>
      </c>
      <c r="D2679" t="s">
        <v>154</v>
      </c>
      <c r="E2679" t="s">
        <v>462</v>
      </c>
      <c r="H2679">
        <v>1000</v>
      </c>
      <c r="J2679">
        <v>1</v>
      </c>
      <c r="K2679" t="str" cm="1">
        <f t="array" ref="K2679">IFERROR(_xlfn.SWITCH(L2679,2,_xlfn.XLOOKUP(C2679,[1]ModifierDes!$B:$B,[1]ModifierDes!$C:$C),3,_xlfn.XLOOKUP(C2679,[1]StuntDes!$B:$B,[1]StuntDes!$C:$C)),"")</f>
        <v/>
      </c>
      <c r="L2679">
        <f t="shared" si="195"/>
        <v>1</v>
      </c>
      <c r="M2679" s="10" t="str">
        <f>IFERROR(_xlfn.XLOOKUP(C2679,[1]StuntDes!$B:$B,[1]StuntDes!$A:$A),"")</f>
        <v/>
      </c>
      <c r="N2679" s="10" t="str">
        <f>IFERROR(_xlfn.XLOOKUP(C2679,[1]ModifierDes!$B:$B,[1]ModifierDes!$A:$A),"")</f>
        <v/>
      </c>
      <c r="O2679" s="10" t="str">
        <f>IFERROR(_xlfn.XLOOKUP(C2679,[1]AttributeName!$C:$C,[1]AttributeName!$B:$B),"")</f>
        <v/>
      </c>
      <c r="P2679" s="10"/>
      <c r="Q2679">
        <v>0</v>
      </c>
      <c r="R2679">
        <v>0</v>
      </c>
      <c r="S2679" cm="1">
        <f t="array" ref="S2679">IFERROR(_xlfn.SWITCH(L2679,1,_xlfn.XLOOKUP(O2679,[1]AttributeName!$B:$B,[1]AttributeName!$D:$D),2,_xlfn.XLOOKUP(C2679,[1]ModifierDes!$B:$B,[1]ModifierDes!$D:$D),3,_xlfn.XLOOKUP(C2679,[1]StuntDes!$B:$B,[1]StuntDes!$D:$D)),0)</f>
        <v>0</v>
      </c>
      <c r="T2679" cm="1">
        <f t="array" ref="T2679">IFERROR(_xlfn.SWITCH(L2679,1,_xlfn.XLOOKUP(O2679,[1]AttributeName!$B:$B,[1]AttributeName!$E:$E),2,_xlfn.XLOOKUP(C2679,[1]ModifierDes!$B:$B,[1]ModifierDes!$E:$E),3,_xlfn.XLOOKUP(C2679,[1]StuntDes!$B:$B,[1]StuntDes!$E:$E)),0)</f>
        <v>0</v>
      </c>
    </row>
    <row r="2680" customFormat="1" spans="1:20">
      <c r="A2680">
        <v>90040</v>
      </c>
      <c r="B2680">
        <v>1</v>
      </c>
      <c r="C2680" t="s">
        <v>511</v>
      </c>
      <c r="D2680" t="s">
        <v>154</v>
      </c>
      <c r="E2680" t="s">
        <v>462</v>
      </c>
      <c r="H2680">
        <v>1000</v>
      </c>
      <c r="J2680">
        <v>1</v>
      </c>
      <c r="K2680" t="str" cm="1">
        <f t="array" ref="K2680">IFERROR(_xlfn.SWITCH(L2680,2,_xlfn.XLOOKUP(C2680,[1]ModifierDes!$B:$B,[1]ModifierDes!$C:$C),3,_xlfn.XLOOKUP(C2680,[1]StuntDes!$B:$B,[1]StuntDes!$C:$C)),"")</f>
        <v/>
      </c>
      <c r="L2680">
        <f t="shared" si="195"/>
        <v>1</v>
      </c>
      <c r="M2680" s="10" t="str">
        <f>IFERROR(_xlfn.XLOOKUP(C2680,[1]StuntDes!$B:$B,[1]StuntDes!$A:$A),"")</f>
        <v/>
      </c>
      <c r="N2680" s="10" t="str">
        <f>IFERROR(_xlfn.XLOOKUP(C2680,[1]ModifierDes!$B:$B,[1]ModifierDes!$A:$A),"")</f>
        <v/>
      </c>
      <c r="O2680" s="10" t="str">
        <f>IFERROR(_xlfn.XLOOKUP(C2680,[1]AttributeName!$C:$C,[1]AttributeName!$B:$B),"")</f>
        <v/>
      </c>
      <c r="P2680" s="10"/>
      <c r="Q2680">
        <v>0.7</v>
      </c>
      <c r="R2680">
        <v>1</v>
      </c>
      <c r="S2680" cm="1">
        <f t="array" ref="S2680">IFERROR(_xlfn.SWITCH(L2680,1,_xlfn.XLOOKUP(O2680,[1]AttributeName!$B:$B,[1]AttributeName!$D:$D),2,_xlfn.XLOOKUP(C2680,[1]ModifierDes!$B:$B,[1]ModifierDes!$D:$D),3,_xlfn.XLOOKUP(C2680,[1]StuntDes!$B:$B,[1]StuntDes!$D:$D)),0)</f>
        <v>0</v>
      </c>
      <c r="T2680" cm="1">
        <f t="array" ref="T2680">IFERROR(_xlfn.SWITCH(L2680,1,_xlfn.XLOOKUP(O2680,[1]AttributeName!$B:$B,[1]AttributeName!$E:$E),2,_xlfn.XLOOKUP(C2680,[1]ModifierDes!$B:$B,[1]ModifierDes!$E:$E),3,_xlfn.XLOOKUP(C2680,[1]StuntDes!$B:$B,[1]StuntDes!$E:$E)),0)</f>
        <v>0</v>
      </c>
    </row>
    <row r="2681" customFormat="1" spans="1:20">
      <c r="A2681">
        <v>90041</v>
      </c>
      <c r="B2681">
        <v>1</v>
      </c>
      <c r="C2681" s="13" t="s">
        <v>469</v>
      </c>
      <c r="D2681" t="s">
        <v>154</v>
      </c>
      <c r="E2681" t="s">
        <v>462</v>
      </c>
      <c r="H2681">
        <v>1000</v>
      </c>
      <c r="J2681">
        <v>1</v>
      </c>
      <c r="K2681" t="str" cm="1">
        <f t="array" ref="K2681">IFERROR(_xlfn.SWITCH(L2681,2,_xlfn.XLOOKUP(C2681,[1]ModifierDes!$B:$B,[1]ModifierDes!$C:$C),3,_xlfn.XLOOKUP(C2681,[1]StuntDes!$B:$B,[1]StuntDes!$C:$C)),"")</f>
        <v>物理伤害转冰冷伤害增加{0}</v>
      </c>
      <c r="L2681">
        <f t="shared" si="195"/>
        <v>2</v>
      </c>
      <c r="M2681" s="10" t="str">
        <f>IFERROR(_xlfn.XLOOKUP(C2681,[1]StuntDes!$B:$B,[1]StuntDes!$A:$A),"")</f>
        <v/>
      </c>
      <c r="N2681" s="10">
        <f>IFERROR(_xlfn.XLOOKUP(C2681,[1]ModifierDes!$B:$B,[1]ModifierDes!$A:$A),"")</f>
        <v>10070</v>
      </c>
      <c r="O2681" s="10" t="str">
        <f>IFERROR(_xlfn.XLOOKUP(C2681,[1]AttributeName!$C:$C,[1]AttributeName!$B:$B),"")</f>
        <v/>
      </c>
      <c r="P2681" s="10"/>
      <c r="Q2681">
        <v>0.7</v>
      </c>
      <c r="R2681">
        <v>1</v>
      </c>
      <c r="S2681" cm="1">
        <f t="array" ref="S2681">IFERROR(_xlfn.SWITCH(L2681,1,_xlfn.XLOOKUP(O2681,[1]AttributeName!$B:$B,[1]AttributeName!$D:$D),2,_xlfn.XLOOKUP(C2681,[1]ModifierDes!$B:$B,[1]ModifierDes!$D:$D),3,_xlfn.XLOOKUP(C2681,[1]StuntDes!$B:$B,[1]StuntDes!$D:$D)),0)</f>
        <v>2</v>
      </c>
      <c r="T2681" cm="1">
        <f t="array" ref="T2681">IFERROR(_xlfn.SWITCH(L2681,1,_xlfn.XLOOKUP(O2681,[1]AttributeName!$B:$B,[1]AttributeName!$E:$E),2,_xlfn.XLOOKUP(C2681,[1]ModifierDes!$B:$B,[1]ModifierDes!$E:$E),3,_xlfn.XLOOKUP(C2681,[1]StuntDes!$B:$B,[1]StuntDes!$E:$E)),0)</f>
        <v>2</v>
      </c>
    </row>
    <row r="2682" customFormat="1" spans="1:20">
      <c r="A2682">
        <v>90042</v>
      </c>
      <c r="B2682">
        <v>1</v>
      </c>
      <c r="C2682" t="s">
        <v>434</v>
      </c>
      <c r="D2682" t="s">
        <v>154</v>
      </c>
      <c r="E2682" t="s">
        <v>462</v>
      </c>
      <c r="H2682">
        <v>1000</v>
      </c>
      <c r="J2682">
        <v>1</v>
      </c>
      <c r="K2682" t="str" cm="1">
        <f t="array" ref="K2682">IFERROR(_xlfn.SWITCH(L2682,2,_xlfn.XLOOKUP(C2682,[1]ModifierDes!$B:$B,[1]ModifierDes!$C:$C),3,_xlfn.XLOOKUP(C2682,[1]StuntDes!$B:$B,[1]StuntDes!$C:$C)),"")</f>
        <v/>
      </c>
      <c r="L2682">
        <f t="shared" si="195"/>
        <v>1</v>
      </c>
      <c r="M2682" s="10" t="str">
        <f>IFERROR(_xlfn.XLOOKUP(C2682,[1]StuntDes!$B:$B,[1]StuntDes!$A:$A),"")</f>
        <v/>
      </c>
      <c r="N2682" s="10" t="str">
        <f>IFERROR(_xlfn.XLOOKUP(C2682,[1]ModifierDes!$B:$B,[1]ModifierDes!$A:$A),"")</f>
        <v/>
      </c>
      <c r="O2682" s="10">
        <f>IFERROR(_xlfn.XLOOKUP(C2682,[1]AttributeName!$C:$C,[1]AttributeName!$B:$B),"")</f>
        <v>10313</v>
      </c>
      <c r="P2682" s="10"/>
      <c r="Q2682">
        <v>0.3</v>
      </c>
      <c r="R2682">
        <v>0.4</v>
      </c>
      <c r="S2682" cm="1">
        <f t="array" ref="S2682">IFERROR(_xlfn.SWITCH(L2682,1,_xlfn.XLOOKUP(O2682,[1]AttributeName!$B:$B,[1]AttributeName!$D:$D),2,_xlfn.XLOOKUP(C2682,[1]ModifierDes!$B:$B,[1]ModifierDes!$D:$D),3,_xlfn.XLOOKUP(C2682,[1]StuntDes!$B:$B,[1]StuntDes!$D:$D)),0)</f>
        <v>2</v>
      </c>
      <c r="T2682" cm="1">
        <f t="array" ref="T2682">IFERROR(_xlfn.SWITCH(L2682,1,_xlfn.XLOOKUP(O2682,[1]AttributeName!$B:$B,[1]AttributeName!$E:$E),2,_xlfn.XLOOKUP(C2682,[1]ModifierDes!$B:$B,[1]ModifierDes!$E:$E),3,_xlfn.XLOOKUP(C2682,[1]StuntDes!$B:$B,[1]StuntDes!$E:$E)),0)</f>
        <v>2</v>
      </c>
    </row>
    <row r="2683" customFormat="1" spans="1:20">
      <c r="A2683">
        <v>90043</v>
      </c>
      <c r="B2683">
        <v>1</v>
      </c>
      <c r="C2683" s="13" t="s">
        <v>512</v>
      </c>
      <c r="D2683" t="s">
        <v>185</v>
      </c>
      <c r="E2683" t="s">
        <v>462</v>
      </c>
      <c r="H2683">
        <v>1000</v>
      </c>
      <c r="J2683">
        <v>1</v>
      </c>
      <c r="K2683" t="str" cm="1">
        <f t="array" ref="K2683">IFERROR(_xlfn.SWITCH(L2683,2,_xlfn.XLOOKUP(C2683,[1]ModifierDes!$B:$B,[1]ModifierDes!$C:$C),3,_xlfn.XLOOKUP(C2683,[1]StuntDes!$B:$B,[1]StuntDes!$C:$C)),"")</f>
        <v>冰冷伤害倍率增加{0}</v>
      </c>
      <c r="L2683">
        <f t="shared" si="195"/>
        <v>2</v>
      </c>
      <c r="M2683" s="10" t="str">
        <f>IFERROR(_xlfn.XLOOKUP(C2683,[1]StuntDes!$B:$B,[1]StuntDes!$A:$A),"")</f>
        <v/>
      </c>
      <c r="N2683" s="10">
        <f>IFERROR(_xlfn.XLOOKUP(C2683,[1]ModifierDes!$B:$B,[1]ModifierDes!$A:$A),"")</f>
        <v>10058</v>
      </c>
      <c r="O2683" s="10" t="str">
        <f>IFERROR(_xlfn.XLOOKUP(C2683,[1]AttributeName!$C:$C,[1]AttributeName!$B:$B),"")</f>
        <v/>
      </c>
      <c r="P2683" s="10"/>
      <c r="Q2683">
        <v>0.5</v>
      </c>
      <c r="R2683">
        <v>0.7</v>
      </c>
      <c r="S2683" cm="1">
        <f t="array" ref="S2683">IFERROR(_xlfn.SWITCH(L2683,1,_xlfn.XLOOKUP(O2683,[1]AttributeName!$B:$B,[1]AttributeName!$D:$D),2,_xlfn.XLOOKUP(C2683,[1]ModifierDes!$B:$B,[1]ModifierDes!$D:$D),3,_xlfn.XLOOKUP(C2683,[1]StuntDes!$B:$B,[1]StuntDes!$D:$D)),0)</f>
        <v>2</v>
      </c>
      <c r="T2683" cm="1">
        <f t="array" ref="T2683">IFERROR(_xlfn.SWITCH(L2683,1,_xlfn.XLOOKUP(O2683,[1]AttributeName!$B:$B,[1]AttributeName!$E:$E),2,_xlfn.XLOOKUP(C2683,[1]ModifierDes!$B:$B,[1]ModifierDes!$E:$E),3,_xlfn.XLOOKUP(C2683,[1]StuntDes!$B:$B,[1]StuntDes!$E:$E)),0)</f>
        <v>2</v>
      </c>
    </row>
    <row r="2684" customFormat="1" spans="1:20">
      <c r="A2684">
        <v>90044</v>
      </c>
      <c r="B2684">
        <v>1</v>
      </c>
      <c r="C2684" t="s">
        <v>411</v>
      </c>
      <c r="D2684" t="s">
        <v>185</v>
      </c>
      <c r="E2684" t="s">
        <v>462</v>
      </c>
      <c r="H2684">
        <v>1000</v>
      </c>
      <c r="J2684">
        <v>1</v>
      </c>
      <c r="K2684" t="str" cm="1">
        <f t="array" ref="K2684">IFERROR(_xlfn.SWITCH(L2684,2,_xlfn.XLOOKUP(C2684,[1]ModifierDes!$B:$B,[1]ModifierDes!$C:$C),3,_xlfn.XLOOKUP(C2684,[1]StuntDes!$B:$B,[1]StuntDes!$C:$C)),"")</f>
        <v>攻击暴击率提高{0}</v>
      </c>
      <c r="L2684">
        <f t="shared" si="195"/>
        <v>2</v>
      </c>
      <c r="M2684" s="10" t="str">
        <f>IFERROR(_xlfn.XLOOKUP(C2684,[1]StuntDes!$B:$B,[1]StuntDes!$A:$A),"")</f>
        <v/>
      </c>
      <c r="N2684" s="10">
        <f>IFERROR(_xlfn.XLOOKUP(C2684,[1]ModifierDes!$B:$B,[1]ModifierDes!$A:$A),"")</f>
        <v>10176</v>
      </c>
      <c r="O2684" s="10" t="str">
        <f>IFERROR(_xlfn.XLOOKUP(C2684,[1]AttributeName!$C:$C,[1]AttributeName!$B:$B),"")</f>
        <v/>
      </c>
      <c r="P2684" s="10"/>
      <c r="Q2684">
        <v>0.6</v>
      </c>
      <c r="R2684">
        <v>0.8</v>
      </c>
      <c r="S2684" cm="1">
        <f t="array" ref="S2684">IFERROR(_xlfn.SWITCH(L2684,1,_xlfn.XLOOKUP(O2684,[1]AttributeName!$B:$B,[1]AttributeName!$D:$D),2,_xlfn.XLOOKUP(C2684,[1]ModifierDes!$B:$B,[1]ModifierDes!$D:$D),3,_xlfn.XLOOKUP(C2684,[1]StuntDes!$B:$B,[1]StuntDes!$D:$D)),0)</f>
        <v>2</v>
      </c>
      <c r="T2684" cm="1">
        <f t="array" ref="T2684">IFERROR(_xlfn.SWITCH(L2684,1,_xlfn.XLOOKUP(O2684,[1]AttributeName!$B:$B,[1]AttributeName!$E:$E),2,_xlfn.XLOOKUP(C2684,[1]ModifierDes!$B:$B,[1]ModifierDes!$E:$E),3,_xlfn.XLOOKUP(C2684,[1]StuntDes!$B:$B,[1]StuntDes!$E:$E)),0)</f>
        <v>2</v>
      </c>
    </row>
    <row r="2685" customFormat="1" spans="1:20">
      <c r="A2685">
        <v>90045</v>
      </c>
      <c r="B2685">
        <v>1</v>
      </c>
      <c r="C2685" t="s">
        <v>508</v>
      </c>
      <c r="D2685" t="s">
        <v>185</v>
      </c>
      <c r="E2685" t="s">
        <v>462</v>
      </c>
      <c r="H2685">
        <v>1000</v>
      </c>
      <c r="J2685">
        <v>1</v>
      </c>
      <c r="K2685" t="str" cm="1">
        <f t="array" ref="K2685">IFERROR(_xlfn.SWITCH(L2685,2,_xlfn.XLOOKUP(C2685,[1]ModifierDes!$B:$B,[1]ModifierDes!$C:$C),3,_xlfn.XLOOKUP(C2685,[1]StuntDes!$B:$B,[1]StuntDes!$C:$C)),"")</f>
        <v/>
      </c>
      <c r="L2685">
        <f t="shared" si="195"/>
        <v>1</v>
      </c>
      <c r="M2685" s="10" t="str">
        <f>IFERROR(_xlfn.XLOOKUP(C2685,[1]StuntDes!$B:$B,[1]StuntDes!$A:$A),"")</f>
        <v/>
      </c>
      <c r="N2685" s="10" t="str">
        <f>IFERROR(_xlfn.XLOOKUP(C2685,[1]ModifierDes!$B:$B,[1]ModifierDes!$A:$A),"")</f>
        <v/>
      </c>
      <c r="O2685" s="10" t="str">
        <f>IFERROR(_xlfn.XLOOKUP(C2685,[1]AttributeName!$C:$C,[1]AttributeName!$B:$B),"")</f>
        <v/>
      </c>
      <c r="P2685" s="10"/>
      <c r="Q2685">
        <v>0</v>
      </c>
      <c r="R2685">
        <v>0</v>
      </c>
      <c r="S2685" cm="1">
        <f t="array" ref="S2685">IFERROR(_xlfn.SWITCH(L2685,1,_xlfn.XLOOKUP(O2685,[1]AttributeName!$B:$B,[1]AttributeName!$D:$D),2,_xlfn.XLOOKUP(C2685,[1]ModifierDes!$B:$B,[1]ModifierDes!$D:$D),3,_xlfn.XLOOKUP(C2685,[1]StuntDes!$B:$B,[1]StuntDes!$D:$D)),0)</f>
        <v>0</v>
      </c>
      <c r="T2685" cm="1">
        <f t="array" ref="T2685">IFERROR(_xlfn.SWITCH(L2685,1,_xlfn.XLOOKUP(O2685,[1]AttributeName!$B:$B,[1]AttributeName!$E:$E),2,_xlfn.XLOOKUP(C2685,[1]ModifierDes!$B:$B,[1]ModifierDes!$E:$E),3,_xlfn.XLOOKUP(C2685,[1]StuntDes!$B:$B,[1]StuntDes!$E:$E)),0)</f>
        <v>0</v>
      </c>
    </row>
    <row r="2686" customFormat="1" spans="1:20">
      <c r="A2686">
        <v>90046</v>
      </c>
      <c r="B2686">
        <v>1</v>
      </c>
      <c r="C2686" t="s">
        <v>513</v>
      </c>
      <c r="D2686" t="s">
        <v>185</v>
      </c>
      <c r="E2686" t="s">
        <v>462</v>
      </c>
      <c r="H2686">
        <v>1000</v>
      </c>
      <c r="J2686">
        <v>1</v>
      </c>
      <c r="K2686" t="str" cm="1">
        <f t="array" ref="K2686">IFERROR(_xlfn.SWITCH(L2686,2,_xlfn.XLOOKUP(C2686,[1]ModifierDes!$B:$B,[1]ModifierDes!$C:$C),3,_xlfn.XLOOKUP(C2686,[1]StuntDes!$B:$B,[1]StuntDes!$C:$C)),"")</f>
        <v/>
      </c>
      <c r="L2686">
        <f t="shared" si="195"/>
        <v>1</v>
      </c>
      <c r="M2686" s="10" t="str">
        <f>IFERROR(_xlfn.XLOOKUP(C2686,[1]StuntDes!$B:$B,[1]StuntDes!$A:$A),"")</f>
        <v/>
      </c>
      <c r="N2686" s="10" t="str">
        <f>IFERROR(_xlfn.XLOOKUP(C2686,[1]ModifierDes!$B:$B,[1]ModifierDes!$A:$A),"")</f>
        <v/>
      </c>
      <c r="O2686" s="10" t="str">
        <f>IFERROR(_xlfn.XLOOKUP(C2686,[1]AttributeName!$C:$C,[1]AttributeName!$B:$B),"")</f>
        <v/>
      </c>
      <c r="P2686" s="10"/>
      <c r="Q2686">
        <v>0.2</v>
      </c>
      <c r="R2686">
        <v>0.3</v>
      </c>
      <c r="S2686" cm="1">
        <f t="array" ref="S2686">IFERROR(_xlfn.SWITCH(L2686,1,_xlfn.XLOOKUP(O2686,[1]AttributeName!$B:$B,[1]AttributeName!$D:$D),2,_xlfn.XLOOKUP(C2686,[1]ModifierDes!$B:$B,[1]ModifierDes!$D:$D),3,_xlfn.XLOOKUP(C2686,[1]StuntDes!$B:$B,[1]StuntDes!$D:$D)),0)</f>
        <v>0</v>
      </c>
      <c r="T2686" cm="1">
        <f t="array" ref="T2686">IFERROR(_xlfn.SWITCH(L2686,1,_xlfn.XLOOKUP(O2686,[1]AttributeName!$B:$B,[1]AttributeName!$E:$E),2,_xlfn.XLOOKUP(C2686,[1]ModifierDes!$B:$B,[1]ModifierDes!$E:$E),3,_xlfn.XLOOKUP(C2686,[1]StuntDes!$B:$B,[1]StuntDes!$E:$E)),0)</f>
        <v>0</v>
      </c>
    </row>
    <row r="2687" customFormat="1" spans="1:20">
      <c r="A2687">
        <v>90047</v>
      </c>
      <c r="B2687">
        <v>1</v>
      </c>
      <c r="C2687" s="13" t="s">
        <v>408</v>
      </c>
      <c r="D2687" t="s">
        <v>185</v>
      </c>
      <c r="E2687" t="s">
        <v>462</v>
      </c>
      <c r="H2687">
        <v>1000</v>
      </c>
      <c r="J2687">
        <v>1</v>
      </c>
      <c r="K2687" t="str" cm="1">
        <f t="array" ref="K2687">IFERROR(_xlfn.SWITCH(L2687,2,_xlfn.XLOOKUP(C2687,[1]ModifierDes!$B:$B,[1]ModifierDes!$C:$C),3,_xlfn.XLOOKUP(C2687,[1]StuntDes!$B:$B,[1]StuntDes!$C:$C)),"")</f>
        <v>冰冷技能等级增加{0}</v>
      </c>
      <c r="L2687">
        <f t="shared" si="195"/>
        <v>2</v>
      </c>
      <c r="M2687" s="10" t="str">
        <f>IFERROR(_xlfn.XLOOKUP(C2687,[1]StuntDes!$B:$B,[1]StuntDes!$A:$A),"")</f>
        <v/>
      </c>
      <c r="N2687" s="10">
        <f>IFERROR(_xlfn.XLOOKUP(C2687,[1]ModifierDes!$B:$B,[1]ModifierDes!$A:$A),"")</f>
        <v>10158</v>
      </c>
      <c r="O2687" s="10" t="str">
        <f>IFERROR(_xlfn.XLOOKUP(C2687,[1]AttributeName!$C:$C,[1]AttributeName!$B:$B),"")</f>
        <v/>
      </c>
      <c r="P2687" s="10"/>
      <c r="Q2687">
        <v>2</v>
      </c>
      <c r="R2687">
        <v>3</v>
      </c>
      <c r="S2687" cm="1">
        <f t="array" ref="S2687">IFERROR(_xlfn.SWITCH(L2687,1,_xlfn.XLOOKUP(O2687,[1]AttributeName!$B:$B,[1]AttributeName!$D:$D),2,_xlfn.XLOOKUP(C2687,[1]ModifierDes!$B:$B,[1]ModifierDes!$D:$D),3,_xlfn.XLOOKUP(C2687,[1]StuntDes!$B:$B,[1]StuntDes!$D:$D)),0)</f>
        <v>0</v>
      </c>
      <c r="T2687" cm="1">
        <f t="array" ref="T2687">IFERROR(_xlfn.SWITCH(L2687,1,_xlfn.XLOOKUP(O2687,[1]AttributeName!$B:$B,[1]AttributeName!$E:$E),2,_xlfn.XLOOKUP(C2687,[1]ModifierDes!$B:$B,[1]ModifierDes!$E:$E),3,_xlfn.XLOOKUP(C2687,[1]StuntDes!$B:$B,[1]StuntDes!$E:$E)),0)</f>
        <v>0</v>
      </c>
    </row>
    <row r="2688" customFormat="1" spans="1:20">
      <c r="A2688">
        <v>90048</v>
      </c>
      <c r="B2688">
        <v>1</v>
      </c>
      <c r="C2688" t="s">
        <v>412</v>
      </c>
      <c r="D2688" t="s">
        <v>185</v>
      </c>
      <c r="E2688" t="s">
        <v>462</v>
      </c>
      <c r="H2688">
        <v>1000</v>
      </c>
      <c r="J2688">
        <v>1</v>
      </c>
      <c r="K2688" t="str" cm="1">
        <f t="array" ref="K2688">IFERROR(_xlfn.SWITCH(L2688,2,_xlfn.XLOOKUP(C2688,[1]ModifierDes!$B:$B,[1]ModifierDes!$C:$C),3,_xlfn.XLOOKUP(C2688,[1]StuntDes!$B:$B,[1]StuntDes!$C:$C)),"")</f>
        <v>攻击暴击伤害增加{0}</v>
      </c>
      <c r="L2688">
        <f t="shared" si="195"/>
        <v>2</v>
      </c>
      <c r="M2688" s="10" t="str">
        <f>IFERROR(_xlfn.XLOOKUP(C2688,[1]StuntDes!$B:$B,[1]StuntDes!$A:$A),"")</f>
        <v/>
      </c>
      <c r="N2688" s="10">
        <f>IFERROR(_xlfn.XLOOKUP(C2688,[1]ModifierDes!$B:$B,[1]ModifierDes!$A:$A),"")</f>
        <v>10060</v>
      </c>
      <c r="O2688" s="10" t="str">
        <f>IFERROR(_xlfn.XLOOKUP(C2688,[1]AttributeName!$C:$C,[1]AttributeName!$B:$B),"")</f>
        <v/>
      </c>
      <c r="P2688" s="10"/>
      <c r="Q2688">
        <v>0.45</v>
      </c>
      <c r="R2688">
        <v>0.6</v>
      </c>
      <c r="S2688" cm="1">
        <f t="array" ref="S2688">IFERROR(_xlfn.SWITCH(L2688,1,_xlfn.XLOOKUP(O2688,[1]AttributeName!$B:$B,[1]AttributeName!$D:$D),2,_xlfn.XLOOKUP(C2688,[1]ModifierDes!$B:$B,[1]ModifierDes!$D:$D),3,_xlfn.XLOOKUP(C2688,[1]StuntDes!$B:$B,[1]StuntDes!$D:$D)),0)</f>
        <v>2</v>
      </c>
      <c r="T2688" cm="1">
        <f t="array" ref="T2688">IFERROR(_xlfn.SWITCH(L2688,1,_xlfn.XLOOKUP(O2688,[1]AttributeName!$B:$B,[1]AttributeName!$E:$E),2,_xlfn.XLOOKUP(C2688,[1]ModifierDes!$B:$B,[1]ModifierDes!$E:$E),3,_xlfn.XLOOKUP(C2688,[1]StuntDes!$B:$B,[1]StuntDes!$E:$E)),0)</f>
        <v>2</v>
      </c>
    </row>
    <row r="2689" customFormat="1" spans="1:20">
      <c r="A2689">
        <v>90049</v>
      </c>
      <c r="B2689">
        <v>1</v>
      </c>
      <c r="C2689" s="13" t="s">
        <v>507</v>
      </c>
      <c r="D2689" t="s">
        <v>211</v>
      </c>
      <c r="E2689" t="s">
        <v>462</v>
      </c>
      <c r="H2689">
        <v>1000</v>
      </c>
      <c r="J2689">
        <v>1</v>
      </c>
      <c r="K2689" t="str" cm="1">
        <f t="array" ref="K2689">IFERROR(_xlfn.SWITCH(L2689,2,_xlfn.XLOOKUP(C2689,[1]ModifierDes!$B:$B,[1]ModifierDes!$C:$C),3,_xlfn.XLOOKUP(C2689,[1]StuntDes!$B:$B,[1]StuntDes!$C:$C)),"")</f>
        <v>物理伤害倍率增加{0}</v>
      </c>
      <c r="L2689">
        <f t="shared" si="195"/>
        <v>2</v>
      </c>
      <c r="M2689" s="10" t="str">
        <f>IFERROR(_xlfn.XLOOKUP(C2689,[1]StuntDes!$B:$B,[1]StuntDes!$A:$A),"")</f>
        <v/>
      </c>
      <c r="N2689" s="10">
        <f>IFERROR(_xlfn.XLOOKUP(C2689,[1]ModifierDes!$B:$B,[1]ModifierDes!$A:$A),"")</f>
        <v>10056</v>
      </c>
      <c r="O2689" s="10" t="str">
        <f>IFERROR(_xlfn.XLOOKUP(C2689,[1]AttributeName!$C:$C,[1]AttributeName!$B:$B),"")</f>
        <v/>
      </c>
      <c r="P2689" s="10"/>
      <c r="Q2689">
        <v>0.5</v>
      </c>
      <c r="R2689">
        <v>0.7</v>
      </c>
      <c r="S2689" cm="1">
        <f t="array" ref="S2689">IFERROR(_xlfn.SWITCH(L2689,1,_xlfn.XLOOKUP(O2689,[1]AttributeName!$B:$B,[1]AttributeName!$D:$D),2,_xlfn.XLOOKUP(C2689,[1]ModifierDes!$B:$B,[1]ModifierDes!$D:$D),3,_xlfn.XLOOKUP(C2689,[1]StuntDes!$B:$B,[1]StuntDes!$D:$D)),0)</f>
        <v>2</v>
      </c>
      <c r="T2689" cm="1">
        <f t="array" ref="T2689">IFERROR(_xlfn.SWITCH(L2689,1,_xlfn.XLOOKUP(O2689,[1]AttributeName!$B:$B,[1]AttributeName!$E:$E),2,_xlfn.XLOOKUP(C2689,[1]ModifierDes!$B:$B,[1]ModifierDes!$E:$E),3,_xlfn.XLOOKUP(C2689,[1]StuntDes!$B:$B,[1]StuntDes!$E:$E)),0)</f>
        <v>2</v>
      </c>
    </row>
    <row r="2690" customFormat="1" spans="1:20">
      <c r="A2690">
        <v>90050</v>
      </c>
      <c r="B2690">
        <v>1</v>
      </c>
      <c r="C2690" t="s">
        <v>473</v>
      </c>
      <c r="D2690" t="s">
        <v>211</v>
      </c>
      <c r="E2690" t="s">
        <v>462</v>
      </c>
      <c r="H2690">
        <v>1000</v>
      </c>
      <c r="J2690">
        <v>1</v>
      </c>
      <c r="K2690" t="str" cm="1">
        <f t="array" ref="K2690">IFERROR(_xlfn.SWITCH(L2690,2,_xlfn.XLOOKUP(C2690,[1]ModifierDes!$B:$B,[1]ModifierDes!$C:$C),3,_xlfn.XLOOKUP(C2690,[1]StuntDes!$B:$B,[1]StuntDes!$C:$C)),"")</f>
        <v/>
      </c>
      <c r="L2690">
        <f t="shared" si="195"/>
        <v>1</v>
      </c>
      <c r="M2690" s="10" t="str">
        <f>IFERROR(_xlfn.XLOOKUP(C2690,[1]StuntDes!$B:$B,[1]StuntDes!$A:$A),"")</f>
        <v/>
      </c>
      <c r="N2690" s="10" t="str">
        <f>IFERROR(_xlfn.XLOOKUP(C2690,[1]ModifierDes!$B:$B,[1]ModifierDes!$A:$A),"")</f>
        <v/>
      </c>
      <c r="O2690" s="10">
        <f>IFERROR(_xlfn.XLOOKUP(C2690,[1]AttributeName!$C:$C,[1]AttributeName!$B:$B),"")</f>
        <v>11037</v>
      </c>
      <c r="P2690" s="10"/>
      <c r="Q2690">
        <v>0.15</v>
      </c>
      <c r="R2690">
        <v>0.25</v>
      </c>
      <c r="S2690" cm="1">
        <f t="array" ref="S2690">IFERROR(_xlfn.SWITCH(L2690,1,_xlfn.XLOOKUP(O2690,[1]AttributeName!$B:$B,[1]AttributeName!$D:$D),2,_xlfn.XLOOKUP(C2690,[1]ModifierDes!$B:$B,[1]ModifierDes!$D:$D),3,_xlfn.XLOOKUP(C2690,[1]StuntDes!$B:$B,[1]StuntDes!$D:$D)),0)</f>
        <v>2</v>
      </c>
      <c r="T2690" cm="1">
        <f t="array" ref="T2690">IFERROR(_xlfn.SWITCH(L2690,1,_xlfn.XLOOKUP(O2690,[1]AttributeName!$B:$B,[1]AttributeName!$E:$E),2,_xlfn.XLOOKUP(C2690,[1]ModifierDes!$B:$B,[1]ModifierDes!$E:$E),3,_xlfn.XLOOKUP(C2690,[1]StuntDes!$B:$B,[1]StuntDes!$E:$E)),0)</f>
        <v>2</v>
      </c>
    </row>
    <row r="2691" customFormat="1" spans="1:20">
      <c r="A2691">
        <v>90051</v>
      </c>
      <c r="B2691">
        <v>1</v>
      </c>
      <c r="C2691" t="s">
        <v>508</v>
      </c>
      <c r="D2691" t="s">
        <v>211</v>
      </c>
      <c r="E2691" t="s">
        <v>462</v>
      </c>
      <c r="H2691">
        <v>1000</v>
      </c>
      <c r="J2691">
        <v>1</v>
      </c>
      <c r="K2691" t="str" cm="1">
        <f t="array" ref="K2691">IFERROR(_xlfn.SWITCH(L2691,2,_xlfn.XLOOKUP(C2691,[1]ModifierDes!$B:$B,[1]ModifierDes!$C:$C),3,_xlfn.XLOOKUP(C2691,[1]StuntDes!$B:$B,[1]StuntDes!$C:$C)),"")</f>
        <v/>
      </c>
      <c r="L2691">
        <f t="shared" si="195"/>
        <v>1</v>
      </c>
      <c r="M2691" s="10" t="str">
        <f>IFERROR(_xlfn.XLOOKUP(C2691,[1]StuntDes!$B:$B,[1]StuntDes!$A:$A),"")</f>
        <v/>
      </c>
      <c r="N2691" s="10" t="str">
        <f>IFERROR(_xlfn.XLOOKUP(C2691,[1]ModifierDes!$B:$B,[1]ModifierDes!$A:$A),"")</f>
        <v/>
      </c>
      <c r="O2691" s="10" t="str">
        <f>IFERROR(_xlfn.XLOOKUP(C2691,[1]AttributeName!$C:$C,[1]AttributeName!$B:$B),"")</f>
        <v/>
      </c>
      <c r="P2691" s="10"/>
      <c r="Q2691">
        <v>0</v>
      </c>
      <c r="R2691">
        <v>0</v>
      </c>
      <c r="S2691" cm="1">
        <f t="array" ref="S2691">IFERROR(_xlfn.SWITCH(L2691,1,_xlfn.XLOOKUP(O2691,[1]AttributeName!$B:$B,[1]AttributeName!$D:$D),2,_xlfn.XLOOKUP(C2691,[1]ModifierDes!$B:$B,[1]ModifierDes!$D:$D),3,_xlfn.XLOOKUP(C2691,[1]StuntDes!$B:$B,[1]StuntDes!$D:$D)),0)</f>
        <v>0</v>
      </c>
      <c r="T2691" cm="1">
        <f t="array" ref="T2691">IFERROR(_xlfn.SWITCH(L2691,1,_xlfn.XLOOKUP(O2691,[1]AttributeName!$B:$B,[1]AttributeName!$E:$E),2,_xlfn.XLOOKUP(C2691,[1]ModifierDes!$B:$B,[1]ModifierDes!$E:$E),3,_xlfn.XLOOKUP(C2691,[1]StuntDes!$B:$B,[1]StuntDes!$E:$E)),0)</f>
        <v>0</v>
      </c>
    </row>
    <row r="2692" customFormat="1" spans="1:20">
      <c r="A2692">
        <v>90052</v>
      </c>
      <c r="B2692">
        <v>1</v>
      </c>
      <c r="C2692" t="s">
        <v>514</v>
      </c>
      <c r="D2692" t="s">
        <v>211</v>
      </c>
      <c r="E2692" t="s">
        <v>462</v>
      </c>
      <c r="H2692">
        <v>1000</v>
      </c>
      <c r="J2692">
        <v>1</v>
      </c>
      <c r="K2692" t="str" cm="1">
        <f t="array" ref="K2692">IFERROR(_xlfn.SWITCH(L2692,2,_xlfn.XLOOKUP(C2692,[1]ModifierDes!$B:$B,[1]ModifierDes!$C:$C),3,_xlfn.XLOOKUP(C2692,[1]StuntDes!$B:$B,[1]StuntDes!$C:$C)),"")</f>
        <v>持续时间提高{0}</v>
      </c>
      <c r="L2692">
        <f t="shared" si="195"/>
        <v>2</v>
      </c>
      <c r="M2692" s="10" t="str">
        <f>IFERROR(_xlfn.XLOOKUP(C2692,[1]StuntDes!$B:$B,[1]StuntDes!$A:$A),"")</f>
        <v/>
      </c>
      <c r="N2692" s="10">
        <f>IFERROR(_xlfn.XLOOKUP(C2692,[1]ModifierDes!$B:$B,[1]ModifierDes!$A:$A),"")</f>
        <v>10034</v>
      </c>
      <c r="O2692" s="10" t="str">
        <f>IFERROR(_xlfn.XLOOKUP(C2692,[1]AttributeName!$C:$C,[1]AttributeName!$B:$B),"")</f>
        <v/>
      </c>
      <c r="P2692" s="10"/>
      <c r="Q2692">
        <v>0.25</v>
      </c>
      <c r="R2692">
        <v>0.4</v>
      </c>
      <c r="S2692" cm="1">
        <f t="array" ref="S2692">IFERROR(_xlfn.SWITCH(L2692,1,_xlfn.XLOOKUP(O2692,[1]AttributeName!$B:$B,[1]AttributeName!$D:$D),2,_xlfn.XLOOKUP(C2692,[1]ModifierDes!$B:$B,[1]ModifierDes!$D:$D),3,_xlfn.XLOOKUP(C2692,[1]StuntDes!$B:$B,[1]StuntDes!$D:$D)),0)</f>
        <v>2</v>
      </c>
      <c r="T2692" cm="1">
        <f t="array" ref="T2692">IFERROR(_xlfn.SWITCH(L2692,1,_xlfn.XLOOKUP(O2692,[1]AttributeName!$B:$B,[1]AttributeName!$E:$E),2,_xlfn.XLOOKUP(C2692,[1]ModifierDes!$B:$B,[1]ModifierDes!$E:$E),3,_xlfn.XLOOKUP(C2692,[1]StuntDes!$B:$B,[1]StuntDes!$E:$E)),0)</f>
        <v>2</v>
      </c>
    </row>
    <row r="2693" customFormat="1" spans="1:20">
      <c r="A2693">
        <v>90053</v>
      </c>
      <c r="B2693">
        <v>1</v>
      </c>
      <c r="C2693" t="s">
        <v>411</v>
      </c>
      <c r="D2693" t="s">
        <v>211</v>
      </c>
      <c r="E2693" t="s">
        <v>462</v>
      </c>
      <c r="H2693">
        <v>1000</v>
      </c>
      <c r="J2693">
        <v>1</v>
      </c>
      <c r="K2693" t="str" cm="1">
        <f t="array" ref="K2693">IFERROR(_xlfn.SWITCH(L2693,2,_xlfn.XLOOKUP(C2693,[1]ModifierDes!$B:$B,[1]ModifierDes!$C:$C),3,_xlfn.XLOOKUP(C2693,[1]StuntDes!$B:$B,[1]StuntDes!$C:$C)),"")</f>
        <v>攻击暴击率提高{0}</v>
      </c>
      <c r="L2693">
        <f t="shared" si="195"/>
        <v>2</v>
      </c>
      <c r="M2693" s="10" t="str">
        <f>IFERROR(_xlfn.XLOOKUP(C2693,[1]StuntDes!$B:$B,[1]StuntDes!$A:$A),"")</f>
        <v/>
      </c>
      <c r="N2693" s="10">
        <f>IFERROR(_xlfn.XLOOKUP(C2693,[1]ModifierDes!$B:$B,[1]ModifierDes!$A:$A),"")</f>
        <v>10176</v>
      </c>
      <c r="O2693" s="10" t="str">
        <f>IFERROR(_xlfn.XLOOKUP(C2693,[1]AttributeName!$C:$C,[1]AttributeName!$B:$B),"")</f>
        <v/>
      </c>
      <c r="P2693" s="10"/>
      <c r="Q2693">
        <v>0.6</v>
      </c>
      <c r="R2693">
        <v>0.8</v>
      </c>
      <c r="S2693" cm="1">
        <f t="array" ref="S2693">IFERROR(_xlfn.SWITCH(L2693,1,_xlfn.XLOOKUP(O2693,[1]AttributeName!$B:$B,[1]AttributeName!$D:$D),2,_xlfn.XLOOKUP(C2693,[1]ModifierDes!$B:$B,[1]ModifierDes!$D:$D),3,_xlfn.XLOOKUP(C2693,[1]StuntDes!$B:$B,[1]StuntDes!$D:$D)),0)</f>
        <v>2</v>
      </c>
      <c r="T2693" cm="1">
        <f t="array" ref="T2693">IFERROR(_xlfn.SWITCH(L2693,1,_xlfn.XLOOKUP(O2693,[1]AttributeName!$B:$B,[1]AttributeName!$E:$E),2,_xlfn.XLOOKUP(C2693,[1]ModifierDes!$B:$B,[1]ModifierDes!$E:$E),3,_xlfn.XLOOKUP(C2693,[1]StuntDes!$B:$B,[1]StuntDes!$E:$E)),0)</f>
        <v>2</v>
      </c>
    </row>
    <row r="2694" customFormat="1" spans="1:20">
      <c r="A2694">
        <v>90054</v>
      </c>
      <c r="B2694">
        <v>1</v>
      </c>
      <c r="C2694" t="s">
        <v>412</v>
      </c>
      <c r="D2694" t="s">
        <v>211</v>
      </c>
      <c r="E2694" t="s">
        <v>462</v>
      </c>
      <c r="H2694">
        <v>1000</v>
      </c>
      <c r="J2694">
        <v>1</v>
      </c>
      <c r="K2694" t="str" cm="1">
        <f t="array" ref="K2694">IFERROR(_xlfn.SWITCH(L2694,2,_xlfn.XLOOKUP(C2694,[1]ModifierDes!$B:$B,[1]ModifierDes!$C:$C),3,_xlfn.XLOOKUP(C2694,[1]StuntDes!$B:$B,[1]StuntDes!$C:$C)),"")</f>
        <v>攻击暴击伤害增加{0}</v>
      </c>
      <c r="L2694">
        <f t="shared" si="195"/>
        <v>2</v>
      </c>
      <c r="M2694" s="10" t="str">
        <f>IFERROR(_xlfn.XLOOKUP(C2694,[1]StuntDes!$B:$B,[1]StuntDes!$A:$A),"")</f>
        <v/>
      </c>
      <c r="N2694" s="10">
        <f>IFERROR(_xlfn.XLOOKUP(C2694,[1]ModifierDes!$B:$B,[1]ModifierDes!$A:$A),"")</f>
        <v>10060</v>
      </c>
      <c r="O2694" s="10" t="str">
        <f>IFERROR(_xlfn.XLOOKUP(C2694,[1]AttributeName!$C:$C,[1]AttributeName!$B:$B),"")</f>
        <v/>
      </c>
      <c r="P2694" s="10"/>
      <c r="Q2694">
        <v>0.5</v>
      </c>
      <c r="R2694">
        <v>0.7</v>
      </c>
      <c r="S2694" cm="1">
        <f t="array" ref="S2694">IFERROR(_xlfn.SWITCH(L2694,1,_xlfn.XLOOKUP(O2694,[1]AttributeName!$B:$B,[1]AttributeName!$D:$D),2,_xlfn.XLOOKUP(C2694,[1]ModifierDes!$B:$B,[1]ModifierDes!$D:$D),3,_xlfn.XLOOKUP(C2694,[1]StuntDes!$B:$B,[1]StuntDes!$D:$D)),0)</f>
        <v>2</v>
      </c>
      <c r="T2694" cm="1">
        <f t="array" ref="T2694">IFERROR(_xlfn.SWITCH(L2694,1,_xlfn.XLOOKUP(O2694,[1]AttributeName!$B:$B,[1]AttributeName!$E:$E),2,_xlfn.XLOOKUP(C2694,[1]ModifierDes!$B:$B,[1]ModifierDes!$E:$E),3,_xlfn.XLOOKUP(C2694,[1]StuntDes!$B:$B,[1]StuntDes!$E:$E)),0)</f>
        <v>2</v>
      </c>
    </row>
    <row r="2695" customFormat="1" spans="1:20">
      <c r="A2695">
        <v>90055</v>
      </c>
      <c r="B2695">
        <v>1</v>
      </c>
      <c r="C2695" s="13" t="s">
        <v>512</v>
      </c>
      <c r="D2695" t="s">
        <v>148</v>
      </c>
      <c r="E2695" t="s">
        <v>462</v>
      </c>
      <c r="H2695">
        <v>1000</v>
      </c>
      <c r="J2695">
        <v>1</v>
      </c>
      <c r="K2695" t="str" cm="1">
        <f t="array" ref="K2695">IFERROR(_xlfn.SWITCH(L2695,2,_xlfn.XLOOKUP(C2695,[1]ModifierDes!$B:$B,[1]ModifierDes!$C:$C),3,_xlfn.XLOOKUP(C2695,[1]StuntDes!$B:$B,[1]StuntDes!$C:$C)),"")</f>
        <v>冰冷伤害倍率增加{0}</v>
      </c>
      <c r="L2695">
        <f t="shared" si="195"/>
        <v>2</v>
      </c>
      <c r="M2695" s="10" t="str">
        <f>IFERROR(_xlfn.XLOOKUP(C2695,[1]StuntDes!$B:$B,[1]StuntDes!$A:$A),"")</f>
        <v/>
      </c>
      <c r="N2695" s="10">
        <f>IFERROR(_xlfn.XLOOKUP(C2695,[1]ModifierDes!$B:$B,[1]ModifierDes!$A:$A),"")</f>
        <v>10058</v>
      </c>
      <c r="O2695" s="10" t="str">
        <f>IFERROR(_xlfn.XLOOKUP(C2695,[1]AttributeName!$C:$C,[1]AttributeName!$B:$B),"")</f>
        <v/>
      </c>
      <c r="P2695" s="10"/>
      <c r="Q2695">
        <v>0.5</v>
      </c>
      <c r="R2695">
        <v>0.7</v>
      </c>
      <c r="S2695" cm="1">
        <f t="array" ref="S2695">IFERROR(_xlfn.SWITCH(L2695,1,_xlfn.XLOOKUP(O2695,[1]AttributeName!$B:$B,[1]AttributeName!$D:$D),2,_xlfn.XLOOKUP(C2695,[1]ModifierDes!$B:$B,[1]ModifierDes!$D:$D),3,_xlfn.XLOOKUP(C2695,[1]StuntDes!$B:$B,[1]StuntDes!$D:$D)),0)</f>
        <v>2</v>
      </c>
      <c r="T2695" cm="1">
        <f t="array" ref="T2695">IFERROR(_xlfn.SWITCH(L2695,1,_xlfn.XLOOKUP(O2695,[1]AttributeName!$B:$B,[1]AttributeName!$E:$E),2,_xlfn.XLOOKUP(C2695,[1]ModifierDes!$B:$B,[1]ModifierDes!$E:$E),3,_xlfn.XLOOKUP(C2695,[1]StuntDes!$B:$B,[1]StuntDes!$E:$E)),0)</f>
        <v>2</v>
      </c>
    </row>
    <row r="2696" customFormat="1" spans="1:20">
      <c r="A2696">
        <v>90056</v>
      </c>
      <c r="B2696">
        <v>1</v>
      </c>
      <c r="C2696" t="s">
        <v>445</v>
      </c>
      <c r="D2696" t="s">
        <v>148</v>
      </c>
      <c r="E2696" t="s">
        <v>462</v>
      </c>
      <c r="H2696">
        <v>1000</v>
      </c>
      <c r="J2696">
        <v>1</v>
      </c>
      <c r="K2696" t="str" cm="1">
        <f t="array" ref="K2696">IFERROR(_xlfn.SWITCH(L2696,2,_xlfn.XLOOKUP(C2696,[1]ModifierDes!$B:$B,[1]ModifierDes!$C:$C),3,_xlfn.XLOOKUP(C2696,[1]StuntDes!$B:$B,[1]StuntDes!$C:$C)),"")</f>
        <v/>
      </c>
      <c r="L2696">
        <f t="shared" si="195"/>
        <v>1</v>
      </c>
      <c r="M2696" s="10" t="str">
        <f>IFERROR(_xlfn.XLOOKUP(C2696,[1]StuntDes!$B:$B,[1]StuntDes!$A:$A),"")</f>
        <v/>
      </c>
      <c r="N2696" s="10" t="str">
        <f>IFERROR(_xlfn.XLOOKUP(C2696,[1]ModifierDes!$B:$B,[1]ModifierDes!$A:$A),"")</f>
        <v/>
      </c>
      <c r="O2696" s="10">
        <f>IFERROR(_xlfn.XLOOKUP(C2696,[1]AttributeName!$C:$C,[1]AttributeName!$B:$B),"")</f>
        <v>10305</v>
      </c>
      <c r="P2696" s="10"/>
      <c r="Q2696">
        <v>0.75</v>
      </c>
      <c r="R2696">
        <v>1</v>
      </c>
      <c r="S2696" cm="1">
        <f t="array" ref="S2696">IFERROR(_xlfn.SWITCH(L2696,1,_xlfn.XLOOKUP(O2696,[1]AttributeName!$B:$B,[1]AttributeName!$D:$D),2,_xlfn.XLOOKUP(C2696,[1]ModifierDes!$B:$B,[1]ModifierDes!$D:$D),3,_xlfn.XLOOKUP(C2696,[1]StuntDes!$B:$B,[1]StuntDes!$D:$D)),0)</f>
        <v>2</v>
      </c>
      <c r="T2696" cm="1">
        <f t="array" ref="T2696">IFERROR(_xlfn.SWITCH(L2696,1,_xlfn.XLOOKUP(O2696,[1]AttributeName!$B:$B,[1]AttributeName!$E:$E),2,_xlfn.XLOOKUP(C2696,[1]ModifierDes!$B:$B,[1]ModifierDes!$E:$E),3,_xlfn.XLOOKUP(C2696,[1]StuntDes!$B:$B,[1]StuntDes!$E:$E)),0)</f>
        <v>2</v>
      </c>
    </row>
    <row r="2697" customFormat="1" spans="1:20">
      <c r="A2697">
        <v>90057</v>
      </c>
      <c r="B2697">
        <v>1</v>
      </c>
      <c r="C2697" t="s">
        <v>507</v>
      </c>
      <c r="D2697" t="s">
        <v>148</v>
      </c>
      <c r="E2697" t="s">
        <v>462</v>
      </c>
      <c r="H2697">
        <v>1000</v>
      </c>
      <c r="J2697">
        <v>1</v>
      </c>
      <c r="K2697" t="str" cm="1">
        <f t="array" ref="K2697">IFERROR(_xlfn.SWITCH(L2697,2,_xlfn.XLOOKUP(C2697,[1]ModifierDes!$B:$B,[1]ModifierDes!$C:$C),3,_xlfn.XLOOKUP(C2697,[1]StuntDes!$B:$B,[1]StuntDes!$C:$C)),"")</f>
        <v>物理伤害倍率增加{0}</v>
      </c>
      <c r="L2697">
        <f t="shared" si="195"/>
        <v>2</v>
      </c>
      <c r="M2697" s="10" t="str">
        <f>IFERROR(_xlfn.XLOOKUP(C2697,[1]StuntDes!$B:$B,[1]StuntDes!$A:$A),"")</f>
        <v/>
      </c>
      <c r="N2697" s="10">
        <f>IFERROR(_xlfn.XLOOKUP(C2697,[1]ModifierDes!$B:$B,[1]ModifierDes!$A:$A),"")</f>
        <v>10056</v>
      </c>
      <c r="O2697" s="10" t="str">
        <f>IFERROR(_xlfn.XLOOKUP(C2697,[1]AttributeName!$C:$C,[1]AttributeName!$B:$B),"")</f>
        <v/>
      </c>
      <c r="P2697" s="10"/>
      <c r="Q2697">
        <v>0.5</v>
      </c>
      <c r="R2697">
        <v>0.7</v>
      </c>
      <c r="S2697" cm="1">
        <f t="array" ref="S2697">IFERROR(_xlfn.SWITCH(L2697,1,_xlfn.XLOOKUP(O2697,[1]AttributeName!$B:$B,[1]AttributeName!$D:$D),2,_xlfn.XLOOKUP(C2697,[1]ModifierDes!$B:$B,[1]ModifierDes!$D:$D),3,_xlfn.XLOOKUP(C2697,[1]StuntDes!$B:$B,[1]StuntDes!$D:$D)),0)</f>
        <v>2</v>
      </c>
      <c r="T2697" cm="1">
        <f t="array" ref="T2697">IFERROR(_xlfn.SWITCH(L2697,1,_xlfn.XLOOKUP(O2697,[1]AttributeName!$B:$B,[1]AttributeName!$E:$E),2,_xlfn.XLOOKUP(C2697,[1]ModifierDes!$B:$B,[1]ModifierDes!$E:$E),3,_xlfn.XLOOKUP(C2697,[1]StuntDes!$B:$B,[1]StuntDes!$E:$E)),0)</f>
        <v>2</v>
      </c>
    </row>
    <row r="2698" customFormat="1" spans="1:20">
      <c r="A2698">
        <v>90058</v>
      </c>
      <c r="B2698">
        <v>1</v>
      </c>
      <c r="C2698" t="s">
        <v>469</v>
      </c>
      <c r="D2698" t="s">
        <v>148</v>
      </c>
      <c r="E2698" t="s">
        <v>462</v>
      </c>
      <c r="H2698">
        <v>1000</v>
      </c>
      <c r="J2698">
        <v>1</v>
      </c>
      <c r="K2698" t="str" cm="1">
        <f t="array" ref="K2698">IFERROR(_xlfn.SWITCH(L2698,2,_xlfn.XLOOKUP(C2698,[1]ModifierDes!$B:$B,[1]ModifierDes!$C:$C),3,_xlfn.XLOOKUP(C2698,[1]StuntDes!$B:$B,[1]StuntDes!$C:$C)),"")</f>
        <v>物理伤害转冰冷伤害增加{0}</v>
      </c>
      <c r="L2698">
        <f t="shared" si="195"/>
        <v>2</v>
      </c>
      <c r="M2698" s="10" t="str">
        <f>IFERROR(_xlfn.XLOOKUP(C2698,[1]StuntDes!$B:$B,[1]StuntDes!$A:$A),"")</f>
        <v/>
      </c>
      <c r="N2698" s="10">
        <f>IFERROR(_xlfn.XLOOKUP(C2698,[1]ModifierDes!$B:$B,[1]ModifierDes!$A:$A),"")</f>
        <v>10070</v>
      </c>
      <c r="O2698" s="10" t="str">
        <f>IFERROR(_xlfn.XLOOKUP(C2698,[1]AttributeName!$C:$C,[1]AttributeName!$B:$B),"")</f>
        <v/>
      </c>
      <c r="P2698" s="10"/>
      <c r="Q2698">
        <v>0.75</v>
      </c>
      <c r="R2698">
        <v>1</v>
      </c>
      <c r="S2698" cm="1">
        <f t="array" ref="S2698">IFERROR(_xlfn.SWITCH(L2698,1,_xlfn.XLOOKUP(O2698,[1]AttributeName!$B:$B,[1]AttributeName!$D:$D),2,_xlfn.XLOOKUP(C2698,[1]ModifierDes!$B:$B,[1]ModifierDes!$D:$D),3,_xlfn.XLOOKUP(C2698,[1]StuntDes!$B:$B,[1]StuntDes!$D:$D)),0)</f>
        <v>2</v>
      </c>
      <c r="T2698" cm="1">
        <f t="array" ref="T2698">IFERROR(_xlfn.SWITCH(L2698,1,_xlfn.XLOOKUP(O2698,[1]AttributeName!$B:$B,[1]AttributeName!$E:$E),2,_xlfn.XLOOKUP(C2698,[1]ModifierDes!$B:$B,[1]ModifierDes!$E:$E),3,_xlfn.XLOOKUP(C2698,[1]StuntDes!$B:$B,[1]StuntDes!$E:$E)),0)</f>
        <v>2</v>
      </c>
    </row>
    <row r="2699" customFormat="1" spans="1:20">
      <c r="A2699">
        <v>90059</v>
      </c>
      <c r="B2699">
        <v>1</v>
      </c>
      <c r="C2699" t="s">
        <v>408</v>
      </c>
      <c r="D2699" t="s">
        <v>148</v>
      </c>
      <c r="E2699" t="s">
        <v>462</v>
      </c>
      <c r="H2699">
        <v>1000</v>
      </c>
      <c r="J2699">
        <v>1</v>
      </c>
      <c r="K2699" t="str" cm="1">
        <f t="array" ref="K2699">IFERROR(_xlfn.SWITCH(L2699,2,_xlfn.XLOOKUP(C2699,[1]ModifierDes!$B:$B,[1]ModifierDes!$C:$C),3,_xlfn.XLOOKUP(C2699,[1]StuntDes!$B:$B,[1]StuntDes!$C:$C)),"")</f>
        <v>冰冷技能等级增加{0}</v>
      </c>
      <c r="L2699">
        <f t="shared" si="195"/>
        <v>2</v>
      </c>
      <c r="M2699" s="10" t="str">
        <f>IFERROR(_xlfn.XLOOKUP(C2699,[1]StuntDes!$B:$B,[1]StuntDes!$A:$A),"")</f>
        <v/>
      </c>
      <c r="N2699" s="10">
        <f>IFERROR(_xlfn.XLOOKUP(C2699,[1]ModifierDes!$B:$B,[1]ModifierDes!$A:$A),"")</f>
        <v>10158</v>
      </c>
      <c r="O2699" s="10" t="str">
        <f>IFERROR(_xlfn.XLOOKUP(C2699,[1]AttributeName!$C:$C,[1]AttributeName!$B:$B),"")</f>
        <v/>
      </c>
      <c r="P2699" s="10"/>
      <c r="Q2699">
        <v>4</v>
      </c>
      <c r="R2699">
        <v>6</v>
      </c>
      <c r="S2699" cm="1">
        <f t="array" ref="S2699">IFERROR(_xlfn.SWITCH(L2699,1,_xlfn.XLOOKUP(O2699,[1]AttributeName!$B:$B,[1]AttributeName!$D:$D),2,_xlfn.XLOOKUP(C2699,[1]ModifierDes!$B:$B,[1]ModifierDes!$D:$D),3,_xlfn.XLOOKUP(C2699,[1]StuntDes!$B:$B,[1]StuntDes!$D:$D)),0)</f>
        <v>0</v>
      </c>
      <c r="T2699" cm="1">
        <f t="array" ref="T2699">IFERROR(_xlfn.SWITCH(L2699,1,_xlfn.XLOOKUP(O2699,[1]AttributeName!$B:$B,[1]AttributeName!$E:$E),2,_xlfn.XLOOKUP(C2699,[1]ModifierDes!$B:$B,[1]ModifierDes!$E:$E),3,_xlfn.XLOOKUP(C2699,[1]StuntDes!$B:$B,[1]StuntDes!$E:$E)),0)</f>
        <v>0</v>
      </c>
    </row>
    <row r="2700" customFormat="1" spans="1:20">
      <c r="A2700">
        <v>90060</v>
      </c>
      <c r="B2700">
        <v>1</v>
      </c>
      <c r="C2700" t="s">
        <v>395</v>
      </c>
      <c r="D2700" t="s">
        <v>148</v>
      </c>
      <c r="E2700" t="s">
        <v>462</v>
      </c>
      <c r="H2700">
        <v>1000</v>
      </c>
      <c r="J2700">
        <v>1</v>
      </c>
      <c r="K2700" t="str" cm="1">
        <f t="array" ref="K2700">IFERROR(_xlfn.SWITCH(L2700,2,_xlfn.XLOOKUP(C2700,[1]ModifierDes!$B:$B,[1]ModifierDes!$C:$C),3,_xlfn.XLOOKUP(C2700,[1]StuntDes!$B:$B,[1]StuntDes!$C:$C)),"")</f>
        <v/>
      </c>
      <c r="L2700">
        <f t="shared" si="195"/>
        <v>1</v>
      </c>
      <c r="M2700" s="10" t="str">
        <f>IFERROR(_xlfn.XLOOKUP(C2700,[1]StuntDes!$B:$B,[1]StuntDes!$A:$A),"")</f>
        <v/>
      </c>
      <c r="N2700" s="10" t="str">
        <f>IFERROR(_xlfn.XLOOKUP(C2700,[1]ModifierDes!$B:$B,[1]ModifierDes!$A:$A),"")</f>
        <v/>
      </c>
      <c r="O2700" s="10">
        <f>IFERROR(_xlfn.XLOOKUP(C2700,[1]AttributeName!$C:$C,[1]AttributeName!$B:$B),"")</f>
        <v>10502</v>
      </c>
      <c r="P2700" s="10"/>
      <c r="Q2700">
        <v>0.6</v>
      </c>
      <c r="R2700">
        <v>0.8</v>
      </c>
      <c r="S2700" cm="1">
        <f t="array" ref="S2700">IFERROR(_xlfn.SWITCH(L2700,1,_xlfn.XLOOKUP(O2700,[1]AttributeName!$B:$B,[1]AttributeName!$D:$D),2,_xlfn.XLOOKUP(C2700,[1]ModifierDes!$B:$B,[1]ModifierDes!$D:$D),3,_xlfn.XLOOKUP(C2700,[1]StuntDes!$B:$B,[1]StuntDes!$D:$D)),0)</f>
        <v>2</v>
      </c>
      <c r="T2700" cm="1">
        <f t="array" ref="T2700">IFERROR(_xlfn.SWITCH(L2700,1,_xlfn.XLOOKUP(O2700,[1]AttributeName!$B:$B,[1]AttributeName!$E:$E),2,_xlfn.XLOOKUP(C2700,[1]ModifierDes!$B:$B,[1]ModifierDes!$E:$E),3,_xlfn.XLOOKUP(C2700,[1]StuntDes!$B:$B,[1]StuntDes!$E:$E)),0)</f>
        <v>2</v>
      </c>
    </row>
    <row r="2701" customFormat="1" spans="1:20">
      <c r="A2701">
        <v>90061</v>
      </c>
      <c r="B2701">
        <v>1</v>
      </c>
      <c r="C2701" s="13" t="s">
        <v>402</v>
      </c>
      <c r="D2701" t="s">
        <v>157</v>
      </c>
      <c r="E2701" t="s">
        <v>462</v>
      </c>
      <c r="H2701">
        <v>1000</v>
      </c>
      <c r="J2701">
        <v>1</v>
      </c>
      <c r="K2701" t="str" cm="1">
        <f t="array" ref="K2701">IFERROR(_xlfn.SWITCH(L2701,2,_xlfn.XLOOKUP(C2701,[1]ModifierDes!$B:$B,[1]ModifierDes!$C:$C),3,_xlfn.XLOOKUP(C2701,[1]StuntDes!$B:$B,[1]StuntDes!$C:$C)),"")</f>
        <v/>
      </c>
      <c r="L2701">
        <f t="shared" si="195"/>
        <v>1</v>
      </c>
      <c r="M2701" s="10" t="str">
        <f>IFERROR(_xlfn.XLOOKUP(C2701,[1]StuntDes!$B:$B,[1]StuntDes!$A:$A),"")</f>
        <v/>
      </c>
      <c r="N2701" s="10" t="str">
        <f>IFERROR(_xlfn.XLOOKUP(C2701,[1]ModifierDes!$B:$B,[1]ModifierDes!$A:$A),"")</f>
        <v/>
      </c>
      <c r="O2701" s="10">
        <f>IFERROR(_xlfn.XLOOKUP(C2701,[1]AttributeName!$C:$C,[1]AttributeName!$B:$B),"")</f>
        <v>10001</v>
      </c>
      <c r="P2701" s="10"/>
      <c r="Q2701">
        <v>950</v>
      </c>
      <c r="R2701">
        <v>1050</v>
      </c>
      <c r="S2701" cm="1">
        <f t="array" ref="S2701">IFERROR(_xlfn.SWITCH(L2701,1,_xlfn.XLOOKUP(O2701,[1]AttributeName!$B:$B,[1]AttributeName!$D:$D),2,_xlfn.XLOOKUP(C2701,[1]ModifierDes!$B:$B,[1]ModifierDes!$D:$D),3,_xlfn.XLOOKUP(C2701,[1]StuntDes!$B:$B,[1]StuntDes!$D:$D)),0)</f>
        <v>0</v>
      </c>
      <c r="T2701" cm="1">
        <f t="array" ref="T2701">IFERROR(_xlfn.SWITCH(L2701,1,_xlfn.XLOOKUP(O2701,[1]AttributeName!$B:$B,[1]AttributeName!$E:$E),2,_xlfn.XLOOKUP(C2701,[1]ModifierDes!$B:$B,[1]ModifierDes!$E:$E),3,_xlfn.XLOOKUP(C2701,[1]StuntDes!$B:$B,[1]StuntDes!$E:$E)),0)</f>
        <v>1</v>
      </c>
    </row>
    <row r="2702" customFormat="1" spans="1:20">
      <c r="A2702">
        <v>90062</v>
      </c>
      <c r="B2702">
        <v>1</v>
      </c>
      <c r="C2702" t="s">
        <v>403</v>
      </c>
      <c r="D2702" t="s">
        <v>157</v>
      </c>
      <c r="E2702" t="s">
        <v>462</v>
      </c>
      <c r="H2702">
        <v>1000</v>
      </c>
      <c r="J2702">
        <v>1</v>
      </c>
      <c r="K2702" t="str" cm="1">
        <f t="array" ref="K2702">IFERROR(_xlfn.SWITCH(L2702,2,_xlfn.XLOOKUP(C2702,[1]ModifierDes!$B:$B,[1]ModifierDes!$C:$C),3,_xlfn.XLOOKUP(C2702,[1]StuntDes!$B:$B,[1]StuntDes!$C:$C)),"")</f>
        <v/>
      </c>
      <c r="L2702">
        <f t="shared" si="195"/>
        <v>1</v>
      </c>
      <c r="M2702" s="10" t="str">
        <f>IFERROR(_xlfn.XLOOKUP(C2702,[1]StuntDes!$B:$B,[1]StuntDes!$A:$A),"")</f>
        <v/>
      </c>
      <c r="N2702" s="10" t="str">
        <f>IFERROR(_xlfn.XLOOKUP(C2702,[1]ModifierDes!$B:$B,[1]ModifierDes!$A:$A),"")</f>
        <v/>
      </c>
      <c r="O2702" s="10">
        <f>IFERROR(_xlfn.XLOOKUP(C2702,[1]AttributeName!$C:$C,[1]AttributeName!$B:$B),"")</f>
        <v>10002</v>
      </c>
      <c r="P2702" s="10"/>
      <c r="Q2702">
        <v>71</v>
      </c>
      <c r="R2702">
        <v>80</v>
      </c>
      <c r="S2702" cm="1">
        <f t="array" ref="S2702">IFERROR(_xlfn.SWITCH(L2702,1,_xlfn.XLOOKUP(O2702,[1]AttributeName!$B:$B,[1]AttributeName!$D:$D),2,_xlfn.XLOOKUP(C2702,[1]ModifierDes!$B:$B,[1]ModifierDes!$D:$D),3,_xlfn.XLOOKUP(C2702,[1]StuntDes!$B:$B,[1]StuntDes!$D:$D)),0)</f>
        <v>0</v>
      </c>
      <c r="T2702" cm="1">
        <f t="array" ref="T2702">IFERROR(_xlfn.SWITCH(L2702,1,_xlfn.XLOOKUP(O2702,[1]AttributeName!$B:$B,[1]AttributeName!$E:$E),2,_xlfn.XLOOKUP(C2702,[1]ModifierDes!$B:$B,[1]ModifierDes!$E:$E),3,_xlfn.XLOOKUP(C2702,[1]StuntDes!$B:$B,[1]StuntDes!$E:$E)),0)</f>
        <v>1</v>
      </c>
    </row>
    <row r="2703" customFormat="1" spans="1:20">
      <c r="A2703">
        <v>90063</v>
      </c>
      <c r="B2703">
        <v>1</v>
      </c>
      <c r="C2703" t="s">
        <v>508</v>
      </c>
      <c r="D2703" t="s">
        <v>157</v>
      </c>
      <c r="E2703" t="s">
        <v>462</v>
      </c>
      <c r="H2703">
        <v>1000</v>
      </c>
      <c r="J2703">
        <v>1</v>
      </c>
      <c r="K2703" t="str" cm="1">
        <f t="array" ref="K2703">IFERROR(_xlfn.SWITCH(L2703,2,_xlfn.XLOOKUP(C2703,[1]ModifierDes!$B:$B,[1]ModifierDes!$C:$C),3,_xlfn.XLOOKUP(C2703,[1]StuntDes!$B:$B,[1]StuntDes!$C:$C)),"")</f>
        <v/>
      </c>
      <c r="L2703">
        <f t="shared" si="195"/>
        <v>1</v>
      </c>
      <c r="M2703" s="10" t="str">
        <f>IFERROR(_xlfn.XLOOKUP(C2703,[1]StuntDes!$B:$B,[1]StuntDes!$A:$A),"")</f>
        <v/>
      </c>
      <c r="N2703" s="10" t="str">
        <f>IFERROR(_xlfn.XLOOKUP(C2703,[1]ModifierDes!$B:$B,[1]ModifierDes!$A:$A),"")</f>
        <v/>
      </c>
      <c r="O2703" s="10" t="str">
        <f>IFERROR(_xlfn.XLOOKUP(C2703,[1]AttributeName!$C:$C,[1]AttributeName!$B:$B),"")</f>
        <v/>
      </c>
      <c r="P2703" s="10"/>
      <c r="Q2703">
        <v>0</v>
      </c>
      <c r="R2703">
        <v>0</v>
      </c>
      <c r="S2703" cm="1">
        <f t="array" ref="S2703">IFERROR(_xlfn.SWITCH(L2703,1,_xlfn.XLOOKUP(O2703,[1]AttributeName!$B:$B,[1]AttributeName!$D:$D),2,_xlfn.XLOOKUP(C2703,[1]ModifierDes!$B:$B,[1]ModifierDes!$D:$D),3,_xlfn.XLOOKUP(C2703,[1]StuntDes!$B:$B,[1]StuntDes!$D:$D)),0)</f>
        <v>0</v>
      </c>
      <c r="T2703" cm="1">
        <f t="array" ref="T2703">IFERROR(_xlfn.SWITCH(L2703,1,_xlfn.XLOOKUP(O2703,[1]AttributeName!$B:$B,[1]AttributeName!$E:$E),2,_xlfn.XLOOKUP(C2703,[1]ModifierDes!$B:$B,[1]ModifierDes!$E:$E),3,_xlfn.XLOOKUP(C2703,[1]StuntDes!$B:$B,[1]StuntDes!$E:$E)),0)</f>
        <v>0</v>
      </c>
    </row>
    <row r="2704" customFormat="1" spans="1:20">
      <c r="A2704">
        <v>90064</v>
      </c>
      <c r="B2704">
        <v>1</v>
      </c>
      <c r="C2704" t="s">
        <v>515</v>
      </c>
      <c r="D2704" t="s">
        <v>157</v>
      </c>
      <c r="E2704" t="s">
        <v>462</v>
      </c>
      <c r="H2704">
        <v>1000</v>
      </c>
      <c r="J2704">
        <v>1</v>
      </c>
      <c r="K2704" t="str" cm="1">
        <f t="array" ref="K2704">IFERROR(_xlfn.SWITCH(L2704,2,_xlfn.XLOOKUP(C2704,[1]ModifierDes!$B:$B,[1]ModifierDes!$C:$C),3,_xlfn.XLOOKUP(C2704,[1]StuntDes!$B:$B,[1]StuntDes!$C:$C)),"")</f>
        <v/>
      </c>
      <c r="L2704">
        <f t="shared" si="195"/>
        <v>1</v>
      </c>
      <c r="M2704" s="10" t="str">
        <f>IFERROR(_xlfn.XLOOKUP(C2704,[1]StuntDes!$B:$B,[1]StuntDes!$A:$A),"")</f>
        <v/>
      </c>
      <c r="N2704" s="10" t="str">
        <f>IFERROR(_xlfn.XLOOKUP(C2704,[1]ModifierDes!$B:$B,[1]ModifierDes!$A:$A),"")</f>
        <v/>
      </c>
      <c r="O2704" s="10" t="str">
        <f>IFERROR(_xlfn.XLOOKUP(C2704,[1]AttributeName!$C:$C,[1]AttributeName!$B:$B),"")</f>
        <v/>
      </c>
      <c r="P2704" s="10"/>
      <c r="Q2704">
        <v>0.4</v>
      </c>
      <c r="R2704">
        <v>0.6</v>
      </c>
      <c r="S2704" cm="1">
        <f t="array" ref="S2704">IFERROR(_xlfn.SWITCH(L2704,1,_xlfn.XLOOKUP(O2704,[1]AttributeName!$B:$B,[1]AttributeName!$D:$D),2,_xlfn.XLOOKUP(C2704,[1]ModifierDes!$B:$B,[1]ModifierDes!$D:$D),3,_xlfn.XLOOKUP(C2704,[1]StuntDes!$B:$B,[1]StuntDes!$D:$D)),0)</f>
        <v>0</v>
      </c>
      <c r="T2704" cm="1">
        <f t="array" ref="T2704">IFERROR(_xlfn.SWITCH(L2704,1,_xlfn.XLOOKUP(O2704,[1]AttributeName!$B:$B,[1]AttributeName!$E:$E),2,_xlfn.XLOOKUP(C2704,[1]ModifierDes!$B:$B,[1]ModifierDes!$E:$E),3,_xlfn.XLOOKUP(C2704,[1]StuntDes!$B:$B,[1]StuntDes!$E:$E)),0)</f>
        <v>0</v>
      </c>
    </row>
    <row r="2705" customFormat="1" spans="1:20">
      <c r="A2705">
        <v>90065</v>
      </c>
      <c r="B2705">
        <v>1</v>
      </c>
      <c r="C2705" s="13" t="s">
        <v>433</v>
      </c>
      <c r="D2705" t="s">
        <v>157</v>
      </c>
      <c r="E2705" t="s">
        <v>462</v>
      </c>
      <c r="H2705">
        <v>1000</v>
      </c>
      <c r="J2705">
        <v>1</v>
      </c>
      <c r="K2705" t="str" cm="1">
        <f t="array" ref="K2705">IFERROR(_xlfn.SWITCH(L2705,2,_xlfn.XLOOKUP(C2705,[1]ModifierDes!$B:$B,[1]ModifierDes!$C:$C),3,_xlfn.XLOOKUP(C2705,[1]StuntDes!$B:$B,[1]StuntDes!$C:$C)),"")</f>
        <v/>
      </c>
      <c r="L2705">
        <f t="shared" si="195"/>
        <v>1</v>
      </c>
      <c r="M2705" s="10" t="str">
        <f>IFERROR(_xlfn.XLOOKUP(C2705,[1]StuntDes!$B:$B,[1]StuntDes!$A:$A),"")</f>
        <v/>
      </c>
      <c r="N2705" s="10" t="str">
        <f>IFERROR(_xlfn.XLOOKUP(C2705,[1]ModifierDes!$B:$B,[1]ModifierDes!$A:$A),"")</f>
        <v/>
      </c>
      <c r="O2705" s="10">
        <f>IFERROR(_xlfn.XLOOKUP(C2705,[1]AttributeName!$C:$C,[1]AttributeName!$B:$B),"")</f>
        <v>10312</v>
      </c>
      <c r="P2705" s="10"/>
      <c r="Q2705">
        <v>0.3</v>
      </c>
      <c r="R2705">
        <v>0.4</v>
      </c>
      <c r="S2705" cm="1">
        <f t="array" ref="S2705">IFERROR(_xlfn.SWITCH(L2705,1,_xlfn.XLOOKUP(O2705,[1]AttributeName!$B:$B,[1]AttributeName!$D:$D),2,_xlfn.XLOOKUP(C2705,[1]ModifierDes!$B:$B,[1]ModifierDes!$D:$D),3,_xlfn.XLOOKUP(C2705,[1]StuntDes!$B:$B,[1]StuntDes!$D:$D)),0)</f>
        <v>2</v>
      </c>
      <c r="T2705" cm="1">
        <f t="array" ref="T2705">IFERROR(_xlfn.SWITCH(L2705,1,_xlfn.XLOOKUP(O2705,[1]AttributeName!$B:$B,[1]AttributeName!$E:$E),2,_xlfn.XLOOKUP(C2705,[1]ModifierDes!$B:$B,[1]ModifierDes!$E:$E),3,_xlfn.XLOOKUP(C2705,[1]StuntDes!$B:$B,[1]StuntDes!$E:$E)),0)</f>
        <v>2</v>
      </c>
    </row>
    <row r="2706" customFormat="1" spans="1:20">
      <c r="A2706">
        <v>90066</v>
      </c>
      <c r="B2706">
        <v>1</v>
      </c>
      <c r="C2706" t="s">
        <v>435</v>
      </c>
      <c r="D2706" t="s">
        <v>157</v>
      </c>
      <c r="E2706" t="s">
        <v>462</v>
      </c>
      <c r="H2706">
        <v>1000</v>
      </c>
      <c r="J2706">
        <v>1</v>
      </c>
      <c r="K2706" t="str" cm="1">
        <f t="array" ref="K2706">IFERROR(_xlfn.SWITCH(L2706,2,_xlfn.XLOOKUP(C2706,[1]ModifierDes!$B:$B,[1]ModifierDes!$C:$C),3,_xlfn.XLOOKUP(C2706,[1]StuntDes!$B:$B,[1]StuntDes!$C:$C)),"")</f>
        <v/>
      </c>
      <c r="L2706">
        <f t="shared" si="195"/>
        <v>1</v>
      </c>
      <c r="M2706" s="10" t="str">
        <f>IFERROR(_xlfn.XLOOKUP(C2706,[1]StuntDes!$B:$B,[1]StuntDes!$A:$A),"")</f>
        <v/>
      </c>
      <c r="N2706" s="10" t="str">
        <f>IFERROR(_xlfn.XLOOKUP(C2706,[1]ModifierDes!$B:$B,[1]ModifierDes!$A:$A),"")</f>
        <v/>
      </c>
      <c r="O2706" s="10">
        <f>IFERROR(_xlfn.XLOOKUP(C2706,[1]AttributeName!$C:$C,[1]AttributeName!$B:$B),"")</f>
        <v>10314</v>
      </c>
      <c r="P2706" s="10"/>
      <c r="Q2706">
        <v>0.3</v>
      </c>
      <c r="R2706">
        <v>0.4</v>
      </c>
      <c r="S2706" cm="1">
        <f t="array" ref="S2706">IFERROR(_xlfn.SWITCH(L2706,1,_xlfn.XLOOKUP(O2706,[1]AttributeName!$B:$B,[1]AttributeName!$D:$D),2,_xlfn.XLOOKUP(C2706,[1]ModifierDes!$B:$B,[1]ModifierDes!$D:$D),3,_xlfn.XLOOKUP(C2706,[1]StuntDes!$B:$B,[1]StuntDes!$D:$D)),0)</f>
        <v>2</v>
      </c>
      <c r="T2706" cm="1">
        <f t="array" ref="T2706">IFERROR(_xlfn.SWITCH(L2706,1,_xlfn.XLOOKUP(O2706,[1]AttributeName!$B:$B,[1]AttributeName!$E:$E),2,_xlfn.XLOOKUP(C2706,[1]ModifierDes!$B:$B,[1]ModifierDes!$E:$E),3,_xlfn.XLOOKUP(C2706,[1]StuntDes!$B:$B,[1]StuntDes!$E:$E)),0)</f>
        <v>2</v>
      </c>
    </row>
    <row r="2707" customFormat="1" spans="1:20">
      <c r="A2707">
        <v>90067</v>
      </c>
      <c r="B2707">
        <v>1</v>
      </c>
      <c r="C2707" s="13" t="s">
        <v>507</v>
      </c>
      <c r="D2707" t="s">
        <v>188</v>
      </c>
      <c r="E2707" t="s">
        <v>462</v>
      </c>
      <c r="H2707">
        <v>1000</v>
      </c>
      <c r="J2707">
        <v>1</v>
      </c>
      <c r="K2707" t="str" cm="1">
        <f t="array" ref="K2707">IFERROR(_xlfn.SWITCH(L2707,2,_xlfn.XLOOKUP(C2707,[1]ModifierDes!$B:$B,[1]ModifierDes!$C:$C),3,_xlfn.XLOOKUP(C2707,[1]StuntDes!$B:$B,[1]StuntDes!$C:$C)),"")</f>
        <v>物理伤害倍率增加{0}</v>
      </c>
      <c r="L2707">
        <f t="shared" si="195"/>
        <v>2</v>
      </c>
      <c r="M2707" s="10" t="str">
        <f>IFERROR(_xlfn.XLOOKUP(C2707,[1]StuntDes!$B:$B,[1]StuntDes!$A:$A),"")</f>
        <v/>
      </c>
      <c r="N2707" s="10">
        <f>IFERROR(_xlfn.XLOOKUP(C2707,[1]ModifierDes!$B:$B,[1]ModifierDes!$A:$A),"")</f>
        <v>10056</v>
      </c>
      <c r="O2707" s="10" t="str">
        <f>IFERROR(_xlfn.XLOOKUP(C2707,[1]AttributeName!$C:$C,[1]AttributeName!$B:$B),"")</f>
        <v/>
      </c>
      <c r="P2707" s="10"/>
      <c r="Q2707">
        <v>0.25</v>
      </c>
      <c r="R2707">
        <v>0.35</v>
      </c>
      <c r="S2707" cm="1">
        <f t="array" ref="S2707">IFERROR(_xlfn.SWITCH(L2707,1,_xlfn.XLOOKUP(O2707,[1]AttributeName!$B:$B,[1]AttributeName!$D:$D),2,_xlfn.XLOOKUP(C2707,[1]ModifierDes!$B:$B,[1]ModifierDes!$D:$D),3,_xlfn.XLOOKUP(C2707,[1]StuntDes!$B:$B,[1]StuntDes!$D:$D)),0)</f>
        <v>2</v>
      </c>
      <c r="T2707" cm="1">
        <f t="array" ref="T2707">IFERROR(_xlfn.SWITCH(L2707,1,_xlfn.XLOOKUP(O2707,[1]AttributeName!$B:$B,[1]AttributeName!$E:$E),2,_xlfn.XLOOKUP(C2707,[1]ModifierDes!$B:$B,[1]ModifierDes!$E:$E),3,_xlfn.XLOOKUP(C2707,[1]StuntDes!$B:$B,[1]StuntDes!$E:$E)),0)</f>
        <v>2</v>
      </c>
    </row>
    <row r="2708" customFormat="1" spans="1:20">
      <c r="A2708">
        <v>90068</v>
      </c>
      <c r="B2708">
        <v>1</v>
      </c>
      <c r="C2708" t="s">
        <v>413</v>
      </c>
      <c r="D2708" t="s">
        <v>188</v>
      </c>
      <c r="E2708" t="s">
        <v>462</v>
      </c>
      <c r="H2708">
        <v>1000</v>
      </c>
      <c r="J2708">
        <v>1</v>
      </c>
      <c r="K2708" t="str" cm="1">
        <f t="array" ref="K2708">IFERROR(_xlfn.SWITCH(L2708,2,_xlfn.XLOOKUP(C2708,[1]ModifierDes!$B:$B,[1]ModifierDes!$C:$C),3,_xlfn.XLOOKUP(C2708,[1]StuntDes!$B:$B,[1]StuntDes!$C:$C)),"")</f>
        <v>攻击速度提高{0}</v>
      </c>
      <c r="L2708">
        <f t="shared" si="195"/>
        <v>2</v>
      </c>
      <c r="M2708" s="10" t="str">
        <f>IFERROR(_xlfn.XLOOKUP(C2708,[1]StuntDes!$B:$B,[1]StuntDes!$A:$A),"")</f>
        <v/>
      </c>
      <c r="N2708" s="10">
        <f>IFERROR(_xlfn.XLOOKUP(C2708,[1]ModifierDes!$B:$B,[1]ModifierDes!$A:$A),"")</f>
        <v>10031</v>
      </c>
      <c r="O2708" s="10"/>
      <c r="P2708" s="10"/>
      <c r="Q2708">
        <v>-0.3</v>
      </c>
      <c r="R2708">
        <v>-0.2</v>
      </c>
      <c r="S2708" cm="1">
        <f t="array" ref="S2708">IFERROR(_xlfn.SWITCH(L2708,1,_xlfn.XLOOKUP(O2708,[1]AttributeName!$B:$B,[1]AttributeName!$D:$D),2,_xlfn.XLOOKUP(C2708,[1]ModifierDes!$B:$B,[1]ModifierDes!$D:$D),3,_xlfn.XLOOKUP(C2708,[1]StuntDes!$B:$B,[1]StuntDes!$D:$D)),0)</f>
        <v>2</v>
      </c>
      <c r="T2708" cm="1">
        <f t="array" ref="T2708">IFERROR(_xlfn.SWITCH(L2708,1,_xlfn.XLOOKUP(O2708,[1]AttributeName!$B:$B,[1]AttributeName!$E:$E),2,_xlfn.XLOOKUP(C2708,[1]ModifierDes!$B:$B,[1]ModifierDes!$E:$E),3,_xlfn.XLOOKUP(C2708,[1]StuntDes!$B:$B,[1]StuntDes!$E:$E)),0)</f>
        <v>2</v>
      </c>
    </row>
    <row r="2709" customFormat="1" spans="1:20">
      <c r="A2709">
        <v>90069</v>
      </c>
      <c r="B2709">
        <v>1</v>
      </c>
      <c r="C2709" t="s">
        <v>400</v>
      </c>
      <c r="D2709" t="s">
        <v>188</v>
      </c>
      <c r="E2709" t="s">
        <v>462</v>
      </c>
      <c r="H2709">
        <v>1000</v>
      </c>
      <c r="J2709">
        <v>1</v>
      </c>
      <c r="K2709" t="str" cm="1">
        <f t="array" ref="K2709">IFERROR(_xlfn.SWITCH(L2709,2,_xlfn.XLOOKUP(C2709,[1]ModifierDes!$B:$B,[1]ModifierDes!$C:$C),3,_xlfn.XLOOKUP(C2709,[1]StuntDes!$B:$B,[1]StuntDes!$C:$C)),"")</f>
        <v>元素伤害提高{0}</v>
      </c>
      <c r="L2709">
        <f t="shared" si="195"/>
        <v>2</v>
      </c>
      <c r="M2709" s="10" t="str">
        <f>IFERROR(_xlfn.XLOOKUP(C2709,[1]StuntDes!$B:$B,[1]StuntDes!$A:$A),"")</f>
        <v/>
      </c>
      <c r="N2709" s="10">
        <f>IFERROR(_xlfn.XLOOKUP(C2709,[1]ModifierDes!$B:$B,[1]ModifierDes!$A:$A),"")</f>
        <v>10120</v>
      </c>
      <c r="O2709" s="10">
        <f>IFERROR(_xlfn.XLOOKUP(C2709,[1]AttributeName!$C:$C,[1]AttributeName!$B:$B),"")</f>
        <v>10308</v>
      </c>
      <c r="P2709" s="10"/>
      <c r="Q2709">
        <v>0.25</v>
      </c>
      <c r="R2709">
        <v>0.35</v>
      </c>
      <c r="S2709" cm="1">
        <f t="array" ref="S2709">IFERROR(_xlfn.SWITCH(L2709,1,_xlfn.XLOOKUP(O2709,[1]AttributeName!$B:$B,[1]AttributeName!$D:$D),2,_xlfn.XLOOKUP(C2709,[1]ModifierDes!$B:$B,[1]ModifierDes!$D:$D),3,_xlfn.XLOOKUP(C2709,[1]StuntDes!$B:$B,[1]StuntDes!$D:$D)),0)</f>
        <v>2</v>
      </c>
      <c r="T2709" cm="1">
        <f t="array" ref="T2709">IFERROR(_xlfn.SWITCH(L2709,1,_xlfn.XLOOKUP(O2709,[1]AttributeName!$B:$B,[1]AttributeName!$E:$E),2,_xlfn.XLOOKUP(C2709,[1]ModifierDes!$B:$B,[1]ModifierDes!$E:$E),3,_xlfn.XLOOKUP(C2709,[1]StuntDes!$B:$B,[1]StuntDes!$E:$E)),0)</f>
        <v>2</v>
      </c>
    </row>
    <row r="2710" customFormat="1" spans="1:20">
      <c r="A2710">
        <v>90070</v>
      </c>
      <c r="B2710">
        <v>1</v>
      </c>
      <c r="C2710" s="13" t="s">
        <v>516</v>
      </c>
      <c r="D2710" t="s">
        <v>188</v>
      </c>
      <c r="E2710" t="s">
        <v>462</v>
      </c>
      <c r="H2710">
        <v>1000</v>
      </c>
      <c r="J2710">
        <v>1</v>
      </c>
      <c r="K2710" t="str" cm="1">
        <f t="array" ref="K2710">IFERROR(_xlfn.SWITCH(L2710,2,_xlfn.XLOOKUP(C2710,[1]ModifierDes!$B:$B,[1]ModifierDes!$C:$C),3,_xlfn.XLOOKUP(C2710,[1]StuntDes!$B:$B,[1]StuntDes!$C:$C)),"")</f>
        <v>近战技能范围效果提高{0}</v>
      </c>
      <c r="L2710">
        <f t="shared" si="195"/>
        <v>2</v>
      </c>
      <c r="M2710" s="10" t="str">
        <f>IFERROR(_xlfn.XLOOKUP(C2710,[1]StuntDes!$B:$B,[1]StuntDes!$A:$A),"")</f>
        <v/>
      </c>
      <c r="N2710" s="10">
        <f>IFERROR(_xlfn.XLOOKUP(C2710,[1]ModifierDes!$B:$B,[1]ModifierDes!$A:$A),"")</f>
        <v>10080</v>
      </c>
      <c r="O2710" s="10" t="str">
        <f>IFERROR(_xlfn.XLOOKUP(C2710,[1]AttributeName!$C:$C,[1]AttributeName!$B:$B),"")</f>
        <v/>
      </c>
      <c r="P2710" s="10"/>
      <c r="Q2710">
        <v>0.6</v>
      </c>
      <c r="R2710">
        <v>1</v>
      </c>
      <c r="S2710" cm="1">
        <f t="array" ref="S2710">IFERROR(_xlfn.SWITCH(L2710,1,_xlfn.XLOOKUP(O2710,[1]AttributeName!$B:$B,[1]AttributeName!$D:$D),2,_xlfn.XLOOKUP(C2710,[1]ModifierDes!$B:$B,[1]ModifierDes!$D:$D),3,_xlfn.XLOOKUP(C2710,[1]StuntDes!$B:$B,[1]StuntDes!$D:$D)),0)</f>
        <v>2</v>
      </c>
      <c r="T2710" cm="1">
        <f t="array" ref="T2710">IFERROR(_xlfn.SWITCH(L2710,1,_xlfn.XLOOKUP(O2710,[1]AttributeName!$B:$B,[1]AttributeName!$E:$E),2,_xlfn.XLOOKUP(C2710,[1]ModifierDes!$B:$B,[1]ModifierDes!$E:$E),3,_xlfn.XLOOKUP(C2710,[1]StuntDes!$B:$B,[1]StuntDes!$E:$E)),0)</f>
        <v>2</v>
      </c>
    </row>
    <row r="2711" customFormat="1" spans="1:20">
      <c r="A2711">
        <v>90071</v>
      </c>
      <c r="B2711">
        <v>1</v>
      </c>
      <c r="C2711" s="13" t="s">
        <v>516</v>
      </c>
      <c r="D2711" t="s">
        <v>188</v>
      </c>
      <c r="E2711" t="s">
        <v>462</v>
      </c>
      <c r="H2711">
        <v>1000</v>
      </c>
      <c r="J2711">
        <v>1</v>
      </c>
      <c r="K2711" t="str" cm="1">
        <f t="array" ref="K2711">IFERROR(_xlfn.SWITCH(L2711,2,_xlfn.XLOOKUP(C2711,[1]ModifierDes!$B:$B,[1]ModifierDes!$C:$C),3,_xlfn.XLOOKUP(C2711,[1]StuntDes!$B:$B,[1]StuntDes!$C:$C)),"")</f>
        <v>近战技能范围效果提高{0}</v>
      </c>
      <c r="L2711">
        <f t="shared" si="195"/>
        <v>2</v>
      </c>
      <c r="M2711" s="10" t="str">
        <f>IFERROR(_xlfn.XLOOKUP(C2711,[1]StuntDes!$B:$B,[1]StuntDes!$A:$A),"")</f>
        <v/>
      </c>
      <c r="N2711" s="10">
        <f>IFERROR(_xlfn.XLOOKUP(C2711,[1]ModifierDes!$B:$B,[1]ModifierDes!$A:$A),"")</f>
        <v>10080</v>
      </c>
      <c r="O2711" s="10" t="str">
        <f>IFERROR(_xlfn.XLOOKUP(C2711,[1]AttributeName!$C:$C,[1]AttributeName!$B:$B),"")</f>
        <v/>
      </c>
      <c r="P2711" s="10"/>
      <c r="Q2711">
        <v>0.6</v>
      </c>
      <c r="R2711">
        <v>1</v>
      </c>
      <c r="S2711" cm="1">
        <f t="array" ref="S2711">IFERROR(_xlfn.SWITCH(L2711,1,_xlfn.XLOOKUP(O2711,[1]AttributeName!$B:$B,[1]AttributeName!$D:$D),2,_xlfn.XLOOKUP(C2711,[1]ModifierDes!$B:$B,[1]ModifierDes!$D:$D),3,_xlfn.XLOOKUP(C2711,[1]StuntDes!$B:$B,[1]StuntDes!$D:$D)),0)</f>
        <v>2</v>
      </c>
      <c r="T2711" cm="1">
        <f t="array" ref="T2711">IFERROR(_xlfn.SWITCH(L2711,1,_xlfn.XLOOKUP(O2711,[1]AttributeName!$B:$B,[1]AttributeName!$E:$E),2,_xlfn.XLOOKUP(C2711,[1]ModifierDes!$B:$B,[1]ModifierDes!$E:$E),3,_xlfn.XLOOKUP(C2711,[1]StuntDes!$B:$B,[1]StuntDes!$E:$E)),0)</f>
        <v>2</v>
      </c>
    </row>
    <row r="2712" customFormat="1" spans="1:20">
      <c r="A2712">
        <v>90072</v>
      </c>
      <c r="B2712">
        <v>1</v>
      </c>
      <c r="C2712" t="s">
        <v>508</v>
      </c>
      <c r="D2712" t="s">
        <v>188</v>
      </c>
      <c r="E2712" t="s">
        <v>462</v>
      </c>
      <c r="H2712">
        <v>1000</v>
      </c>
      <c r="J2712">
        <v>1</v>
      </c>
      <c r="K2712" t="str" cm="1">
        <f t="array" ref="K2712">IFERROR(_xlfn.SWITCH(L2712,2,_xlfn.XLOOKUP(C2712,[1]ModifierDes!$B:$B,[1]ModifierDes!$C:$C),3,_xlfn.XLOOKUP(C2712,[1]StuntDes!$B:$B,[1]StuntDes!$C:$C)),"")</f>
        <v/>
      </c>
      <c r="L2712">
        <f t="shared" si="195"/>
        <v>1</v>
      </c>
      <c r="M2712" s="10" t="str">
        <f>IFERROR(_xlfn.XLOOKUP(C2712,[1]StuntDes!$B:$B,[1]StuntDes!$A:$A),"")</f>
        <v/>
      </c>
      <c r="N2712" s="10" t="str">
        <f>IFERROR(_xlfn.XLOOKUP(C2712,[1]ModifierDes!$B:$B,[1]ModifierDes!$A:$A),"")</f>
        <v/>
      </c>
      <c r="O2712" s="10" t="str">
        <f>IFERROR(_xlfn.XLOOKUP(C2712,[1]AttributeName!$C:$C,[1]AttributeName!$B:$B),"")</f>
        <v/>
      </c>
      <c r="P2712" s="10"/>
      <c r="Q2712">
        <v>0</v>
      </c>
      <c r="R2712">
        <v>0</v>
      </c>
      <c r="S2712" cm="1">
        <f t="array" ref="S2712">IFERROR(_xlfn.SWITCH(L2712,1,_xlfn.XLOOKUP(O2712,[1]AttributeName!$B:$B,[1]AttributeName!$D:$D),2,_xlfn.XLOOKUP(C2712,[1]ModifierDes!$B:$B,[1]ModifierDes!$D:$D),3,_xlfn.XLOOKUP(C2712,[1]StuntDes!$B:$B,[1]StuntDes!$D:$D)),0)</f>
        <v>0</v>
      </c>
      <c r="T2712" cm="1">
        <f t="array" ref="T2712">IFERROR(_xlfn.SWITCH(L2712,1,_xlfn.XLOOKUP(O2712,[1]AttributeName!$B:$B,[1]AttributeName!$E:$E),2,_xlfn.XLOOKUP(C2712,[1]ModifierDes!$B:$B,[1]ModifierDes!$E:$E),3,_xlfn.XLOOKUP(C2712,[1]StuntDes!$B:$B,[1]StuntDes!$E:$E)),0)</f>
        <v>0</v>
      </c>
    </row>
    <row r="2713" customFormat="1" spans="1:20">
      <c r="A2713">
        <v>90073</v>
      </c>
      <c r="B2713">
        <v>1</v>
      </c>
      <c r="C2713" s="13" t="s">
        <v>477</v>
      </c>
      <c r="D2713" t="s">
        <v>162</v>
      </c>
      <c r="E2713" t="s">
        <v>462</v>
      </c>
      <c r="H2713">
        <v>1000</v>
      </c>
      <c r="J2713">
        <v>1</v>
      </c>
      <c r="K2713" t="str" cm="1">
        <f t="array" ref="K2713">IFERROR(_xlfn.SWITCH(L2713,2,_xlfn.XLOOKUP(C2713,[1]ModifierDes!$B:$B,[1]ModifierDes!$C:$C),3,_xlfn.XLOOKUP(C2713,[1]StuntDes!$B:$B,[1]StuntDes!$C:$C)),"")</f>
        <v>当生命大于2000时，中毒伤害提高{0}</v>
      </c>
      <c r="L2713">
        <f t="shared" si="195"/>
        <v>3</v>
      </c>
      <c r="M2713" s="10">
        <f>IFERROR(_xlfn.XLOOKUP(C2713,[1]StuntDes!$B:$B,[1]StuntDes!$A:$A),"")</f>
        <v>2340000020</v>
      </c>
      <c r="N2713" s="10" t="str">
        <f>IFERROR(_xlfn.XLOOKUP(C2713,[1]ModifierDes!$B:$B,[1]ModifierDes!$A:$A),"")</f>
        <v/>
      </c>
      <c r="O2713" s="10" t="str">
        <f>IFERROR(_xlfn.XLOOKUP(C2713,[1]AttributeName!$C:$C,[1]AttributeName!$B:$B),"")</f>
        <v/>
      </c>
      <c r="P2713" s="10"/>
      <c r="Q2713">
        <v>0.5</v>
      </c>
      <c r="R2713">
        <v>1</v>
      </c>
      <c r="S2713" cm="1">
        <f t="array" ref="S2713">IFERROR(_xlfn.SWITCH(L2713,1,_xlfn.XLOOKUP(O2713,[1]AttributeName!$B:$B,[1]AttributeName!$D:$D),2,_xlfn.XLOOKUP(C2713,[1]ModifierDes!$B:$B,[1]ModifierDes!$D:$D),3,_xlfn.XLOOKUP(C2713,[1]StuntDes!$B:$B,[1]StuntDes!$D:$D)),0)</f>
        <v>2</v>
      </c>
      <c r="T2713" cm="1">
        <f t="array" ref="T2713">IFERROR(_xlfn.SWITCH(L2713,1,_xlfn.XLOOKUP(O2713,[1]AttributeName!$B:$B,[1]AttributeName!$E:$E),2,_xlfn.XLOOKUP(C2713,[1]ModifierDes!$B:$B,[1]ModifierDes!$E:$E),3,_xlfn.XLOOKUP(C2713,[1]StuntDes!$B:$B,[1]StuntDes!$E:$E)),0)</f>
        <v>2</v>
      </c>
    </row>
    <row r="2714" customFormat="1" spans="1:20">
      <c r="A2714">
        <v>90074</v>
      </c>
      <c r="B2714">
        <v>1</v>
      </c>
      <c r="C2714" t="s">
        <v>478</v>
      </c>
      <c r="D2714" t="s">
        <v>162</v>
      </c>
      <c r="E2714" t="s">
        <v>462</v>
      </c>
      <c r="H2714">
        <v>1000</v>
      </c>
      <c r="J2714">
        <v>1</v>
      </c>
      <c r="K2714" t="str" cm="1">
        <f t="array" ref="K2714">IFERROR(_xlfn.SWITCH(L2714,2,_xlfn.XLOOKUP(C2714,[1]ModifierDes!$B:$B,[1]ModifierDes!$C:$C),3,_xlfn.XLOOKUP(C2714,[1]StuntDes!$B:$B,[1]StuntDes!$C:$C)),"")</f>
        <v>当冷却回复效率高于40%时，中毒持续时间增加{0}%</v>
      </c>
      <c r="L2714">
        <f t="shared" si="195"/>
        <v>3</v>
      </c>
      <c r="M2714" s="10">
        <f>IFERROR(_xlfn.XLOOKUP(C2714,[1]StuntDes!$B:$B,[1]StuntDes!$A:$A),"")</f>
        <v>2340000030</v>
      </c>
      <c r="N2714" s="10" t="str">
        <f>IFERROR(_xlfn.XLOOKUP(C2714,[1]ModifierDes!$B:$B,[1]ModifierDes!$A:$A),"")</f>
        <v/>
      </c>
      <c r="O2714" s="10"/>
      <c r="P2714" s="10"/>
      <c r="Q2714">
        <v>0.5</v>
      </c>
      <c r="R2714">
        <v>1</v>
      </c>
      <c r="S2714" cm="1">
        <f t="array" ref="S2714">IFERROR(_xlfn.SWITCH(L2714,1,_xlfn.XLOOKUP(O2714,[1]AttributeName!$B:$B,[1]AttributeName!$D:$D),2,_xlfn.XLOOKUP(C2714,[1]ModifierDes!$B:$B,[1]ModifierDes!$D:$D),3,_xlfn.XLOOKUP(C2714,[1]StuntDes!$B:$B,[1]StuntDes!$D:$D)),0)</f>
        <v>2</v>
      </c>
      <c r="T2714" cm="1">
        <f t="array" ref="T2714">IFERROR(_xlfn.SWITCH(L2714,1,_xlfn.XLOOKUP(O2714,[1]AttributeName!$B:$B,[1]AttributeName!$E:$E),2,_xlfn.XLOOKUP(C2714,[1]ModifierDes!$B:$B,[1]ModifierDes!$E:$E),3,_xlfn.XLOOKUP(C2714,[1]StuntDes!$B:$B,[1]StuntDes!$E:$E)),0)</f>
        <v>2</v>
      </c>
    </row>
    <row r="2715" customFormat="1" spans="1:20">
      <c r="A2715">
        <v>90075</v>
      </c>
      <c r="B2715">
        <v>1</v>
      </c>
      <c r="C2715" t="s">
        <v>508</v>
      </c>
      <c r="D2715" t="s">
        <v>162</v>
      </c>
      <c r="E2715" t="s">
        <v>462</v>
      </c>
      <c r="H2715">
        <v>1000</v>
      </c>
      <c r="J2715">
        <v>1</v>
      </c>
      <c r="K2715" t="str" cm="1">
        <f t="array" ref="K2715">IFERROR(_xlfn.SWITCH(L2715,2,_xlfn.XLOOKUP(C2715,[1]ModifierDes!$B:$B,[1]ModifierDes!$C:$C),3,_xlfn.XLOOKUP(C2715,[1]StuntDes!$B:$B,[1]StuntDes!$C:$C)),"")</f>
        <v/>
      </c>
      <c r="L2715">
        <f t="shared" si="195"/>
        <v>1</v>
      </c>
      <c r="M2715" s="10" t="str">
        <f>IFERROR(_xlfn.XLOOKUP(C2715,[1]StuntDes!$B:$B,[1]StuntDes!$A:$A),"")</f>
        <v/>
      </c>
      <c r="N2715" s="10" t="str">
        <f>IFERROR(_xlfn.XLOOKUP(C2715,[1]ModifierDes!$B:$B,[1]ModifierDes!$A:$A),"")</f>
        <v/>
      </c>
      <c r="O2715" s="10" t="str">
        <f>IFERROR(_xlfn.XLOOKUP(C2715,[1]AttributeName!$C:$C,[1]AttributeName!$B:$B),"")</f>
        <v/>
      </c>
      <c r="P2715" s="10"/>
      <c r="Q2715">
        <v>0</v>
      </c>
      <c r="R2715">
        <v>0</v>
      </c>
      <c r="S2715" cm="1">
        <f t="array" ref="S2715">IFERROR(_xlfn.SWITCH(L2715,1,_xlfn.XLOOKUP(O2715,[1]AttributeName!$B:$B,[1]AttributeName!$D:$D),2,_xlfn.XLOOKUP(C2715,[1]ModifierDes!$B:$B,[1]ModifierDes!$D:$D),3,_xlfn.XLOOKUP(C2715,[1]StuntDes!$B:$B,[1]StuntDes!$D:$D)),0)</f>
        <v>0</v>
      </c>
      <c r="T2715" cm="1">
        <f t="array" ref="T2715">IFERROR(_xlfn.SWITCH(L2715,1,_xlfn.XLOOKUP(O2715,[1]AttributeName!$B:$B,[1]AttributeName!$E:$E),2,_xlfn.XLOOKUP(C2715,[1]ModifierDes!$B:$B,[1]ModifierDes!$E:$E),3,_xlfn.XLOOKUP(C2715,[1]StuntDes!$B:$B,[1]StuntDes!$E:$E)),0)</f>
        <v>0</v>
      </c>
    </row>
    <row r="2716" customFormat="1" spans="1:20">
      <c r="A2716">
        <v>90076</v>
      </c>
      <c r="B2716">
        <v>1</v>
      </c>
      <c r="C2716" s="13" t="s">
        <v>436</v>
      </c>
      <c r="D2716" t="s">
        <v>162</v>
      </c>
      <c r="E2716" t="s">
        <v>462</v>
      </c>
      <c r="H2716">
        <v>1000</v>
      </c>
      <c r="J2716">
        <v>1</v>
      </c>
      <c r="K2716" t="str" cm="1">
        <f t="array" ref="K2716">IFERROR(_xlfn.SWITCH(L2716,2,_xlfn.XLOOKUP(C2716,[1]ModifierDes!$B:$B,[1]ModifierDes!$C:$C),3,_xlfn.XLOOKUP(C2716,[1]StuntDes!$B:$B,[1]StuntDes!$C:$C)),"")</f>
        <v/>
      </c>
      <c r="L2716">
        <f t="shared" si="195"/>
        <v>1</v>
      </c>
      <c r="M2716" s="10" t="str">
        <f>IFERROR(_xlfn.XLOOKUP(C2716,[1]StuntDes!$B:$B,[1]StuntDes!$A:$A),"")</f>
        <v/>
      </c>
      <c r="N2716" s="10" t="str">
        <f>IFERROR(_xlfn.XLOOKUP(C2716,[1]ModifierDes!$B:$B,[1]ModifierDes!$A:$A),"")</f>
        <v/>
      </c>
      <c r="O2716" s="10">
        <f>IFERROR(_xlfn.XLOOKUP(C2716,[1]AttributeName!$C:$C,[1]AttributeName!$B:$B),"")</f>
        <v>10315</v>
      </c>
      <c r="P2716" s="10"/>
      <c r="Q2716">
        <v>0.4</v>
      </c>
      <c r="R2716">
        <v>0.5</v>
      </c>
      <c r="S2716" cm="1">
        <f t="array" ref="S2716">IFERROR(_xlfn.SWITCH(L2716,1,_xlfn.XLOOKUP(O2716,[1]AttributeName!$B:$B,[1]AttributeName!$D:$D),2,_xlfn.XLOOKUP(C2716,[1]ModifierDes!$B:$B,[1]ModifierDes!$D:$D),3,_xlfn.XLOOKUP(C2716,[1]StuntDes!$B:$B,[1]StuntDes!$D:$D)),0)</f>
        <v>2</v>
      </c>
      <c r="T2716" cm="1">
        <f t="array" ref="T2716">IFERROR(_xlfn.SWITCH(L2716,1,_xlfn.XLOOKUP(O2716,[1]AttributeName!$B:$B,[1]AttributeName!$E:$E),2,_xlfn.XLOOKUP(C2716,[1]ModifierDes!$B:$B,[1]ModifierDes!$E:$E),3,_xlfn.XLOOKUP(C2716,[1]StuntDes!$B:$B,[1]StuntDes!$E:$E)),0)</f>
        <v>2</v>
      </c>
    </row>
    <row r="2717" customFormat="1" spans="1:20">
      <c r="A2717">
        <v>90077</v>
      </c>
      <c r="B2717">
        <v>1</v>
      </c>
      <c r="C2717" s="13" t="s">
        <v>402</v>
      </c>
      <c r="D2717" t="s">
        <v>162</v>
      </c>
      <c r="E2717" t="s">
        <v>462</v>
      </c>
      <c r="H2717">
        <v>1000</v>
      </c>
      <c r="J2717">
        <v>1</v>
      </c>
      <c r="K2717" t="str" cm="1">
        <f t="array" ref="K2717">IFERROR(_xlfn.SWITCH(L2717,2,_xlfn.XLOOKUP(C2717,[1]ModifierDes!$B:$B,[1]ModifierDes!$C:$C),3,_xlfn.XLOOKUP(C2717,[1]StuntDes!$B:$B,[1]StuntDes!$C:$C)),"")</f>
        <v/>
      </c>
      <c r="L2717">
        <f t="shared" si="195"/>
        <v>1</v>
      </c>
      <c r="M2717" s="10" t="str">
        <f>IFERROR(_xlfn.XLOOKUP(C2717,[1]StuntDes!$B:$B,[1]StuntDes!$A:$A),"")</f>
        <v/>
      </c>
      <c r="N2717" s="10" t="str">
        <f>IFERROR(_xlfn.XLOOKUP(C2717,[1]ModifierDes!$B:$B,[1]ModifierDes!$A:$A),"")</f>
        <v/>
      </c>
      <c r="O2717" s="10">
        <f>IFERROR(_xlfn.XLOOKUP(C2717,[1]AttributeName!$C:$C,[1]AttributeName!$B:$B),"")</f>
        <v>10001</v>
      </c>
      <c r="P2717" s="10"/>
      <c r="Q2717">
        <v>1000</v>
      </c>
      <c r="R2717">
        <v>1200</v>
      </c>
      <c r="S2717" cm="1">
        <f t="array" ref="S2717">IFERROR(_xlfn.SWITCH(L2717,1,_xlfn.XLOOKUP(O2717,[1]AttributeName!$B:$B,[1]AttributeName!$D:$D),2,_xlfn.XLOOKUP(C2717,[1]ModifierDes!$B:$B,[1]ModifierDes!$D:$D),3,_xlfn.XLOOKUP(C2717,[1]StuntDes!$B:$B,[1]StuntDes!$D:$D)),0)</f>
        <v>0</v>
      </c>
      <c r="T2717" cm="1">
        <f t="array" ref="T2717">IFERROR(_xlfn.SWITCH(L2717,1,_xlfn.XLOOKUP(O2717,[1]AttributeName!$B:$B,[1]AttributeName!$E:$E),2,_xlfn.XLOOKUP(C2717,[1]ModifierDes!$B:$B,[1]ModifierDes!$E:$E),3,_xlfn.XLOOKUP(C2717,[1]StuntDes!$B:$B,[1]StuntDes!$E:$E)),0)</f>
        <v>1</v>
      </c>
    </row>
    <row r="2718" customFormat="1" spans="1:20">
      <c r="A2718">
        <v>90078</v>
      </c>
      <c r="B2718">
        <v>1</v>
      </c>
      <c r="C2718" t="s">
        <v>508</v>
      </c>
      <c r="D2718" t="s">
        <v>162</v>
      </c>
      <c r="E2718" t="s">
        <v>462</v>
      </c>
      <c r="H2718">
        <v>1000</v>
      </c>
      <c r="J2718">
        <v>1</v>
      </c>
      <c r="K2718" t="str" cm="1">
        <f t="array" ref="K2718">IFERROR(_xlfn.SWITCH(L2718,2,_xlfn.XLOOKUP(C2718,[1]ModifierDes!$B:$B,[1]ModifierDes!$C:$C),3,_xlfn.XLOOKUP(C2718,[1]StuntDes!$B:$B,[1]StuntDes!$C:$C)),"")</f>
        <v/>
      </c>
      <c r="L2718">
        <f t="shared" si="195"/>
        <v>1</v>
      </c>
      <c r="M2718" s="10" t="str">
        <f>IFERROR(_xlfn.XLOOKUP(C2718,[1]StuntDes!$B:$B,[1]StuntDes!$A:$A),"")</f>
        <v/>
      </c>
      <c r="N2718" s="10" t="str">
        <f>IFERROR(_xlfn.XLOOKUP(C2718,[1]ModifierDes!$B:$B,[1]ModifierDes!$A:$A),"")</f>
        <v/>
      </c>
      <c r="O2718" s="10" t="str">
        <f>IFERROR(_xlfn.XLOOKUP(C2718,[1]AttributeName!$C:$C,[1]AttributeName!$B:$B),"")</f>
        <v/>
      </c>
      <c r="P2718" s="10"/>
      <c r="Q2718">
        <v>0</v>
      </c>
      <c r="R2718">
        <v>0</v>
      </c>
      <c r="S2718" cm="1">
        <f t="array" ref="S2718">IFERROR(_xlfn.SWITCH(L2718,1,_xlfn.XLOOKUP(O2718,[1]AttributeName!$B:$B,[1]AttributeName!$D:$D),2,_xlfn.XLOOKUP(C2718,[1]ModifierDes!$B:$B,[1]ModifierDes!$D:$D),3,_xlfn.XLOOKUP(C2718,[1]StuntDes!$B:$B,[1]StuntDes!$D:$D)),0)</f>
        <v>0</v>
      </c>
      <c r="T2718" cm="1">
        <f t="array" ref="T2718">IFERROR(_xlfn.SWITCH(L2718,1,_xlfn.XLOOKUP(O2718,[1]AttributeName!$B:$B,[1]AttributeName!$E:$E),2,_xlfn.XLOOKUP(C2718,[1]ModifierDes!$B:$B,[1]ModifierDes!$E:$E),3,_xlfn.XLOOKUP(C2718,[1]StuntDes!$B:$B,[1]StuntDes!$E:$E)),0)</f>
        <v>0</v>
      </c>
    </row>
    <row r="2719" customFormat="1" spans="1:20">
      <c r="A2719">
        <v>90079</v>
      </c>
      <c r="B2719">
        <v>1</v>
      </c>
      <c r="C2719" s="13" t="s">
        <v>479</v>
      </c>
      <c r="D2719" t="s">
        <v>191</v>
      </c>
      <c r="E2719" t="s">
        <v>462</v>
      </c>
      <c r="H2719">
        <v>1000</v>
      </c>
      <c r="J2719">
        <v>1</v>
      </c>
      <c r="K2719" t="str" cm="1">
        <f t="array" ref="K2719">IFERROR(_xlfn.SWITCH(L2719,2,_xlfn.XLOOKUP(C2719,[1]ModifierDes!$B:$B,[1]ModifierDes!$C:$C),3,_xlfn.XLOOKUP(C2719,[1]StuntDes!$B:$B,[1]StuntDes!$C:$C)),"")</f>
        <v>击败冰结的敌人，回复位移技能的15%当前冷却时间</v>
      </c>
      <c r="L2719">
        <f t="shared" si="195"/>
        <v>3</v>
      </c>
      <c r="M2719" s="10">
        <f>IFERROR(_xlfn.XLOOKUP(C2719,[1]StuntDes!$B:$B,[1]StuntDes!$A:$A),"")</f>
        <v>2340000010</v>
      </c>
      <c r="N2719" s="10" t="str">
        <f>IFERROR(_xlfn.XLOOKUP(C2719,[1]ModifierDes!$B:$B,[1]ModifierDes!$A:$A),"")</f>
        <v/>
      </c>
      <c r="O2719" s="10" t="str">
        <f>IFERROR(_xlfn.XLOOKUP(C2719,[1]AttributeName!$C:$C,[1]AttributeName!$B:$B),"")</f>
        <v/>
      </c>
      <c r="P2719" s="10"/>
      <c r="Q2719">
        <v>0</v>
      </c>
      <c r="R2719">
        <v>0</v>
      </c>
      <c r="S2719" cm="1">
        <f t="array" ref="S2719">IFERROR(_xlfn.SWITCH(L2719,1,_xlfn.XLOOKUP(O2719,[1]AttributeName!$B:$B,[1]AttributeName!$D:$D),2,_xlfn.XLOOKUP(C2719,[1]ModifierDes!$B:$B,[1]ModifierDes!$D:$D),3,_xlfn.XLOOKUP(C2719,[1]StuntDes!$B:$B,[1]StuntDes!$D:$D)),0)</f>
        <v>0</v>
      </c>
      <c r="T2719" cm="1">
        <f t="array" ref="T2719">IFERROR(_xlfn.SWITCH(L2719,1,_xlfn.XLOOKUP(O2719,[1]AttributeName!$B:$B,[1]AttributeName!$E:$E),2,_xlfn.XLOOKUP(C2719,[1]ModifierDes!$B:$B,[1]ModifierDes!$E:$E),3,_xlfn.XLOOKUP(C2719,[1]StuntDes!$B:$B,[1]StuntDes!$E:$E)),0)</f>
        <v>0</v>
      </c>
    </row>
    <row r="2720" customFormat="1" spans="1:20">
      <c r="A2720">
        <v>90080</v>
      </c>
      <c r="B2720">
        <v>1</v>
      </c>
      <c r="C2720" t="s">
        <v>402</v>
      </c>
      <c r="D2720" t="s">
        <v>191</v>
      </c>
      <c r="E2720" t="s">
        <v>462</v>
      </c>
      <c r="H2720">
        <v>1000</v>
      </c>
      <c r="J2720">
        <v>1</v>
      </c>
      <c r="K2720" t="str" cm="1">
        <f t="array" ref="K2720">IFERROR(_xlfn.SWITCH(L2720,2,_xlfn.XLOOKUP(C2720,[1]ModifierDes!$B:$B,[1]ModifierDes!$C:$C),3,_xlfn.XLOOKUP(C2720,[1]StuntDes!$B:$B,[1]StuntDes!$C:$C)),"")</f>
        <v/>
      </c>
      <c r="L2720">
        <f t="shared" si="195"/>
        <v>1</v>
      </c>
      <c r="M2720" s="10" t="str">
        <f>IFERROR(_xlfn.XLOOKUP(C2720,[1]StuntDes!$B:$B,[1]StuntDes!$A:$A),"")</f>
        <v/>
      </c>
      <c r="N2720" s="10" t="str">
        <f>IFERROR(_xlfn.XLOOKUP(C2720,[1]ModifierDes!$B:$B,[1]ModifierDes!$A:$A),"")</f>
        <v/>
      </c>
      <c r="O2720" s="10">
        <f>IFERROR(_xlfn.XLOOKUP(C2720,[1]AttributeName!$C:$C,[1]AttributeName!$B:$B),"")</f>
        <v>10001</v>
      </c>
      <c r="P2720" s="10"/>
      <c r="Q2720">
        <v>1000</v>
      </c>
      <c r="R2720">
        <v>1200</v>
      </c>
      <c r="S2720" cm="1">
        <f t="array" ref="S2720">IFERROR(_xlfn.SWITCH(L2720,1,_xlfn.XLOOKUP(O2720,[1]AttributeName!$B:$B,[1]AttributeName!$D:$D),2,_xlfn.XLOOKUP(C2720,[1]ModifierDes!$B:$B,[1]ModifierDes!$D:$D),3,_xlfn.XLOOKUP(C2720,[1]StuntDes!$B:$B,[1]StuntDes!$D:$D)),0)</f>
        <v>0</v>
      </c>
      <c r="T2720" cm="1">
        <f t="array" ref="T2720">IFERROR(_xlfn.SWITCH(L2720,1,_xlfn.XLOOKUP(O2720,[1]AttributeName!$B:$B,[1]AttributeName!$E:$E),2,_xlfn.XLOOKUP(C2720,[1]ModifierDes!$B:$B,[1]ModifierDes!$E:$E),3,_xlfn.XLOOKUP(C2720,[1]StuntDes!$B:$B,[1]StuntDes!$E:$E)),0)</f>
        <v>1</v>
      </c>
    </row>
    <row r="2721" customFormat="1" spans="1:20">
      <c r="A2721">
        <v>90081</v>
      </c>
      <c r="B2721">
        <v>1</v>
      </c>
      <c r="C2721" t="s">
        <v>508</v>
      </c>
      <c r="D2721" t="s">
        <v>191</v>
      </c>
      <c r="E2721" t="s">
        <v>462</v>
      </c>
      <c r="H2721">
        <v>1000</v>
      </c>
      <c r="J2721">
        <v>1</v>
      </c>
      <c r="K2721" t="str" cm="1">
        <f t="array" ref="K2721">IFERROR(_xlfn.SWITCH(L2721,2,_xlfn.XLOOKUP(C2721,[1]ModifierDes!$B:$B,[1]ModifierDes!$C:$C),3,_xlfn.XLOOKUP(C2721,[1]StuntDes!$B:$B,[1]StuntDes!$C:$C)),"")</f>
        <v/>
      </c>
      <c r="L2721">
        <f t="shared" ref="L2721:L2784" si="196">IF(M2721="",IF(N2721="",1,2),3)</f>
        <v>1</v>
      </c>
      <c r="M2721" s="10" t="str">
        <f>IFERROR(_xlfn.XLOOKUP(C2721,[1]StuntDes!$B:$B,[1]StuntDes!$A:$A),"")</f>
        <v/>
      </c>
      <c r="N2721" s="10" t="str">
        <f>IFERROR(_xlfn.XLOOKUP(C2721,[1]ModifierDes!$B:$B,[1]ModifierDes!$A:$A),"")</f>
        <v/>
      </c>
      <c r="O2721" s="10" t="str">
        <f>IFERROR(_xlfn.XLOOKUP(C2721,[1]AttributeName!$C:$C,[1]AttributeName!$B:$B),"")</f>
        <v/>
      </c>
      <c r="P2721" s="10"/>
      <c r="Q2721">
        <v>0</v>
      </c>
      <c r="R2721">
        <v>0</v>
      </c>
      <c r="S2721" cm="1">
        <f t="array" ref="S2721">IFERROR(_xlfn.SWITCH(L2721,1,_xlfn.XLOOKUP(O2721,[1]AttributeName!$B:$B,[1]AttributeName!$D:$D),2,_xlfn.XLOOKUP(C2721,[1]ModifierDes!$B:$B,[1]ModifierDes!$D:$D),3,_xlfn.XLOOKUP(C2721,[1]StuntDes!$B:$B,[1]StuntDes!$D:$D)),0)</f>
        <v>0</v>
      </c>
      <c r="T2721" cm="1">
        <f t="array" ref="T2721">IFERROR(_xlfn.SWITCH(L2721,1,_xlfn.XLOOKUP(O2721,[1]AttributeName!$B:$B,[1]AttributeName!$E:$E),2,_xlfn.XLOOKUP(C2721,[1]ModifierDes!$B:$B,[1]ModifierDes!$E:$E),3,_xlfn.XLOOKUP(C2721,[1]StuntDes!$B:$B,[1]StuntDes!$E:$E)),0)</f>
        <v>0</v>
      </c>
    </row>
    <row r="2722" customFormat="1" spans="1:20">
      <c r="A2722">
        <v>90082</v>
      </c>
      <c r="B2722">
        <v>1</v>
      </c>
      <c r="C2722" s="13" t="s">
        <v>439</v>
      </c>
      <c r="D2722" t="s">
        <v>191</v>
      </c>
      <c r="E2722" t="s">
        <v>462</v>
      </c>
      <c r="H2722">
        <v>1000</v>
      </c>
      <c r="J2722">
        <v>1</v>
      </c>
      <c r="K2722" t="str" cm="1">
        <f t="array" ref="K2722">IFERROR(_xlfn.SWITCH(L2722,2,_xlfn.XLOOKUP(C2722,[1]ModifierDes!$B:$B,[1]ModifierDes!$C:$C),3,_xlfn.XLOOKUP(C2722,[1]StuntDes!$B:$B,[1]StuntDes!$C:$C)),"")</f>
        <v>法术伤害提高{0}</v>
      </c>
      <c r="L2722">
        <f t="shared" si="196"/>
        <v>2</v>
      </c>
      <c r="M2722" s="10" t="str">
        <f>IFERROR(_xlfn.XLOOKUP(C2722,[1]StuntDes!$B:$B,[1]StuntDes!$A:$A),"")</f>
        <v/>
      </c>
      <c r="N2722" s="10">
        <f>IFERROR(_xlfn.XLOOKUP(C2722,[1]ModifierDes!$B:$B,[1]ModifierDes!$A:$A),"")</f>
        <v>10067</v>
      </c>
      <c r="O2722" s="10" t="str">
        <f>IFERROR(_xlfn.XLOOKUP(C2722,[1]AttributeName!$C:$C,[1]AttributeName!$B:$B),"")</f>
        <v/>
      </c>
      <c r="P2722" s="10"/>
      <c r="Q2722">
        <v>0.4</v>
      </c>
      <c r="R2722">
        <v>0.5</v>
      </c>
      <c r="S2722" cm="1">
        <f t="array" ref="S2722">IFERROR(_xlfn.SWITCH(L2722,1,_xlfn.XLOOKUP(O2722,[1]AttributeName!$B:$B,[1]AttributeName!$D:$D),2,_xlfn.XLOOKUP(C2722,[1]ModifierDes!$B:$B,[1]ModifierDes!$D:$D),3,_xlfn.XLOOKUP(C2722,[1]StuntDes!$B:$B,[1]StuntDes!$D:$D)),0)</f>
        <v>2</v>
      </c>
      <c r="T2722" cm="1">
        <f t="array" ref="T2722">IFERROR(_xlfn.SWITCH(L2722,1,_xlfn.XLOOKUP(O2722,[1]AttributeName!$B:$B,[1]AttributeName!$E:$E),2,_xlfn.XLOOKUP(C2722,[1]ModifierDes!$B:$B,[1]ModifierDes!$E:$E),3,_xlfn.XLOOKUP(C2722,[1]StuntDes!$B:$B,[1]StuntDes!$E:$E)),0)</f>
        <v>2</v>
      </c>
    </row>
    <row r="2723" customFormat="1" spans="1:20">
      <c r="A2723">
        <v>90083</v>
      </c>
      <c r="B2723">
        <v>1</v>
      </c>
      <c r="C2723" s="13" t="s">
        <v>415</v>
      </c>
      <c r="D2723" t="s">
        <v>191</v>
      </c>
      <c r="E2723" t="s">
        <v>462</v>
      </c>
      <c r="H2723">
        <v>1000</v>
      </c>
      <c r="J2723">
        <v>1</v>
      </c>
      <c r="K2723" t="str" cm="1">
        <f t="array" ref="K2723">IFERROR(_xlfn.SWITCH(L2723,2,_xlfn.XLOOKUP(C2723,[1]ModifierDes!$B:$B,[1]ModifierDes!$C:$C),3,_xlfn.XLOOKUP(C2723,[1]StuntDes!$B:$B,[1]StuntDes!$C:$C)),"")</f>
        <v/>
      </c>
      <c r="L2723">
        <f t="shared" si="196"/>
        <v>1</v>
      </c>
      <c r="M2723" s="10" t="str">
        <f>IFERROR(_xlfn.XLOOKUP(C2723,[1]StuntDes!$B:$B,[1]StuntDes!$A:$A),"")</f>
        <v/>
      </c>
      <c r="N2723" s="10" t="str">
        <f>IFERROR(_xlfn.XLOOKUP(C2723,[1]ModifierDes!$B:$B,[1]ModifierDes!$A:$A),"")</f>
        <v/>
      </c>
      <c r="O2723" s="10">
        <f>IFERROR(_xlfn.XLOOKUP(C2723,[1]AttributeName!$C:$C,[1]AttributeName!$B:$B),"")</f>
        <v>11008</v>
      </c>
      <c r="P2723" s="10"/>
      <c r="Q2723">
        <v>0.3</v>
      </c>
      <c r="R2723">
        <v>0.4</v>
      </c>
      <c r="S2723" cm="1">
        <f t="array" ref="S2723">IFERROR(_xlfn.SWITCH(L2723,1,_xlfn.XLOOKUP(O2723,[1]AttributeName!$B:$B,[1]AttributeName!$D:$D),2,_xlfn.XLOOKUP(C2723,[1]ModifierDes!$B:$B,[1]ModifierDes!$D:$D),3,_xlfn.XLOOKUP(C2723,[1]StuntDes!$B:$B,[1]StuntDes!$D:$D)),0)</f>
        <v>2</v>
      </c>
      <c r="T2723" cm="1">
        <f t="array" ref="T2723">IFERROR(_xlfn.SWITCH(L2723,1,_xlfn.XLOOKUP(O2723,[1]AttributeName!$B:$B,[1]AttributeName!$E:$E),2,_xlfn.XLOOKUP(C2723,[1]ModifierDes!$B:$B,[1]ModifierDes!$E:$E),3,_xlfn.XLOOKUP(C2723,[1]StuntDes!$B:$B,[1]StuntDes!$E:$E)),0)</f>
        <v>2</v>
      </c>
    </row>
    <row r="2724" customFormat="1" spans="1:20">
      <c r="A2724">
        <v>90084</v>
      </c>
      <c r="B2724">
        <v>1</v>
      </c>
      <c r="C2724" t="s">
        <v>508</v>
      </c>
      <c r="D2724" t="s">
        <v>191</v>
      </c>
      <c r="E2724" t="s">
        <v>462</v>
      </c>
      <c r="H2724">
        <v>1000</v>
      </c>
      <c r="J2724">
        <v>1</v>
      </c>
      <c r="K2724" t="str" cm="1">
        <f t="array" ref="K2724">IFERROR(_xlfn.SWITCH(L2724,2,_xlfn.XLOOKUP(C2724,[1]ModifierDes!$B:$B,[1]ModifierDes!$C:$C),3,_xlfn.XLOOKUP(C2724,[1]StuntDes!$B:$B,[1]StuntDes!$C:$C)),"")</f>
        <v/>
      </c>
      <c r="L2724">
        <f t="shared" si="196"/>
        <v>1</v>
      </c>
      <c r="M2724" s="10" t="str">
        <f>IFERROR(_xlfn.XLOOKUP(C2724,[1]StuntDes!$B:$B,[1]StuntDes!$A:$A),"")</f>
        <v/>
      </c>
      <c r="N2724" s="10" t="str">
        <f>IFERROR(_xlfn.XLOOKUP(C2724,[1]ModifierDes!$B:$B,[1]ModifierDes!$A:$A),"")</f>
        <v/>
      </c>
      <c r="O2724" s="10" t="str">
        <f>IFERROR(_xlfn.XLOOKUP(C2724,[1]AttributeName!$C:$C,[1]AttributeName!$B:$B),"")</f>
        <v/>
      </c>
      <c r="P2724" s="10"/>
      <c r="Q2724">
        <v>0</v>
      </c>
      <c r="R2724">
        <v>0</v>
      </c>
      <c r="S2724" cm="1">
        <f t="array" ref="S2724">IFERROR(_xlfn.SWITCH(L2724,1,_xlfn.XLOOKUP(O2724,[1]AttributeName!$B:$B,[1]AttributeName!$D:$D),2,_xlfn.XLOOKUP(C2724,[1]ModifierDes!$B:$B,[1]ModifierDes!$D:$D),3,_xlfn.XLOOKUP(C2724,[1]StuntDes!$B:$B,[1]StuntDes!$D:$D)),0)</f>
        <v>0</v>
      </c>
      <c r="T2724" cm="1">
        <f t="array" ref="T2724">IFERROR(_xlfn.SWITCH(L2724,1,_xlfn.XLOOKUP(O2724,[1]AttributeName!$B:$B,[1]AttributeName!$E:$E),2,_xlfn.XLOOKUP(C2724,[1]ModifierDes!$B:$B,[1]ModifierDes!$E:$E),3,_xlfn.XLOOKUP(C2724,[1]StuntDes!$B:$B,[1]StuntDes!$E:$E)),0)</f>
        <v>0</v>
      </c>
    </row>
    <row r="2725" customFormat="1" spans="1:20">
      <c r="A2725">
        <v>90085</v>
      </c>
      <c r="B2725">
        <v>1</v>
      </c>
      <c r="C2725" t="s">
        <v>480</v>
      </c>
      <c r="D2725" t="s">
        <v>194</v>
      </c>
      <c r="E2725" t="s">
        <v>462</v>
      </c>
      <c r="H2725">
        <v>1000</v>
      </c>
      <c r="J2725">
        <v>1</v>
      </c>
      <c r="K2725" t="str" cm="1">
        <f t="array" ref="K2725">IFERROR(_xlfn.SWITCH(L2725,2,_xlfn.XLOOKUP(C2725,[1]ModifierDes!$B:$B,[1]ModifierDes!$C:$C),3,_xlfn.XLOOKUP(C2725,[1]StuntDes!$B:$B,[1]StuntDes!$C:$C)),"")</f>
        <v>中毒层数上限增加{0}</v>
      </c>
      <c r="L2725">
        <f t="shared" si="196"/>
        <v>2</v>
      </c>
      <c r="M2725" s="10" t="str">
        <f>IFERROR(_xlfn.XLOOKUP(C2725,[1]StuntDes!$B:$B,[1]StuntDes!$A:$A),"")</f>
        <v/>
      </c>
      <c r="N2725" s="10">
        <f>IFERROR(_xlfn.XLOOKUP(C2725,[1]ModifierDes!$B:$B,[1]ModifierDes!$A:$A),"")</f>
        <v>10053</v>
      </c>
      <c r="O2725" s="10">
        <f>IFERROR(_xlfn.XLOOKUP(C2725,[1]AttributeName!$C:$C,[1]AttributeName!$B:$B),"")</f>
        <v>11046</v>
      </c>
      <c r="P2725" s="10"/>
      <c r="Q2725">
        <v>1</v>
      </c>
      <c r="R2725">
        <v>3</v>
      </c>
      <c r="S2725" cm="1">
        <f t="array" ref="S2725">IFERROR(_xlfn.SWITCH(L2725,1,_xlfn.XLOOKUP(O2725,[1]AttributeName!$B:$B,[1]AttributeName!$D:$D),2,_xlfn.XLOOKUP(C2725,[1]ModifierDes!$B:$B,[1]ModifierDes!$D:$D),3,_xlfn.XLOOKUP(C2725,[1]StuntDes!$B:$B,[1]StuntDes!$D:$D)),0)</f>
        <v>0</v>
      </c>
      <c r="T2725" cm="1">
        <f t="array" ref="T2725">IFERROR(_xlfn.SWITCH(L2725,1,_xlfn.XLOOKUP(O2725,[1]AttributeName!$B:$B,[1]AttributeName!$E:$E),2,_xlfn.XLOOKUP(C2725,[1]ModifierDes!$B:$B,[1]ModifierDes!$E:$E),3,_xlfn.XLOOKUP(C2725,[1]StuntDes!$B:$B,[1]StuntDes!$E:$E)),0)</f>
        <v>0</v>
      </c>
    </row>
    <row r="2726" customFormat="1" spans="1:20">
      <c r="A2726">
        <v>90086</v>
      </c>
      <c r="B2726">
        <v>1</v>
      </c>
      <c r="C2726" t="s">
        <v>402</v>
      </c>
      <c r="D2726" t="s">
        <v>194</v>
      </c>
      <c r="E2726" t="s">
        <v>462</v>
      </c>
      <c r="H2726">
        <v>1000</v>
      </c>
      <c r="J2726">
        <v>1</v>
      </c>
      <c r="K2726" t="str" cm="1">
        <f t="array" ref="K2726">IFERROR(_xlfn.SWITCH(L2726,2,_xlfn.XLOOKUP(C2726,[1]ModifierDes!$B:$B,[1]ModifierDes!$C:$C),3,_xlfn.XLOOKUP(C2726,[1]StuntDes!$B:$B,[1]StuntDes!$C:$C)),"")</f>
        <v/>
      </c>
      <c r="L2726">
        <f t="shared" si="196"/>
        <v>1</v>
      </c>
      <c r="M2726" s="10" t="str">
        <f>IFERROR(_xlfn.XLOOKUP(C2726,[1]StuntDes!$B:$B,[1]StuntDes!$A:$A),"")</f>
        <v/>
      </c>
      <c r="N2726" s="10" t="str">
        <f>IFERROR(_xlfn.XLOOKUP(C2726,[1]ModifierDes!$B:$B,[1]ModifierDes!$A:$A),"")</f>
        <v/>
      </c>
      <c r="O2726" s="10">
        <f>IFERROR(_xlfn.XLOOKUP(C2726,[1]AttributeName!$C:$C,[1]AttributeName!$B:$B),"")</f>
        <v>10001</v>
      </c>
      <c r="P2726" s="10"/>
      <c r="Q2726">
        <v>1000</v>
      </c>
      <c r="R2726">
        <v>1200</v>
      </c>
      <c r="S2726" cm="1">
        <f t="array" ref="S2726">IFERROR(_xlfn.SWITCH(L2726,1,_xlfn.XLOOKUP(O2726,[1]AttributeName!$B:$B,[1]AttributeName!$D:$D),2,_xlfn.XLOOKUP(C2726,[1]ModifierDes!$B:$B,[1]ModifierDes!$D:$D),3,_xlfn.XLOOKUP(C2726,[1]StuntDes!$B:$B,[1]StuntDes!$D:$D)),0)</f>
        <v>0</v>
      </c>
      <c r="T2726" cm="1">
        <f t="array" ref="T2726">IFERROR(_xlfn.SWITCH(L2726,1,_xlfn.XLOOKUP(O2726,[1]AttributeName!$B:$B,[1]AttributeName!$E:$E),2,_xlfn.XLOOKUP(C2726,[1]ModifierDes!$B:$B,[1]ModifierDes!$E:$E),3,_xlfn.XLOOKUP(C2726,[1]StuntDes!$B:$B,[1]StuntDes!$E:$E)),0)</f>
        <v>1</v>
      </c>
    </row>
    <row r="2727" customFormat="1" spans="1:20">
      <c r="A2727">
        <v>90087</v>
      </c>
      <c r="B2727">
        <v>1</v>
      </c>
      <c r="C2727" t="s">
        <v>508</v>
      </c>
      <c r="D2727" t="s">
        <v>194</v>
      </c>
      <c r="E2727" t="s">
        <v>462</v>
      </c>
      <c r="H2727">
        <v>1000</v>
      </c>
      <c r="J2727">
        <v>1</v>
      </c>
      <c r="K2727" t="str" cm="1">
        <f t="array" ref="K2727">IFERROR(_xlfn.SWITCH(L2727,2,_xlfn.XLOOKUP(C2727,[1]ModifierDes!$B:$B,[1]ModifierDes!$C:$C),3,_xlfn.XLOOKUP(C2727,[1]StuntDes!$B:$B,[1]StuntDes!$C:$C)),"")</f>
        <v/>
      </c>
      <c r="L2727">
        <f t="shared" si="196"/>
        <v>1</v>
      </c>
      <c r="M2727" s="10" t="str">
        <f>IFERROR(_xlfn.XLOOKUP(C2727,[1]StuntDes!$B:$B,[1]StuntDes!$A:$A),"")</f>
        <v/>
      </c>
      <c r="N2727" s="10" t="str">
        <f>IFERROR(_xlfn.XLOOKUP(C2727,[1]ModifierDes!$B:$B,[1]ModifierDes!$A:$A),"")</f>
        <v/>
      </c>
      <c r="O2727" s="10" t="str">
        <f>IFERROR(_xlfn.XLOOKUP(C2727,[1]AttributeName!$C:$C,[1]AttributeName!$B:$B),"")</f>
        <v/>
      </c>
      <c r="P2727" s="10"/>
      <c r="Q2727">
        <v>0</v>
      </c>
      <c r="R2727">
        <v>0</v>
      </c>
      <c r="S2727" cm="1">
        <f t="array" ref="S2727">IFERROR(_xlfn.SWITCH(L2727,1,_xlfn.XLOOKUP(O2727,[1]AttributeName!$B:$B,[1]AttributeName!$D:$D),2,_xlfn.XLOOKUP(C2727,[1]ModifierDes!$B:$B,[1]ModifierDes!$D:$D),3,_xlfn.XLOOKUP(C2727,[1]StuntDes!$B:$B,[1]StuntDes!$D:$D)),0)</f>
        <v>0</v>
      </c>
      <c r="T2727" cm="1">
        <f t="array" ref="T2727">IFERROR(_xlfn.SWITCH(L2727,1,_xlfn.XLOOKUP(O2727,[1]AttributeName!$B:$B,[1]AttributeName!$E:$E),2,_xlfn.XLOOKUP(C2727,[1]ModifierDes!$B:$B,[1]ModifierDes!$E:$E),3,_xlfn.XLOOKUP(C2727,[1]StuntDes!$B:$B,[1]StuntDes!$E:$E)),0)</f>
        <v>0</v>
      </c>
    </row>
    <row r="2728" customFormat="1" spans="1:20">
      <c r="A2728">
        <v>90088</v>
      </c>
      <c r="B2728">
        <v>1</v>
      </c>
      <c r="C2728" s="13" t="s">
        <v>439</v>
      </c>
      <c r="D2728" t="s">
        <v>194</v>
      </c>
      <c r="E2728" t="s">
        <v>462</v>
      </c>
      <c r="H2728">
        <v>1000</v>
      </c>
      <c r="J2728">
        <v>1</v>
      </c>
      <c r="K2728" t="str" cm="1">
        <f t="array" ref="K2728">IFERROR(_xlfn.SWITCH(L2728,2,_xlfn.XLOOKUP(C2728,[1]ModifierDes!$B:$B,[1]ModifierDes!$C:$C),3,_xlfn.XLOOKUP(C2728,[1]StuntDes!$B:$B,[1]StuntDes!$C:$C)),"")</f>
        <v>法术伤害提高{0}</v>
      </c>
      <c r="L2728">
        <f t="shared" si="196"/>
        <v>2</v>
      </c>
      <c r="M2728" s="10" t="str">
        <f>IFERROR(_xlfn.XLOOKUP(C2728,[1]StuntDes!$B:$B,[1]StuntDes!$A:$A),"")</f>
        <v/>
      </c>
      <c r="N2728" s="10">
        <f>IFERROR(_xlfn.XLOOKUP(C2728,[1]ModifierDes!$B:$B,[1]ModifierDes!$A:$A),"")</f>
        <v>10067</v>
      </c>
      <c r="O2728" s="10" t="str">
        <f>IFERROR(_xlfn.XLOOKUP(C2728,[1]AttributeName!$C:$C,[1]AttributeName!$B:$B),"")</f>
        <v/>
      </c>
      <c r="P2728" s="10"/>
      <c r="Q2728">
        <v>0.2</v>
      </c>
      <c r="R2728">
        <v>0.3</v>
      </c>
      <c r="S2728" cm="1">
        <f t="array" ref="S2728">IFERROR(_xlfn.SWITCH(L2728,1,_xlfn.XLOOKUP(O2728,[1]AttributeName!$B:$B,[1]AttributeName!$D:$D),2,_xlfn.XLOOKUP(C2728,[1]ModifierDes!$B:$B,[1]ModifierDes!$D:$D),3,_xlfn.XLOOKUP(C2728,[1]StuntDes!$B:$B,[1]StuntDes!$D:$D)),0)</f>
        <v>2</v>
      </c>
      <c r="T2728" cm="1">
        <f t="array" ref="T2728">IFERROR(_xlfn.SWITCH(L2728,1,_xlfn.XLOOKUP(O2728,[1]AttributeName!$B:$B,[1]AttributeName!$E:$E),2,_xlfn.XLOOKUP(C2728,[1]ModifierDes!$B:$B,[1]ModifierDes!$E:$E),3,_xlfn.XLOOKUP(C2728,[1]StuntDes!$B:$B,[1]StuntDes!$E:$E)),0)</f>
        <v>2</v>
      </c>
    </row>
    <row r="2729" customFormat="1" spans="1:20">
      <c r="A2729">
        <v>90089</v>
      </c>
      <c r="B2729">
        <v>1</v>
      </c>
      <c r="C2729" s="13" t="s">
        <v>481</v>
      </c>
      <c r="D2729" t="s">
        <v>194</v>
      </c>
      <c r="E2729" t="s">
        <v>462</v>
      </c>
      <c r="H2729">
        <v>1000</v>
      </c>
      <c r="J2729">
        <v>1</v>
      </c>
      <c r="K2729" t="str" cm="1">
        <f t="array" ref="K2729">IFERROR(_xlfn.SWITCH(L2729,2,_xlfn.XLOOKUP(C2729,[1]ModifierDes!$B:$B,[1]ModifierDes!$C:$C),3,_xlfn.XLOOKUP(C2729,[1]StuntDes!$B:$B,[1]StuntDes!$C:$C)),"")</f>
        <v/>
      </c>
      <c r="L2729">
        <f t="shared" si="196"/>
        <v>1</v>
      </c>
      <c r="M2729" s="10" t="str">
        <f>IFERROR(_xlfn.XLOOKUP(C2729,[1]StuntDes!$B:$B,[1]StuntDes!$A:$A),"")</f>
        <v/>
      </c>
      <c r="N2729" s="10" t="str">
        <f>IFERROR(_xlfn.XLOOKUP(C2729,[1]ModifierDes!$B:$B,[1]ModifierDes!$A:$A),"")</f>
        <v/>
      </c>
      <c r="O2729" s="10">
        <f>IFERROR(_xlfn.XLOOKUP(C2729,[1]AttributeName!$C:$C,[1]AttributeName!$B:$B),"")</f>
        <v>11040</v>
      </c>
      <c r="P2729" s="10"/>
      <c r="Q2729">
        <v>0.2</v>
      </c>
      <c r="R2729">
        <v>0.3</v>
      </c>
      <c r="S2729" cm="1">
        <f t="array" ref="S2729">IFERROR(_xlfn.SWITCH(L2729,1,_xlfn.XLOOKUP(O2729,[1]AttributeName!$B:$B,[1]AttributeName!$D:$D),2,_xlfn.XLOOKUP(C2729,[1]ModifierDes!$B:$B,[1]ModifierDes!$D:$D),3,_xlfn.XLOOKUP(C2729,[1]StuntDes!$B:$B,[1]StuntDes!$D:$D)),0)</f>
        <v>2</v>
      </c>
      <c r="T2729" cm="1">
        <f t="array" ref="T2729">IFERROR(_xlfn.SWITCH(L2729,1,_xlfn.XLOOKUP(O2729,[1]AttributeName!$B:$B,[1]AttributeName!$E:$E),2,_xlfn.XLOOKUP(C2729,[1]ModifierDes!$B:$B,[1]ModifierDes!$E:$E),3,_xlfn.XLOOKUP(C2729,[1]StuntDes!$B:$B,[1]StuntDes!$E:$E)),0)</f>
        <v>2</v>
      </c>
    </row>
    <row r="2730" customFormat="1" spans="1:20">
      <c r="A2730">
        <v>90090</v>
      </c>
      <c r="B2730">
        <v>1</v>
      </c>
      <c r="C2730" t="s">
        <v>508</v>
      </c>
      <c r="D2730" t="s">
        <v>194</v>
      </c>
      <c r="E2730" t="s">
        <v>462</v>
      </c>
      <c r="H2730">
        <v>1000</v>
      </c>
      <c r="J2730">
        <v>1</v>
      </c>
      <c r="K2730" t="str" cm="1">
        <f t="array" ref="K2730">IFERROR(_xlfn.SWITCH(L2730,2,_xlfn.XLOOKUP(C2730,[1]ModifierDes!$B:$B,[1]ModifierDes!$C:$C),3,_xlfn.XLOOKUP(C2730,[1]StuntDes!$B:$B,[1]StuntDes!$C:$C)),"")</f>
        <v/>
      </c>
      <c r="L2730">
        <f t="shared" si="196"/>
        <v>1</v>
      </c>
      <c r="M2730" s="10" t="str">
        <f>IFERROR(_xlfn.XLOOKUP(C2730,[1]StuntDes!$B:$B,[1]StuntDes!$A:$A),"")</f>
        <v/>
      </c>
      <c r="N2730" s="10" t="str">
        <f>IFERROR(_xlfn.XLOOKUP(C2730,[1]ModifierDes!$B:$B,[1]ModifierDes!$A:$A),"")</f>
        <v/>
      </c>
      <c r="O2730" s="10" t="str">
        <f>IFERROR(_xlfn.XLOOKUP(C2730,[1]AttributeName!$C:$C,[1]AttributeName!$B:$B),"")</f>
        <v/>
      </c>
      <c r="P2730" s="10"/>
      <c r="Q2730">
        <v>0</v>
      </c>
      <c r="R2730">
        <v>0</v>
      </c>
      <c r="S2730" cm="1">
        <f t="array" ref="S2730">IFERROR(_xlfn.SWITCH(L2730,1,_xlfn.XLOOKUP(O2730,[1]AttributeName!$B:$B,[1]AttributeName!$D:$D),2,_xlfn.XLOOKUP(C2730,[1]ModifierDes!$B:$B,[1]ModifierDes!$D:$D),3,_xlfn.XLOOKUP(C2730,[1]StuntDes!$B:$B,[1]StuntDes!$D:$D)),0)</f>
        <v>0</v>
      </c>
      <c r="T2730" cm="1">
        <f t="array" ref="T2730">IFERROR(_xlfn.SWITCH(L2730,1,_xlfn.XLOOKUP(O2730,[1]AttributeName!$B:$B,[1]AttributeName!$E:$E),2,_xlfn.XLOOKUP(C2730,[1]ModifierDes!$B:$B,[1]ModifierDes!$E:$E),3,_xlfn.XLOOKUP(C2730,[1]StuntDes!$B:$B,[1]StuntDes!$E:$E)),0)</f>
        <v>0</v>
      </c>
    </row>
    <row r="2731" customFormat="1" spans="1:20">
      <c r="A2731">
        <v>90091</v>
      </c>
      <c r="B2731">
        <v>1</v>
      </c>
      <c r="C2731" t="s">
        <v>482</v>
      </c>
      <c r="D2731" t="s">
        <v>205</v>
      </c>
      <c r="E2731" t="s">
        <v>462</v>
      </c>
      <c r="H2731">
        <v>1000</v>
      </c>
      <c r="J2731">
        <v>1</v>
      </c>
      <c r="K2731" t="str" cm="1">
        <f t="array" ref="K2731">IFERROR(_xlfn.SWITCH(L2731,2,_xlfn.XLOOKUP(C2731,[1]ModifierDes!$B:$B,[1]ModifierDes!$C:$C),3,_xlfn.XLOOKUP(C2731,[1]StuntDes!$B:$B,[1]StuntDes!$C:$C)),"")</f>
        <v>幻影数量增加{0}</v>
      </c>
      <c r="L2731">
        <f t="shared" si="196"/>
        <v>2</v>
      </c>
      <c r="M2731" s="10" t="str">
        <f>IFERROR(_xlfn.XLOOKUP(C2731,[1]StuntDes!$B:$B,[1]StuntDes!$A:$A),"")</f>
        <v/>
      </c>
      <c r="N2731" s="10">
        <f>IFERROR(_xlfn.XLOOKUP(C2731,[1]ModifierDes!$B:$B,[1]ModifierDes!$A:$A),"")</f>
        <v>10077</v>
      </c>
      <c r="O2731" s="10" t="str">
        <f>IFERROR(_xlfn.XLOOKUP(C2731,[1]AttributeName!$C:$C,[1]AttributeName!$B:$B),"")</f>
        <v/>
      </c>
      <c r="P2731" s="10"/>
      <c r="Q2731">
        <v>0</v>
      </c>
      <c r="R2731">
        <v>2</v>
      </c>
      <c r="S2731" cm="1">
        <f t="array" ref="S2731">IFERROR(_xlfn.SWITCH(L2731,1,_xlfn.XLOOKUP(O2731,[1]AttributeName!$B:$B,[1]AttributeName!$D:$D),2,_xlfn.XLOOKUP(C2731,[1]ModifierDes!$B:$B,[1]ModifierDes!$D:$D),3,_xlfn.XLOOKUP(C2731,[1]StuntDes!$B:$B,[1]StuntDes!$D:$D)),0)</f>
        <v>0</v>
      </c>
      <c r="T2731" cm="1">
        <f t="array" ref="T2731">IFERROR(_xlfn.SWITCH(L2731,1,_xlfn.XLOOKUP(O2731,[1]AttributeName!$B:$B,[1]AttributeName!$E:$E),2,_xlfn.XLOOKUP(C2731,[1]ModifierDes!$B:$B,[1]ModifierDes!$E:$E),3,_xlfn.XLOOKUP(C2731,[1]StuntDes!$B:$B,[1]StuntDes!$E:$E)),0)</f>
        <v>0</v>
      </c>
    </row>
    <row r="2732" customFormat="1" spans="1:20">
      <c r="A2732">
        <v>90092</v>
      </c>
      <c r="B2732">
        <v>1</v>
      </c>
      <c r="C2732" t="s">
        <v>483</v>
      </c>
      <c r="D2732" t="s">
        <v>205</v>
      </c>
      <c r="E2732" t="s">
        <v>462</v>
      </c>
      <c r="H2732">
        <v>1000</v>
      </c>
      <c r="J2732">
        <v>1</v>
      </c>
      <c r="K2732" t="str" cm="1">
        <f t="array" ref="K2732">IFERROR(_xlfn.SWITCH(L2732,2,_xlfn.XLOOKUP(C2732,[1]ModifierDes!$B:$B,[1]ModifierDes!$C:$C),3,_xlfn.XLOOKUP(C2732,[1]StuntDes!$B:$B,[1]StuntDes!$C:$C)),"")</f>
        <v>幻影持续时间提高{0}</v>
      </c>
      <c r="L2732">
        <f t="shared" si="196"/>
        <v>2</v>
      </c>
      <c r="M2732" s="10" t="str">
        <f>IFERROR(_xlfn.XLOOKUP(C2732,[1]StuntDes!$B:$B,[1]StuntDes!$A:$A),"")</f>
        <v/>
      </c>
      <c r="N2732" s="10">
        <f>IFERROR(_xlfn.XLOOKUP(C2732,[1]ModifierDes!$B:$B,[1]ModifierDes!$A:$A),"")</f>
        <v>10123</v>
      </c>
      <c r="O2732" s="10"/>
      <c r="P2732" s="10"/>
      <c r="Q2732">
        <v>0</v>
      </c>
      <c r="R2732">
        <v>1</v>
      </c>
      <c r="S2732" cm="1">
        <f t="array" ref="S2732">IFERROR(_xlfn.SWITCH(L2732,1,_xlfn.XLOOKUP(O2732,[1]AttributeName!$B:$B,[1]AttributeName!$D:$D),2,_xlfn.XLOOKUP(C2732,[1]ModifierDes!$B:$B,[1]ModifierDes!$D:$D),3,_xlfn.XLOOKUP(C2732,[1]StuntDes!$B:$B,[1]StuntDes!$D:$D)),0)</f>
        <v>2</v>
      </c>
      <c r="T2732" cm="1">
        <f t="array" ref="T2732">IFERROR(_xlfn.SWITCH(L2732,1,_xlfn.XLOOKUP(O2732,[1]AttributeName!$B:$B,[1]AttributeName!$E:$E),2,_xlfn.XLOOKUP(C2732,[1]ModifierDes!$B:$B,[1]ModifierDes!$E:$E),3,_xlfn.XLOOKUP(C2732,[1]StuntDes!$B:$B,[1]StuntDes!$E:$E)),0)</f>
        <v>2</v>
      </c>
    </row>
    <row r="2733" customFormat="1" spans="1:20">
      <c r="A2733">
        <v>90093</v>
      </c>
      <c r="B2733">
        <v>1</v>
      </c>
      <c r="C2733" t="s">
        <v>403</v>
      </c>
      <c r="D2733" t="s">
        <v>205</v>
      </c>
      <c r="E2733" t="s">
        <v>462</v>
      </c>
      <c r="H2733">
        <v>1000</v>
      </c>
      <c r="J2733">
        <v>1</v>
      </c>
      <c r="K2733" t="str" cm="1">
        <f t="array" ref="K2733">IFERROR(_xlfn.SWITCH(L2733,2,_xlfn.XLOOKUP(C2733,[1]ModifierDes!$B:$B,[1]ModifierDes!$C:$C),3,_xlfn.XLOOKUP(C2733,[1]StuntDes!$B:$B,[1]StuntDes!$C:$C)),"")</f>
        <v/>
      </c>
      <c r="L2733">
        <f t="shared" si="196"/>
        <v>1</v>
      </c>
      <c r="M2733" s="10" t="str">
        <f>IFERROR(_xlfn.XLOOKUP(C2733,[1]StuntDes!$B:$B,[1]StuntDes!$A:$A),"")</f>
        <v/>
      </c>
      <c r="N2733" s="10" t="str">
        <f>IFERROR(_xlfn.XLOOKUP(C2733,[1]ModifierDes!$B:$B,[1]ModifierDes!$A:$A),"")</f>
        <v/>
      </c>
      <c r="O2733" s="10">
        <f>IFERROR(_xlfn.XLOOKUP(C2733,[1]AttributeName!$C:$C,[1]AttributeName!$B:$B),"")</f>
        <v>10002</v>
      </c>
      <c r="P2733" s="10"/>
      <c r="Q2733">
        <v>50</v>
      </c>
      <c r="R2733">
        <v>100</v>
      </c>
      <c r="S2733" cm="1">
        <f t="array" ref="S2733">IFERROR(_xlfn.SWITCH(L2733,1,_xlfn.XLOOKUP(O2733,[1]AttributeName!$B:$B,[1]AttributeName!$D:$D),2,_xlfn.XLOOKUP(C2733,[1]ModifierDes!$B:$B,[1]ModifierDes!$D:$D),3,_xlfn.XLOOKUP(C2733,[1]StuntDes!$B:$B,[1]StuntDes!$D:$D)),0)</f>
        <v>0</v>
      </c>
      <c r="T2733" cm="1">
        <f t="array" ref="T2733">IFERROR(_xlfn.SWITCH(L2733,1,_xlfn.XLOOKUP(O2733,[1]AttributeName!$B:$B,[1]AttributeName!$E:$E),2,_xlfn.XLOOKUP(C2733,[1]ModifierDes!$B:$B,[1]ModifierDes!$E:$E),3,_xlfn.XLOOKUP(C2733,[1]StuntDes!$B:$B,[1]StuntDes!$E:$E)),0)</f>
        <v>1</v>
      </c>
    </row>
    <row r="2734" customFormat="1" spans="1:20">
      <c r="A2734">
        <v>90094</v>
      </c>
      <c r="B2734">
        <v>1</v>
      </c>
      <c r="C2734" s="13" t="s">
        <v>439</v>
      </c>
      <c r="D2734" t="s">
        <v>205</v>
      </c>
      <c r="E2734" t="s">
        <v>462</v>
      </c>
      <c r="H2734">
        <v>1000</v>
      </c>
      <c r="J2734">
        <v>1</v>
      </c>
      <c r="K2734" t="str" cm="1">
        <f t="array" ref="K2734">IFERROR(_xlfn.SWITCH(L2734,2,_xlfn.XLOOKUP(C2734,[1]ModifierDes!$B:$B,[1]ModifierDes!$C:$C),3,_xlfn.XLOOKUP(C2734,[1]StuntDes!$B:$B,[1]StuntDes!$C:$C)),"")</f>
        <v>法术伤害提高{0}</v>
      </c>
      <c r="L2734">
        <f t="shared" si="196"/>
        <v>2</v>
      </c>
      <c r="M2734" s="10" t="str">
        <f>IFERROR(_xlfn.XLOOKUP(C2734,[1]StuntDes!$B:$B,[1]StuntDes!$A:$A),"")</f>
        <v/>
      </c>
      <c r="N2734" s="10">
        <f>IFERROR(_xlfn.XLOOKUP(C2734,[1]ModifierDes!$B:$B,[1]ModifierDes!$A:$A),"")</f>
        <v>10067</v>
      </c>
      <c r="O2734" s="10" t="str">
        <f>IFERROR(_xlfn.XLOOKUP(C2734,[1]AttributeName!$C:$C,[1]AttributeName!$B:$B),"")</f>
        <v/>
      </c>
      <c r="P2734" s="10"/>
      <c r="Q2734">
        <v>0.2</v>
      </c>
      <c r="R2734">
        <v>0.3</v>
      </c>
      <c r="S2734" cm="1">
        <f t="array" ref="S2734">IFERROR(_xlfn.SWITCH(L2734,1,_xlfn.XLOOKUP(O2734,[1]AttributeName!$B:$B,[1]AttributeName!$D:$D),2,_xlfn.XLOOKUP(C2734,[1]ModifierDes!$B:$B,[1]ModifierDes!$D:$D),3,_xlfn.XLOOKUP(C2734,[1]StuntDes!$B:$B,[1]StuntDes!$D:$D)),0)</f>
        <v>2</v>
      </c>
      <c r="T2734" cm="1">
        <f t="array" ref="T2734">IFERROR(_xlfn.SWITCH(L2734,1,_xlfn.XLOOKUP(O2734,[1]AttributeName!$B:$B,[1]AttributeName!$E:$E),2,_xlfn.XLOOKUP(C2734,[1]ModifierDes!$B:$B,[1]ModifierDes!$E:$E),3,_xlfn.XLOOKUP(C2734,[1]StuntDes!$B:$B,[1]StuntDes!$E:$E)),0)</f>
        <v>2</v>
      </c>
    </row>
    <row r="2735" customFormat="1" spans="1:20">
      <c r="A2735">
        <v>90095</v>
      </c>
      <c r="B2735">
        <v>1</v>
      </c>
      <c r="C2735" t="s">
        <v>484</v>
      </c>
      <c r="D2735" t="s">
        <v>205</v>
      </c>
      <c r="E2735" t="s">
        <v>462</v>
      </c>
      <c r="H2735">
        <v>1000</v>
      </c>
      <c r="J2735">
        <v>1</v>
      </c>
      <c r="K2735" t="str" cm="1">
        <f t="array" ref="K2735">IFERROR(_xlfn.SWITCH(L2735,2,_xlfn.XLOOKUP(C2735,[1]ModifierDes!$B:$B,[1]ModifierDes!$C:$C),3,_xlfn.XLOOKUP(C2735,[1]StuntDes!$B:$B,[1]StuntDes!$C:$C)),"")</f>
        <v>幻影数量上限增加{0}</v>
      </c>
      <c r="L2735">
        <f t="shared" si="196"/>
        <v>2</v>
      </c>
      <c r="M2735" s="10" t="str">
        <f>IFERROR(_xlfn.XLOOKUP(C2735,[1]StuntDes!$B:$B,[1]StuntDes!$A:$A),"")</f>
        <v/>
      </c>
      <c r="N2735" s="10">
        <f>IFERROR(_xlfn.XLOOKUP(C2735,[1]ModifierDes!$B:$B,[1]ModifierDes!$A:$A),"")</f>
        <v>10122</v>
      </c>
      <c r="O2735" s="10" t="str">
        <f>IFERROR(_xlfn.XLOOKUP(C2735,[1]AttributeName!$C:$C,[1]AttributeName!$B:$B),"")</f>
        <v/>
      </c>
      <c r="P2735" s="10"/>
      <c r="Q2735">
        <v>1</v>
      </c>
      <c r="R2735">
        <v>1</v>
      </c>
      <c r="S2735" cm="1">
        <f t="array" ref="S2735">IFERROR(_xlfn.SWITCH(L2735,1,_xlfn.XLOOKUP(O2735,[1]AttributeName!$B:$B,[1]AttributeName!$D:$D),2,_xlfn.XLOOKUP(C2735,[1]ModifierDes!$B:$B,[1]ModifierDes!$D:$D),3,_xlfn.XLOOKUP(C2735,[1]StuntDes!$B:$B,[1]StuntDes!$D:$D)),0)</f>
        <v>0</v>
      </c>
      <c r="T2735" cm="1">
        <f t="array" ref="T2735">IFERROR(_xlfn.SWITCH(L2735,1,_xlfn.XLOOKUP(O2735,[1]AttributeName!$B:$B,[1]AttributeName!$E:$E),2,_xlfn.XLOOKUP(C2735,[1]ModifierDes!$B:$B,[1]ModifierDes!$E:$E),3,_xlfn.XLOOKUP(C2735,[1]StuntDes!$B:$B,[1]StuntDes!$E:$E)),0)</f>
        <v>0</v>
      </c>
    </row>
    <row r="2736" customFormat="1" spans="1:20">
      <c r="A2736">
        <v>90096</v>
      </c>
      <c r="B2736">
        <v>1</v>
      </c>
      <c r="C2736" t="s">
        <v>508</v>
      </c>
      <c r="D2736" t="s">
        <v>205</v>
      </c>
      <c r="E2736" t="s">
        <v>462</v>
      </c>
      <c r="H2736">
        <v>1000</v>
      </c>
      <c r="J2736">
        <v>1</v>
      </c>
      <c r="K2736" t="str" cm="1">
        <f t="array" ref="K2736">IFERROR(_xlfn.SWITCH(L2736,2,_xlfn.XLOOKUP(C2736,[1]ModifierDes!$B:$B,[1]ModifierDes!$C:$C),3,_xlfn.XLOOKUP(C2736,[1]StuntDes!$B:$B,[1]StuntDes!$C:$C)),"")</f>
        <v/>
      </c>
      <c r="L2736">
        <f t="shared" si="196"/>
        <v>1</v>
      </c>
      <c r="M2736" s="10" t="str">
        <f>IFERROR(_xlfn.XLOOKUP(C2736,[1]StuntDes!$B:$B,[1]StuntDes!$A:$A),"")</f>
        <v/>
      </c>
      <c r="N2736" s="10" t="str">
        <f>IFERROR(_xlfn.XLOOKUP(C2736,[1]ModifierDes!$B:$B,[1]ModifierDes!$A:$A),"")</f>
        <v/>
      </c>
      <c r="O2736" s="10" t="str">
        <f>IFERROR(_xlfn.XLOOKUP(C2736,[1]AttributeName!$C:$C,[1]AttributeName!$B:$B),"")</f>
        <v/>
      </c>
      <c r="P2736" s="10"/>
      <c r="Q2736">
        <v>0</v>
      </c>
      <c r="R2736">
        <v>0</v>
      </c>
      <c r="S2736" cm="1">
        <f t="array" ref="S2736">IFERROR(_xlfn.SWITCH(L2736,1,_xlfn.XLOOKUP(O2736,[1]AttributeName!$B:$B,[1]AttributeName!$D:$D),2,_xlfn.XLOOKUP(C2736,[1]ModifierDes!$B:$B,[1]ModifierDes!$D:$D),3,_xlfn.XLOOKUP(C2736,[1]StuntDes!$B:$B,[1]StuntDes!$D:$D)),0)</f>
        <v>0</v>
      </c>
      <c r="T2736" cm="1">
        <f t="array" ref="T2736">IFERROR(_xlfn.SWITCH(L2736,1,_xlfn.XLOOKUP(O2736,[1]AttributeName!$B:$B,[1]AttributeName!$E:$E),2,_xlfn.XLOOKUP(C2736,[1]ModifierDes!$B:$B,[1]ModifierDes!$E:$E),3,_xlfn.XLOOKUP(C2736,[1]StuntDes!$B:$B,[1]StuntDes!$E:$E)),0)</f>
        <v>0</v>
      </c>
    </row>
    <row r="2737" customFormat="1" spans="1:20">
      <c r="A2737">
        <v>90097</v>
      </c>
      <c r="B2737">
        <v>1</v>
      </c>
      <c r="C2737" t="s">
        <v>509</v>
      </c>
      <c r="D2737" t="s">
        <v>142</v>
      </c>
      <c r="E2737" t="s">
        <v>462</v>
      </c>
      <c r="H2737">
        <v>1000</v>
      </c>
      <c r="J2737">
        <v>1</v>
      </c>
      <c r="K2737" t="str" cm="1">
        <f t="array" ref="K2737">IFERROR(_xlfn.SWITCH(L2737,2,_xlfn.XLOOKUP(C2737,[1]ModifierDes!$B:$B,[1]ModifierDes!$C:$C),3,_xlfn.XLOOKUP(C2737,[1]StuntDes!$B:$B,[1]StuntDes!$C:$C)),"")</f>
        <v>闪电伤害倍率增加{0}</v>
      </c>
      <c r="L2737">
        <f t="shared" si="196"/>
        <v>2</v>
      </c>
      <c r="M2737" s="10" t="str">
        <f>IFERROR(_xlfn.XLOOKUP(C2737,[1]StuntDes!$B:$B,[1]StuntDes!$A:$A),"")</f>
        <v/>
      </c>
      <c r="N2737" s="10">
        <f>IFERROR(_xlfn.XLOOKUP(C2737,[1]ModifierDes!$B:$B,[1]ModifierDes!$A:$A),"")</f>
        <v>10059</v>
      </c>
      <c r="O2737" s="10" t="str">
        <f>IFERROR(_xlfn.XLOOKUP(C2737,[1]AttributeName!$C:$C,[1]AttributeName!$B:$B),"")</f>
        <v/>
      </c>
      <c r="P2737" s="10"/>
      <c r="Q2737">
        <v>0.2</v>
      </c>
      <c r="R2737">
        <v>0.4</v>
      </c>
      <c r="S2737" cm="1">
        <f t="array" ref="S2737">IFERROR(_xlfn.SWITCH(L2737,1,_xlfn.XLOOKUP(O2737,[1]AttributeName!$B:$B,[1]AttributeName!$D:$D),2,_xlfn.XLOOKUP(C2737,[1]ModifierDes!$B:$B,[1]ModifierDes!$D:$D),3,_xlfn.XLOOKUP(C2737,[1]StuntDes!$B:$B,[1]StuntDes!$D:$D)),0)</f>
        <v>2</v>
      </c>
      <c r="T2737" cm="1">
        <f t="array" ref="T2737">IFERROR(_xlfn.SWITCH(L2737,1,_xlfn.XLOOKUP(O2737,[1]AttributeName!$B:$B,[1]AttributeName!$E:$E),2,_xlfn.XLOOKUP(C2737,[1]ModifierDes!$B:$B,[1]ModifierDes!$E:$E),3,_xlfn.XLOOKUP(C2737,[1]StuntDes!$B:$B,[1]StuntDes!$E:$E)),0)</f>
        <v>2</v>
      </c>
    </row>
    <row r="2738" customFormat="1" spans="1:20">
      <c r="A2738">
        <v>90098</v>
      </c>
      <c r="B2738">
        <v>1</v>
      </c>
      <c r="C2738" t="s">
        <v>512</v>
      </c>
      <c r="D2738" t="s">
        <v>142</v>
      </c>
      <c r="E2738" t="s">
        <v>462</v>
      </c>
      <c r="H2738">
        <v>1000</v>
      </c>
      <c r="J2738">
        <v>1</v>
      </c>
      <c r="K2738" t="str" cm="1">
        <f t="array" ref="K2738">IFERROR(_xlfn.SWITCH(L2738,2,_xlfn.XLOOKUP(C2738,[1]ModifierDes!$B:$B,[1]ModifierDes!$C:$C),3,_xlfn.XLOOKUP(C2738,[1]StuntDes!$B:$B,[1]StuntDes!$C:$C)),"")</f>
        <v>冰冷伤害倍率增加{0}</v>
      </c>
      <c r="L2738">
        <f t="shared" si="196"/>
        <v>2</v>
      </c>
      <c r="M2738" s="10" t="str">
        <f>IFERROR(_xlfn.XLOOKUP(C2738,[1]StuntDes!$B:$B,[1]StuntDes!$A:$A),"")</f>
        <v/>
      </c>
      <c r="N2738" s="10">
        <f>IFERROR(_xlfn.XLOOKUP(C2738,[1]ModifierDes!$B:$B,[1]ModifierDes!$A:$A),"")</f>
        <v>10058</v>
      </c>
      <c r="O2738" s="10"/>
      <c r="P2738" s="10"/>
      <c r="Q2738">
        <v>0.5</v>
      </c>
      <c r="R2738">
        <v>0.7</v>
      </c>
      <c r="S2738" cm="1">
        <f t="array" ref="S2738">IFERROR(_xlfn.SWITCH(L2738,1,_xlfn.XLOOKUP(O2738,[1]AttributeName!$B:$B,[1]AttributeName!$D:$D),2,_xlfn.XLOOKUP(C2738,[1]ModifierDes!$B:$B,[1]ModifierDes!$D:$D),3,_xlfn.XLOOKUP(C2738,[1]StuntDes!$B:$B,[1]StuntDes!$D:$D)),0)</f>
        <v>2</v>
      </c>
      <c r="T2738" cm="1">
        <f t="array" ref="T2738">IFERROR(_xlfn.SWITCH(L2738,1,_xlfn.XLOOKUP(O2738,[1]AttributeName!$B:$B,[1]AttributeName!$E:$E),2,_xlfn.XLOOKUP(C2738,[1]ModifierDes!$B:$B,[1]ModifierDes!$E:$E),3,_xlfn.XLOOKUP(C2738,[1]StuntDes!$B:$B,[1]StuntDes!$E:$E)),0)</f>
        <v>2</v>
      </c>
    </row>
    <row r="2739" customFormat="1" spans="1:20">
      <c r="A2739">
        <v>90099</v>
      </c>
      <c r="B2739">
        <v>1</v>
      </c>
      <c r="C2739" t="s">
        <v>403</v>
      </c>
      <c r="D2739" t="s">
        <v>142</v>
      </c>
      <c r="E2739" t="s">
        <v>462</v>
      </c>
      <c r="H2739">
        <v>1000</v>
      </c>
      <c r="J2739">
        <v>1</v>
      </c>
      <c r="K2739" t="str" cm="1">
        <f t="array" ref="K2739">IFERROR(_xlfn.SWITCH(L2739,2,_xlfn.XLOOKUP(C2739,[1]ModifierDes!$B:$B,[1]ModifierDes!$C:$C),3,_xlfn.XLOOKUP(C2739,[1]StuntDes!$B:$B,[1]StuntDes!$C:$C)),"")</f>
        <v/>
      </c>
      <c r="L2739">
        <f t="shared" si="196"/>
        <v>1</v>
      </c>
      <c r="M2739" s="10" t="str">
        <f>IFERROR(_xlfn.XLOOKUP(C2739,[1]StuntDes!$B:$B,[1]StuntDes!$A:$A),"")</f>
        <v/>
      </c>
      <c r="N2739" s="10" t="str">
        <f>IFERROR(_xlfn.XLOOKUP(C2739,[1]ModifierDes!$B:$B,[1]ModifierDes!$A:$A),"")</f>
        <v/>
      </c>
      <c r="O2739" s="10">
        <f>IFERROR(_xlfn.XLOOKUP(C2739,[1]AttributeName!$C:$C,[1]AttributeName!$B:$B),"")</f>
        <v>10002</v>
      </c>
      <c r="P2739" s="10"/>
      <c r="Q2739">
        <v>50</v>
      </c>
      <c r="R2739">
        <v>100</v>
      </c>
      <c r="S2739" cm="1">
        <f t="array" ref="S2739">IFERROR(_xlfn.SWITCH(L2739,1,_xlfn.XLOOKUP(O2739,[1]AttributeName!$B:$B,[1]AttributeName!$D:$D),2,_xlfn.XLOOKUP(C2739,[1]ModifierDes!$B:$B,[1]ModifierDes!$D:$D),3,_xlfn.XLOOKUP(C2739,[1]StuntDes!$B:$B,[1]StuntDes!$D:$D)),0)</f>
        <v>0</v>
      </c>
      <c r="T2739" cm="1">
        <f t="array" ref="T2739">IFERROR(_xlfn.SWITCH(L2739,1,_xlfn.XLOOKUP(O2739,[1]AttributeName!$B:$B,[1]AttributeName!$E:$E),2,_xlfn.XLOOKUP(C2739,[1]ModifierDes!$B:$B,[1]ModifierDes!$E:$E),3,_xlfn.XLOOKUP(C2739,[1]StuntDes!$B:$B,[1]StuntDes!$E:$E)),0)</f>
        <v>1</v>
      </c>
    </row>
    <row r="2740" customFormat="1" spans="1:20">
      <c r="A2740">
        <v>90100</v>
      </c>
      <c r="B2740">
        <v>1</v>
      </c>
      <c r="C2740" t="s">
        <v>431</v>
      </c>
      <c r="D2740" t="s">
        <v>142</v>
      </c>
      <c r="E2740" t="s">
        <v>462</v>
      </c>
      <c r="H2740">
        <v>1000</v>
      </c>
      <c r="J2740">
        <v>1</v>
      </c>
      <c r="K2740" t="str" cm="1">
        <f t="array" ref="K2740">IFERROR(_xlfn.SWITCH(L2740,2,_xlfn.XLOOKUP(C2740,[1]ModifierDes!$B:$B,[1]ModifierDes!$C:$C),3,_xlfn.XLOOKUP(C2740,[1]StuntDes!$B:$B,[1]StuntDes!$C:$C)),"")</f>
        <v>投射物速度提高{0}</v>
      </c>
      <c r="L2740">
        <f t="shared" si="196"/>
        <v>2</v>
      </c>
      <c r="M2740" s="10" t="str">
        <f>IFERROR(_xlfn.XLOOKUP(C2740,[1]StuntDes!$B:$B,[1]StuntDes!$A:$A),"")</f>
        <v/>
      </c>
      <c r="N2740" s="10">
        <f>IFERROR(_xlfn.XLOOKUP(C2740,[1]ModifierDes!$B:$B,[1]ModifierDes!$A:$A),"")</f>
        <v>10049</v>
      </c>
      <c r="O2740" s="10" t="str">
        <f>IFERROR(_xlfn.XLOOKUP(C2740,[1]AttributeName!$C:$C,[1]AttributeName!$B:$B),"")</f>
        <v/>
      </c>
      <c r="P2740" s="10"/>
      <c r="Q2740">
        <v>0.2</v>
      </c>
      <c r="R2740">
        <v>0.5</v>
      </c>
      <c r="S2740" cm="1">
        <f t="array" ref="S2740">IFERROR(_xlfn.SWITCH(L2740,1,_xlfn.XLOOKUP(O2740,[1]AttributeName!$B:$B,[1]AttributeName!$D:$D),2,_xlfn.XLOOKUP(C2740,[1]ModifierDes!$B:$B,[1]ModifierDes!$D:$D),3,_xlfn.XLOOKUP(C2740,[1]StuntDes!$B:$B,[1]StuntDes!$D:$D)),0)</f>
        <v>2</v>
      </c>
      <c r="T2740" cm="1">
        <f t="array" ref="T2740">IFERROR(_xlfn.SWITCH(L2740,1,_xlfn.XLOOKUP(O2740,[1]AttributeName!$B:$B,[1]AttributeName!$E:$E),2,_xlfn.XLOOKUP(C2740,[1]ModifierDes!$B:$B,[1]ModifierDes!$E:$E),3,_xlfn.XLOOKUP(C2740,[1]StuntDes!$B:$B,[1]StuntDes!$E:$E)),0)</f>
        <v>2</v>
      </c>
    </row>
    <row r="2741" customFormat="1" spans="1:20">
      <c r="A2741">
        <v>90101</v>
      </c>
      <c r="B2741">
        <v>1</v>
      </c>
      <c r="C2741" t="s">
        <v>485</v>
      </c>
      <c r="D2741" t="s">
        <v>142</v>
      </c>
      <c r="E2741" t="s">
        <v>462</v>
      </c>
      <c r="H2741">
        <v>1000</v>
      </c>
      <c r="J2741">
        <v>1</v>
      </c>
      <c r="K2741" t="str" cm="1">
        <f t="array" ref="K2741">IFERROR(_xlfn.SWITCH(L2741,2,_xlfn.XLOOKUP(C2741,[1]ModifierDes!$B:$B,[1]ModifierDes!$C:$C),3,_xlfn.XLOOKUP(C2741,[1]StuntDes!$B:$B,[1]StuntDes!$C:$C)),"")</f>
        <v>投射物数量增加{0}</v>
      </c>
      <c r="L2741">
        <f t="shared" si="196"/>
        <v>2</v>
      </c>
      <c r="M2741" s="10" t="str">
        <f>IFERROR(_xlfn.XLOOKUP(C2741,[1]StuntDes!$B:$B,[1]StuntDes!$A:$A),"")</f>
        <v/>
      </c>
      <c r="N2741" s="10">
        <f>IFERROR(_xlfn.XLOOKUP(C2741,[1]ModifierDes!$B:$B,[1]ModifierDes!$A:$A),"")</f>
        <v>10038</v>
      </c>
      <c r="O2741" s="10" t="str">
        <f>IFERROR(_xlfn.XLOOKUP(C2741,[1]AttributeName!$C:$C,[1]AttributeName!$B:$B),"")</f>
        <v/>
      </c>
      <c r="P2741" s="10"/>
      <c r="Q2741">
        <v>1</v>
      </c>
      <c r="R2741">
        <v>2</v>
      </c>
      <c r="S2741" cm="1">
        <f t="array" ref="S2741">IFERROR(_xlfn.SWITCH(L2741,1,_xlfn.XLOOKUP(O2741,[1]AttributeName!$B:$B,[1]AttributeName!$D:$D),2,_xlfn.XLOOKUP(C2741,[1]ModifierDes!$B:$B,[1]ModifierDes!$D:$D),3,_xlfn.XLOOKUP(C2741,[1]StuntDes!$B:$B,[1]StuntDes!$D:$D)),0)</f>
        <v>2</v>
      </c>
      <c r="T2741" cm="1">
        <f t="array" ref="T2741">IFERROR(_xlfn.SWITCH(L2741,1,_xlfn.XLOOKUP(O2741,[1]AttributeName!$B:$B,[1]AttributeName!$E:$E),2,_xlfn.XLOOKUP(C2741,[1]ModifierDes!$B:$B,[1]ModifierDes!$E:$E),3,_xlfn.XLOOKUP(C2741,[1]StuntDes!$B:$B,[1]StuntDes!$E:$E)),0)</f>
        <v>2</v>
      </c>
    </row>
    <row r="2742" customFormat="1" spans="1:20">
      <c r="A2742">
        <v>90102</v>
      </c>
      <c r="B2742">
        <v>1</v>
      </c>
      <c r="C2742" t="s">
        <v>486</v>
      </c>
      <c r="D2742" t="s">
        <v>142</v>
      </c>
      <c r="E2742" t="s">
        <v>462</v>
      </c>
      <c r="H2742">
        <v>1000</v>
      </c>
      <c r="J2742">
        <v>1</v>
      </c>
      <c r="K2742" t="str" cm="1">
        <f t="array" ref="K2742">IFERROR(_xlfn.SWITCH(L2742,2,_xlfn.XLOOKUP(C2742,[1]ModifierDes!$B:$B,[1]ModifierDes!$C:$C),3,_xlfn.XLOOKUP(C2742,[1]StuntDes!$B:$B,[1]StuntDes!$C:$C)),"")</f>
        <v>法术技能等级增加{0}</v>
      </c>
      <c r="L2742">
        <f t="shared" si="196"/>
        <v>2</v>
      </c>
      <c r="M2742" s="10" t="str">
        <f>IFERROR(_xlfn.XLOOKUP(C2742,[1]StuntDes!$B:$B,[1]StuntDes!$A:$A),"")</f>
        <v/>
      </c>
      <c r="N2742" s="10">
        <f>IFERROR(_xlfn.XLOOKUP(C2742,[1]ModifierDes!$B:$B,[1]ModifierDes!$A:$A),"")</f>
        <v>10162</v>
      </c>
      <c r="O2742" s="10" t="str">
        <f>IFERROR(_xlfn.XLOOKUP(C2742,[1]AttributeName!$C:$C,[1]AttributeName!$B:$B),"")</f>
        <v/>
      </c>
      <c r="P2742" s="10"/>
      <c r="Q2742">
        <v>2</v>
      </c>
      <c r="R2742">
        <v>4</v>
      </c>
      <c r="S2742" cm="1">
        <f t="array" ref="S2742">IFERROR(_xlfn.SWITCH(L2742,1,_xlfn.XLOOKUP(O2742,[1]AttributeName!$B:$B,[1]AttributeName!$D:$D),2,_xlfn.XLOOKUP(C2742,[1]ModifierDes!$B:$B,[1]ModifierDes!$D:$D),3,_xlfn.XLOOKUP(C2742,[1]StuntDes!$B:$B,[1]StuntDes!$D:$D)),0)</f>
        <v>0</v>
      </c>
      <c r="T2742" cm="1">
        <f t="array" ref="T2742">IFERROR(_xlfn.SWITCH(L2742,1,_xlfn.XLOOKUP(O2742,[1]AttributeName!$B:$B,[1]AttributeName!$E:$E),2,_xlfn.XLOOKUP(C2742,[1]ModifierDes!$B:$B,[1]ModifierDes!$E:$E),3,_xlfn.XLOOKUP(C2742,[1]StuntDes!$B:$B,[1]StuntDes!$E:$E)),0)</f>
        <v>0</v>
      </c>
    </row>
    <row r="2743" customFormat="1" spans="1:20">
      <c r="A2743">
        <v>90103</v>
      </c>
      <c r="B2743">
        <v>1</v>
      </c>
      <c r="C2743" t="s">
        <v>403</v>
      </c>
      <c r="D2743" t="s">
        <v>165</v>
      </c>
      <c r="E2743" t="s">
        <v>462</v>
      </c>
      <c r="H2743">
        <v>1000</v>
      </c>
      <c r="J2743">
        <v>1</v>
      </c>
      <c r="K2743" t="str" cm="1">
        <f t="array" ref="K2743">IFERROR(_xlfn.SWITCH(L2743,2,_xlfn.XLOOKUP(C2743,[1]ModifierDes!$B:$B,[1]ModifierDes!$C:$C),3,_xlfn.XLOOKUP(C2743,[1]StuntDes!$B:$B,[1]StuntDes!$C:$C)),"")</f>
        <v/>
      </c>
      <c r="L2743">
        <f t="shared" si="196"/>
        <v>1</v>
      </c>
      <c r="M2743" s="10" t="str">
        <f>IFERROR(_xlfn.XLOOKUP(C2743,[1]StuntDes!$B:$B,[1]StuntDes!$A:$A),"")</f>
        <v/>
      </c>
      <c r="N2743" s="10" t="str">
        <f>IFERROR(_xlfn.XLOOKUP(C2743,[1]ModifierDes!$B:$B,[1]ModifierDes!$A:$A),"")</f>
        <v/>
      </c>
      <c r="O2743" s="10">
        <f>IFERROR(_xlfn.XLOOKUP(C2743,[1]AttributeName!$C:$C,[1]AttributeName!$B:$B),"")</f>
        <v>10002</v>
      </c>
      <c r="P2743" s="10"/>
      <c r="Q2743">
        <v>100</v>
      </c>
      <c r="R2743">
        <v>200</v>
      </c>
      <c r="S2743" cm="1">
        <f t="array" ref="S2743">IFERROR(_xlfn.SWITCH(L2743,1,_xlfn.XLOOKUP(O2743,[1]AttributeName!$B:$B,[1]AttributeName!$D:$D),2,_xlfn.XLOOKUP(C2743,[1]ModifierDes!$B:$B,[1]ModifierDes!$D:$D),3,_xlfn.XLOOKUP(C2743,[1]StuntDes!$B:$B,[1]StuntDes!$D:$D)),0)</f>
        <v>0</v>
      </c>
      <c r="T2743" cm="1">
        <f t="array" ref="T2743">IFERROR(_xlfn.SWITCH(L2743,1,_xlfn.XLOOKUP(O2743,[1]AttributeName!$B:$B,[1]AttributeName!$E:$E),2,_xlfn.XLOOKUP(C2743,[1]ModifierDes!$B:$B,[1]ModifierDes!$E:$E),3,_xlfn.XLOOKUP(C2743,[1]StuntDes!$B:$B,[1]StuntDes!$E:$E)),0)</f>
        <v>1</v>
      </c>
    </row>
    <row r="2744" customFormat="1" spans="1:20">
      <c r="A2744">
        <v>90104</v>
      </c>
      <c r="B2744">
        <v>1</v>
      </c>
      <c r="C2744" t="s">
        <v>439</v>
      </c>
      <c r="D2744" t="s">
        <v>165</v>
      </c>
      <c r="E2744" t="s">
        <v>462</v>
      </c>
      <c r="H2744">
        <v>1000</v>
      </c>
      <c r="J2744">
        <v>1</v>
      </c>
      <c r="K2744" t="str" cm="1">
        <f t="array" ref="K2744">IFERROR(_xlfn.SWITCH(L2744,2,_xlfn.XLOOKUP(C2744,[1]ModifierDes!$B:$B,[1]ModifierDes!$C:$C),3,_xlfn.XLOOKUP(C2744,[1]StuntDes!$B:$B,[1]StuntDes!$C:$C)),"")</f>
        <v>法术伤害提高{0}</v>
      </c>
      <c r="L2744">
        <f t="shared" si="196"/>
        <v>2</v>
      </c>
      <c r="M2744" s="10" t="str">
        <f>IFERROR(_xlfn.XLOOKUP(C2744,[1]StuntDes!$B:$B,[1]StuntDes!$A:$A),"")</f>
        <v/>
      </c>
      <c r="N2744" s="10">
        <f>IFERROR(_xlfn.XLOOKUP(C2744,[1]ModifierDes!$B:$B,[1]ModifierDes!$A:$A),"")</f>
        <v>10067</v>
      </c>
      <c r="O2744" s="10"/>
      <c r="P2744" s="10"/>
      <c r="Q2744">
        <v>0.4</v>
      </c>
      <c r="R2744">
        <v>0.5</v>
      </c>
      <c r="S2744" cm="1">
        <f t="array" ref="S2744">IFERROR(_xlfn.SWITCH(L2744,1,_xlfn.XLOOKUP(O2744,[1]AttributeName!$B:$B,[1]AttributeName!$D:$D),2,_xlfn.XLOOKUP(C2744,[1]ModifierDes!$B:$B,[1]ModifierDes!$D:$D),3,_xlfn.XLOOKUP(C2744,[1]StuntDes!$B:$B,[1]StuntDes!$D:$D)),0)</f>
        <v>2</v>
      </c>
      <c r="T2744" cm="1">
        <f t="array" ref="T2744">IFERROR(_xlfn.SWITCH(L2744,1,_xlfn.XLOOKUP(O2744,[1]AttributeName!$B:$B,[1]AttributeName!$E:$E),2,_xlfn.XLOOKUP(C2744,[1]ModifierDes!$B:$B,[1]ModifierDes!$E:$E),3,_xlfn.XLOOKUP(C2744,[1]StuntDes!$B:$B,[1]StuntDes!$E:$E)),0)</f>
        <v>2</v>
      </c>
    </row>
    <row r="2745" customFormat="1" spans="1:20">
      <c r="A2745">
        <v>90105</v>
      </c>
      <c r="B2745">
        <v>1</v>
      </c>
      <c r="C2745" t="s">
        <v>508</v>
      </c>
      <c r="D2745" t="s">
        <v>165</v>
      </c>
      <c r="E2745" t="s">
        <v>462</v>
      </c>
      <c r="H2745">
        <v>1000</v>
      </c>
      <c r="J2745">
        <v>1</v>
      </c>
      <c r="K2745" t="str" cm="1">
        <f t="array" ref="K2745">IFERROR(_xlfn.SWITCH(L2745,2,_xlfn.XLOOKUP(C2745,[1]ModifierDes!$B:$B,[1]ModifierDes!$C:$C),3,_xlfn.XLOOKUP(C2745,[1]StuntDes!$B:$B,[1]StuntDes!$C:$C)),"")</f>
        <v/>
      </c>
      <c r="L2745">
        <f t="shared" si="196"/>
        <v>1</v>
      </c>
      <c r="M2745" s="10" t="str">
        <f>IFERROR(_xlfn.XLOOKUP(C2745,[1]StuntDes!$B:$B,[1]StuntDes!$A:$A),"")</f>
        <v/>
      </c>
      <c r="N2745" s="10" t="str">
        <f>IFERROR(_xlfn.XLOOKUP(C2745,[1]ModifierDes!$B:$B,[1]ModifierDes!$A:$A),"")</f>
        <v/>
      </c>
      <c r="O2745" s="10" t="str">
        <f>IFERROR(_xlfn.XLOOKUP(C2745,[1]AttributeName!$C:$C,[1]AttributeName!$B:$B),"")</f>
        <v/>
      </c>
      <c r="P2745" s="10"/>
      <c r="Q2745">
        <v>0</v>
      </c>
      <c r="R2745">
        <v>0</v>
      </c>
      <c r="S2745" cm="1">
        <f t="array" ref="S2745">IFERROR(_xlfn.SWITCH(L2745,1,_xlfn.XLOOKUP(O2745,[1]AttributeName!$B:$B,[1]AttributeName!$D:$D),2,_xlfn.XLOOKUP(C2745,[1]ModifierDes!$B:$B,[1]ModifierDes!$D:$D),3,_xlfn.XLOOKUP(C2745,[1]StuntDes!$B:$B,[1]StuntDes!$D:$D)),0)</f>
        <v>0</v>
      </c>
      <c r="T2745" cm="1">
        <f t="array" ref="T2745">IFERROR(_xlfn.SWITCH(L2745,1,_xlfn.XLOOKUP(O2745,[1]AttributeName!$B:$B,[1]AttributeName!$E:$E),2,_xlfn.XLOOKUP(C2745,[1]ModifierDes!$B:$B,[1]ModifierDes!$E:$E),3,_xlfn.XLOOKUP(C2745,[1]StuntDes!$B:$B,[1]StuntDes!$E:$E)),0)</f>
        <v>0</v>
      </c>
    </row>
    <row r="2746" customFormat="1" spans="1:20">
      <c r="A2746">
        <v>90106</v>
      </c>
      <c r="B2746">
        <v>1</v>
      </c>
      <c r="C2746" t="s">
        <v>487</v>
      </c>
      <c r="D2746" t="s">
        <v>165</v>
      </c>
      <c r="E2746" t="s">
        <v>462</v>
      </c>
      <c r="H2746">
        <v>1000</v>
      </c>
      <c r="J2746">
        <v>1</v>
      </c>
      <c r="K2746" t="str" cm="1">
        <f t="array" ref="K2746">IFERROR(_xlfn.SWITCH(L2746,2,_xlfn.XLOOKUP(C2746,[1]ModifierDes!$B:$B,[1]ModifierDes!$C:$C),3,_xlfn.XLOOKUP(C2746,[1]StuntDes!$B:$B,[1]StuntDes!$C:$C)),"")</f>
        <v>魔力回复率额外提高{0}</v>
      </c>
      <c r="L2746">
        <f t="shared" si="196"/>
        <v>2</v>
      </c>
      <c r="M2746" s="10" t="str">
        <f>IFERROR(_xlfn.XLOOKUP(C2746,[1]StuntDes!$B:$B,[1]StuntDes!$A:$A),"")</f>
        <v/>
      </c>
      <c r="N2746" s="10">
        <f>IFERROR(_xlfn.XLOOKUP(C2746,[1]ModifierDes!$B:$B,[1]ModifierDes!$A:$A),"")</f>
        <v>10108</v>
      </c>
      <c r="O2746" s="10" t="str">
        <f>IFERROR(_xlfn.XLOOKUP(C2746,[1]AttributeName!$C:$C,[1]AttributeName!$B:$B),"")</f>
        <v/>
      </c>
      <c r="P2746" s="10"/>
      <c r="Q2746">
        <v>0.5</v>
      </c>
      <c r="R2746">
        <v>1</v>
      </c>
      <c r="S2746" cm="1">
        <f t="array" ref="S2746">IFERROR(_xlfn.SWITCH(L2746,1,_xlfn.XLOOKUP(O2746,[1]AttributeName!$B:$B,[1]AttributeName!$D:$D),2,_xlfn.XLOOKUP(C2746,[1]ModifierDes!$B:$B,[1]ModifierDes!$D:$D),3,_xlfn.XLOOKUP(C2746,[1]StuntDes!$B:$B,[1]StuntDes!$D:$D)),0)</f>
        <v>2</v>
      </c>
      <c r="T2746" cm="1">
        <f t="array" ref="T2746">IFERROR(_xlfn.SWITCH(L2746,1,_xlfn.XLOOKUP(O2746,[1]AttributeName!$B:$B,[1]AttributeName!$E:$E),2,_xlfn.XLOOKUP(C2746,[1]ModifierDes!$B:$B,[1]ModifierDes!$E:$E),3,_xlfn.XLOOKUP(C2746,[1]StuntDes!$B:$B,[1]StuntDes!$E:$E)),0)</f>
        <v>2</v>
      </c>
    </row>
    <row r="2747" customFormat="1" spans="1:20">
      <c r="A2747">
        <v>90107</v>
      </c>
      <c r="B2747">
        <v>1</v>
      </c>
      <c r="C2747" t="s">
        <v>488</v>
      </c>
      <c r="D2747" t="s">
        <v>165</v>
      </c>
      <c r="E2747" t="s">
        <v>462</v>
      </c>
      <c r="H2747">
        <v>1000</v>
      </c>
      <c r="J2747">
        <v>1</v>
      </c>
      <c r="K2747" t="str" cm="1">
        <f t="array" ref="K2747">IFERROR(_xlfn.SWITCH(L2747,2,_xlfn.XLOOKUP(C2747,[1]ModifierDes!$B:$B,[1]ModifierDes!$C:$C),3,_xlfn.XLOOKUP(C2747,[1]StuntDes!$B:$B,[1]StuntDes!$C:$C)),"")</f>
        <v>魔力每秒恢复增加{0}</v>
      </c>
      <c r="L2747">
        <f t="shared" si="196"/>
        <v>2</v>
      </c>
      <c r="M2747" s="10" t="str">
        <f>IFERROR(_xlfn.XLOOKUP(C2747,[1]StuntDes!$B:$B,[1]StuntDes!$A:$A),"")</f>
        <v/>
      </c>
      <c r="N2747" s="10">
        <f>IFERROR(_xlfn.XLOOKUP(C2747,[1]ModifierDes!$B:$B,[1]ModifierDes!$A:$A),"")</f>
        <v>10117</v>
      </c>
      <c r="O2747" s="10" t="str">
        <f>IFERROR(_xlfn.XLOOKUP(C2747,[1]AttributeName!$C:$C,[1]AttributeName!$B:$B),"")</f>
        <v/>
      </c>
      <c r="P2747" s="10"/>
      <c r="Q2747">
        <v>5</v>
      </c>
      <c r="R2747">
        <v>10</v>
      </c>
      <c r="S2747" cm="1">
        <f t="array" ref="S2747">IFERROR(_xlfn.SWITCH(L2747,1,_xlfn.XLOOKUP(O2747,[1]AttributeName!$B:$B,[1]AttributeName!$D:$D),2,_xlfn.XLOOKUP(C2747,[1]ModifierDes!$B:$B,[1]ModifierDes!$D:$D),3,_xlfn.XLOOKUP(C2747,[1]StuntDes!$B:$B,[1]StuntDes!$D:$D)),0)</f>
        <v>0</v>
      </c>
      <c r="T2747" cm="1">
        <f t="array" ref="T2747">IFERROR(_xlfn.SWITCH(L2747,1,_xlfn.XLOOKUP(O2747,[1]AttributeName!$B:$B,[1]AttributeName!$E:$E),2,_xlfn.XLOOKUP(C2747,[1]ModifierDes!$B:$B,[1]ModifierDes!$E:$E),3,_xlfn.XLOOKUP(C2747,[1]StuntDes!$B:$B,[1]StuntDes!$E:$E)),0)</f>
        <v>0</v>
      </c>
    </row>
    <row r="2748" customFormat="1" spans="1:20">
      <c r="A2748">
        <v>90108</v>
      </c>
      <c r="B2748">
        <v>1</v>
      </c>
      <c r="C2748" t="s">
        <v>489</v>
      </c>
      <c r="D2748" t="s">
        <v>165</v>
      </c>
      <c r="E2748" t="s">
        <v>462</v>
      </c>
      <c r="H2748">
        <v>1000</v>
      </c>
      <c r="J2748">
        <v>1</v>
      </c>
      <c r="K2748" t="str" cm="1">
        <f t="array" ref="K2748">IFERROR(_xlfn.SWITCH(L2748,2,_xlfn.XLOOKUP(C2748,[1]ModifierDes!$B:$B,[1]ModifierDes!$C:$C),3,_xlfn.XLOOKUP(C2748,[1]StuntDes!$B:$B,[1]StuntDes!$C:$C)),"")</f>
        <v>注能持续时间提高{0}</v>
      </c>
      <c r="L2748">
        <f t="shared" si="196"/>
        <v>2</v>
      </c>
      <c r="M2748" s="10" t="str">
        <f>IFERROR(_xlfn.XLOOKUP(C2748,[1]StuntDes!$B:$B,[1]StuntDes!$A:$A),"")</f>
        <v/>
      </c>
      <c r="N2748" s="10">
        <f>IFERROR(_xlfn.XLOOKUP(C2748,[1]ModifierDes!$B:$B,[1]ModifierDes!$A:$A),"")</f>
        <v>10142</v>
      </c>
      <c r="O2748" s="10" t="str">
        <f>IFERROR(_xlfn.XLOOKUP(C2748,[1]AttributeName!$C:$C,[1]AttributeName!$B:$B),"")</f>
        <v/>
      </c>
      <c r="P2748" s="10"/>
      <c r="Q2748">
        <v>0.5</v>
      </c>
      <c r="R2748">
        <v>1</v>
      </c>
      <c r="S2748" cm="1">
        <f t="array" ref="S2748">IFERROR(_xlfn.SWITCH(L2748,1,_xlfn.XLOOKUP(O2748,[1]AttributeName!$B:$B,[1]AttributeName!$D:$D),2,_xlfn.XLOOKUP(C2748,[1]ModifierDes!$B:$B,[1]ModifierDes!$D:$D),3,_xlfn.XLOOKUP(C2748,[1]StuntDes!$B:$B,[1]StuntDes!$D:$D)),0)</f>
        <v>2</v>
      </c>
      <c r="T2748" cm="1">
        <f t="array" ref="T2748">IFERROR(_xlfn.SWITCH(L2748,1,_xlfn.XLOOKUP(O2748,[1]AttributeName!$B:$B,[1]AttributeName!$E:$E),2,_xlfn.XLOOKUP(C2748,[1]ModifierDes!$B:$B,[1]ModifierDes!$E:$E),3,_xlfn.XLOOKUP(C2748,[1]StuntDes!$B:$B,[1]StuntDes!$E:$E)),0)</f>
        <v>2</v>
      </c>
    </row>
    <row r="2749" customFormat="1" spans="1:20">
      <c r="A2749">
        <v>90109</v>
      </c>
      <c r="B2749">
        <v>1</v>
      </c>
      <c r="C2749" t="s">
        <v>442</v>
      </c>
      <c r="D2749" t="s">
        <v>173</v>
      </c>
      <c r="E2749" t="s">
        <v>462</v>
      </c>
      <c r="H2749">
        <v>1000</v>
      </c>
      <c r="J2749">
        <v>1</v>
      </c>
      <c r="K2749" t="str" cm="1">
        <f t="array" ref="K2749">IFERROR(_xlfn.SWITCH(L2749,2,_xlfn.XLOOKUP(C2749,[1]ModifierDes!$B:$B,[1]ModifierDes!$C:$C),3,_xlfn.XLOOKUP(C2749,[1]StuntDes!$B:$B,[1]StuntDes!$C:$C)),"")</f>
        <v/>
      </c>
      <c r="L2749">
        <f t="shared" si="196"/>
        <v>1</v>
      </c>
      <c r="M2749" s="10" t="str">
        <f>IFERROR(_xlfn.XLOOKUP(C2749,[1]StuntDes!$B:$B,[1]StuntDes!$A:$A),"")</f>
        <v/>
      </c>
      <c r="N2749" s="10" t="str">
        <f>IFERROR(_xlfn.XLOOKUP(C2749,[1]ModifierDes!$B:$B,[1]ModifierDes!$A:$A),"")</f>
        <v/>
      </c>
      <c r="O2749" s="10">
        <f>IFERROR(_xlfn.XLOOKUP(C2749,[1]AttributeName!$C:$C,[1]AttributeName!$B:$B),"")</f>
        <v>10007</v>
      </c>
      <c r="P2749" s="10"/>
      <c r="Q2749">
        <v>0.1</v>
      </c>
      <c r="R2749">
        <v>0.15</v>
      </c>
      <c r="S2749" cm="1">
        <f t="array" ref="S2749">IFERROR(_xlfn.SWITCH(L2749,1,_xlfn.XLOOKUP(O2749,[1]AttributeName!$B:$B,[1]AttributeName!$D:$D),2,_xlfn.XLOOKUP(C2749,[1]ModifierDes!$B:$B,[1]ModifierDes!$D:$D),3,_xlfn.XLOOKUP(C2749,[1]StuntDes!$B:$B,[1]StuntDes!$D:$D)),0)</f>
        <v>2</v>
      </c>
      <c r="T2749" cm="1">
        <f t="array" ref="T2749">IFERROR(_xlfn.SWITCH(L2749,1,_xlfn.XLOOKUP(O2749,[1]AttributeName!$B:$B,[1]AttributeName!$E:$E),2,_xlfn.XLOOKUP(C2749,[1]ModifierDes!$B:$B,[1]ModifierDes!$E:$E),3,_xlfn.XLOOKUP(C2749,[1]StuntDes!$B:$B,[1]StuntDes!$E:$E)),0)</f>
        <v>2</v>
      </c>
    </row>
    <row r="2750" customFormat="1" spans="1:20">
      <c r="A2750">
        <v>90110</v>
      </c>
      <c r="B2750">
        <v>1</v>
      </c>
      <c r="C2750" t="s">
        <v>444</v>
      </c>
      <c r="D2750" t="s">
        <v>173</v>
      </c>
      <c r="E2750" t="s">
        <v>462</v>
      </c>
      <c r="H2750">
        <v>1000</v>
      </c>
      <c r="J2750">
        <v>1</v>
      </c>
      <c r="K2750" t="str" cm="1">
        <f t="array" ref="K2750">IFERROR(_xlfn.SWITCH(L2750,2,_xlfn.XLOOKUP(C2750,[1]ModifierDes!$B:$B,[1]ModifierDes!$C:$C),3,_xlfn.XLOOKUP(C2750,[1]StuntDes!$B:$B,[1]StuntDes!$C:$C)),"")</f>
        <v/>
      </c>
      <c r="L2750">
        <f t="shared" si="196"/>
        <v>1</v>
      </c>
      <c r="M2750" s="10" t="str">
        <f>IFERROR(_xlfn.XLOOKUP(C2750,[1]StuntDes!$B:$B,[1]StuntDes!$A:$A),"")</f>
        <v/>
      </c>
      <c r="N2750" s="10" t="str">
        <f>IFERROR(_xlfn.XLOOKUP(C2750,[1]ModifierDes!$B:$B,[1]ModifierDes!$A:$A),"")</f>
        <v/>
      </c>
      <c r="O2750" s="10">
        <f>IFERROR(_xlfn.XLOOKUP(C2750,[1]AttributeName!$C:$C,[1]AttributeName!$B:$B),"")</f>
        <v>10304</v>
      </c>
      <c r="P2750" s="10"/>
      <c r="Q2750">
        <v>0.15</v>
      </c>
      <c r="R2750">
        <v>0.25</v>
      </c>
      <c r="S2750" cm="1">
        <f t="array" ref="S2750">IFERROR(_xlfn.SWITCH(L2750,1,_xlfn.XLOOKUP(O2750,[1]AttributeName!$B:$B,[1]AttributeName!$D:$D),2,_xlfn.XLOOKUP(C2750,[1]ModifierDes!$B:$B,[1]ModifierDes!$D:$D),3,_xlfn.XLOOKUP(C2750,[1]StuntDes!$B:$B,[1]StuntDes!$D:$D)),0)</f>
        <v>2</v>
      </c>
      <c r="T2750" cm="1">
        <f t="array" ref="T2750">IFERROR(_xlfn.SWITCH(L2750,1,_xlfn.XLOOKUP(O2750,[1]AttributeName!$B:$B,[1]AttributeName!$E:$E),2,_xlfn.XLOOKUP(C2750,[1]ModifierDes!$B:$B,[1]ModifierDes!$E:$E),3,_xlfn.XLOOKUP(C2750,[1]StuntDes!$B:$B,[1]StuntDes!$E:$E)),0)</f>
        <v>2</v>
      </c>
    </row>
    <row r="2751" customFormat="1" spans="1:20">
      <c r="A2751">
        <v>90111</v>
      </c>
      <c r="B2751">
        <v>1</v>
      </c>
      <c r="C2751" t="s">
        <v>508</v>
      </c>
      <c r="D2751" t="s">
        <v>173</v>
      </c>
      <c r="E2751" t="s">
        <v>462</v>
      </c>
      <c r="H2751">
        <v>1000</v>
      </c>
      <c r="J2751">
        <v>1</v>
      </c>
      <c r="K2751" t="str" cm="1">
        <f t="array" ref="K2751">IFERROR(_xlfn.SWITCH(L2751,2,_xlfn.XLOOKUP(C2751,[1]ModifierDes!$B:$B,[1]ModifierDes!$C:$C),3,_xlfn.XLOOKUP(C2751,[1]StuntDes!$B:$B,[1]StuntDes!$C:$C)),"")</f>
        <v/>
      </c>
      <c r="L2751">
        <f t="shared" si="196"/>
        <v>1</v>
      </c>
      <c r="M2751" s="10" t="str">
        <f>IFERROR(_xlfn.XLOOKUP(C2751,[1]StuntDes!$B:$B,[1]StuntDes!$A:$A),"")</f>
        <v/>
      </c>
      <c r="N2751" s="10" t="str">
        <f>IFERROR(_xlfn.XLOOKUP(C2751,[1]ModifierDes!$B:$B,[1]ModifierDes!$A:$A),"")</f>
        <v/>
      </c>
      <c r="O2751" s="10" t="str">
        <f>IFERROR(_xlfn.XLOOKUP(C2751,[1]AttributeName!$C:$C,[1]AttributeName!$B:$B),"")</f>
        <v/>
      </c>
      <c r="P2751" s="10"/>
      <c r="Q2751">
        <v>0</v>
      </c>
      <c r="R2751">
        <v>0</v>
      </c>
      <c r="S2751" cm="1">
        <f t="array" ref="S2751">IFERROR(_xlfn.SWITCH(L2751,1,_xlfn.XLOOKUP(O2751,[1]AttributeName!$B:$B,[1]AttributeName!$D:$D),2,_xlfn.XLOOKUP(C2751,[1]ModifierDes!$B:$B,[1]ModifierDes!$D:$D),3,_xlfn.XLOOKUP(C2751,[1]StuntDes!$B:$B,[1]StuntDes!$D:$D)),0)</f>
        <v>0</v>
      </c>
      <c r="T2751" cm="1">
        <f t="array" ref="T2751">IFERROR(_xlfn.SWITCH(L2751,1,_xlfn.XLOOKUP(O2751,[1]AttributeName!$B:$B,[1]AttributeName!$E:$E),2,_xlfn.XLOOKUP(C2751,[1]ModifierDes!$B:$B,[1]ModifierDes!$E:$E),3,_xlfn.XLOOKUP(C2751,[1]StuntDes!$B:$B,[1]StuntDes!$E:$E)),0)</f>
        <v>0</v>
      </c>
    </row>
    <row r="2752" customFormat="1" spans="1:20">
      <c r="A2752">
        <v>90112</v>
      </c>
      <c r="B2752">
        <v>1</v>
      </c>
      <c r="C2752" t="s">
        <v>433</v>
      </c>
      <c r="D2752" t="s">
        <v>173</v>
      </c>
      <c r="E2752" t="s">
        <v>462</v>
      </c>
      <c r="H2752">
        <v>1000</v>
      </c>
      <c r="J2752">
        <v>1</v>
      </c>
      <c r="K2752" t="str" cm="1">
        <f t="array" ref="K2752">IFERROR(_xlfn.SWITCH(L2752,2,_xlfn.XLOOKUP(C2752,[1]ModifierDes!$B:$B,[1]ModifierDes!$C:$C),3,_xlfn.XLOOKUP(C2752,[1]StuntDes!$B:$B,[1]StuntDes!$C:$C)),"")</f>
        <v/>
      </c>
      <c r="L2752">
        <f t="shared" si="196"/>
        <v>1</v>
      </c>
      <c r="M2752" s="10" t="str">
        <f>IFERROR(_xlfn.XLOOKUP(C2752,[1]StuntDes!$B:$B,[1]StuntDes!$A:$A),"")</f>
        <v/>
      </c>
      <c r="N2752" s="10" t="str">
        <f>IFERROR(_xlfn.XLOOKUP(C2752,[1]ModifierDes!$B:$B,[1]ModifierDes!$A:$A),"")</f>
        <v/>
      </c>
      <c r="O2752" s="10">
        <f>IFERROR(_xlfn.XLOOKUP(C2752,[1]AttributeName!$C:$C,[1]AttributeName!$B:$B),"")</f>
        <v>10312</v>
      </c>
      <c r="P2752" s="10"/>
      <c r="Q2752">
        <v>0.2</v>
      </c>
      <c r="R2752">
        <v>0.4</v>
      </c>
      <c r="S2752" cm="1">
        <f t="array" ref="S2752">IFERROR(_xlfn.SWITCH(L2752,1,_xlfn.XLOOKUP(O2752,[1]AttributeName!$B:$B,[1]AttributeName!$D:$D),2,_xlfn.XLOOKUP(C2752,[1]ModifierDes!$B:$B,[1]ModifierDes!$D:$D),3,_xlfn.XLOOKUP(C2752,[1]StuntDes!$B:$B,[1]StuntDes!$D:$D)),0)</f>
        <v>2</v>
      </c>
      <c r="T2752" cm="1">
        <f t="array" ref="T2752">IFERROR(_xlfn.SWITCH(L2752,1,_xlfn.XLOOKUP(O2752,[1]AttributeName!$B:$B,[1]AttributeName!$E:$E),2,_xlfn.XLOOKUP(C2752,[1]ModifierDes!$B:$B,[1]ModifierDes!$E:$E),3,_xlfn.XLOOKUP(C2752,[1]StuntDes!$B:$B,[1]StuntDes!$E:$E)),0)</f>
        <v>2</v>
      </c>
    </row>
    <row r="2753" customFormat="1" spans="1:20">
      <c r="A2753">
        <v>90113</v>
      </c>
      <c r="B2753">
        <v>1</v>
      </c>
      <c r="C2753" t="s">
        <v>517</v>
      </c>
      <c r="D2753" t="s">
        <v>173</v>
      </c>
      <c r="E2753" t="s">
        <v>462</v>
      </c>
      <c r="H2753">
        <v>1000</v>
      </c>
      <c r="J2753">
        <v>1</v>
      </c>
      <c r="K2753" t="str" cm="1">
        <f t="array" ref="K2753">IFERROR(_xlfn.SWITCH(L2753,2,_xlfn.XLOOKUP(C2753,[1]ModifierDes!$B:$B,[1]ModifierDes!$C:$C),3,_xlfn.XLOOKUP(C2753,[1]StuntDes!$B:$B,[1]StuntDes!$C:$C)),"")</f>
        <v/>
      </c>
      <c r="L2753">
        <f t="shared" si="196"/>
        <v>1</v>
      </c>
      <c r="M2753" s="10" t="str">
        <f>IFERROR(_xlfn.XLOOKUP(C2753,[1]StuntDes!$B:$B,[1]StuntDes!$A:$A),"")</f>
        <v/>
      </c>
      <c r="N2753" s="10" t="str">
        <f>IFERROR(_xlfn.XLOOKUP(C2753,[1]ModifierDes!$B:$B,[1]ModifierDes!$A:$A),"")</f>
        <v/>
      </c>
      <c r="O2753" s="10" t="str">
        <f>IFERROR(_xlfn.XLOOKUP(C2753,[1]AttributeName!$C:$C,[1]AttributeName!$B:$B),"")</f>
        <v/>
      </c>
      <c r="P2753" s="10"/>
      <c r="Q2753">
        <v>0.2</v>
      </c>
      <c r="R2753">
        <v>0.2</v>
      </c>
      <c r="S2753" cm="1">
        <f t="array" ref="S2753">IFERROR(_xlfn.SWITCH(L2753,1,_xlfn.XLOOKUP(O2753,[1]AttributeName!$B:$B,[1]AttributeName!$D:$D),2,_xlfn.XLOOKUP(C2753,[1]ModifierDes!$B:$B,[1]ModifierDes!$D:$D),3,_xlfn.XLOOKUP(C2753,[1]StuntDes!$B:$B,[1]StuntDes!$D:$D)),0)</f>
        <v>0</v>
      </c>
      <c r="T2753" cm="1">
        <f t="array" ref="T2753">IFERROR(_xlfn.SWITCH(L2753,1,_xlfn.XLOOKUP(O2753,[1]AttributeName!$B:$B,[1]AttributeName!$E:$E),2,_xlfn.XLOOKUP(C2753,[1]ModifierDes!$B:$B,[1]ModifierDes!$E:$E),3,_xlfn.XLOOKUP(C2753,[1]StuntDes!$B:$B,[1]StuntDes!$E:$E)),0)</f>
        <v>0</v>
      </c>
    </row>
    <row r="2754" customFormat="1" spans="1:20">
      <c r="A2754">
        <v>90114</v>
      </c>
      <c r="B2754">
        <v>1</v>
      </c>
      <c r="C2754" t="s">
        <v>508</v>
      </c>
      <c r="D2754" t="s">
        <v>173</v>
      </c>
      <c r="E2754" t="s">
        <v>462</v>
      </c>
      <c r="H2754">
        <v>1000</v>
      </c>
      <c r="J2754">
        <v>1</v>
      </c>
      <c r="K2754" t="str" cm="1">
        <f t="array" ref="K2754">IFERROR(_xlfn.SWITCH(L2754,2,_xlfn.XLOOKUP(C2754,[1]ModifierDes!$B:$B,[1]ModifierDes!$C:$C),3,_xlfn.XLOOKUP(C2754,[1]StuntDes!$B:$B,[1]StuntDes!$C:$C)),"")</f>
        <v/>
      </c>
      <c r="L2754">
        <f t="shared" si="196"/>
        <v>1</v>
      </c>
      <c r="M2754" s="10" t="str">
        <f>IFERROR(_xlfn.XLOOKUP(C2754,[1]StuntDes!$B:$B,[1]StuntDes!$A:$A),"")</f>
        <v/>
      </c>
      <c r="N2754" s="10" t="str">
        <f>IFERROR(_xlfn.XLOOKUP(C2754,[1]ModifierDes!$B:$B,[1]ModifierDes!$A:$A),"")</f>
        <v/>
      </c>
      <c r="O2754" s="10" t="str">
        <f>IFERROR(_xlfn.XLOOKUP(C2754,[1]AttributeName!$C:$C,[1]AttributeName!$B:$B),"")</f>
        <v/>
      </c>
      <c r="P2754" s="10"/>
      <c r="Q2754">
        <v>0</v>
      </c>
      <c r="R2754">
        <v>0</v>
      </c>
      <c r="S2754" cm="1">
        <f t="array" ref="S2754">IFERROR(_xlfn.SWITCH(L2754,1,_xlfn.XLOOKUP(O2754,[1]AttributeName!$B:$B,[1]AttributeName!$D:$D),2,_xlfn.XLOOKUP(C2754,[1]ModifierDes!$B:$B,[1]ModifierDes!$D:$D),3,_xlfn.XLOOKUP(C2754,[1]StuntDes!$B:$B,[1]StuntDes!$D:$D)),0)</f>
        <v>0</v>
      </c>
      <c r="T2754" cm="1">
        <f t="array" ref="T2754">IFERROR(_xlfn.SWITCH(L2754,1,_xlfn.XLOOKUP(O2754,[1]AttributeName!$B:$B,[1]AttributeName!$E:$E),2,_xlfn.XLOOKUP(C2754,[1]ModifierDes!$B:$B,[1]ModifierDes!$E:$E),3,_xlfn.XLOOKUP(C2754,[1]StuntDes!$B:$B,[1]StuntDes!$E:$E)),0)</f>
        <v>0</v>
      </c>
    </row>
    <row r="2755" customFormat="1" spans="1:20">
      <c r="A2755">
        <v>90115</v>
      </c>
      <c r="B2755">
        <v>1</v>
      </c>
      <c r="C2755" t="s">
        <v>442</v>
      </c>
      <c r="D2755" t="s">
        <v>176</v>
      </c>
      <c r="E2755" t="s">
        <v>462</v>
      </c>
      <c r="H2755">
        <v>1000</v>
      </c>
      <c r="J2755">
        <v>1</v>
      </c>
      <c r="K2755" t="str" cm="1">
        <f t="array" ref="K2755">IFERROR(_xlfn.SWITCH(L2755,2,_xlfn.XLOOKUP(C2755,[1]ModifierDes!$B:$B,[1]ModifierDes!$C:$C),3,_xlfn.XLOOKUP(C2755,[1]StuntDes!$B:$B,[1]StuntDes!$C:$C)),"")</f>
        <v/>
      </c>
      <c r="L2755">
        <f t="shared" si="196"/>
        <v>1</v>
      </c>
      <c r="M2755" s="10" t="str">
        <f>IFERROR(_xlfn.XLOOKUP(C2755,[1]StuntDes!$B:$B,[1]StuntDes!$A:$A),"")</f>
        <v/>
      </c>
      <c r="N2755" s="10" t="str">
        <f>IFERROR(_xlfn.XLOOKUP(C2755,[1]ModifierDes!$B:$B,[1]ModifierDes!$A:$A),"")</f>
        <v/>
      </c>
      <c r="O2755" s="10">
        <f>IFERROR(_xlfn.XLOOKUP(C2755,[1]AttributeName!$C:$C,[1]AttributeName!$B:$B),"")</f>
        <v>10007</v>
      </c>
      <c r="P2755" s="10"/>
      <c r="Q2755">
        <v>0.15</v>
      </c>
      <c r="R2755">
        <v>0.2</v>
      </c>
      <c r="S2755" cm="1">
        <f t="array" ref="S2755">IFERROR(_xlfn.SWITCH(L2755,1,_xlfn.XLOOKUP(O2755,[1]AttributeName!$B:$B,[1]AttributeName!$D:$D),2,_xlfn.XLOOKUP(C2755,[1]ModifierDes!$B:$B,[1]ModifierDes!$D:$D),3,_xlfn.XLOOKUP(C2755,[1]StuntDes!$B:$B,[1]StuntDes!$D:$D)),0)</f>
        <v>2</v>
      </c>
      <c r="T2755" cm="1">
        <f t="array" ref="T2755">IFERROR(_xlfn.SWITCH(L2755,1,_xlfn.XLOOKUP(O2755,[1]AttributeName!$B:$B,[1]AttributeName!$E:$E),2,_xlfn.XLOOKUP(C2755,[1]ModifierDes!$B:$B,[1]ModifierDes!$E:$E),3,_xlfn.XLOOKUP(C2755,[1]StuntDes!$B:$B,[1]StuntDes!$E:$E)),0)</f>
        <v>2</v>
      </c>
    </row>
    <row r="2756" customFormat="1" spans="1:20">
      <c r="A2756">
        <v>90116</v>
      </c>
      <c r="B2756">
        <v>1</v>
      </c>
      <c r="C2756" t="s">
        <v>463</v>
      </c>
      <c r="D2756" t="s">
        <v>176</v>
      </c>
      <c r="E2756" t="s">
        <v>462</v>
      </c>
      <c r="H2756">
        <v>1000</v>
      </c>
      <c r="J2756">
        <v>1</v>
      </c>
      <c r="K2756" t="str" cm="1">
        <f t="array" ref="K2756">IFERROR(_xlfn.SWITCH(L2756,2,_xlfn.XLOOKUP(C2756,[1]ModifierDes!$B:$B,[1]ModifierDes!$C:$C),3,_xlfn.XLOOKUP(C2756,[1]StuntDes!$B:$B,[1]StuntDes!$C:$C)),"")</f>
        <v/>
      </c>
      <c r="L2756">
        <f t="shared" si="196"/>
        <v>1</v>
      </c>
      <c r="M2756" s="10" t="str">
        <f>IFERROR(_xlfn.XLOOKUP(C2756,[1]StuntDes!$B:$B,[1]StuntDes!$A:$A),"")</f>
        <v/>
      </c>
      <c r="N2756" s="10" t="str">
        <f>IFERROR(_xlfn.XLOOKUP(C2756,[1]ModifierDes!$B:$B,[1]ModifierDes!$A:$A),"")</f>
        <v/>
      </c>
      <c r="O2756" s="10"/>
      <c r="P2756" s="10"/>
      <c r="Q2756">
        <v>0.1</v>
      </c>
      <c r="R2756">
        <v>0.2</v>
      </c>
      <c r="S2756" cm="1">
        <f t="array" ref="S2756">IFERROR(_xlfn.SWITCH(L2756,1,_xlfn.XLOOKUP(O2756,[1]AttributeName!$B:$B,[1]AttributeName!$D:$D),2,_xlfn.XLOOKUP(C2756,[1]ModifierDes!$B:$B,[1]ModifierDes!$D:$D),3,_xlfn.XLOOKUP(C2756,[1]StuntDes!$B:$B,[1]StuntDes!$D:$D)),0)</f>
        <v>0</v>
      </c>
      <c r="T2756" cm="1">
        <f t="array" ref="T2756">IFERROR(_xlfn.SWITCH(L2756,1,_xlfn.XLOOKUP(O2756,[1]AttributeName!$B:$B,[1]AttributeName!$E:$E),2,_xlfn.XLOOKUP(C2756,[1]ModifierDes!$B:$B,[1]ModifierDes!$E:$E),3,_xlfn.XLOOKUP(C2756,[1]StuntDes!$B:$B,[1]StuntDes!$E:$E)),0)</f>
        <v>0</v>
      </c>
    </row>
    <row r="2757" customFormat="1" spans="1:20">
      <c r="A2757">
        <v>90117</v>
      </c>
      <c r="B2757">
        <v>1</v>
      </c>
      <c r="C2757" t="s">
        <v>508</v>
      </c>
      <c r="D2757" t="s">
        <v>176</v>
      </c>
      <c r="E2757" t="s">
        <v>462</v>
      </c>
      <c r="H2757">
        <v>1000</v>
      </c>
      <c r="J2757">
        <v>1</v>
      </c>
      <c r="K2757" t="str" cm="1">
        <f t="array" ref="K2757">IFERROR(_xlfn.SWITCH(L2757,2,_xlfn.XLOOKUP(C2757,[1]ModifierDes!$B:$B,[1]ModifierDes!$C:$C),3,_xlfn.XLOOKUP(C2757,[1]StuntDes!$B:$B,[1]StuntDes!$C:$C)),"")</f>
        <v/>
      </c>
      <c r="L2757">
        <f t="shared" si="196"/>
        <v>1</v>
      </c>
      <c r="M2757" s="10" t="str">
        <f>IFERROR(_xlfn.XLOOKUP(C2757,[1]StuntDes!$B:$B,[1]StuntDes!$A:$A),"")</f>
        <v/>
      </c>
      <c r="N2757" s="10" t="str">
        <f>IFERROR(_xlfn.XLOOKUP(C2757,[1]ModifierDes!$B:$B,[1]ModifierDes!$A:$A),"")</f>
        <v/>
      </c>
      <c r="O2757" s="10" t="str">
        <f>IFERROR(_xlfn.XLOOKUP(C2757,[1]AttributeName!$C:$C,[1]AttributeName!$B:$B),"")</f>
        <v/>
      </c>
      <c r="P2757" s="10"/>
      <c r="Q2757">
        <v>0</v>
      </c>
      <c r="R2757">
        <v>0</v>
      </c>
      <c r="S2757" cm="1">
        <f t="array" ref="S2757">IFERROR(_xlfn.SWITCH(L2757,1,_xlfn.XLOOKUP(O2757,[1]AttributeName!$B:$B,[1]AttributeName!$D:$D),2,_xlfn.XLOOKUP(C2757,[1]ModifierDes!$B:$B,[1]ModifierDes!$D:$D),3,_xlfn.XLOOKUP(C2757,[1]StuntDes!$B:$B,[1]StuntDes!$D:$D)),0)</f>
        <v>0</v>
      </c>
      <c r="T2757" cm="1">
        <f t="array" ref="T2757">IFERROR(_xlfn.SWITCH(L2757,1,_xlfn.XLOOKUP(O2757,[1]AttributeName!$B:$B,[1]AttributeName!$E:$E),2,_xlfn.XLOOKUP(C2757,[1]ModifierDes!$B:$B,[1]ModifierDes!$E:$E),3,_xlfn.XLOOKUP(C2757,[1]StuntDes!$B:$B,[1]StuntDes!$E:$E)),0)</f>
        <v>0</v>
      </c>
    </row>
    <row r="2758" customFormat="1" spans="1:20">
      <c r="A2758">
        <v>90118</v>
      </c>
      <c r="B2758">
        <v>1</v>
      </c>
      <c r="C2758" t="s">
        <v>518</v>
      </c>
      <c r="D2758" t="s">
        <v>176</v>
      </c>
      <c r="E2758" t="s">
        <v>462</v>
      </c>
      <c r="H2758">
        <v>1000</v>
      </c>
      <c r="J2758">
        <v>1</v>
      </c>
      <c r="K2758" t="str" cm="1">
        <f t="array" ref="K2758">IFERROR(_xlfn.SWITCH(L2758,2,_xlfn.XLOOKUP(C2758,[1]ModifierDes!$B:$B,[1]ModifierDes!$C:$C),3,_xlfn.XLOOKUP(C2758,[1]StuntDes!$B:$B,[1]StuntDes!$C:$C)),"")</f>
        <v/>
      </c>
      <c r="L2758">
        <f t="shared" si="196"/>
        <v>1</v>
      </c>
      <c r="M2758" s="10" t="str">
        <f>IFERROR(_xlfn.XLOOKUP(C2758,[1]StuntDes!$B:$B,[1]StuntDes!$A:$A),"")</f>
        <v/>
      </c>
      <c r="N2758" s="10" t="str">
        <f>IFERROR(_xlfn.XLOOKUP(C2758,[1]ModifierDes!$B:$B,[1]ModifierDes!$A:$A),"")</f>
        <v/>
      </c>
      <c r="O2758" s="10" t="str">
        <f>IFERROR(_xlfn.XLOOKUP(C2758,[1]AttributeName!$C:$C,[1]AttributeName!$B:$B),"")</f>
        <v/>
      </c>
      <c r="P2758" s="10"/>
      <c r="Q2758">
        <v>0.2</v>
      </c>
      <c r="R2758">
        <v>0.4</v>
      </c>
      <c r="S2758" cm="1">
        <f t="array" ref="S2758">IFERROR(_xlfn.SWITCH(L2758,1,_xlfn.XLOOKUP(O2758,[1]AttributeName!$B:$B,[1]AttributeName!$D:$D),2,_xlfn.XLOOKUP(C2758,[1]ModifierDes!$B:$B,[1]ModifierDes!$D:$D),3,_xlfn.XLOOKUP(C2758,[1]StuntDes!$B:$B,[1]StuntDes!$D:$D)),0)</f>
        <v>0</v>
      </c>
      <c r="T2758" cm="1">
        <f t="array" ref="T2758">IFERROR(_xlfn.SWITCH(L2758,1,_xlfn.XLOOKUP(O2758,[1]AttributeName!$B:$B,[1]AttributeName!$E:$E),2,_xlfn.XLOOKUP(C2758,[1]ModifierDes!$B:$B,[1]ModifierDes!$E:$E),3,_xlfn.XLOOKUP(C2758,[1]StuntDes!$B:$B,[1]StuntDes!$E:$E)),0)</f>
        <v>0</v>
      </c>
    </row>
    <row r="2759" customFormat="1" spans="1:20">
      <c r="A2759">
        <v>90119</v>
      </c>
      <c r="B2759">
        <v>1</v>
      </c>
      <c r="C2759" t="s">
        <v>519</v>
      </c>
      <c r="D2759" t="s">
        <v>176</v>
      </c>
      <c r="E2759" t="s">
        <v>462</v>
      </c>
      <c r="H2759">
        <v>1000</v>
      </c>
      <c r="J2759">
        <v>1</v>
      </c>
      <c r="K2759" t="str" cm="1">
        <f t="array" ref="K2759">IFERROR(_xlfn.SWITCH(L2759,2,_xlfn.XLOOKUP(C2759,[1]ModifierDes!$B:$B,[1]ModifierDes!$C:$C),3,_xlfn.XLOOKUP(C2759,[1]StuntDes!$B:$B,[1]StuntDes!$C:$C)),"")</f>
        <v/>
      </c>
      <c r="L2759">
        <f t="shared" si="196"/>
        <v>1</v>
      </c>
      <c r="M2759" s="10" t="str">
        <f>IFERROR(_xlfn.XLOOKUP(C2759,[1]StuntDes!$B:$B,[1]StuntDes!$A:$A),"")</f>
        <v/>
      </c>
      <c r="N2759" s="10" t="str">
        <f>IFERROR(_xlfn.XLOOKUP(C2759,[1]ModifierDes!$B:$B,[1]ModifierDes!$A:$A),"")</f>
        <v/>
      </c>
      <c r="O2759" s="10" t="str">
        <f>IFERROR(_xlfn.XLOOKUP(C2759,[1]AttributeName!$C:$C,[1]AttributeName!$B:$B),"")</f>
        <v/>
      </c>
      <c r="P2759" s="10"/>
      <c r="Q2759">
        <v>1</v>
      </c>
      <c r="R2759">
        <v>1</v>
      </c>
      <c r="S2759" cm="1">
        <f t="array" ref="S2759">IFERROR(_xlfn.SWITCH(L2759,1,_xlfn.XLOOKUP(O2759,[1]AttributeName!$B:$B,[1]AttributeName!$D:$D),2,_xlfn.XLOOKUP(C2759,[1]ModifierDes!$B:$B,[1]ModifierDes!$D:$D),3,_xlfn.XLOOKUP(C2759,[1]StuntDes!$B:$B,[1]StuntDes!$D:$D)),0)</f>
        <v>0</v>
      </c>
      <c r="T2759" cm="1">
        <f t="array" ref="T2759">IFERROR(_xlfn.SWITCH(L2759,1,_xlfn.XLOOKUP(O2759,[1]AttributeName!$B:$B,[1]AttributeName!$E:$E),2,_xlfn.XLOOKUP(C2759,[1]ModifierDes!$B:$B,[1]ModifierDes!$E:$E),3,_xlfn.XLOOKUP(C2759,[1]StuntDes!$B:$B,[1]StuntDes!$E:$E)),0)</f>
        <v>0</v>
      </c>
    </row>
    <row r="2760" customFormat="1" spans="1:20">
      <c r="A2760">
        <v>90120</v>
      </c>
      <c r="B2760">
        <v>1</v>
      </c>
      <c r="C2760" t="s">
        <v>508</v>
      </c>
      <c r="D2760" t="s">
        <v>176</v>
      </c>
      <c r="E2760" t="s">
        <v>462</v>
      </c>
      <c r="H2760">
        <v>1000</v>
      </c>
      <c r="J2760">
        <v>1</v>
      </c>
      <c r="K2760" t="str" cm="1">
        <f t="array" ref="K2760">IFERROR(_xlfn.SWITCH(L2760,2,_xlfn.XLOOKUP(C2760,[1]ModifierDes!$B:$B,[1]ModifierDes!$C:$C),3,_xlfn.XLOOKUP(C2760,[1]StuntDes!$B:$B,[1]StuntDes!$C:$C)),"")</f>
        <v/>
      </c>
      <c r="L2760">
        <f t="shared" si="196"/>
        <v>1</v>
      </c>
      <c r="M2760" s="10" t="str">
        <f>IFERROR(_xlfn.XLOOKUP(C2760,[1]StuntDes!$B:$B,[1]StuntDes!$A:$A),"")</f>
        <v/>
      </c>
      <c r="N2760" s="10" t="str">
        <f>IFERROR(_xlfn.XLOOKUP(C2760,[1]ModifierDes!$B:$B,[1]ModifierDes!$A:$A),"")</f>
        <v/>
      </c>
      <c r="O2760" s="10" t="str">
        <f>IFERROR(_xlfn.XLOOKUP(C2760,[1]AttributeName!$C:$C,[1]AttributeName!$B:$B),"")</f>
        <v/>
      </c>
      <c r="P2760" s="10"/>
      <c r="Q2760">
        <v>0</v>
      </c>
      <c r="R2760">
        <v>0</v>
      </c>
      <c r="S2760" cm="1">
        <f t="array" ref="S2760">IFERROR(_xlfn.SWITCH(L2760,1,_xlfn.XLOOKUP(O2760,[1]AttributeName!$B:$B,[1]AttributeName!$D:$D),2,_xlfn.XLOOKUP(C2760,[1]ModifierDes!$B:$B,[1]ModifierDes!$D:$D),3,_xlfn.XLOOKUP(C2760,[1]StuntDes!$B:$B,[1]StuntDes!$D:$D)),0)</f>
        <v>0</v>
      </c>
      <c r="T2760" cm="1">
        <f t="array" ref="T2760">IFERROR(_xlfn.SWITCH(L2760,1,_xlfn.XLOOKUP(O2760,[1]AttributeName!$B:$B,[1]AttributeName!$E:$E),2,_xlfn.XLOOKUP(C2760,[1]ModifierDes!$B:$B,[1]ModifierDes!$E:$E),3,_xlfn.XLOOKUP(C2760,[1]StuntDes!$B:$B,[1]StuntDes!$E:$E)),0)</f>
        <v>0</v>
      </c>
    </row>
    <row r="2761" customFormat="1" spans="1:20">
      <c r="A2761">
        <v>90121</v>
      </c>
      <c r="B2761">
        <v>1</v>
      </c>
      <c r="C2761" t="s">
        <v>396</v>
      </c>
      <c r="D2761" t="s">
        <v>208</v>
      </c>
      <c r="E2761" t="s">
        <v>462</v>
      </c>
      <c r="H2761">
        <v>1000</v>
      </c>
      <c r="J2761">
        <v>1</v>
      </c>
      <c r="K2761" t="str" cm="1">
        <f t="array" ref="K2761">IFERROR(_xlfn.SWITCH(L2761,2,_xlfn.XLOOKUP(C2761,[1]ModifierDes!$B:$B,[1]ModifierDes!$C:$C),3,_xlfn.XLOOKUP(C2761,[1]StuntDes!$B:$B,[1]StuntDes!$C:$C)),"")</f>
        <v/>
      </c>
      <c r="L2761">
        <f t="shared" si="196"/>
        <v>1</v>
      </c>
      <c r="M2761" s="10" t="str">
        <f>IFERROR(_xlfn.XLOOKUP(C2761,[1]StuntDes!$B:$B,[1]StuntDes!$A:$A),"")</f>
        <v/>
      </c>
      <c r="N2761" s="10" t="str">
        <f>IFERROR(_xlfn.XLOOKUP(C2761,[1]ModifierDes!$B:$B,[1]ModifierDes!$A:$A),"")</f>
        <v/>
      </c>
      <c r="O2761" s="10">
        <f>IFERROR(_xlfn.XLOOKUP(C2761,[1]AttributeName!$C:$C,[1]AttributeName!$B:$B),"")</f>
        <v>10503</v>
      </c>
      <c r="P2761" s="10"/>
      <c r="Q2761">
        <v>0.3</v>
      </c>
      <c r="R2761">
        <v>0.35</v>
      </c>
      <c r="S2761" cm="1">
        <f t="array" ref="S2761">IFERROR(_xlfn.SWITCH(L2761,1,_xlfn.XLOOKUP(O2761,[1]AttributeName!$B:$B,[1]AttributeName!$D:$D),2,_xlfn.XLOOKUP(C2761,[1]ModifierDes!$B:$B,[1]ModifierDes!$D:$D),3,_xlfn.XLOOKUP(C2761,[1]StuntDes!$B:$B,[1]StuntDes!$D:$D)),0)</f>
        <v>2</v>
      </c>
      <c r="T2761" cm="1">
        <f t="array" ref="T2761">IFERROR(_xlfn.SWITCH(L2761,1,_xlfn.XLOOKUP(O2761,[1]AttributeName!$B:$B,[1]AttributeName!$E:$E),2,_xlfn.XLOOKUP(C2761,[1]ModifierDes!$B:$B,[1]ModifierDes!$E:$E),3,_xlfn.XLOOKUP(C2761,[1]StuntDes!$B:$B,[1]StuntDes!$E:$E)),0)</f>
        <v>2</v>
      </c>
    </row>
    <row r="2762" customFormat="1" spans="1:20">
      <c r="A2762">
        <v>90122</v>
      </c>
      <c r="B2762">
        <v>1</v>
      </c>
      <c r="C2762" t="s">
        <v>446</v>
      </c>
      <c r="D2762" t="s">
        <v>208</v>
      </c>
      <c r="E2762" t="s">
        <v>462</v>
      </c>
      <c r="H2762">
        <v>1000</v>
      </c>
      <c r="J2762">
        <v>1</v>
      </c>
      <c r="K2762" t="str" cm="1">
        <f t="array" ref="K2762">IFERROR(_xlfn.SWITCH(L2762,2,_xlfn.XLOOKUP(C2762,[1]ModifierDes!$B:$B,[1]ModifierDes!$C:$C),3,_xlfn.XLOOKUP(C2762,[1]StuntDes!$B:$B,[1]StuntDes!$C:$C)),"")</f>
        <v/>
      </c>
      <c r="L2762">
        <f t="shared" si="196"/>
        <v>1</v>
      </c>
      <c r="M2762" s="10" t="str">
        <f>IFERROR(_xlfn.XLOOKUP(C2762,[1]StuntDes!$B:$B,[1]StuntDes!$A:$A),"")</f>
        <v/>
      </c>
      <c r="N2762" s="10" t="str">
        <f>IFERROR(_xlfn.XLOOKUP(C2762,[1]ModifierDes!$B:$B,[1]ModifierDes!$A:$A),"")</f>
        <v/>
      </c>
      <c r="O2762" s="10">
        <f>IFERROR(_xlfn.XLOOKUP(C2762,[1]AttributeName!$C:$C,[1]AttributeName!$B:$B),"")</f>
        <v>10306</v>
      </c>
      <c r="P2762" s="10"/>
      <c r="Q2762">
        <v>0.4</v>
      </c>
      <c r="R2762">
        <v>0.6</v>
      </c>
      <c r="S2762" cm="1">
        <f t="array" ref="S2762">IFERROR(_xlfn.SWITCH(L2762,1,_xlfn.XLOOKUP(O2762,[1]AttributeName!$B:$B,[1]AttributeName!$D:$D),2,_xlfn.XLOOKUP(C2762,[1]ModifierDes!$B:$B,[1]ModifierDes!$D:$D),3,_xlfn.XLOOKUP(C2762,[1]StuntDes!$B:$B,[1]StuntDes!$D:$D)),0)</f>
        <v>2</v>
      </c>
      <c r="T2762" cm="1">
        <f t="array" ref="T2762">IFERROR(_xlfn.SWITCH(L2762,1,_xlfn.XLOOKUP(O2762,[1]AttributeName!$B:$B,[1]AttributeName!$E:$E),2,_xlfn.XLOOKUP(C2762,[1]ModifierDes!$B:$B,[1]ModifierDes!$E:$E),3,_xlfn.XLOOKUP(C2762,[1]StuntDes!$B:$B,[1]StuntDes!$E:$E)),0)</f>
        <v>2</v>
      </c>
    </row>
    <row r="2763" customFormat="1" spans="1:20">
      <c r="A2763">
        <v>90123</v>
      </c>
      <c r="B2763">
        <v>1</v>
      </c>
      <c r="C2763" t="s">
        <v>508</v>
      </c>
      <c r="D2763" t="s">
        <v>208</v>
      </c>
      <c r="E2763" t="s">
        <v>462</v>
      </c>
      <c r="H2763">
        <v>1000</v>
      </c>
      <c r="J2763">
        <v>1</v>
      </c>
      <c r="K2763" t="str" cm="1">
        <f t="array" ref="K2763">IFERROR(_xlfn.SWITCH(L2763,2,_xlfn.XLOOKUP(C2763,[1]ModifierDes!$B:$B,[1]ModifierDes!$C:$C),3,_xlfn.XLOOKUP(C2763,[1]StuntDes!$B:$B,[1]StuntDes!$C:$C)),"")</f>
        <v/>
      </c>
      <c r="L2763">
        <f t="shared" si="196"/>
        <v>1</v>
      </c>
      <c r="M2763" s="10" t="str">
        <f>IFERROR(_xlfn.XLOOKUP(C2763,[1]StuntDes!$B:$B,[1]StuntDes!$A:$A),"")</f>
        <v/>
      </c>
      <c r="N2763" s="10" t="str">
        <f>IFERROR(_xlfn.XLOOKUP(C2763,[1]ModifierDes!$B:$B,[1]ModifierDes!$A:$A),"")</f>
        <v/>
      </c>
      <c r="O2763" s="10" t="str">
        <f>IFERROR(_xlfn.XLOOKUP(C2763,[1]AttributeName!$C:$C,[1]AttributeName!$B:$B),"")</f>
        <v/>
      </c>
      <c r="P2763" s="10"/>
      <c r="Q2763">
        <v>0</v>
      </c>
      <c r="R2763">
        <v>0</v>
      </c>
      <c r="S2763" cm="1">
        <f t="array" ref="S2763">IFERROR(_xlfn.SWITCH(L2763,1,_xlfn.XLOOKUP(O2763,[1]AttributeName!$B:$B,[1]AttributeName!$D:$D),2,_xlfn.XLOOKUP(C2763,[1]ModifierDes!$B:$B,[1]ModifierDes!$D:$D),3,_xlfn.XLOOKUP(C2763,[1]StuntDes!$B:$B,[1]StuntDes!$D:$D)),0)</f>
        <v>0</v>
      </c>
      <c r="T2763" cm="1">
        <f t="array" ref="T2763">IFERROR(_xlfn.SWITCH(L2763,1,_xlfn.XLOOKUP(O2763,[1]AttributeName!$B:$B,[1]AttributeName!$E:$E),2,_xlfn.XLOOKUP(C2763,[1]ModifierDes!$B:$B,[1]ModifierDes!$E:$E),3,_xlfn.XLOOKUP(C2763,[1]StuntDes!$B:$B,[1]StuntDes!$E:$E)),0)</f>
        <v>0</v>
      </c>
    </row>
    <row r="2764" customFormat="1" spans="1:20">
      <c r="A2764">
        <v>90124</v>
      </c>
      <c r="B2764">
        <v>1</v>
      </c>
      <c r="C2764" t="s">
        <v>435</v>
      </c>
      <c r="D2764" t="s">
        <v>208</v>
      </c>
      <c r="E2764" t="s">
        <v>462</v>
      </c>
      <c r="H2764">
        <v>1000</v>
      </c>
      <c r="J2764">
        <v>1</v>
      </c>
      <c r="K2764" t="str" cm="1">
        <f t="array" ref="K2764">IFERROR(_xlfn.SWITCH(L2764,2,_xlfn.XLOOKUP(C2764,[1]ModifierDes!$B:$B,[1]ModifierDes!$C:$C),3,_xlfn.XLOOKUP(C2764,[1]StuntDes!$B:$B,[1]StuntDes!$C:$C)),"")</f>
        <v/>
      </c>
      <c r="L2764">
        <f t="shared" si="196"/>
        <v>1</v>
      </c>
      <c r="M2764" s="10" t="str">
        <f>IFERROR(_xlfn.XLOOKUP(C2764,[1]StuntDes!$B:$B,[1]StuntDes!$A:$A),"")</f>
        <v/>
      </c>
      <c r="N2764" s="10" t="str">
        <f>IFERROR(_xlfn.XLOOKUP(C2764,[1]ModifierDes!$B:$B,[1]ModifierDes!$A:$A),"")</f>
        <v/>
      </c>
      <c r="O2764" s="10">
        <f>IFERROR(_xlfn.XLOOKUP(C2764,[1]AttributeName!$C:$C,[1]AttributeName!$B:$B),"")</f>
        <v>10314</v>
      </c>
      <c r="P2764" s="10"/>
      <c r="Q2764">
        <v>0.3</v>
      </c>
      <c r="R2764">
        <v>0.5</v>
      </c>
      <c r="S2764" cm="1">
        <f t="array" ref="S2764">IFERROR(_xlfn.SWITCH(L2764,1,_xlfn.XLOOKUP(O2764,[1]AttributeName!$B:$B,[1]AttributeName!$D:$D),2,_xlfn.XLOOKUP(C2764,[1]ModifierDes!$B:$B,[1]ModifierDes!$D:$D),3,_xlfn.XLOOKUP(C2764,[1]StuntDes!$B:$B,[1]StuntDes!$D:$D)),0)</f>
        <v>2</v>
      </c>
      <c r="T2764" cm="1">
        <f t="array" ref="T2764">IFERROR(_xlfn.SWITCH(L2764,1,_xlfn.XLOOKUP(O2764,[1]AttributeName!$B:$B,[1]AttributeName!$E:$E),2,_xlfn.XLOOKUP(C2764,[1]ModifierDes!$B:$B,[1]ModifierDes!$E:$E),3,_xlfn.XLOOKUP(C2764,[1]StuntDes!$B:$B,[1]StuntDes!$E:$E)),0)</f>
        <v>2</v>
      </c>
    </row>
    <row r="2765" customFormat="1" spans="1:20">
      <c r="A2765">
        <v>90125</v>
      </c>
      <c r="B2765">
        <v>1</v>
      </c>
      <c r="C2765" t="s">
        <v>492</v>
      </c>
      <c r="D2765" t="s">
        <v>208</v>
      </c>
      <c r="E2765" t="s">
        <v>462</v>
      </c>
      <c r="H2765">
        <v>1000</v>
      </c>
      <c r="J2765">
        <v>1</v>
      </c>
      <c r="K2765" t="str" cm="1">
        <f t="array" ref="K2765">IFERROR(_xlfn.SWITCH(L2765,2,_xlfn.XLOOKUP(C2765,[1]ModifierDes!$B:$B,[1]ModifierDes!$C:$C),3,_xlfn.XLOOKUP(C2765,[1]StuntDes!$B:$B,[1]StuntDes!$C:$C)),"")</f>
        <v>旋风技能视为被闪电浸染</v>
      </c>
      <c r="L2765">
        <f t="shared" si="196"/>
        <v>2</v>
      </c>
      <c r="M2765" s="10" t="str">
        <f>IFERROR(_xlfn.XLOOKUP(C2765,[1]StuntDes!$B:$B,[1]StuntDes!$A:$A),"")</f>
        <v/>
      </c>
      <c r="N2765" s="10">
        <f>IFERROR(_xlfn.XLOOKUP(C2765,[1]ModifierDes!$B:$B,[1]ModifierDes!$A:$A),"")</f>
        <v>10148</v>
      </c>
      <c r="O2765" s="10" t="str">
        <f>IFERROR(_xlfn.XLOOKUP(C2765,[1]AttributeName!$C:$C,[1]AttributeName!$B:$B),"")</f>
        <v/>
      </c>
      <c r="P2765" s="10"/>
      <c r="Q2765">
        <v>1</v>
      </c>
      <c r="R2765">
        <v>1</v>
      </c>
      <c r="S2765" cm="1">
        <f t="array" ref="S2765">IFERROR(_xlfn.SWITCH(L2765,1,_xlfn.XLOOKUP(O2765,[1]AttributeName!$B:$B,[1]AttributeName!$D:$D),2,_xlfn.XLOOKUP(C2765,[1]ModifierDes!$B:$B,[1]ModifierDes!$D:$D),3,_xlfn.XLOOKUP(C2765,[1]StuntDes!$B:$B,[1]StuntDes!$D:$D)),0)</f>
        <v>0</v>
      </c>
      <c r="T2765" cm="1">
        <f t="array" ref="T2765">IFERROR(_xlfn.SWITCH(L2765,1,_xlfn.XLOOKUP(O2765,[1]AttributeName!$B:$B,[1]AttributeName!$E:$E),2,_xlfn.XLOOKUP(C2765,[1]ModifierDes!$B:$B,[1]ModifierDes!$E:$E),3,_xlfn.XLOOKUP(C2765,[1]StuntDes!$B:$B,[1]StuntDes!$E:$E)),0)</f>
        <v>0</v>
      </c>
    </row>
    <row r="2766" customFormat="1" spans="1:20">
      <c r="A2766">
        <v>90126</v>
      </c>
      <c r="B2766">
        <v>1</v>
      </c>
      <c r="C2766" t="s">
        <v>432</v>
      </c>
      <c r="D2766" t="s">
        <v>208</v>
      </c>
      <c r="E2766" t="s">
        <v>462</v>
      </c>
      <c r="H2766">
        <v>1000</v>
      </c>
      <c r="J2766">
        <v>1</v>
      </c>
      <c r="K2766" t="str" cm="1">
        <f t="array" ref="K2766">IFERROR(_xlfn.SWITCH(L2766,2,_xlfn.XLOOKUP(C2766,[1]ModifierDes!$B:$B,[1]ModifierDes!$C:$C),3,_xlfn.XLOOKUP(C2766,[1]StuntDes!$B:$B,[1]StuntDes!$C:$C)),"")</f>
        <v/>
      </c>
      <c r="L2766">
        <f t="shared" si="196"/>
        <v>1</v>
      </c>
      <c r="M2766" s="10" t="str">
        <f>IFERROR(_xlfn.XLOOKUP(C2766,[1]StuntDes!$B:$B,[1]StuntDes!$A:$A),"")</f>
        <v/>
      </c>
      <c r="N2766" s="10" t="str">
        <f>IFERROR(_xlfn.XLOOKUP(C2766,[1]ModifierDes!$B:$B,[1]ModifierDes!$A:$A),"")</f>
        <v/>
      </c>
      <c r="O2766" s="10">
        <f>IFERROR(_xlfn.XLOOKUP(C2766,[1]AttributeName!$C:$C,[1]AttributeName!$B:$B),"")</f>
        <v>10311</v>
      </c>
      <c r="P2766" s="10"/>
      <c r="Q2766">
        <v>0.3</v>
      </c>
      <c r="R2766">
        <v>0.5</v>
      </c>
      <c r="S2766" cm="1">
        <f t="array" ref="S2766">IFERROR(_xlfn.SWITCH(L2766,1,_xlfn.XLOOKUP(O2766,[1]AttributeName!$B:$B,[1]AttributeName!$D:$D),2,_xlfn.XLOOKUP(C2766,[1]ModifierDes!$B:$B,[1]ModifierDes!$D:$D),3,_xlfn.XLOOKUP(C2766,[1]StuntDes!$B:$B,[1]StuntDes!$D:$D)),0)</f>
        <v>2</v>
      </c>
      <c r="T2766" cm="1">
        <f t="array" ref="T2766">IFERROR(_xlfn.SWITCH(L2766,1,_xlfn.XLOOKUP(O2766,[1]AttributeName!$B:$B,[1]AttributeName!$E:$E),2,_xlfn.XLOOKUP(C2766,[1]ModifierDes!$B:$B,[1]ModifierDes!$E:$E),3,_xlfn.XLOOKUP(C2766,[1]StuntDes!$B:$B,[1]StuntDes!$E:$E)),0)</f>
        <v>2</v>
      </c>
    </row>
    <row r="2767" customFormat="1" spans="1:20">
      <c r="A2767">
        <v>90127</v>
      </c>
      <c r="B2767">
        <v>1</v>
      </c>
      <c r="C2767" t="s">
        <v>443</v>
      </c>
      <c r="D2767" t="s">
        <v>214</v>
      </c>
      <c r="E2767" t="s">
        <v>462</v>
      </c>
      <c r="H2767">
        <v>1000</v>
      </c>
      <c r="J2767">
        <v>1</v>
      </c>
      <c r="K2767" t="str" cm="1">
        <f t="array" ref="K2767">IFERROR(_xlfn.SWITCH(L2767,2,_xlfn.XLOOKUP(C2767,[1]ModifierDes!$B:$B,[1]ModifierDes!$C:$C),3,_xlfn.XLOOKUP(C2767,[1]StuntDes!$B:$B,[1]StuntDes!$C:$C)),"")</f>
        <v>施法速度提高{0}</v>
      </c>
      <c r="L2767">
        <f t="shared" si="196"/>
        <v>2</v>
      </c>
      <c r="M2767" s="10" t="str">
        <f>IFERROR(_xlfn.XLOOKUP(C2767,[1]StuntDes!$B:$B,[1]StuntDes!$A:$A),"")</f>
        <v/>
      </c>
      <c r="N2767" s="10">
        <f>IFERROR(_xlfn.XLOOKUP(C2767,[1]ModifierDes!$B:$B,[1]ModifierDes!$A:$A),"")</f>
        <v>10050</v>
      </c>
      <c r="O2767" s="10" t="str">
        <f>IFERROR(_xlfn.XLOOKUP(C2767,[1]AttributeName!$C:$C,[1]AttributeName!$B:$B),"")</f>
        <v/>
      </c>
      <c r="P2767" s="10"/>
      <c r="Q2767">
        <v>0.1</v>
      </c>
      <c r="R2767">
        <v>0.15</v>
      </c>
      <c r="S2767" cm="1">
        <f t="array" ref="S2767">IFERROR(_xlfn.SWITCH(L2767,1,_xlfn.XLOOKUP(O2767,[1]AttributeName!$B:$B,[1]AttributeName!$D:$D),2,_xlfn.XLOOKUP(C2767,[1]ModifierDes!$B:$B,[1]ModifierDes!$D:$D),3,_xlfn.XLOOKUP(C2767,[1]StuntDes!$B:$B,[1]StuntDes!$D:$D)),0)</f>
        <v>2</v>
      </c>
      <c r="T2767" cm="1">
        <f t="array" ref="T2767">IFERROR(_xlfn.SWITCH(L2767,1,_xlfn.XLOOKUP(O2767,[1]AttributeName!$B:$B,[1]AttributeName!$E:$E),2,_xlfn.XLOOKUP(C2767,[1]ModifierDes!$B:$B,[1]ModifierDes!$E:$E),3,_xlfn.XLOOKUP(C2767,[1]StuntDes!$B:$B,[1]StuntDes!$E:$E)),0)</f>
        <v>2</v>
      </c>
    </row>
    <row r="2768" customFormat="1" spans="1:20">
      <c r="A2768">
        <v>90128</v>
      </c>
      <c r="B2768">
        <v>1</v>
      </c>
      <c r="C2768" t="s">
        <v>493</v>
      </c>
      <c r="D2768" t="s">
        <v>214</v>
      </c>
      <c r="E2768" t="s">
        <v>462</v>
      </c>
      <c r="H2768">
        <v>1000</v>
      </c>
      <c r="J2768">
        <v>1</v>
      </c>
      <c r="K2768" t="str" cm="1">
        <f t="array" ref="K2768">IFERROR(_xlfn.SWITCH(L2768,2,_xlfn.XLOOKUP(C2768,[1]ModifierDes!$B:$B,[1]ModifierDes!$C:$C),3,_xlfn.XLOOKUP(C2768,[1]StuntDes!$B:$B,[1]StuntDes!$C:$C)),"")</f>
        <v>范围伤害提高{0}</v>
      </c>
      <c r="L2768">
        <f t="shared" si="196"/>
        <v>2</v>
      </c>
      <c r="M2768" s="10" t="str">
        <f>IFERROR(_xlfn.XLOOKUP(C2768,[1]StuntDes!$B:$B,[1]StuntDes!$A:$A),"")</f>
        <v/>
      </c>
      <c r="N2768" s="10">
        <f>IFERROR(_xlfn.XLOOKUP(C2768,[1]ModifierDes!$B:$B,[1]ModifierDes!$A:$A),"")</f>
        <v>10062</v>
      </c>
      <c r="O2768" s="10" t="str">
        <f>IFERROR(_xlfn.XLOOKUP(C2768,[1]AttributeName!$C:$C,[1]AttributeName!$B:$B),"")</f>
        <v/>
      </c>
      <c r="P2768" s="10"/>
      <c r="Q2768">
        <v>0.3</v>
      </c>
      <c r="R2768">
        <v>0.5</v>
      </c>
      <c r="S2768" cm="1">
        <f t="array" ref="S2768">IFERROR(_xlfn.SWITCH(L2768,1,_xlfn.XLOOKUP(O2768,[1]AttributeName!$B:$B,[1]AttributeName!$D:$D),2,_xlfn.XLOOKUP(C2768,[1]ModifierDes!$B:$B,[1]ModifierDes!$D:$D),3,_xlfn.XLOOKUP(C2768,[1]StuntDes!$B:$B,[1]StuntDes!$D:$D)),0)</f>
        <v>2</v>
      </c>
      <c r="T2768" cm="1">
        <f t="array" ref="T2768">IFERROR(_xlfn.SWITCH(L2768,1,_xlfn.XLOOKUP(O2768,[1]AttributeName!$B:$B,[1]AttributeName!$E:$E),2,_xlfn.XLOOKUP(C2768,[1]ModifierDes!$B:$B,[1]ModifierDes!$E:$E),3,_xlfn.XLOOKUP(C2768,[1]StuntDes!$B:$B,[1]StuntDes!$E:$E)),0)</f>
        <v>2</v>
      </c>
    </row>
    <row r="2769" customFormat="1" spans="1:20">
      <c r="A2769">
        <v>90129</v>
      </c>
      <c r="B2769">
        <v>1</v>
      </c>
      <c r="C2769" t="s">
        <v>508</v>
      </c>
      <c r="D2769" t="s">
        <v>214</v>
      </c>
      <c r="E2769" t="s">
        <v>462</v>
      </c>
      <c r="H2769">
        <v>1000</v>
      </c>
      <c r="J2769">
        <v>1</v>
      </c>
      <c r="K2769" t="str" cm="1">
        <f t="array" ref="K2769">IFERROR(_xlfn.SWITCH(L2769,2,_xlfn.XLOOKUP(C2769,[1]ModifierDes!$B:$B,[1]ModifierDes!$C:$C),3,_xlfn.XLOOKUP(C2769,[1]StuntDes!$B:$B,[1]StuntDes!$C:$C)),"")</f>
        <v/>
      </c>
      <c r="L2769">
        <f t="shared" si="196"/>
        <v>1</v>
      </c>
      <c r="M2769" s="10" t="str">
        <f>IFERROR(_xlfn.XLOOKUP(C2769,[1]StuntDes!$B:$B,[1]StuntDes!$A:$A),"")</f>
        <v/>
      </c>
      <c r="N2769" s="10" t="str">
        <f>IFERROR(_xlfn.XLOOKUP(C2769,[1]ModifierDes!$B:$B,[1]ModifierDes!$A:$A),"")</f>
        <v/>
      </c>
      <c r="O2769" s="10" t="str">
        <f>IFERROR(_xlfn.XLOOKUP(C2769,[1]AttributeName!$C:$C,[1]AttributeName!$B:$B),"")</f>
        <v/>
      </c>
      <c r="P2769" s="10"/>
      <c r="Q2769">
        <v>0</v>
      </c>
      <c r="R2769">
        <v>0</v>
      </c>
      <c r="S2769" cm="1">
        <f t="array" ref="S2769">IFERROR(_xlfn.SWITCH(L2769,1,_xlfn.XLOOKUP(O2769,[1]AttributeName!$B:$B,[1]AttributeName!$D:$D),2,_xlfn.XLOOKUP(C2769,[1]ModifierDes!$B:$B,[1]ModifierDes!$D:$D),3,_xlfn.XLOOKUP(C2769,[1]StuntDes!$B:$B,[1]StuntDes!$D:$D)),0)</f>
        <v>0</v>
      </c>
      <c r="T2769" cm="1">
        <f t="array" ref="T2769">IFERROR(_xlfn.SWITCH(L2769,1,_xlfn.XLOOKUP(O2769,[1]AttributeName!$B:$B,[1]AttributeName!$E:$E),2,_xlfn.XLOOKUP(C2769,[1]ModifierDes!$B:$B,[1]ModifierDes!$E:$E),3,_xlfn.XLOOKUP(C2769,[1]StuntDes!$B:$B,[1]StuntDes!$E:$E)),0)</f>
        <v>0</v>
      </c>
    </row>
    <row r="2770" customFormat="1" spans="1:20">
      <c r="A2770">
        <v>90130</v>
      </c>
      <c r="B2770">
        <v>1</v>
      </c>
      <c r="C2770" t="s">
        <v>451</v>
      </c>
      <c r="D2770" t="s">
        <v>214</v>
      </c>
      <c r="E2770" t="s">
        <v>462</v>
      </c>
      <c r="H2770">
        <v>1000</v>
      </c>
      <c r="J2770">
        <v>1</v>
      </c>
      <c r="K2770" t="str" cm="1">
        <f t="array" ref="K2770">IFERROR(_xlfn.SWITCH(L2770,2,_xlfn.XLOOKUP(C2770,[1]ModifierDes!$B:$B,[1]ModifierDes!$C:$C),3,_xlfn.XLOOKUP(C2770,[1]StuntDes!$B:$B,[1]StuntDes!$C:$C)),"")</f>
        <v>毁灭注能层数上限增加{0}</v>
      </c>
      <c r="L2770">
        <f t="shared" si="196"/>
        <v>2</v>
      </c>
      <c r="M2770" s="10" t="str">
        <f>IFERROR(_xlfn.XLOOKUP(C2770,[1]StuntDes!$B:$B,[1]StuntDes!$A:$A),"")</f>
        <v/>
      </c>
      <c r="N2770" s="10">
        <f>IFERROR(_xlfn.XLOOKUP(C2770,[1]ModifierDes!$B:$B,[1]ModifierDes!$A:$A),"")</f>
        <v>10149</v>
      </c>
      <c r="O2770" s="10" t="str">
        <f>IFERROR(_xlfn.XLOOKUP(C2770,[1]AttributeName!$C:$C,[1]AttributeName!$B:$B),"")</f>
        <v/>
      </c>
      <c r="P2770" s="10"/>
      <c r="Q2770">
        <v>1</v>
      </c>
      <c r="R2770">
        <v>1</v>
      </c>
      <c r="S2770" cm="1">
        <f t="array" ref="S2770">IFERROR(_xlfn.SWITCH(L2770,1,_xlfn.XLOOKUP(O2770,[1]AttributeName!$B:$B,[1]AttributeName!$D:$D),2,_xlfn.XLOOKUP(C2770,[1]ModifierDes!$B:$B,[1]ModifierDes!$D:$D),3,_xlfn.XLOOKUP(C2770,[1]StuntDes!$B:$B,[1]StuntDes!$D:$D)),0)</f>
        <v>0</v>
      </c>
      <c r="T2770" cm="1">
        <f t="array" ref="T2770">IFERROR(_xlfn.SWITCH(L2770,1,_xlfn.XLOOKUP(O2770,[1]AttributeName!$B:$B,[1]AttributeName!$E:$E),2,_xlfn.XLOOKUP(C2770,[1]ModifierDes!$B:$B,[1]ModifierDes!$E:$E),3,_xlfn.XLOOKUP(C2770,[1]StuntDes!$B:$B,[1]StuntDes!$E:$E)),0)</f>
        <v>0</v>
      </c>
    </row>
    <row r="2771" customFormat="1" spans="1:20">
      <c r="A2771">
        <v>90131</v>
      </c>
      <c r="B2771">
        <v>1</v>
      </c>
      <c r="C2771" t="s">
        <v>486</v>
      </c>
      <c r="D2771" t="s">
        <v>214</v>
      </c>
      <c r="E2771" t="s">
        <v>462</v>
      </c>
      <c r="H2771">
        <v>1000</v>
      </c>
      <c r="J2771">
        <v>1</v>
      </c>
      <c r="K2771" t="str" cm="1">
        <f t="array" ref="K2771">IFERROR(_xlfn.SWITCH(L2771,2,_xlfn.XLOOKUP(C2771,[1]ModifierDes!$B:$B,[1]ModifierDes!$C:$C),3,_xlfn.XLOOKUP(C2771,[1]StuntDes!$B:$B,[1]StuntDes!$C:$C)),"")</f>
        <v>法术技能等级增加{0}</v>
      </c>
      <c r="L2771">
        <f t="shared" si="196"/>
        <v>2</v>
      </c>
      <c r="M2771" s="10" t="str">
        <f>IFERROR(_xlfn.XLOOKUP(C2771,[1]StuntDes!$B:$B,[1]StuntDes!$A:$A),"")</f>
        <v/>
      </c>
      <c r="N2771" s="10">
        <f>IFERROR(_xlfn.XLOOKUP(C2771,[1]ModifierDes!$B:$B,[1]ModifierDes!$A:$A),"")</f>
        <v>10162</v>
      </c>
      <c r="O2771" s="10" t="str">
        <f>IFERROR(_xlfn.XLOOKUP(C2771,[1]AttributeName!$C:$C,[1]AttributeName!$B:$B),"")</f>
        <v/>
      </c>
      <c r="P2771" s="10"/>
      <c r="Q2771">
        <v>1</v>
      </c>
      <c r="R2771">
        <v>2</v>
      </c>
      <c r="S2771" cm="1">
        <f t="array" ref="S2771">IFERROR(_xlfn.SWITCH(L2771,1,_xlfn.XLOOKUP(O2771,[1]AttributeName!$B:$B,[1]AttributeName!$D:$D),2,_xlfn.XLOOKUP(C2771,[1]ModifierDes!$B:$B,[1]ModifierDes!$D:$D),3,_xlfn.XLOOKUP(C2771,[1]StuntDes!$B:$B,[1]StuntDes!$D:$D)),0)</f>
        <v>0</v>
      </c>
      <c r="T2771" cm="1">
        <f t="array" ref="T2771">IFERROR(_xlfn.SWITCH(L2771,1,_xlfn.XLOOKUP(O2771,[1]AttributeName!$B:$B,[1]AttributeName!$E:$E),2,_xlfn.XLOOKUP(C2771,[1]ModifierDes!$B:$B,[1]ModifierDes!$E:$E),3,_xlfn.XLOOKUP(C2771,[1]StuntDes!$B:$B,[1]StuntDes!$E:$E)),0)</f>
        <v>0</v>
      </c>
    </row>
    <row r="2772" customFormat="1" spans="1:20">
      <c r="A2772">
        <v>90132</v>
      </c>
      <c r="B2772">
        <v>1</v>
      </c>
      <c r="C2772" t="s">
        <v>508</v>
      </c>
      <c r="D2772" t="s">
        <v>214</v>
      </c>
      <c r="E2772" t="s">
        <v>462</v>
      </c>
      <c r="H2772">
        <v>1000</v>
      </c>
      <c r="J2772">
        <v>1</v>
      </c>
      <c r="K2772" t="str" cm="1">
        <f t="array" ref="K2772">IFERROR(_xlfn.SWITCH(L2772,2,_xlfn.XLOOKUP(C2772,[1]ModifierDes!$B:$B,[1]ModifierDes!$C:$C),3,_xlfn.XLOOKUP(C2772,[1]StuntDes!$B:$B,[1]StuntDes!$C:$C)),"")</f>
        <v/>
      </c>
      <c r="L2772">
        <f t="shared" si="196"/>
        <v>1</v>
      </c>
      <c r="M2772" s="10" t="str">
        <f>IFERROR(_xlfn.XLOOKUP(C2772,[1]StuntDes!$B:$B,[1]StuntDes!$A:$A),"")</f>
        <v/>
      </c>
      <c r="N2772" s="10" t="str">
        <f>IFERROR(_xlfn.XLOOKUP(C2772,[1]ModifierDes!$B:$B,[1]ModifierDes!$A:$A),"")</f>
        <v/>
      </c>
      <c r="O2772" s="10" t="str">
        <f>IFERROR(_xlfn.XLOOKUP(C2772,[1]AttributeName!$C:$C,[1]AttributeName!$B:$B),"")</f>
        <v/>
      </c>
      <c r="P2772" s="10"/>
      <c r="Q2772">
        <v>0</v>
      </c>
      <c r="R2772">
        <v>0</v>
      </c>
      <c r="S2772" cm="1">
        <f t="array" ref="S2772">IFERROR(_xlfn.SWITCH(L2772,1,_xlfn.XLOOKUP(O2772,[1]AttributeName!$B:$B,[1]AttributeName!$D:$D),2,_xlfn.XLOOKUP(C2772,[1]ModifierDes!$B:$B,[1]ModifierDes!$D:$D),3,_xlfn.XLOOKUP(C2772,[1]StuntDes!$B:$B,[1]StuntDes!$D:$D)),0)</f>
        <v>0</v>
      </c>
      <c r="T2772" cm="1">
        <f t="array" ref="T2772">IFERROR(_xlfn.SWITCH(L2772,1,_xlfn.XLOOKUP(O2772,[1]AttributeName!$B:$B,[1]AttributeName!$E:$E),2,_xlfn.XLOOKUP(C2772,[1]ModifierDes!$B:$B,[1]ModifierDes!$E:$E),3,_xlfn.XLOOKUP(C2772,[1]StuntDes!$B:$B,[1]StuntDes!$E:$E)),0)</f>
        <v>0</v>
      </c>
    </row>
    <row r="2773" customFormat="1" spans="1:20">
      <c r="A2773">
        <v>90133</v>
      </c>
      <c r="B2773">
        <v>1</v>
      </c>
      <c r="C2773" t="s">
        <v>395</v>
      </c>
      <c r="D2773" t="s">
        <v>217</v>
      </c>
      <c r="E2773" t="s">
        <v>462</v>
      </c>
      <c r="H2773">
        <v>1000</v>
      </c>
      <c r="J2773">
        <v>1</v>
      </c>
      <c r="K2773" t="str" cm="1">
        <f t="array" ref="K2773">IFERROR(_xlfn.SWITCH(L2773,2,_xlfn.XLOOKUP(C2773,[1]ModifierDes!$B:$B,[1]ModifierDes!$C:$C),3,_xlfn.XLOOKUP(C2773,[1]StuntDes!$B:$B,[1]StuntDes!$C:$C)),"")</f>
        <v/>
      </c>
      <c r="L2773">
        <f t="shared" si="196"/>
        <v>1</v>
      </c>
      <c r="M2773" s="10" t="str">
        <f>IFERROR(_xlfn.XLOOKUP(C2773,[1]StuntDes!$B:$B,[1]StuntDes!$A:$A),"")</f>
        <v/>
      </c>
      <c r="N2773" s="10" t="str">
        <f>IFERROR(_xlfn.XLOOKUP(C2773,[1]ModifierDes!$B:$B,[1]ModifierDes!$A:$A),"")</f>
        <v/>
      </c>
      <c r="O2773" s="10">
        <f>IFERROR(_xlfn.XLOOKUP(C2773,[1]AttributeName!$C:$C,[1]AttributeName!$B:$B),"")</f>
        <v>10502</v>
      </c>
      <c r="P2773" s="10"/>
      <c r="Q2773">
        <v>0.2</v>
      </c>
      <c r="R2773">
        <v>0.4</v>
      </c>
      <c r="S2773" cm="1">
        <f t="array" ref="S2773">IFERROR(_xlfn.SWITCH(L2773,1,_xlfn.XLOOKUP(O2773,[1]AttributeName!$B:$B,[1]AttributeName!$D:$D),2,_xlfn.XLOOKUP(C2773,[1]ModifierDes!$B:$B,[1]ModifierDes!$D:$D),3,_xlfn.XLOOKUP(C2773,[1]StuntDes!$B:$B,[1]StuntDes!$D:$D)),0)</f>
        <v>2</v>
      </c>
      <c r="T2773" cm="1">
        <f t="array" ref="T2773">IFERROR(_xlfn.SWITCH(L2773,1,_xlfn.XLOOKUP(O2773,[1]AttributeName!$B:$B,[1]AttributeName!$E:$E),2,_xlfn.XLOOKUP(C2773,[1]ModifierDes!$B:$B,[1]ModifierDes!$E:$E),3,_xlfn.XLOOKUP(C2773,[1]StuntDes!$B:$B,[1]StuntDes!$E:$E)),0)</f>
        <v>2</v>
      </c>
    </row>
    <row r="2774" customFormat="1" spans="1:20">
      <c r="A2774">
        <v>90134</v>
      </c>
      <c r="B2774">
        <v>1</v>
      </c>
      <c r="C2774" t="s">
        <v>445</v>
      </c>
      <c r="D2774" t="s">
        <v>217</v>
      </c>
      <c r="E2774" t="s">
        <v>462</v>
      </c>
      <c r="H2774">
        <v>1000</v>
      </c>
      <c r="J2774">
        <v>1</v>
      </c>
      <c r="K2774" t="str" cm="1">
        <f t="array" ref="K2774">IFERROR(_xlfn.SWITCH(L2774,2,_xlfn.XLOOKUP(C2774,[1]ModifierDes!$B:$B,[1]ModifierDes!$C:$C),3,_xlfn.XLOOKUP(C2774,[1]StuntDes!$B:$B,[1]StuntDes!$C:$C)),"")</f>
        <v/>
      </c>
      <c r="L2774">
        <f t="shared" si="196"/>
        <v>1</v>
      </c>
      <c r="M2774" s="10" t="str">
        <f>IFERROR(_xlfn.XLOOKUP(C2774,[1]StuntDes!$B:$B,[1]StuntDes!$A:$A),"")</f>
        <v/>
      </c>
      <c r="N2774" s="10" t="str">
        <f>IFERROR(_xlfn.XLOOKUP(C2774,[1]ModifierDes!$B:$B,[1]ModifierDes!$A:$A),"")</f>
        <v/>
      </c>
      <c r="O2774" s="10">
        <f>IFERROR(_xlfn.XLOOKUP(C2774,[1]AttributeName!$C:$C,[1]AttributeName!$B:$B),"")</f>
        <v>10305</v>
      </c>
      <c r="P2774" s="10"/>
      <c r="Q2774">
        <v>0.3</v>
      </c>
      <c r="R2774">
        <v>0.5</v>
      </c>
      <c r="S2774" cm="1">
        <f t="array" ref="S2774">IFERROR(_xlfn.SWITCH(L2774,1,_xlfn.XLOOKUP(O2774,[1]AttributeName!$B:$B,[1]AttributeName!$D:$D),2,_xlfn.XLOOKUP(C2774,[1]ModifierDes!$B:$B,[1]ModifierDes!$D:$D),3,_xlfn.XLOOKUP(C2774,[1]StuntDes!$B:$B,[1]StuntDes!$D:$D)),0)</f>
        <v>2</v>
      </c>
      <c r="T2774" cm="1">
        <f t="array" ref="T2774">IFERROR(_xlfn.SWITCH(L2774,1,_xlfn.XLOOKUP(O2774,[1]AttributeName!$B:$B,[1]AttributeName!$E:$E),2,_xlfn.XLOOKUP(C2774,[1]ModifierDes!$B:$B,[1]ModifierDes!$E:$E),3,_xlfn.XLOOKUP(C2774,[1]StuntDes!$B:$B,[1]StuntDes!$E:$E)),0)</f>
        <v>2</v>
      </c>
    </row>
    <row r="2775" customFormat="1" spans="1:20">
      <c r="A2775">
        <v>90135</v>
      </c>
      <c r="B2775">
        <v>1</v>
      </c>
      <c r="C2775" t="s">
        <v>508</v>
      </c>
      <c r="D2775" t="s">
        <v>217</v>
      </c>
      <c r="E2775" t="s">
        <v>462</v>
      </c>
      <c r="H2775">
        <v>1000</v>
      </c>
      <c r="J2775">
        <v>1</v>
      </c>
      <c r="K2775" t="str" cm="1">
        <f t="array" ref="K2775">IFERROR(_xlfn.SWITCH(L2775,2,_xlfn.XLOOKUP(C2775,[1]ModifierDes!$B:$B,[1]ModifierDes!$C:$C),3,_xlfn.XLOOKUP(C2775,[1]StuntDes!$B:$B,[1]StuntDes!$C:$C)),"")</f>
        <v/>
      </c>
      <c r="L2775">
        <f t="shared" si="196"/>
        <v>1</v>
      </c>
      <c r="M2775" s="10" t="str">
        <f>IFERROR(_xlfn.XLOOKUP(C2775,[1]StuntDes!$B:$B,[1]StuntDes!$A:$A),"")</f>
        <v/>
      </c>
      <c r="N2775" s="10" t="str">
        <f>IFERROR(_xlfn.XLOOKUP(C2775,[1]ModifierDes!$B:$B,[1]ModifierDes!$A:$A),"")</f>
        <v/>
      </c>
      <c r="O2775" s="10" t="str">
        <f>IFERROR(_xlfn.XLOOKUP(C2775,[1]AttributeName!$C:$C,[1]AttributeName!$B:$B),"")</f>
        <v/>
      </c>
      <c r="P2775" s="10"/>
      <c r="Q2775">
        <v>0</v>
      </c>
      <c r="R2775">
        <v>0</v>
      </c>
      <c r="S2775" cm="1">
        <f t="array" ref="S2775">IFERROR(_xlfn.SWITCH(L2775,1,_xlfn.XLOOKUP(O2775,[1]AttributeName!$B:$B,[1]AttributeName!$D:$D),2,_xlfn.XLOOKUP(C2775,[1]ModifierDes!$B:$B,[1]ModifierDes!$D:$D),3,_xlfn.XLOOKUP(C2775,[1]StuntDes!$B:$B,[1]StuntDes!$D:$D)),0)</f>
        <v>0</v>
      </c>
      <c r="T2775" cm="1">
        <f t="array" ref="T2775">IFERROR(_xlfn.SWITCH(L2775,1,_xlfn.XLOOKUP(O2775,[1]AttributeName!$B:$B,[1]AttributeName!$E:$E),2,_xlfn.XLOOKUP(C2775,[1]ModifierDes!$B:$B,[1]ModifierDes!$E:$E),3,_xlfn.XLOOKUP(C2775,[1]StuntDes!$B:$B,[1]StuntDes!$E:$E)),0)</f>
        <v>0</v>
      </c>
    </row>
    <row r="2776" customFormat="1" spans="1:20">
      <c r="A2776">
        <v>90136</v>
      </c>
      <c r="B2776">
        <v>1</v>
      </c>
      <c r="C2776" t="s">
        <v>469</v>
      </c>
      <c r="D2776" t="s">
        <v>217</v>
      </c>
      <c r="E2776" t="s">
        <v>462</v>
      </c>
      <c r="H2776">
        <v>1000</v>
      </c>
      <c r="J2776">
        <v>1</v>
      </c>
      <c r="K2776" t="str" cm="1">
        <f t="array" ref="K2776">IFERROR(_xlfn.SWITCH(L2776,2,_xlfn.XLOOKUP(C2776,[1]ModifierDes!$B:$B,[1]ModifierDes!$C:$C),3,_xlfn.XLOOKUP(C2776,[1]StuntDes!$B:$B,[1]StuntDes!$C:$C)),"")</f>
        <v>物理伤害转冰冷伤害增加{0}</v>
      </c>
      <c r="L2776">
        <f t="shared" si="196"/>
        <v>2</v>
      </c>
      <c r="M2776" s="10" t="str">
        <f>IFERROR(_xlfn.XLOOKUP(C2776,[1]StuntDes!$B:$B,[1]StuntDes!$A:$A),"")</f>
        <v/>
      </c>
      <c r="N2776" s="10">
        <f>IFERROR(_xlfn.XLOOKUP(C2776,[1]ModifierDes!$B:$B,[1]ModifierDes!$A:$A),"")</f>
        <v>10070</v>
      </c>
      <c r="O2776" s="10" t="str">
        <f>IFERROR(_xlfn.XLOOKUP(C2776,[1]AttributeName!$C:$C,[1]AttributeName!$B:$B),"")</f>
        <v/>
      </c>
      <c r="P2776" s="10"/>
      <c r="Q2776">
        <v>1</v>
      </c>
      <c r="R2776">
        <v>1</v>
      </c>
      <c r="S2776" cm="1">
        <f t="array" ref="S2776">IFERROR(_xlfn.SWITCH(L2776,1,_xlfn.XLOOKUP(O2776,[1]AttributeName!$B:$B,[1]AttributeName!$D:$D),2,_xlfn.XLOOKUP(C2776,[1]ModifierDes!$B:$B,[1]ModifierDes!$D:$D),3,_xlfn.XLOOKUP(C2776,[1]StuntDes!$B:$B,[1]StuntDes!$D:$D)),0)</f>
        <v>2</v>
      </c>
      <c r="T2776" cm="1">
        <f t="array" ref="T2776">IFERROR(_xlfn.SWITCH(L2776,1,_xlfn.XLOOKUP(O2776,[1]AttributeName!$B:$B,[1]AttributeName!$E:$E),2,_xlfn.XLOOKUP(C2776,[1]ModifierDes!$B:$B,[1]ModifierDes!$E:$E),3,_xlfn.XLOOKUP(C2776,[1]StuntDes!$B:$B,[1]StuntDes!$E:$E)),0)</f>
        <v>2</v>
      </c>
    </row>
    <row r="2777" customFormat="1" spans="1:20">
      <c r="A2777">
        <v>90137</v>
      </c>
      <c r="B2777">
        <v>1</v>
      </c>
      <c r="C2777" t="s">
        <v>475</v>
      </c>
      <c r="D2777" t="s">
        <v>217</v>
      </c>
      <c r="E2777" t="s">
        <v>462</v>
      </c>
      <c r="H2777">
        <v>1000</v>
      </c>
      <c r="J2777">
        <v>1</v>
      </c>
      <c r="K2777" t="str" cm="1">
        <f t="array" ref="K2777">IFERROR(_xlfn.SWITCH(L2777,2,_xlfn.XLOOKUP(C2777,[1]ModifierDes!$B:$B,[1]ModifierDes!$C:$C),3,_xlfn.XLOOKUP(C2777,[1]StuntDes!$B:$B,[1]StuntDes!$C:$C)),"")</f>
        <v>冻结效果额外提高{0}</v>
      </c>
      <c r="L2777">
        <f t="shared" si="196"/>
        <v>2</v>
      </c>
      <c r="M2777" s="10" t="str">
        <f>IFERROR(_xlfn.XLOOKUP(C2777,[1]StuntDes!$B:$B,[1]StuntDes!$A:$A),"")</f>
        <v/>
      </c>
      <c r="N2777" s="10">
        <f>IFERROR(_xlfn.XLOOKUP(C2777,[1]ModifierDes!$B:$B,[1]ModifierDes!$A:$A),"")</f>
        <v>10033</v>
      </c>
      <c r="O2777" s="10" t="str">
        <f>IFERROR(_xlfn.XLOOKUP(C2777,[1]AttributeName!$C:$C,[1]AttributeName!$B:$B),"")</f>
        <v/>
      </c>
      <c r="P2777" s="10"/>
      <c r="Q2777">
        <v>0.3</v>
      </c>
      <c r="R2777">
        <v>0.5</v>
      </c>
      <c r="S2777" cm="1">
        <f t="array" ref="S2777">IFERROR(_xlfn.SWITCH(L2777,1,_xlfn.XLOOKUP(O2777,[1]AttributeName!$B:$B,[1]AttributeName!$D:$D),2,_xlfn.XLOOKUP(C2777,[1]ModifierDes!$B:$B,[1]ModifierDes!$D:$D),3,_xlfn.XLOOKUP(C2777,[1]StuntDes!$B:$B,[1]StuntDes!$D:$D)),0)</f>
        <v>2</v>
      </c>
      <c r="T2777" cm="1">
        <f t="array" ref="T2777">IFERROR(_xlfn.SWITCH(L2777,1,_xlfn.XLOOKUP(O2777,[1]AttributeName!$B:$B,[1]AttributeName!$E:$E),2,_xlfn.XLOOKUP(C2777,[1]ModifierDes!$B:$B,[1]ModifierDes!$E:$E),3,_xlfn.XLOOKUP(C2777,[1]StuntDes!$B:$B,[1]StuntDes!$E:$E)),0)</f>
        <v>2</v>
      </c>
    </row>
    <row r="2778" customFormat="1" spans="1:20">
      <c r="A2778">
        <v>90138</v>
      </c>
      <c r="B2778">
        <v>1</v>
      </c>
      <c r="C2778" t="s">
        <v>408</v>
      </c>
      <c r="D2778" t="s">
        <v>217</v>
      </c>
      <c r="E2778" t="s">
        <v>462</v>
      </c>
      <c r="H2778">
        <v>1000</v>
      </c>
      <c r="J2778">
        <v>1</v>
      </c>
      <c r="K2778" t="str" cm="1">
        <f t="array" ref="K2778">IFERROR(_xlfn.SWITCH(L2778,2,_xlfn.XLOOKUP(C2778,[1]ModifierDes!$B:$B,[1]ModifierDes!$C:$C),3,_xlfn.XLOOKUP(C2778,[1]StuntDes!$B:$B,[1]StuntDes!$C:$C)),"")</f>
        <v>冰冷技能等级增加{0}</v>
      </c>
      <c r="L2778">
        <f t="shared" si="196"/>
        <v>2</v>
      </c>
      <c r="M2778" s="10" t="str">
        <f>IFERROR(_xlfn.XLOOKUP(C2778,[1]StuntDes!$B:$B,[1]StuntDes!$A:$A),"")</f>
        <v/>
      </c>
      <c r="N2778" s="10">
        <f>IFERROR(_xlfn.XLOOKUP(C2778,[1]ModifierDes!$B:$B,[1]ModifierDes!$A:$A),"")</f>
        <v>10158</v>
      </c>
      <c r="O2778" s="10" t="str">
        <f>IFERROR(_xlfn.XLOOKUP(C2778,[1]AttributeName!$C:$C,[1]AttributeName!$B:$B),"")</f>
        <v/>
      </c>
      <c r="P2778" s="10"/>
      <c r="Q2778">
        <v>1</v>
      </c>
      <c r="R2778">
        <v>1</v>
      </c>
      <c r="S2778" cm="1">
        <f t="array" ref="S2778">IFERROR(_xlfn.SWITCH(L2778,1,_xlfn.XLOOKUP(O2778,[1]AttributeName!$B:$B,[1]AttributeName!$D:$D),2,_xlfn.XLOOKUP(C2778,[1]ModifierDes!$B:$B,[1]ModifierDes!$D:$D),3,_xlfn.XLOOKUP(C2778,[1]StuntDes!$B:$B,[1]StuntDes!$D:$D)),0)</f>
        <v>0</v>
      </c>
      <c r="T2778" cm="1">
        <f t="array" ref="T2778">IFERROR(_xlfn.SWITCH(L2778,1,_xlfn.XLOOKUP(O2778,[1]AttributeName!$B:$B,[1]AttributeName!$E:$E),2,_xlfn.XLOOKUP(C2778,[1]ModifierDes!$B:$B,[1]ModifierDes!$E:$E),3,_xlfn.XLOOKUP(C2778,[1]StuntDes!$B:$B,[1]StuntDes!$E:$E)),0)</f>
        <v>0</v>
      </c>
    </row>
    <row r="2779" customFormat="1" spans="1:20">
      <c r="A2779">
        <v>90139</v>
      </c>
      <c r="B2779">
        <v>1</v>
      </c>
      <c r="C2779" t="s">
        <v>413</v>
      </c>
      <c r="D2779" t="s">
        <v>197</v>
      </c>
      <c r="E2779" t="s">
        <v>462</v>
      </c>
      <c r="H2779">
        <v>1000</v>
      </c>
      <c r="J2779">
        <v>1</v>
      </c>
      <c r="K2779" t="str" cm="1">
        <f t="array" ref="K2779">IFERROR(_xlfn.SWITCH(L2779,2,_xlfn.XLOOKUP(C2779,[1]ModifierDes!$B:$B,[1]ModifierDes!$C:$C),3,_xlfn.XLOOKUP(C2779,[1]StuntDes!$B:$B,[1]StuntDes!$C:$C)),"")</f>
        <v>攻击速度提高{0}</v>
      </c>
      <c r="L2779">
        <f t="shared" si="196"/>
        <v>2</v>
      </c>
      <c r="M2779" s="10" t="str">
        <f>IFERROR(_xlfn.XLOOKUP(C2779,[1]StuntDes!$B:$B,[1]StuntDes!$A:$A),"")</f>
        <v/>
      </c>
      <c r="N2779" s="10">
        <f>IFERROR(_xlfn.XLOOKUP(C2779,[1]ModifierDes!$B:$B,[1]ModifierDes!$A:$A),"")</f>
        <v>10031</v>
      </c>
      <c r="O2779" s="10" t="str">
        <f>IFERROR(_xlfn.XLOOKUP(C2779,[1]AttributeName!$C:$C,[1]AttributeName!$B:$B),"")</f>
        <v/>
      </c>
      <c r="P2779" s="10"/>
      <c r="Q2779">
        <v>0.2</v>
      </c>
      <c r="R2779">
        <v>0.4</v>
      </c>
      <c r="S2779" cm="1">
        <f t="array" ref="S2779">IFERROR(_xlfn.SWITCH(L2779,1,_xlfn.XLOOKUP(O2779,[1]AttributeName!$B:$B,[1]AttributeName!$D:$D),2,_xlfn.XLOOKUP(C2779,[1]ModifierDes!$B:$B,[1]ModifierDes!$D:$D),3,_xlfn.XLOOKUP(C2779,[1]StuntDes!$B:$B,[1]StuntDes!$D:$D)),0)</f>
        <v>2</v>
      </c>
      <c r="T2779" cm="1">
        <f t="array" ref="T2779">IFERROR(_xlfn.SWITCH(L2779,1,_xlfn.XLOOKUP(O2779,[1]AttributeName!$B:$B,[1]AttributeName!$E:$E),2,_xlfn.XLOOKUP(C2779,[1]ModifierDes!$B:$B,[1]ModifierDes!$E:$E),3,_xlfn.XLOOKUP(C2779,[1]StuntDes!$B:$B,[1]StuntDes!$E:$E)),0)</f>
        <v>2</v>
      </c>
    </row>
    <row r="2780" customFormat="1" spans="1:20">
      <c r="A2780">
        <v>90140</v>
      </c>
      <c r="B2780">
        <v>1</v>
      </c>
      <c r="C2780" t="s">
        <v>443</v>
      </c>
      <c r="D2780" t="s">
        <v>197</v>
      </c>
      <c r="E2780" t="s">
        <v>462</v>
      </c>
      <c r="H2780">
        <v>1000</v>
      </c>
      <c r="J2780">
        <v>1</v>
      </c>
      <c r="K2780" t="str" cm="1">
        <f t="array" ref="K2780">IFERROR(_xlfn.SWITCH(L2780,2,_xlfn.XLOOKUP(C2780,[1]ModifierDes!$B:$B,[1]ModifierDes!$C:$C),3,_xlfn.XLOOKUP(C2780,[1]StuntDes!$B:$B,[1]StuntDes!$C:$C)),"")</f>
        <v>施法速度提高{0}</v>
      </c>
      <c r="L2780">
        <f t="shared" si="196"/>
        <v>2</v>
      </c>
      <c r="M2780" s="10" t="str">
        <f>IFERROR(_xlfn.XLOOKUP(C2780,[1]StuntDes!$B:$B,[1]StuntDes!$A:$A),"")</f>
        <v/>
      </c>
      <c r="N2780" s="10">
        <f>IFERROR(_xlfn.XLOOKUP(C2780,[1]ModifierDes!$B:$B,[1]ModifierDes!$A:$A),"")</f>
        <v>10050</v>
      </c>
      <c r="O2780" s="10" t="str">
        <f>IFERROR(_xlfn.XLOOKUP(C2780,[1]AttributeName!$C:$C,[1]AttributeName!$B:$B),"")</f>
        <v/>
      </c>
      <c r="P2780" s="10"/>
      <c r="Q2780">
        <v>0.2</v>
      </c>
      <c r="R2780">
        <v>0.4</v>
      </c>
      <c r="S2780" cm="1">
        <f t="array" ref="S2780">IFERROR(_xlfn.SWITCH(L2780,1,_xlfn.XLOOKUP(O2780,[1]AttributeName!$B:$B,[1]AttributeName!$D:$D),2,_xlfn.XLOOKUP(C2780,[1]ModifierDes!$B:$B,[1]ModifierDes!$D:$D),3,_xlfn.XLOOKUP(C2780,[1]StuntDes!$B:$B,[1]StuntDes!$D:$D)),0)</f>
        <v>2</v>
      </c>
      <c r="T2780" cm="1">
        <f t="array" ref="T2780">IFERROR(_xlfn.SWITCH(L2780,1,_xlfn.XLOOKUP(O2780,[1]AttributeName!$B:$B,[1]AttributeName!$E:$E),2,_xlfn.XLOOKUP(C2780,[1]ModifierDes!$B:$B,[1]ModifierDes!$E:$E),3,_xlfn.XLOOKUP(C2780,[1]StuntDes!$B:$B,[1]StuntDes!$E:$E)),0)</f>
        <v>2</v>
      </c>
    </row>
    <row r="2781" customFormat="1" spans="1:20">
      <c r="A2781">
        <v>90141</v>
      </c>
      <c r="B2781">
        <v>1</v>
      </c>
      <c r="C2781" t="s">
        <v>507</v>
      </c>
      <c r="D2781" t="s">
        <v>197</v>
      </c>
      <c r="E2781" t="s">
        <v>462</v>
      </c>
      <c r="H2781">
        <v>1000</v>
      </c>
      <c r="J2781">
        <v>1</v>
      </c>
      <c r="K2781" t="str" cm="1">
        <f t="array" ref="K2781">IFERROR(_xlfn.SWITCH(L2781,2,_xlfn.XLOOKUP(C2781,[1]ModifierDes!$B:$B,[1]ModifierDes!$C:$C),3,_xlfn.XLOOKUP(C2781,[1]StuntDes!$B:$B,[1]StuntDes!$C:$C)),"")</f>
        <v>物理伤害倍率增加{0}</v>
      </c>
      <c r="L2781">
        <f t="shared" si="196"/>
        <v>2</v>
      </c>
      <c r="M2781" s="10" t="str">
        <f>IFERROR(_xlfn.XLOOKUP(C2781,[1]StuntDes!$B:$B,[1]StuntDes!$A:$A),"")</f>
        <v/>
      </c>
      <c r="N2781" s="10">
        <f>IFERROR(_xlfn.XLOOKUP(C2781,[1]ModifierDes!$B:$B,[1]ModifierDes!$A:$A),"")</f>
        <v>10056</v>
      </c>
      <c r="O2781" s="10" t="str">
        <f>IFERROR(_xlfn.XLOOKUP(C2781,[1]AttributeName!$C:$C,[1]AttributeName!$B:$B),"")</f>
        <v/>
      </c>
      <c r="P2781" s="10"/>
      <c r="Q2781">
        <v>1.1</v>
      </c>
      <c r="R2781">
        <v>2.1</v>
      </c>
      <c r="S2781" cm="1">
        <f t="array" ref="S2781">IFERROR(_xlfn.SWITCH(L2781,1,_xlfn.XLOOKUP(O2781,[1]AttributeName!$B:$B,[1]AttributeName!$D:$D),2,_xlfn.XLOOKUP(C2781,[1]ModifierDes!$B:$B,[1]ModifierDes!$D:$D),3,_xlfn.XLOOKUP(C2781,[1]StuntDes!$B:$B,[1]StuntDes!$D:$D)),0)</f>
        <v>2</v>
      </c>
      <c r="T2781" cm="1">
        <f t="array" ref="T2781">IFERROR(_xlfn.SWITCH(L2781,1,_xlfn.XLOOKUP(O2781,[1]AttributeName!$B:$B,[1]AttributeName!$E:$E),2,_xlfn.XLOOKUP(C2781,[1]ModifierDes!$B:$B,[1]ModifierDes!$E:$E),3,_xlfn.XLOOKUP(C2781,[1]StuntDes!$B:$B,[1]StuntDes!$E:$E)),0)</f>
        <v>2</v>
      </c>
    </row>
    <row r="2782" customFormat="1" spans="1:20">
      <c r="A2782">
        <v>90142</v>
      </c>
      <c r="B2782">
        <v>1</v>
      </c>
      <c r="C2782" t="s">
        <v>520</v>
      </c>
      <c r="D2782" t="s">
        <v>197</v>
      </c>
      <c r="E2782" t="s">
        <v>462</v>
      </c>
      <c r="H2782">
        <v>1000</v>
      </c>
      <c r="J2782">
        <v>1</v>
      </c>
      <c r="K2782" t="str" cm="1">
        <f t="array" ref="K2782">IFERROR(_xlfn.SWITCH(L2782,2,_xlfn.XLOOKUP(C2782,[1]ModifierDes!$B:$B,[1]ModifierDes!$C:$C),3,_xlfn.XLOOKUP(C2782,[1]StuntDes!$B:$B,[1]StuntDes!$C:$C)),"")</f>
        <v>火焰伤害倍率增加{0}</v>
      </c>
      <c r="L2782">
        <f t="shared" si="196"/>
        <v>2</v>
      </c>
      <c r="M2782" s="10" t="str">
        <f>IFERROR(_xlfn.XLOOKUP(C2782,[1]StuntDes!$B:$B,[1]StuntDes!$A:$A),"")</f>
        <v/>
      </c>
      <c r="N2782" s="10">
        <f>IFERROR(_xlfn.XLOOKUP(C2782,[1]ModifierDes!$B:$B,[1]ModifierDes!$A:$A),"")</f>
        <v>10057</v>
      </c>
      <c r="O2782" s="10" t="str">
        <f>IFERROR(_xlfn.XLOOKUP(C2782,[1]AttributeName!$C:$C,[1]AttributeName!$B:$B),"")</f>
        <v/>
      </c>
      <c r="P2782" s="10"/>
      <c r="Q2782">
        <v>1.1</v>
      </c>
      <c r="R2782">
        <v>2.1</v>
      </c>
      <c r="S2782" cm="1">
        <f t="array" ref="S2782">IFERROR(_xlfn.SWITCH(L2782,1,_xlfn.XLOOKUP(O2782,[1]AttributeName!$B:$B,[1]AttributeName!$D:$D),2,_xlfn.XLOOKUP(C2782,[1]ModifierDes!$B:$B,[1]ModifierDes!$D:$D),3,_xlfn.XLOOKUP(C2782,[1]StuntDes!$B:$B,[1]StuntDes!$D:$D)),0)</f>
        <v>2</v>
      </c>
      <c r="T2782" cm="1">
        <f t="array" ref="T2782">IFERROR(_xlfn.SWITCH(L2782,1,_xlfn.XLOOKUP(O2782,[1]AttributeName!$B:$B,[1]AttributeName!$E:$E),2,_xlfn.XLOOKUP(C2782,[1]ModifierDes!$B:$B,[1]ModifierDes!$E:$E),3,_xlfn.XLOOKUP(C2782,[1]StuntDes!$B:$B,[1]StuntDes!$E:$E)),0)</f>
        <v>2</v>
      </c>
    </row>
    <row r="2783" customFormat="1" spans="1:20">
      <c r="A2783">
        <v>90143</v>
      </c>
      <c r="B2783">
        <v>1</v>
      </c>
      <c r="C2783" t="s">
        <v>512</v>
      </c>
      <c r="D2783" t="s">
        <v>197</v>
      </c>
      <c r="E2783" t="s">
        <v>462</v>
      </c>
      <c r="H2783">
        <v>1000</v>
      </c>
      <c r="J2783">
        <v>1</v>
      </c>
      <c r="K2783" t="str" cm="1">
        <f t="array" ref="K2783">IFERROR(_xlfn.SWITCH(L2783,2,_xlfn.XLOOKUP(C2783,[1]ModifierDes!$B:$B,[1]ModifierDes!$C:$C),3,_xlfn.XLOOKUP(C2783,[1]StuntDes!$B:$B,[1]StuntDes!$C:$C)),"")</f>
        <v>冰冷伤害倍率增加{0}</v>
      </c>
      <c r="L2783">
        <f t="shared" si="196"/>
        <v>2</v>
      </c>
      <c r="M2783" s="10" t="str">
        <f>IFERROR(_xlfn.XLOOKUP(C2783,[1]StuntDes!$B:$B,[1]StuntDes!$A:$A),"")</f>
        <v/>
      </c>
      <c r="N2783" s="10">
        <f>IFERROR(_xlfn.XLOOKUP(C2783,[1]ModifierDes!$B:$B,[1]ModifierDes!$A:$A),"")</f>
        <v>10058</v>
      </c>
      <c r="O2783" s="10" t="str">
        <f>IFERROR(_xlfn.XLOOKUP(C2783,[1]AttributeName!$C:$C,[1]AttributeName!$B:$B),"")</f>
        <v/>
      </c>
      <c r="P2783" s="10"/>
      <c r="Q2783">
        <v>1.1</v>
      </c>
      <c r="R2783">
        <v>2.1</v>
      </c>
      <c r="S2783" cm="1">
        <f t="array" ref="S2783">IFERROR(_xlfn.SWITCH(L2783,1,_xlfn.XLOOKUP(O2783,[1]AttributeName!$B:$B,[1]AttributeName!$D:$D),2,_xlfn.XLOOKUP(C2783,[1]ModifierDes!$B:$B,[1]ModifierDes!$D:$D),3,_xlfn.XLOOKUP(C2783,[1]StuntDes!$B:$B,[1]StuntDes!$D:$D)),0)</f>
        <v>2</v>
      </c>
      <c r="T2783" cm="1">
        <f t="array" ref="T2783">IFERROR(_xlfn.SWITCH(L2783,1,_xlfn.XLOOKUP(O2783,[1]AttributeName!$B:$B,[1]AttributeName!$E:$E),2,_xlfn.XLOOKUP(C2783,[1]ModifierDes!$B:$B,[1]ModifierDes!$E:$E),3,_xlfn.XLOOKUP(C2783,[1]StuntDes!$B:$B,[1]StuntDes!$E:$E)),0)</f>
        <v>2</v>
      </c>
    </row>
    <row r="2784" customFormat="1" spans="1:20">
      <c r="A2784">
        <v>90144</v>
      </c>
      <c r="B2784">
        <v>1</v>
      </c>
      <c r="C2784" t="s">
        <v>509</v>
      </c>
      <c r="D2784" t="s">
        <v>197</v>
      </c>
      <c r="E2784" t="s">
        <v>462</v>
      </c>
      <c r="H2784">
        <v>1000</v>
      </c>
      <c r="J2784">
        <v>1</v>
      </c>
      <c r="K2784" t="str" cm="1">
        <f t="array" ref="K2784">IFERROR(_xlfn.SWITCH(L2784,2,_xlfn.XLOOKUP(C2784,[1]ModifierDes!$B:$B,[1]ModifierDes!$C:$C),3,_xlfn.XLOOKUP(C2784,[1]StuntDes!$B:$B,[1]StuntDes!$C:$C)),"")</f>
        <v>闪电伤害倍率增加{0}</v>
      </c>
      <c r="L2784">
        <f t="shared" si="196"/>
        <v>2</v>
      </c>
      <c r="M2784" s="10" t="str">
        <f>IFERROR(_xlfn.XLOOKUP(C2784,[1]StuntDes!$B:$B,[1]StuntDes!$A:$A),"")</f>
        <v/>
      </c>
      <c r="N2784" s="10">
        <f>IFERROR(_xlfn.XLOOKUP(C2784,[1]ModifierDes!$B:$B,[1]ModifierDes!$A:$A),"")</f>
        <v>10059</v>
      </c>
      <c r="O2784" s="10" t="str">
        <f>IFERROR(_xlfn.XLOOKUP(C2784,[1]AttributeName!$C:$C,[1]AttributeName!$B:$B),"")</f>
        <v/>
      </c>
      <c r="P2784" s="10"/>
      <c r="Q2784">
        <v>1.1</v>
      </c>
      <c r="R2784">
        <v>2.1</v>
      </c>
      <c r="S2784" cm="1">
        <f t="array" ref="S2784">IFERROR(_xlfn.SWITCH(L2784,1,_xlfn.XLOOKUP(O2784,[1]AttributeName!$B:$B,[1]AttributeName!$D:$D),2,_xlfn.XLOOKUP(C2784,[1]ModifierDes!$B:$B,[1]ModifierDes!$D:$D),3,_xlfn.XLOOKUP(C2784,[1]StuntDes!$B:$B,[1]StuntDes!$D:$D)),0)</f>
        <v>2</v>
      </c>
      <c r="T2784" cm="1">
        <f t="array" ref="T2784">IFERROR(_xlfn.SWITCH(L2784,1,_xlfn.XLOOKUP(O2784,[1]AttributeName!$B:$B,[1]AttributeName!$E:$E),2,_xlfn.XLOOKUP(C2784,[1]ModifierDes!$B:$B,[1]ModifierDes!$E:$E),3,_xlfn.XLOOKUP(C2784,[1]StuntDes!$B:$B,[1]StuntDes!$E:$E)),0)</f>
        <v>2</v>
      </c>
    </row>
    <row r="2785" customFormat="1" spans="1:20">
      <c r="A2785">
        <v>90145</v>
      </c>
      <c r="B2785">
        <v>1</v>
      </c>
      <c r="C2785" t="s">
        <v>521</v>
      </c>
      <c r="D2785" t="s">
        <v>197</v>
      </c>
      <c r="E2785" t="s">
        <v>462</v>
      </c>
      <c r="H2785">
        <v>1000</v>
      </c>
      <c r="J2785">
        <v>1</v>
      </c>
      <c r="K2785" t="str" cm="1">
        <f t="array" ref="K2785">IFERROR(_xlfn.SWITCH(L2785,2,_xlfn.XLOOKUP(C2785,[1]ModifierDes!$B:$B,[1]ModifierDes!$C:$C),3,_xlfn.XLOOKUP(C2785,[1]StuntDes!$B:$B,[1]StuntDes!$C:$C)),"")</f>
        <v>混沌伤害倍率增加{0}</v>
      </c>
      <c r="L2785">
        <f t="shared" ref="L2785:L2804" si="197">IF(M2785="",IF(N2785="",1,2),3)</f>
        <v>2</v>
      </c>
      <c r="M2785" s="10" t="str">
        <f>IFERROR(_xlfn.XLOOKUP(C2785,[1]StuntDes!$B:$B,[1]StuntDes!$A:$A),"")</f>
        <v/>
      </c>
      <c r="N2785" s="10">
        <f>IFERROR(_xlfn.XLOOKUP(C2785,[1]ModifierDes!$B:$B,[1]ModifierDes!$A:$A),"")</f>
        <v>10052</v>
      </c>
      <c r="O2785" s="10" t="str">
        <f>IFERROR(_xlfn.XLOOKUP(C2785,[1]AttributeName!$C:$C,[1]AttributeName!$B:$B),"")</f>
        <v/>
      </c>
      <c r="P2785" s="10"/>
      <c r="Q2785">
        <v>1.1</v>
      </c>
      <c r="R2785">
        <v>2.1</v>
      </c>
      <c r="S2785" cm="1">
        <f t="array" ref="S2785">IFERROR(_xlfn.SWITCH(L2785,1,_xlfn.XLOOKUP(O2785,[1]AttributeName!$B:$B,[1]AttributeName!$D:$D),2,_xlfn.XLOOKUP(C2785,[1]ModifierDes!$B:$B,[1]ModifierDes!$D:$D),3,_xlfn.XLOOKUP(C2785,[1]StuntDes!$B:$B,[1]StuntDes!$D:$D)),0)</f>
        <v>2</v>
      </c>
      <c r="T2785" cm="1">
        <f t="array" ref="T2785">IFERROR(_xlfn.SWITCH(L2785,1,_xlfn.XLOOKUP(O2785,[1]AttributeName!$B:$B,[1]AttributeName!$E:$E),2,_xlfn.XLOOKUP(C2785,[1]ModifierDes!$B:$B,[1]ModifierDes!$E:$E),3,_xlfn.XLOOKUP(C2785,[1]StuntDes!$B:$B,[1]StuntDes!$E:$E)),0)</f>
        <v>2</v>
      </c>
    </row>
    <row r="2786" customFormat="1" spans="1:20">
      <c r="A2786">
        <v>90146</v>
      </c>
      <c r="B2786">
        <v>1</v>
      </c>
      <c r="C2786" t="s">
        <v>399</v>
      </c>
      <c r="D2786" t="s">
        <v>197</v>
      </c>
      <c r="E2786" t="s">
        <v>462</v>
      </c>
      <c r="H2786">
        <v>1000</v>
      </c>
      <c r="J2786">
        <v>1</v>
      </c>
      <c r="K2786" t="str" cm="1">
        <f t="array" ref="K2786">IFERROR(_xlfn.SWITCH(L2786,2,_xlfn.XLOOKUP(C2786,[1]ModifierDes!$B:$B,[1]ModifierDes!$C:$C),3,_xlfn.XLOOKUP(C2786,[1]StuntDes!$B:$B,[1]StuntDes!$C:$C)),"")</f>
        <v/>
      </c>
      <c r="L2786">
        <f t="shared" si="197"/>
        <v>1</v>
      </c>
      <c r="M2786" s="10" t="str">
        <f>IFERROR(_xlfn.XLOOKUP(C2786,[1]StuntDes!$B:$B,[1]StuntDes!$A:$A),"")</f>
        <v/>
      </c>
      <c r="N2786" s="10" t="str">
        <f>IFERROR(_xlfn.XLOOKUP(C2786,[1]ModifierDes!$B:$B,[1]ModifierDes!$A:$A),"")</f>
        <v/>
      </c>
      <c r="O2786" s="10">
        <f>IFERROR(_xlfn.XLOOKUP(C2786,[1]AttributeName!$C:$C,[1]AttributeName!$B:$B),"")</f>
        <v>10303</v>
      </c>
      <c r="P2786" s="10"/>
      <c r="Q2786">
        <v>1</v>
      </c>
      <c r="R2786">
        <v>1.5</v>
      </c>
      <c r="S2786" cm="1">
        <f t="array" ref="S2786">IFERROR(_xlfn.SWITCH(L2786,1,_xlfn.XLOOKUP(O2786,[1]AttributeName!$B:$B,[1]AttributeName!$D:$D),2,_xlfn.XLOOKUP(C2786,[1]ModifierDes!$B:$B,[1]ModifierDes!$D:$D),3,_xlfn.XLOOKUP(C2786,[1]StuntDes!$B:$B,[1]StuntDes!$D:$D)),0)</f>
        <v>2</v>
      </c>
      <c r="T2786" cm="1">
        <f t="array" ref="T2786">IFERROR(_xlfn.SWITCH(L2786,1,_xlfn.XLOOKUP(O2786,[1]AttributeName!$B:$B,[1]AttributeName!$E:$E),2,_xlfn.XLOOKUP(C2786,[1]ModifierDes!$B:$B,[1]ModifierDes!$E:$E),3,_xlfn.XLOOKUP(C2786,[1]StuntDes!$B:$B,[1]StuntDes!$E:$E)),0)</f>
        <v>2</v>
      </c>
    </row>
    <row r="2787" customFormat="1" spans="1:20">
      <c r="A2787">
        <v>90147</v>
      </c>
      <c r="B2787">
        <v>1</v>
      </c>
      <c r="C2787" t="s">
        <v>444</v>
      </c>
      <c r="D2787" t="s">
        <v>197</v>
      </c>
      <c r="E2787" t="s">
        <v>462</v>
      </c>
      <c r="H2787">
        <v>1000</v>
      </c>
      <c r="J2787">
        <v>1</v>
      </c>
      <c r="K2787" t="str" cm="1">
        <f t="array" ref="K2787">IFERROR(_xlfn.SWITCH(L2787,2,_xlfn.XLOOKUP(C2787,[1]ModifierDes!$B:$B,[1]ModifierDes!$C:$C),3,_xlfn.XLOOKUP(C2787,[1]StuntDes!$B:$B,[1]StuntDes!$C:$C)),"")</f>
        <v/>
      </c>
      <c r="L2787">
        <f t="shared" si="197"/>
        <v>1</v>
      </c>
      <c r="M2787" s="10" t="str">
        <f>IFERROR(_xlfn.XLOOKUP(C2787,[1]StuntDes!$B:$B,[1]StuntDes!$A:$A),"")</f>
        <v/>
      </c>
      <c r="N2787" s="10" t="str">
        <f>IFERROR(_xlfn.XLOOKUP(C2787,[1]ModifierDes!$B:$B,[1]ModifierDes!$A:$A),"")</f>
        <v/>
      </c>
      <c r="O2787" s="10">
        <f>IFERROR(_xlfn.XLOOKUP(C2787,[1]AttributeName!$C:$C,[1]AttributeName!$B:$B),"")</f>
        <v>10304</v>
      </c>
      <c r="P2787" s="10"/>
      <c r="Q2787">
        <v>1</v>
      </c>
      <c r="R2787">
        <v>1.5</v>
      </c>
      <c r="S2787" cm="1">
        <f t="array" ref="S2787">IFERROR(_xlfn.SWITCH(L2787,1,_xlfn.XLOOKUP(O2787,[1]AttributeName!$B:$B,[1]AttributeName!$D:$D),2,_xlfn.XLOOKUP(C2787,[1]ModifierDes!$B:$B,[1]ModifierDes!$D:$D),3,_xlfn.XLOOKUP(C2787,[1]StuntDes!$B:$B,[1]StuntDes!$D:$D)),0)</f>
        <v>2</v>
      </c>
      <c r="T2787" cm="1">
        <f t="array" ref="T2787">IFERROR(_xlfn.SWITCH(L2787,1,_xlfn.XLOOKUP(O2787,[1]AttributeName!$B:$B,[1]AttributeName!$E:$E),2,_xlfn.XLOOKUP(C2787,[1]ModifierDes!$B:$B,[1]ModifierDes!$E:$E),3,_xlfn.XLOOKUP(C2787,[1]StuntDes!$B:$B,[1]StuntDes!$E:$E)),0)</f>
        <v>2</v>
      </c>
    </row>
    <row r="2788" customFormat="1" spans="1:20">
      <c r="A2788">
        <v>90148</v>
      </c>
      <c r="B2788">
        <v>1</v>
      </c>
      <c r="C2788" t="s">
        <v>445</v>
      </c>
      <c r="D2788" t="s">
        <v>197</v>
      </c>
      <c r="E2788" t="s">
        <v>462</v>
      </c>
      <c r="H2788">
        <v>1000</v>
      </c>
      <c r="J2788">
        <v>1</v>
      </c>
      <c r="K2788" t="str" cm="1">
        <f t="array" ref="K2788">IFERROR(_xlfn.SWITCH(L2788,2,_xlfn.XLOOKUP(C2788,[1]ModifierDes!$B:$B,[1]ModifierDes!$C:$C),3,_xlfn.XLOOKUP(C2788,[1]StuntDes!$B:$B,[1]StuntDes!$C:$C)),"")</f>
        <v/>
      </c>
      <c r="L2788">
        <f t="shared" si="197"/>
        <v>1</v>
      </c>
      <c r="M2788" s="10" t="str">
        <f>IFERROR(_xlfn.XLOOKUP(C2788,[1]StuntDes!$B:$B,[1]StuntDes!$A:$A),"")</f>
        <v/>
      </c>
      <c r="N2788" s="10" t="str">
        <f>IFERROR(_xlfn.XLOOKUP(C2788,[1]ModifierDes!$B:$B,[1]ModifierDes!$A:$A),"")</f>
        <v/>
      </c>
      <c r="O2788" s="10">
        <f>IFERROR(_xlfn.XLOOKUP(C2788,[1]AttributeName!$C:$C,[1]AttributeName!$B:$B),"")</f>
        <v>10305</v>
      </c>
      <c r="P2788" s="10"/>
      <c r="Q2788">
        <v>1</v>
      </c>
      <c r="R2788">
        <v>1.5</v>
      </c>
      <c r="S2788" cm="1">
        <f t="array" ref="S2788">IFERROR(_xlfn.SWITCH(L2788,1,_xlfn.XLOOKUP(O2788,[1]AttributeName!$B:$B,[1]AttributeName!$D:$D),2,_xlfn.XLOOKUP(C2788,[1]ModifierDes!$B:$B,[1]ModifierDes!$D:$D),3,_xlfn.XLOOKUP(C2788,[1]StuntDes!$B:$B,[1]StuntDes!$D:$D)),0)</f>
        <v>2</v>
      </c>
      <c r="T2788" cm="1">
        <f t="array" ref="T2788">IFERROR(_xlfn.SWITCH(L2788,1,_xlfn.XLOOKUP(O2788,[1]AttributeName!$B:$B,[1]AttributeName!$E:$E),2,_xlfn.XLOOKUP(C2788,[1]ModifierDes!$B:$B,[1]ModifierDes!$E:$E),3,_xlfn.XLOOKUP(C2788,[1]StuntDes!$B:$B,[1]StuntDes!$E:$E)),0)</f>
        <v>2</v>
      </c>
    </row>
    <row r="2789" customFormat="1" spans="1:20">
      <c r="A2789">
        <v>90149</v>
      </c>
      <c r="B2789">
        <v>1</v>
      </c>
      <c r="C2789" t="s">
        <v>446</v>
      </c>
      <c r="D2789" t="s">
        <v>197</v>
      </c>
      <c r="E2789" t="s">
        <v>462</v>
      </c>
      <c r="H2789">
        <v>1000</v>
      </c>
      <c r="J2789">
        <v>1</v>
      </c>
      <c r="K2789" t="str" cm="1">
        <f t="array" ref="K2789">IFERROR(_xlfn.SWITCH(L2789,2,_xlfn.XLOOKUP(C2789,[1]ModifierDes!$B:$B,[1]ModifierDes!$C:$C),3,_xlfn.XLOOKUP(C2789,[1]StuntDes!$B:$B,[1]StuntDes!$C:$C)),"")</f>
        <v/>
      </c>
      <c r="L2789">
        <f t="shared" si="197"/>
        <v>1</v>
      </c>
      <c r="M2789" s="10" t="str">
        <f>IFERROR(_xlfn.XLOOKUP(C2789,[1]StuntDes!$B:$B,[1]StuntDes!$A:$A),"")</f>
        <v/>
      </c>
      <c r="N2789" s="10" t="str">
        <f>IFERROR(_xlfn.XLOOKUP(C2789,[1]ModifierDes!$B:$B,[1]ModifierDes!$A:$A),"")</f>
        <v/>
      </c>
      <c r="O2789" s="10">
        <f>IFERROR(_xlfn.XLOOKUP(C2789,[1]AttributeName!$C:$C,[1]AttributeName!$B:$B),"")</f>
        <v>10306</v>
      </c>
      <c r="P2789" s="10"/>
      <c r="Q2789">
        <v>1</v>
      </c>
      <c r="R2789">
        <v>1.5</v>
      </c>
      <c r="S2789" cm="1">
        <f t="array" ref="S2789">IFERROR(_xlfn.SWITCH(L2789,1,_xlfn.XLOOKUP(O2789,[1]AttributeName!$B:$B,[1]AttributeName!$D:$D),2,_xlfn.XLOOKUP(C2789,[1]ModifierDes!$B:$B,[1]ModifierDes!$D:$D),3,_xlfn.XLOOKUP(C2789,[1]StuntDes!$B:$B,[1]StuntDes!$D:$D)),0)</f>
        <v>2</v>
      </c>
      <c r="T2789" cm="1">
        <f t="array" ref="T2789">IFERROR(_xlfn.SWITCH(L2789,1,_xlfn.XLOOKUP(O2789,[1]AttributeName!$B:$B,[1]AttributeName!$E:$E),2,_xlfn.XLOOKUP(C2789,[1]ModifierDes!$B:$B,[1]ModifierDes!$E:$E),3,_xlfn.XLOOKUP(C2789,[1]StuntDes!$B:$B,[1]StuntDes!$E:$E)),0)</f>
        <v>2</v>
      </c>
    </row>
    <row r="2790" customFormat="1" spans="1:20">
      <c r="A2790">
        <v>90150</v>
      </c>
      <c r="B2790">
        <v>1</v>
      </c>
      <c r="C2790" t="s">
        <v>401</v>
      </c>
      <c r="D2790" t="s">
        <v>197</v>
      </c>
      <c r="E2790" t="s">
        <v>462</v>
      </c>
      <c r="H2790">
        <v>1000</v>
      </c>
      <c r="J2790">
        <v>1</v>
      </c>
      <c r="K2790" t="str" cm="1">
        <f t="array" ref="K2790">IFERROR(_xlfn.SWITCH(L2790,2,_xlfn.XLOOKUP(C2790,[1]ModifierDes!$B:$B,[1]ModifierDes!$C:$C),3,_xlfn.XLOOKUP(C2790,[1]StuntDes!$B:$B,[1]StuntDes!$C:$C)),"")</f>
        <v/>
      </c>
      <c r="L2790">
        <f t="shared" si="197"/>
        <v>1</v>
      </c>
      <c r="M2790" s="10" t="str">
        <f>IFERROR(_xlfn.XLOOKUP(C2790,[1]StuntDes!$B:$B,[1]StuntDes!$A:$A),"")</f>
        <v/>
      </c>
      <c r="N2790" s="10" t="str">
        <f>IFERROR(_xlfn.XLOOKUP(C2790,[1]ModifierDes!$B:$B,[1]ModifierDes!$A:$A),"")</f>
        <v/>
      </c>
      <c r="O2790" s="10">
        <f>IFERROR(_xlfn.XLOOKUP(C2790,[1]AttributeName!$C:$C,[1]AttributeName!$B:$B),"")</f>
        <v>10307</v>
      </c>
      <c r="P2790" s="10"/>
      <c r="Q2790">
        <v>1</v>
      </c>
      <c r="R2790">
        <v>1.5</v>
      </c>
      <c r="S2790" cm="1">
        <f t="array" ref="S2790">IFERROR(_xlfn.SWITCH(L2790,1,_xlfn.XLOOKUP(O2790,[1]AttributeName!$B:$B,[1]AttributeName!$D:$D),2,_xlfn.XLOOKUP(C2790,[1]ModifierDes!$B:$B,[1]ModifierDes!$D:$D),3,_xlfn.XLOOKUP(C2790,[1]StuntDes!$B:$B,[1]StuntDes!$D:$D)),0)</f>
        <v>2</v>
      </c>
      <c r="T2790" cm="1">
        <f t="array" ref="T2790">IFERROR(_xlfn.SWITCH(L2790,1,_xlfn.XLOOKUP(O2790,[1]AttributeName!$B:$B,[1]AttributeName!$E:$E),2,_xlfn.XLOOKUP(C2790,[1]ModifierDes!$B:$B,[1]ModifierDes!$E:$E),3,_xlfn.XLOOKUP(C2790,[1]StuntDes!$B:$B,[1]StuntDes!$E:$E)),0)</f>
        <v>2</v>
      </c>
    </row>
    <row r="2791" customFormat="1" spans="1:20">
      <c r="A2791">
        <v>90151</v>
      </c>
      <c r="B2791">
        <v>1</v>
      </c>
      <c r="C2791" t="s">
        <v>412</v>
      </c>
      <c r="D2791" t="s">
        <v>197</v>
      </c>
      <c r="E2791" t="s">
        <v>462</v>
      </c>
      <c r="H2791">
        <v>1000</v>
      </c>
      <c r="J2791">
        <v>1</v>
      </c>
      <c r="K2791" t="str" cm="1">
        <f t="array" ref="K2791">IFERROR(_xlfn.SWITCH(L2791,2,_xlfn.XLOOKUP(C2791,[1]ModifierDes!$B:$B,[1]ModifierDes!$C:$C),3,_xlfn.XLOOKUP(C2791,[1]StuntDes!$B:$B,[1]StuntDes!$C:$C)),"")</f>
        <v>攻击暴击伤害增加{0}</v>
      </c>
      <c r="L2791">
        <f t="shared" si="197"/>
        <v>2</v>
      </c>
      <c r="M2791" s="10" t="str">
        <f>IFERROR(_xlfn.XLOOKUP(C2791,[1]StuntDes!$B:$B,[1]StuntDes!$A:$A),"")</f>
        <v/>
      </c>
      <c r="N2791" s="10">
        <f>IFERROR(_xlfn.XLOOKUP(C2791,[1]ModifierDes!$B:$B,[1]ModifierDes!$A:$A),"")</f>
        <v>10060</v>
      </c>
      <c r="O2791" s="10" t="str">
        <f>IFERROR(_xlfn.XLOOKUP(C2791,[1]AttributeName!$C:$C,[1]AttributeName!$B:$B),"")</f>
        <v/>
      </c>
      <c r="P2791" s="10"/>
      <c r="Q2791">
        <v>0.6</v>
      </c>
      <c r="R2791">
        <v>1.2</v>
      </c>
      <c r="S2791" cm="1">
        <f t="array" ref="S2791">IFERROR(_xlfn.SWITCH(L2791,1,_xlfn.XLOOKUP(O2791,[1]AttributeName!$B:$B,[1]AttributeName!$D:$D),2,_xlfn.XLOOKUP(C2791,[1]ModifierDes!$B:$B,[1]ModifierDes!$D:$D),3,_xlfn.XLOOKUP(C2791,[1]StuntDes!$B:$B,[1]StuntDes!$D:$D)),0)</f>
        <v>2</v>
      </c>
      <c r="T2791" cm="1">
        <f t="array" ref="T2791">IFERROR(_xlfn.SWITCH(L2791,1,_xlfn.XLOOKUP(O2791,[1]AttributeName!$B:$B,[1]AttributeName!$E:$E),2,_xlfn.XLOOKUP(C2791,[1]ModifierDes!$B:$B,[1]ModifierDes!$E:$E),3,_xlfn.XLOOKUP(C2791,[1]StuntDes!$B:$B,[1]StuntDes!$E:$E)),0)</f>
        <v>2</v>
      </c>
    </row>
    <row r="2792" customFormat="1" spans="1:20">
      <c r="A2792">
        <v>90152</v>
      </c>
      <c r="B2792">
        <v>1</v>
      </c>
      <c r="C2792" t="s">
        <v>438</v>
      </c>
      <c r="D2792" t="s">
        <v>197</v>
      </c>
      <c r="E2792" t="s">
        <v>462</v>
      </c>
      <c r="H2792">
        <v>1000</v>
      </c>
      <c r="J2792">
        <v>1</v>
      </c>
      <c r="K2792" t="str" cm="1">
        <f t="array" ref="K2792">IFERROR(_xlfn.SWITCH(L2792,2,_xlfn.XLOOKUP(C2792,[1]ModifierDes!$B:$B,[1]ModifierDes!$C:$C),3,_xlfn.XLOOKUP(C2792,[1]StuntDes!$B:$B,[1]StuntDes!$C:$C)),"")</f>
        <v>法术暴击伤害增加{0}</v>
      </c>
      <c r="L2792">
        <f t="shared" si="197"/>
        <v>2</v>
      </c>
      <c r="M2792" s="10" t="str">
        <f>IFERROR(_xlfn.XLOOKUP(C2792,[1]StuntDes!$B:$B,[1]StuntDes!$A:$A),"")</f>
        <v/>
      </c>
      <c r="N2792" s="10">
        <f>IFERROR(_xlfn.XLOOKUP(C2792,[1]ModifierDes!$B:$B,[1]ModifierDes!$A:$A),"")</f>
        <v>10061</v>
      </c>
      <c r="O2792" s="10" t="str">
        <f>IFERROR(_xlfn.XLOOKUP(C2792,[1]AttributeName!$C:$C,[1]AttributeName!$B:$B),"")</f>
        <v/>
      </c>
      <c r="P2792" s="10"/>
      <c r="Q2792">
        <v>0.6</v>
      </c>
      <c r="R2792">
        <v>1.2</v>
      </c>
      <c r="S2792" cm="1">
        <f t="array" ref="S2792">IFERROR(_xlfn.SWITCH(L2792,1,_xlfn.XLOOKUP(O2792,[1]AttributeName!$B:$B,[1]AttributeName!$D:$D),2,_xlfn.XLOOKUP(C2792,[1]ModifierDes!$B:$B,[1]ModifierDes!$D:$D),3,_xlfn.XLOOKUP(C2792,[1]StuntDes!$B:$B,[1]StuntDes!$D:$D)),0)</f>
        <v>2</v>
      </c>
      <c r="T2792" cm="1">
        <f t="array" ref="T2792">IFERROR(_xlfn.SWITCH(L2792,1,_xlfn.XLOOKUP(O2792,[1]AttributeName!$B:$B,[1]AttributeName!$E:$E),2,_xlfn.XLOOKUP(C2792,[1]ModifierDes!$B:$B,[1]ModifierDes!$E:$E),3,_xlfn.XLOOKUP(C2792,[1]StuntDes!$B:$B,[1]StuntDes!$E:$E)),0)</f>
        <v>2</v>
      </c>
    </row>
    <row r="2793" customFormat="1" spans="1:20">
      <c r="A2793">
        <v>90153</v>
      </c>
      <c r="B2793">
        <v>1</v>
      </c>
      <c r="C2793" t="s">
        <v>393</v>
      </c>
      <c r="D2793" t="s">
        <v>197</v>
      </c>
      <c r="E2793" t="s">
        <v>462</v>
      </c>
      <c r="H2793">
        <v>1000</v>
      </c>
      <c r="J2793">
        <v>1</v>
      </c>
      <c r="K2793" t="str" cm="1">
        <f t="array" ref="K2793">IFERROR(_xlfn.SWITCH(L2793,2,_xlfn.XLOOKUP(C2793,[1]ModifierDes!$B:$B,[1]ModifierDes!$C:$C),3,_xlfn.XLOOKUP(C2793,[1]StuntDes!$B:$B,[1]StuntDes!$C:$C)),"")</f>
        <v/>
      </c>
      <c r="L2793">
        <f t="shared" si="197"/>
        <v>1</v>
      </c>
      <c r="M2793" s="10" t="str">
        <f>IFERROR(_xlfn.XLOOKUP(C2793,[1]StuntDes!$B:$B,[1]StuntDes!$A:$A),"")</f>
        <v/>
      </c>
      <c r="N2793" s="10" t="str">
        <f>IFERROR(_xlfn.XLOOKUP(C2793,[1]ModifierDes!$B:$B,[1]ModifierDes!$A:$A),"")</f>
        <v/>
      </c>
      <c r="O2793" s="10">
        <f>IFERROR(_xlfn.XLOOKUP(C2793,[1]AttributeName!$C:$C,[1]AttributeName!$B:$B),"")</f>
        <v>10500</v>
      </c>
      <c r="P2793" s="10"/>
      <c r="Q2793">
        <v>0.4</v>
      </c>
      <c r="R2793">
        <v>0.8</v>
      </c>
      <c r="S2793" cm="1">
        <f t="array" ref="S2793">IFERROR(_xlfn.SWITCH(L2793,1,_xlfn.XLOOKUP(O2793,[1]AttributeName!$B:$B,[1]AttributeName!$D:$D),2,_xlfn.XLOOKUP(C2793,[1]ModifierDes!$B:$B,[1]ModifierDes!$D:$D),3,_xlfn.XLOOKUP(C2793,[1]StuntDes!$B:$B,[1]StuntDes!$D:$D)),0)</f>
        <v>2</v>
      </c>
      <c r="T2793" cm="1">
        <f t="array" ref="T2793">IFERROR(_xlfn.SWITCH(L2793,1,_xlfn.XLOOKUP(O2793,[1]AttributeName!$B:$B,[1]AttributeName!$E:$E),2,_xlfn.XLOOKUP(C2793,[1]ModifierDes!$B:$B,[1]ModifierDes!$E:$E),3,_xlfn.XLOOKUP(C2793,[1]StuntDes!$B:$B,[1]StuntDes!$E:$E)),0)</f>
        <v>2</v>
      </c>
    </row>
    <row r="2794" customFormat="1" spans="1:20">
      <c r="A2794">
        <v>90154</v>
      </c>
      <c r="B2794">
        <v>1</v>
      </c>
      <c r="C2794" t="s">
        <v>394</v>
      </c>
      <c r="D2794" t="s">
        <v>197</v>
      </c>
      <c r="E2794" t="s">
        <v>462</v>
      </c>
      <c r="H2794">
        <v>1000</v>
      </c>
      <c r="J2794">
        <v>1</v>
      </c>
      <c r="K2794" t="str" cm="1">
        <f t="array" ref="K2794">IFERROR(_xlfn.SWITCH(L2794,2,_xlfn.XLOOKUP(C2794,[1]ModifierDes!$B:$B,[1]ModifierDes!$C:$C),3,_xlfn.XLOOKUP(C2794,[1]StuntDes!$B:$B,[1]StuntDes!$C:$C)),"")</f>
        <v/>
      </c>
      <c r="L2794">
        <f t="shared" si="197"/>
        <v>1</v>
      </c>
      <c r="M2794" s="10" t="str">
        <f>IFERROR(_xlfn.XLOOKUP(C2794,[1]StuntDes!$B:$B,[1]StuntDes!$A:$A),"")</f>
        <v/>
      </c>
      <c r="N2794" s="10" t="str">
        <f>IFERROR(_xlfn.XLOOKUP(C2794,[1]ModifierDes!$B:$B,[1]ModifierDes!$A:$A),"")</f>
        <v/>
      </c>
      <c r="O2794" s="10">
        <f>IFERROR(_xlfn.XLOOKUP(C2794,[1]AttributeName!$C:$C,[1]AttributeName!$B:$B),"")</f>
        <v>10501</v>
      </c>
      <c r="P2794" s="10"/>
      <c r="Q2794">
        <v>0.4</v>
      </c>
      <c r="R2794">
        <v>0.8</v>
      </c>
      <c r="S2794" cm="1">
        <f t="array" ref="S2794">IFERROR(_xlfn.SWITCH(L2794,1,_xlfn.XLOOKUP(O2794,[1]AttributeName!$B:$B,[1]AttributeName!$D:$D),2,_xlfn.XLOOKUP(C2794,[1]ModifierDes!$B:$B,[1]ModifierDes!$D:$D),3,_xlfn.XLOOKUP(C2794,[1]StuntDes!$B:$B,[1]StuntDes!$D:$D)),0)</f>
        <v>2</v>
      </c>
      <c r="T2794" cm="1">
        <f t="array" ref="T2794">IFERROR(_xlfn.SWITCH(L2794,1,_xlfn.XLOOKUP(O2794,[1]AttributeName!$B:$B,[1]AttributeName!$E:$E),2,_xlfn.XLOOKUP(C2794,[1]ModifierDes!$B:$B,[1]ModifierDes!$E:$E),3,_xlfn.XLOOKUP(C2794,[1]StuntDes!$B:$B,[1]StuntDes!$E:$E)),0)</f>
        <v>2</v>
      </c>
    </row>
    <row r="2795" customFormat="1" spans="1:20">
      <c r="A2795">
        <v>90155</v>
      </c>
      <c r="B2795">
        <v>1</v>
      </c>
      <c r="C2795" t="s">
        <v>395</v>
      </c>
      <c r="D2795" t="s">
        <v>197</v>
      </c>
      <c r="E2795" t="s">
        <v>462</v>
      </c>
      <c r="H2795">
        <v>1000</v>
      </c>
      <c r="J2795">
        <v>1</v>
      </c>
      <c r="K2795" t="str" cm="1">
        <f t="array" ref="K2795">IFERROR(_xlfn.SWITCH(L2795,2,_xlfn.XLOOKUP(C2795,[1]ModifierDes!$B:$B,[1]ModifierDes!$C:$C),3,_xlfn.XLOOKUP(C2795,[1]StuntDes!$B:$B,[1]StuntDes!$C:$C)),"")</f>
        <v/>
      </c>
      <c r="L2795">
        <f t="shared" si="197"/>
        <v>1</v>
      </c>
      <c r="M2795" s="10" t="str">
        <f>IFERROR(_xlfn.XLOOKUP(C2795,[1]StuntDes!$B:$B,[1]StuntDes!$A:$A),"")</f>
        <v/>
      </c>
      <c r="N2795" s="10" t="str">
        <f>IFERROR(_xlfn.XLOOKUP(C2795,[1]ModifierDes!$B:$B,[1]ModifierDes!$A:$A),"")</f>
        <v/>
      </c>
      <c r="O2795" s="10">
        <f>IFERROR(_xlfn.XLOOKUP(C2795,[1]AttributeName!$C:$C,[1]AttributeName!$B:$B),"")</f>
        <v>10502</v>
      </c>
      <c r="P2795" s="10"/>
      <c r="Q2795">
        <v>0.4</v>
      </c>
      <c r="R2795">
        <v>0.8</v>
      </c>
      <c r="S2795" cm="1">
        <f t="array" ref="S2795">IFERROR(_xlfn.SWITCH(L2795,1,_xlfn.XLOOKUP(O2795,[1]AttributeName!$B:$B,[1]AttributeName!$D:$D),2,_xlfn.XLOOKUP(C2795,[1]ModifierDes!$B:$B,[1]ModifierDes!$D:$D),3,_xlfn.XLOOKUP(C2795,[1]StuntDes!$B:$B,[1]StuntDes!$D:$D)),0)</f>
        <v>2</v>
      </c>
      <c r="T2795" cm="1">
        <f t="array" ref="T2795">IFERROR(_xlfn.SWITCH(L2795,1,_xlfn.XLOOKUP(O2795,[1]AttributeName!$B:$B,[1]AttributeName!$E:$E),2,_xlfn.XLOOKUP(C2795,[1]ModifierDes!$B:$B,[1]ModifierDes!$E:$E),3,_xlfn.XLOOKUP(C2795,[1]StuntDes!$B:$B,[1]StuntDes!$E:$E)),0)</f>
        <v>2</v>
      </c>
    </row>
    <row r="2796" customFormat="1" spans="1:20">
      <c r="A2796">
        <v>90156</v>
      </c>
      <c r="B2796">
        <v>1</v>
      </c>
      <c r="C2796" t="s">
        <v>396</v>
      </c>
      <c r="D2796" t="s">
        <v>197</v>
      </c>
      <c r="E2796" t="s">
        <v>462</v>
      </c>
      <c r="H2796">
        <v>1000</v>
      </c>
      <c r="J2796">
        <v>1</v>
      </c>
      <c r="K2796" t="str" cm="1">
        <f t="array" ref="K2796">IFERROR(_xlfn.SWITCH(L2796,2,_xlfn.XLOOKUP(C2796,[1]ModifierDes!$B:$B,[1]ModifierDes!$C:$C),3,_xlfn.XLOOKUP(C2796,[1]StuntDes!$B:$B,[1]StuntDes!$C:$C)),"")</f>
        <v/>
      </c>
      <c r="L2796">
        <f t="shared" si="197"/>
        <v>1</v>
      </c>
      <c r="M2796" s="10" t="str">
        <f>IFERROR(_xlfn.XLOOKUP(C2796,[1]StuntDes!$B:$B,[1]StuntDes!$A:$A),"")</f>
        <v/>
      </c>
      <c r="N2796" s="10" t="str">
        <f>IFERROR(_xlfn.XLOOKUP(C2796,[1]ModifierDes!$B:$B,[1]ModifierDes!$A:$A),"")</f>
        <v/>
      </c>
      <c r="O2796" s="10">
        <f>IFERROR(_xlfn.XLOOKUP(C2796,[1]AttributeName!$C:$C,[1]AttributeName!$B:$B),"")</f>
        <v>10503</v>
      </c>
      <c r="P2796" s="10"/>
      <c r="Q2796">
        <v>0.4</v>
      </c>
      <c r="R2796">
        <v>0.8</v>
      </c>
      <c r="S2796" cm="1">
        <f t="array" ref="S2796">IFERROR(_xlfn.SWITCH(L2796,1,_xlfn.XLOOKUP(O2796,[1]AttributeName!$B:$B,[1]AttributeName!$D:$D),2,_xlfn.XLOOKUP(C2796,[1]ModifierDes!$B:$B,[1]ModifierDes!$D:$D),3,_xlfn.XLOOKUP(C2796,[1]StuntDes!$B:$B,[1]StuntDes!$D:$D)),0)</f>
        <v>2</v>
      </c>
      <c r="T2796" cm="1">
        <f t="array" ref="T2796">IFERROR(_xlfn.SWITCH(L2796,1,_xlfn.XLOOKUP(O2796,[1]AttributeName!$B:$B,[1]AttributeName!$E:$E),2,_xlfn.XLOOKUP(C2796,[1]ModifierDes!$B:$B,[1]ModifierDes!$E:$E),3,_xlfn.XLOOKUP(C2796,[1]StuntDes!$B:$B,[1]StuntDes!$E:$E)),0)</f>
        <v>2</v>
      </c>
    </row>
    <row r="2797" customFormat="1" spans="1:20">
      <c r="A2797">
        <v>90157</v>
      </c>
      <c r="B2797">
        <v>1</v>
      </c>
      <c r="C2797" t="s">
        <v>397</v>
      </c>
      <c r="D2797" t="s">
        <v>197</v>
      </c>
      <c r="E2797" t="s">
        <v>462</v>
      </c>
      <c r="H2797">
        <v>1000</v>
      </c>
      <c r="J2797">
        <v>1</v>
      </c>
      <c r="K2797" t="str" cm="1">
        <f t="array" ref="K2797">IFERROR(_xlfn.SWITCH(L2797,2,_xlfn.XLOOKUP(C2797,[1]ModifierDes!$B:$B,[1]ModifierDes!$C:$C),3,_xlfn.XLOOKUP(C2797,[1]StuntDes!$B:$B,[1]StuntDes!$C:$C)),"")</f>
        <v/>
      </c>
      <c r="L2797">
        <f t="shared" si="197"/>
        <v>1</v>
      </c>
      <c r="M2797" s="10" t="str">
        <f>IFERROR(_xlfn.XLOOKUP(C2797,[1]StuntDes!$B:$B,[1]StuntDes!$A:$A),"")</f>
        <v/>
      </c>
      <c r="N2797" s="10" t="str">
        <f>IFERROR(_xlfn.XLOOKUP(C2797,[1]ModifierDes!$B:$B,[1]ModifierDes!$A:$A),"")</f>
        <v/>
      </c>
      <c r="O2797" s="10">
        <f>IFERROR(_xlfn.XLOOKUP(C2797,[1]AttributeName!$C:$C,[1]AttributeName!$B:$B),"")</f>
        <v>10504</v>
      </c>
      <c r="P2797" s="10"/>
      <c r="Q2797">
        <v>0.4</v>
      </c>
      <c r="R2797">
        <v>0.8</v>
      </c>
      <c r="S2797" cm="1">
        <f t="array" ref="S2797">IFERROR(_xlfn.SWITCH(L2797,1,_xlfn.XLOOKUP(O2797,[1]AttributeName!$B:$B,[1]AttributeName!$D:$D),2,_xlfn.XLOOKUP(C2797,[1]ModifierDes!$B:$B,[1]ModifierDes!$D:$D),3,_xlfn.XLOOKUP(C2797,[1]StuntDes!$B:$B,[1]StuntDes!$D:$D)),0)</f>
        <v>2</v>
      </c>
      <c r="T2797" cm="1">
        <f t="array" ref="T2797">IFERROR(_xlfn.SWITCH(L2797,1,_xlfn.XLOOKUP(O2797,[1]AttributeName!$B:$B,[1]AttributeName!$E:$E),2,_xlfn.XLOOKUP(C2797,[1]ModifierDes!$B:$B,[1]ModifierDes!$E:$E),3,_xlfn.XLOOKUP(C2797,[1]StuntDes!$B:$B,[1]StuntDes!$E:$E)),0)</f>
        <v>2</v>
      </c>
    </row>
    <row r="2798" customFormat="1" spans="1:20">
      <c r="A2798">
        <v>90158</v>
      </c>
      <c r="B2798">
        <v>1</v>
      </c>
      <c r="C2798" t="s">
        <v>508</v>
      </c>
      <c r="D2798" t="s">
        <v>197</v>
      </c>
      <c r="E2798" t="s">
        <v>462</v>
      </c>
      <c r="H2798">
        <v>1000</v>
      </c>
      <c r="J2798">
        <v>1</v>
      </c>
      <c r="K2798" t="str" cm="1">
        <f t="array" ref="K2798">IFERROR(_xlfn.SWITCH(L2798,2,_xlfn.XLOOKUP(C2798,[1]ModifierDes!$B:$B,[1]ModifierDes!$C:$C),3,_xlfn.XLOOKUP(C2798,[1]StuntDes!$B:$B,[1]StuntDes!$C:$C)),"")</f>
        <v/>
      </c>
      <c r="L2798">
        <f t="shared" si="197"/>
        <v>1</v>
      </c>
      <c r="M2798" s="10" t="str">
        <f>IFERROR(_xlfn.XLOOKUP(C2798,[1]StuntDes!$B:$B,[1]StuntDes!$A:$A),"")</f>
        <v/>
      </c>
      <c r="N2798" s="10" t="str">
        <f>IFERROR(_xlfn.XLOOKUP(C2798,[1]ModifierDes!$B:$B,[1]ModifierDes!$A:$A),"")</f>
        <v/>
      </c>
      <c r="O2798" s="10" t="str">
        <f>IFERROR(_xlfn.XLOOKUP(C2798,[1]AttributeName!$C:$C,[1]AttributeName!$B:$B),"")</f>
        <v/>
      </c>
      <c r="P2798" s="10"/>
      <c r="Q2798">
        <v>0</v>
      </c>
      <c r="R2798">
        <v>0</v>
      </c>
      <c r="S2798" cm="1">
        <f t="array" ref="S2798">IFERROR(_xlfn.SWITCH(L2798,1,_xlfn.XLOOKUP(O2798,[1]AttributeName!$B:$B,[1]AttributeName!$D:$D),2,_xlfn.XLOOKUP(C2798,[1]ModifierDes!$B:$B,[1]ModifierDes!$D:$D),3,_xlfn.XLOOKUP(C2798,[1]StuntDes!$B:$B,[1]StuntDes!$D:$D)),0)</f>
        <v>0</v>
      </c>
      <c r="T2798" cm="1">
        <f t="array" ref="T2798">IFERROR(_xlfn.SWITCH(L2798,1,_xlfn.XLOOKUP(O2798,[1]AttributeName!$B:$B,[1]AttributeName!$E:$E),2,_xlfn.XLOOKUP(C2798,[1]ModifierDes!$B:$B,[1]ModifierDes!$E:$E),3,_xlfn.XLOOKUP(C2798,[1]StuntDes!$B:$B,[1]StuntDes!$E:$E)),0)</f>
        <v>0</v>
      </c>
    </row>
    <row r="2799" customFormat="1" spans="1:20">
      <c r="A2799">
        <v>90159</v>
      </c>
      <c r="B2799">
        <v>1</v>
      </c>
      <c r="C2799" t="s">
        <v>402</v>
      </c>
      <c r="D2799" t="s">
        <v>151</v>
      </c>
      <c r="E2799" t="s">
        <v>462</v>
      </c>
      <c r="H2799">
        <v>1000</v>
      </c>
      <c r="J2799">
        <v>1</v>
      </c>
      <c r="K2799" t="str" cm="1">
        <f t="array" ref="K2799">IFERROR(_xlfn.SWITCH(L2799,2,_xlfn.XLOOKUP(C2799,[1]ModifierDes!$B:$B,[1]ModifierDes!$C:$C),3,_xlfn.XLOOKUP(C2799,[1]StuntDes!$B:$B,[1]StuntDes!$C:$C)),"")</f>
        <v/>
      </c>
      <c r="L2799">
        <f t="shared" si="197"/>
        <v>1</v>
      </c>
      <c r="M2799" s="10" t="str">
        <f>IFERROR(_xlfn.XLOOKUP(C2799,[1]StuntDes!$B:$B,[1]StuntDes!$A:$A),"")</f>
        <v/>
      </c>
      <c r="N2799" s="10" t="str">
        <f>IFERROR(_xlfn.XLOOKUP(C2799,[1]ModifierDes!$B:$B,[1]ModifierDes!$A:$A),"")</f>
        <v/>
      </c>
      <c r="O2799" s="10">
        <f>IFERROR(_xlfn.XLOOKUP(C2799,[1]AttributeName!$C:$C,[1]AttributeName!$B:$B),"")</f>
        <v>10001</v>
      </c>
      <c r="P2799" s="10"/>
      <c r="Q2799">
        <v>1500</v>
      </c>
      <c r="R2799">
        <v>2000</v>
      </c>
      <c r="S2799" cm="1">
        <f t="array" ref="S2799">IFERROR(_xlfn.SWITCH(L2799,1,_xlfn.XLOOKUP(O2799,[1]AttributeName!$B:$B,[1]AttributeName!$D:$D),2,_xlfn.XLOOKUP(C2799,[1]ModifierDes!$B:$B,[1]ModifierDes!$D:$D),3,_xlfn.XLOOKUP(C2799,[1]StuntDes!$B:$B,[1]StuntDes!$D:$D)),0)</f>
        <v>0</v>
      </c>
      <c r="T2799" cm="1">
        <f t="array" ref="T2799">IFERROR(_xlfn.SWITCH(L2799,1,_xlfn.XLOOKUP(O2799,[1]AttributeName!$B:$B,[1]AttributeName!$E:$E),2,_xlfn.XLOOKUP(C2799,[1]ModifierDes!$B:$B,[1]ModifierDes!$E:$E),3,_xlfn.XLOOKUP(C2799,[1]StuntDes!$B:$B,[1]StuntDes!$E:$E)),0)</f>
        <v>1</v>
      </c>
    </row>
    <row r="2800" customFormat="1" spans="1:20">
      <c r="A2800">
        <v>90160</v>
      </c>
      <c r="B2800">
        <v>1</v>
      </c>
      <c r="C2800" t="s">
        <v>444</v>
      </c>
      <c r="D2800" t="s">
        <v>151</v>
      </c>
      <c r="E2800" t="s">
        <v>462</v>
      </c>
      <c r="H2800">
        <v>1000</v>
      </c>
      <c r="J2800">
        <v>1</v>
      </c>
      <c r="K2800" t="str" cm="1">
        <f t="array" ref="K2800">IFERROR(_xlfn.SWITCH(L2800,2,_xlfn.XLOOKUP(C2800,[1]ModifierDes!$B:$B,[1]ModifierDes!$C:$C),3,_xlfn.XLOOKUP(C2800,[1]StuntDes!$B:$B,[1]StuntDes!$C:$C)),"")</f>
        <v/>
      </c>
      <c r="L2800">
        <f t="shared" si="197"/>
        <v>1</v>
      </c>
      <c r="M2800" s="10" t="str">
        <f>IFERROR(_xlfn.XLOOKUP(C2800,[1]StuntDes!$B:$B,[1]StuntDes!$A:$A),"")</f>
        <v/>
      </c>
      <c r="N2800" s="10" t="str">
        <f>IFERROR(_xlfn.XLOOKUP(C2800,[1]ModifierDes!$B:$B,[1]ModifierDes!$A:$A),"")</f>
        <v/>
      </c>
      <c r="O2800" s="10">
        <f>IFERROR(_xlfn.XLOOKUP(C2800,[1]AttributeName!$C:$C,[1]AttributeName!$B:$B),"")</f>
        <v>10304</v>
      </c>
      <c r="P2800" s="10"/>
      <c r="Q2800">
        <v>0.4</v>
      </c>
      <c r="R2800">
        <v>0.6</v>
      </c>
      <c r="S2800" cm="1">
        <f t="array" ref="S2800">IFERROR(_xlfn.SWITCH(L2800,1,_xlfn.XLOOKUP(O2800,[1]AttributeName!$B:$B,[1]AttributeName!$D:$D),2,_xlfn.XLOOKUP(C2800,[1]ModifierDes!$B:$B,[1]ModifierDes!$D:$D),3,_xlfn.XLOOKUP(C2800,[1]StuntDes!$B:$B,[1]StuntDes!$D:$D)),0)</f>
        <v>2</v>
      </c>
      <c r="T2800" cm="1">
        <f t="array" ref="T2800">IFERROR(_xlfn.SWITCH(L2800,1,_xlfn.XLOOKUP(O2800,[1]AttributeName!$B:$B,[1]AttributeName!$E:$E),2,_xlfn.XLOOKUP(C2800,[1]ModifierDes!$B:$B,[1]ModifierDes!$E:$E),3,_xlfn.XLOOKUP(C2800,[1]StuntDes!$B:$B,[1]StuntDes!$E:$E)),0)</f>
        <v>2</v>
      </c>
    </row>
    <row r="2801" customFormat="1" spans="1:20">
      <c r="A2801">
        <v>90161</v>
      </c>
      <c r="B2801">
        <v>1</v>
      </c>
      <c r="C2801" t="s">
        <v>440</v>
      </c>
      <c r="D2801" t="s">
        <v>151</v>
      </c>
      <c r="E2801" t="s">
        <v>462</v>
      </c>
      <c r="H2801">
        <v>1000</v>
      </c>
      <c r="J2801">
        <v>1</v>
      </c>
      <c r="K2801" t="str" cm="1">
        <f t="array" ref="K2801">IFERROR(_xlfn.SWITCH(L2801,2,_xlfn.XLOOKUP(C2801,[1]ModifierDes!$B:$B,[1]ModifierDes!$C:$C),3,_xlfn.XLOOKUP(C2801,[1]StuntDes!$B:$B,[1]StuntDes!$C:$C)),"")</f>
        <v/>
      </c>
      <c r="L2801">
        <f t="shared" si="197"/>
        <v>1</v>
      </c>
      <c r="M2801" s="10" t="str">
        <f>IFERROR(_xlfn.XLOOKUP(C2801,[1]StuntDes!$B:$B,[1]StuntDes!$A:$A),"")</f>
        <v/>
      </c>
      <c r="N2801" s="10" t="str">
        <f>IFERROR(_xlfn.XLOOKUP(C2801,[1]ModifierDes!$B:$B,[1]ModifierDes!$A:$A),"")</f>
        <v/>
      </c>
      <c r="O2801" s="10">
        <f>IFERROR(_xlfn.XLOOKUP(C2801,[1]AttributeName!$C:$C,[1]AttributeName!$B:$B),"")</f>
        <v>10003</v>
      </c>
      <c r="P2801" s="10"/>
      <c r="Q2801">
        <v>5</v>
      </c>
      <c r="R2801">
        <v>15</v>
      </c>
      <c r="S2801" cm="1">
        <f t="array" ref="S2801">IFERROR(_xlfn.SWITCH(L2801,1,_xlfn.XLOOKUP(O2801,[1]AttributeName!$B:$B,[1]AttributeName!$D:$D),2,_xlfn.XLOOKUP(C2801,[1]ModifierDes!$B:$B,[1]ModifierDes!$D:$D),3,_xlfn.XLOOKUP(C2801,[1]StuntDes!$B:$B,[1]StuntDes!$D:$D)),0)</f>
        <v>0</v>
      </c>
      <c r="T2801" cm="1">
        <f t="array" ref="T2801">IFERROR(_xlfn.SWITCH(L2801,1,_xlfn.XLOOKUP(O2801,[1]AttributeName!$B:$B,[1]AttributeName!$E:$E),2,_xlfn.XLOOKUP(C2801,[1]ModifierDes!$B:$B,[1]ModifierDes!$E:$E),3,_xlfn.XLOOKUP(C2801,[1]StuntDes!$B:$B,[1]StuntDes!$E:$E)),0)</f>
        <v>1</v>
      </c>
    </row>
    <row r="2802" customFormat="1" spans="1:20">
      <c r="A2802">
        <v>90162</v>
      </c>
      <c r="B2802">
        <v>1</v>
      </c>
      <c r="C2802" t="s">
        <v>496</v>
      </c>
      <c r="D2802" t="s">
        <v>151</v>
      </c>
      <c r="E2802" t="s">
        <v>462</v>
      </c>
      <c r="H2802">
        <v>1000</v>
      </c>
      <c r="J2802">
        <v>1</v>
      </c>
      <c r="K2802" t="str" cm="1">
        <f t="array" ref="K2802">IFERROR(_xlfn.SWITCH(L2802,2,_xlfn.XLOOKUP(C2802,[1]ModifierDes!$B:$B,[1]ModifierDes!$C:$C),3,_xlfn.XLOOKUP(C2802,[1]StuntDes!$B:$B,[1]StuntDes!$C:$C)),"")</f>
        <v>周围敌人受到生命值上限1%的点燃强度的点燃</v>
      </c>
      <c r="L2802">
        <f t="shared" si="197"/>
        <v>3</v>
      </c>
      <c r="M2802" s="10">
        <f>IFERROR(_xlfn.XLOOKUP(C2802,[1]StuntDes!$B:$B,[1]StuntDes!$A:$A),"")</f>
        <v>2340000080</v>
      </c>
      <c r="N2802" s="10" t="str">
        <f>IFERROR(_xlfn.XLOOKUP(C2802,[1]ModifierDes!$B:$B,[1]ModifierDes!$A:$A),"")</f>
        <v/>
      </c>
      <c r="O2802" s="10" t="str">
        <f>IFERROR(_xlfn.XLOOKUP(C2802,[1]AttributeName!$C:$C,[1]AttributeName!$B:$B),"")</f>
        <v/>
      </c>
      <c r="P2802" s="10"/>
      <c r="Q2802">
        <v>0.01</v>
      </c>
      <c r="R2802">
        <v>0.01</v>
      </c>
      <c r="S2802" cm="1">
        <f t="array" ref="S2802">IFERROR(_xlfn.SWITCH(L2802,1,_xlfn.XLOOKUP(O2802,[1]AttributeName!$B:$B,[1]AttributeName!$D:$D),2,_xlfn.XLOOKUP(C2802,[1]ModifierDes!$B:$B,[1]ModifierDes!$D:$D),3,_xlfn.XLOOKUP(C2802,[1]StuntDes!$B:$B,[1]StuntDes!$D:$D)),0)</f>
        <v>0</v>
      </c>
      <c r="T2802" cm="1">
        <f t="array" ref="T2802">IFERROR(_xlfn.SWITCH(L2802,1,_xlfn.XLOOKUP(O2802,[1]AttributeName!$B:$B,[1]AttributeName!$E:$E),2,_xlfn.XLOOKUP(C2802,[1]ModifierDes!$B:$B,[1]ModifierDes!$E:$E),3,_xlfn.XLOOKUP(C2802,[1]StuntDes!$B:$B,[1]StuntDes!$E:$E)),0)</f>
        <v>0</v>
      </c>
    </row>
    <row r="2803" customFormat="1" spans="1:20">
      <c r="A2803">
        <v>90163</v>
      </c>
      <c r="B2803">
        <v>1</v>
      </c>
      <c r="C2803" t="s">
        <v>433</v>
      </c>
      <c r="D2803" t="s">
        <v>151</v>
      </c>
      <c r="E2803" t="s">
        <v>462</v>
      </c>
      <c r="H2803">
        <v>1000</v>
      </c>
      <c r="J2803">
        <v>1</v>
      </c>
      <c r="K2803" t="str" cm="1">
        <f t="array" ref="K2803">IFERROR(_xlfn.SWITCH(L2803,2,_xlfn.XLOOKUP(C2803,[1]ModifierDes!$B:$B,[1]ModifierDes!$C:$C),3,_xlfn.XLOOKUP(C2803,[1]StuntDes!$B:$B,[1]StuntDes!$C:$C)),"")</f>
        <v/>
      </c>
      <c r="L2803">
        <f t="shared" si="197"/>
        <v>1</v>
      </c>
      <c r="M2803" s="10" t="str">
        <f>IFERROR(_xlfn.XLOOKUP(C2803,[1]StuntDes!$B:$B,[1]StuntDes!$A:$A),"")</f>
        <v/>
      </c>
      <c r="N2803" s="10" t="str">
        <f>IFERROR(_xlfn.XLOOKUP(C2803,[1]ModifierDes!$B:$B,[1]ModifierDes!$A:$A),"")</f>
        <v/>
      </c>
      <c r="O2803" s="10">
        <f>IFERROR(_xlfn.XLOOKUP(C2803,[1]AttributeName!$C:$C,[1]AttributeName!$B:$B),"")</f>
        <v>10312</v>
      </c>
      <c r="P2803" s="10"/>
      <c r="Q2803">
        <v>0.3</v>
      </c>
      <c r="R2803">
        <v>0.5</v>
      </c>
      <c r="S2803" cm="1">
        <f t="array" ref="S2803">IFERROR(_xlfn.SWITCH(L2803,1,_xlfn.XLOOKUP(O2803,[1]AttributeName!$B:$B,[1]AttributeName!$D:$D),2,_xlfn.XLOOKUP(C2803,[1]ModifierDes!$B:$B,[1]ModifierDes!$D:$D),3,_xlfn.XLOOKUP(C2803,[1]StuntDes!$B:$B,[1]StuntDes!$D:$D)),0)</f>
        <v>2</v>
      </c>
      <c r="T2803" cm="1">
        <f t="array" ref="T2803">IFERROR(_xlfn.SWITCH(L2803,1,_xlfn.XLOOKUP(O2803,[1]AttributeName!$B:$B,[1]AttributeName!$E:$E),2,_xlfn.XLOOKUP(C2803,[1]ModifierDes!$B:$B,[1]ModifierDes!$E:$E),3,_xlfn.XLOOKUP(C2803,[1]StuntDes!$B:$B,[1]StuntDes!$E:$E)),0)</f>
        <v>2</v>
      </c>
    </row>
    <row r="2804" customFormat="1" spans="1:20">
      <c r="A2804">
        <v>90164</v>
      </c>
      <c r="B2804">
        <v>1</v>
      </c>
      <c r="C2804" t="s">
        <v>508</v>
      </c>
      <c r="D2804" t="s">
        <v>151</v>
      </c>
      <c r="E2804" t="s">
        <v>462</v>
      </c>
      <c r="H2804">
        <v>1000</v>
      </c>
      <c r="J2804">
        <v>1</v>
      </c>
      <c r="K2804" t="str" cm="1">
        <f t="array" ref="K2804">IFERROR(_xlfn.SWITCH(L2804,2,_xlfn.XLOOKUP(C2804,[1]ModifierDes!$B:$B,[1]ModifierDes!$C:$C),3,_xlfn.XLOOKUP(C2804,[1]StuntDes!$B:$B,[1]StuntDes!$C:$C)),"")</f>
        <v/>
      </c>
      <c r="L2804">
        <f t="shared" si="197"/>
        <v>1</v>
      </c>
      <c r="M2804" s="10" t="str">
        <f>IFERROR(_xlfn.XLOOKUP(C2804,[1]StuntDes!$B:$B,[1]StuntDes!$A:$A),"")</f>
        <v/>
      </c>
      <c r="N2804" s="10" t="str">
        <f>IFERROR(_xlfn.XLOOKUP(C2804,[1]ModifierDes!$B:$B,[1]ModifierDes!$A:$A),"")</f>
        <v/>
      </c>
      <c r="O2804" s="10" t="str">
        <f>IFERROR(_xlfn.XLOOKUP(C2804,[1]AttributeName!$C:$C,[1]AttributeName!$B:$B),"")</f>
        <v/>
      </c>
      <c r="P2804" s="10"/>
      <c r="Q2804">
        <v>0</v>
      </c>
      <c r="R2804">
        <v>0</v>
      </c>
      <c r="S2804" cm="1">
        <f t="array" ref="S2804">IFERROR(_xlfn.SWITCH(L2804,1,_xlfn.XLOOKUP(O2804,[1]AttributeName!$B:$B,[1]AttributeName!$D:$D),2,_xlfn.XLOOKUP(C2804,[1]ModifierDes!$B:$B,[1]ModifierDes!$D:$D),3,_xlfn.XLOOKUP(C2804,[1]StuntDes!$B:$B,[1]StuntDes!$D:$D)),0)</f>
        <v>0</v>
      </c>
      <c r="T2804" cm="1">
        <f t="array" ref="T2804">IFERROR(_xlfn.SWITCH(L2804,1,_xlfn.XLOOKUP(O2804,[1]AttributeName!$B:$B,[1]AttributeName!$E:$E),2,_xlfn.XLOOKUP(C2804,[1]ModifierDes!$B:$B,[1]ModifierDes!$E:$E),3,_xlfn.XLOOKUP(C2804,[1]StuntDes!$B:$B,[1]StuntDes!$E:$E)),0)</f>
        <v>0</v>
      </c>
    </row>
    <row r="2805" spans="1:20">
      <c r="A2805">
        <v>1100101</v>
      </c>
      <c r="B2805">
        <v>1</v>
      </c>
      <c r="C2805" t="s">
        <v>393</v>
      </c>
      <c r="D2805" t="s">
        <v>59</v>
      </c>
      <c r="K2805" t="s">
        <v>522</v>
      </c>
      <c r="L2805">
        <f t="shared" ref="L2805:L2809" si="198">IF(M2805="",IF(N2805="",1,2),3)</f>
        <v>1</v>
      </c>
      <c r="M2805" s="10" t="str">
        <f>IFERROR(_xlfn.XLOOKUP(C2805,[1]StuntDes!$B:$B,[1]StuntDes!$A:$A),"")</f>
        <v/>
      </c>
      <c r="N2805" s="10" t="str">
        <f>IFERROR(_xlfn.XLOOKUP(C2805,[1]ModifierDes!$B:$B,[1]ModifierDes!$A:$A),"")</f>
        <v/>
      </c>
      <c r="O2805" s="10">
        <f>IFERROR(_xlfn.XLOOKUP(C2805,[1]AttributeName!$C:$C,[1]AttributeName!$B:$B),"")</f>
        <v>10500</v>
      </c>
      <c r="P2805" s="10"/>
      <c r="Q2805">
        <v>0.15</v>
      </c>
      <c r="R2805">
        <v>0.15</v>
      </c>
      <c r="S2805" cm="1">
        <f t="array" ref="S2805">IFERROR(_xlfn.SWITCH(L2805,1,_xlfn.XLOOKUP(O2805,[1]AttributeName!$B:$B,[1]AttributeName!$D:$D),2,_xlfn.XLOOKUP(C2805,[1]ModifierDes!$B:$B,[1]ModifierDes!$D:$D),3,_xlfn.XLOOKUP(C2805,[1]StuntDes!$B:$B,[1]StuntDes!$D:$D)),0)</f>
        <v>2</v>
      </c>
      <c r="T2805" cm="1">
        <f t="array" ref="T2805">IFERROR(_xlfn.SWITCH(L2805,1,_xlfn.XLOOKUP(O2805,[1]AttributeName!$B:$B,[1]AttributeName!$E:$E),2,_xlfn.XLOOKUP(C2805,[1]ModifierDes!$B:$B,[1]ModifierDes!$E:$E),3,_xlfn.XLOOKUP(C2805,[1]StuntDes!$B:$B,[1]StuntDes!$E:$E)),0)</f>
        <v>2</v>
      </c>
    </row>
    <row r="2806" spans="1:20">
      <c r="A2806">
        <v>1100102</v>
      </c>
      <c r="B2806">
        <v>1</v>
      </c>
      <c r="C2806" t="s">
        <v>394</v>
      </c>
      <c r="D2806" t="s">
        <v>60</v>
      </c>
      <c r="K2806" t="s">
        <v>523</v>
      </c>
      <c r="L2806">
        <f t="shared" si="198"/>
        <v>1</v>
      </c>
      <c r="M2806" s="10" t="str">
        <f>IFERROR(_xlfn.XLOOKUP(C2806,[1]StuntDes!$B:$B,[1]StuntDes!$A:$A),"")</f>
        <v/>
      </c>
      <c r="N2806" s="10" t="str">
        <f>IFERROR(_xlfn.XLOOKUP(C2806,[1]ModifierDes!$B:$B,[1]ModifierDes!$A:$A),"")</f>
        <v/>
      </c>
      <c r="O2806" s="10">
        <f>IFERROR(_xlfn.XLOOKUP(C2806,[1]AttributeName!$C:$C,[1]AttributeName!$B:$B),"")</f>
        <v>10501</v>
      </c>
      <c r="P2806" s="10"/>
      <c r="Q2806">
        <v>0.15</v>
      </c>
      <c r="R2806">
        <v>0.15</v>
      </c>
      <c r="S2806" cm="1">
        <f t="array" ref="S2806">IFERROR(_xlfn.SWITCH(L2806,1,_xlfn.XLOOKUP(O2806,[1]AttributeName!$B:$B,[1]AttributeName!$D:$D),2,_xlfn.XLOOKUP(C2806,[1]ModifierDes!$B:$B,[1]ModifierDes!$D:$D),3,_xlfn.XLOOKUP(C2806,[1]StuntDes!$B:$B,[1]StuntDes!$D:$D)),0)</f>
        <v>2</v>
      </c>
      <c r="T2806" cm="1">
        <f t="array" ref="T2806">IFERROR(_xlfn.SWITCH(L2806,1,_xlfn.XLOOKUP(O2806,[1]AttributeName!$B:$B,[1]AttributeName!$E:$E),2,_xlfn.XLOOKUP(C2806,[1]ModifierDes!$B:$B,[1]ModifierDes!$E:$E),3,_xlfn.XLOOKUP(C2806,[1]StuntDes!$B:$B,[1]StuntDes!$E:$E)),0)</f>
        <v>2</v>
      </c>
    </row>
    <row r="2807" spans="1:20">
      <c r="A2807">
        <v>1100103</v>
      </c>
      <c r="B2807">
        <v>1</v>
      </c>
      <c r="C2807" t="s">
        <v>395</v>
      </c>
      <c r="D2807" t="s">
        <v>61</v>
      </c>
      <c r="K2807" t="s">
        <v>524</v>
      </c>
      <c r="L2807">
        <f t="shared" si="198"/>
        <v>1</v>
      </c>
      <c r="M2807" s="10" t="str">
        <f>IFERROR(_xlfn.XLOOKUP(C2807,[1]StuntDes!$B:$B,[1]StuntDes!$A:$A),"")</f>
        <v/>
      </c>
      <c r="N2807" s="10" t="str">
        <f>IFERROR(_xlfn.XLOOKUP(C2807,[1]ModifierDes!$B:$B,[1]ModifierDes!$A:$A),"")</f>
        <v/>
      </c>
      <c r="O2807" s="10">
        <f>IFERROR(_xlfn.XLOOKUP(C2807,[1]AttributeName!$C:$C,[1]AttributeName!$B:$B),"")</f>
        <v>10502</v>
      </c>
      <c r="P2807" s="10"/>
      <c r="Q2807">
        <v>0.15</v>
      </c>
      <c r="R2807">
        <v>0.15</v>
      </c>
      <c r="S2807" cm="1">
        <f t="array" ref="S2807">IFERROR(_xlfn.SWITCH(L2807,1,_xlfn.XLOOKUP(O2807,[1]AttributeName!$B:$B,[1]AttributeName!$D:$D),2,_xlfn.XLOOKUP(C2807,[1]ModifierDes!$B:$B,[1]ModifierDes!$D:$D),3,_xlfn.XLOOKUP(C2807,[1]StuntDes!$B:$B,[1]StuntDes!$D:$D)),0)</f>
        <v>2</v>
      </c>
      <c r="T2807" cm="1">
        <f t="array" ref="T2807">IFERROR(_xlfn.SWITCH(L2807,1,_xlfn.XLOOKUP(O2807,[1]AttributeName!$B:$B,[1]AttributeName!$E:$E),2,_xlfn.XLOOKUP(C2807,[1]ModifierDes!$B:$B,[1]ModifierDes!$E:$E),3,_xlfn.XLOOKUP(C2807,[1]StuntDes!$B:$B,[1]StuntDes!$E:$E)),0)</f>
        <v>2</v>
      </c>
    </row>
    <row r="2808" customFormat="1" spans="1:20">
      <c r="A2808">
        <v>1100104</v>
      </c>
      <c r="B2808">
        <v>1</v>
      </c>
      <c r="C2808" t="s">
        <v>396</v>
      </c>
      <c r="D2808" t="s">
        <v>62</v>
      </c>
      <c r="K2808" t="s">
        <v>525</v>
      </c>
      <c r="L2808">
        <f t="shared" si="198"/>
        <v>1</v>
      </c>
      <c r="M2808" s="10" t="str">
        <f>IFERROR(_xlfn.XLOOKUP(C2808,[1]StuntDes!$B:$B,[1]StuntDes!$A:$A),"")</f>
        <v/>
      </c>
      <c r="N2808" s="10" t="str">
        <f>IFERROR(_xlfn.XLOOKUP(C2808,[1]ModifierDes!$B:$B,[1]ModifierDes!$A:$A),"")</f>
        <v/>
      </c>
      <c r="O2808" s="10">
        <f>IFERROR(_xlfn.XLOOKUP(C2808,[1]AttributeName!$C:$C,[1]AttributeName!$B:$B),"")</f>
        <v>10503</v>
      </c>
      <c r="P2808" s="10"/>
      <c r="Q2808">
        <v>0.15</v>
      </c>
      <c r="R2808">
        <v>0.15</v>
      </c>
      <c r="S2808" cm="1">
        <f t="array" ref="S2808">IFERROR(_xlfn.SWITCH(L2808,1,_xlfn.XLOOKUP(O2808,[1]AttributeName!$B:$B,[1]AttributeName!$D:$D),2,_xlfn.XLOOKUP(C2808,[1]ModifierDes!$B:$B,[1]ModifierDes!$D:$D),3,_xlfn.XLOOKUP(C2808,[1]StuntDes!$B:$B,[1]StuntDes!$D:$D)),0)</f>
        <v>2</v>
      </c>
      <c r="T2808" cm="1">
        <f t="array" ref="T2808">IFERROR(_xlfn.SWITCH(L2808,1,_xlfn.XLOOKUP(O2808,[1]AttributeName!$B:$B,[1]AttributeName!$E:$E),2,_xlfn.XLOOKUP(C2808,[1]ModifierDes!$B:$B,[1]ModifierDes!$E:$E),3,_xlfn.XLOOKUP(C2808,[1]StuntDes!$B:$B,[1]StuntDes!$E:$E)),0)</f>
        <v>2</v>
      </c>
    </row>
    <row r="2809" customFormat="1" spans="1:20">
      <c r="A2809">
        <v>1100105</v>
      </c>
      <c r="B2809">
        <v>1</v>
      </c>
      <c r="C2809" t="s">
        <v>397</v>
      </c>
      <c r="D2809" t="s">
        <v>63</v>
      </c>
      <c r="K2809" t="s">
        <v>526</v>
      </c>
      <c r="L2809">
        <f t="shared" si="198"/>
        <v>1</v>
      </c>
      <c r="M2809" s="10" t="str">
        <f>IFERROR(_xlfn.XLOOKUP(C2809,[1]StuntDes!$B:$B,[1]StuntDes!$A:$A),"")</f>
        <v/>
      </c>
      <c r="N2809" s="10" t="str">
        <f>IFERROR(_xlfn.XLOOKUP(C2809,[1]ModifierDes!$B:$B,[1]ModifierDes!$A:$A),"")</f>
        <v/>
      </c>
      <c r="O2809" s="10">
        <f>IFERROR(_xlfn.XLOOKUP(C2809,[1]AttributeName!$C:$C,[1]AttributeName!$B:$B),"")</f>
        <v>10504</v>
      </c>
      <c r="P2809" s="10"/>
      <c r="Q2809">
        <v>0.15</v>
      </c>
      <c r="R2809">
        <v>0.15</v>
      </c>
      <c r="S2809" cm="1">
        <f t="array" ref="S2809">IFERROR(_xlfn.SWITCH(L2809,1,_xlfn.XLOOKUP(O2809,[1]AttributeName!$B:$B,[1]AttributeName!$D:$D),2,_xlfn.XLOOKUP(C2809,[1]ModifierDes!$B:$B,[1]ModifierDes!$D:$D),3,_xlfn.XLOOKUP(C2809,[1]StuntDes!$B:$B,[1]StuntDes!$D:$D)),0)</f>
        <v>2</v>
      </c>
      <c r="T2809" cm="1">
        <f t="array" ref="T2809">IFERROR(_xlfn.SWITCH(L2809,1,_xlfn.XLOOKUP(O2809,[1]AttributeName!$B:$B,[1]AttributeName!$E:$E),2,_xlfn.XLOOKUP(C2809,[1]ModifierDes!$B:$B,[1]ModifierDes!$E:$E),3,_xlfn.XLOOKUP(C2809,[1]StuntDes!$B:$B,[1]StuntDes!$E:$E)),0)</f>
        <v>2</v>
      </c>
    </row>
    <row r="2810" customFormat="1" spans="1:20">
      <c r="A2810">
        <v>1100201</v>
      </c>
      <c r="B2810">
        <v>1</v>
      </c>
      <c r="C2810" t="s">
        <v>393</v>
      </c>
      <c r="D2810" t="s">
        <v>64</v>
      </c>
      <c r="K2810" t="s">
        <v>522</v>
      </c>
      <c r="L2810">
        <f t="shared" ref="L2810:L2814" si="199">IF(M2810="",IF(N2810="",1,2),3)</f>
        <v>1</v>
      </c>
      <c r="M2810" s="10" t="str">
        <f>IFERROR(_xlfn.XLOOKUP(C2810,[1]StuntDes!$B:$B,[1]StuntDes!$A:$A),"")</f>
        <v/>
      </c>
      <c r="N2810" s="10" t="str">
        <f>IFERROR(_xlfn.XLOOKUP(C2810,[1]ModifierDes!$B:$B,[1]ModifierDes!$A:$A),"")</f>
        <v/>
      </c>
      <c r="O2810" s="10">
        <f>IFERROR(_xlfn.XLOOKUP(C2810,[1]AttributeName!$C:$C,[1]AttributeName!$B:$B),"")</f>
        <v>10500</v>
      </c>
      <c r="P2810" s="10"/>
      <c r="Q2810">
        <v>0.15</v>
      </c>
      <c r="R2810">
        <v>0.15</v>
      </c>
      <c r="S2810" cm="1">
        <f t="array" ref="S2810">IFERROR(_xlfn.SWITCH(L2810,1,_xlfn.XLOOKUP(O2810,[1]AttributeName!$B:$B,[1]AttributeName!$D:$D),2,_xlfn.XLOOKUP(C2810,[1]ModifierDes!$B:$B,[1]ModifierDes!$D:$D),3,_xlfn.XLOOKUP(C2810,[1]StuntDes!$B:$B,[1]StuntDes!$D:$D)),0)</f>
        <v>2</v>
      </c>
      <c r="T2810" cm="1">
        <f t="array" ref="T2810">IFERROR(_xlfn.SWITCH(L2810,1,_xlfn.XLOOKUP(O2810,[1]AttributeName!$B:$B,[1]AttributeName!$E:$E),2,_xlfn.XLOOKUP(C2810,[1]ModifierDes!$B:$B,[1]ModifierDes!$E:$E),3,_xlfn.XLOOKUP(C2810,[1]StuntDes!$B:$B,[1]StuntDes!$E:$E)),0)</f>
        <v>2</v>
      </c>
    </row>
    <row r="2811" spans="1:20">
      <c r="A2811">
        <v>1100202</v>
      </c>
      <c r="B2811">
        <v>1</v>
      </c>
      <c r="C2811" t="s">
        <v>394</v>
      </c>
      <c r="D2811" t="s">
        <v>65</v>
      </c>
      <c r="K2811" t="s">
        <v>523</v>
      </c>
      <c r="L2811">
        <f t="shared" si="199"/>
        <v>1</v>
      </c>
      <c r="M2811" s="10" t="str">
        <f>IFERROR(_xlfn.XLOOKUP(C2811,[1]StuntDes!$B:$B,[1]StuntDes!$A:$A),"")</f>
        <v/>
      </c>
      <c r="N2811" s="10" t="str">
        <f>IFERROR(_xlfn.XLOOKUP(C2811,[1]ModifierDes!$B:$B,[1]ModifierDes!$A:$A),"")</f>
        <v/>
      </c>
      <c r="O2811" s="10">
        <f>IFERROR(_xlfn.XLOOKUP(C2811,[1]AttributeName!$C:$C,[1]AttributeName!$B:$B),"")</f>
        <v>10501</v>
      </c>
      <c r="P2811" s="10"/>
      <c r="Q2811">
        <v>0.15</v>
      </c>
      <c r="R2811">
        <v>0.15</v>
      </c>
      <c r="S2811" cm="1">
        <f t="array" ref="S2811">IFERROR(_xlfn.SWITCH(L2811,1,_xlfn.XLOOKUP(O2811,[1]AttributeName!$B:$B,[1]AttributeName!$D:$D),2,_xlfn.XLOOKUP(C2811,[1]ModifierDes!$B:$B,[1]ModifierDes!$D:$D),3,_xlfn.XLOOKUP(C2811,[1]StuntDes!$B:$B,[1]StuntDes!$D:$D)),0)</f>
        <v>2</v>
      </c>
      <c r="T2811" cm="1">
        <f t="array" ref="T2811">IFERROR(_xlfn.SWITCH(L2811,1,_xlfn.XLOOKUP(O2811,[1]AttributeName!$B:$B,[1]AttributeName!$E:$E),2,_xlfn.XLOOKUP(C2811,[1]ModifierDes!$B:$B,[1]ModifierDes!$E:$E),3,_xlfn.XLOOKUP(C2811,[1]StuntDes!$B:$B,[1]StuntDes!$E:$E)),0)</f>
        <v>2</v>
      </c>
    </row>
    <row r="2812" customFormat="1" spans="1:20">
      <c r="A2812">
        <v>1100203</v>
      </c>
      <c r="B2812">
        <v>1</v>
      </c>
      <c r="C2812" t="s">
        <v>395</v>
      </c>
      <c r="D2812" t="s">
        <v>66</v>
      </c>
      <c r="K2812" t="s">
        <v>524</v>
      </c>
      <c r="L2812">
        <f t="shared" si="199"/>
        <v>1</v>
      </c>
      <c r="M2812" s="10" t="str">
        <f>IFERROR(_xlfn.XLOOKUP(C2812,[1]StuntDes!$B:$B,[1]StuntDes!$A:$A),"")</f>
        <v/>
      </c>
      <c r="N2812" s="10" t="str">
        <f>IFERROR(_xlfn.XLOOKUP(C2812,[1]ModifierDes!$B:$B,[1]ModifierDes!$A:$A),"")</f>
        <v/>
      </c>
      <c r="O2812" s="10">
        <f>IFERROR(_xlfn.XLOOKUP(C2812,[1]AttributeName!$C:$C,[1]AttributeName!$B:$B),"")</f>
        <v>10502</v>
      </c>
      <c r="P2812" s="10"/>
      <c r="Q2812">
        <v>0.15</v>
      </c>
      <c r="R2812">
        <v>0.15</v>
      </c>
      <c r="S2812" cm="1">
        <f t="array" ref="S2812">IFERROR(_xlfn.SWITCH(L2812,1,_xlfn.XLOOKUP(O2812,[1]AttributeName!$B:$B,[1]AttributeName!$D:$D),2,_xlfn.XLOOKUP(C2812,[1]ModifierDes!$B:$B,[1]ModifierDes!$D:$D),3,_xlfn.XLOOKUP(C2812,[1]StuntDes!$B:$B,[1]StuntDes!$D:$D)),0)</f>
        <v>2</v>
      </c>
      <c r="T2812" cm="1">
        <f t="array" ref="T2812">IFERROR(_xlfn.SWITCH(L2812,1,_xlfn.XLOOKUP(O2812,[1]AttributeName!$B:$B,[1]AttributeName!$E:$E),2,_xlfn.XLOOKUP(C2812,[1]ModifierDes!$B:$B,[1]ModifierDes!$E:$E),3,_xlfn.XLOOKUP(C2812,[1]StuntDes!$B:$B,[1]StuntDes!$E:$E)),0)</f>
        <v>2</v>
      </c>
    </row>
    <row r="2813" customFormat="1" spans="1:20">
      <c r="A2813">
        <v>1100204</v>
      </c>
      <c r="B2813">
        <v>1</v>
      </c>
      <c r="C2813" t="s">
        <v>396</v>
      </c>
      <c r="D2813" t="s">
        <v>67</v>
      </c>
      <c r="K2813" t="s">
        <v>525</v>
      </c>
      <c r="L2813">
        <f t="shared" si="199"/>
        <v>1</v>
      </c>
      <c r="M2813" s="10" t="str">
        <f>IFERROR(_xlfn.XLOOKUP(C2813,[1]StuntDes!$B:$B,[1]StuntDes!$A:$A),"")</f>
        <v/>
      </c>
      <c r="N2813" s="10" t="str">
        <f>IFERROR(_xlfn.XLOOKUP(C2813,[1]ModifierDes!$B:$B,[1]ModifierDes!$A:$A),"")</f>
        <v/>
      </c>
      <c r="O2813" s="10">
        <f>IFERROR(_xlfn.XLOOKUP(C2813,[1]AttributeName!$C:$C,[1]AttributeName!$B:$B),"")</f>
        <v>10503</v>
      </c>
      <c r="P2813" s="10"/>
      <c r="Q2813">
        <v>0.15</v>
      </c>
      <c r="R2813">
        <v>0.15</v>
      </c>
      <c r="S2813" cm="1">
        <f t="array" ref="S2813">IFERROR(_xlfn.SWITCH(L2813,1,_xlfn.XLOOKUP(O2813,[1]AttributeName!$B:$B,[1]AttributeName!$D:$D),2,_xlfn.XLOOKUP(C2813,[1]ModifierDes!$B:$B,[1]ModifierDes!$D:$D),3,_xlfn.XLOOKUP(C2813,[1]StuntDes!$B:$B,[1]StuntDes!$D:$D)),0)</f>
        <v>2</v>
      </c>
      <c r="T2813" cm="1">
        <f t="array" ref="T2813">IFERROR(_xlfn.SWITCH(L2813,1,_xlfn.XLOOKUP(O2813,[1]AttributeName!$B:$B,[1]AttributeName!$E:$E),2,_xlfn.XLOOKUP(C2813,[1]ModifierDes!$B:$B,[1]ModifierDes!$E:$E),3,_xlfn.XLOOKUP(C2813,[1]StuntDes!$B:$B,[1]StuntDes!$E:$E)),0)</f>
        <v>2</v>
      </c>
    </row>
    <row r="2814" customFormat="1" spans="1:20">
      <c r="A2814">
        <v>1100205</v>
      </c>
      <c r="B2814">
        <v>1</v>
      </c>
      <c r="C2814" t="s">
        <v>397</v>
      </c>
      <c r="D2814" t="s">
        <v>68</v>
      </c>
      <c r="K2814" t="s">
        <v>526</v>
      </c>
      <c r="L2814">
        <f t="shared" si="199"/>
        <v>1</v>
      </c>
      <c r="M2814" s="10" t="str">
        <f>IFERROR(_xlfn.XLOOKUP(C2814,[1]StuntDes!$B:$B,[1]StuntDes!$A:$A),"")</f>
        <v/>
      </c>
      <c r="N2814" s="10" t="str">
        <f>IFERROR(_xlfn.XLOOKUP(C2814,[1]ModifierDes!$B:$B,[1]ModifierDes!$A:$A),"")</f>
        <v/>
      </c>
      <c r="O2814" s="10">
        <f>IFERROR(_xlfn.XLOOKUP(C2814,[1]AttributeName!$C:$C,[1]AttributeName!$B:$B),"")</f>
        <v>10504</v>
      </c>
      <c r="P2814" s="10"/>
      <c r="Q2814">
        <v>0.15</v>
      </c>
      <c r="R2814">
        <v>0.15</v>
      </c>
      <c r="S2814" cm="1">
        <f t="array" ref="S2814">IFERROR(_xlfn.SWITCH(L2814,1,_xlfn.XLOOKUP(O2814,[1]AttributeName!$B:$B,[1]AttributeName!$D:$D),2,_xlfn.XLOOKUP(C2814,[1]ModifierDes!$B:$B,[1]ModifierDes!$D:$D),3,_xlfn.XLOOKUP(C2814,[1]StuntDes!$B:$B,[1]StuntDes!$D:$D)),0)</f>
        <v>2</v>
      </c>
      <c r="T2814" cm="1">
        <f t="array" ref="T2814">IFERROR(_xlfn.SWITCH(L2814,1,_xlfn.XLOOKUP(O2814,[1]AttributeName!$B:$B,[1]AttributeName!$E:$E),2,_xlfn.XLOOKUP(C2814,[1]ModifierDes!$B:$B,[1]ModifierDes!$E:$E),3,_xlfn.XLOOKUP(C2814,[1]StuntDes!$B:$B,[1]StuntDes!$E:$E)),0)</f>
        <v>2</v>
      </c>
    </row>
    <row r="2815" spans="1:20">
      <c r="A2815">
        <v>1100301</v>
      </c>
      <c r="B2815">
        <v>1</v>
      </c>
      <c r="C2815" t="s">
        <v>393</v>
      </c>
      <c r="D2815" t="s">
        <v>69</v>
      </c>
      <c r="K2815" t="s">
        <v>522</v>
      </c>
      <c r="L2815">
        <f t="shared" ref="L2815:L2819" si="200">IF(M2815="",IF(N2815="",1,2),3)</f>
        <v>1</v>
      </c>
      <c r="M2815" s="10" t="str">
        <f>IFERROR(_xlfn.XLOOKUP(C2815,[1]StuntDes!$B:$B,[1]StuntDes!$A:$A),"")</f>
        <v/>
      </c>
      <c r="N2815" s="10" t="str">
        <f>IFERROR(_xlfn.XLOOKUP(C2815,[1]ModifierDes!$B:$B,[1]ModifierDes!$A:$A),"")</f>
        <v/>
      </c>
      <c r="O2815" s="10">
        <f>IFERROR(_xlfn.XLOOKUP(C2815,[1]AttributeName!$C:$C,[1]AttributeName!$B:$B),"")</f>
        <v>10500</v>
      </c>
      <c r="P2815" s="10"/>
      <c r="Q2815">
        <v>0.15</v>
      </c>
      <c r="R2815">
        <v>0.15</v>
      </c>
      <c r="S2815" cm="1">
        <f t="array" ref="S2815">IFERROR(_xlfn.SWITCH(L2815,1,_xlfn.XLOOKUP(O2815,[1]AttributeName!$B:$B,[1]AttributeName!$D:$D),2,_xlfn.XLOOKUP(C2815,[1]ModifierDes!$B:$B,[1]ModifierDes!$D:$D),3,_xlfn.XLOOKUP(C2815,[1]StuntDes!$B:$B,[1]StuntDes!$D:$D)),0)</f>
        <v>2</v>
      </c>
      <c r="T2815" cm="1">
        <f t="array" ref="T2815">IFERROR(_xlfn.SWITCH(L2815,1,_xlfn.XLOOKUP(O2815,[1]AttributeName!$B:$B,[1]AttributeName!$E:$E),2,_xlfn.XLOOKUP(C2815,[1]ModifierDes!$B:$B,[1]ModifierDes!$E:$E),3,_xlfn.XLOOKUP(C2815,[1]StuntDes!$B:$B,[1]StuntDes!$E:$E)),0)</f>
        <v>2</v>
      </c>
    </row>
    <row r="2816" spans="1:20">
      <c r="A2816">
        <v>1100302</v>
      </c>
      <c r="B2816">
        <v>1</v>
      </c>
      <c r="C2816" t="s">
        <v>394</v>
      </c>
      <c r="D2816" t="s">
        <v>70</v>
      </c>
      <c r="K2816" t="s">
        <v>523</v>
      </c>
      <c r="L2816">
        <f t="shared" si="200"/>
        <v>1</v>
      </c>
      <c r="M2816" s="10" t="str">
        <f>IFERROR(_xlfn.XLOOKUP(C2816,[1]StuntDes!$B:$B,[1]StuntDes!$A:$A),"")</f>
        <v/>
      </c>
      <c r="N2816" s="10" t="str">
        <f>IFERROR(_xlfn.XLOOKUP(C2816,[1]ModifierDes!$B:$B,[1]ModifierDes!$A:$A),"")</f>
        <v/>
      </c>
      <c r="O2816" s="10">
        <f>IFERROR(_xlfn.XLOOKUP(C2816,[1]AttributeName!$C:$C,[1]AttributeName!$B:$B),"")</f>
        <v>10501</v>
      </c>
      <c r="P2816" s="10"/>
      <c r="Q2816">
        <v>0.15</v>
      </c>
      <c r="R2816">
        <v>0.15</v>
      </c>
      <c r="S2816" cm="1">
        <f t="array" ref="S2816">IFERROR(_xlfn.SWITCH(L2816,1,_xlfn.XLOOKUP(O2816,[1]AttributeName!$B:$B,[1]AttributeName!$D:$D),2,_xlfn.XLOOKUP(C2816,[1]ModifierDes!$B:$B,[1]ModifierDes!$D:$D),3,_xlfn.XLOOKUP(C2816,[1]StuntDes!$B:$B,[1]StuntDes!$D:$D)),0)</f>
        <v>2</v>
      </c>
      <c r="T2816" cm="1">
        <f t="array" ref="T2816">IFERROR(_xlfn.SWITCH(L2816,1,_xlfn.XLOOKUP(O2816,[1]AttributeName!$B:$B,[1]AttributeName!$E:$E),2,_xlfn.XLOOKUP(C2816,[1]ModifierDes!$B:$B,[1]ModifierDes!$E:$E),3,_xlfn.XLOOKUP(C2816,[1]StuntDes!$B:$B,[1]StuntDes!$E:$E)),0)</f>
        <v>2</v>
      </c>
    </row>
    <row r="2817" spans="1:20">
      <c r="A2817">
        <v>1100303</v>
      </c>
      <c r="B2817">
        <v>1</v>
      </c>
      <c r="C2817" t="s">
        <v>395</v>
      </c>
      <c r="D2817" t="s">
        <v>71</v>
      </c>
      <c r="K2817" t="s">
        <v>524</v>
      </c>
      <c r="L2817">
        <f t="shared" si="200"/>
        <v>1</v>
      </c>
      <c r="M2817" s="10" t="str">
        <f>IFERROR(_xlfn.XLOOKUP(C2817,[1]StuntDes!$B:$B,[1]StuntDes!$A:$A),"")</f>
        <v/>
      </c>
      <c r="N2817" s="10" t="str">
        <f>IFERROR(_xlfn.XLOOKUP(C2817,[1]ModifierDes!$B:$B,[1]ModifierDes!$A:$A),"")</f>
        <v/>
      </c>
      <c r="O2817" s="10">
        <f>IFERROR(_xlfn.XLOOKUP(C2817,[1]AttributeName!$C:$C,[1]AttributeName!$B:$B),"")</f>
        <v>10502</v>
      </c>
      <c r="P2817" s="10"/>
      <c r="Q2817">
        <v>0.15</v>
      </c>
      <c r="R2817">
        <v>0.15</v>
      </c>
      <c r="S2817" cm="1">
        <f t="array" ref="S2817">IFERROR(_xlfn.SWITCH(L2817,1,_xlfn.XLOOKUP(O2817,[1]AttributeName!$B:$B,[1]AttributeName!$D:$D),2,_xlfn.XLOOKUP(C2817,[1]ModifierDes!$B:$B,[1]ModifierDes!$D:$D),3,_xlfn.XLOOKUP(C2817,[1]StuntDes!$B:$B,[1]StuntDes!$D:$D)),0)</f>
        <v>2</v>
      </c>
      <c r="T2817" cm="1">
        <f t="array" ref="T2817">IFERROR(_xlfn.SWITCH(L2817,1,_xlfn.XLOOKUP(O2817,[1]AttributeName!$B:$B,[1]AttributeName!$E:$E),2,_xlfn.XLOOKUP(C2817,[1]ModifierDes!$B:$B,[1]ModifierDes!$E:$E),3,_xlfn.XLOOKUP(C2817,[1]StuntDes!$B:$B,[1]StuntDes!$E:$E)),0)</f>
        <v>2</v>
      </c>
    </row>
    <row r="2818" customFormat="1" spans="1:20">
      <c r="A2818">
        <v>1100304</v>
      </c>
      <c r="B2818">
        <v>1</v>
      </c>
      <c r="C2818" t="s">
        <v>396</v>
      </c>
      <c r="D2818" t="s">
        <v>72</v>
      </c>
      <c r="K2818" t="s">
        <v>525</v>
      </c>
      <c r="L2818">
        <f t="shared" si="200"/>
        <v>1</v>
      </c>
      <c r="M2818" s="10" t="str">
        <f>IFERROR(_xlfn.XLOOKUP(C2818,[1]StuntDes!$B:$B,[1]StuntDes!$A:$A),"")</f>
        <v/>
      </c>
      <c r="N2818" s="10" t="str">
        <f>IFERROR(_xlfn.XLOOKUP(C2818,[1]ModifierDes!$B:$B,[1]ModifierDes!$A:$A),"")</f>
        <v/>
      </c>
      <c r="O2818" s="10">
        <f>IFERROR(_xlfn.XLOOKUP(C2818,[1]AttributeName!$C:$C,[1]AttributeName!$B:$B),"")</f>
        <v>10503</v>
      </c>
      <c r="P2818" s="10"/>
      <c r="Q2818">
        <v>0.15</v>
      </c>
      <c r="R2818">
        <v>0.15</v>
      </c>
      <c r="S2818" cm="1">
        <f t="array" ref="S2818">IFERROR(_xlfn.SWITCH(L2818,1,_xlfn.XLOOKUP(O2818,[1]AttributeName!$B:$B,[1]AttributeName!$D:$D),2,_xlfn.XLOOKUP(C2818,[1]ModifierDes!$B:$B,[1]ModifierDes!$D:$D),3,_xlfn.XLOOKUP(C2818,[1]StuntDes!$B:$B,[1]StuntDes!$D:$D)),0)</f>
        <v>2</v>
      </c>
      <c r="T2818" cm="1">
        <f t="array" ref="T2818">IFERROR(_xlfn.SWITCH(L2818,1,_xlfn.XLOOKUP(O2818,[1]AttributeName!$B:$B,[1]AttributeName!$E:$E),2,_xlfn.XLOOKUP(C2818,[1]ModifierDes!$B:$B,[1]ModifierDes!$E:$E),3,_xlfn.XLOOKUP(C2818,[1]StuntDes!$B:$B,[1]StuntDes!$E:$E)),0)</f>
        <v>2</v>
      </c>
    </row>
    <row r="2819" customFormat="1" spans="1:20">
      <c r="A2819">
        <v>1100305</v>
      </c>
      <c r="B2819">
        <v>1</v>
      </c>
      <c r="C2819" t="s">
        <v>397</v>
      </c>
      <c r="D2819" t="s">
        <v>73</v>
      </c>
      <c r="K2819" t="s">
        <v>526</v>
      </c>
      <c r="L2819">
        <f t="shared" si="200"/>
        <v>1</v>
      </c>
      <c r="M2819" s="10" t="str">
        <f>IFERROR(_xlfn.XLOOKUP(C2819,[1]StuntDes!$B:$B,[1]StuntDes!$A:$A),"")</f>
        <v/>
      </c>
      <c r="N2819" s="10" t="str">
        <f>IFERROR(_xlfn.XLOOKUP(C2819,[1]ModifierDes!$B:$B,[1]ModifierDes!$A:$A),"")</f>
        <v/>
      </c>
      <c r="O2819" s="10">
        <f>IFERROR(_xlfn.XLOOKUP(C2819,[1]AttributeName!$C:$C,[1]AttributeName!$B:$B),"")</f>
        <v>10504</v>
      </c>
      <c r="P2819" s="10"/>
      <c r="Q2819">
        <v>0.15</v>
      </c>
      <c r="R2819">
        <v>0.15</v>
      </c>
      <c r="S2819" cm="1">
        <f t="array" ref="S2819">IFERROR(_xlfn.SWITCH(L2819,1,_xlfn.XLOOKUP(O2819,[1]AttributeName!$B:$B,[1]AttributeName!$D:$D),2,_xlfn.XLOOKUP(C2819,[1]ModifierDes!$B:$B,[1]ModifierDes!$D:$D),3,_xlfn.XLOOKUP(C2819,[1]StuntDes!$B:$B,[1]StuntDes!$D:$D)),0)</f>
        <v>2</v>
      </c>
      <c r="T2819" cm="1">
        <f t="array" ref="T2819">IFERROR(_xlfn.SWITCH(L2819,1,_xlfn.XLOOKUP(O2819,[1]AttributeName!$B:$B,[1]AttributeName!$E:$E),2,_xlfn.XLOOKUP(C2819,[1]ModifierDes!$B:$B,[1]ModifierDes!$E:$E),3,_xlfn.XLOOKUP(C2819,[1]StuntDes!$B:$B,[1]StuntDes!$E:$E)),0)</f>
        <v>2</v>
      </c>
    </row>
    <row r="2820" spans="1:20">
      <c r="A2820">
        <v>1200101</v>
      </c>
      <c r="B2820">
        <v>1</v>
      </c>
      <c r="C2820" t="s">
        <v>424</v>
      </c>
      <c r="D2820" t="s">
        <v>74</v>
      </c>
      <c r="K2820" t="s">
        <v>527</v>
      </c>
      <c r="L2820">
        <f t="shared" ref="L2820:L2853" si="201">IF(M2820="",IF(N2820="",1,2),3)</f>
        <v>1</v>
      </c>
      <c r="M2820" s="10" t="str">
        <f>IFERROR(_xlfn.XLOOKUP(C2820,[1]StuntDes!$B:$B,[1]StuntDes!$A:$A),"")</f>
        <v/>
      </c>
      <c r="N2820" s="10" t="str">
        <f>IFERROR(_xlfn.XLOOKUP(C2820,[1]ModifierDes!$B:$B,[1]ModifierDes!$A:$A),"")</f>
        <v/>
      </c>
      <c r="O2820" s="10">
        <f>IFERROR(_xlfn.XLOOKUP(C2820,[1]AttributeName!$C:$C,[1]AttributeName!$B:$B),"")</f>
        <v>10013</v>
      </c>
      <c r="P2820" s="10"/>
      <c r="Q2820">
        <v>0.15</v>
      </c>
      <c r="R2820">
        <v>0.15</v>
      </c>
      <c r="S2820" cm="1">
        <f t="array" ref="S2820">IFERROR(_xlfn.SWITCH(L2820,1,_xlfn.XLOOKUP(O2820,[1]AttributeName!$B:$B,[1]AttributeName!$D:$D),2,_xlfn.XLOOKUP(C2820,[1]ModifierDes!$B:$B,[1]ModifierDes!$D:$D),3,_xlfn.XLOOKUP(C2820,[1]StuntDes!$B:$B,[1]StuntDes!$D:$D)),0)</f>
        <v>2</v>
      </c>
      <c r="T2820" cm="1">
        <f t="array" ref="T2820">IFERROR(_xlfn.SWITCH(L2820,1,_xlfn.XLOOKUP(O2820,[1]AttributeName!$B:$B,[1]AttributeName!$E:$E),2,_xlfn.XLOOKUP(C2820,[1]ModifierDes!$B:$B,[1]ModifierDes!$E:$E),3,_xlfn.XLOOKUP(C2820,[1]StuntDes!$B:$B,[1]StuntDes!$E:$E)),0)</f>
        <v>2</v>
      </c>
    </row>
    <row r="2821" spans="1:20">
      <c r="A2821">
        <v>1200102</v>
      </c>
      <c r="B2821">
        <v>1</v>
      </c>
      <c r="C2821" t="s">
        <v>425</v>
      </c>
      <c r="D2821" t="s">
        <v>77</v>
      </c>
      <c r="K2821" t="s">
        <v>528</v>
      </c>
      <c r="L2821">
        <f t="shared" si="201"/>
        <v>1</v>
      </c>
      <c r="M2821" s="10" t="str">
        <f>IFERROR(_xlfn.XLOOKUP(C2821,[1]StuntDes!$B:$B,[1]StuntDes!$A:$A),"")</f>
        <v/>
      </c>
      <c r="N2821" s="10" t="str">
        <f>IFERROR(_xlfn.XLOOKUP(C2821,[1]ModifierDes!$B:$B,[1]ModifierDes!$A:$A),"")</f>
        <v/>
      </c>
      <c r="O2821" s="10">
        <f>IFERROR(_xlfn.XLOOKUP(C2821,[1]AttributeName!$C:$C,[1]AttributeName!$B:$B),"")</f>
        <v>10011</v>
      </c>
      <c r="P2821" s="10"/>
      <c r="Q2821">
        <v>0.15</v>
      </c>
      <c r="R2821">
        <v>0.15</v>
      </c>
      <c r="S2821" cm="1">
        <f t="array" ref="S2821">IFERROR(_xlfn.SWITCH(L2821,1,_xlfn.XLOOKUP(O2821,[1]AttributeName!$B:$B,[1]AttributeName!$D:$D),2,_xlfn.XLOOKUP(C2821,[1]ModifierDes!$B:$B,[1]ModifierDes!$D:$D),3,_xlfn.XLOOKUP(C2821,[1]StuntDes!$B:$B,[1]StuntDes!$D:$D)),0)</f>
        <v>2</v>
      </c>
      <c r="T2821" cm="1">
        <f t="array" ref="T2821">IFERROR(_xlfn.SWITCH(L2821,1,_xlfn.XLOOKUP(O2821,[1]AttributeName!$B:$B,[1]AttributeName!$E:$E),2,_xlfn.XLOOKUP(C2821,[1]ModifierDes!$B:$B,[1]ModifierDes!$E:$E),3,_xlfn.XLOOKUP(C2821,[1]StuntDes!$B:$B,[1]StuntDes!$E:$E)),0)</f>
        <v>2</v>
      </c>
    </row>
    <row r="2822" customFormat="1" spans="1:20">
      <c r="A2822">
        <v>1200103</v>
      </c>
      <c r="B2822">
        <v>1</v>
      </c>
      <c r="C2822" t="s">
        <v>90</v>
      </c>
      <c r="D2822" t="s">
        <v>79</v>
      </c>
      <c r="L2822">
        <f t="shared" si="201"/>
        <v>1</v>
      </c>
      <c r="M2822" s="10" t="str">
        <f>IFERROR(_xlfn.XLOOKUP(C2822,[1]StuntDes!$B:$B,[1]StuntDes!$A:$A),"")</f>
        <v/>
      </c>
      <c r="N2822" s="10" t="str">
        <f>IFERROR(_xlfn.XLOOKUP(C2822,[1]ModifierDes!$B:$B,[1]ModifierDes!$A:$A),"")</f>
        <v/>
      </c>
      <c r="O2822" s="10" t="str">
        <f>IFERROR(_xlfn.XLOOKUP(C2822,[1]AttributeName!$C:$C,[1]AttributeName!$B:$B),"")</f>
        <v/>
      </c>
      <c r="P2822" s="10"/>
      <c r="Q2822">
        <v>0.2</v>
      </c>
      <c r="R2822">
        <v>0.2</v>
      </c>
      <c r="S2822" cm="1">
        <f t="array" ref="S2822">IFERROR(_xlfn.SWITCH(L2822,1,_xlfn.XLOOKUP(O2822,[1]AttributeName!$B:$B,[1]AttributeName!$D:$D),2,_xlfn.XLOOKUP(C2822,[1]ModifierDes!$B:$B,[1]ModifierDes!$D:$D),3,_xlfn.XLOOKUP(C2822,[1]StuntDes!$B:$B,[1]StuntDes!$D:$D)),0)</f>
        <v>0</v>
      </c>
      <c r="T2822" cm="1">
        <f t="array" ref="T2822">IFERROR(_xlfn.SWITCH(L2822,1,_xlfn.XLOOKUP(O2822,[1]AttributeName!$B:$B,[1]AttributeName!$E:$E),2,_xlfn.XLOOKUP(C2822,[1]ModifierDes!$B:$B,[1]ModifierDes!$E:$E),3,_xlfn.XLOOKUP(C2822,[1]StuntDes!$B:$B,[1]StuntDes!$E:$E)),0)</f>
        <v>0</v>
      </c>
    </row>
    <row r="2823" spans="1:20">
      <c r="A2823">
        <v>1300101</v>
      </c>
      <c r="B2823">
        <v>1</v>
      </c>
      <c r="C2823" t="s">
        <v>433</v>
      </c>
      <c r="D2823" t="s">
        <v>80</v>
      </c>
      <c r="K2823" t="s">
        <v>529</v>
      </c>
      <c r="L2823">
        <f t="shared" si="201"/>
        <v>1</v>
      </c>
      <c r="M2823" s="10" t="str">
        <f>IFERROR(_xlfn.XLOOKUP(C2823,[1]StuntDes!$B:$B,[1]StuntDes!$A:$A),"")</f>
        <v/>
      </c>
      <c r="N2823" s="10" t="str">
        <f>IFERROR(_xlfn.XLOOKUP(C2823,[1]ModifierDes!$B:$B,[1]ModifierDes!$A:$A),"")</f>
        <v/>
      </c>
      <c r="O2823" s="10">
        <f>IFERROR(_xlfn.XLOOKUP(C2823,[1]AttributeName!$C:$C,[1]AttributeName!$B:$B),"")</f>
        <v>10312</v>
      </c>
      <c r="P2823" s="10"/>
      <c r="Q2823">
        <v>0.2</v>
      </c>
      <c r="R2823">
        <v>0.2</v>
      </c>
      <c r="S2823" cm="1">
        <f t="array" ref="S2823">IFERROR(_xlfn.SWITCH(L2823,1,_xlfn.XLOOKUP(O2823,[1]AttributeName!$B:$B,[1]AttributeName!$D:$D),2,_xlfn.XLOOKUP(C2823,[1]ModifierDes!$B:$B,[1]ModifierDes!$D:$D),3,_xlfn.XLOOKUP(C2823,[1]StuntDes!$B:$B,[1]StuntDes!$D:$D)),0)</f>
        <v>2</v>
      </c>
      <c r="T2823" cm="1">
        <f t="array" ref="T2823">IFERROR(_xlfn.SWITCH(L2823,1,_xlfn.XLOOKUP(O2823,[1]AttributeName!$B:$B,[1]AttributeName!$E:$E),2,_xlfn.XLOOKUP(C2823,[1]ModifierDes!$B:$B,[1]ModifierDes!$E:$E),3,_xlfn.XLOOKUP(C2823,[1]StuntDes!$B:$B,[1]StuntDes!$E:$E)),0)</f>
        <v>2</v>
      </c>
    </row>
    <row r="2824" spans="1:20">
      <c r="A2824">
        <v>1300102</v>
      </c>
      <c r="B2824">
        <v>1</v>
      </c>
      <c r="C2824" t="s">
        <v>434</v>
      </c>
      <c r="D2824" t="s">
        <v>82</v>
      </c>
      <c r="K2824" t="s">
        <v>530</v>
      </c>
      <c r="L2824">
        <f t="shared" si="201"/>
        <v>1</v>
      </c>
      <c r="M2824" s="10" t="str">
        <f>IFERROR(_xlfn.XLOOKUP(C2824,[1]StuntDes!$B:$B,[1]StuntDes!$A:$A),"")</f>
        <v/>
      </c>
      <c r="N2824" s="10" t="str">
        <f>IFERROR(_xlfn.XLOOKUP(C2824,[1]ModifierDes!$B:$B,[1]ModifierDes!$A:$A),"")</f>
        <v/>
      </c>
      <c r="O2824" s="10">
        <f>IFERROR(_xlfn.XLOOKUP(C2824,[1]AttributeName!$C:$C,[1]AttributeName!$B:$B),"")</f>
        <v>10313</v>
      </c>
      <c r="P2824" s="10"/>
      <c r="Q2824">
        <v>0.2</v>
      </c>
      <c r="R2824">
        <v>0.2</v>
      </c>
      <c r="S2824" cm="1">
        <f t="array" ref="S2824">IFERROR(_xlfn.SWITCH(L2824,1,_xlfn.XLOOKUP(O2824,[1]AttributeName!$B:$B,[1]AttributeName!$D:$D),2,_xlfn.XLOOKUP(C2824,[1]ModifierDes!$B:$B,[1]ModifierDes!$D:$D),3,_xlfn.XLOOKUP(C2824,[1]StuntDes!$B:$B,[1]StuntDes!$D:$D)),0)</f>
        <v>2</v>
      </c>
      <c r="T2824" cm="1">
        <f t="array" ref="T2824">IFERROR(_xlfn.SWITCH(L2824,1,_xlfn.XLOOKUP(O2824,[1]AttributeName!$B:$B,[1]AttributeName!$E:$E),2,_xlfn.XLOOKUP(C2824,[1]ModifierDes!$B:$B,[1]ModifierDes!$E:$E),3,_xlfn.XLOOKUP(C2824,[1]StuntDes!$B:$B,[1]StuntDes!$E:$E)),0)</f>
        <v>2</v>
      </c>
    </row>
    <row r="2825" customFormat="1" spans="1:20">
      <c r="A2825">
        <v>1300103</v>
      </c>
      <c r="B2825">
        <v>1</v>
      </c>
      <c r="C2825" t="s">
        <v>435</v>
      </c>
      <c r="D2825" t="s">
        <v>84</v>
      </c>
      <c r="K2825" t="s">
        <v>531</v>
      </c>
      <c r="L2825">
        <f t="shared" si="201"/>
        <v>1</v>
      </c>
      <c r="M2825" s="10" t="str">
        <f>IFERROR(_xlfn.XLOOKUP(C2825,[1]StuntDes!$B:$B,[1]StuntDes!$A:$A),"")</f>
        <v/>
      </c>
      <c r="N2825" s="10" t="str">
        <f>IFERROR(_xlfn.XLOOKUP(C2825,[1]ModifierDes!$B:$B,[1]ModifierDes!$A:$A),"")</f>
        <v/>
      </c>
      <c r="O2825" s="10">
        <f>IFERROR(_xlfn.XLOOKUP(C2825,[1]AttributeName!$C:$C,[1]AttributeName!$B:$B),"")</f>
        <v>10314</v>
      </c>
      <c r="P2825" s="10"/>
      <c r="Q2825">
        <v>0.2</v>
      </c>
      <c r="R2825">
        <v>0.2</v>
      </c>
      <c r="S2825" cm="1">
        <f t="array" ref="S2825">IFERROR(_xlfn.SWITCH(L2825,1,_xlfn.XLOOKUP(O2825,[1]AttributeName!$B:$B,[1]AttributeName!$D:$D),2,_xlfn.XLOOKUP(C2825,[1]ModifierDes!$B:$B,[1]ModifierDes!$D:$D),3,_xlfn.XLOOKUP(C2825,[1]StuntDes!$B:$B,[1]StuntDes!$D:$D)),0)</f>
        <v>2</v>
      </c>
      <c r="T2825" cm="1">
        <f t="array" ref="T2825">IFERROR(_xlfn.SWITCH(L2825,1,_xlfn.XLOOKUP(O2825,[1]AttributeName!$B:$B,[1]AttributeName!$E:$E),2,_xlfn.XLOOKUP(C2825,[1]ModifierDes!$B:$B,[1]ModifierDes!$E:$E),3,_xlfn.XLOOKUP(C2825,[1]StuntDes!$B:$B,[1]StuntDes!$E:$E)),0)</f>
        <v>2</v>
      </c>
    </row>
    <row r="2826" customFormat="1" spans="1:20">
      <c r="A2826">
        <v>1400101</v>
      </c>
      <c r="B2826">
        <v>1</v>
      </c>
      <c r="C2826" t="s">
        <v>432</v>
      </c>
      <c r="D2826" t="s">
        <v>86</v>
      </c>
      <c r="K2826" t="s">
        <v>532</v>
      </c>
      <c r="L2826">
        <f t="shared" si="201"/>
        <v>1</v>
      </c>
      <c r="M2826" s="10" t="str">
        <f>IFERROR(_xlfn.XLOOKUP(C2826,[1]StuntDes!$B:$B,[1]StuntDes!$A:$A),"")</f>
        <v/>
      </c>
      <c r="N2826" s="10" t="str">
        <f>IFERROR(_xlfn.XLOOKUP(C2826,[1]ModifierDes!$B:$B,[1]ModifierDes!$A:$A),"")</f>
        <v/>
      </c>
      <c r="O2826" s="10">
        <f>IFERROR(_xlfn.XLOOKUP(C2826,[1]AttributeName!$C:$C,[1]AttributeName!$B:$B),"")</f>
        <v>10311</v>
      </c>
      <c r="P2826" s="10"/>
      <c r="Q2826">
        <v>0.2</v>
      </c>
      <c r="R2826">
        <v>0.2</v>
      </c>
      <c r="S2826" cm="1">
        <f t="array" ref="S2826">IFERROR(_xlfn.SWITCH(L2826,1,_xlfn.XLOOKUP(O2826,[1]AttributeName!$B:$B,[1]AttributeName!$D:$D),2,_xlfn.XLOOKUP(C2826,[1]ModifierDes!$B:$B,[1]ModifierDes!$D:$D),3,_xlfn.XLOOKUP(C2826,[1]StuntDes!$B:$B,[1]StuntDes!$D:$D)),0)</f>
        <v>2</v>
      </c>
      <c r="T2826" cm="1">
        <f t="array" ref="T2826">IFERROR(_xlfn.SWITCH(L2826,1,_xlfn.XLOOKUP(O2826,[1]AttributeName!$B:$B,[1]AttributeName!$E:$E),2,_xlfn.XLOOKUP(C2826,[1]ModifierDes!$B:$B,[1]ModifierDes!$E:$E),3,_xlfn.XLOOKUP(C2826,[1]StuntDes!$B:$B,[1]StuntDes!$E:$E)),0)</f>
        <v>2</v>
      </c>
    </row>
    <row r="2827" spans="1:20">
      <c r="A2827">
        <v>1400102</v>
      </c>
      <c r="B2827">
        <v>1</v>
      </c>
      <c r="C2827" t="s">
        <v>436</v>
      </c>
      <c r="D2827" t="s">
        <v>88</v>
      </c>
      <c r="K2827" t="s">
        <v>533</v>
      </c>
      <c r="L2827">
        <f t="shared" si="201"/>
        <v>1</v>
      </c>
      <c r="M2827" s="10" t="str">
        <f>IFERROR(_xlfn.XLOOKUP(C2827,[1]StuntDes!$B:$B,[1]StuntDes!$A:$A),"")</f>
        <v/>
      </c>
      <c r="N2827" s="10" t="str">
        <f>IFERROR(_xlfn.XLOOKUP(C2827,[1]ModifierDes!$B:$B,[1]ModifierDes!$A:$A),"")</f>
        <v/>
      </c>
      <c r="O2827" s="10">
        <f>IFERROR(_xlfn.XLOOKUP(C2827,[1]AttributeName!$C:$C,[1]AttributeName!$B:$B),"")</f>
        <v>10315</v>
      </c>
      <c r="P2827" s="10"/>
      <c r="Q2827">
        <v>0.1</v>
      </c>
      <c r="R2827">
        <v>0.1</v>
      </c>
      <c r="S2827" cm="1">
        <f t="array" ref="S2827">IFERROR(_xlfn.SWITCH(L2827,1,_xlfn.XLOOKUP(O2827,[1]AttributeName!$B:$B,[1]AttributeName!$D:$D),2,_xlfn.XLOOKUP(C2827,[1]ModifierDes!$B:$B,[1]ModifierDes!$D:$D),3,_xlfn.XLOOKUP(C2827,[1]StuntDes!$B:$B,[1]StuntDes!$D:$D)),0)</f>
        <v>2</v>
      </c>
      <c r="T2827" cm="1">
        <f t="array" ref="T2827">IFERROR(_xlfn.SWITCH(L2827,1,_xlfn.XLOOKUP(O2827,[1]AttributeName!$B:$B,[1]AttributeName!$E:$E),2,_xlfn.XLOOKUP(C2827,[1]ModifierDes!$B:$B,[1]ModifierDes!$E:$E),3,_xlfn.XLOOKUP(C2827,[1]StuntDes!$B:$B,[1]StuntDes!$E:$E)),0)</f>
        <v>2</v>
      </c>
    </row>
    <row r="2828" customFormat="1" spans="1:20">
      <c r="A2828">
        <v>1400103</v>
      </c>
      <c r="B2828">
        <v>1</v>
      </c>
      <c r="C2828" t="s">
        <v>90</v>
      </c>
      <c r="D2828" t="s">
        <v>90</v>
      </c>
      <c r="L2828">
        <f t="shared" si="201"/>
        <v>1</v>
      </c>
      <c r="M2828" s="10" t="str">
        <f>IFERROR(_xlfn.XLOOKUP(C2828,[1]StuntDes!$B:$B,[1]StuntDes!$A:$A),"")</f>
        <v/>
      </c>
      <c r="N2828" s="10" t="str">
        <f>IFERROR(_xlfn.XLOOKUP(C2828,[1]ModifierDes!$B:$B,[1]ModifierDes!$A:$A),"")</f>
        <v/>
      </c>
      <c r="O2828" s="10" t="str">
        <f>IFERROR(_xlfn.XLOOKUP(C2828,[1]AttributeName!$C:$C,[1]AttributeName!$B:$B),"")</f>
        <v/>
      </c>
      <c r="P2828" s="10"/>
      <c r="Q2828">
        <v>0.2</v>
      </c>
      <c r="R2828">
        <v>0.2</v>
      </c>
      <c r="S2828" cm="1">
        <f t="array" ref="S2828">IFERROR(_xlfn.SWITCH(L2828,1,_xlfn.XLOOKUP(O2828,[1]AttributeName!$B:$B,[1]AttributeName!$D:$D),2,_xlfn.XLOOKUP(C2828,[1]ModifierDes!$B:$B,[1]ModifierDes!$D:$D),3,_xlfn.XLOOKUP(C2828,[1]StuntDes!$B:$B,[1]StuntDes!$D:$D)),0)</f>
        <v>0</v>
      </c>
      <c r="T2828" cm="1">
        <f t="array" ref="T2828">IFERROR(_xlfn.SWITCH(L2828,1,_xlfn.XLOOKUP(O2828,[1]AttributeName!$B:$B,[1]AttributeName!$E:$E),2,_xlfn.XLOOKUP(C2828,[1]ModifierDes!$B:$B,[1]ModifierDes!$E:$E),3,_xlfn.XLOOKUP(C2828,[1]StuntDes!$B:$B,[1]StuntDes!$E:$E)),0)</f>
        <v>0</v>
      </c>
    </row>
    <row r="2829" customFormat="1" spans="1:20">
      <c r="A2829">
        <v>1500101</v>
      </c>
      <c r="B2829">
        <v>1</v>
      </c>
      <c r="C2829" t="s">
        <v>423</v>
      </c>
      <c r="D2829" t="s">
        <v>91</v>
      </c>
      <c r="K2829" t="s">
        <v>534</v>
      </c>
      <c r="L2829">
        <f t="shared" si="201"/>
        <v>1</v>
      </c>
      <c r="M2829" s="10" t="str">
        <f>IFERROR(_xlfn.XLOOKUP(C2829,[1]StuntDes!$B:$B,[1]StuntDes!$A:$A),"")</f>
        <v/>
      </c>
      <c r="N2829" s="10" t="str">
        <f>IFERROR(_xlfn.XLOOKUP(C2829,[1]ModifierDes!$B:$B,[1]ModifierDes!$A:$A),"")</f>
        <v/>
      </c>
      <c r="O2829" s="10">
        <f>IFERROR(_xlfn.XLOOKUP(C2829,[1]AttributeName!$C:$C,[1]AttributeName!$B:$B),"")</f>
        <v>10014</v>
      </c>
      <c r="P2829" s="10"/>
      <c r="Q2829">
        <v>100</v>
      </c>
      <c r="R2829">
        <v>100</v>
      </c>
      <c r="S2829" cm="1">
        <f t="array" ref="S2829">IFERROR(_xlfn.SWITCH(L2829,1,_xlfn.XLOOKUP(O2829,[1]AttributeName!$B:$B,[1]AttributeName!$D:$D),2,_xlfn.XLOOKUP(C2829,[1]ModifierDes!$B:$B,[1]ModifierDes!$D:$D),3,_xlfn.XLOOKUP(C2829,[1]StuntDes!$B:$B,[1]StuntDes!$D:$D)),0)</f>
        <v>0</v>
      </c>
      <c r="T2829" cm="1">
        <f t="array" ref="T2829">IFERROR(_xlfn.SWITCH(L2829,1,_xlfn.XLOOKUP(O2829,[1]AttributeName!$B:$B,[1]AttributeName!$E:$E),2,_xlfn.XLOOKUP(C2829,[1]ModifierDes!$B:$B,[1]ModifierDes!$E:$E),3,_xlfn.XLOOKUP(C2829,[1]StuntDes!$B:$B,[1]StuntDes!$E:$E)),0)</f>
        <v>1</v>
      </c>
    </row>
    <row r="2830" customFormat="1" spans="1:20">
      <c r="A2830">
        <v>1500102</v>
      </c>
      <c r="B2830">
        <v>1</v>
      </c>
      <c r="C2830" t="s">
        <v>403</v>
      </c>
      <c r="D2830" t="s">
        <v>93</v>
      </c>
      <c r="K2830" t="s">
        <v>535</v>
      </c>
      <c r="L2830">
        <f t="shared" si="201"/>
        <v>1</v>
      </c>
      <c r="M2830" s="10" t="str">
        <f>IFERROR(_xlfn.XLOOKUP(C2830,[1]StuntDes!$B:$B,[1]StuntDes!$A:$A),"")</f>
        <v/>
      </c>
      <c r="N2830" s="10" t="str">
        <f>IFERROR(_xlfn.XLOOKUP(C2830,[1]ModifierDes!$B:$B,[1]ModifierDes!$A:$A),"")</f>
        <v/>
      </c>
      <c r="O2830" s="10">
        <f>IFERROR(_xlfn.XLOOKUP(C2830,[1]AttributeName!$C:$C,[1]AttributeName!$B:$B),"")</f>
        <v>10002</v>
      </c>
      <c r="P2830" s="10"/>
      <c r="Q2830">
        <v>50</v>
      </c>
      <c r="R2830">
        <v>50</v>
      </c>
      <c r="S2830" cm="1">
        <f t="array" ref="S2830">IFERROR(_xlfn.SWITCH(L2830,1,_xlfn.XLOOKUP(O2830,[1]AttributeName!$B:$B,[1]AttributeName!$D:$D),2,_xlfn.XLOOKUP(C2830,[1]ModifierDes!$B:$B,[1]ModifierDes!$D:$D),3,_xlfn.XLOOKUP(C2830,[1]StuntDes!$B:$B,[1]StuntDes!$D:$D)),0)</f>
        <v>0</v>
      </c>
      <c r="T2830" cm="1">
        <f t="array" ref="T2830">IFERROR(_xlfn.SWITCH(L2830,1,_xlfn.XLOOKUP(O2830,[1]AttributeName!$B:$B,[1]AttributeName!$E:$E),2,_xlfn.XLOOKUP(C2830,[1]ModifierDes!$B:$B,[1]ModifierDes!$E:$E),3,_xlfn.XLOOKUP(C2830,[1]StuntDes!$B:$B,[1]StuntDes!$E:$E)),0)</f>
        <v>1</v>
      </c>
    </row>
    <row r="2831" customFormat="1" spans="1:20">
      <c r="A2831">
        <v>1500103</v>
      </c>
      <c r="B2831">
        <v>1</v>
      </c>
      <c r="C2831" t="s">
        <v>96</v>
      </c>
      <c r="D2831" t="s">
        <v>95</v>
      </c>
      <c r="K2831" t="s">
        <v>536</v>
      </c>
      <c r="L2831">
        <f t="shared" si="201"/>
        <v>1</v>
      </c>
      <c r="M2831" s="10" t="str">
        <f>IFERROR(_xlfn.XLOOKUP(C2831,[1]StuntDes!$B:$B,[1]StuntDes!$A:$A),"")</f>
        <v/>
      </c>
      <c r="N2831" s="10" t="str">
        <f>IFERROR(_xlfn.XLOOKUP(C2831,[1]ModifierDes!$B:$B,[1]ModifierDes!$A:$A),"")</f>
        <v/>
      </c>
      <c r="O2831" s="10">
        <f>IFERROR(_xlfn.XLOOKUP(C2831,[1]AttributeName!$C:$C,[1]AttributeName!$B:$B),"")</f>
        <v>10700</v>
      </c>
      <c r="P2831" s="10"/>
      <c r="Q2831">
        <v>0.15</v>
      </c>
      <c r="R2831">
        <v>0.15</v>
      </c>
      <c r="S2831" cm="1">
        <f t="array" ref="S2831">IFERROR(_xlfn.SWITCH(L2831,1,_xlfn.XLOOKUP(O2831,[1]AttributeName!$B:$B,[1]AttributeName!$D:$D),2,_xlfn.XLOOKUP(C2831,[1]ModifierDes!$B:$B,[1]ModifierDes!$D:$D),3,_xlfn.XLOOKUP(C2831,[1]StuntDes!$B:$B,[1]StuntDes!$D:$D)),0)</f>
        <v>2</v>
      </c>
      <c r="T2831" cm="1">
        <f t="array" ref="T2831">IFERROR(_xlfn.SWITCH(L2831,1,_xlfn.XLOOKUP(O2831,[1]AttributeName!$B:$B,[1]AttributeName!$E:$E),2,_xlfn.XLOOKUP(C2831,[1]ModifierDes!$B:$B,[1]ModifierDes!$E:$E),3,_xlfn.XLOOKUP(C2831,[1]StuntDes!$B:$B,[1]StuntDes!$E:$E)),0)</f>
        <v>2</v>
      </c>
    </row>
    <row r="2832" customFormat="1" spans="1:20">
      <c r="A2832">
        <v>1600101</v>
      </c>
      <c r="B2832">
        <v>1</v>
      </c>
      <c r="C2832" t="s">
        <v>413</v>
      </c>
      <c r="D2832" t="s">
        <v>97</v>
      </c>
      <c r="K2832" t="s">
        <v>537</v>
      </c>
      <c r="L2832">
        <f t="shared" si="201"/>
        <v>2</v>
      </c>
      <c r="M2832" s="10" t="str">
        <f>IFERROR(_xlfn.XLOOKUP(C2832,[1]StuntDes!$B:$B,[1]StuntDes!$A:$A),"")</f>
        <v/>
      </c>
      <c r="N2832" s="10">
        <f>IFERROR(_xlfn.XLOOKUP(C2832,[1]ModifierDes!$B:$B,[1]ModifierDes!$A:$A),"")</f>
        <v>10031</v>
      </c>
      <c r="O2832" s="10" t="str">
        <f>IFERROR(_xlfn.XLOOKUP(C2832,[1]AttributeName!$C:$C,[1]AttributeName!$B:$B),"")</f>
        <v/>
      </c>
      <c r="P2832" s="10"/>
      <c r="Q2832">
        <v>0.1</v>
      </c>
      <c r="R2832">
        <v>0.1</v>
      </c>
      <c r="S2832" cm="1">
        <f t="array" ref="S2832">IFERROR(_xlfn.SWITCH(L2832,1,_xlfn.XLOOKUP(O2832,[1]AttributeName!$B:$B,[1]AttributeName!$D:$D),2,_xlfn.XLOOKUP(C2832,[1]ModifierDes!$B:$B,[1]ModifierDes!$D:$D),3,_xlfn.XLOOKUP(C2832,[1]StuntDes!$B:$B,[1]StuntDes!$D:$D)),0)</f>
        <v>2</v>
      </c>
      <c r="T2832" cm="1">
        <f t="array" ref="T2832">IFERROR(_xlfn.SWITCH(L2832,1,_xlfn.XLOOKUP(O2832,[1]AttributeName!$B:$B,[1]AttributeName!$E:$E),2,_xlfn.XLOOKUP(C2832,[1]ModifierDes!$B:$B,[1]ModifierDes!$E:$E),3,_xlfn.XLOOKUP(C2832,[1]StuntDes!$B:$B,[1]StuntDes!$E:$E)),0)</f>
        <v>2</v>
      </c>
    </row>
    <row r="2833" customFormat="1" spans="1:20">
      <c r="A2833">
        <v>1600102</v>
      </c>
      <c r="B2833">
        <v>1</v>
      </c>
      <c r="C2833" t="s">
        <v>443</v>
      </c>
      <c r="D2833" t="s">
        <v>99</v>
      </c>
      <c r="K2833" t="s">
        <v>538</v>
      </c>
      <c r="L2833">
        <f t="shared" si="201"/>
        <v>2</v>
      </c>
      <c r="M2833" s="10" t="str">
        <f>IFERROR(_xlfn.XLOOKUP(C2833,[1]StuntDes!$B:$B,[1]StuntDes!$A:$A),"")</f>
        <v/>
      </c>
      <c r="N2833" s="10">
        <f>IFERROR(_xlfn.XLOOKUP(C2833,[1]ModifierDes!$B:$B,[1]ModifierDes!$A:$A),"")</f>
        <v>10050</v>
      </c>
      <c r="O2833" s="10" t="str">
        <f>IFERROR(_xlfn.XLOOKUP(C2833,[1]AttributeName!$C:$C,[1]AttributeName!$B:$B),"")</f>
        <v/>
      </c>
      <c r="P2833" s="10"/>
      <c r="Q2833">
        <v>0.1</v>
      </c>
      <c r="R2833">
        <v>0.1</v>
      </c>
      <c r="S2833" cm="1">
        <f t="array" ref="S2833">IFERROR(_xlfn.SWITCH(L2833,1,_xlfn.XLOOKUP(O2833,[1]AttributeName!$B:$B,[1]AttributeName!$D:$D),2,_xlfn.XLOOKUP(C2833,[1]ModifierDes!$B:$B,[1]ModifierDes!$D:$D),3,_xlfn.XLOOKUP(C2833,[1]StuntDes!$B:$B,[1]StuntDes!$D:$D)),0)</f>
        <v>2</v>
      </c>
      <c r="T2833" cm="1">
        <f t="array" ref="T2833">IFERROR(_xlfn.SWITCH(L2833,1,_xlfn.XLOOKUP(O2833,[1]AttributeName!$B:$B,[1]AttributeName!$E:$E),2,_xlfn.XLOOKUP(C2833,[1]ModifierDes!$B:$B,[1]ModifierDes!$E:$E),3,_xlfn.XLOOKUP(C2833,[1]StuntDes!$B:$B,[1]StuntDes!$E:$E)),0)</f>
        <v>2</v>
      </c>
    </row>
    <row r="2834" spans="1:20">
      <c r="A2834">
        <v>1600103</v>
      </c>
      <c r="B2834">
        <v>1</v>
      </c>
      <c r="C2834" t="s">
        <v>473</v>
      </c>
      <c r="D2834" t="s">
        <v>101</v>
      </c>
      <c r="K2834" t="s">
        <v>539</v>
      </c>
      <c r="L2834">
        <f t="shared" si="201"/>
        <v>1</v>
      </c>
      <c r="M2834" s="10" t="str">
        <f>IFERROR(_xlfn.XLOOKUP(C2834,[1]StuntDes!$B:$B,[1]StuntDes!$A:$A),"")</f>
        <v/>
      </c>
      <c r="N2834" s="10" t="str">
        <f>IFERROR(_xlfn.XLOOKUP(C2834,[1]ModifierDes!$B:$B,[1]ModifierDes!$A:$A),"")</f>
        <v/>
      </c>
      <c r="O2834" s="10">
        <f>IFERROR(_xlfn.XLOOKUP(C2834,[1]AttributeName!$C:$C,[1]AttributeName!$B:$B),"")</f>
        <v>11037</v>
      </c>
      <c r="P2834" s="10"/>
      <c r="Q2834">
        <v>0.1</v>
      </c>
      <c r="R2834">
        <v>0.1</v>
      </c>
      <c r="S2834" cm="1">
        <f t="array" ref="S2834">IFERROR(_xlfn.SWITCH(L2834,1,_xlfn.XLOOKUP(O2834,[1]AttributeName!$B:$B,[1]AttributeName!$D:$D),2,_xlfn.XLOOKUP(C2834,[1]ModifierDes!$B:$B,[1]ModifierDes!$D:$D),3,_xlfn.XLOOKUP(C2834,[1]StuntDes!$B:$B,[1]StuntDes!$D:$D)),0)</f>
        <v>2</v>
      </c>
      <c r="T2834" cm="1">
        <f t="array" ref="T2834">IFERROR(_xlfn.SWITCH(L2834,1,_xlfn.XLOOKUP(O2834,[1]AttributeName!$B:$B,[1]AttributeName!$E:$E),2,_xlfn.XLOOKUP(C2834,[1]ModifierDes!$B:$B,[1]ModifierDes!$E:$E),3,_xlfn.XLOOKUP(C2834,[1]StuntDes!$B:$B,[1]StuntDes!$E:$E)),0)</f>
        <v>2</v>
      </c>
    </row>
    <row r="2835" spans="1:20">
      <c r="A2835">
        <v>1700101</v>
      </c>
      <c r="B2835">
        <v>1</v>
      </c>
      <c r="C2835" t="s">
        <v>399</v>
      </c>
      <c r="D2835" t="s">
        <v>104</v>
      </c>
      <c r="K2835" t="s">
        <v>540</v>
      </c>
      <c r="L2835">
        <f t="shared" si="201"/>
        <v>1</v>
      </c>
      <c r="M2835" s="10" t="str">
        <f>IFERROR(_xlfn.XLOOKUP(C2835,[1]StuntDes!$B:$B,[1]StuntDes!$A:$A),"")</f>
        <v/>
      </c>
      <c r="N2835" s="10" t="str">
        <f>IFERROR(_xlfn.XLOOKUP(C2835,[1]ModifierDes!$B:$B,[1]ModifierDes!$A:$A),"")</f>
        <v/>
      </c>
      <c r="O2835" s="10">
        <f>IFERROR(_xlfn.XLOOKUP(C2835,[1]AttributeName!$C:$C,[1]AttributeName!$B:$B),"")</f>
        <v>10303</v>
      </c>
      <c r="P2835" s="10"/>
      <c r="Q2835">
        <v>0.2</v>
      </c>
      <c r="R2835">
        <v>0.2</v>
      </c>
      <c r="S2835" cm="1">
        <f t="array" ref="S2835">IFERROR(_xlfn.SWITCH(L2835,1,_xlfn.XLOOKUP(O2835,[1]AttributeName!$B:$B,[1]AttributeName!$D:$D),2,_xlfn.XLOOKUP(C2835,[1]ModifierDes!$B:$B,[1]ModifierDes!$D:$D),3,_xlfn.XLOOKUP(C2835,[1]StuntDes!$B:$B,[1]StuntDes!$D:$D)),0)</f>
        <v>2</v>
      </c>
      <c r="T2835" cm="1">
        <f t="array" ref="T2835">IFERROR(_xlfn.SWITCH(L2835,1,_xlfn.XLOOKUP(O2835,[1]AttributeName!$B:$B,[1]AttributeName!$E:$E),2,_xlfn.XLOOKUP(C2835,[1]ModifierDes!$B:$B,[1]ModifierDes!$E:$E),3,_xlfn.XLOOKUP(C2835,[1]StuntDes!$B:$B,[1]StuntDes!$E:$E)),0)</f>
        <v>2</v>
      </c>
    </row>
    <row r="2836" spans="1:20">
      <c r="A2836">
        <v>1700102</v>
      </c>
      <c r="B2836">
        <v>1</v>
      </c>
      <c r="C2836" t="s">
        <v>400</v>
      </c>
      <c r="D2836" t="s">
        <v>106</v>
      </c>
      <c r="K2836" t="s">
        <v>541</v>
      </c>
      <c r="L2836">
        <f t="shared" si="201"/>
        <v>2</v>
      </c>
      <c r="M2836" s="10" t="str">
        <f>IFERROR(_xlfn.XLOOKUP(C2836,[1]StuntDes!$B:$B,[1]StuntDes!$A:$A),"")</f>
        <v/>
      </c>
      <c r="N2836" s="10">
        <f>IFERROR(_xlfn.XLOOKUP(C2836,[1]ModifierDes!$B:$B,[1]ModifierDes!$A:$A),"")</f>
        <v>10120</v>
      </c>
      <c r="O2836" s="10">
        <f>IFERROR(_xlfn.XLOOKUP(C2836,[1]AttributeName!$C:$C,[1]AttributeName!$B:$B),"")</f>
        <v>10308</v>
      </c>
      <c r="P2836" s="10"/>
      <c r="Q2836">
        <v>0.15</v>
      </c>
      <c r="R2836">
        <v>0.15</v>
      </c>
      <c r="S2836" cm="1">
        <f t="array" ref="S2836">IFERROR(_xlfn.SWITCH(L2836,1,_xlfn.XLOOKUP(O2836,[1]AttributeName!$B:$B,[1]AttributeName!$D:$D),2,_xlfn.XLOOKUP(C2836,[1]ModifierDes!$B:$B,[1]ModifierDes!$D:$D),3,_xlfn.XLOOKUP(C2836,[1]StuntDes!$B:$B,[1]StuntDes!$D:$D)),0)</f>
        <v>2</v>
      </c>
      <c r="T2836" cm="1">
        <f t="array" ref="T2836">IFERROR(_xlfn.SWITCH(L2836,1,_xlfn.XLOOKUP(O2836,[1]AttributeName!$B:$B,[1]AttributeName!$E:$E),2,_xlfn.XLOOKUP(C2836,[1]ModifierDes!$B:$B,[1]ModifierDes!$E:$E),3,_xlfn.XLOOKUP(C2836,[1]StuntDes!$B:$B,[1]StuntDes!$E:$E)),0)</f>
        <v>2</v>
      </c>
    </row>
    <row r="2837" spans="1:20">
      <c r="A2837">
        <v>1700103</v>
      </c>
      <c r="B2837">
        <v>1</v>
      </c>
      <c r="C2837" t="s">
        <v>401</v>
      </c>
      <c r="D2837" t="s">
        <v>108</v>
      </c>
      <c r="K2837" t="s">
        <v>542</v>
      </c>
      <c r="L2837">
        <f t="shared" si="201"/>
        <v>1</v>
      </c>
      <c r="M2837" s="10" t="str">
        <f>IFERROR(_xlfn.XLOOKUP(C2837,[1]StuntDes!$B:$B,[1]StuntDes!$A:$A),"")</f>
        <v/>
      </c>
      <c r="N2837" s="10" t="str">
        <f>IFERROR(_xlfn.XLOOKUP(C2837,[1]ModifierDes!$B:$B,[1]ModifierDes!$A:$A),"")</f>
        <v/>
      </c>
      <c r="O2837" s="10">
        <f>IFERROR(_xlfn.XLOOKUP(C2837,[1]AttributeName!$C:$C,[1]AttributeName!$B:$B),"")</f>
        <v>10307</v>
      </c>
      <c r="P2837" s="10"/>
      <c r="Q2837">
        <v>0.2</v>
      </c>
      <c r="R2837">
        <v>0.2</v>
      </c>
      <c r="S2837" cm="1">
        <f t="array" ref="S2837">IFERROR(_xlfn.SWITCH(L2837,1,_xlfn.XLOOKUP(O2837,[1]AttributeName!$B:$B,[1]AttributeName!$D:$D),2,_xlfn.XLOOKUP(C2837,[1]ModifierDes!$B:$B,[1]ModifierDes!$D:$D),3,_xlfn.XLOOKUP(C2837,[1]StuntDes!$B:$B,[1]StuntDes!$D:$D)),0)</f>
        <v>2</v>
      </c>
      <c r="T2837" cm="1">
        <f t="array" ref="T2837">IFERROR(_xlfn.SWITCH(L2837,1,_xlfn.XLOOKUP(O2837,[1]AttributeName!$B:$B,[1]AttributeName!$E:$E),2,_xlfn.XLOOKUP(C2837,[1]ModifierDes!$B:$B,[1]ModifierDes!$E:$E),3,_xlfn.XLOOKUP(C2837,[1]StuntDes!$B:$B,[1]StuntDes!$E:$E)),0)</f>
        <v>2</v>
      </c>
    </row>
    <row r="2838" spans="1:20">
      <c r="A2838">
        <v>1700104</v>
      </c>
      <c r="B2838">
        <v>1</v>
      </c>
      <c r="C2838" t="s">
        <v>463</v>
      </c>
      <c r="D2838" t="s">
        <v>110</v>
      </c>
      <c r="K2838" t="s">
        <v>543</v>
      </c>
      <c r="L2838">
        <f t="shared" si="201"/>
        <v>1</v>
      </c>
      <c r="M2838" s="10" t="str">
        <f>IFERROR(_xlfn.XLOOKUP(C2838,[1]StuntDes!$B:$B,[1]StuntDes!$A:$A),"")</f>
        <v/>
      </c>
      <c r="N2838" s="10" t="str">
        <f>IFERROR(_xlfn.XLOOKUP(C2838,[1]ModifierDes!$B:$B,[1]ModifierDes!$A:$A),"")</f>
        <v/>
      </c>
      <c r="O2838" s="10">
        <f>IFERROR(_xlfn.XLOOKUP(C2838,[1]AttributeName!$C:$C,[1]AttributeName!$B:$B),"")</f>
        <v>10300</v>
      </c>
      <c r="P2838" s="10"/>
      <c r="Q2838">
        <v>0.12</v>
      </c>
      <c r="R2838">
        <v>0.12</v>
      </c>
      <c r="S2838" cm="1">
        <f t="array" ref="S2838">IFERROR(_xlfn.SWITCH(L2838,1,_xlfn.XLOOKUP(O2838,[1]AttributeName!$B:$B,[1]AttributeName!$D:$D),2,_xlfn.XLOOKUP(C2838,[1]ModifierDes!$B:$B,[1]ModifierDes!$D:$D),3,_xlfn.XLOOKUP(C2838,[1]StuntDes!$B:$B,[1]StuntDes!$D:$D)),0)</f>
        <v>2</v>
      </c>
      <c r="T2838" cm="1">
        <f t="array" ref="T2838">IFERROR(_xlfn.SWITCH(L2838,1,_xlfn.XLOOKUP(O2838,[1]AttributeName!$B:$B,[1]AttributeName!$E:$E),2,_xlfn.XLOOKUP(C2838,[1]ModifierDes!$B:$B,[1]ModifierDes!$E:$E),3,_xlfn.XLOOKUP(C2838,[1]StuntDes!$B:$B,[1]StuntDes!$E:$E)),0)</f>
        <v>2</v>
      </c>
    </row>
    <row r="2839" spans="1:20">
      <c r="A2839">
        <v>1700105</v>
      </c>
      <c r="B2839">
        <v>1</v>
      </c>
      <c r="C2839" t="s">
        <v>90</v>
      </c>
      <c r="D2839" t="s">
        <v>90</v>
      </c>
      <c r="K2839" t="s">
        <v>544</v>
      </c>
      <c r="L2839">
        <f t="shared" si="201"/>
        <v>1</v>
      </c>
      <c r="M2839" s="10" t="str">
        <f>IFERROR(_xlfn.XLOOKUP(C2839,[1]StuntDes!$B:$B,[1]StuntDes!$A:$A),"")</f>
        <v/>
      </c>
      <c r="N2839" s="10" t="str">
        <f>IFERROR(_xlfn.XLOOKUP(C2839,[1]ModifierDes!$B:$B,[1]ModifierDes!$A:$A),"")</f>
        <v/>
      </c>
      <c r="O2839" s="10" t="str">
        <f>IFERROR(_xlfn.XLOOKUP(C2839,[1]AttributeName!$C:$C,[1]AttributeName!$B:$B),"")</f>
        <v/>
      </c>
      <c r="P2839" s="10"/>
      <c r="Q2839">
        <v>0.3</v>
      </c>
      <c r="R2839">
        <v>0.3</v>
      </c>
      <c r="S2839" cm="1">
        <f t="array" ref="S2839">IFERROR(_xlfn.SWITCH(L2839,1,_xlfn.XLOOKUP(O2839,[1]AttributeName!$B:$B,[1]AttributeName!$D:$D),2,_xlfn.XLOOKUP(C2839,[1]ModifierDes!$B:$B,[1]ModifierDes!$D:$D),3,_xlfn.XLOOKUP(C2839,[1]StuntDes!$B:$B,[1]StuntDes!$D:$D)),0)</f>
        <v>0</v>
      </c>
      <c r="T2839" cm="1">
        <f t="array" ref="T2839">IFERROR(_xlfn.SWITCH(L2839,1,_xlfn.XLOOKUP(O2839,[1]AttributeName!$B:$B,[1]AttributeName!$E:$E),2,_xlfn.XLOOKUP(C2839,[1]ModifierDes!$B:$B,[1]ModifierDes!$E:$E),3,_xlfn.XLOOKUP(C2839,[1]StuntDes!$B:$B,[1]StuntDes!$E:$E)),0)</f>
        <v>0</v>
      </c>
    </row>
    <row r="2840" customFormat="1" spans="1:20">
      <c r="A2840">
        <v>1700106</v>
      </c>
      <c r="B2840">
        <v>1</v>
      </c>
      <c r="C2840" t="s">
        <v>90</v>
      </c>
      <c r="D2840" t="s">
        <v>90</v>
      </c>
      <c r="K2840" t="s">
        <v>545</v>
      </c>
      <c r="L2840">
        <f t="shared" si="201"/>
        <v>1</v>
      </c>
      <c r="M2840" s="10" t="str">
        <f>IFERROR(_xlfn.XLOOKUP(C2840,[1]StuntDes!$B:$B,[1]StuntDes!$A:$A),"")</f>
        <v/>
      </c>
      <c r="N2840" s="10" t="str">
        <f>IFERROR(_xlfn.XLOOKUP(C2840,[1]ModifierDes!$B:$B,[1]ModifierDes!$A:$A),"")</f>
        <v/>
      </c>
      <c r="O2840" s="10" t="str">
        <f>IFERROR(_xlfn.XLOOKUP(C2840,[1]AttributeName!$C:$C,[1]AttributeName!$B:$B),"")</f>
        <v/>
      </c>
      <c r="P2840" s="10"/>
      <c r="Q2840">
        <v>0.15</v>
      </c>
      <c r="R2840">
        <v>0.15</v>
      </c>
      <c r="S2840" cm="1">
        <f t="array" ref="S2840">IFERROR(_xlfn.SWITCH(L2840,1,_xlfn.XLOOKUP(O2840,[1]AttributeName!$B:$B,[1]AttributeName!$D:$D),2,_xlfn.XLOOKUP(C2840,[1]ModifierDes!$B:$B,[1]ModifierDes!$D:$D),3,_xlfn.XLOOKUP(C2840,[1]StuntDes!$B:$B,[1]StuntDes!$D:$D)),0)</f>
        <v>0</v>
      </c>
      <c r="T2840" cm="1">
        <f t="array" ref="T2840">IFERROR(_xlfn.SWITCH(L2840,1,_xlfn.XLOOKUP(O2840,[1]AttributeName!$B:$B,[1]AttributeName!$E:$E),2,_xlfn.XLOOKUP(C2840,[1]ModifierDes!$B:$B,[1]ModifierDes!$E:$E),3,_xlfn.XLOOKUP(C2840,[1]StuntDes!$B:$B,[1]StuntDes!$E:$E)),0)</f>
        <v>0</v>
      </c>
    </row>
    <row r="2841" spans="1:20">
      <c r="A2841">
        <v>1800101</v>
      </c>
      <c r="B2841">
        <v>1</v>
      </c>
      <c r="C2841" t="s">
        <v>411</v>
      </c>
      <c r="D2841" t="s">
        <v>112</v>
      </c>
      <c r="K2841" t="s">
        <v>546</v>
      </c>
      <c r="L2841">
        <f t="shared" si="201"/>
        <v>2</v>
      </c>
      <c r="M2841" s="10" t="str">
        <f>IFERROR(_xlfn.XLOOKUP(C2841,[1]StuntDes!$B:$B,[1]StuntDes!$A:$A),"")</f>
        <v/>
      </c>
      <c r="N2841" s="10">
        <f>IFERROR(_xlfn.XLOOKUP(C2841,[1]ModifierDes!$B:$B,[1]ModifierDes!$A:$A),"")</f>
        <v>10176</v>
      </c>
      <c r="O2841" s="10" t="str">
        <f>IFERROR(_xlfn.XLOOKUP(C2841,[1]AttributeName!$C:$C,[1]AttributeName!$B:$B),"")</f>
        <v/>
      </c>
      <c r="P2841" s="10"/>
      <c r="Q2841">
        <v>0.2</v>
      </c>
      <c r="R2841">
        <v>0.2</v>
      </c>
      <c r="S2841" cm="1">
        <f t="array" ref="S2841">IFERROR(_xlfn.SWITCH(L2841,1,_xlfn.XLOOKUP(O2841,[1]AttributeName!$B:$B,[1]AttributeName!$D:$D),2,_xlfn.XLOOKUP(C2841,[1]ModifierDes!$B:$B,[1]ModifierDes!$D:$D),3,_xlfn.XLOOKUP(C2841,[1]StuntDes!$B:$B,[1]StuntDes!$D:$D)),0)</f>
        <v>2</v>
      </c>
      <c r="T2841" cm="1">
        <f t="array" ref="T2841">IFERROR(_xlfn.SWITCH(L2841,1,_xlfn.XLOOKUP(O2841,[1]AttributeName!$B:$B,[1]AttributeName!$E:$E),2,_xlfn.XLOOKUP(C2841,[1]ModifierDes!$B:$B,[1]ModifierDes!$E:$E),3,_xlfn.XLOOKUP(C2841,[1]StuntDes!$B:$B,[1]StuntDes!$E:$E)),0)</f>
        <v>2</v>
      </c>
    </row>
    <row r="2842" spans="1:20">
      <c r="A2842">
        <v>1800102</v>
      </c>
      <c r="B2842">
        <v>1</v>
      </c>
      <c r="C2842" t="s">
        <v>437</v>
      </c>
      <c r="D2842" t="s">
        <v>114</v>
      </c>
      <c r="K2842" t="s">
        <v>547</v>
      </c>
      <c r="L2842">
        <f t="shared" si="201"/>
        <v>2</v>
      </c>
      <c r="M2842" s="10" t="str">
        <f>IFERROR(_xlfn.XLOOKUP(C2842,[1]StuntDes!$B:$B,[1]StuntDes!$A:$A),"")</f>
        <v/>
      </c>
      <c r="N2842" s="10">
        <f>IFERROR(_xlfn.XLOOKUP(C2842,[1]ModifierDes!$B:$B,[1]ModifierDes!$A:$A),"")</f>
        <v>10170</v>
      </c>
      <c r="O2842" s="10" t="str">
        <f>IFERROR(_xlfn.XLOOKUP(C2842,[1]AttributeName!$C:$C,[1]AttributeName!$B:$B),"")</f>
        <v/>
      </c>
      <c r="P2842" s="10"/>
      <c r="Q2842">
        <v>0.2</v>
      </c>
      <c r="R2842">
        <v>0.2</v>
      </c>
      <c r="S2842" cm="1">
        <f t="array" ref="S2842">IFERROR(_xlfn.SWITCH(L2842,1,_xlfn.XLOOKUP(O2842,[1]AttributeName!$B:$B,[1]AttributeName!$D:$D),2,_xlfn.XLOOKUP(C2842,[1]ModifierDes!$B:$B,[1]ModifierDes!$D:$D),3,_xlfn.XLOOKUP(C2842,[1]StuntDes!$B:$B,[1]StuntDes!$D:$D)),0)</f>
        <v>2</v>
      </c>
      <c r="T2842" cm="1">
        <f t="array" ref="T2842">IFERROR(_xlfn.SWITCH(L2842,1,_xlfn.XLOOKUP(O2842,[1]AttributeName!$B:$B,[1]AttributeName!$E:$E),2,_xlfn.XLOOKUP(C2842,[1]ModifierDes!$B:$B,[1]ModifierDes!$E:$E),3,_xlfn.XLOOKUP(C2842,[1]StuntDes!$B:$B,[1]StuntDes!$E:$E)),0)</f>
        <v>2</v>
      </c>
    </row>
    <row r="2843" spans="1:20">
      <c r="A2843">
        <v>1800103</v>
      </c>
      <c r="B2843">
        <v>1</v>
      </c>
      <c r="C2843" t="s">
        <v>117</v>
      </c>
      <c r="D2843" t="s">
        <v>116</v>
      </c>
      <c r="K2843" t="s">
        <v>548</v>
      </c>
      <c r="L2843">
        <f t="shared" si="201"/>
        <v>1</v>
      </c>
      <c r="M2843" s="10" t="str">
        <f>IFERROR(_xlfn.XLOOKUP(C2843,[1]StuntDes!$B:$B,[1]StuntDes!$A:$A),"")</f>
        <v/>
      </c>
      <c r="N2843" s="10" t="str">
        <f>IFERROR(_xlfn.XLOOKUP(C2843,[1]ModifierDes!$B:$B,[1]ModifierDes!$A:$A),"")</f>
        <v/>
      </c>
      <c r="O2843" s="10">
        <f>IFERROR(_xlfn.XLOOKUP(C2843,[1]AttributeName!$C:$C,[1]AttributeName!$B:$B),"")</f>
        <v>10200</v>
      </c>
      <c r="P2843" s="10"/>
      <c r="Q2843">
        <v>0.1</v>
      </c>
      <c r="R2843">
        <v>0.1</v>
      </c>
      <c r="S2843" cm="1">
        <f t="array" ref="S2843">IFERROR(_xlfn.SWITCH(L2843,1,_xlfn.XLOOKUP(O2843,[1]AttributeName!$B:$B,[1]AttributeName!$D:$D),2,_xlfn.XLOOKUP(C2843,[1]ModifierDes!$B:$B,[1]ModifierDes!$D:$D),3,_xlfn.XLOOKUP(C2843,[1]StuntDes!$B:$B,[1]StuntDes!$D:$D)),0)</f>
        <v>2</v>
      </c>
      <c r="T2843" cm="1">
        <f t="array" ref="T2843">IFERROR(_xlfn.SWITCH(L2843,1,_xlfn.XLOOKUP(O2843,[1]AttributeName!$B:$B,[1]AttributeName!$E:$E),2,_xlfn.XLOOKUP(C2843,[1]ModifierDes!$B:$B,[1]ModifierDes!$E:$E),3,_xlfn.XLOOKUP(C2843,[1]StuntDes!$B:$B,[1]StuntDes!$E:$E)),0)</f>
        <v>2</v>
      </c>
    </row>
    <row r="2844" spans="1:20">
      <c r="A2844">
        <v>1800104</v>
      </c>
      <c r="B2844">
        <v>1</v>
      </c>
      <c r="C2844" t="s">
        <v>90</v>
      </c>
      <c r="D2844" t="s">
        <v>90</v>
      </c>
      <c r="K2844" t="s">
        <v>549</v>
      </c>
      <c r="L2844">
        <f t="shared" si="201"/>
        <v>1</v>
      </c>
      <c r="M2844" s="10" t="str">
        <f>IFERROR(_xlfn.XLOOKUP(C2844,[1]StuntDes!$B:$B,[1]StuntDes!$A:$A),"")</f>
        <v/>
      </c>
      <c r="N2844" s="10" t="str">
        <f>IFERROR(_xlfn.XLOOKUP(C2844,[1]ModifierDes!$B:$B,[1]ModifierDes!$A:$A),"")</f>
        <v/>
      </c>
      <c r="O2844" s="10" t="str">
        <f>IFERROR(_xlfn.XLOOKUP(C2844,[1]AttributeName!$C:$C,[1]AttributeName!$B:$B),"")</f>
        <v/>
      </c>
      <c r="P2844" s="10"/>
      <c r="Q2844">
        <v>0.2</v>
      </c>
      <c r="R2844">
        <v>0.2</v>
      </c>
      <c r="S2844" cm="1">
        <f t="array" ref="S2844">IFERROR(_xlfn.SWITCH(L2844,1,_xlfn.XLOOKUP(O2844,[1]AttributeName!$B:$B,[1]AttributeName!$D:$D),2,_xlfn.XLOOKUP(C2844,[1]ModifierDes!$B:$B,[1]ModifierDes!$D:$D),3,_xlfn.XLOOKUP(C2844,[1]StuntDes!$B:$B,[1]StuntDes!$D:$D)),0)</f>
        <v>0</v>
      </c>
      <c r="T2844" cm="1">
        <f t="array" ref="T2844">IFERROR(_xlfn.SWITCH(L2844,1,_xlfn.XLOOKUP(O2844,[1]AttributeName!$B:$B,[1]AttributeName!$E:$E),2,_xlfn.XLOOKUP(C2844,[1]ModifierDes!$B:$B,[1]ModifierDes!$E:$E),3,_xlfn.XLOOKUP(C2844,[1]StuntDes!$B:$B,[1]StuntDes!$E:$E)),0)</f>
        <v>0</v>
      </c>
    </row>
    <row r="2845" spans="1:20">
      <c r="A2845">
        <v>1900101</v>
      </c>
      <c r="B2845">
        <v>1</v>
      </c>
      <c r="C2845" t="s">
        <v>493</v>
      </c>
      <c r="D2845" t="s">
        <v>118</v>
      </c>
      <c r="K2845" t="s">
        <v>550</v>
      </c>
      <c r="L2845">
        <f t="shared" si="201"/>
        <v>2</v>
      </c>
      <c r="M2845" s="10" t="str">
        <f>IFERROR(_xlfn.XLOOKUP(C2845,[1]StuntDes!$B:$B,[1]StuntDes!$A:$A),"")</f>
        <v/>
      </c>
      <c r="N2845" s="10">
        <f>IFERROR(_xlfn.XLOOKUP(C2845,[1]ModifierDes!$B:$B,[1]ModifierDes!$A:$A),"")</f>
        <v>10062</v>
      </c>
      <c r="O2845" s="10" t="str">
        <f>IFERROR(_xlfn.XLOOKUP(C2845,[1]AttributeName!$C:$C,[1]AttributeName!$B:$B),"")</f>
        <v/>
      </c>
      <c r="P2845" s="10"/>
      <c r="Q2845">
        <v>0.2</v>
      </c>
      <c r="R2845">
        <v>0.2</v>
      </c>
      <c r="S2845" cm="1">
        <f t="array" ref="S2845">IFERROR(_xlfn.SWITCH(L2845,1,_xlfn.XLOOKUP(O2845,[1]AttributeName!$B:$B,[1]AttributeName!$D:$D),2,_xlfn.XLOOKUP(C2845,[1]ModifierDes!$B:$B,[1]ModifierDes!$D:$D),3,_xlfn.XLOOKUP(C2845,[1]StuntDes!$B:$B,[1]StuntDes!$D:$D)),0)</f>
        <v>2</v>
      </c>
      <c r="T2845" cm="1">
        <f t="array" ref="T2845">IFERROR(_xlfn.SWITCH(L2845,1,_xlfn.XLOOKUP(O2845,[1]AttributeName!$B:$B,[1]AttributeName!$E:$E),2,_xlfn.XLOOKUP(C2845,[1]ModifierDes!$B:$B,[1]ModifierDes!$E:$E),3,_xlfn.XLOOKUP(C2845,[1]StuntDes!$B:$B,[1]StuntDes!$E:$E)),0)</f>
        <v>2</v>
      </c>
    </row>
    <row r="2846" spans="1:20">
      <c r="A2846">
        <v>1900102</v>
      </c>
      <c r="B2846">
        <v>1</v>
      </c>
      <c r="C2846" t="s">
        <v>448</v>
      </c>
      <c r="D2846" t="s">
        <v>120</v>
      </c>
      <c r="K2846" t="s">
        <v>551</v>
      </c>
      <c r="L2846">
        <f t="shared" si="201"/>
        <v>2</v>
      </c>
      <c r="M2846" s="10" t="str">
        <f>IFERROR(_xlfn.XLOOKUP(C2846,[1]StuntDes!$B:$B,[1]StuntDes!$A:$A),"")</f>
        <v/>
      </c>
      <c r="N2846" s="10">
        <f>IFERROR(_xlfn.XLOOKUP(C2846,[1]ModifierDes!$B:$B,[1]ModifierDes!$A:$A),"")</f>
        <v>10063</v>
      </c>
      <c r="O2846" s="10" t="str">
        <f>IFERROR(_xlfn.XLOOKUP(C2846,[1]AttributeName!$C:$C,[1]AttributeName!$B:$B),"")</f>
        <v/>
      </c>
      <c r="P2846" s="10"/>
      <c r="Q2846">
        <v>0.2</v>
      </c>
      <c r="R2846">
        <v>0.2</v>
      </c>
      <c r="S2846" cm="1">
        <f t="array" ref="S2846">IFERROR(_xlfn.SWITCH(L2846,1,_xlfn.XLOOKUP(O2846,[1]AttributeName!$B:$B,[1]AttributeName!$D:$D),2,_xlfn.XLOOKUP(C2846,[1]ModifierDes!$B:$B,[1]ModifierDes!$D:$D),3,_xlfn.XLOOKUP(C2846,[1]StuntDes!$B:$B,[1]StuntDes!$D:$D)),0)</f>
        <v>2</v>
      </c>
      <c r="T2846" cm="1">
        <f t="array" ref="T2846">IFERROR(_xlfn.SWITCH(L2846,1,_xlfn.XLOOKUP(O2846,[1]AttributeName!$B:$B,[1]AttributeName!$E:$E),2,_xlfn.XLOOKUP(C2846,[1]ModifierDes!$B:$B,[1]ModifierDes!$E:$E),3,_xlfn.XLOOKUP(C2846,[1]StuntDes!$B:$B,[1]StuntDes!$E:$E)),0)</f>
        <v>2</v>
      </c>
    </row>
    <row r="2847" spans="1:20">
      <c r="A2847">
        <v>1900103</v>
      </c>
      <c r="B2847">
        <v>1</v>
      </c>
      <c r="C2847" t="s">
        <v>449</v>
      </c>
      <c r="D2847" t="s">
        <v>122</v>
      </c>
      <c r="K2847" t="s">
        <v>552</v>
      </c>
      <c r="L2847">
        <f t="shared" si="201"/>
        <v>2</v>
      </c>
      <c r="M2847" s="10" t="str">
        <f>IFERROR(_xlfn.XLOOKUP(C2847,[1]StuntDes!$B:$B,[1]StuntDes!$A:$A),"")</f>
        <v/>
      </c>
      <c r="N2847" s="10">
        <f>IFERROR(_xlfn.XLOOKUP(C2847,[1]ModifierDes!$B:$B,[1]ModifierDes!$A:$A),"")</f>
        <v>10064</v>
      </c>
      <c r="O2847" s="10" t="str">
        <f>IFERROR(_xlfn.XLOOKUP(C2847,[1]AttributeName!$C:$C,[1]AttributeName!$B:$B),"")</f>
        <v/>
      </c>
      <c r="P2847" s="10"/>
      <c r="Q2847">
        <v>0.2</v>
      </c>
      <c r="R2847">
        <v>0.2</v>
      </c>
      <c r="S2847" cm="1">
        <f t="array" ref="S2847">IFERROR(_xlfn.SWITCH(L2847,1,_xlfn.XLOOKUP(O2847,[1]AttributeName!$B:$B,[1]AttributeName!$D:$D),2,_xlfn.XLOOKUP(C2847,[1]ModifierDes!$B:$B,[1]ModifierDes!$D:$D),3,_xlfn.XLOOKUP(C2847,[1]StuntDes!$B:$B,[1]StuntDes!$D:$D)),0)</f>
        <v>2</v>
      </c>
      <c r="T2847" cm="1">
        <f t="array" ref="T2847">IFERROR(_xlfn.SWITCH(L2847,1,_xlfn.XLOOKUP(O2847,[1]AttributeName!$B:$B,[1]AttributeName!$E:$E),2,_xlfn.XLOOKUP(C2847,[1]ModifierDes!$B:$B,[1]ModifierDes!$E:$E),3,_xlfn.XLOOKUP(C2847,[1]StuntDes!$B:$B,[1]StuntDes!$E:$E)),0)</f>
        <v>2</v>
      </c>
    </row>
    <row r="2848" spans="1:20">
      <c r="A2848">
        <v>2000101</v>
      </c>
      <c r="B2848">
        <v>1</v>
      </c>
      <c r="C2848" t="s">
        <v>398</v>
      </c>
      <c r="D2848" t="s">
        <v>124</v>
      </c>
      <c r="K2848" t="s">
        <v>553</v>
      </c>
      <c r="L2848">
        <f t="shared" si="201"/>
        <v>2</v>
      </c>
      <c r="M2848" s="10" t="str">
        <f>IFERROR(_xlfn.XLOOKUP(C2848,[1]StuntDes!$B:$B,[1]StuntDes!$A:$A),"")</f>
        <v/>
      </c>
      <c r="N2848" s="10">
        <f>IFERROR(_xlfn.XLOOKUP(C2848,[1]ModifierDes!$B:$B,[1]ModifierDes!$A:$A),"")</f>
        <v>10066</v>
      </c>
      <c r="O2848" s="10" t="str">
        <f>IFERROR(_xlfn.XLOOKUP(C2848,[1]AttributeName!$C:$C,[1]AttributeName!$B:$B),"")</f>
        <v/>
      </c>
      <c r="P2848" s="10"/>
      <c r="Q2848">
        <v>0.2</v>
      </c>
      <c r="R2848">
        <v>0.2</v>
      </c>
      <c r="S2848" cm="1">
        <f t="array" ref="S2848">IFERROR(_xlfn.SWITCH(L2848,1,_xlfn.XLOOKUP(O2848,[1]AttributeName!$B:$B,[1]AttributeName!$D:$D),2,_xlfn.XLOOKUP(C2848,[1]ModifierDes!$B:$B,[1]ModifierDes!$D:$D),3,_xlfn.XLOOKUP(C2848,[1]StuntDes!$B:$B,[1]StuntDes!$D:$D)),0)</f>
        <v>2</v>
      </c>
      <c r="T2848" cm="1">
        <f t="array" ref="T2848">IFERROR(_xlfn.SWITCH(L2848,1,_xlfn.XLOOKUP(O2848,[1]AttributeName!$B:$B,[1]AttributeName!$E:$E),2,_xlfn.XLOOKUP(C2848,[1]ModifierDes!$B:$B,[1]ModifierDes!$E:$E),3,_xlfn.XLOOKUP(C2848,[1]StuntDes!$B:$B,[1]StuntDes!$E:$E)),0)</f>
        <v>2</v>
      </c>
    </row>
    <row r="2849" spans="1:20">
      <c r="A2849">
        <v>2000102</v>
      </c>
      <c r="B2849">
        <v>1</v>
      </c>
      <c r="C2849" t="s">
        <v>439</v>
      </c>
      <c r="D2849" t="s">
        <v>126</v>
      </c>
      <c r="K2849" t="s">
        <v>554</v>
      </c>
      <c r="L2849">
        <f t="shared" si="201"/>
        <v>2</v>
      </c>
      <c r="M2849" s="10" t="str">
        <f>IFERROR(_xlfn.XLOOKUP(C2849,[1]StuntDes!$B:$B,[1]StuntDes!$A:$A),"")</f>
        <v/>
      </c>
      <c r="N2849" s="10">
        <f>IFERROR(_xlfn.XLOOKUP(C2849,[1]ModifierDes!$B:$B,[1]ModifierDes!$A:$A),"")</f>
        <v>10067</v>
      </c>
      <c r="O2849" s="10" t="str">
        <f>IFERROR(_xlfn.XLOOKUP(C2849,[1]AttributeName!$C:$C,[1]AttributeName!$B:$B),"")</f>
        <v/>
      </c>
      <c r="P2849" s="10"/>
      <c r="Q2849">
        <v>0.2</v>
      </c>
      <c r="R2849">
        <v>0.2</v>
      </c>
      <c r="S2849" cm="1">
        <f t="array" ref="S2849">IFERROR(_xlfn.SWITCH(L2849,1,_xlfn.XLOOKUP(O2849,[1]AttributeName!$B:$B,[1]AttributeName!$D:$D),2,_xlfn.XLOOKUP(C2849,[1]ModifierDes!$B:$B,[1]ModifierDes!$D:$D),3,_xlfn.XLOOKUP(C2849,[1]StuntDes!$B:$B,[1]StuntDes!$D:$D)),0)</f>
        <v>2</v>
      </c>
      <c r="T2849" cm="1">
        <f t="array" ref="T2849">IFERROR(_xlfn.SWITCH(L2849,1,_xlfn.XLOOKUP(O2849,[1]AttributeName!$B:$B,[1]AttributeName!$E:$E),2,_xlfn.XLOOKUP(C2849,[1]ModifierDes!$B:$B,[1]ModifierDes!$E:$E),3,_xlfn.XLOOKUP(C2849,[1]StuntDes!$B:$B,[1]StuntDes!$E:$E)),0)</f>
        <v>2</v>
      </c>
    </row>
    <row r="2850" spans="1:20">
      <c r="A2850">
        <v>2000103</v>
      </c>
      <c r="B2850">
        <v>1</v>
      </c>
      <c r="C2850" t="s">
        <v>555</v>
      </c>
      <c r="D2850" t="s">
        <v>128</v>
      </c>
      <c r="K2850" t="s">
        <v>556</v>
      </c>
      <c r="L2850">
        <f t="shared" si="201"/>
        <v>1</v>
      </c>
      <c r="M2850" s="10" t="str">
        <f>IFERROR(_xlfn.XLOOKUP(C2850,[1]StuntDes!$B:$B,[1]StuntDes!$A:$A),"")</f>
        <v/>
      </c>
      <c r="N2850" s="10" t="str">
        <f>IFERROR(_xlfn.XLOOKUP(C2850,[1]ModifierDes!$B:$B,[1]ModifierDes!$A:$A),"")</f>
        <v/>
      </c>
      <c r="O2850" s="10" t="str">
        <f>IFERROR(_xlfn.XLOOKUP(C2850,[1]AttributeName!$C:$C,[1]AttributeName!$B:$B),"")</f>
        <v/>
      </c>
      <c r="P2850" s="10"/>
      <c r="Q2850">
        <v>0.2</v>
      </c>
      <c r="R2850">
        <v>0.2</v>
      </c>
      <c r="S2850" cm="1">
        <f t="array" ref="S2850">IFERROR(_xlfn.SWITCH(L2850,1,_xlfn.XLOOKUP(O2850,[1]AttributeName!$B:$B,[1]AttributeName!$D:$D),2,_xlfn.XLOOKUP(C2850,[1]ModifierDes!$B:$B,[1]ModifierDes!$D:$D),3,_xlfn.XLOOKUP(C2850,[1]StuntDes!$B:$B,[1]StuntDes!$D:$D)),0)</f>
        <v>0</v>
      </c>
      <c r="T2850" cm="1">
        <f t="array" ref="T2850">IFERROR(_xlfn.SWITCH(L2850,1,_xlfn.XLOOKUP(O2850,[1]AttributeName!$B:$B,[1]AttributeName!$E:$E),2,_xlfn.XLOOKUP(C2850,[1]ModifierDes!$B:$B,[1]ModifierDes!$E:$E),3,_xlfn.XLOOKUP(C2850,[1]StuntDes!$B:$B,[1]StuntDes!$E:$E)),0)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557</v>
      </c>
      <c r="B1" s="6" t="s">
        <v>558</v>
      </c>
    </row>
    <row r="2" ht="16.5" spans="1:2">
      <c r="A2" s="7" t="s">
        <v>375</v>
      </c>
      <c r="B2" s="8" t="s">
        <v>559</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358</v>
      </c>
      <c r="B1" t="s">
        <v>560</v>
      </c>
      <c r="C1" t="s">
        <v>561</v>
      </c>
      <c r="D1" t="s">
        <v>562</v>
      </c>
    </row>
    <row r="2" spans="1:4">
      <c r="A2" s="2" t="s">
        <v>375</v>
      </c>
      <c r="B2" s="2" t="s">
        <v>563</v>
      </c>
      <c r="C2" s="2" t="s">
        <v>564</v>
      </c>
      <c r="D2" s="2" t="s">
        <v>565</v>
      </c>
    </row>
    <row r="3" spans="1:4">
      <c r="A3" s="3" t="s">
        <v>20</v>
      </c>
      <c r="B3" s="3" t="s">
        <v>21</v>
      </c>
      <c r="C3" s="3" t="s">
        <v>21</v>
      </c>
      <c r="D3" s="3" t="s">
        <v>21</v>
      </c>
    </row>
    <row r="4" spans="1:4">
      <c r="A4">
        <v>0</v>
      </c>
      <c r="B4">
        <v>8</v>
      </c>
      <c r="C4" t="s">
        <v>566</v>
      </c>
      <c r="D4" t="s">
        <v>567</v>
      </c>
    </row>
    <row r="5" spans="1:4">
      <c r="A5">
        <v>1</v>
      </c>
      <c r="B5">
        <v>6</v>
      </c>
      <c r="C5" t="s">
        <v>566</v>
      </c>
      <c r="D5" t="s">
        <v>568</v>
      </c>
    </row>
    <row r="6" spans="1:4">
      <c r="A6">
        <v>2</v>
      </c>
      <c r="B6">
        <f>B5</f>
        <v>6</v>
      </c>
      <c r="C6" t="str">
        <f>C5</f>
        <v>FFF6E4</v>
      </c>
      <c r="D6" t="str">
        <f>D5</f>
        <v>A65310</v>
      </c>
    </row>
    <row r="7" spans="1:4">
      <c r="A7">
        <v>3</v>
      </c>
      <c r="B7">
        <v>5</v>
      </c>
      <c r="C7" t="s">
        <v>569</v>
      </c>
      <c r="D7" t="s">
        <v>570</v>
      </c>
    </row>
    <row r="8" spans="1:4">
      <c r="A8">
        <v>4</v>
      </c>
      <c r="B8">
        <f>B7</f>
        <v>5</v>
      </c>
      <c r="C8" t="str">
        <f>C7</f>
        <v>FEEAEA</v>
      </c>
      <c r="D8" t="str">
        <f>D7</f>
        <v>A95B00</v>
      </c>
    </row>
    <row r="9" spans="1:4">
      <c r="A9">
        <v>5</v>
      </c>
      <c r="B9">
        <v>4</v>
      </c>
      <c r="C9" t="s">
        <v>571</v>
      </c>
      <c r="D9" t="s">
        <v>572</v>
      </c>
    </row>
    <row r="10" spans="1:4">
      <c r="A10">
        <v>6</v>
      </c>
      <c r="B10">
        <v>4</v>
      </c>
      <c r="C10" t="str">
        <f>C9</f>
        <v>FEE9FF</v>
      </c>
      <c r="D10" t="str">
        <f>D9</f>
        <v>8426AC</v>
      </c>
    </row>
    <row r="11" spans="1:4">
      <c r="A11">
        <v>7</v>
      </c>
      <c r="B11">
        <v>3</v>
      </c>
      <c r="C11" t="s">
        <v>573</v>
      </c>
      <c r="D11" t="s">
        <v>574</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359</v>
      </c>
      <c r="B2" t="s">
        <v>26</v>
      </c>
    </row>
    <row r="3" spans="1:4">
      <c r="A3" t="s">
        <v>360</v>
      </c>
      <c r="B3" t="s">
        <v>405</v>
      </c>
    </row>
    <row r="5" spans="1:4">
      <c r="A5" t="s">
        <v>283</v>
      </c>
      <c r="B5" t="s">
        <v>284</v>
      </c>
      <c r="C5" t="s">
        <v>358</v>
      </c>
      <c r="D5" t="s">
        <v>575</v>
      </c>
    </row>
    <row r="6" spans="1:4">
      <c r="A6">
        <v>51</v>
      </c>
      <c r="D6" s="1">
        <v>0.080040020010005</v>
      </c>
    </row>
    <row r="7" spans="1:4">
      <c r="B7" t="s">
        <v>404</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576</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577</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578</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579</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580</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581</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411</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412</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393</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394</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395</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396</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397</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413</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414</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582</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416</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417</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418</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419</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583</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2026-09-21T06:38:31Z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