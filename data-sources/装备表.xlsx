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1805" tabRatio="643" firstSheet="3" activeTab="6"/>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K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1250</author>
  </authors>
  <commentList>
    <comment ref="E1" authorId="0">
      <text>
        <r>
          <rPr>
            <b/>
            <sz val="9"/>
            <rFont val="宋体"/>
            <charset val="134"/>
          </rPr>
          <t>1250:</t>
        </r>
        <r>
          <rPr>
            <sz val="9"/>
            <rFont val="宋体"/>
            <charset val="134"/>
          </rPr>
          <t xml:space="preserve">
&lt;仅用于传奇装备&gt;
字段值填0为默认显示
字段值填1按照特殊词缀显示</t>
        </r>
      </text>
    </comment>
    <comment ref="F1" authorId="0">
      <text>
        <r>
          <rPr>
            <b/>
            <sz val="9"/>
            <rFont val="宋体"/>
            <charset val="134"/>
          </rPr>
          <t>1250:</t>
        </r>
        <r>
          <rPr>
            <sz val="9"/>
            <rFont val="宋体"/>
            <charset val="134"/>
          </rPr>
          <t xml:space="preserve">
&lt;仅用于传奇装备&gt;
特殊词缀的名字</t>
        </r>
      </text>
    </comment>
  </commentList>
</comments>
</file>

<file path=xl/comments7.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8.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9.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<sst xmlns="http://schemas.openxmlformats.org/spreadsheetml/2006/main" count="8826" uniqueCount="570">
  <si>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</si>
  <si>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</si>
  <si>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</si>
  <si>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</si>
  <si>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</si>
  <si>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</si>
  <si>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</si>
  <si>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</si>
  <si>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</si>
  <si>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</si>
  <si>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</si>
  <si>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</si>
  <si>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</si>
  <si>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</si>
  <si>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</si>
  <si>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</si>
  <si>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</si>
  <si>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</si>
  <si>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</si>
  <si>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</si>
  <si>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</si>
  <si>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</si>
  <si>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</si>
  <si>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</si>
  <si>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</si>
  <si>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11201|11202|11203|11204|11205|11206|11207|11208|11209|11210|11211|11212|11213|11214|11215|11216</t>
  </si>
  <si>
    <t>长剑</t>
  </si>
  <si>
    <t>10001|10002|10003|10004|10005|10006|10007|10008|10009|10010|10011|10012|10013|10014|10015|10016</t>
  </si>
  <si>
    <t>魔典</t>
  </si>
  <si>
    <t>11301|11302|11303|11304|11305|11306|11307|11308|11309|11310|11311|11312|11313|11314|11315|11316</t>
  </si>
  <si>
    <t>头盔</t>
  </si>
  <si>
    <t>10101|10102|10103|10104|10105|10106|10107|10108|10109|10110</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</si>
  <si>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</si>
  <si>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</si>
  <si>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</si>
  <si>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</si>
  <si>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</si>
  <si>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</si>
  <si>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</si>
  <si>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</si>
  <si>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</si>
  <si>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</si>
  <si>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</si>
  <si>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</si>
  <si>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</si>
  <si>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</si>
  <si>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</si>
  <si>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</si>
  <si>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</si>
  <si>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</si>
  <si>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</si>
  <si>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</si>
  <si>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</si>
  <si>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</si>
  <si>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</si>
  <si>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</si>
  <si>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</si>
  <si>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</si>
  <si>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</si>
  <si>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物理法杖</t>
  </si>
  <si>
    <t>火焰法杖</t>
  </si>
  <si>
    <t>冰霜法杖</t>
  </si>
  <si>
    <t>闪电法杖</t>
  </si>
  <si>
    <t>混沌法杖</t>
  </si>
  <si>
    <t>物理长剑</t>
  </si>
  <si>
    <t>火焰长剑</t>
  </si>
  <si>
    <t>冰霜长剑</t>
  </si>
  <si>
    <t>闪电长剑</t>
  </si>
  <si>
    <t>混沌长剑</t>
  </si>
  <si>
    <t>物理魔典</t>
  </si>
  <si>
    <t>火焰魔典</t>
  </si>
  <si>
    <t>冰霜魔典</t>
  </si>
  <si>
    <t>闪电魔典</t>
  </si>
  <si>
    <t>混沌魔典</t>
  </si>
  <si>
    <t>铸铁头盔</t>
  </si>
  <si>
    <t>[[1,1]]</t>
  </si>
  <si>
    <t>攻击格挡</t>
  </si>
  <si>
    <t>银制头盔</t>
  </si>
  <si>
    <t>法术格挡</t>
  </si>
  <si>
    <t>铸铁胸甲</t>
  </si>
  <si>
    <t>火抗</t>
  </si>
  <si>
    <t>皮制胸甲</t>
  </si>
  <si>
    <t>冰抗</t>
  </si>
  <si>
    <t>铁锁胸甲</t>
  </si>
  <si>
    <t>电抗</t>
  </si>
  <si>
    <t>铸铁腿甲</t>
  </si>
  <si>
    <t>物理抗</t>
  </si>
  <si>
    <t>钢制腿甲</t>
  </si>
  <si>
    <t>混沌抗</t>
  </si>
  <si>
    <t>铸铁靴</t>
  </si>
  <si>
    <t>防御百比</t>
  </si>
  <si>
    <t>鞣制靴</t>
  </si>
  <si>
    <t>魔力百比</t>
  </si>
  <si>
    <t>符文靴</t>
  </si>
  <si>
    <t>装备稀有度</t>
  </si>
  <si>
    <t>铸铁护手</t>
  </si>
  <si>
    <t>攻击速度</t>
  </si>
  <si>
    <t>皮制护手</t>
  </si>
  <si>
    <t>施法速度</t>
  </si>
  <si>
    <t>轻质护手</t>
  </si>
  <si>
    <t>[[1,1],[2,1]]</t>
  </si>
  <si>
    <t>冷却回复</t>
  </si>
  <si>
    <t>精铁礼花</t>
  </si>
  <si>
    <t>物理</t>
  </si>
  <si>
    <t>宝石礼花</t>
  </si>
  <si>
    <t>元素</t>
  </si>
  <si>
    <t>鹅绒礼花</t>
  </si>
  <si>
    <t>混沌</t>
  </si>
  <si>
    <t>华丽礼花</t>
  </si>
  <si>
    <t>全伤</t>
  </si>
  <si>
    <t>精铁耳环</t>
  </si>
  <si>
    <t>攻击暴击</t>
  </si>
  <si>
    <t>宝石耳环</t>
  </si>
  <si>
    <t>法术暴击</t>
  </si>
  <si>
    <t>珠光耳环</t>
  </si>
  <si>
    <t>暴击伤害</t>
  </si>
  <si>
    <t>精铁项链</t>
  </si>
  <si>
    <t>范围</t>
  </si>
  <si>
    <t>宝石项链</t>
  </si>
  <si>
    <t>近战</t>
  </si>
  <si>
    <t>翡翠项链</t>
  </si>
  <si>
    <t>投射</t>
  </si>
  <si>
    <t>精铁戒指</t>
  </si>
  <si>
    <t>攻击</t>
  </si>
  <si>
    <t>护法戒指</t>
  </si>
  <si>
    <t>法术</t>
  </si>
  <si>
    <t>翡翠戒指</t>
  </si>
  <si>
    <t>召唤</t>
  </si>
  <si>
    <t>传奇编号</t>
  </si>
  <si>
    <t>品质</t>
  </si>
  <si>
    <t>传奇名</t>
  </si>
  <si>
    <t>图标</t>
  </si>
  <si>
    <t>特殊尺寸图标</t>
  </si>
  <si>
    <t>传奇词缀池</t>
  </si>
  <si>
    <t>(nouse)是否专属掉落</t>
  </si>
  <si>
    <t>legend.p</t>
  </si>
  <si>
    <t>quality</t>
  </si>
  <si>
    <t>icon</t>
  </si>
  <si>
    <t>spIcon</t>
  </si>
  <si>
    <t>modifierPool</t>
  </si>
  <si>
    <t>stringArr</t>
  </si>
  <si>
    <t>风暴之眼</t>
  </si>
  <si>
    <t>zhuangbei/110/109</t>
  </si>
  <si>
    <t>101701|101702|101703|101704|101705</t>
  </si>
  <si>
    <t>11201|11202|11203|11204|11205|11206|11207|11208|11209|11210|11211|11212|11213|11214|11215|112016</t>
  </si>
  <si>
    <t>鬼乡村正</t>
  </si>
  <si>
    <t>zhuangbei/104/106</t>
  </si>
  <si>
    <t>100101|100102|100103|100104</t>
  </si>
  <si>
    <t>10001|10002|10003|10004|10005|10006|10007|10008|10009|10010|10011|10012|10013|10014|10015|100016</t>
  </si>
  <si>
    <t>霜之哀伤</t>
  </si>
  <si>
    <t>zhuangbei/131/106</t>
  </si>
  <si>
    <t>101001|101002|101003|101004</t>
  </si>
  <si>
    <t>圣焰</t>
  </si>
  <si>
    <t>zhuangbei/118/202</t>
  </si>
  <si>
    <t>102501|102502|102503|102504</t>
  </si>
  <si>
    <t>死骑之盔</t>
  </si>
  <si>
    <t>zhuangbei/130/202</t>
  </si>
  <si>
    <t>100701|100702|100703|100704|100705</t>
  </si>
  <si>
    <t>龙怒之眼</t>
  </si>
  <si>
    <t>101101|101102|101103</t>
  </si>
  <si>
    <t>元素衣</t>
  </si>
  <si>
    <t>zhuangbei/132/304</t>
  </si>
  <si>
    <t>100301|100302|100303|100304|100305</t>
  </si>
  <si>
    <t>腐化侵蚀</t>
  </si>
  <si>
    <t>zhuangbei/117/302</t>
  </si>
  <si>
    <t>101301|101302|101303|101304</t>
  </si>
  <si>
    <t>大法袍</t>
  </si>
  <si>
    <t>101801|101802|101803|101804|101805</t>
  </si>
  <si>
    <t>聚能爆发</t>
  </si>
  <si>
    <t>zhuangbei/101/1201</t>
  </si>
  <si>
    <t>102601|102602|102603|102604</t>
  </si>
  <si>
    <t>追风</t>
  </si>
  <si>
    <t>zhuangbei/120/401</t>
  </si>
  <si>
    <t>100401|100402|100403</t>
  </si>
  <si>
    <t>烈火行军</t>
  </si>
  <si>
    <t>zhuangbei/118/401</t>
  </si>
  <si>
    <t>101901|101902|101903|101904</t>
  </si>
  <si>
    <t>苦行便鞋</t>
  </si>
  <si>
    <t>zhuangbei/133/403</t>
  </si>
  <si>
    <t>102001|102002|102003|102004</t>
  </si>
  <si>
    <t>轰天雷</t>
  </si>
  <si>
    <t>zhuangbei/121/501</t>
  </si>
  <si>
    <t>100501|100502|100503|100504</t>
  </si>
  <si>
    <t>元素之握</t>
  </si>
  <si>
    <t>zhuangbei/133/504</t>
  </si>
  <si>
    <t>100601|100602|100603|100604|100605</t>
  </si>
  <si>
    <t>刺骨之握</t>
  </si>
  <si>
    <t>zhuangbei/129/504</t>
  </si>
  <si>
    <t>100801|100802|100803|100804</t>
  </si>
  <si>
    <t>沉重掌控</t>
  </si>
  <si>
    <t>zhuangbei/125/501</t>
  </si>
  <si>
    <t>101201|101202|101203|101204</t>
  </si>
  <si>
    <t>寒冰血脉</t>
  </si>
  <si>
    <t>zhuangbei/129/501</t>
  </si>
  <si>
    <t>101401|101402|101403|101404</t>
  </si>
  <si>
    <t>蚀骨</t>
  </si>
  <si>
    <t>zhuangbei/125/502</t>
  </si>
  <si>
    <t>101501|101502|101503|101504</t>
  </si>
  <si>
    <t>神意</t>
  </si>
  <si>
    <t>zhuangbei/110/601</t>
  </si>
  <si>
    <t>102401|102402|102403|102404</t>
  </si>
  <si>
    <t>能级维持</t>
  </si>
  <si>
    <t>zhuangbei/103/701</t>
  </si>
  <si>
    <t>102701|102702|102703|102704</t>
  </si>
  <si>
    <t>旋流之心</t>
  </si>
  <si>
    <t>zhuangbei/121/801</t>
  </si>
  <si>
    <t>100201|100202|100203|100204|100205</t>
  </si>
  <si>
    <t>分形</t>
  </si>
  <si>
    <t>zhuangbei/129/801</t>
  </si>
  <si>
    <t>101601|101602|101603|101604</t>
  </si>
  <si>
    <t>闪电纹章</t>
  </si>
  <si>
    <t>zhuangbei/124/801</t>
  </si>
  <si>
    <t>102101|102102|102103|102104</t>
  </si>
  <si>
    <t>无悔决心</t>
  </si>
  <si>
    <t>zhuangbei/130/801</t>
  </si>
  <si>
    <t>100901|100902|100903|100904</t>
  </si>
  <si>
    <t>碎魔晶</t>
  </si>
  <si>
    <t>zhuangbei/121/901</t>
  </si>
  <si>
    <t>102201|102202|102203|102204</t>
  </si>
  <si>
    <t>冰亡</t>
  </si>
  <si>
    <t>zhuangbei/131/901</t>
  </si>
  <si>
    <t>102301|102302|102303|102304</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</si>
  <si>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</si>
  <si>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</si>
  <si>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</si>
  <si>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</si>
  <si>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</si>
  <si>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</si>
  <si>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</si>
  <si>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</si>
  <si>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</si>
  <si>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</si>
  <si>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</si>
  <si>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</si>
  <si>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</si>
  <si>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</si>
  <si>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</si>
  <si>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</si>
  <si>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</si>
  <si>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</si>
  <si>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</si>
  <si>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</si>
  <si>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[[104,1]]</t>
  </si>
  <si>
    <t>蓝色</t>
  </si>
  <si>
    <t>4|8</t>
  </si>
  <si>
    <t>2|3</t>
  </si>
  <si>
    <t>[[104,2]]</t>
  </si>
  <si>
    <t>金色</t>
  </si>
  <si>
    <t>1|8</t>
  </si>
  <si>
    <t>3|4</t>
  </si>
  <si>
    <t>[[104,3]]</t>
  </si>
  <si>
    <t>橙色</t>
  </si>
  <si>
    <t>1|10</t>
  </si>
  <si>
    <t>6|6</t>
  </si>
  <si>
    <t>[[104,4]]</t>
  </si>
  <si>
    <t>粉色</t>
  </si>
  <si>
    <t>[[104,5]]</t>
  </si>
  <si>
    <t>红色</t>
  </si>
  <si>
    <t>[[104,6]]</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</si>
  <si>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</si>
  <si>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</si>
  <si>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</si>
  <si>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</si>
  <si>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</si>
  <si>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</si>
  <si>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</si>
  <si>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</si>
  <si>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</si>
  <si>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</si>
  <si>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</si>
  <si>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</si>
  <si>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</si>
  <si>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</si>
  <si>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</si>
  <si>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</si>
  <si>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</si>
  <si>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</si>
  <si>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</si>
  <si>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</si>
  <si>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</si>
  <si>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</si>
  <si>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</si>
  <si>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</si>
  <si>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</si>
  <si>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</si>
  <si>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</si>
  <si>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</si>
  <si>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</si>
  <si>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</si>
  <si>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</si>
  <si>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</si>
  <si>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类型</t>
  </si>
  <si>
    <t>名字</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</si>
  <si>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</si>
  <si>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</si>
  <si>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</si>
  <si>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</si>
  <si>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</si>
  <si>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</si>
  <si>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</si>
  <si>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</si>
  <si>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</si>
  <si>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</si>
  <si>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魔典前缀</t>
  </si>
  <si>
    <t>1301|1302|1303|1304|1305|1306|1307|1308|1309|1310|1311|1312|1313|1314|1315|1316</t>
  </si>
  <si>
    <t>魔典后缀</t>
  </si>
  <si>
    <t>1351|1352|1353|1354|1355|1356|1357|1358|1359|1360|1361|1362|1363|1364|1365|1366|1367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</si>
  <si>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</si>
  <si>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</si>
  <si>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</si>
  <si>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</si>
  <si>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</si>
  <si>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</si>
  <si>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</si>
  <si>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</si>
  <si>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</si>
  <si>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</si>
  <si>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</si>
  <si>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</si>
  <si>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</si>
  <si>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</si>
  <si>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</si>
  <si>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</si>
  <si>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</si>
  <si>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</si>
  <si>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</si>
  <si>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</si>
  <si>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</si>
  <si>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</si>
  <si>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</si>
  <si>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</si>
  <si>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</si>
  <si>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</si>
  <si>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</si>
  <si>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</si>
  <si>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</si>
  <si>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</si>
  <si>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</si>
  <si>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</si>
  <si>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</si>
  <si>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</si>
  <si>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</si>
  <si>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</si>
  <si>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必中高伤</t>
  </si>
  <si>
    <t>102401|102402|102403|102404|102405|102406|102407|102408|102409</t>
  </si>
  <si>
    <t>神意之一</t>
  </si>
  <si>
    <t>102401|102402|102403|102404|102405|102406|102407|102408|102409|102410|102411|102412|102413|102414|102415|102416|102417|102418|102419|102420|102421|102422|102423|102424</t>
  </si>
  <si>
    <t>神意之二</t>
  </si>
  <si>
    <t>神意之三</t>
  </si>
  <si>
    <t>神意之四</t>
  </si>
  <si>
    <t>102601|102602|102603|102604|102605</t>
  </si>
  <si>
    <t>过载</t>
  </si>
  <si>
    <t>102606|102607|102608|102609|102610</t>
  </si>
  <si>
    <t>能量巅峰</t>
  </si>
  <si>
    <t>102701|102702|102703|102704|102705</t>
  </si>
  <si>
    <t>盈能</t>
  </si>
  <si>
    <t>102706|102707|102708|102709|102710</t>
  </si>
  <si>
    <t>90139|90140</t>
  </si>
  <si>
    <t>90141|90142|90143|90144|90145</t>
  </si>
  <si>
    <t>90146|90147|90148|90149|90150</t>
  </si>
  <si>
    <t>90150|90151</t>
  </si>
  <si>
    <t>90152|90153|90154|90155|90156</t>
  </si>
  <si>
    <t>神意之五</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</si>
  <si>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</si>
  <si>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</si>
  <si>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</si>
  <si>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</si>
  <si>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</si>
  <si>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</si>
  <si>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</si>
  <si>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</si>
  <si>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</si>
  <si>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</si>
  <si>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</si>
  <si>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</si>
  <si>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</si>
  <si>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</si>
  <si>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</si>
  <si>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</si>
  <si>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</si>
  <si>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</si>
  <si>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</si>
  <si>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</si>
  <si>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</si>
  <si>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</si>
  <si>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</si>
  <si>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</si>
  <si>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</si>
  <si>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</si>
  <si>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</si>
  <si>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</si>
  <si>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</si>
  <si>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</si>
  <si>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</si>
  <si>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</si>
  <si>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</si>
  <si>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</si>
  <si>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</si>
  <si>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</si>
  <si>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</si>
  <si>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</si>
  <si>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</si>
  <si>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</si>
  <si>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</si>
  <si>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</si>
  <si>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</si>
  <si>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</si>
  <si>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</si>
  <si>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</si>
  <si>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</si>
  <si>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</si>
  <si>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</si>
  <si>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</si>
  <si>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</si>
  <si>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</si>
  <si>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</si>
  <si>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</si>
  <si>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</si>
  <si>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</si>
  <si>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</si>
  <si>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冻结效果比例</t>
  </si>
  <si>
    <t>感电概率提高</t>
  </si>
  <si>
    <t>流血效果比例</t>
  </si>
  <si>
    <t>中毒效果比例</t>
  </si>
  <si>
    <t>降低装备穿戴等级</t>
  </si>
  <si>
    <t>击杀回血</t>
  </si>
  <si>
    <t>击杀回蓝</t>
  </si>
  <si>
    <t>头部</t>
  </si>
  <si>
    <t>防御力</t>
  </si>
  <si>
    <t>攻击格挡率</t>
  </si>
  <si>
    <t>法术格挡率</t>
  </si>
  <si>
    <t>诅咒效果提高</t>
  </si>
  <si>
    <t>瘫痪效果提高</t>
  </si>
  <si>
    <t>软弱效果提高</t>
  </si>
  <si>
    <t>光环效果提高</t>
  </si>
  <si>
    <t>范围效果提高</t>
  </si>
  <si>
    <t>投射物速度提高</t>
  </si>
  <si>
    <t>物理抗性</t>
  </si>
  <si>
    <t>火焰抗性</t>
  </si>
  <si>
    <t>冰冷抗性</t>
  </si>
  <si>
    <t>闪电抗性</t>
  </si>
  <si>
    <t>混沌抗性</t>
  </si>
  <si>
    <t>法术暴击率提高</t>
  </si>
  <si>
    <t>法术暴击伤害增加</t>
  </si>
  <si>
    <t>法术伤害提高</t>
  </si>
  <si>
    <t>生命每秒恢复</t>
  </si>
  <si>
    <t>魔力每秒恢复</t>
  </si>
  <si>
    <t>移动速度增加</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</si>
  <si>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</si>
  <si>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</si>
  <si>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</si>
  <si>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</si>
  <si>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</si>
  <si>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</si>
  <si>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</si>
  <si>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</si>
  <si>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</si>
  <si>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</si>
  <si>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穿透注能层数增加</t>
  </si>
  <si>
    <t>混乱注能层数增加</t>
  </si>
  <si>
    <t>迅捷注能层数增加</t>
  </si>
  <si>
    <t>攻击技能等级增加</t>
  </si>
  <si>
    <t>腐化</t>
  </si>
  <si>
    <t>生命恢复率</t>
  </si>
  <si>
    <t>魔力恢复率</t>
  </si>
  <si>
    <t>基础暴击率</t>
  </si>
  <si>
    <t>攻击伤害额外提高</t>
  </si>
  <si>
    <t>法术伤害额外提高</t>
  </si>
  <si>
    <t>传奇</t>
  </si>
  <si>
    <t>全局伤害提高</t>
  </si>
  <si>
    <t>旋风斩无cd,伤害减少1.6倍率</t>
  </si>
  <si>
    <t>闪电之捷</t>
  </si>
  <si>
    <t>灰烬之捷</t>
  </si>
  <si>
    <t>冰霜之捷</t>
  </si>
  <si>
    <t>感电效果比例</t>
  </si>
  <si>
    <t>物理伤害转冰冷伤害增加</t>
  </si>
  <si>
    <t>物理伤害转火焰伤害增加</t>
  </si>
  <si>
    <t>物理伤害转闪电伤害增加</t>
  </si>
  <si>
    <t>造成冻结时间比例</t>
  </si>
  <si>
    <t>冷却回复效率</t>
  </si>
  <si>
    <t>降爆伤增暴击</t>
  </si>
  <si>
    <t>冻结效果额外提高</t>
  </si>
  <si>
    <t>对处于冻结状态的敌人伤害额外提高</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</si>
  <si>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</si>
  <si>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</si>
  <si>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</si>
  <si>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</si>
  <si>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</si>
  <si>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</si>
  <si>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</si>
  <si>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</si>
  <si>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</si>
  <si>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法术技能等级增加</t>
  </si>
  <si>
    <t>魔力回复率额外提高</t>
  </si>
  <si>
    <t>魔力每秒恢复增加</t>
  </si>
  <si>
    <t>注能持续时间提高</t>
  </si>
  <si>
    <t>每隔5秒在脚下生成一片火焰地面，造成点燃伤害</t>
  </si>
  <si>
    <t>每移动20米可以获得一层毁灭注能</t>
  </si>
  <si>
    <t>闪电浸染</t>
  </si>
  <si>
    <t>范围伤害提高</t>
  </si>
  <si>
    <t>暴击率提高</t>
  </si>
  <si>
    <t>周围敌人受到生命值上限1%的点燃强度的点燃</t>
  </si>
  <si>
    <t>毁灭注能-物理额外伤害提高</t>
  </si>
  <si>
    <t>洞察注能-冰冷额外伤害提高</t>
  </si>
  <si>
    <t>穿透注能-火焰额外伤害提高</t>
  </si>
  <si>
    <t>混乱注能-混沌额外伤害提高</t>
  </si>
  <si>
    <t>迅捷注能-闪电额外伤害提高</t>
  </si>
  <si>
    <t>获得满层毁灭注能</t>
  </si>
  <si>
    <t>获得满层洞察注能</t>
  </si>
  <si>
    <t>获得满层穿透注能</t>
  </si>
  <si>
    <t>获得满层混乱注能</t>
  </si>
  <si>
    <t>获得满层迅捷注能</t>
  </si>
  <si>
    <t>获得物理伤害15%</t>
  </si>
  <si>
    <t>获得火焰伤害15%</t>
  </si>
  <si>
    <t>获得冰冷伤害15%</t>
  </si>
  <si>
    <t>获得闪电伤害15%</t>
  </si>
  <si>
    <t>获得混沌伤害15%</t>
  </si>
  <si>
    <t>攻击格挡率增加15%</t>
  </si>
  <si>
    <t>法术格挡率增加15%</t>
  </si>
  <si>
    <t>火焰抗性增加20%</t>
  </si>
  <si>
    <t>冰冷抗性增加20%</t>
  </si>
  <si>
    <t>闪电抗性增加20%</t>
  </si>
  <si>
    <t>物理抗性增加20%</t>
  </si>
  <si>
    <t>混沌抗性增加10%</t>
  </si>
  <si>
    <t>防御力增加100</t>
  </si>
  <si>
    <t>基础魔力增加50</t>
  </si>
  <si>
    <t>装备稀有度增加15%</t>
  </si>
  <si>
    <t>攻击速度提高10%</t>
  </si>
  <si>
    <t>施法速度提高10%</t>
  </si>
  <si>
    <t>冷却回复效率10%</t>
  </si>
  <si>
    <t>物理伤害提高20%</t>
  </si>
  <si>
    <t>元素伤害提高15%</t>
  </si>
  <si>
    <t>混沌伤害提高20%</t>
  </si>
  <si>
    <t>全局伤害提高12%</t>
  </si>
  <si>
    <t>攻击暴击率提高20%</t>
  </si>
  <si>
    <t>法术暴击率提高20%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</si>
  <si>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</si>
  <si>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</si>
  <si>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</si>
  <si>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</si>
  <si>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</si>
  <si>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</si>
  <si>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</si>
  <si>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</si>
  <si>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</si>
  <si>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</si>
  <si>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</si>
  <si>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</si>
  <si>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</si>
  <si>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</si>
  <si>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</si>
  <si>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</si>
  <si>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</si>
  <si>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</si>
  <si>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</si>
  <si>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</si>
  <si>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</si>
  <si>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</si>
  <si>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</si>
  <si>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</si>
  <si>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</si>
  <si>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</si>
  <si>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</si>
  <si>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物理技能等级</t>
  </si>
  <si>
    <t>火焰技能等级</t>
  </si>
  <si>
    <t>冰冷技能等级</t>
  </si>
  <si>
    <t>闪电技能等级</t>
  </si>
  <si>
    <t>混沌技能等级</t>
  </si>
  <si>
    <t>冰冻效果比例</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</si>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</sst>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44">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8" borderId="0" xfId="0" applyNumberFormat="1" applyFill="1">
      <alignment vertical="center"/>
    </xf>
    <xf numFmtId="0" fontId="0" fillId="9" borderId="0" xfId="0" applyNumberFormat="1" applyFill="1">
      <alignment vertical="center"/>
    </xf>
    <xf numFmtId="0" fontId="0" fillId="10" borderId="0" xfId="0" applyNumberFormat="1" applyFill="1">
      <alignmen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1">
          <cell r="I1" t="str">
            <v>(nouse)词缀描述</v>
          </cell>
        </row>
        <row r="2">
          <cell r="B2" t="str">
            <v>attrID</v>
          </cell>
          <cell r="C2" t="str">
            <v>desc999</v>
          </cell>
          <cell r="D2" t="str">
            <v>desc98</v>
          </cell>
          <cell r="E2" t="str">
            <v>desc97</v>
          </cell>
        </row>
        <row r="2">
          <cell r="I2" t="str">
            <v>desc96</v>
          </cell>
        </row>
        <row r="3">
          <cell r="B3" t="str">
            <v>number</v>
          </cell>
          <cell r="C3" t="str">
            <v>string</v>
          </cell>
          <cell r="D3" t="str">
            <v>string</v>
          </cell>
          <cell r="E3" t="str">
            <v>string</v>
          </cell>
        </row>
        <row r="3">
          <cell r="I3" t="str">
            <v>string</v>
          </cell>
        </row>
        <row r="4">
          <cell r="B4">
            <v>10000</v>
          </cell>
          <cell r="C4" t="str">
            <v>基础攻击</v>
          </cell>
          <cell r="D4">
            <v>0</v>
          </cell>
          <cell r="E4">
            <v>1</v>
          </cell>
        </row>
        <row r="4">
          <cell r="I4" t="str">
            <v>基础攻击增加{0}</v>
          </cell>
        </row>
        <row r="5">
          <cell r="B5">
            <v>10001</v>
          </cell>
          <cell r="C5" t="str">
            <v>基础生命</v>
          </cell>
          <cell r="D5">
            <v>0</v>
          </cell>
          <cell r="E5">
            <v>1</v>
          </cell>
        </row>
        <row r="5">
          <cell r="I5" t="str">
            <v>基础生命增加{0}</v>
          </cell>
        </row>
        <row r="6">
          <cell r="B6">
            <v>10002</v>
          </cell>
          <cell r="C6" t="str">
            <v>基础魔力</v>
          </cell>
          <cell r="D6">
            <v>0</v>
          </cell>
          <cell r="E6">
            <v>1</v>
          </cell>
        </row>
        <row r="6">
          <cell r="I6" t="str">
            <v>基础魔力增加{0}</v>
          </cell>
        </row>
        <row r="7">
          <cell r="B7">
            <v>10003</v>
          </cell>
          <cell r="C7" t="str">
            <v>生命每秒恢复</v>
          </cell>
          <cell r="D7">
            <v>0</v>
          </cell>
          <cell r="E7">
            <v>1</v>
          </cell>
        </row>
        <row r="7">
          <cell r="I7" t="str">
            <v>每秒生命恢复增加{0}</v>
          </cell>
        </row>
        <row r="8">
          <cell r="B8">
            <v>10004</v>
          </cell>
          <cell r="C8" t="str">
            <v>生命恢复率</v>
          </cell>
          <cell r="D8">
            <v>3</v>
          </cell>
          <cell r="E8">
            <v>2</v>
          </cell>
        </row>
        <row r="8">
          <cell r="I8" t="str">
            <v>生命恢复率增加{0}</v>
          </cell>
        </row>
        <row r="9">
          <cell r="B9">
            <v>10005</v>
          </cell>
          <cell r="C9" t="str">
            <v>魔力每秒恢复</v>
          </cell>
          <cell r="D9">
            <v>0</v>
          </cell>
          <cell r="E9">
            <v>1</v>
          </cell>
        </row>
        <row r="9">
          <cell r="I9" t="str">
            <v>每秒魔力恢复增加{0}</v>
          </cell>
        </row>
        <row r="10">
          <cell r="B10">
            <v>10006</v>
          </cell>
          <cell r="C10" t="str">
            <v>魔力恢复率</v>
          </cell>
          <cell r="D10">
            <v>3</v>
          </cell>
          <cell r="E10">
            <v>2</v>
          </cell>
        </row>
        <row r="10">
          <cell r="I10" t="str">
            <v>魔力恢复率增加{0}</v>
          </cell>
        </row>
        <row r="11">
          <cell r="B11">
            <v>10007</v>
          </cell>
          <cell r="C11" t="str">
            <v>移动速度增加</v>
          </cell>
          <cell r="D11">
            <v>2</v>
          </cell>
          <cell r="E11">
            <v>2</v>
          </cell>
        </row>
        <row r="11">
          <cell r="I11" t="str">
            <v>移速提高增加{0}</v>
          </cell>
        </row>
        <row r="12">
          <cell r="B12">
            <v>10009</v>
          </cell>
          <cell r="C12" t="str">
            <v>命中率</v>
          </cell>
          <cell r="D12">
            <v>2</v>
          </cell>
          <cell r="E12">
            <v>2</v>
          </cell>
        </row>
        <row r="12">
          <cell r="I12" t="str">
            <v>命中率增加{0}</v>
          </cell>
        </row>
        <row r="13">
          <cell r="B13">
            <v>10010</v>
          </cell>
          <cell r="C13" t="str">
            <v>闪避率</v>
          </cell>
          <cell r="D13">
            <v>2</v>
          </cell>
          <cell r="E13">
            <v>2</v>
          </cell>
        </row>
        <row r="13">
          <cell r="I13" t="str">
            <v>闪避率增加{0}</v>
          </cell>
        </row>
        <row r="14">
          <cell r="B14">
            <v>10012</v>
          </cell>
          <cell r="C14" t="str">
            <v>格挡比例</v>
          </cell>
          <cell r="D14">
            <v>2</v>
          </cell>
          <cell r="E14">
            <v>2</v>
          </cell>
        </row>
        <row r="14">
          <cell r="I14" t="str">
            <v>格挡减伤率增加{0}</v>
          </cell>
        </row>
        <row r="15">
          <cell r="B15">
            <v>10011</v>
          </cell>
          <cell r="C15" t="str">
            <v>法术格挡率</v>
          </cell>
          <cell r="D15">
            <v>2</v>
          </cell>
          <cell r="E15">
            <v>2</v>
          </cell>
        </row>
        <row r="15">
          <cell r="I15" t="str">
            <v>法术格挡率增加{0}</v>
          </cell>
        </row>
        <row r="16">
          <cell r="B16">
            <v>10013</v>
          </cell>
          <cell r="C16" t="str">
            <v>攻击格挡率</v>
          </cell>
          <cell r="D16">
            <v>2</v>
          </cell>
          <cell r="E16">
            <v>2</v>
          </cell>
        </row>
        <row r="16">
          <cell r="I16" t="str">
            <v>攻击格挡率增加{0}</v>
          </cell>
        </row>
        <row r="17">
          <cell r="B17">
            <v>10014</v>
          </cell>
          <cell r="C17" t="str">
            <v>防御力</v>
          </cell>
          <cell r="D17">
            <v>0</v>
          </cell>
          <cell r="E17">
            <v>1</v>
          </cell>
        </row>
        <row r="17">
          <cell r="I17" t="str">
            <v>防御力增加{0}</v>
          </cell>
        </row>
        <row r="18">
          <cell r="B18">
            <v>10015</v>
          </cell>
          <cell r="C18" t="str">
            <v>攻击击中回血</v>
          </cell>
          <cell r="D18">
            <v>0</v>
          </cell>
          <cell r="E18">
            <v>1</v>
          </cell>
        </row>
        <row r="18">
          <cell r="I18" t="str">
            <v>攻击击中回血增加{0}</v>
          </cell>
        </row>
        <row r="19">
          <cell r="B19">
            <v>10016</v>
          </cell>
          <cell r="C19" t="str">
            <v>攻击击中回蓝</v>
          </cell>
          <cell r="D19">
            <v>0</v>
          </cell>
          <cell r="E19">
            <v>1</v>
          </cell>
        </row>
        <row r="19">
          <cell r="I19" t="str">
            <v>攻击击中回蓝增加{0}</v>
          </cell>
        </row>
        <row r="20">
          <cell r="B20">
            <v>10017</v>
          </cell>
          <cell r="C20" t="str">
            <v>法术击中回血</v>
          </cell>
          <cell r="D20">
            <v>0</v>
          </cell>
          <cell r="E20">
            <v>1</v>
          </cell>
        </row>
        <row r="20">
          <cell r="I20" t="str">
            <v>法术击中回血增加{0}</v>
          </cell>
        </row>
        <row r="21">
          <cell r="B21">
            <v>10018</v>
          </cell>
          <cell r="C21" t="str">
            <v>法术击中回蓝</v>
          </cell>
          <cell r="D21">
            <v>0</v>
          </cell>
          <cell r="E21">
            <v>1</v>
          </cell>
        </row>
        <row r="21">
          <cell r="I21" t="str">
            <v>法术击中回蓝增加{0}</v>
          </cell>
        </row>
        <row r="22">
          <cell r="B22">
            <v>10019</v>
          </cell>
          <cell r="C22" t="str">
            <v>击杀回血</v>
          </cell>
          <cell r="D22">
            <v>0</v>
          </cell>
          <cell r="E22">
            <v>1</v>
          </cell>
        </row>
        <row r="22">
          <cell r="I22" t="str">
            <v>击杀回血增加{0}</v>
          </cell>
        </row>
        <row r="23">
          <cell r="B23">
            <v>10020</v>
          </cell>
          <cell r="C23" t="str">
            <v>击杀回蓝</v>
          </cell>
          <cell r="D23">
            <v>0</v>
          </cell>
          <cell r="E23">
            <v>1</v>
          </cell>
        </row>
        <row r="23">
          <cell r="I23" t="str">
            <v>击杀回蓝增加{0}</v>
          </cell>
        </row>
        <row r="24">
          <cell r="B24">
            <v>10021</v>
          </cell>
          <cell r="C24" t="str">
            <v>能量</v>
          </cell>
          <cell r="D24">
            <v>0</v>
          </cell>
          <cell r="E24">
            <v>1</v>
          </cell>
        </row>
        <row r="24">
          <cell r="I24" t="str">
            <v>能量增加{0}</v>
          </cell>
        </row>
        <row r="25">
          <cell r="B25">
            <v>10022</v>
          </cell>
          <cell r="C25" t="str">
            <v>怒气</v>
          </cell>
          <cell r="D25">
            <v>0</v>
          </cell>
          <cell r="E25">
            <v>1</v>
          </cell>
        </row>
        <row r="25">
          <cell r="I25" t="str">
            <v>怒气增加{0}</v>
          </cell>
        </row>
        <row r="26">
          <cell r="B26">
            <v>10029</v>
          </cell>
          <cell r="C26" t="str">
            <v>攻击速度-老版本buff引用</v>
          </cell>
          <cell r="D26">
            <v>0</v>
          </cell>
          <cell r="E26">
            <v>1</v>
          </cell>
        </row>
        <row r="26">
          <cell r="I26" t="str">
            <v>攻击速度增加{0}</v>
          </cell>
        </row>
        <row r="27">
          <cell r="B27">
            <v>10030</v>
          </cell>
          <cell r="C27" t="str">
            <v>施法速度-老版本buff引用</v>
          </cell>
          <cell r="D27">
            <v>0</v>
          </cell>
          <cell r="E27">
            <v>1</v>
          </cell>
        </row>
        <row r="27">
          <cell r="I27" t="str">
            <v>施法速度增加{0}</v>
          </cell>
        </row>
        <row r="28">
          <cell r="B28">
            <v>10033</v>
          </cell>
          <cell r="C28" t="str">
            <v>投射物速度</v>
          </cell>
          <cell r="D28">
            <v>0</v>
          </cell>
          <cell r="E28">
            <v>1</v>
          </cell>
        </row>
        <row r="28">
          <cell r="I28" t="str">
            <v>投射物速度增加{0}</v>
          </cell>
        </row>
        <row r="29">
          <cell r="B29">
            <v>10034</v>
          </cell>
          <cell r="C29" t="str">
            <v>攻击速度</v>
          </cell>
          <cell r="D29">
            <v>2</v>
          </cell>
          <cell r="E29">
            <v>2</v>
          </cell>
        </row>
        <row r="29">
          <cell r="I29" t="str">
            <v>攻击速度比例增加{0}</v>
          </cell>
        </row>
        <row r="30">
          <cell r="B30">
            <v>10035</v>
          </cell>
          <cell r="C30" t="str">
            <v>施法速度</v>
          </cell>
          <cell r="D30">
            <v>2</v>
          </cell>
          <cell r="E30">
            <v>2</v>
          </cell>
        </row>
        <row r="30">
          <cell r="I30" t="str">
            <v>施法速度比例增加{0}</v>
          </cell>
        </row>
        <row r="31">
          <cell r="B31">
            <v>10100</v>
          </cell>
          <cell r="C31" t="str">
            <v>基础暴击率</v>
          </cell>
          <cell r="D31">
            <v>3</v>
          </cell>
          <cell r="E31">
            <v>2</v>
          </cell>
        </row>
        <row r="31">
          <cell r="I31" t="str">
            <v>基础暴击率增加{0}</v>
          </cell>
        </row>
        <row r="32">
          <cell r="B32">
            <v>10101</v>
          </cell>
          <cell r="C32" t="str">
            <v>全局暴击值增加</v>
          </cell>
          <cell r="D32">
            <v>2</v>
          </cell>
          <cell r="E32">
            <v>2</v>
          </cell>
        </row>
        <row r="32">
          <cell r="I32" t="str">
            <v>全局暴击提高增加{0}</v>
          </cell>
        </row>
        <row r="33">
          <cell r="B33">
            <v>10102</v>
          </cell>
          <cell r="C33" t="str">
            <v>攻击暴击值增加</v>
          </cell>
          <cell r="D33">
            <v>2</v>
          </cell>
          <cell r="E33">
            <v>2</v>
          </cell>
        </row>
        <row r="33">
          <cell r="I33" t="str">
            <v>攻击暴击提高增加{0}</v>
          </cell>
        </row>
        <row r="34">
          <cell r="B34">
            <v>10103</v>
          </cell>
          <cell r="C34" t="str">
            <v>法术暴击值增加</v>
          </cell>
          <cell r="D34">
            <v>2</v>
          </cell>
          <cell r="E34">
            <v>2</v>
          </cell>
        </row>
        <row r="34">
          <cell r="I34" t="str">
            <v>法术暴击提高增加{0}</v>
          </cell>
        </row>
        <row r="35">
          <cell r="B35">
            <v>10200</v>
          </cell>
          <cell r="C35" t="str">
            <v>暴击伤害</v>
          </cell>
          <cell r="D35">
            <v>2</v>
          </cell>
          <cell r="E35">
            <v>2</v>
          </cell>
        </row>
        <row r="35">
          <cell r="I35" t="str">
            <v>暴击伤害增加{0}</v>
          </cell>
        </row>
        <row r="36">
          <cell r="B36">
            <v>10300</v>
          </cell>
          <cell r="C36" t="str">
            <v>全局伤害提高</v>
          </cell>
          <cell r="D36">
            <v>2</v>
          </cell>
          <cell r="E36">
            <v>2</v>
          </cell>
        </row>
        <row r="36">
          <cell r="I36" t="str">
            <v>全局伤害提高增加{0}</v>
          </cell>
        </row>
        <row r="37">
          <cell r="B37">
            <v>10301</v>
          </cell>
          <cell r="C37" t="str">
            <v>废弃1</v>
          </cell>
          <cell r="D37">
            <v>2</v>
          </cell>
          <cell r="E37">
            <v>2</v>
          </cell>
        </row>
        <row r="37">
          <cell r="I37" t="str">
            <v>攻击伤害提高增加{0}</v>
          </cell>
        </row>
        <row r="38">
          <cell r="B38">
            <v>10302</v>
          </cell>
          <cell r="C38" t="str">
            <v>废弃2</v>
          </cell>
          <cell r="D38">
            <v>2</v>
          </cell>
          <cell r="E38">
            <v>2</v>
          </cell>
        </row>
        <row r="38">
          <cell r="I38" t="str">
            <v>法术伤害提高增加{0}</v>
          </cell>
        </row>
        <row r="39">
          <cell r="B39">
            <v>10303</v>
          </cell>
          <cell r="C39" t="str">
            <v>物理伤害提高</v>
          </cell>
          <cell r="D39">
            <v>2</v>
          </cell>
          <cell r="E39">
            <v>2</v>
          </cell>
        </row>
        <row r="39">
          <cell r="I39" t="str">
            <v>物理伤害提高{0}</v>
          </cell>
        </row>
        <row r="40">
          <cell r="B40">
            <v>10304</v>
          </cell>
          <cell r="C40" t="str">
            <v>火焰伤害提高</v>
          </cell>
          <cell r="D40">
            <v>2</v>
          </cell>
          <cell r="E40">
            <v>2</v>
          </cell>
        </row>
        <row r="40">
          <cell r="I40" t="str">
            <v>火焰伤害提高{0}</v>
          </cell>
        </row>
        <row r="41">
          <cell r="B41">
            <v>10305</v>
          </cell>
          <cell r="C41" t="str">
            <v>冰冷伤害提高</v>
          </cell>
          <cell r="D41">
            <v>2</v>
          </cell>
          <cell r="E41">
            <v>2</v>
          </cell>
        </row>
        <row r="41">
          <cell r="I41" t="str">
            <v>冰冷伤害提高{0}</v>
          </cell>
        </row>
        <row r="42">
          <cell r="B42">
            <v>10306</v>
          </cell>
          <cell r="C42" t="str">
            <v>闪电伤害提高</v>
          </cell>
          <cell r="D42">
            <v>2</v>
          </cell>
          <cell r="E42">
            <v>2</v>
          </cell>
        </row>
        <row r="42">
          <cell r="I42" t="str">
            <v>闪电伤害提高{0}</v>
          </cell>
        </row>
        <row r="43">
          <cell r="B43">
            <v>10307</v>
          </cell>
          <cell r="C43" t="str">
            <v>混沌伤害提高</v>
          </cell>
          <cell r="D43">
            <v>2</v>
          </cell>
          <cell r="E43">
            <v>2</v>
          </cell>
        </row>
        <row r="43">
          <cell r="I43" t="str">
            <v>混沌伤害提高{0}</v>
          </cell>
        </row>
        <row r="44">
          <cell r="B44">
            <v>10308</v>
          </cell>
          <cell r="C44" t="str">
            <v>元素伤害提高</v>
          </cell>
          <cell r="D44">
            <v>2</v>
          </cell>
          <cell r="E44">
            <v>2</v>
          </cell>
        </row>
        <row r="44">
          <cell r="I44" t="str">
            <v>元素伤害提高{0}</v>
          </cell>
        </row>
        <row r="45">
          <cell r="B45">
            <v>10309</v>
          </cell>
          <cell r="C45" t="str">
            <v>more伤</v>
          </cell>
          <cell r="D45">
            <v>2</v>
          </cell>
          <cell r="E45">
            <v>2</v>
          </cell>
        </row>
        <row r="45">
          <cell r="I45" t="str">
            <v>更多伤害增加{0}</v>
          </cell>
        </row>
        <row r="46">
          <cell r="B46">
            <v>10310</v>
          </cell>
          <cell r="C46" t="str">
            <v>全局减伤(未开发)</v>
          </cell>
          <cell r="D46">
            <v>2</v>
          </cell>
          <cell r="E46">
            <v>2</v>
          </cell>
        </row>
        <row r="46">
          <cell r="I46" t="str">
            <v>全局减伤增加{0}</v>
          </cell>
        </row>
        <row r="47">
          <cell r="B47">
            <v>10311</v>
          </cell>
          <cell r="C47" t="str">
            <v>物理抗性</v>
          </cell>
          <cell r="D47">
            <v>2</v>
          </cell>
          <cell r="E47">
            <v>2</v>
          </cell>
        </row>
        <row r="47">
          <cell r="I47" t="str">
            <v>物理抗性增加{0}</v>
          </cell>
        </row>
        <row r="48">
          <cell r="B48">
            <v>10312</v>
          </cell>
          <cell r="C48" t="str">
            <v>火焰抗性</v>
          </cell>
          <cell r="D48">
            <v>2</v>
          </cell>
          <cell r="E48">
            <v>2</v>
          </cell>
        </row>
        <row r="48">
          <cell r="I48" t="str">
            <v>火焰抗性增加{0}</v>
          </cell>
        </row>
        <row r="49">
          <cell r="B49">
            <v>10313</v>
          </cell>
          <cell r="C49" t="str">
            <v>冰冷抗性</v>
          </cell>
          <cell r="D49">
            <v>2</v>
          </cell>
          <cell r="E49">
            <v>2</v>
          </cell>
        </row>
        <row r="49">
          <cell r="I49" t="str">
            <v>冰冷抗性增加{0}</v>
          </cell>
        </row>
        <row r="50">
          <cell r="B50">
            <v>10314</v>
          </cell>
          <cell r="C50" t="str">
            <v>闪电抗性</v>
          </cell>
          <cell r="D50">
            <v>2</v>
          </cell>
          <cell r="E50">
            <v>2</v>
          </cell>
        </row>
        <row r="50">
          <cell r="I50" t="str">
            <v>闪电抗性增加{0}</v>
          </cell>
        </row>
        <row r="51">
          <cell r="B51">
            <v>10315</v>
          </cell>
          <cell r="C51" t="str">
            <v>混沌抗性</v>
          </cell>
          <cell r="D51">
            <v>2</v>
          </cell>
          <cell r="E51">
            <v>2</v>
          </cell>
        </row>
        <row r="51">
          <cell r="I51" t="str">
            <v>混沌抗性增加{0}</v>
          </cell>
        </row>
        <row r="52">
          <cell r="B52">
            <v>10316</v>
          </cell>
          <cell r="C52" t="str">
            <v>元素抗性</v>
          </cell>
          <cell r="D52">
            <v>2</v>
          </cell>
          <cell r="E52">
            <v>2</v>
          </cell>
        </row>
        <row r="52">
          <cell r="I52" t="str">
            <v>元素抗性增加{0}</v>
          </cell>
        </row>
        <row r="53">
          <cell r="B53">
            <v>10317</v>
          </cell>
          <cell r="C53" t="str">
            <v>火焰物理抗性</v>
          </cell>
          <cell r="D53">
            <v>2</v>
          </cell>
          <cell r="E53">
            <v>2</v>
          </cell>
        </row>
        <row r="53">
          <cell r="I53" t="str">
            <v>火焰物理抗性增加{0}</v>
          </cell>
        </row>
        <row r="54">
          <cell r="B54">
            <v>10318</v>
          </cell>
          <cell r="C54" t="str">
            <v>冰冷物理抗性</v>
          </cell>
          <cell r="D54">
            <v>2</v>
          </cell>
          <cell r="E54">
            <v>2</v>
          </cell>
        </row>
        <row r="54">
          <cell r="I54" t="str">
            <v>冰冷物理抗性增加{0}</v>
          </cell>
        </row>
        <row r="55">
          <cell r="B55">
            <v>10319</v>
          </cell>
          <cell r="C55" t="str">
            <v>闪电物理抗性</v>
          </cell>
          <cell r="D55">
            <v>2</v>
          </cell>
          <cell r="E55">
            <v>2</v>
          </cell>
        </row>
        <row r="55">
          <cell r="I55" t="str">
            <v>闪电物理抗性增加{0}</v>
          </cell>
        </row>
        <row r="56">
          <cell r="B56">
            <v>10320</v>
          </cell>
          <cell r="C56" t="str">
            <v>火焰混沌抗性</v>
          </cell>
          <cell r="D56">
            <v>2</v>
          </cell>
          <cell r="E56">
            <v>2</v>
          </cell>
        </row>
        <row r="56">
          <cell r="I56" t="str">
            <v>火焰混沌抗性增加{0}</v>
          </cell>
        </row>
        <row r="57">
          <cell r="B57">
            <v>10321</v>
          </cell>
          <cell r="C57" t="str">
            <v>冰冷混沌抗性</v>
          </cell>
          <cell r="D57">
            <v>2</v>
          </cell>
          <cell r="E57">
            <v>2</v>
          </cell>
        </row>
        <row r="57">
          <cell r="I57" t="str">
            <v>冰冷混沌抗性增加{0}</v>
          </cell>
        </row>
        <row r="58">
          <cell r="B58">
            <v>10322</v>
          </cell>
          <cell r="C58" t="str">
            <v>闪电混沌抗性</v>
          </cell>
          <cell r="D58">
            <v>2</v>
          </cell>
          <cell r="E58">
            <v>2</v>
          </cell>
        </row>
        <row r="58">
          <cell r="I58" t="str">
            <v>闪电混沌抗性增加{0}</v>
          </cell>
        </row>
        <row r="59">
          <cell r="B59">
            <v>10323</v>
          </cell>
          <cell r="C59" t="str">
            <v>击退抗性</v>
          </cell>
          <cell r="D59">
            <v>2</v>
          </cell>
          <cell r="E59">
            <v>2</v>
          </cell>
        </row>
        <row r="59">
          <cell r="I59" t="str">
            <v>击退抗性增加{0}</v>
          </cell>
        </row>
        <row r="60">
          <cell r="B60">
            <v>10324</v>
          </cell>
          <cell r="C60" t="str">
            <v>减速抗性</v>
          </cell>
          <cell r="D60">
            <v>2</v>
          </cell>
          <cell r="E60">
            <v>2</v>
          </cell>
        </row>
        <row r="60">
          <cell r="I60" t="str">
            <v>减速抗性增加{0}</v>
          </cell>
        </row>
        <row r="61">
          <cell r="B61">
            <v>10325</v>
          </cell>
          <cell r="C61" t="str">
            <v>眩晕抗性</v>
          </cell>
          <cell r="D61">
            <v>2</v>
          </cell>
          <cell r="E61">
            <v>2</v>
          </cell>
        </row>
        <row r="61">
          <cell r="I61" t="str">
            <v>眩晕抗性增加{0}</v>
          </cell>
        </row>
        <row r="62">
          <cell r="B62">
            <v>10500</v>
          </cell>
          <cell r="C62" t="str">
            <v>获得物理伤害</v>
          </cell>
          <cell r="D62">
            <v>2</v>
          </cell>
          <cell r="E62">
            <v>2</v>
          </cell>
        </row>
        <row r="62">
          <cell r="I62" t="str">
            <v>获得物理伤害{0}</v>
          </cell>
        </row>
        <row r="63">
          <cell r="B63">
            <v>10501</v>
          </cell>
          <cell r="C63" t="str">
            <v>获得火焰伤害</v>
          </cell>
          <cell r="D63">
            <v>2</v>
          </cell>
          <cell r="E63">
            <v>2</v>
          </cell>
        </row>
        <row r="63">
          <cell r="I63" t="str">
            <v>获得火焰伤害{0}</v>
          </cell>
        </row>
        <row r="64">
          <cell r="B64">
            <v>10502</v>
          </cell>
          <cell r="C64" t="str">
            <v>获得冰冷伤害</v>
          </cell>
          <cell r="D64">
            <v>2</v>
          </cell>
          <cell r="E64">
            <v>2</v>
          </cell>
        </row>
        <row r="64">
          <cell r="I64" t="str">
            <v>获得冰冷伤害{0}</v>
          </cell>
        </row>
        <row r="65">
          <cell r="B65">
            <v>10503</v>
          </cell>
          <cell r="C65" t="str">
            <v>获得闪电伤害</v>
          </cell>
          <cell r="D65">
            <v>2</v>
          </cell>
          <cell r="E65">
            <v>2</v>
          </cell>
        </row>
        <row r="65">
          <cell r="I65" t="str">
            <v>获得闪电伤害{0}</v>
          </cell>
        </row>
        <row r="66">
          <cell r="B66">
            <v>10504</v>
          </cell>
          <cell r="C66" t="str">
            <v>获得混沌伤害</v>
          </cell>
          <cell r="D66">
            <v>2</v>
          </cell>
          <cell r="E66">
            <v>2</v>
          </cell>
        </row>
        <row r="66">
          <cell r="I66" t="str">
            <v>获得混沌伤害{0}</v>
          </cell>
        </row>
        <row r="67">
          <cell r="B67">
            <v>10600</v>
          </cell>
          <cell r="C67" t="str">
            <v>倍率百比</v>
          </cell>
          <cell r="D67">
            <v>2</v>
          </cell>
          <cell r="E67">
            <v>2</v>
          </cell>
        </row>
        <row r="67">
          <cell r="I67" t="str">
            <v>攻击百分比增加{0}</v>
          </cell>
        </row>
        <row r="68">
          <cell r="B68">
            <v>10601</v>
          </cell>
          <cell r="C68" t="str">
            <v>物理倍率百比</v>
          </cell>
          <cell r="D68">
            <v>2</v>
          </cell>
          <cell r="E68">
            <v>2</v>
          </cell>
        </row>
        <row r="68">
          <cell r="I68" t="str">
            <v>物理倍率增加{0}</v>
          </cell>
        </row>
        <row r="69">
          <cell r="B69">
            <v>10602</v>
          </cell>
          <cell r="C69" t="str">
            <v>火焰倍率百比</v>
          </cell>
          <cell r="D69">
            <v>2</v>
          </cell>
          <cell r="E69">
            <v>2</v>
          </cell>
        </row>
        <row r="69">
          <cell r="I69" t="str">
            <v>火焰倍率增加{0}</v>
          </cell>
        </row>
        <row r="70">
          <cell r="B70">
            <v>10603</v>
          </cell>
          <cell r="C70" t="str">
            <v>冰冷倍率百比</v>
          </cell>
          <cell r="D70">
            <v>2</v>
          </cell>
          <cell r="E70">
            <v>2</v>
          </cell>
        </row>
        <row r="70">
          <cell r="I70" t="str">
            <v>冰冷倍率增加{0}</v>
          </cell>
        </row>
        <row r="71">
          <cell r="B71">
            <v>10604</v>
          </cell>
          <cell r="C71" t="str">
            <v>闪电倍率百比</v>
          </cell>
          <cell r="D71">
            <v>2</v>
          </cell>
          <cell r="E71">
            <v>2</v>
          </cell>
        </row>
        <row r="71">
          <cell r="I71" t="str">
            <v>闪电倍率增加{0}</v>
          </cell>
        </row>
        <row r="72">
          <cell r="B72">
            <v>10605</v>
          </cell>
          <cell r="C72" t="str">
            <v>混沌倍率百比</v>
          </cell>
          <cell r="D72">
            <v>2</v>
          </cell>
          <cell r="E72">
            <v>2</v>
          </cell>
        </row>
        <row r="72">
          <cell r="I72" t="str">
            <v>混沌倍率增加{0}</v>
          </cell>
        </row>
        <row r="73">
          <cell r="B73">
            <v>10606</v>
          </cell>
          <cell r="C73" t="str">
            <v>元素攻击百比</v>
          </cell>
          <cell r="D73">
            <v>2</v>
          </cell>
          <cell r="E73">
            <v>2</v>
          </cell>
        </row>
        <row r="73">
          <cell r="I73" t="str">
            <v>元素攻击比例增加{0}</v>
          </cell>
        </row>
        <row r="74">
          <cell r="B74">
            <v>10700</v>
          </cell>
          <cell r="C74" t="str">
            <v>装备稀有度</v>
          </cell>
          <cell r="D74">
            <v>2</v>
          </cell>
          <cell r="E74">
            <v>2</v>
          </cell>
        </row>
        <row r="74">
          <cell r="I74" t="str">
            <v>装备稀有度增加{0}</v>
          </cell>
        </row>
        <row r="75">
          <cell r="B75">
            <v>10704</v>
          </cell>
          <cell r="C75" t="str">
            <v>经验掉落数量增加</v>
          </cell>
          <cell r="D75">
            <v>2</v>
          </cell>
          <cell r="E75">
            <v>2</v>
          </cell>
        </row>
        <row r="75">
          <cell r="I75" t="str">
            <v>经验掉落增加增加{0}</v>
          </cell>
        </row>
        <row r="76">
          <cell r="B76">
            <v>10705</v>
          </cell>
          <cell r="C76" t="str">
            <v>重熔出现概率</v>
          </cell>
          <cell r="D76">
            <v>2</v>
          </cell>
          <cell r="E76">
            <v>2</v>
          </cell>
        </row>
        <row r="76">
          <cell r="I76" t="str">
            <v>重熔概率增加{0}</v>
          </cell>
        </row>
        <row r="77">
          <cell r="B77">
            <v>10706</v>
          </cell>
          <cell r="C77" t="str">
            <v>基础等级影响掉落</v>
          </cell>
          <cell r="D77">
            <v>2</v>
          </cell>
          <cell r="E77">
            <v>2</v>
          </cell>
        </row>
        <row r="77">
          <cell r="I77" t="str">
            <v>等级影响掉落增加{0}</v>
          </cell>
        </row>
        <row r="78">
          <cell r="B78">
            <v>10800</v>
          </cell>
          <cell r="C78" t="str">
            <v>点燃强度</v>
          </cell>
          <cell r="D78">
            <v>2</v>
          </cell>
          <cell r="E78">
            <v>2</v>
          </cell>
        </row>
        <row r="78">
          <cell r="I78" t="str">
            <v>点燃强度增加{0}</v>
          </cell>
        </row>
        <row r="79">
          <cell r="B79">
            <v>10801</v>
          </cell>
          <cell r="C79" t="str">
            <v>冰缓强度</v>
          </cell>
          <cell r="D79">
            <v>2</v>
          </cell>
          <cell r="E79">
            <v>2</v>
          </cell>
        </row>
        <row r="79">
          <cell r="I79" t="str">
            <v>冰缓强度增加{0}</v>
          </cell>
        </row>
        <row r="80">
          <cell r="B80">
            <v>10802</v>
          </cell>
          <cell r="C80" t="str">
            <v>感电强度</v>
          </cell>
          <cell r="D80">
            <v>2</v>
          </cell>
          <cell r="E80">
            <v>2</v>
          </cell>
        </row>
        <row r="80">
          <cell r="I80" t="str">
            <v>感电强度增加{0}</v>
          </cell>
        </row>
        <row r="81">
          <cell r="B81">
            <v>10803</v>
          </cell>
          <cell r="C81" t="str">
            <v>流血强度</v>
          </cell>
          <cell r="D81">
            <v>2</v>
          </cell>
          <cell r="E81">
            <v>2</v>
          </cell>
        </row>
        <row r="81">
          <cell r="I81" t="str">
            <v>流血强度增加{0}</v>
          </cell>
        </row>
        <row r="82">
          <cell r="B82">
            <v>10804</v>
          </cell>
          <cell r="C82" t="str">
            <v>中毒强度</v>
          </cell>
          <cell r="D82">
            <v>2</v>
          </cell>
          <cell r="E82">
            <v>2</v>
          </cell>
        </row>
        <row r="82">
          <cell r="I82" t="str">
            <v>中毒强度增加{0}</v>
          </cell>
        </row>
        <row r="83">
          <cell r="B83">
            <v>10805</v>
          </cell>
          <cell r="C83" t="str">
            <v>眩晕延长</v>
          </cell>
          <cell r="D83">
            <v>2</v>
          </cell>
          <cell r="E83">
            <v>2</v>
          </cell>
        </row>
        <row r="83">
          <cell r="I83" t="str">
            <v>眩晕延长增加{0}</v>
          </cell>
        </row>
        <row r="84">
          <cell r="B84">
            <v>10806</v>
          </cell>
          <cell r="C84" t="str">
            <v>冰冻延长</v>
          </cell>
          <cell r="D84">
            <v>2</v>
          </cell>
          <cell r="E84">
            <v>2</v>
          </cell>
        </row>
        <row r="84">
          <cell r="I84" t="str">
            <v>冰冻延长增加{0}</v>
          </cell>
        </row>
        <row r="85">
          <cell r="B85">
            <v>10807</v>
          </cell>
          <cell r="C85" t="str">
            <v>点燃抵抗</v>
          </cell>
          <cell r="D85">
            <v>2</v>
          </cell>
          <cell r="E85">
            <v>2</v>
          </cell>
        </row>
        <row r="85">
          <cell r="I85" t="str">
            <v>点燃抵抗增加{0}</v>
          </cell>
        </row>
        <row r="86">
          <cell r="B86">
            <v>10808</v>
          </cell>
          <cell r="C86" t="str">
            <v>冰缓抵抗</v>
          </cell>
          <cell r="D86">
            <v>2</v>
          </cell>
          <cell r="E86">
            <v>2</v>
          </cell>
        </row>
        <row r="86">
          <cell r="I86" t="str">
            <v>冰缓抵抗增加{0}</v>
          </cell>
        </row>
        <row r="87">
          <cell r="B87">
            <v>10809</v>
          </cell>
          <cell r="C87" t="str">
            <v>感电抵抗</v>
          </cell>
          <cell r="D87">
            <v>2</v>
          </cell>
          <cell r="E87">
            <v>2</v>
          </cell>
        </row>
        <row r="87">
          <cell r="I87" t="str">
            <v>感电抵抗增加{0}</v>
          </cell>
        </row>
        <row r="88">
          <cell r="B88">
            <v>10810</v>
          </cell>
          <cell r="C88" t="str">
            <v>流血抵抗</v>
          </cell>
          <cell r="D88">
            <v>2</v>
          </cell>
          <cell r="E88">
            <v>2</v>
          </cell>
        </row>
        <row r="88">
          <cell r="I88" t="str">
            <v>流血抵抗增加{0}</v>
          </cell>
        </row>
        <row r="89">
          <cell r="B89">
            <v>10811</v>
          </cell>
          <cell r="C89" t="str">
            <v>中毒抵抗</v>
          </cell>
          <cell r="D89">
            <v>2</v>
          </cell>
          <cell r="E89">
            <v>2</v>
          </cell>
        </row>
        <row r="89">
          <cell r="I89" t="str">
            <v>中毒抵抗增加{0}</v>
          </cell>
        </row>
        <row r="90">
          <cell r="B90">
            <v>10812</v>
          </cell>
          <cell r="C90" t="str">
            <v>眩晕缩减</v>
          </cell>
          <cell r="D90">
            <v>2</v>
          </cell>
          <cell r="E90">
            <v>2</v>
          </cell>
        </row>
        <row r="90">
          <cell r="I90" t="str">
            <v>眩晕缩减增加{0}</v>
          </cell>
        </row>
        <row r="91">
          <cell r="B91">
            <v>10813</v>
          </cell>
          <cell r="C91" t="str">
            <v>冰冻缩减</v>
          </cell>
          <cell r="D91">
            <v>2</v>
          </cell>
          <cell r="E91">
            <v>2</v>
          </cell>
        </row>
        <row r="91">
          <cell r="I91" t="str">
            <v>冰冻缩减增加{0}</v>
          </cell>
        </row>
        <row r="92">
          <cell r="B92">
            <v>10900</v>
          </cell>
          <cell r="C92" t="str">
            <v>降低装备穿戴等级</v>
          </cell>
          <cell r="D92">
            <v>0</v>
          </cell>
          <cell r="E92">
            <v>1</v>
          </cell>
        </row>
        <row r="92">
          <cell r="I92" t="str">
            <v>穿戴等级降低增加{0}</v>
          </cell>
        </row>
        <row r="93">
          <cell r="B93">
            <v>11001</v>
          </cell>
          <cell r="C93" t="str">
            <v>免疫点燃概率</v>
          </cell>
          <cell r="D93">
            <v>2</v>
          </cell>
          <cell r="E93">
            <v>2</v>
          </cell>
        </row>
        <row r="93">
          <cell r="I93" t="str">
            <v>免疫点燃概率增加{0}</v>
          </cell>
        </row>
        <row r="94">
          <cell r="B94">
            <v>11002</v>
          </cell>
          <cell r="C94" t="str">
            <v>免疫冰缓概率</v>
          </cell>
          <cell r="D94">
            <v>2</v>
          </cell>
          <cell r="E94">
            <v>2</v>
          </cell>
        </row>
        <row r="94">
          <cell r="I94" t="str">
            <v>免疫冰缓概率增加{0}</v>
          </cell>
        </row>
        <row r="95">
          <cell r="B95">
            <v>11003</v>
          </cell>
          <cell r="C95" t="str">
            <v>免疫冰冻概率</v>
          </cell>
          <cell r="D95">
            <v>2</v>
          </cell>
          <cell r="E95">
            <v>2</v>
          </cell>
        </row>
        <row r="95">
          <cell r="I95" t="str">
            <v>免疫冰冻概率增加{0}</v>
          </cell>
        </row>
        <row r="96">
          <cell r="B96">
            <v>11004</v>
          </cell>
          <cell r="C96" t="str">
            <v>免疫感电概率</v>
          </cell>
          <cell r="D96">
            <v>2</v>
          </cell>
          <cell r="E96">
            <v>2</v>
          </cell>
        </row>
        <row r="96">
          <cell r="I96" t="str">
            <v>免疫感电概率增加{0}</v>
          </cell>
        </row>
        <row r="97">
          <cell r="B97">
            <v>11005</v>
          </cell>
          <cell r="C97" t="str">
            <v>免疫触电概率</v>
          </cell>
          <cell r="D97">
            <v>2</v>
          </cell>
          <cell r="E97">
            <v>2</v>
          </cell>
        </row>
        <row r="97">
          <cell r="I97" t="str">
            <v>免疫触电概率增加{0}</v>
          </cell>
        </row>
        <row r="98">
          <cell r="B98">
            <v>11006</v>
          </cell>
          <cell r="C98" t="str">
            <v>点燃概率提高</v>
          </cell>
          <cell r="D98">
            <v>2</v>
          </cell>
          <cell r="E98">
            <v>2</v>
          </cell>
        </row>
        <row r="98">
          <cell r="I98" t="str">
            <v>点燃概率增加{0}</v>
          </cell>
        </row>
        <row r="99">
          <cell r="B99">
            <v>11007</v>
          </cell>
          <cell r="C99" t="str">
            <v>点燃效果比例</v>
          </cell>
          <cell r="D99">
            <v>2</v>
          </cell>
          <cell r="E99">
            <v>2</v>
          </cell>
        </row>
        <row r="99">
          <cell r="I99" t="str">
            <v>点燃效果比例增加{0}</v>
          </cell>
        </row>
        <row r="100">
          <cell r="B100">
            <v>11008</v>
          </cell>
          <cell r="C100" t="str">
            <v>冻结效果比例</v>
          </cell>
          <cell r="D100">
            <v>2</v>
          </cell>
          <cell r="E100">
            <v>2</v>
          </cell>
        </row>
        <row r="100">
          <cell r="I100" t="str">
            <v>冻结效果比例增加{0}</v>
          </cell>
        </row>
        <row r="101">
          <cell r="B101">
            <v>11009</v>
          </cell>
          <cell r="C101" t="str">
            <v>感电概率提高</v>
          </cell>
          <cell r="D101">
            <v>2</v>
          </cell>
          <cell r="E101">
            <v>2</v>
          </cell>
        </row>
        <row r="101">
          <cell r="I101" t="str">
            <v>感电概率提高增加{0}</v>
          </cell>
        </row>
        <row r="102">
          <cell r="B102">
            <v>11010</v>
          </cell>
          <cell r="C102" t="str">
            <v>感电效果比例</v>
          </cell>
          <cell r="D102">
            <v>2</v>
          </cell>
          <cell r="E102">
            <v>2</v>
          </cell>
        </row>
        <row r="102">
          <cell r="I102" t="str">
            <v>感电效果比例增加{0}</v>
          </cell>
        </row>
        <row r="103">
          <cell r="B103">
            <v>11011</v>
          </cell>
          <cell r="C103" t="str">
            <v>触电几率提高</v>
          </cell>
          <cell r="D103">
            <v>2</v>
          </cell>
          <cell r="E103">
            <v>2</v>
          </cell>
        </row>
        <row r="103">
          <cell r="I103" t="str">
            <v>触电概率提高增加{0}</v>
          </cell>
        </row>
        <row r="104">
          <cell r="B104">
            <v>11012</v>
          </cell>
          <cell r="C104" t="str">
            <v>受到点燃时间降低</v>
          </cell>
          <cell r="D104">
            <v>2</v>
          </cell>
          <cell r="E104">
            <v>2</v>
          </cell>
        </row>
        <row r="104">
          <cell r="I104" t="str">
            <v>点燃时长降低增加{0}</v>
          </cell>
        </row>
        <row r="105">
          <cell r="B105">
            <v>11013</v>
          </cell>
          <cell r="C105" t="str">
            <v>受到冰缓时间降低</v>
          </cell>
          <cell r="D105">
            <v>2</v>
          </cell>
          <cell r="E105">
            <v>2</v>
          </cell>
        </row>
        <row r="105">
          <cell r="I105" t="str">
            <v>冰缓时长降低增加{0}</v>
          </cell>
        </row>
        <row r="106">
          <cell r="B106">
            <v>11014</v>
          </cell>
          <cell r="C106" t="str">
            <v>受到冻结时间降低</v>
          </cell>
          <cell r="D106">
            <v>2</v>
          </cell>
          <cell r="E106">
            <v>2</v>
          </cell>
        </row>
        <row r="106">
          <cell r="I106" t="str">
            <v>冻结时长降低增加{0}</v>
          </cell>
        </row>
        <row r="107">
          <cell r="B107">
            <v>11015</v>
          </cell>
          <cell r="C107" t="str">
            <v>受到感电时间降低</v>
          </cell>
          <cell r="D107">
            <v>2</v>
          </cell>
          <cell r="E107">
            <v>2</v>
          </cell>
        </row>
        <row r="107">
          <cell r="I107" t="str">
            <v>感电时长降低增加{0}</v>
          </cell>
        </row>
        <row r="108">
          <cell r="B108">
            <v>11016</v>
          </cell>
          <cell r="C108" t="str">
            <v>受到触电时间降低</v>
          </cell>
          <cell r="D108">
            <v>2</v>
          </cell>
          <cell r="E108">
            <v>2</v>
          </cell>
        </row>
        <row r="108">
          <cell r="I108" t="str">
            <v>触电时长降低增加{0}</v>
          </cell>
        </row>
        <row r="109">
          <cell r="B109">
            <v>11017</v>
          </cell>
          <cell r="C109" t="str">
            <v>元素异常状态抵抗</v>
          </cell>
          <cell r="D109">
            <v>2</v>
          </cell>
          <cell r="E109">
            <v>2</v>
          </cell>
        </row>
        <row r="109">
          <cell r="I109" t="str">
            <v>元素异常抗性增加{0}</v>
          </cell>
        </row>
        <row r="110">
          <cell r="B110">
            <v>11018</v>
          </cell>
          <cell r="C110" t="str">
            <v>元素异常状态阈值</v>
          </cell>
          <cell r="D110">
            <v>2</v>
          </cell>
          <cell r="E110">
            <v>2</v>
          </cell>
        </row>
        <row r="110">
          <cell r="I110" t="str">
            <v>元素异常阈值增加{0}</v>
          </cell>
        </row>
        <row r="111">
          <cell r="B111">
            <v>11019</v>
          </cell>
          <cell r="C111" t="str">
            <v>点燃层数上限增加</v>
          </cell>
          <cell r="D111">
            <v>0</v>
          </cell>
          <cell r="E111">
            <v>1</v>
          </cell>
        </row>
        <row r="111">
          <cell r="I111" t="str">
            <v>点燃上限增加增加{0}</v>
          </cell>
        </row>
        <row r="112">
          <cell r="B112">
            <v>11020</v>
          </cell>
          <cell r="C112" t="str">
            <v>物理伤害转化为闪电伤害</v>
          </cell>
          <cell r="D112">
            <v>2</v>
          </cell>
          <cell r="E112">
            <v>2</v>
          </cell>
        </row>
        <row r="112">
          <cell r="I112" t="str">
            <v>物理转闪电增加{0}</v>
          </cell>
        </row>
        <row r="113">
          <cell r="B113">
            <v>11021</v>
          </cell>
          <cell r="C113" t="str">
            <v>物理伤害转化为冰冷伤害</v>
          </cell>
          <cell r="D113">
            <v>2</v>
          </cell>
          <cell r="E113">
            <v>2</v>
          </cell>
        </row>
        <row r="113">
          <cell r="I113" t="str">
            <v>物理转冰冷增加{0}</v>
          </cell>
        </row>
        <row r="114">
          <cell r="B114">
            <v>11022</v>
          </cell>
          <cell r="C114" t="str">
            <v>物理伤害转化为火焰伤害</v>
          </cell>
          <cell r="D114">
            <v>2</v>
          </cell>
          <cell r="E114">
            <v>2</v>
          </cell>
        </row>
        <row r="114">
          <cell r="I114" t="str">
            <v>物理转火焰增加{0}</v>
          </cell>
        </row>
        <row r="115">
          <cell r="B115">
            <v>11023</v>
          </cell>
          <cell r="C115" t="str">
            <v>闪电伤害转化为冰冷伤害</v>
          </cell>
          <cell r="D115">
            <v>2</v>
          </cell>
          <cell r="E115">
            <v>2</v>
          </cell>
        </row>
        <row r="115">
          <cell r="I115" t="str">
            <v>闪电转冰冷增加{0}</v>
          </cell>
        </row>
        <row r="116">
          <cell r="B116">
            <v>11024</v>
          </cell>
          <cell r="C116" t="str">
            <v>闪电伤害转化为火焰伤害</v>
          </cell>
          <cell r="D116">
            <v>2</v>
          </cell>
          <cell r="E116">
            <v>2</v>
          </cell>
        </row>
        <row r="116">
          <cell r="I116" t="str">
            <v>闪电转火焰增加{0}</v>
          </cell>
        </row>
        <row r="117">
          <cell r="B117">
            <v>11025</v>
          </cell>
          <cell r="C117" t="str">
            <v>火焰伤害转化为冰冷伤害</v>
          </cell>
          <cell r="D117">
            <v>2</v>
          </cell>
          <cell r="E117">
            <v>2</v>
          </cell>
        </row>
        <row r="117">
          <cell r="I117" t="str">
            <v>火焰转冰冷增加{0}</v>
          </cell>
        </row>
        <row r="118">
          <cell r="B118">
            <v>11026</v>
          </cell>
          <cell r="C118" t="str">
            <v>火焰伤害转化为闪电伤害</v>
          </cell>
          <cell r="D118">
            <v>2</v>
          </cell>
          <cell r="E118">
            <v>2</v>
          </cell>
        </row>
        <row r="118">
          <cell r="I118" t="str">
            <v>火焰转闪电增加{0}</v>
          </cell>
        </row>
        <row r="119">
          <cell r="B119">
            <v>11027</v>
          </cell>
          <cell r="C119" t="str">
            <v>冰冷伤害转换为闪电伤害</v>
          </cell>
          <cell r="D119">
            <v>2</v>
          </cell>
          <cell r="E119">
            <v>2</v>
          </cell>
        </row>
        <row r="119">
          <cell r="I119" t="str">
            <v>冰冷转闪电增加{0}</v>
          </cell>
        </row>
        <row r="120">
          <cell r="B120">
            <v>11028</v>
          </cell>
          <cell r="C120" t="str">
            <v>冰冷伤害转换为火焰伤害</v>
          </cell>
          <cell r="D120">
            <v>2</v>
          </cell>
          <cell r="E120">
            <v>2</v>
          </cell>
        </row>
        <row r="120">
          <cell r="I120" t="str">
            <v>冰冷转火焰增加{0}</v>
          </cell>
        </row>
        <row r="121">
          <cell r="B121">
            <v>11029</v>
          </cell>
          <cell r="C121" t="str">
            <v>冰冷伤害转换为混沌伤害</v>
          </cell>
          <cell r="D121">
            <v>2</v>
          </cell>
          <cell r="E121">
            <v>2</v>
          </cell>
        </row>
        <row r="121">
          <cell r="I121" t="str">
            <v>冰冷转混沌增加{0}</v>
          </cell>
        </row>
        <row r="122">
          <cell r="B122">
            <v>11030</v>
          </cell>
          <cell r="C122" t="str">
            <v>闪电伤害转换为混沌伤害</v>
          </cell>
          <cell r="D122">
            <v>2</v>
          </cell>
          <cell r="E122">
            <v>2</v>
          </cell>
        </row>
        <row r="122">
          <cell r="I122" t="str">
            <v>闪电转混沌增加{0}</v>
          </cell>
        </row>
        <row r="123">
          <cell r="B123">
            <v>11031</v>
          </cell>
          <cell r="C123" t="str">
            <v>火焰伤害转换为混沌伤害</v>
          </cell>
          <cell r="D123">
            <v>2</v>
          </cell>
          <cell r="E123">
            <v>2</v>
          </cell>
        </row>
        <row r="123">
          <cell r="I123" t="str">
            <v>火焰转混沌增加{0}</v>
          </cell>
        </row>
        <row r="124">
          <cell r="B124">
            <v>11032</v>
          </cell>
          <cell r="C124" t="str">
            <v>造成点燃时间比例</v>
          </cell>
          <cell r="D124">
            <v>2</v>
          </cell>
          <cell r="E124">
            <v>2</v>
          </cell>
        </row>
        <row r="124">
          <cell r="I124" t="str">
            <v>点燃时长比例增加{0}</v>
          </cell>
        </row>
        <row r="125">
          <cell r="B125">
            <v>11033</v>
          </cell>
          <cell r="C125" t="str">
            <v>造成冰缓时间比例</v>
          </cell>
          <cell r="D125">
            <v>2</v>
          </cell>
          <cell r="E125">
            <v>2</v>
          </cell>
        </row>
        <row r="125">
          <cell r="I125" t="str">
            <v>冰缓时长比例增加{0}</v>
          </cell>
        </row>
        <row r="126">
          <cell r="B126">
            <v>11034</v>
          </cell>
          <cell r="C126" t="str">
            <v>造成冻结时间比例</v>
          </cell>
          <cell r="D126">
            <v>2</v>
          </cell>
          <cell r="E126">
            <v>2</v>
          </cell>
        </row>
        <row r="126">
          <cell r="I126" t="str">
            <v>冰冻时长比例增加{0}</v>
          </cell>
        </row>
        <row r="127">
          <cell r="B127">
            <v>11035</v>
          </cell>
          <cell r="C127" t="str">
            <v>造成感电时间比例</v>
          </cell>
          <cell r="D127">
            <v>2</v>
          </cell>
          <cell r="E127">
            <v>2</v>
          </cell>
        </row>
        <row r="127">
          <cell r="I127" t="str">
            <v>感电时长比例增加{0}</v>
          </cell>
        </row>
        <row r="128">
          <cell r="B128">
            <v>11036</v>
          </cell>
          <cell r="C128" t="str">
            <v>造成触电时间比例</v>
          </cell>
          <cell r="D128">
            <v>2</v>
          </cell>
          <cell r="E128">
            <v>2</v>
          </cell>
        </row>
        <row r="128">
          <cell r="I128" t="str">
            <v>触电时长比例增加{0}</v>
          </cell>
        </row>
        <row r="129">
          <cell r="B129">
            <v>11037</v>
          </cell>
          <cell r="C129" t="str">
            <v>冷却回复效率</v>
          </cell>
          <cell r="D129">
            <v>2</v>
          </cell>
          <cell r="E129">
            <v>2</v>
          </cell>
        </row>
        <row r="129">
          <cell r="I129" t="str">
            <v>冷却回复效率增加{0}</v>
          </cell>
        </row>
        <row r="130">
          <cell r="B130">
            <v>11038</v>
          </cell>
          <cell r="C130" t="str">
            <v>中毒概率</v>
          </cell>
          <cell r="D130">
            <v>2</v>
          </cell>
          <cell r="E130">
            <v>2</v>
          </cell>
        </row>
        <row r="130">
          <cell r="I130" t="str">
            <v>中毒概率增加{0}</v>
          </cell>
        </row>
        <row r="131">
          <cell r="B131">
            <v>11039</v>
          </cell>
          <cell r="C131" t="str">
            <v>中毒效果比例</v>
          </cell>
          <cell r="D131">
            <v>2</v>
          </cell>
          <cell r="E131">
            <v>2</v>
          </cell>
        </row>
        <row r="131">
          <cell r="I131" t="str">
            <v>中毒效果比例增加{0}</v>
          </cell>
        </row>
        <row r="132">
          <cell r="B132">
            <v>11040</v>
          </cell>
          <cell r="C132" t="str">
            <v>造成中毒时间比例</v>
          </cell>
          <cell r="D132">
            <v>2</v>
          </cell>
          <cell r="E132">
            <v>2</v>
          </cell>
        </row>
        <row r="132">
          <cell r="I132" t="str">
            <v>中毒时长比例增加{0}</v>
          </cell>
        </row>
        <row r="133">
          <cell r="B133">
            <v>11041</v>
          </cell>
          <cell r="C133" t="str">
            <v>魔力消耗转生命消耗</v>
          </cell>
          <cell r="D133">
            <v>2</v>
          </cell>
          <cell r="E133">
            <v>2</v>
          </cell>
        </row>
        <row r="133">
          <cell r="I133" t="str">
            <v>魔耗转生命增加{0}</v>
          </cell>
        </row>
        <row r="134">
          <cell r="B134">
            <v>11042</v>
          </cell>
          <cell r="C134" t="str">
            <v>受伤缓冲</v>
          </cell>
          <cell r="D134">
            <v>2</v>
          </cell>
          <cell r="E134">
            <v>2</v>
          </cell>
        </row>
        <row r="134">
          <cell r="I134" t="str">
            <v>受伤缓冲增加{0}</v>
          </cell>
        </row>
        <row r="135">
          <cell r="B135">
            <v>11046</v>
          </cell>
          <cell r="C135" t="str">
            <v>中毒层数上限增加</v>
          </cell>
          <cell r="D135">
            <v>0</v>
          </cell>
          <cell r="E135">
            <v>1</v>
          </cell>
        </row>
        <row r="135">
          <cell r="I135" t="str">
            <v>中毒上限增加增加{0}</v>
          </cell>
        </row>
        <row r="136">
          <cell r="B136">
            <v>11047</v>
          </cell>
          <cell r="C136" t="str">
            <v>持续伤害比例</v>
          </cell>
          <cell r="D136">
            <v>0</v>
          </cell>
          <cell r="E136">
            <v>1</v>
          </cell>
        </row>
        <row r="136">
          <cell r="I136" t="str">
            <v>持续伤害比例增加{0}</v>
          </cell>
        </row>
        <row r="137">
          <cell r="B137">
            <v>11048</v>
          </cell>
          <cell r="C137" t="str">
            <v>物理抗性穿透</v>
          </cell>
          <cell r="D137">
            <v>2</v>
          </cell>
          <cell r="E137">
            <v>2</v>
          </cell>
        </row>
        <row r="137">
          <cell r="I137" t="str">
            <v>物理抗性穿透增加{0}</v>
          </cell>
        </row>
        <row r="138">
          <cell r="B138">
            <v>11049</v>
          </cell>
          <cell r="C138" t="str">
            <v>火焰抗性穿透</v>
          </cell>
          <cell r="D138">
            <v>2</v>
          </cell>
          <cell r="E138">
            <v>2</v>
          </cell>
        </row>
        <row r="138">
          <cell r="I138" t="str">
            <v>火焰抗性穿透增加{0}</v>
          </cell>
        </row>
        <row r="139">
          <cell r="B139">
            <v>11050</v>
          </cell>
          <cell r="C139" t="str">
            <v>冰冷抗性穿透</v>
          </cell>
          <cell r="D139">
            <v>2</v>
          </cell>
          <cell r="E139">
            <v>2</v>
          </cell>
        </row>
        <row r="139">
          <cell r="I139" t="str">
            <v>冰冷抗性穿透增加{0}</v>
          </cell>
        </row>
        <row r="140">
          <cell r="B140">
            <v>11051</v>
          </cell>
          <cell r="C140" t="str">
            <v>闪电抗性穿透</v>
          </cell>
          <cell r="D140">
            <v>2</v>
          </cell>
          <cell r="E140">
            <v>2</v>
          </cell>
        </row>
        <row r="140">
          <cell r="I140" t="str">
            <v>闪电抗性穿透增加{0}</v>
          </cell>
        </row>
        <row r="141">
          <cell r="B141">
            <v>11052</v>
          </cell>
          <cell r="C141" t="str">
            <v>混沌抗性穿透</v>
          </cell>
          <cell r="D141">
            <v>2</v>
          </cell>
          <cell r="E141">
            <v>2</v>
          </cell>
        </row>
        <row r="141">
          <cell r="I141" t="str">
            <v>混沌抗性穿透增加{0}</v>
          </cell>
        </row>
        <row r="142">
          <cell r="B142">
            <v>11053</v>
          </cell>
          <cell r="C142" t="str">
            <v>流血时间比例</v>
          </cell>
          <cell r="D142">
            <v>2</v>
          </cell>
          <cell r="E142">
            <v>2</v>
          </cell>
        </row>
        <row r="142">
          <cell r="I142" t="str">
            <v>流血时长比例增加{0}</v>
          </cell>
        </row>
        <row r="143">
          <cell r="B143">
            <v>11054</v>
          </cell>
          <cell r="C143" t="str">
            <v>流血几率</v>
          </cell>
          <cell r="D143">
            <v>2</v>
          </cell>
          <cell r="E143">
            <v>2</v>
          </cell>
        </row>
        <row r="143">
          <cell r="I143" t="str">
            <v>流血概率增加{0}</v>
          </cell>
        </row>
        <row r="144">
          <cell r="B144">
            <v>11055</v>
          </cell>
          <cell r="C144" t="str">
            <v>流血效果比例</v>
          </cell>
          <cell r="D144">
            <v>2</v>
          </cell>
          <cell r="E144">
            <v>2</v>
          </cell>
        </row>
        <row r="144">
          <cell r="I144" t="str">
            <v>流血效果比例增加{0}</v>
          </cell>
        </row>
        <row r="145">
          <cell r="B145">
            <v>11056</v>
          </cell>
          <cell r="C145" t="str">
            <v>受到伤害</v>
          </cell>
          <cell r="D145">
            <v>2</v>
          </cell>
          <cell r="E145">
            <v>2</v>
          </cell>
        </row>
        <row r="145">
          <cell r="I145" t="str">
            <v>受到伤害增加{0}</v>
          </cell>
        </row>
        <row r="146">
          <cell r="B146">
            <v>11057</v>
          </cell>
          <cell r="C146" t="str">
            <v>造成双倍伤害几率</v>
          </cell>
          <cell r="D146">
            <v>2</v>
          </cell>
          <cell r="E146">
            <v>2</v>
          </cell>
        </row>
        <row r="146">
          <cell r="I146" t="str">
            <v>双倍伤害概率增加{0}</v>
          </cell>
        </row>
        <row r="147">
          <cell r="B147">
            <v>11058</v>
          </cell>
          <cell r="C147" t="str">
            <v>物理抗性上限增加</v>
          </cell>
          <cell r="D147">
            <v>2</v>
          </cell>
          <cell r="E147">
            <v>2</v>
          </cell>
        </row>
        <row r="147">
          <cell r="I147" t="str">
            <v>物抗上限增加增加{0}</v>
          </cell>
        </row>
        <row r="148">
          <cell r="B148">
            <v>11059</v>
          </cell>
          <cell r="C148" t="str">
            <v>火焰抗性上限增加</v>
          </cell>
          <cell r="D148">
            <v>2</v>
          </cell>
          <cell r="E148">
            <v>2</v>
          </cell>
        </row>
        <row r="148">
          <cell r="I148" t="str">
            <v>火抗上限增加增加{0}</v>
          </cell>
        </row>
        <row r="149">
          <cell r="B149">
            <v>11060</v>
          </cell>
          <cell r="C149" t="str">
            <v>冰冷抗性上限增加</v>
          </cell>
          <cell r="D149">
            <v>2</v>
          </cell>
          <cell r="E149">
            <v>2</v>
          </cell>
        </row>
        <row r="149">
          <cell r="I149" t="str">
            <v>冰抗上限增加增加{0}</v>
          </cell>
        </row>
        <row r="150">
          <cell r="B150">
            <v>11061</v>
          </cell>
          <cell r="C150" t="str">
            <v>闪电抗性上限增加</v>
          </cell>
          <cell r="D150">
            <v>2</v>
          </cell>
          <cell r="E150">
            <v>2</v>
          </cell>
        </row>
        <row r="150">
          <cell r="I150" t="str">
            <v>电抗上限增加增加{0}</v>
          </cell>
        </row>
        <row r="151">
          <cell r="B151">
            <v>11062</v>
          </cell>
          <cell r="C151" t="str">
            <v>混沌抗性上限增加</v>
          </cell>
          <cell r="D151">
            <v>2</v>
          </cell>
          <cell r="E151">
            <v>2</v>
          </cell>
        </row>
        <row r="151">
          <cell r="I151" t="str">
            <v>混抗上限增加增加{0}</v>
          </cell>
        </row>
        <row r="152">
          <cell r="B152">
            <v>11063</v>
          </cell>
          <cell r="C152" t="str">
            <v>流血效果结算速度</v>
          </cell>
          <cell r="D152">
            <v>2</v>
          </cell>
          <cell r="E152">
            <v>2</v>
          </cell>
        </row>
        <row r="152">
          <cell r="I152" t="str">
            <v>流血结算速度增加{0}</v>
          </cell>
        </row>
        <row r="153">
          <cell r="B153">
            <v>11064</v>
          </cell>
          <cell r="C153" t="str">
            <v>中毒效果结算速度</v>
          </cell>
          <cell r="D153">
            <v>2</v>
          </cell>
          <cell r="E153">
            <v>2</v>
          </cell>
        </row>
        <row r="153">
          <cell r="I153" t="str">
            <v>中毒结算速度增加{0}</v>
          </cell>
        </row>
        <row r="154">
          <cell r="B154">
            <v>11065</v>
          </cell>
          <cell r="C154" t="str">
            <v>点燃效果结算速度</v>
          </cell>
          <cell r="D154">
            <v>2</v>
          </cell>
          <cell r="E154">
            <v>2</v>
          </cell>
        </row>
        <row r="154">
          <cell r="I154" t="str">
            <v>点燃结算速度增加{0}</v>
          </cell>
        </row>
        <row r="155">
          <cell r="B155">
            <v>11066</v>
          </cell>
          <cell r="C155" t="str">
            <v>药剂冷却回复效率</v>
          </cell>
          <cell r="D155">
            <v>2</v>
          </cell>
          <cell r="E155">
            <v>2</v>
          </cell>
        </row>
        <row r="155">
          <cell r="I155" t="str">
            <v>药剂冷却效率增加{0}</v>
          </cell>
        </row>
        <row r="156">
          <cell r="B156">
            <v>11067</v>
          </cell>
          <cell r="C156" t="str">
            <v>是否暴击幸运</v>
          </cell>
          <cell r="D156">
            <v>2</v>
          </cell>
          <cell r="E156">
            <v>2</v>
          </cell>
        </row>
        <row r="156">
          <cell r="I156" t="str">
            <v>暴击是否幸运</v>
          </cell>
        </row>
        <row r="157">
          <cell r="B157">
            <v>11068</v>
          </cell>
          <cell r="C157" t="str">
            <v>受到的物理伤害</v>
          </cell>
          <cell r="D157">
            <v>2</v>
          </cell>
          <cell r="E157">
            <v>2</v>
          </cell>
        </row>
        <row r="157">
          <cell r="I157" t="str">
            <v>所受物理伤害增加{0}</v>
          </cell>
        </row>
        <row r="158">
          <cell r="B158">
            <v>11069</v>
          </cell>
          <cell r="C158" t="str">
            <v>受到的火焰伤害</v>
          </cell>
          <cell r="D158">
            <v>2</v>
          </cell>
          <cell r="E158">
            <v>2</v>
          </cell>
        </row>
        <row r="158">
          <cell r="I158" t="str">
            <v>所受火焰伤害增加{0}</v>
          </cell>
        </row>
        <row r="159">
          <cell r="B159">
            <v>11070</v>
          </cell>
          <cell r="C159" t="str">
            <v>受到的冰冷伤害</v>
          </cell>
          <cell r="D159">
            <v>2</v>
          </cell>
          <cell r="E159">
            <v>2</v>
          </cell>
        </row>
        <row r="159">
          <cell r="I159" t="str">
            <v>所受冰冷伤害增加{0}</v>
          </cell>
        </row>
        <row r="160">
          <cell r="B160">
            <v>11071</v>
          </cell>
          <cell r="C160" t="str">
            <v>受到的闪电伤害</v>
          </cell>
          <cell r="D160">
            <v>2</v>
          </cell>
          <cell r="E160">
            <v>2</v>
          </cell>
        </row>
        <row r="160">
          <cell r="I160" t="str">
            <v>所受闪电伤害增加{0}</v>
          </cell>
        </row>
        <row r="161">
          <cell r="B161">
            <v>11072</v>
          </cell>
          <cell r="C161" t="str">
            <v>受到的混沌伤害</v>
          </cell>
          <cell r="D161">
            <v>2</v>
          </cell>
          <cell r="E161">
            <v>2</v>
          </cell>
        </row>
        <row r="161">
          <cell r="I161" t="str">
            <v>所受混沌伤害增加{0}</v>
          </cell>
        </row>
        <row r="162">
          <cell r="B162">
            <v>11073</v>
          </cell>
          <cell r="C162" t="str">
            <v>混沌伤害转化为闪电伤害</v>
          </cell>
          <cell r="D162">
            <v>2</v>
          </cell>
          <cell r="E162">
            <v>2</v>
          </cell>
        </row>
        <row r="162">
          <cell r="I162" t="str">
            <v>混沌转闪电增加{0}</v>
          </cell>
        </row>
        <row r="163">
          <cell r="B163">
            <v>11074</v>
          </cell>
          <cell r="C163" t="str">
            <v>混沌伤害转化为冰冷伤害</v>
          </cell>
          <cell r="D163">
            <v>2</v>
          </cell>
          <cell r="E163">
            <v>2</v>
          </cell>
        </row>
        <row r="163">
          <cell r="I163" t="str">
            <v>混沌转冰冷增加{0}</v>
          </cell>
        </row>
        <row r="164">
          <cell r="B164">
            <v>11075</v>
          </cell>
          <cell r="C164" t="str">
            <v>混沌伤害转化为火焰伤害</v>
          </cell>
          <cell r="D164">
            <v>2</v>
          </cell>
          <cell r="E164">
            <v>2</v>
          </cell>
        </row>
        <row r="164">
          <cell r="I164" t="str">
            <v>混沌转火焰增加{0}</v>
          </cell>
        </row>
        <row r="165">
          <cell r="B165">
            <v>11076</v>
          </cell>
          <cell r="C165" t="str">
            <v>强化技能冷却回复效率</v>
          </cell>
          <cell r="D165">
            <v>2</v>
          </cell>
          <cell r="E165">
            <v>2</v>
          </cell>
        </row>
        <row r="165">
          <cell r="I165" t="str">
            <v>强化冷却效率增加{0}</v>
          </cell>
        </row>
        <row r="166">
          <cell r="B166">
            <v>11077</v>
          </cell>
          <cell r="C166" t="str">
            <v>冻结异常状态抵抗</v>
          </cell>
          <cell r="D166">
            <v>2</v>
          </cell>
          <cell r="E166">
            <v>2</v>
          </cell>
        </row>
        <row r="166">
          <cell r="I166" t="str">
            <v>元素异常抗性增加{0}</v>
          </cell>
        </row>
        <row r="167">
          <cell r="B167">
            <v>11078</v>
          </cell>
          <cell r="C167" t="str">
            <v>触电异常状态抵抗</v>
          </cell>
          <cell r="D167">
            <v>2</v>
          </cell>
          <cell r="E167">
            <v>2</v>
          </cell>
        </row>
        <row r="167">
          <cell r="I167" t="str">
            <v>元素异常抗性增加{0}</v>
          </cell>
        </row>
        <row r="168">
          <cell r="B168">
            <v>11079</v>
          </cell>
          <cell r="C168" t="str">
            <v>受到的暴击伤害</v>
          </cell>
          <cell r="D168">
            <v>2</v>
          </cell>
          <cell r="E168">
            <v>2</v>
          </cell>
        </row>
        <row r="168">
          <cell r="I168" t="str">
            <v>所受暴击伤害增加{0}</v>
          </cell>
        </row>
        <row r="169">
          <cell r="B169">
            <v>11080</v>
          </cell>
          <cell r="C169" t="str">
            <v>全局额外伤害</v>
          </cell>
          <cell r="D169">
            <v>2</v>
          </cell>
          <cell r="E169">
            <v>2</v>
          </cell>
        </row>
        <row r="169">
          <cell r="I169" t="str">
            <v>全局额外伤害增加{0}</v>
          </cell>
        </row>
        <row r="170">
          <cell r="B170">
            <v>11081</v>
          </cell>
          <cell r="C170" t="str">
            <v>毁灭注能数量</v>
          </cell>
          <cell r="D170">
            <v>2</v>
          </cell>
          <cell r="E170">
            <v>2</v>
          </cell>
        </row>
        <row r="170">
          <cell r="I170" t="str">
            <v>毁灭注能数量增加{0}</v>
          </cell>
        </row>
        <row r="171">
          <cell r="B171">
            <v>11082</v>
          </cell>
          <cell r="C171" t="str">
            <v>洞察注能数量</v>
          </cell>
          <cell r="D171">
            <v>2</v>
          </cell>
          <cell r="E171">
            <v>2</v>
          </cell>
        </row>
        <row r="171">
          <cell r="I171" t="str">
            <v>洞察注能数量增加{0}</v>
          </cell>
        </row>
        <row r="172">
          <cell r="B172">
            <v>11083</v>
          </cell>
          <cell r="C172" t="str">
            <v>穿透注能数量</v>
          </cell>
          <cell r="D172">
            <v>2</v>
          </cell>
          <cell r="E172">
            <v>2</v>
          </cell>
        </row>
        <row r="172">
          <cell r="I172" t="str">
            <v>穿透注能数量增加{0}</v>
          </cell>
        </row>
        <row r="173">
          <cell r="B173">
            <v>11084</v>
          </cell>
          <cell r="C173" t="str">
            <v>混乱注能数量</v>
          </cell>
          <cell r="D173">
            <v>2</v>
          </cell>
          <cell r="E173">
            <v>2</v>
          </cell>
        </row>
        <row r="173">
          <cell r="I173" t="str">
            <v>混乱注能数量增加{0}</v>
          </cell>
        </row>
        <row r="174">
          <cell r="B174">
            <v>11085</v>
          </cell>
          <cell r="C174" t="str">
            <v>迅捷注能数量</v>
          </cell>
          <cell r="D174">
            <v>2</v>
          </cell>
          <cell r="E174">
            <v>2</v>
          </cell>
        </row>
        <row r="174">
          <cell r="I174" t="str">
            <v>迅捷注能数量增加{0}</v>
          </cell>
        </row>
        <row r="175">
          <cell r="B175">
            <v>11086</v>
          </cell>
          <cell r="C175" t="str">
            <v>毁灭注能数量上限</v>
          </cell>
          <cell r="D175">
            <v>2</v>
          </cell>
          <cell r="E175">
            <v>2</v>
          </cell>
        </row>
        <row r="175">
          <cell r="I175" t="str">
            <v>毁灭注能上限增加{0}</v>
          </cell>
        </row>
        <row r="176">
          <cell r="B176">
            <v>11087</v>
          </cell>
          <cell r="C176" t="str">
            <v>洞察注能数量上限</v>
          </cell>
          <cell r="D176">
            <v>2</v>
          </cell>
          <cell r="E176">
            <v>2</v>
          </cell>
        </row>
        <row r="176">
          <cell r="I176" t="str">
            <v>洞察注能上限增加{0}</v>
          </cell>
        </row>
        <row r="177">
          <cell r="B177">
            <v>11088</v>
          </cell>
          <cell r="C177" t="str">
            <v>穿透注能数量上限</v>
          </cell>
          <cell r="D177">
            <v>2</v>
          </cell>
          <cell r="E177">
            <v>2</v>
          </cell>
        </row>
        <row r="177">
          <cell r="I177" t="str">
            <v>穿透注能上限增加{0}</v>
          </cell>
        </row>
        <row r="178">
          <cell r="B178">
            <v>11089</v>
          </cell>
          <cell r="C178" t="str">
            <v>混乱注能数量上限</v>
          </cell>
          <cell r="D178">
            <v>2</v>
          </cell>
          <cell r="E178">
            <v>2</v>
          </cell>
        </row>
        <row r="178">
          <cell r="I178" t="str">
            <v>混乱注能上限增加{0}</v>
          </cell>
        </row>
        <row r="179">
          <cell r="B179">
            <v>11090</v>
          </cell>
          <cell r="C179" t="str">
            <v>迅捷注能数量上限</v>
          </cell>
          <cell r="D179">
            <v>2</v>
          </cell>
          <cell r="E179">
            <v>2</v>
          </cell>
        </row>
        <row r="179">
          <cell r="I179" t="str">
            <v>迅捷注能上限增加{0}</v>
          </cell>
        </row>
        <row r="180">
          <cell r="B180">
            <v>11091</v>
          </cell>
          <cell r="C180" t="str">
            <v>生命魔力回复共用</v>
          </cell>
          <cell r="D180">
            <v>2</v>
          </cell>
          <cell r="E180">
            <v>2</v>
          </cell>
        </row>
        <row r="180">
          <cell r="I180" t="str">
            <v>生命魔力回复共用</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当拥有2000点生命值时，则中毒效果提高{0}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旋风斩的冷却时间降至0，但伤害额外降低60%</v>
          </cell>
          <cell r="D51">
            <v>2</v>
          </cell>
          <cell r="E51">
            <v>2</v>
          </cell>
        </row>
        <row r="52">
          <cell r="A52">
            <v>10079</v>
          </cell>
          <cell r="B52" t="str">
            <v>降爆伤增暴击</v>
          </cell>
          <cell r="C52" t="str">
            <v>攻击暴击率额外提高{0}，攻击暴击伤害额外降低30%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暴击伤害提高</v>
          </cell>
          <cell r="C57" t="str">
            <v>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v>
          </cell>
          <cell r="D64">
            <v>2</v>
          </cell>
          <cell r="E64">
            <v>2</v>
          </cell>
        </row>
        <row r="65">
          <cell r="A65">
            <v>10092</v>
          </cell>
          <cell r="B65" t="str">
            <v>天赋-通用-冰神</v>
          </cell>
          <cell r="C65" t="str">
            <v>天赋-通用-冰神</v>
          </cell>
          <cell r="D65">
            <v>2</v>
          </cell>
          <cell r="E65">
            <v>2</v>
          </cell>
        </row>
        <row r="66">
          <cell r="A66">
            <v>10093</v>
          </cell>
          <cell r="B66" t="str">
            <v>天赋-通用-活力</v>
          </cell>
          <cell r="C66" t="str">
            <v>天赋-通用-活力</v>
          </cell>
          <cell r="D66">
            <v>2</v>
          </cell>
          <cell r="E66">
            <v>2</v>
          </cell>
        </row>
        <row r="67">
          <cell r="A67">
            <v>10094</v>
          </cell>
          <cell r="B67" t="str">
            <v>天赋-通用-抵抗</v>
          </cell>
          <cell r="C67" t="str">
            <v>天赋-通用-抵抗</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v>
          </cell>
          <cell r="D85">
            <v>2</v>
          </cell>
          <cell r="E85">
            <v>2</v>
          </cell>
        </row>
        <row r="86">
          <cell r="A86">
            <v>10113</v>
          </cell>
          <cell r="B86" t="str">
            <v>专用-回响强化</v>
          </cell>
          <cell r="C86" t="str">
            <v>专用-回响强化</v>
          </cell>
          <cell r="D86">
            <v>2</v>
          </cell>
          <cell r="E86">
            <v>2</v>
          </cell>
        </row>
        <row r="87">
          <cell r="A87">
            <v>10114</v>
          </cell>
          <cell r="B87" t="str">
            <v>专用-火球术强化</v>
          </cell>
          <cell r="C87" t="str">
            <v>专用-火球术强化</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v>
          </cell>
          <cell r="D108">
            <v>2</v>
          </cell>
          <cell r="E108">
            <v>2</v>
          </cell>
        </row>
        <row r="109">
          <cell r="A109">
            <v>10138</v>
          </cell>
          <cell r="B109" t="str">
            <v>天赋-法杖-轮转一心</v>
          </cell>
          <cell r="C109" t="str">
            <v>天赋-法杖-轮转一心</v>
          </cell>
          <cell r="D109">
            <v>2</v>
          </cell>
          <cell r="E109">
            <v>2</v>
          </cell>
        </row>
        <row r="110">
          <cell r="A110">
            <v>10139</v>
          </cell>
          <cell r="B110" t="str">
            <v>天赋-法杖-共鸣</v>
          </cell>
          <cell r="C110" t="str">
            <v>天赋-法杖-共鸣</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v>
          </cell>
          <cell r="D115">
            <v>2</v>
          </cell>
          <cell r="E115">
            <v>2</v>
          </cell>
        </row>
        <row r="116">
          <cell r="A116">
            <v>10145</v>
          </cell>
          <cell r="B116" t="str">
            <v>天赋-法杖-原爆点</v>
          </cell>
          <cell r="C116" t="str">
            <v>天赋-法杖-原爆点</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v>
          </cell>
          <cell r="D119">
            <v>0</v>
          </cell>
          <cell r="E119">
            <v>0</v>
          </cell>
        </row>
        <row r="120">
          <cell r="A120">
            <v>10149</v>
          </cell>
          <cell r="B120" t="str">
            <v>毁灭注能层数增加</v>
          </cell>
          <cell r="C120" t="str">
            <v>毁灭注能层数上限增加{0}</v>
          </cell>
          <cell r="D120">
            <v>0</v>
          </cell>
          <cell r="E120">
            <v>0</v>
          </cell>
        </row>
        <row r="121">
          <cell r="A121">
            <v>10150</v>
          </cell>
          <cell r="B121" t="str">
            <v>洞察注能层数增加</v>
          </cell>
          <cell r="C121" t="str">
            <v>洞察注能层数上限增加{0}</v>
          </cell>
          <cell r="D121">
            <v>0</v>
          </cell>
          <cell r="E121">
            <v>0</v>
          </cell>
        </row>
        <row r="122">
          <cell r="A122">
            <v>10151</v>
          </cell>
          <cell r="B122" t="str">
            <v>穿透注能层数增加</v>
          </cell>
          <cell r="C122" t="str">
            <v>穿透注能层数上限增加{0}</v>
          </cell>
          <cell r="D122">
            <v>0</v>
          </cell>
          <cell r="E122">
            <v>0</v>
          </cell>
        </row>
        <row r="123">
          <cell r="A123">
            <v>10152</v>
          </cell>
          <cell r="B123" t="str">
            <v>混乱注能层数增加</v>
          </cell>
          <cell r="C123" t="str">
            <v>混乱注能层数上限增加{0}</v>
          </cell>
          <cell r="D123">
            <v>0</v>
          </cell>
          <cell r="E123">
            <v>0</v>
          </cell>
        </row>
        <row r="124">
          <cell r="A124">
            <v>10153</v>
          </cell>
          <cell r="B124" t="str">
            <v>迅捷注能层数增加</v>
          </cell>
          <cell r="C124" t="str">
            <v>迅捷注能层数上限增加{0}</v>
          </cell>
          <cell r="D124">
            <v>0</v>
          </cell>
          <cell r="E124">
            <v>0</v>
          </cell>
        </row>
        <row r="125">
          <cell r="A125">
            <v>10154</v>
          </cell>
          <cell r="B125" t="str">
            <v>火焰浸染</v>
          </cell>
          <cell r="C125" t="str">
            <v>旋风技能视为被火焰浸染</v>
          </cell>
          <cell r="D125">
            <v>0</v>
          </cell>
          <cell r="E125">
            <v>0</v>
          </cell>
        </row>
        <row r="126">
          <cell r="A126">
            <v>10155</v>
          </cell>
          <cell r="B126" t="str">
            <v>冰冷浸染</v>
          </cell>
          <cell r="C126" t="str">
            <v>旋风技能视为被冰冷浸染</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cell r="C148" t="str">
            <v>物理倍率提高{0}</v>
          </cell>
          <cell r="D148">
            <v>2</v>
          </cell>
          <cell r="E148">
            <v>2</v>
          </cell>
        </row>
        <row r="149">
          <cell r="A149">
            <v>10182</v>
          </cell>
          <cell r="B149" t="str">
            <v>火焰倍率提高</v>
          </cell>
          <cell r="C149" t="str">
            <v>火焰倍率提高{0}</v>
          </cell>
          <cell r="D149">
            <v>2</v>
          </cell>
          <cell r="E149">
            <v>2</v>
          </cell>
        </row>
        <row r="150">
          <cell r="A150">
            <v>10183</v>
          </cell>
          <cell r="B150" t="str">
            <v>冰冷倍率提高</v>
          </cell>
          <cell r="C150" t="str">
            <v>冰冷倍率提高{0}</v>
          </cell>
          <cell r="D150">
            <v>2</v>
          </cell>
          <cell r="E150">
            <v>2</v>
          </cell>
        </row>
        <row r="151">
          <cell r="A151">
            <v>10184</v>
          </cell>
          <cell r="B151" t="str">
            <v>闪电倍率提高</v>
          </cell>
          <cell r="C151" t="str">
            <v>闪电倍率提高{0}</v>
          </cell>
          <cell r="D151">
            <v>2</v>
          </cell>
          <cell r="E151">
            <v>2</v>
          </cell>
        </row>
        <row r="152">
          <cell r="A152">
            <v>10185</v>
          </cell>
          <cell r="B152" t="str">
            <v>混沌倍率提高</v>
          </cell>
          <cell r="C152" t="str">
            <v>混沌倍率提高{0}</v>
          </cell>
          <cell r="D152">
            <v>2</v>
          </cell>
          <cell r="E152">
            <v>2</v>
          </cell>
        </row>
        <row r="153">
          <cell r="A153">
            <v>10186</v>
          </cell>
          <cell r="B153" t="str">
            <v>获得相当于最大生命 X% 的攻击力</v>
          </cell>
          <cell r="C153" t="str">
            <v>获得相当于最大生命 X% 的攻击力</v>
          </cell>
          <cell r="D153">
            <v>2</v>
          </cell>
          <cell r="E153">
            <v>2</v>
          </cell>
        </row>
        <row r="154">
          <cell r="A154">
            <v>10187</v>
          </cell>
          <cell r="B154" t="str">
            <v>获得相当于最大魔力 X% 的攻击力</v>
          </cell>
          <cell r="C154" t="str">
            <v>获得相当于最大魔力 X% 的攻击力</v>
          </cell>
          <cell r="D154">
            <v>2</v>
          </cell>
          <cell r="E154">
            <v>2</v>
          </cell>
        </row>
        <row r="155">
          <cell r="A155">
            <v>10188</v>
          </cell>
          <cell r="B155" t="str">
            <v>毁灭注能持续时间提高</v>
          </cell>
          <cell r="C155" t="str">
            <v>毁灭注能持续时间提高{0}</v>
          </cell>
          <cell r="D155">
            <v>2</v>
          </cell>
          <cell r="E155">
            <v>2</v>
          </cell>
        </row>
        <row r="156">
          <cell r="A156">
            <v>10189</v>
          </cell>
          <cell r="B156" t="str">
            <v>洞察注能持续时间提高</v>
          </cell>
          <cell r="C156" t="str">
            <v>洞察注能持续时间提高{0}</v>
          </cell>
          <cell r="D156">
            <v>2</v>
          </cell>
          <cell r="E156">
            <v>2</v>
          </cell>
        </row>
        <row r="157">
          <cell r="A157">
            <v>10190</v>
          </cell>
          <cell r="B157" t="str">
            <v>穿透注能持续时间提高</v>
          </cell>
          <cell r="C157" t="str">
            <v>穿透注能持续时间提高{0}</v>
          </cell>
          <cell r="D157">
            <v>2</v>
          </cell>
          <cell r="E157">
            <v>2</v>
          </cell>
        </row>
        <row r="158">
          <cell r="A158">
            <v>10191</v>
          </cell>
          <cell r="B158" t="str">
            <v>混乱注能持续时间提高</v>
          </cell>
          <cell r="C158" t="str">
            <v>混乱注能持续时间提高{0}</v>
          </cell>
          <cell r="D158">
            <v>2</v>
          </cell>
          <cell r="E158">
            <v>2</v>
          </cell>
        </row>
        <row r="159">
          <cell r="A159">
            <v>10192</v>
          </cell>
          <cell r="B159" t="str">
            <v>迅捷注能持续时间提高</v>
          </cell>
          <cell r="C159" t="str">
            <v>迅捷注能持续时间提高{0}</v>
          </cell>
          <cell r="D159">
            <v>2</v>
          </cell>
          <cell r="E159">
            <v>2</v>
          </cell>
        </row>
        <row r="160">
          <cell r="A160">
            <v>10193</v>
          </cell>
          <cell r="B160" t="str">
            <v>持续伤害提高</v>
          </cell>
          <cell r="C160" t="str">
            <v>持续伤害提高{0}</v>
          </cell>
          <cell r="D160">
            <v>2</v>
          </cell>
          <cell r="E160">
            <v>2</v>
          </cell>
        </row>
        <row r="161">
          <cell r="A161">
            <v>10194</v>
          </cell>
          <cell r="B161" t="str">
            <v>对满血敌人的暴击伤害提高</v>
          </cell>
          <cell r="C161" t="str">
            <v>对满血敌人的暴击伤害提高{0}</v>
          </cell>
          <cell r="D161">
            <v>2</v>
          </cell>
          <cell r="E161">
            <v>2</v>
          </cell>
        </row>
        <row r="162">
          <cell r="A162">
            <v>10195</v>
          </cell>
          <cell r="B162" t="str">
            <v>对精英敌人的暴击伤害提高</v>
          </cell>
          <cell r="C162" t="str">
            <v>对精英敌人的暴击伤害提高{0}</v>
          </cell>
          <cell r="D162">
            <v>2</v>
          </cell>
          <cell r="E162">
            <v>2</v>
          </cell>
        </row>
        <row r="163">
          <cell r="A163">
            <v>10196</v>
          </cell>
          <cell r="B163" t="str">
            <v>对处于异常状态敌人的暴击伤害提高</v>
          </cell>
          <cell r="C163" t="str">
            <v>对处于异常状态敌人的暴击伤害提高{0}</v>
          </cell>
          <cell r="D163">
            <v>2</v>
          </cell>
          <cell r="E163">
            <v>2</v>
          </cell>
        </row>
        <row r="164">
          <cell r="A164">
            <v>10197</v>
          </cell>
          <cell r="B164" t="str">
            <v>生命恢复率提高</v>
          </cell>
          <cell r="C164" t="str">
            <v>生命恢复率提高{0}</v>
          </cell>
          <cell r="D164">
            <v>2</v>
          </cell>
          <cell r="E164">
            <v>2</v>
          </cell>
        </row>
        <row r="165">
          <cell r="A165">
            <v>10198</v>
          </cell>
          <cell r="B165" t="str">
            <v>移动速度提高（用属性）无效词缀占位</v>
          </cell>
          <cell r="C165" t="str">
            <v>移动速度提高（用属性）无效词缀占位{0}</v>
          </cell>
          <cell r="D165">
            <v>2</v>
          </cell>
          <cell r="E165">
            <v>2</v>
          </cell>
        </row>
        <row r="166">
          <cell r="A166">
            <v>10199</v>
          </cell>
          <cell r="B166" t="str">
            <v>核心技能等级提高（技能1）</v>
          </cell>
          <cell r="C166" t="str">
            <v>核心技能等级提高（技能1）{0}</v>
          </cell>
          <cell r="D166">
            <v>2</v>
          </cell>
          <cell r="E166">
            <v>2</v>
          </cell>
        </row>
        <row r="167">
          <cell r="A167">
            <v>10200</v>
          </cell>
          <cell r="B167" t="str">
            <v>魔力消耗提高</v>
          </cell>
          <cell r="C167" t="str">
            <v>魔力消耗提高{0}</v>
          </cell>
          <cell r="D167">
            <v>2</v>
          </cell>
          <cell r="E167">
            <v>2</v>
          </cell>
        </row>
        <row r="168">
          <cell r="A168">
            <v>10201</v>
          </cell>
          <cell r="B168" t="str">
            <v>天赋唯一/火焰伤害额外提高（加算）</v>
          </cell>
          <cell r="C168" t="str">
            <v>天赋唯一/火焰伤害额外提高（加算）{0}</v>
          </cell>
          <cell r="D168">
            <v>2</v>
          </cell>
          <cell r="E168">
            <v>2</v>
          </cell>
        </row>
        <row r="169">
          <cell r="A169">
            <v>10202</v>
          </cell>
          <cell r="B169" t="str">
            <v>天赋唯一/冰冷伤害额外提高（加算）</v>
          </cell>
          <cell r="C169" t="str">
            <v>天赋唯一/冰冷伤害额外提高（加算）{0}</v>
          </cell>
          <cell r="D169">
            <v>2</v>
          </cell>
          <cell r="E169">
            <v>2</v>
          </cell>
        </row>
        <row r="170">
          <cell r="A170">
            <v>10203</v>
          </cell>
          <cell r="B170" t="str">
            <v>天赋唯一/闪电伤害额外提高（加算）</v>
          </cell>
          <cell r="C170" t="str">
            <v>天赋唯一/闪电伤害额外提高（加算）{0}</v>
          </cell>
          <cell r="D170">
            <v>2</v>
          </cell>
          <cell r="E170">
            <v>2</v>
          </cell>
        </row>
        <row r="171">
          <cell r="A171">
            <v>10204</v>
          </cell>
          <cell r="B171" t="str">
            <v>暴击造成的非伤害性异常状态效果提升</v>
          </cell>
          <cell r="C171" t="str">
            <v>暴击造成的非伤害性异常状态效果提升{0}</v>
          </cell>
          <cell r="D171">
            <v>2</v>
          </cell>
          <cell r="E171">
            <v>2</v>
          </cell>
        </row>
        <row r="172">
          <cell r="A172">
            <v>10205</v>
          </cell>
          <cell r="B172" t="str">
            <v>元素伤害额外提高</v>
          </cell>
          <cell r="C172" t="str">
            <v>元素伤害额外提高{0}</v>
          </cell>
          <cell r="D172">
            <v>2</v>
          </cell>
          <cell r="E172">
            <v>2</v>
          </cell>
        </row>
        <row r="173">
          <cell r="A173">
            <v>10206</v>
          </cell>
          <cell r="B173" t="str">
            <v>只能造成元素伤害</v>
          </cell>
          <cell r="C173" t="str">
            <v>只能造成元素伤害</v>
          </cell>
          <cell r="D173">
            <v>0</v>
          </cell>
          <cell r="E173">
            <v>0</v>
          </cell>
        </row>
        <row r="174">
          <cell r="A174">
            <v>10207</v>
          </cell>
          <cell r="B174" t="str">
            <v>火焰抗性总量转生命回复</v>
          </cell>
          <cell r="C174" t="str">
            <v>火焰抗性总量转生命回复</v>
          </cell>
          <cell r="D174">
            <v>2</v>
          </cell>
          <cell r="E174">
            <v>2</v>
          </cell>
        </row>
        <row r="175">
          <cell r="A175">
            <v>10208</v>
          </cell>
          <cell r="B175" t="str">
            <v>受到伤害额外降低</v>
          </cell>
          <cell r="C175" t="str">
            <v>受到伤害额外降低{0}</v>
          </cell>
          <cell r="D175">
            <v>2</v>
          </cell>
          <cell r="E175">
            <v>2</v>
          </cell>
        </row>
        <row r="176">
          <cell r="A176">
            <v>10209</v>
          </cell>
          <cell r="B176" t="str">
            <v>天赋-inc转化为点伤</v>
          </cell>
          <cell r="C176" t="str">
            <v>天赋-inc转化为点伤{0}</v>
          </cell>
          <cell r="D176">
            <v>2</v>
          </cell>
          <cell r="E176">
            <v>2</v>
          </cell>
        </row>
        <row r="177">
          <cell r="A177">
            <v>10210</v>
          </cell>
          <cell r="B177" t="str">
            <v>混乱注能-异常效果提高</v>
          </cell>
          <cell r="C177" t="str">
            <v>混乱注能-异常效果提高</v>
          </cell>
          <cell r="D177">
            <v>2</v>
          </cell>
          <cell r="E177">
            <v>2</v>
          </cell>
        </row>
        <row r="178">
          <cell r="A178">
            <v>10211</v>
          </cell>
          <cell r="B178" t="str">
            <v>对点燃敌人伤害提高</v>
          </cell>
          <cell r="C178" t="str">
            <v>对点燃敌人伤害提高{0}</v>
          </cell>
          <cell r="D178">
            <v>2</v>
          </cell>
          <cell r="E178">
            <v>2</v>
          </cell>
        </row>
        <row r="179">
          <cell r="A179">
            <v>10212</v>
          </cell>
          <cell r="B179" t="str">
            <v>对冰冻敌人伤害提高</v>
          </cell>
          <cell r="C179" t="str">
            <v>对冰冻敌人伤害提高{0}</v>
          </cell>
          <cell r="D179">
            <v>2</v>
          </cell>
          <cell r="E179">
            <v>2</v>
          </cell>
        </row>
        <row r="180">
          <cell r="A180">
            <v>10213</v>
          </cell>
          <cell r="B180" t="str">
            <v>对感电敌人伤害提高</v>
          </cell>
          <cell r="C180" t="str">
            <v>对感电敌人伤害提高{0}</v>
          </cell>
          <cell r="D180">
            <v>2</v>
          </cell>
          <cell r="E180">
            <v>2</v>
          </cell>
        </row>
        <row r="181">
          <cell r="A181">
            <v>10214</v>
          </cell>
          <cell r="B181" t="str">
            <v>对流血敌人伤害提高</v>
          </cell>
          <cell r="C181" t="str">
            <v>对流血敌人伤害提高{0}</v>
          </cell>
          <cell r="D181">
            <v>2</v>
          </cell>
          <cell r="E181">
            <v>2</v>
          </cell>
        </row>
        <row r="182">
          <cell r="A182">
            <v>10215</v>
          </cell>
          <cell r="B182" t="str">
            <v>对中毒敌人伤害提高</v>
          </cell>
          <cell r="C182" t="str">
            <v>对中毒敌人伤害提高{0}</v>
          </cell>
          <cell r="D182">
            <v>2</v>
          </cell>
          <cell r="E182">
            <v>2</v>
          </cell>
        </row>
        <row r="183">
          <cell r="A183">
            <v>10216</v>
          </cell>
          <cell r="B183" t="str">
            <v>对冰缓敌人伤害提高</v>
          </cell>
          <cell r="C183" t="str">
            <v>对冰缓敌人伤害提高{0}</v>
          </cell>
          <cell r="D183">
            <v>2</v>
          </cell>
          <cell r="E183">
            <v>2</v>
          </cell>
        </row>
        <row r="184">
          <cell r="A184">
            <v>10217</v>
          </cell>
          <cell r="B184" t="str">
            <v>对触电敌人伤害提高</v>
          </cell>
          <cell r="C184" t="str">
            <v>对触电敌人伤害提高{0}</v>
          </cell>
          <cell r="D184">
            <v>2</v>
          </cell>
          <cell r="E184">
            <v>2</v>
          </cell>
        </row>
        <row r="185">
          <cell r="A185">
            <v>10218</v>
          </cell>
          <cell r="B185" t="str">
            <v>对处于异常状态的敌人伤害提高</v>
          </cell>
          <cell r="C185" t="str">
            <v>对处于异常状态的敌人伤害提高{0}</v>
          </cell>
          <cell r="D185">
            <v>2</v>
          </cell>
          <cell r="E185">
            <v>2</v>
          </cell>
        </row>
        <row r="186">
          <cell r="A186">
            <v>10219</v>
          </cell>
          <cell r="B186" t="str">
            <v>点燃伤害结算速度提高</v>
          </cell>
          <cell r="C186" t="str">
            <v>点燃结算速度提高{0}</v>
          </cell>
          <cell r="D186">
            <v>2</v>
          </cell>
          <cell r="E186">
            <v>2</v>
          </cell>
        </row>
        <row r="187">
          <cell r="A187">
            <v>10220</v>
          </cell>
          <cell r="B187" t="str">
            <v>流血伤害结算速度提高</v>
          </cell>
          <cell r="C187" t="str">
            <v>流血结算速度提高{0}</v>
          </cell>
          <cell r="D187">
            <v>2</v>
          </cell>
          <cell r="E187">
            <v>2</v>
          </cell>
        </row>
        <row r="188">
          <cell r="A188">
            <v>10221</v>
          </cell>
          <cell r="B188" t="str">
            <v>中毒伤害结算速度提高</v>
          </cell>
          <cell r="C188" t="str">
            <v>中毒结算速度提高{0}</v>
          </cell>
          <cell r="D188">
            <v>2</v>
          </cell>
          <cell r="E188">
            <v>2</v>
          </cell>
        </row>
        <row r="189">
          <cell r="A189">
            <v>10222</v>
          </cell>
          <cell r="B189" t="str">
            <v>每有2%点燃几率，增加1%的火焰伤害</v>
          </cell>
          <cell r="C189" t="str">
            <v>每有2%点燃几率，增加1%的火焰伤害</v>
          </cell>
          <cell r="D189">
            <v>2</v>
          </cell>
          <cell r="E189">
            <v>2</v>
          </cell>
        </row>
        <row r="190">
          <cell r="A190">
            <v>10223</v>
          </cell>
          <cell r="B190" t="str">
            <v>每有2%中毒几率，增加1%的混沌伤害</v>
          </cell>
          <cell r="C190" t="str">
            <v>每有2%中毒几率，增加1%的混沌伤害</v>
          </cell>
          <cell r="D190">
            <v>2</v>
          </cell>
          <cell r="E190">
            <v>2</v>
          </cell>
        </row>
        <row r="191">
          <cell r="A191">
            <v>10224</v>
          </cell>
          <cell r="B191" t="str">
            <v>每有2%流血几率，增加1%的物理伤害</v>
          </cell>
          <cell r="C191" t="str">
            <v>每有2%流血几率，增加1%的物理伤害</v>
          </cell>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cell r="C194" t="str">
            <v>对远处的敌人暴击率提高{0}</v>
          </cell>
          <cell r="D194">
            <v>2</v>
          </cell>
          <cell r="E194">
            <v>2</v>
          </cell>
        </row>
        <row r="195">
          <cell r="A195">
            <v>10228</v>
          </cell>
          <cell r="B195" t="str">
            <v>生命与魔力恢复率协同作用</v>
          </cell>
          <cell r="C195" t="str">
            <v>生命与魔力恢复率协同作用</v>
          </cell>
          <cell r="D195">
            <v>2</v>
          </cell>
          <cell r="E195">
            <v>2</v>
          </cell>
        </row>
        <row r="196">
          <cell r="A196">
            <v>10229</v>
          </cell>
          <cell r="B196" t="str">
            <v>提高相当于防御力30%的攻击力</v>
          </cell>
          <cell r="C196" t="str">
            <v>提高相当于防御力30%的攻击力</v>
          </cell>
          <cell r="D196">
            <v>2</v>
          </cell>
          <cell r="E196">
            <v>2</v>
          </cell>
        </row>
        <row r="197">
          <cell r="A197">
            <v>10230</v>
          </cell>
          <cell r="B197" t="str">
            <v>幻影伤害赋值（底值）</v>
          </cell>
          <cell r="C197" t="str">
            <v>幻影伤害赋值（底值）</v>
          </cell>
          <cell r="D197">
            <v>2</v>
          </cell>
          <cell r="E197">
            <v>2</v>
          </cell>
        </row>
        <row r="198">
          <cell r="A198">
            <v>10231</v>
          </cell>
          <cell r="B198" t="str">
            <v>移动速度增加词缀</v>
          </cell>
          <cell r="C198" t="str">
            <v>移动速度增加{0}</v>
          </cell>
          <cell r="D198">
            <v>2</v>
          </cell>
          <cell r="E198">
            <v>2</v>
          </cell>
        </row>
        <row r="199">
          <cell r="A199">
            <v>10232</v>
          </cell>
          <cell r="B199" t="str">
            <v>受到的物理伤害额外提高</v>
          </cell>
          <cell r="C199" t="str">
            <v>受到的物理伤害额外提高{0}</v>
          </cell>
          <cell r="D199">
            <v>2</v>
          </cell>
          <cell r="E199">
            <v>2</v>
          </cell>
        </row>
        <row r="200">
          <cell r="A200">
            <v>10233</v>
          </cell>
          <cell r="B200" t="str">
            <v>受到的火焰伤害额外提高</v>
          </cell>
          <cell r="C200" t="str">
            <v>受到的火焰伤害额外提高{0}</v>
          </cell>
          <cell r="D200">
            <v>2</v>
          </cell>
          <cell r="E200">
            <v>2</v>
          </cell>
        </row>
        <row r="201">
          <cell r="A201">
            <v>10234</v>
          </cell>
          <cell r="B201" t="str">
            <v>受到的冰冷伤害额外提高</v>
          </cell>
          <cell r="C201" t="str">
            <v>受到的冰冷伤害额外提高{0}</v>
          </cell>
          <cell r="D201">
            <v>2</v>
          </cell>
          <cell r="E201">
            <v>2</v>
          </cell>
        </row>
        <row r="202">
          <cell r="A202">
            <v>10235</v>
          </cell>
          <cell r="B202" t="str">
            <v>受到的闪电伤害额外提高</v>
          </cell>
          <cell r="C202" t="str">
            <v>受到的闪电伤害额外提高{0}</v>
          </cell>
          <cell r="D202">
            <v>2</v>
          </cell>
          <cell r="E202">
            <v>2</v>
          </cell>
        </row>
        <row r="203">
          <cell r="A203">
            <v>10236</v>
          </cell>
          <cell r="B203" t="str">
            <v>受到的混沌伤害额外提高</v>
          </cell>
          <cell r="C203" t="str">
            <v>受到的混沌伤害额外提高{0}</v>
          </cell>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cell r="C205" t="str">
            <v>诅咒生效上限提高{0}</v>
          </cell>
          <cell r="D205">
            <v>2</v>
          </cell>
          <cell r="E205">
            <v>2</v>
          </cell>
        </row>
        <row r="206">
          <cell r="A206">
            <v>10239</v>
          </cell>
          <cell r="B206" t="str">
            <v>强化技能伤害额外提高</v>
          </cell>
          <cell r="C206" t="str">
            <v>强化技能伤害额外提高{0}</v>
          </cell>
          <cell r="D206">
            <v>2</v>
          </cell>
          <cell r="E206">
            <v>2</v>
          </cell>
        </row>
        <row r="207">
          <cell r="A207">
            <v>10240</v>
          </cell>
          <cell r="B207" t="str">
            <v>混沌伤害转火焰伤害增加</v>
          </cell>
          <cell r="C207" t="str">
            <v>混沌伤害转火焰伤害增加{0}</v>
          </cell>
          <cell r="D207">
            <v>0</v>
          </cell>
          <cell r="E207">
            <v>0</v>
          </cell>
        </row>
        <row r="208">
          <cell r="A208">
            <v>10241</v>
          </cell>
          <cell r="B208" t="str">
            <v>混沌伤害转冰冷伤害增加</v>
          </cell>
          <cell r="C208" t="str">
            <v>混沌伤害转冰冷伤害增加{0}</v>
          </cell>
          <cell r="D208">
            <v>0</v>
          </cell>
          <cell r="E208">
            <v>0</v>
          </cell>
        </row>
        <row r="209">
          <cell r="A209">
            <v>10242</v>
          </cell>
          <cell r="B209" t="str">
            <v>混沌伤害转闪电伤害增加</v>
          </cell>
          <cell r="C209" t="str">
            <v>混沌伤害转闪电伤害增加{0}</v>
          </cell>
          <cell r="D209">
            <v>0</v>
          </cell>
          <cell r="E209">
            <v>0</v>
          </cell>
        </row>
        <row r="210">
          <cell r="A210">
            <v>10243</v>
          </cell>
          <cell r="B210" t="str">
            <v>光环效果提高</v>
          </cell>
          <cell r="C210" t="str">
            <v>光环效果提高{0}</v>
          </cell>
          <cell r="D210">
            <v>2</v>
          </cell>
          <cell r="E210">
            <v>2</v>
          </cell>
        </row>
        <row r="211">
          <cell r="A211">
            <v>10244</v>
          </cell>
          <cell r="B211" t="str">
            <v>暴击时释放</v>
          </cell>
          <cell r="C211" t="str">
            <v>暴击时释放</v>
          </cell>
          <cell r="D211">
            <v>0</v>
          </cell>
          <cell r="E211">
            <v>0</v>
          </cell>
        </row>
        <row r="212">
          <cell r="A212">
            <v>10245</v>
          </cell>
          <cell r="B212" t="str">
            <v>移动式释放</v>
          </cell>
          <cell r="C212" t="str">
            <v>移动式释放</v>
          </cell>
          <cell r="D212">
            <v>0</v>
          </cell>
          <cell r="E212">
            <v>0</v>
          </cell>
        </row>
        <row r="213">
          <cell r="A213">
            <v>10246</v>
          </cell>
          <cell r="B213" t="str">
            <v>格挡时释放</v>
          </cell>
          <cell r="C213" t="str">
            <v>格挡时释放</v>
          </cell>
          <cell r="D213">
            <v>0</v>
          </cell>
          <cell r="E213">
            <v>0</v>
          </cell>
        </row>
        <row r="214">
          <cell r="A214">
            <v>10247</v>
          </cell>
          <cell r="B214" t="str">
            <v>对满血敌人暴击率提高</v>
          </cell>
          <cell r="C214" t="str">
            <v>对满血敌人暴击率提高{0}</v>
          </cell>
          <cell r="D214">
            <v>2</v>
          </cell>
          <cell r="E214">
            <v>2</v>
          </cell>
        </row>
        <row r="215">
          <cell r="A215">
            <v>10248</v>
          </cell>
          <cell r="B215" t="str">
            <v>对低血敌人暴击伤害提高</v>
          </cell>
          <cell r="C215" t="str">
            <v>对低血敌人暴击伤害提高{0}</v>
          </cell>
          <cell r="D215">
            <v>2</v>
          </cell>
          <cell r="E215">
            <v>2</v>
          </cell>
        </row>
        <row r="216">
          <cell r="A216">
            <v>10249</v>
          </cell>
          <cell r="B216" t="str">
            <v>天赋-冻结累积值的30%作用于冻结时间</v>
          </cell>
          <cell r="C216" t="str">
            <v>天赋-冻结累积值的30%作用于冻结时间</v>
          </cell>
          <cell r="D216">
            <v>0</v>
          </cell>
          <cell r="E216">
            <v>0</v>
          </cell>
        </row>
        <row r="217">
          <cell r="A217">
            <v>10250</v>
          </cell>
          <cell r="B217" t="str">
            <v>获得物理额外伤害</v>
          </cell>
          <cell r="C217" t="str">
            <v>获得物理额外伤害{0}</v>
          </cell>
          <cell r="D217">
            <v>2</v>
          </cell>
          <cell r="E217">
            <v>2</v>
          </cell>
        </row>
        <row r="218">
          <cell r="A218">
            <v>10251</v>
          </cell>
          <cell r="B218" t="str">
            <v>获得火焰额外伤害</v>
          </cell>
          <cell r="C218" t="str">
            <v>获得火焰额外伤害{0}</v>
          </cell>
          <cell r="D218">
            <v>2</v>
          </cell>
          <cell r="E218">
            <v>2</v>
          </cell>
        </row>
        <row r="219">
          <cell r="A219">
            <v>10252</v>
          </cell>
          <cell r="B219" t="str">
            <v>获得冰冷额外伤害</v>
          </cell>
          <cell r="C219" t="str">
            <v>获得冰冷额外伤害{0}</v>
          </cell>
          <cell r="D219">
            <v>2</v>
          </cell>
          <cell r="E219">
            <v>2</v>
          </cell>
        </row>
        <row r="220">
          <cell r="A220">
            <v>10253</v>
          </cell>
          <cell r="B220" t="str">
            <v>获得闪电额外伤害</v>
          </cell>
          <cell r="C220" t="str">
            <v>获得闪电额外伤害{0}</v>
          </cell>
          <cell r="D220">
            <v>2</v>
          </cell>
          <cell r="E220">
            <v>2</v>
          </cell>
        </row>
        <row r="221">
          <cell r="A221">
            <v>10254</v>
          </cell>
          <cell r="B221" t="str">
            <v>获得混沌额外伤害</v>
          </cell>
          <cell r="C221" t="str">
            <v>获得混沌额外伤害{0}</v>
          </cell>
          <cell r="D221">
            <v>2</v>
          </cell>
          <cell r="E221">
            <v>2</v>
          </cell>
        </row>
        <row r="222">
          <cell r="A222">
            <v>10255</v>
          </cell>
          <cell r="B222" t="str">
            <v>毁灭注能-物理额外伤害提高</v>
          </cell>
          <cell r="C222" t="str">
            <v>毁灭注能-物理额外伤害提高{0}</v>
          </cell>
          <cell r="D222">
            <v>3</v>
          </cell>
          <cell r="E222">
            <v>2</v>
          </cell>
        </row>
        <row r="223">
          <cell r="A223">
            <v>10256</v>
          </cell>
          <cell r="B223" t="str">
            <v>洞察注能-冰冷额外伤害提高</v>
          </cell>
          <cell r="C223" t="str">
            <v>洞察注能-冰冷额外伤害提高{0}</v>
          </cell>
          <cell r="D223">
            <v>3</v>
          </cell>
          <cell r="E223">
            <v>2</v>
          </cell>
        </row>
        <row r="224">
          <cell r="A224">
            <v>10257</v>
          </cell>
          <cell r="B224" t="str">
            <v>穿透注能-火焰额外伤害提高</v>
          </cell>
          <cell r="C224" t="str">
            <v>穿透注能-火焰额外伤害提高{0}</v>
          </cell>
          <cell r="D224">
            <v>3</v>
          </cell>
          <cell r="E224">
            <v>2</v>
          </cell>
        </row>
        <row r="225">
          <cell r="A225">
            <v>10258</v>
          </cell>
          <cell r="B225" t="str">
            <v>混乱注能-混沌额外伤害提高</v>
          </cell>
          <cell r="C225" t="str">
            <v>混乱注能-混沌额外伤害提高{0}</v>
          </cell>
          <cell r="D225">
            <v>3</v>
          </cell>
          <cell r="E225">
            <v>2</v>
          </cell>
        </row>
        <row r="226">
          <cell r="A226">
            <v>10259</v>
          </cell>
          <cell r="B226" t="str">
            <v>迅捷注能-闪电额外伤害提高</v>
          </cell>
          <cell r="C226" t="str">
            <v>迅捷注能-闪电额外伤害提高{0}</v>
          </cell>
          <cell r="D226">
            <v>3</v>
          </cell>
          <cell r="E226">
            <v>2</v>
          </cell>
        </row>
        <row r="227">
          <cell r="A227">
            <v>10260</v>
          </cell>
          <cell r="B227" t="str">
            <v>技能倍率额外提高</v>
          </cell>
          <cell r="C227" t="str">
            <v>技能倍率额外提高{0}</v>
          </cell>
          <cell r="D227">
            <v>2</v>
          </cell>
          <cell r="E227">
            <v>2</v>
          </cell>
        </row>
        <row r="228">
          <cell r="A228">
            <v>10261</v>
          </cell>
          <cell r="B228" t="str">
            <v>暴击伤害额外提高</v>
          </cell>
          <cell r="C228" t="str">
            <v>暴击伤害额外提高{0}</v>
          </cell>
          <cell r="D228">
            <v>2</v>
          </cell>
          <cell r="E228">
            <v>2</v>
          </cell>
        </row>
        <row r="229">
          <cell r="A229">
            <v>10262</v>
          </cell>
          <cell r="B229" t="str">
            <v>施法速度额外提高</v>
          </cell>
          <cell r="C229" t="str">
            <v>施法速度额外提高{0}</v>
          </cell>
          <cell r="D229">
            <v>2</v>
          </cell>
          <cell r="E229">
            <v>2</v>
          </cell>
        </row>
        <row r="230">
          <cell r="A230">
            <v>10263</v>
          </cell>
          <cell r="B230" t="str">
            <v>穿透注能-所有抗性穿透提高</v>
          </cell>
          <cell r="C230" t="str">
            <v>穿透注能-所有抗性穿透提高{0}</v>
          </cell>
          <cell r="D230">
            <v>2</v>
          </cell>
          <cell r="E230">
            <v>2</v>
          </cell>
        </row>
        <row r="231">
          <cell r="A231">
            <v>10264</v>
          </cell>
          <cell r="B231" t="str">
            <v>混乱注能-所有异常状态效果提高</v>
          </cell>
          <cell r="C231" t="str">
            <v>混乱注能-所有异常状态效果提高{0}</v>
          </cell>
          <cell r="D231">
            <v>2</v>
          </cell>
          <cell r="E231">
            <v>2</v>
          </cell>
        </row>
        <row r="232">
          <cell r="A232">
            <v>10265</v>
          </cell>
          <cell r="B232" t="str">
            <v>所有伤害均造成冻结</v>
          </cell>
          <cell r="C232" t="str">
            <v>所有伤害均造成冻结</v>
          </cell>
          <cell r="D232">
            <v>2</v>
          </cell>
          <cell r="E232">
            <v>2</v>
          </cell>
        </row>
        <row r="233">
          <cell r="A233">
            <v>10266</v>
          </cell>
          <cell r="B233" t="str">
            <v>技能不再产生暴击</v>
          </cell>
          <cell r="C233" t="str">
            <v>技能不再产生暴击</v>
          </cell>
          <cell r="D233">
            <v>2</v>
          </cell>
          <cell r="E233">
            <v>2</v>
          </cell>
        </row>
        <row r="234">
          <cell r="A234">
            <v>10267</v>
          </cell>
          <cell r="B234" t="str">
            <v>对满血敌人暴击率额外提高</v>
          </cell>
          <cell r="C234" t="str">
            <v>对满血敌人暴击率额外提高{0}</v>
          </cell>
          <cell r="D234">
            <v>2</v>
          </cell>
          <cell r="E234">
            <v>2</v>
          </cell>
        </row>
        <row r="235">
          <cell r="A235">
            <v>10268</v>
          </cell>
          <cell r="B235" t="str">
            <v>对处于冻结状态的敌人暴击率额外提高</v>
          </cell>
          <cell r="C235" t="str">
            <v>对处于冻结状态的敌人暴击率额外提高{0}</v>
          </cell>
          <cell r="D235">
            <v>2</v>
          </cell>
          <cell r="E235">
            <v>2</v>
          </cell>
        </row>
        <row r="236">
          <cell r="A236">
            <v>10269</v>
          </cell>
          <cell r="B236" t="str">
            <v>辅助技能-炽烈</v>
          </cell>
          <cell r="C236" t="str">
            <v>辅助技能-炽烈</v>
          </cell>
          <cell r="D236">
            <v>2</v>
          </cell>
          <cell r="E236">
            <v>2</v>
          </cell>
        </row>
        <row r="237">
          <cell r="A237">
            <v>10270</v>
          </cell>
          <cell r="B237" t="str">
            <v>对处于冻结状态的敌人伤害额外提高</v>
          </cell>
          <cell r="C237" t="str">
            <v>对处于冻结状态的敌人伤害额外提高{0}</v>
          </cell>
          <cell r="D237">
            <v>2</v>
          </cell>
          <cell r="E237">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每隔5秒在脚下生成一片火焰地面，造成点燃伤害</v>
          </cell>
          <cell r="C61" t="str">
            <v>每隔5秒在脚下生成一片火焰地面，造成相当于20%攻击力的点燃伤害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row r="68">
          <cell r="A68">
            <v>2150000470</v>
          </cell>
          <cell r="B68" t="str">
            <v>获得满层毁灭注能</v>
          </cell>
          <cell r="C68" t="str">
            <v>拥有满层毁灭注能</v>
          </cell>
          <cell r="D68">
            <v>0</v>
          </cell>
          <cell r="E68">
            <v>0</v>
          </cell>
        </row>
        <row r="69">
          <cell r="A69">
            <v>2150000480</v>
          </cell>
          <cell r="B69" t="str">
            <v>获得满层洞察注能</v>
          </cell>
          <cell r="C69" t="str">
            <v>拥有满层洞察注能</v>
          </cell>
          <cell r="D69">
            <v>0</v>
          </cell>
          <cell r="E69">
            <v>0</v>
          </cell>
        </row>
        <row r="70">
          <cell r="A70">
            <v>2150000490</v>
          </cell>
          <cell r="B70" t="str">
            <v>获得满层穿透注能</v>
          </cell>
          <cell r="C70" t="str">
            <v>拥有满层穿透注能</v>
          </cell>
          <cell r="D70">
            <v>0</v>
          </cell>
          <cell r="E70">
            <v>0</v>
          </cell>
        </row>
        <row r="71">
          <cell r="A71">
            <v>2150000500</v>
          </cell>
          <cell r="B71" t="str">
            <v>获得满层混乱注能</v>
          </cell>
          <cell r="C71" t="str">
            <v>拥有满层混乱注能</v>
          </cell>
          <cell r="D71">
            <v>0</v>
          </cell>
          <cell r="E71">
            <v>0</v>
          </cell>
        </row>
        <row r="72">
          <cell r="A72">
            <v>2150000510</v>
          </cell>
          <cell r="B72" t="str">
            <v>获得满层迅捷注能</v>
          </cell>
          <cell r="C72" t="str">
            <v>拥有满层迅捷注能</v>
          </cell>
          <cell r="D72">
            <v>0</v>
          </cell>
          <cell r="E72">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J6" sqref="J6"/>
    </sheetView>
  </sheetViews>
  <sheetFormatPr defaultColWidth="9" defaultRowHeight="13.5"/>
  <cols>
    <col min="1" max="1" width="10.2666666666667" customWidth="1"/>
    <col min="2" max="2" width="13.9083333333333" customWidth="1"/>
    <col min="3" max="3" width="13.5" style="13" customWidth="1"/>
    <col min="4" max="4" width="13.5" style="35" customWidth="1"/>
    <col min="5" max="5" width="12.375" style="36"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37" t="s">
        <v>2</v>
      </c>
      <c r="D1" s="38" t="s">
        <v>3</v>
      </c>
      <c r="E1" s="39" t="s">
        <v>4</v>
      </c>
      <c r="F1" s="6" t="s">
        <v>5</v>
      </c>
      <c r="G1" s="6" t="s">
        <v>6</v>
      </c>
      <c r="H1" s="5" t="s">
        <v>7</v>
      </c>
      <c r="I1" s="5" t="s">
        <v>8</v>
      </c>
      <c r="J1" s="5" t="s">
        <v>9</v>
      </c>
    </row>
    <row r="2" ht="16.5" spans="1:10">
      <c r="A2" s="7" t="s">
        <v>10</v>
      </c>
      <c r="B2" s="7" t="s">
        <v>11</v>
      </c>
      <c r="C2" s="40" t="s">
        <v>12</v>
      </c>
      <c r="D2" s="38" t="s">
        <v>13</v>
      </c>
      <c r="E2" s="41" t="s">
        <v>14</v>
      </c>
      <c r="F2" s="8" t="s">
        <v>15</v>
      </c>
      <c r="G2" s="8" t="s">
        <v>16</v>
      </c>
      <c r="H2" s="7" t="s">
        <v>17</v>
      </c>
      <c r="I2" s="7" t="s">
        <v>18</v>
      </c>
      <c r="J2" s="7" t="s">
        <v>19</v>
      </c>
    </row>
    <row r="3" ht="16.5" spans="1:10">
      <c r="A3" s="22" t="s">
        <v>20</v>
      </c>
      <c r="B3" s="22" t="s">
        <v>21</v>
      </c>
      <c r="C3" s="42" t="s">
        <v>20</v>
      </c>
      <c r="D3" s="38" t="s">
        <v>20</v>
      </c>
      <c r="E3" s="43" t="s">
        <v>21</v>
      </c>
      <c r="F3" s="9" t="s">
        <v>20</v>
      </c>
      <c r="G3" s="9" t="s">
        <v>20</v>
      </c>
      <c r="H3" s="22" t="s">
        <v>21</v>
      </c>
      <c r="I3" s="9" t="s">
        <v>22</v>
      </c>
      <c r="J3" s="9" t="s">
        <v>23</v>
      </c>
    </row>
    <row r="4" spans="1:10">
      <c r="A4" t="str">
        <f t="shared" ref="A4:A15" si="0">(10+C4)*100&amp;E4</f>
        <v>11001</v>
      </c>
      <c r="B4" t="s">
        <v>24</v>
      </c>
      <c r="C4" s="13">
        <v>1</v>
      </c>
      <c r="D4" s="35">
        <v>0</v>
      </c>
      <c r="E4" s="36">
        <v>1</v>
      </c>
      <c r="F4" s="4">
        <v>110011</v>
      </c>
      <c r="G4" s="4">
        <v>110012</v>
      </c>
      <c r="H4" t="s">
        <v>24</v>
      </c>
      <c r="I4">
        <v>9</v>
      </c>
      <c r="J4" t="s">
        <v>25</v>
      </c>
    </row>
    <row r="5" customFormat="1" spans="1:10">
      <c r="A5" t="str">
        <f t="shared" si="0"/>
        <v>11002</v>
      </c>
      <c r="B5" t="s">
        <v>26</v>
      </c>
      <c r="C5" s="13">
        <v>1</v>
      </c>
      <c r="D5" s="35">
        <v>0</v>
      </c>
      <c r="E5" s="36">
        <v>2</v>
      </c>
      <c r="F5">
        <v>110021</v>
      </c>
      <c r="G5">
        <v>110022</v>
      </c>
      <c r="H5" t="s">
        <v>26</v>
      </c>
      <c r="I5">
        <v>6</v>
      </c>
      <c r="J5" t="s">
        <v>27</v>
      </c>
    </row>
    <row r="6" customFormat="1" spans="1:10">
      <c r="A6" t="str">
        <f t="shared" si="0"/>
        <v>11003</v>
      </c>
      <c r="B6" t="s">
        <v>28</v>
      </c>
      <c r="C6" s="13">
        <v>1</v>
      </c>
      <c r="D6" s="35">
        <v>0</v>
      </c>
      <c r="E6" s="36">
        <v>3</v>
      </c>
      <c r="F6">
        <v>110031</v>
      </c>
      <c r="G6">
        <v>110032</v>
      </c>
      <c r="H6" t="s">
        <v>28</v>
      </c>
      <c r="I6">
        <v>12</v>
      </c>
      <c r="J6" t="s">
        <v>29</v>
      </c>
    </row>
    <row r="7" spans="1:10">
      <c r="A7" t="str">
        <f t="shared" si="0"/>
        <v>12001</v>
      </c>
      <c r="B7" t="s">
        <v>30</v>
      </c>
      <c r="C7" s="13">
        <v>2</v>
      </c>
      <c r="D7" s="35">
        <v>0</v>
      </c>
      <c r="E7" s="36">
        <v>1</v>
      </c>
      <c r="F7">
        <v>120011</v>
      </c>
      <c r="G7">
        <v>120012</v>
      </c>
      <c r="H7" t="s">
        <v>30</v>
      </c>
      <c r="J7" t="s">
        <v>31</v>
      </c>
    </row>
    <row r="8" spans="1:10">
      <c r="A8" t="str">
        <f t="shared" si="0"/>
        <v>13001</v>
      </c>
      <c r="B8" t="s">
        <v>32</v>
      </c>
      <c r="C8" s="13">
        <v>3</v>
      </c>
      <c r="D8" s="35">
        <v>0</v>
      </c>
      <c r="E8" s="36">
        <v>1</v>
      </c>
      <c r="F8">
        <v>130011</v>
      </c>
      <c r="G8">
        <v>130012</v>
      </c>
      <c r="H8" t="s">
        <v>32</v>
      </c>
      <c r="J8">
        <v>1300103</v>
      </c>
    </row>
    <row r="9" spans="1:10">
      <c r="A9" t="str">
        <f t="shared" si="0"/>
        <v>14001</v>
      </c>
      <c r="B9" t="s">
        <v>33</v>
      </c>
      <c r="C9" s="13">
        <v>4</v>
      </c>
      <c r="D9" s="35">
        <v>0</v>
      </c>
      <c r="E9" s="36">
        <v>1</v>
      </c>
      <c r="F9">
        <v>140011</v>
      </c>
      <c r="G9">
        <v>140012</v>
      </c>
      <c r="H9" t="s">
        <v>33</v>
      </c>
      <c r="J9">
        <v>1400101</v>
      </c>
    </row>
    <row r="10" spans="1:10">
      <c r="A10" t="str">
        <f t="shared" si="0"/>
        <v>15001</v>
      </c>
      <c r="B10" t="s">
        <v>34</v>
      </c>
      <c r="C10" s="13">
        <v>5</v>
      </c>
      <c r="D10" s="35">
        <v>0</v>
      </c>
      <c r="E10" s="36">
        <v>1</v>
      </c>
      <c r="F10">
        <v>150011</v>
      </c>
      <c r="G10">
        <v>150012</v>
      </c>
      <c r="H10" t="s">
        <v>34</v>
      </c>
      <c r="J10">
        <v>1400102</v>
      </c>
    </row>
    <row r="11" spans="1:10">
      <c r="A11" t="str">
        <f t="shared" si="0"/>
        <v>16001</v>
      </c>
      <c r="B11" t="s">
        <v>35</v>
      </c>
      <c r="C11" s="13">
        <v>6</v>
      </c>
      <c r="D11" s="35">
        <v>0</v>
      </c>
      <c r="E11" s="36">
        <v>1</v>
      </c>
      <c r="F11">
        <v>160011</v>
      </c>
      <c r="G11">
        <v>160012</v>
      </c>
      <c r="H11" t="s">
        <v>35</v>
      </c>
      <c r="J11">
        <v>1400103</v>
      </c>
    </row>
    <row r="12" spans="1:10">
      <c r="A12" t="str">
        <f t="shared" si="0"/>
        <v>17001</v>
      </c>
      <c r="B12" t="s">
        <v>36</v>
      </c>
      <c r="C12" s="13">
        <v>7</v>
      </c>
      <c r="D12" s="35">
        <v>0</v>
      </c>
      <c r="E12" s="36">
        <v>1</v>
      </c>
      <c r="F12">
        <v>170011</v>
      </c>
      <c r="G12">
        <v>170012</v>
      </c>
      <c r="H12" t="s">
        <v>36</v>
      </c>
      <c r="J12">
        <v>1300103</v>
      </c>
    </row>
    <row r="13" spans="1:10">
      <c r="A13" t="str">
        <f t="shared" si="0"/>
        <v>18001</v>
      </c>
      <c r="B13" t="s">
        <v>37</v>
      </c>
      <c r="C13" s="13">
        <v>8</v>
      </c>
      <c r="D13" s="35">
        <v>0</v>
      </c>
      <c r="E13" s="36">
        <v>1</v>
      </c>
      <c r="F13">
        <v>180011</v>
      </c>
      <c r="G13">
        <v>180012</v>
      </c>
      <c r="H13" t="s">
        <v>37</v>
      </c>
      <c r="J13">
        <v>1400101</v>
      </c>
    </row>
    <row r="14" spans="1:10">
      <c r="A14" t="str">
        <f t="shared" si="0"/>
        <v>19001</v>
      </c>
      <c r="B14" t="s">
        <v>38</v>
      </c>
      <c r="C14" s="13">
        <v>9</v>
      </c>
      <c r="D14" s="35">
        <v>0</v>
      </c>
      <c r="E14" s="36">
        <v>1</v>
      </c>
      <c r="F14">
        <v>190011</v>
      </c>
      <c r="G14">
        <v>190012</v>
      </c>
      <c r="H14" t="s">
        <v>38</v>
      </c>
      <c r="J14">
        <v>1400102</v>
      </c>
    </row>
    <row r="15" spans="1:10">
      <c r="A15" t="str">
        <f t="shared" si="0"/>
        <v>20001</v>
      </c>
      <c r="B15" t="s">
        <v>39</v>
      </c>
      <c r="C15" s="13">
        <v>10</v>
      </c>
      <c r="D15" s="35">
        <v>0</v>
      </c>
      <c r="E15" s="36">
        <v>1</v>
      </c>
      <c r="F15">
        <v>200011</v>
      </c>
      <c r="G15">
        <v>200012</v>
      </c>
      <c r="H15" t="s">
        <v>39</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4"/>
  <sheetViews>
    <sheetView workbookViewId="0">
      <pane xSplit="6" ySplit="3" topLeftCell="G4" activePane="bottomRight" state="frozen"/>
      <selection/>
      <selection pane="topRight"/>
      <selection pane="bottomLeft"/>
      <selection pane="bottomRight" activeCell="G4" sqref="G4:G18"/>
    </sheetView>
  </sheetViews>
  <sheetFormatPr defaultColWidth="9" defaultRowHeight="13.5"/>
  <cols>
    <col min="1" max="1" width="10.2666666666667" customWidth="1"/>
    <col min="2" max="2" width="18"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40</v>
      </c>
      <c r="C1" s="5" t="s">
        <v>41</v>
      </c>
      <c r="D1" s="5" t="s">
        <v>42</v>
      </c>
      <c r="E1" s="5" t="s">
        <v>43</v>
      </c>
      <c r="F1" s="5" t="s">
        <v>44</v>
      </c>
      <c r="G1" s="5" t="s">
        <v>45</v>
      </c>
      <c r="H1" s="6" t="s">
        <v>46</v>
      </c>
      <c r="I1" s="6" t="s">
        <v>47</v>
      </c>
      <c r="J1" s="6" t="s">
        <v>48</v>
      </c>
      <c r="K1" s="5" t="s">
        <v>49</v>
      </c>
    </row>
    <row r="2" ht="16.5" spans="1:11">
      <c r="A2" s="7" t="s">
        <v>10</v>
      </c>
      <c r="B2" s="7" t="s">
        <v>11</v>
      </c>
      <c r="C2" s="7" t="s">
        <v>50</v>
      </c>
      <c r="D2" s="7" t="s">
        <v>14</v>
      </c>
      <c r="E2" s="7" t="s">
        <v>51</v>
      </c>
      <c r="F2" s="7" t="s">
        <v>52</v>
      </c>
      <c r="G2" s="7" t="s">
        <v>53</v>
      </c>
      <c r="H2" s="8" t="s">
        <v>54</v>
      </c>
      <c r="I2" s="8" t="s">
        <v>55</v>
      </c>
      <c r="J2" s="8" t="s">
        <v>56</v>
      </c>
      <c r="K2" s="7" t="s">
        <v>57</v>
      </c>
    </row>
    <row r="3" ht="16.5" spans="1:11">
      <c r="A3" s="22" t="s">
        <v>20</v>
      </c>
      <c r="B3" s="22" t="s">
        <v>21</v>
      </c>
      <c r="C3" s="22" t="s">
        <v>21</v>
      </c>
      <c r="D3" s="22" t="s">
        <v>21</v>
      </c>
      <c r="E3" s="22" t="s">
        <v>21</v>
      </c>
      <c r="F3" s="22" t="s">
        <v>58</v>
      </c>
      <c r="G3" s="22" t="s">
        <v>22</v>
      </c>
      <c r="H3" s="9" t="s">
        <v>20</v>
      </c>
      <c r="I3" s="9" t="s">
        <v>20</v>
      </c>
      <c r="J3" s="9" t="s">
        <v>20</v>
      </c>
      <c r="K3" s="22" t="s">
        <v>21</v>
      </c>
    </row>
    <row r="4" spans="1:11">
      <c r="A4">
        <f t="shared" ref="A4:A44" si="0">H4*100+D4</f>
        <v>1100101</v>
      </c>
      <c r="B4" t="s">
        <v>59</v>
      </c>
      <c r="C4" t="s">
        <v>24</v>
      </c>
      <c r="D4">
        <v>1</v>
      </c>
      <c r="E4" t="str">
        <f t="shared" ref="E4:E44" si="1">B4</f>
        <v>物理法杖</v>
      </c>
      <c r="G4">
        <v>101</v>
      </c>
      <c r="H4" s="4" t="str">
        <f>_xlfn.XLOOKUP(C4,EquipType!B:B,EquipType!A:A)</f>
        <v>11001</v>
      </c>
      <c r="I4" s="4">
        <f>A4</f>
        <v>1100101</v>
      </c>
      <c r="J4">
        <f t="shared" ref="J4:J44" si="2">A4</f>
        <v>1100101</v>
      </c>
    </row>
    <row r="5" customFormat="1" spans="1:11">
      <c r="A5">
        <f t="shared" si="0"/>
        <v>1100102</v>
      </c>
      <c r="B5" t="s">
        <v>60</v>
      </c>
      <c r="C5" t="s">
        <v>24</v>
      </c>
      <c r="D5">
        <v>2</v>
      </c>
      <c r="E5" t="str">
        <f t="shared" si="1"/>
        <v>火焰法杖</v>
      </c>
      <c r="G5">
        <v>108</v>
      </c>
      <c r="H5" s="4" t="str">
        <f>_xlfn.XLOOKUP(C5,EquipType!B:B,EquipType!A:A)</f>
        <v>11001</v>
      </c>
      <c r="I5" s="4">
        <f>I4</f>
        <v>1100101</v>
      </c>
      <c r="J5">
        <f t="shared" si="2"/>
        <v>1100102</v>
      </c>
    </row>
    <row r="6" customFormat="1" spans="1:11">
      <c r="A6">
        <f t="shared" si="0"/>
        <v>1100103</v>
      </c>
      <c r="B6" t="s">
        <v>61</v>
      </c>
      <c r="C6" t="s">
        <v>24</v>
      </c>
      <c r="D6">
        <v>3</v>
      </c>
      <c r="E6" t="str">
        <f t="shared" si="1"/>
        <v>冰霜法杖</v>
      </c>
      <c r="G6">
        <v>109</v>
      </c>
      <c r="H6" s="4" t="str">
        <f>_xlfn.XLOOKUP(C6,EquipType!B:B,EquipType!A:A)</f>
        <v>11001</v>
      </c>
      <c r="I6" s="4">
        <f>I5</f>
        <v>1100101</v>
      </c>
      <c r="J6">
        <f t="shared" si="2"/>
        <v>1100103</v>
      </c>
    </row>
    <row r="7" customFormat="1" spans="1:11">
      <c r="A7">
        <f t="shared" si="0"/>
        <v>1100104</v>
      </c>
      <c r="B7" t="s">
        <v>62</v>
      </c>
      <c r="C7" t="s">
        <v>24</v>
      </c>
      <c r="D7">
        <v>4</v>
      </c>
      <c r="E7" t="str">
        <f t="shared" si="1"/>
        <v>闪电法杖</v>
      </c>
      <c r="G7">
        <v>105</v>
      </c>
      <c r="H7" s="4" t="str">
        <f>_xlfn.XLOOKUP(C7,EquipType!B:B,EquipType!A:A)</f>
        <v>11001</v>
      </c>
      <c r="I7" s="4">
        <f>I6</f>
        <v>1100101</v>
      </c>
      <c r="J7">
        <f t="shared" si="2"/>
        <v>1100104</v>
      </c>
    </row>
    <row r="8" customFormat="1" spans="1:11">
      <c r="A8">
        <f t="shared" si="0"/>
        <v>1100105</v>
      </c>
      <c r="B8" t="s">
        <v>63</v>
      </c>
      <c r="C8" t="s">
        <v>24</v>
      </c>
      <c r="D8">
        <v>5</v>
      </c>
      <c r="E8" t="str">
        <f t="shared" si="1"/>
        <v>混沌法杖</v>
      </c>
      <c r="G8">
        <v>107</v>
      </c>
      <c r="H8" s="4" t="str">
        <f>_xlfn.XLOOKUP(C8,EquipType!B:B,EquipType!A:A)</f>
        <v>11001</v>
      </c>
      <c r="I8" s="4">
        <f>I7</f>
        <v>1100101</v>
      </c>
      <c r="J8">
        <f t="shared" si="2"/>
        <v>1100105</v>
      </c>
    </row>
    <row r="9" customFormat="1" spans="1:11">
      <c r="A9">
        <f t="shared" si="0"/>
        <v>1100201</v>
      </c>
      <c r="B9" t="s">
        <v>64</v>
      </c>
      <c r="C9" t="s">
        <v>26</v>
      </c>
      <c r="D9">
        <v>1</v>
      </c>
      <c r="E9" t="str">
        <f t="shared" si="1"/>
        <v>物理长剑</v>
      </c>
      <c r="G9">
        <v>103</v>
      </c>
      <c r="H9" s="4" t="str">
        <f>_xlfn.XLOOKUP(C9,EquipType!B:B,EquipType!A:A)</f>
        <v>11002</v>
      </c>
      <c r="I9" s="4">
        <f>I6</f>
        <v>1100101</v>
      </c>
      <c r="J9">
        <f t="shared" si="2"/>
        <v>1100201</v>
      </c>
    </row>
    <row r="10" customFormat="1" spans="1:11">
      <c r="A10">
        <f t="shared" si="0"/>
        <v>1100202</v>
      </c>
      <c r="B10" t="s">
        <v>65</v>
      </c>
      <c r="C10" t="s">
        <v>26</v>
      </c>
      <c r="D10">
        <v>2</v>
      </c>
      <c r="E10" t="str">
        <f t="shared" si="1"/>
        <v>火焰长剑</v>
      </c>
      <c r="G10">
        <v>108</v>
      </c>
      <c r="H10" s="4" t="str">
        <f>_xlfn.XLOOKUP(C10,EquipType!B:B,EquipType!A:A)</f>
        <v>11002</v>
      </c>
      <c r="I10" s="4">
        <f>I9</f>
        <v>1100101</v>
      </c>
      <c r="J10">
        <f t="shared" si="2"/>
        <v>1100202</v>
      </c>
    </row>
    <row r="11" customFormat="1" spans="1:11">
      <c r="A11">
        <f t="shared" si="0"/>
        <v>1100203</v>
      </c>
      <c r="B11" t="s">
        <v>66</v>
      </c>
      <c r="C11" t="s">
        <v>26</v>
      </c>
      <c r="D11">
        <v>3</v>
      </c>
      <c r="E11" t="str">
        <f t="shared" si="1"/>
        <v>冰霜长剑</v>
      </c>
      <c r="G11">
        <v>106</v>
      </c>
      <c r="H11" s="4" t="str">
        <f>_xlfn.XLOOKUP(C11,EquipType!B:B,EquipType!A:A)</f>
        <v>11002</v>
      </c>
      <c r="I11" s="4">
        <f>I10</f>
        <v>1100101</v>
      </c>
      <c r="J11">
        <f t="shared" si="2"/>
        <v>1100203</v>
      </c>
    </row>
    <row r="12" customFormat="1" spans="1:11">
      <c r="A12">
        <f t="shared" si="0"/>
        <v>1100204</v>
      </c>
      <c r="B12" t="s">
        <v>67</v>
      </c>
      <c r="C12" t="s">
        <v>26</v>
      </c>
      <c r="D12">
        <v>4</v>
      </c>
      <c r="E12" t="str">
        <f t="shared" si="1"/>
        <v>闪电长剑</v>
      </c>
      <c r="G12">
        <v>105</v>
      </c>
      <c r="H12" s="4" t="str">
        <f>_xlfn.XLOOKUP(C12,EquipType!B:B,EquipType!A:A)</f>
        <v>11002</v>
      </c>
      <c r="I12" s="4">
        <f>I11</f>
        <v>1100101</v>
      </c>
      <c r="J12">
        <f t="shared" si="2"/>
        <v>1100204</v>
      </c>
    </row>
    <row r="13" customFormat="1" spans="1:11">
      <c r="A13">
        <f t="shared" si="0"/>
        <v>1100205</v>
      </c>
      <c r="B13" t="s">
        <v>68</v>
      </c>
      <c r="C13" t="s">
        <v>26</v>
      </c>
      <c r="D13">
        <v>5</v>
      </c>
      <c r="E13" t="str">
        <f t="shared" si="1"/>
        <v>混沌长剑</v>
      </c>
      <c r="G13">
        <v>107</v>
      </c>
      <c r="H13" s="4" t="str">
        <f>_xlfn.XLOOKUP(C13,EquipType!B:B,EquipType!A:A)</f>
        <v>11002</v>
      </c>
      <c r="I13" s="4">
        <f>I12</f>
        <v>1100101</v>
      </c>
      <c r="J13">
        <f t="shared" si="2"/>
        <v>1100205</v>
      </c>
    </row>
    <row r="14" customFormat="1" spans="1:11">
      <c r="A14">
        <f t="shared" si="0"/>
        <v>1100301</v>
      </c>
      <c r="B14" t="s">
        <v>69</v>
      </c>
      <c r="C14" t="s">
        <v>28</v>
      </c>
      <c r="D14">
        <v>1</v>
      </c>
      <c r="E14" t="str">
        <f t="shared" si="1"/>
        <v>物理魔典</v>
      </c>
      <c r="G14">
        <v>101</v>
      </c>
      <c r="H14" s="4" t="str">
        <f>_xlfn.XLOOKUP(C14,EquipType!B:B,EquipType!A:A)</f>
        <v>11003</v>
      </c>
      <c r="I14" s="4">
        <f>I11</f>
        <v>1100101</v>
      </c>
      <c r="J14">
        <f t="shared" si="2"/>
        <v>1100301</v>
      </c>
    </row>
    <row r="15" customFormat="1" spans="1:11">
      <c r="A15">
        <f t="shared" si="0"/>
        <v>1100302</v>
      </c>
      <c r="B15" t="s">
        <v>70</v>
      </c>
      <c r="C15" t="s">
        <v>28</v>
      </c>
      <c r="D15">
        <v>2</v>
      </c>
      <c r="E15" t="str">
        <f t="shared" si="1"/>
        <v>火焰魔典</v>
      </c>
      <c r="G15">
        <v>108</v>
      </c>
      <c r="H15" s="4" t="str">
        <f>_xlfn.XLOOKUP(C15,EquipType!B:B,EquipType!A:A)</f>
        <v>11003</v>
      </c>
      <c r="I15" s="4">
        <f>I14</f>
        <v>1100101</v>
      </c>
      <c r="J15">
        <f t="shared" si="2"/>
        <v>1100302</v>
      </c>
    </row>
    <row r="16" customFormat="1" spans="1:11">
      <c r="A16">
        <f t="shared" si="0"/>
        <v>1100303</v>
      </c>
      <c r="B16" t="s">
        <v>71</v>
      </c>
      <c r="C16" t="s">
        <v>28</v>
      </c>
      <c r="D16">
        <v>3</v>
      </c>
      <c r="E16" t="str">
        <f t="shared" si="1"/>
        <v>冰霜魔典</v>
      </c>
      <c r="G16">
        <v>107</v>
      </c>
      <c r="H16" s="4" t="str">
        <f>_xlfn.XLOOKUP(C16,EquipType!B:B,EquipType!A:A)</f>
        <v>11003</v>
      </c>
      <c r="I16" s="4">
        <f>I15</f>
        <v>1100101</v>
      </c>
      <c r="J16">
        <f t="shared" si="2"/>
        <v>1100303</v>
      </c>
    </row>
    <row r="17" customFormat="1" spans="1:11">
      <c r="A17">
        <f t="shared" si="0"/>
        <v>1100304</v>
      </c>
      <c r="B17" t="s">
        <v>72</v>
      </c>
      <c r="C17" t="s">
        <v>28</v>
      </c>
      <c r="D17">
        <v>4</v>
      </c>
      <c r="E17" t="str">
        <f t="shared" si="1"/>
        <v>闪电魔典</v>
      </c>
      <c r="G17">
        <v>110</v>
      </c>
      <c r="H17" s="4" t="str">
        <f>_xlfn.XLOOKUP(C17,EquipType!B:B,EquipType!A:A)</f>
        <v>11003</v>
      </c>
      <c r="I17" s="4">
        <f>I16</f>
        <v>1100101</v>
      </c>
      <c r="J17">
        <f t="shared" si="2"/>
        <v>1100304</v>
      </c>
    </row>
    <row r="18" customFormat="1" spans="1:11">
      <c r="A18">
        <f t="shared" si="0"/>
        <v>1100305</v>
      </c>
      <c r="B18" t="s">
        <v>73</v>
      </c>
      <c r="C18" t="s">
        <v>28</v>
      </c>
      <c r="D18">
        <v>5</v>
      </c>
      <c r="E18" t="str">
        <f t="shared" si="1"/>
        <v>混沌魔典</v>
      </c>
      <c r="G18">
        <v>105</v>
      </c>
      <c r="H18" s="4" t="str">
        <f>_xlfn.XLOOKUP(C18,EquipType!B:B,EquipType!A:A)</f>
        <v>11003</v>
      </c>
      <c r="I18" s="4">
        <f>I17</f>
        <v>1100101</v>
      </c>
      <c r="J18">
        <f t="shared" si="2"/>
        <v>1100305</v>
      </c>
    </row>
    <row r="19" customFormat="1" spans="1:11">
      <c r="A19">
        <f t="shared" si="0"/>
        <v>1200101</v>
      </c>
      <c r="B19" t="s">
        <v>74</v>
      </c>
      <c r="C19" t="s">
        <v>30</v>
      </c>
      <c r="D19">
        <v>1</v>
      </c>
      <c r="E19" t="str">
        <f t="shared" si="1"/>
        <v>铸铁头盔</v>
      </c>
      <c r="F19" t="s">
        <v>75</v>
      </c>
      <c r="H19" s="4" t="str">
        <f>_xlfn.XLOOKUP(C19,EquipType!B:B,EquipType!A:A)</f>
        <v>12001</v>
      </c>
      <c r="I19" s="4">
        <f>A19</f>
        <v>1200101</v>
      </c>
      <c r="J19">
        <f t="shared" si="2"/>
        <v>1200101</v>
      </c>
      <c r="K19" t="s">
        <v>76</v>
      </c>
    </row>
    <row r="20" customFormat="1" spans="1:11">
      <c r="A20">
        <f t="shared" si="0"/>
        <v>1200102</v>
      </c>
      <c r="B20" t="s">
        <v>77</v>
      </c>
      <c r="C20" t="s">
        <v>30</v>
      </c>
      <c r="D20">
        <v>2</v>
      </c>
      <c r="E20" t="str">
        <f t="shared" si="1"/>
        <v>银制头盔</v>
      </c>
      <c r="F20" t="s">
        <v>75</v>
      </c>
      <c r="H20" s="4" t="str">
        <f>_xlfn.XLOOKUP(C20,EquipType!B:B,EquipType!A:A)</f>
        <v>12001</v>
      </c>
      <c r="I20" s="4">
        <f>I19</f>
        <v>1200101</v>
      </c>
      <c r="J20">
        <f t="shared" si="2"/>
        <v>1200102</v>
      </c>
      <c r="K20" t="s">
        <v>78</v>
      </c>
    </row>
    <row r="21" customFormat="1" spans="1:11">
      <c r="A21">
        <f t="shared" si="0"/>
        <v>1300101</v>
      </c>
      <c r="B21" t="s">
        <v>79</v>
      </c>
      <c r="C21" t="s">
        <v>32</v>
      </c>
      <c r="D21">
        <v>1</v>
      </c>
      <c r="E21" t="str">
        <f t="shared" si="1"/>
        <v>铸铁胸甲</v>
      </c>
      <c r="F21" t="s">
        <v>75</v>
      </c>
      <c r="H21" s="4" t="str">
        <f>_xlfn.XLOOKUP(C21,EquipType!B:B,EquipType!A:A)</f>
        <v>13001</v>
      </c>
      <c r="I21" s="4">
        <f>A21</f>
        <v>1300101</v>
      </c>
      <c r="J21">
        <f t="shared" si="2"/>
        <v>1300101</v>
      </c>
      <c r="K21" t="s">
        <v>80</v>
      </c>
    </row>
    <row r="22" customFormat="1" spans="1:11">
      <c r="A22">
        <f t="shared" si="0"/>
        <v>1300102</v>
      </c>
      <c r="B22" t="s">
        <v>81</v>
      </c>
      <c r="C22" t="s">
        <v>32</v>
      </c>
      <c r="D22">
        <v>2</v>
      </c>
      <c r="E22" t="str">
        <f t="shared" si="1"/>
        <v>皮制胸甲</v>
      </c>
      <c r="F22" t="s">
        <v>75</v>
      </c>
      <c r="H22" s="4" t="str">
        <f>_xlfn.XLOOKUP(C22,EquipType!B:B,EquipType!A:A)</f>
        <v>13001</v>
      </c>
      <c r="I22" s="4">
        <f>I21</f>
        <v>1300101</v>
      </c>
      <c r="J22">
        <f t="shared" si="2"/>
        <v>1300102</v>
      </c>
      <c r="K22" t="s">
        <v>82</v>
      </c>
    </row>
    <row r="23" customFormat="1" spans="1:11">
      <c r="A23">
        <f t="shared" si="0"/>
        <v>1300103</v>
      </c>
      <c r="B23" t="s">
        <v>83</v>
      </c>
      <c r="C23" t="s">
        <v>32</v>
      </c>
      <c r="D23">
        <v>3</v>
      </c>
      <c r="E23" t="str">
        <f t="shared" si="1"/>
        <v>铁锁胸甲</v>
      </c>
      <c r="F23" t="s">
        <v>75</v>
      </c>
      <c r="H23" s="4" t="str">
        <f>_xlfn.XLOOKUP(C23,EquipType!B:B,EquipType!A:A)</f>
        <v>13001</v>
      </c>
      <c r="I23" s="4">
        <f>I22</f>
        <v>1300101</v>
      </c>
      <c r="J23">
        <f t="shared" si="2"/>
        <v>1300103</v>
      </c>
      <c r="K23" t="s">
        <v>84</v>
      </c>
    </row>
    <row r="24" spans="1:11">
      <c r="A24">
        <f t="shared" si="0"/>
        <v>1400101</v>
      </c>
      <c r="B24" t="s">
        <v>85</v>
      </c>
      <c r="C24" t="s">
        <v>33</v>
      </c>
      <c r="D24">
        <v>1</v>
      </c>
      <c r="E24" t="str">
        <f t="shared" si="1"/>
        <v>铸铁腿甲</v>
      </c>
      <c r="H24" s="4" t="str">
        <f>_xlfn.XLOOKUP(C24,EquipType!B:B,EquipType!A:A)</f>
        <v>14001</v>
      </c>
      <c r="I24" s="4">
        <f>A24</f>
        <v>1400101</v>
      </c>
      <c r="J24">
        <f t="shared" si="2"/>
        <v>1400101</v>
      </c>
      <c r="K24" t="s">
        <v>86</v>
      </c>
    </row>
    <row r="25" customFormat="1" spans="1:11">
      <c r="A25">
        <f t="shared" si="0"/>
        <v>1400102</v>
      </c>
      <c r="B25" t="s">
        <v>87</v>
      </c>
      <c r="C25" t="s">
        <v>33</v>
      </c>
      <c r="D25">
        <v>2</v>
      </c>
      <c r="E25" t="str">
        <f t="shared" si="1"/>
        <v>钢制腿甲</v>
      </c>
      <c r="H25" s="4" t="str">
        <f>_xlfn.XLOOKUP(C25,EquipType!B:B,EquipType!A:A)</f>
        <v>14001</v>
      </c>
      <c r="I25" s="4">
        <f>I24</f>
        <v>1400101</v>
      </c>
      <c r="J25">
        <f t="shared" si="2"/>
        <v>1400102</v>
      </c>
      <c r="K25" t="s">
        <v>88</v>
      </c>
    </row>
    <row r="26" spans="1:11">
      <c r="A26">
        <f t="shared" si="0"/>
        <v>1500101</v>
      </c>
      <c r="B26" t="s">
        <v>89</v>
      </c>
      <c r="C26" t="s">
        <v>34</v>
      </c>
      <c r="D26">
        <v>1</v>
      </c>
      <c r="E26" t="str">
        <f t="shared" si="1"/>
        <v>铸铁靴</v>
      </c>
      <c r="F26" t="s">
        <v>75</v>
      </c>
      <c r="H26" s="4" t="str">
        <f>_xlfn.XLOOKUP(C26,EquipType!B:B,EquipType!A:A)</f>
        <v>15001</v>
      </c>
      <c r="I26" s="4">
        <f>A26</f>
        <v>1500101</v>
      </c>
      <c r="J26">
        <f t="shared" si="2"/>
        <v>1500101</v>
      </c>
      <c r="K26" t="s">
        <v>90</v>
      </c>
    </row>
    <row r="27" customFormat="1" spans="1:11">
      <c r="A27">
        <f t="shared" si="0"/>
        <v>1500102</v>
      </c>
      <c r="B27" t="s">
        <v>91</v>
      </c>
      <c r="C27" t="s">
        <v>34</v>
      </c>
      <c r="D27">
        <v>2</v>
      </c>
      <c r="E27" t="str">
        <f t="shared" si="1"/>
        <v>鞣制靴</v>
      </c>
      <c r="F27" t="s">
        <v>75</v>
      </c>
      <c r="H27" s="4" t="str">
        <f>_xlfn.XLOOKUP(C27,EquipType!B:B,EquipType!A:A)</f>
        <v>15001</v>
      </c>
      <c r="I27" s="4">
        <f>I26</f>
        <v>1500101</v>
      </c>
      <c r="J27">
        <f t="shared" si="2"/>
        <v>1500102</v>
      </c>
      <c r="K27" t="s">
        <v>92</v>
      </c>
    </row>
    <row r="28" customFormat="1" spans="1:11">
      <c r="A28">
        <f t="shared" si="0"/>
        <v>1500103</v>
      </c>
      <c r="B28" t="s">
        <v>93</v>
      </c>
      <c r="C28" t="s">
        <v>34</v>
      </c>
      <c r="D28">
        <v>3</v>
      </c>
      <c r="E28" t="str">
        <f t="shared" si="1"/>
        <v>符文靴</v>
      </c>
      <c r="F28" t="s">
        <v>75</v>
      </c>
      <c r="H28" s="4" t="str">
        <f>_xlfn.XLOOKUP(C28,EquipType!B:B,EquipType!A:A)</f>
        <v>15001</v>
      </c>
      <c r="I28" s="4">
        <f>I27</f>
        <v>1500101</v>
      </c>
      <c r="J28">
        <f t="shared" si="2"/>
        <v>1500103</v>
      </c>
      <c r="K28" t="s">
        <v>94</v>
      </c>
    </row>
    <row r="29" spans="1:11">
      <c r="A29">
        <f t="shared" si="0"/>
        <v>1600101</v>
      </c>
      <c r="B29" t="s">
        <v>95</v>
      </c>
      <c r="C29" t="s">
        <v>35</v>
      </c>
      <c r="D29">
        <v>1</v>
      </c>
      <c r="E29" t="str">
        <f t="shared" si="1"/>
        <v>铸铁护手</v>
      </c>
      <c r="F29" t="s">
        <v>75</v>
      </c>
      <c r="H29" s="4" t="str">
        <f>_xlfn.XLOOKUP(C29,EquipType!B:B,EquipType!A:A)</f>
        <v>16001</v>
      </c>
      <c r="I29" s="4">
        <f>A29</f>
        <v>1600101</v>
      </c>
      <c r="J29">
        <f t="shared" si="2"/>
        <v>1600101</v>
      </c>
      <c r="K29" t="s">
        <v>96</v>
      </c>
    </row>
    <row r="30" customFormat="1" spans="1:11">
      <c r="A30">
        <f t="shared" si="0"/>
        <v>1600102</v>
      </c>
      <c r="B30" t="s">
        <v>97</v>
      </c>
      <c r="C30" t="s">
        <v>35</v>
      </c>
      <c r="D30">
        <v>2</v>
      </c>
      <c r="E30" t="str">
        <f t="shared" si="1"/>
        <v>皮制护手</v>
      </c>
      <c r="F30" t="s">
        <v>75</v>
      </c>
      <c r="H30" s="4" t="str">
        <f>_xlfn.XLOOKUP(C30,EquipType!B:B,EquipType!A:A)</f>
        <v>16001</v>
      </c>
      <c r="I30" s="4">
        <f>I29</f>
        <v>1600101</v>
      </c>
      <c r="J30">
        <f t="shared" si="2"/>
        <v>1600102</v>
      </c>
      <c r="K30" t="s">
        <v>98</v>
      </c>
    </row>
    <row r="31" customFormat="1" spans="1:11">
      <c r="A31">
        <f t="shared" si="0"/>
        <v>1600103</v>
      </c>
      <c r="B31" t="s">
        <v>99</v>
      </c>
      <c r="C31" t="s">
        <v>35</v>
      </c>
      <c r="D31">
        <v>3</v>
      </c>
      <c r="E31" t="str">
        <f t="shared" si="1"/>
        <v>轻质护手</v>
      </c>
      <c r="F31" t="s">
        <v>100</v>
      </c>
      <c r="H31" s="4" t="str">
        <f>_xlfn.XLOOKUP(C31,EquipType!B:B,EquipType!A:A)</f>
        <v>16001</v>
      </c>
      <c r="I31" s="4">
        <f>I30</f>
        <v>1600101</v>
      </c>
      <c r="J31">
        <f t="shared" si="2"/>
        <v>1600103</v>
      </c>
      <c r="K31" t="s">
        <v>101</v>
      </c>
    </row>
    <row r="32" spans="1:11">
      <c r="A32">
        <f t="shared" si="0"/>
        <v>1700101</v>
      </c>
      <c r="B32" t="s">
        <v>102</v>
      </c>
      <c r="C32" t="s">
        <v>36</v>
      </c>
      <c r="D32">
        <v>1</v>
      </c>
      <c r="E32" t="str">
        <f t="shared" si="1"/>
        <v>精铁礼花</v>
      </c>
      <c r="H32" s="4" t="str">
        <f>_xlfn.XLOOKUP(C32,EquipType!B:B,EquipType!A:A)</f>
        <v>17001</v>
      </c>
      <c r="I32" s="4">
        <f>A32</f>
        <v>1700101</v>
      </c>
      <c r="J32">
        <f t="shared" si="2"/>
        <v>1700101</v>
      </c>
      <c r="K32" t="s">
        <v>103</v>
      </c>
    </row>
    <row r="33" customFormat="1" spans="1:11">
      <c r="A33">
        <f t="shared" si="0"/>
        <v>1700102</v>
      </c>
      <c r="B33" t="s">
        <v>104</v>
      </c>
      <c r="C33" t="s">
        <v>36</v>
      </c>
      <c r="D33">
        <v>2</v>
      </c>
      <c r="E33" t="str">
        <f t="shared" si="1"/>
        <v>宝石礼花</v>
      </c>
      <c r="H33" s="4" t="str">
        <f>_xlfn.XLOOKUP(C33,EquipType!B:B,EquipType!A:A)</f>
        <v>17001</v>
      </c>
      <c r="I33" s="4">
        <f>I32</f>
        <v>1700101</v>
      </c>
      <c r="J33">
        <f t="shared" si="2"/>
        <v>1700102</v>
      </c>
      <c r="K33" t="s">
        <v>105</v>
      </c>
    </row>
    <row r="34" customFormat="1" spans="1:11">
      <c r="A34">
        <f t="shared" si="0"/>
        <v>1700103</v>
      </c>
      <c r="B34" t="s">
        <v>106</v>
      </c>
      <c r="C34" t="s">
        <v>36</v>
      </c>
      <c r="D34">
        <v>3</v>
      </c>
      <c r="E34" t="str">
        <f t="shared" si="1"/>
        <v>鹅绒礼花</v>
      </c>
      <c r="H34" s="4" t="str">
        <f>_xlfn.XLOOKUP(C34,EquipType!B:B,EquipType!A:A)</f>
        <v>17001</v>
      </c>
      <c r="I34" s="4">
        <f>I33</f>
        <v>1700101</v>
      </c>
      <c r="J34">
        <f t="shared" si="2"/>
        <v>1700103</v>
      </c>
      <c r="K34" t="s">
        <v>107</v>
      </c>
    </row>
    <row r="35" customFormat="1" spans="1:11">
      <c r="A35">
        <f t="shared" si="0"/>
        <v>1700104</v>
      </c>
      <c r="B35" t="s">
        <v>108</v>
      </c>
      <c r="C35" t="s">
        <v>36</v>
      </c>
      <c r="D35">
        <v>4</v>
      </c>
      <c r="E35" t="str">
        <f t="shared" si="1"/>
        <v>华丽礼花</v>
      </c>
      <c r="H35" s="4" t="str">
        <f>_xlfn.XLOOKUP(C35,EquipType!B:B,EquipType!A:A)</f>
        <v>17001</v>
      </c>
      <c r="I35" s="4">
        <f>I34</f>
        <v>1700101</v>
      </c>
      <c r="J35">
        <f t="shared" si="2"/>
        <v>1700104</v>
      </c>
      <c r="K35" t="s">
        <v>109</v>
      </c>
    </row>
    <row r="36" spans="1:11">
      <c r="A36">
        <f t="shared" si="0"/>
        <v>1800101</v>
      </c>
      <c r="B36" t="s">
        <v>110</v>
      </c>
      <c r="C36" t="s">
        <v>37</v>
      </c>
      <c r="D36">
        <v>1</v>
      </c>
      <c r="E36" t="str">
        <f t="shared" si="1"/>
        <v>精铁耳环</v>
      </c>
      <c r="H36" s="4" t="str">
        <f>_xlfn.XLOOKUP(C36,EquipType!B:B,EquipType!A:A)</f>
        <v>18001</v>
      </c>
      <c r="I36" s="4">
        <f>A36</f>
        <v>1800101</v>
      </c>
      <c r="J36">
        <f t="shared" si="2"/>
        <v>1800101</v>
      </c>
      <c r="K36" t="s">
        <v>111</v>
      </c>
    </row>
    <row r="37" spans="1:11">
      <c r="A37">
        <f t="shared" si="0"/>
        <v>1800102</v>
      </c>
      <c r="B37" t="s">
        <v>112</v>
      </c>
      <c r="C37" t="s">
        <v>37</v>
      </c>
      <c r="D37">
        <v>2</v>
      </c>
      <c r="E37" t="str">
        <f t="shared" si="1"/>
        <v>宝石耳环</v>
      </c>
      <c r="H37" s="4" t="str">
        <f>_xlfn.XLOOKUP(C37,EquipType!B:B,EquipType!A:A)</f>
        <v>18001</v>
      </c>
      <c r="I37" s="4">
        <f>I36</f>
        <v>1800101</v>
      </c>
      <c r="J37">
        <f t="shared" si="2"/>
        <v>1800102</v>
      </c>
      <c r="K37" t="s">
        <v>113</v>
      </c>
    </row>
    <row r="38" customFormat="1" spans="1:11">
      <c r="A38">
        <f t="shared" si="0"/>
        <v>1800103</v>
      </c>
      <c r="B38" t="s">
        <v>114</v>
      </c>
      <c r="C38" t="s">
        <v>37</v>
      </c>
      <c r="D38">
        <v>3</v>
      </c>
      <c r="E38" t="str">
        <f t="shared" si="1"/>
        <v>珠光耳环</v>
      </c>
      <c r="H38" s="4" t="str">
        <f>_xlfn.XLOOKUP(C38,EquipType!B:B,EquipType!A:A)</f>
        <v>18001</v>
      </c>
      <c r="I38" s="4">
        <f>I37</f>
        <v>1800101</v>
      </c>
      <c r="J38">
        <f t="shared" si="2"/>
        <v>1800103</v>
      </c>
      <c r="K38" t="s">
        <v>115</v>
      </c>
    </row>
    <row r="39" spans="1:11">
      <c r="A39">
        <f t="shared" si="0"/>
        <v>1900101</v>
      </c>
      <c r="B39" t="s">
        <v>116</v>
      </c>
      <c r="C39" t="s">
        <v>38</v>
      </c>
      <c r="D39">
        <v>1</v>
      </c>
      <c r="E39" t="str">
        <f t="shared" si="1"/>
        <v>精铁项链</v>
      </c>
      <c r="H39" s="4" t="str">
        <f>_xlfn.XLOOKUP(C39,EquipType!B:B,EquipType!A:A)</f>
        <v>19001</v>
      </c>
      <c r="I39" s="4">
        <f>A39</f>
        <v>1900101</v>
      </c>
      <c r="J39">
        <f t="shared" si="2"/>
        <v>1900101</v>
      </c>
      <c r="K39" t="s">
        <v>117</v>
      </c>
    </row>
    <row r="40" customFormat="1" spans="1:11">
      <c r="A40">
        <f t="shared" si="0"/>
        <v>1900102</v>
      </c>
      <c r="B40" t="s">
        <v>118</v>
      </c>
      <c r="C40" t="s">
        <v>38</v>
      </c>
      <c r="D40">
        <v>2</v>
      </c>
      <c r="E40" t="str">
        <f t="shared" si="1"/>
        <v>宝石项链</v>
      </c>
      <c r="H40" s="4" t="str">
        <f>_xlfn.XLOOKUP(C40,EquipType!B:B,EquipType!A:A)</f>
        <v>19001</v>
      </c>
      <c r="I40" s="4">
        <f>I39</f>
        <v>1900101</v>
      </c>
      <c r="J40">
        <f t="shared" si="2"/>
        <v>1900102</v>
      </c>
      <c r="K40" t="s">
        <v>119</v>
      </c>
    </row>
    <row r="41" customFormat="1" spans="1:11">
      <c r="A41">
        <f t="shared" si="0"/>
        <v>1900103</v>
      </c>
      <c r="B41" t="s">
        <v>120</v>
      </c>
      <c r="C41" t="s">
        <v>38</v>
      </c>
      <c r="D41">
        <v>3</v>
      </c>
      <c r="E41" t="str">
        <f t="shared" si="1"/>
        <v>翡翠项链</v>
      </c>
      <c r="H41" s="4" t="str">
        <f>_xlfn.XLOOKUP(C41,EquipType!B:B,EquipType!A:A)</f>
        <v>19001</v>
      </c>
      <c r="I41" s="4">
        <f>I40</f>
        <v>1900101</v>
      </c>
      <c r="J41">
        <f t="shared" si="2"/>
        <v>1900103</v>
      </c>
      <c r="K41" t="s">
        <v>121</v>
      </c>
    </row>
    <row r="42" spans="1:11">
      <c r="A42">
        <f t="shared" si="0"/>
        <v>2000101</v>
      </c>
      <c r="B42" t="s">
        <v>122</v>
      </c>
      <c r="C42" t="s">
        <v>39</v>
      </c>
      <c r="D42">
        <v>1</v>
      </c>
      <c r="E42" t="str">
        <f t="shared" si="1"/>
        <v>精铁戒指</v>
      </c>
      <c r="H42" s="4" t="str">
        <f>_xlfn.XLOOKUP(C42,EquipType!B:B,EquipType!A:A)</f>
        <v>20001</v>
      </c>
      <c r="I42" s="4">
        <f>A42</f>
        <v>2000101</v>
      </c>
      <c r="J42">
        <f t="shared" si="2"/>
        <v>2000101</v>
      </c>
      <c r="K42" t="s">
        <v>123</v>
      </c>
    </row>
    <row r="43" customFormat="1" spans="1:11">
      <c r="A43">
        <f t="shared" si="0"/>
        <v>2000102</v>
      </c>
      <c r="B43" t="s">
        <v>124</v>
      </c>
      <c r="C43" t="s">
        <v>39</v>
      </c>
      <c r="D43">
        <v>2</v>
      </c>
      <c r="E43" t="str">
        <f t="shared" si="1"/>
        <v>护法戒指</v>
      </c>
      <c r="H43" s="4" t="str">
        <f>_xlfn.XLOOKUP(C43,EquipType!B:B,EquipType!A:A)</f>
        <v>20001</v>
      </c>
      <c r="I43" s="4">
        <f>I42</f>
        <v>2000101</v>
      </c>
      <c r="J43">
        <f t="shared" si="2"/>
        <v>2000102</v>
      </c>
      <c r="K43" t="s">
        <v>125</v>
      </c>
    </row>
    <row r="44" customFormat="1" spans="1:11">
      <c r="A44">
        <f t="shared" si="0"/>
        <v>2000103</v>
      </c>
      <c r="B44" t="s">
        <v>126</v>
      </c>
      <c r="C44" t="s">
        <v>39</v>
      </c>
      <c r="D44">
        <v>3</v>
      </c>
      <c r="E44" t="str">
        <f t="shared" si="1"/>
        <v>翡翠戒指</v>
      </c>
      <c r="H44" s="4" t="str">
        <f>_xlfn.XLOOKUP(C44,EquipType!B:B,EquipType!A:A)</f>
        <v>20001</v>
      </c>
      <c r="I44" s="4">
        <f>I43</f>
        <v>2000101</v>
      </c>
      <c r="J44">
        <f t="shared" si="2"/>
        <v>2000103</v>
      </c>
      <c r="K44" t="s">
        <v>127</v>
      </c>
    </row>
  </sheetData>
  <conditionalFormatting sqref="A1">
    <cfRule type="duplicateValues" dxfId="0" priority="42"/>
  </conditionalFormatting>
  <conditionalFormatting sqref="A6">
    <cfRule type="duplicateValues" dxfId="0" priority="29"/>
  </conditionalFormatting>
  <conditionalFormatting sqref="A7">
    <cfRule type="duplicateValues" dxfId="0" priority="6"/>
  </conditionalFormatting>
  <conditionalFormatting sqref="A8">
    <cfRule type="duplicateValues" dxfId="0" priority="5"/>
  </conditionalFormatting>
  <conditionalFormatting sqref="A10">
    <cfRule type="duplicateValues" dxfId="0" priority="31"/>
  </conditionalFormatting>
  <conditionalFormatting sqref="A11">
    <cfRule type="duplicateValues" dxfId="0" priority="25"/>
  </conditionalFormatting>
  <conditionalFormatting sqref="A12">
    <cfRule type="duplicateValues" dxfId="0" priority="4"/>
  </conditionalFormatting>
  <conditionalFormatting sqref="A13">
    <cfRule type="duplicateValues" dxfId="0" priority="3"/>
  </conditionalFormatting>
  <conditionalFormatting sqref="A14">
    <cfRule type="duplicateValues" dxfId="0" priority="27"/>
  </conditionalFormatting>
  <conditionalFormatting sqref="A15">
    <cfRule type="duplicateValues" dxfId="0" priority="26"/>
  </conditionalFormatting>
  <conditionalFormatting sqref="A16">
    <cfRule type="duplicateValues" dxfId="0" priority="24"/>
  </conditionalFormatting>
  <conditionalFormatting sqref="A17">
    <cfRule type="duplicateValues" dxfId="0" priority="2"/>
  </conditionalFormatting>
  <conditionalFormatting sqref="A18">
    <cfRule type="duplicateValues" dxfId="0" priority="1"/>
  </conditionalFormatting>
  <conditionalFormatting sqref="A20">
    <cfRule type="duplicateValues" dxfId="0" priority="30"/>
  </conditionalFormatting>
  <conditionalFormatting sqref="A22">
    <cfRule type="duplicateValues" dxfId="0" priority="22"/>
  </conditionalFormatting>
  <conditionalFormatting sqref="A23">
    <cfRule type="duplicateValues" dxfId="0" priority="21"/>
  </conditionalFormatting>
  <conditionalFormatting sqref="A25">
    <cfRule type="duplicateValues" dxfId="0" priority="20"/>
  </conditionalFormatting>
  <conditionalFormatting sqref="A27">
    <cfRule type="duplicateValues" dxfId="0" priority="18"/>
  </conditionalFormatting>
  <conditionalFormatting sqref="A28">
    <cfRule type="duplicateValues" dxfId="0" priority="17"/>
  </conditionalFormatting>
  <conditionalFormatting sqref="A30">
    <cfRule type="duplicateValues" dxfId="0" priority="36"/>
  </conditionalFormatting>
  <conditionalFormatting sqref="A31">
    <cfRule type="duplicateValues" dxfId="0" priority="34"/>
  </conditionalFormatting>
  <conditionalFormatting sqref="A33">
    <cfRule type="duplicateValues" dxfId="0" priority="16"/>
  </conditionalFormatting>
  <conditionalFormatting sqref="A34">
    <cfRule type="duplicateValues" dxfId="0" priority="15"/>
  </conditionalFormatting>
  <conditionalFormatting sqref="A35">
    <cfRule type="duplicateValues" dxfId="0" priority="14"/>
  </conditionalFormatting>
  <conditionalFormatting sqref="A38">
    <cfRule type="duplicateValues" dxfId="0" priority="12"/>
  </conditionalFormatting>
  <conditionalFormatting sqref="A40">
    <cfRule type="duplicateValues" dxfId="0" priority="35"/>
  </conditionalFormatting>
  <conditionalFormatting sqref="A41">
    <cfRule type="duplicateValues" dxfId="0" priority="10"/>
  </conditionalFormatting>
  <conditionalFormatting sqref="A43">
    <cfRule type="duplicateValues" dxfId="0" priority="9"/>
  </conditionalFormatting>
  <conditionalFormatting sqref="A44">
    <cfRule type="duplicateValues" dxfId="0" priority="8"/>
  </conditionalFormatting>
  <conditionalFormatting sqref="A1:A5 A9 A19 A21 A24 A26 A29 A32 A36:A37 A39 A42 A45:A1048576">
    <cfRule type="duplicateValues" dxfId="0" priority="41"/>
  </conditionalFormatting>
  <conditionalFormatting sqref="A2:A3 A45:A1048576">
    <cfRule type="duplicateValues" dxfId="0" priority="43"/>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30"/>
  <sheetViews>
    <sheetView workbookViewId="0">
      <pane xSplit="6" ySplit="3" topLeftCell="G4" activePane="bottomRight" state="frozen"/>
      <selection/>
      <selection pane="topRight"/>
      <selection pane="bottomLeft"/>
      <selection pane="bottomRight" activeCell="L22" sqref="L22"/>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0" width="51.25" style="4" customWidth="1"/>
    <col min="11" max="11" width="8.25" customWidth="1"/>
    <col min="12" max="12" width="10.625" customWidth="1"/>
  </cols>
  <sheetData>
    <row r="1" ht="16.5" spans="1:13">
      <c r="A1" s="5" t="s">
        <v>0</v>
      </c>
      <c r="B1" s="5" t="s">
        <v>128</v>
      </c>
      <c r="C1" s="5" t="s">
        <v>129</v>
      </c>
      <c r="D1" s="5" t="s">
        <v>130</v>
      </c>
      <c r="E1" s="5" t="s">
        <v>40</v>
      </c>
      <c r="F1" s="5" t="s">
        <v>41</v>
      </c>
      <c r="G1" s="5" t="s">
        <v>131</v>
      </c>
      <c r="H1" s="5" t="s">
        <v>132</v>
      </c>
      <c r="I1" s="5" t="s">
        <v>45</v>
      </c>
      <c r="J1" s="6" t="s">
        <v>133</v>
      </c>
      <c r="K1" s="6" t="s">
        <v>46</v>
      </c>
      <c r="L1" s="5" t="s">
        <v>134</v>
      </c>
      <c r="M1" s="5" t="s">
        <v>9</v>
      </c>
    </row>
    <row r="2" ht="16.5" spans="1:13">
      <c r="A2" s="7" t="s">
        <v>10</v>
      </c>
      <c r="B2" s="7" t="s">
        <v>135</v>
      </c>
      <c r="C2" s="7" t="s">
        <v>136</v>
      </c>
      <c r="D2" s="7" t="s">
        <v>51</v>
      </c>
      <c r="E2" s="7" t="s">
        <v>11</v>
      </c>
      <c r="F2" s="7" t="s">
        <v>50</v>
      </c>
      <c r="G2" s="7" t="s">
        <v>137</v>
      </c>
      <c r="H2" s="7" t="s">
        <v>138</v>
      </c>
      <c r="I2" s="7" t="s">
        <v>53</v>
      </c>
      <c r="J2" s="8" t="s">
        <v>139</v>
      </c>
      <c r="K2" s="8" t="s">
        <v>54</v>
      </c>
      <c r="L2" s="7" t="s">
        <v>14</v>
      </c>
      <c r="M2" s="7" t="s">
        <v>19</v>
      </c>
    </row>
    <row r="3" ht="16.5" spans="1:13">
      <c r="A3" s="22" t="s">
        <v>20</v>
      </c>
      <c r="B3" s="22" t="s">
        <v>20</v>
      </c>
      <c r="C3" s="22" t="s">
        <v>20</v>
      </c>
      <c r="D3" s="22" t="s">
        <v>21</v>
      </c>
      <c r="E3" s="22" t="s">
        <v>21</v>
      </c>
      <c r="F3" s="22" t="s">
        <v>21</v>
      </c>
      <c r="G3" s="30" t="s">
        <v>140</v>
      </c>
      <c r="H3" s="30" t="s">
        <v>140</v>
      </c>
      <c r="I3" s="22" t="s">
        <v>22</v>
      </c>
      <c r="J3" s="9" t="s">
        <v>23</v>
      </c>
      <c r="K3" s="9" t="s">
        <v>20</v>
      </c>
      <c r="L3" s="22" t="s">
        <v>21</v>
      </c>
      <c r="M3" s="9" t="s">
        <v>23</v>
      </c>
    </row>
    <row r="4" s="24" customFormat="1" spans="1:13">
      <c r="A4" s="24">
        <v>1100104</v>
      </c>
      <c r="B4" s="24">
        <v>1</v>
      </c>
      <c r="C4" s="24">
        <v>7</v>
      </c>
      <c r="D4" s="24" t="s">
        <v>141</v>
      </c>
      <c r="E4" s="24" t="str">
        <f>_xlfn.XLOOKUP(A4,Equip!A:A,Equip!B:B)</f>
        <v>闪电法杖</v>
      </c>
      <c r="F4" s="31" t="str">
        <f>_xlfn.XLOOKUP(E4,Equip!B:B,Equip!C:C,,0)</f>
        <v>法杖</v>
      </c>
      <c r="G4" t="s">
        <v>142</v>
      </c>
      <c r="H4" s="24" t="str">
        <f>G4&amp;"_big"</f>
        <v>zhuangbei/110/109_big</v>
      </c>
      <c r="I4" s="24">
        <v>110</v>
      </c>
      <c r="J4" s="4" t="s">
        <v>143</v>
      </c>
      <c r="K4" s="31" t="str">
        <f>_xlfn.XLOOKUP(E4,Equip!E:E,Equip!H:H)</f>
        <v>11001</v>
      </c>
      <c r="L4" s="24">
        <v>0</v>
      </c>
      <c r="M4" t="s">
        <v>144</v>
      </c>
    </row>
    <row r="5" s="25" customFormat="1" spans="1:13">
      <c r="A5" s="25">
        <v>1100201</v>
      </c>
      <c r="B5" s="25">
        <v>1</v>
      </c>
      <c r="C5" s="25">
        <v>6</v>
      </c>
      <c r="D5" s="25" t="s">
        <v>145</v>
      </c>
      <c r="E5" s="24" t="str">
        <f>_xlfn.XLOOKUP(A5,Equip!A:A,Equip!B:B)</f>
        <v>物理长剑</v>
      </c>
      <c r="F5" s="32" t="str">
        <f>_xlfn.XLOOKUP(E5,Equip!B:B,Equip!C:C,,0)</f>
        <v>长剑</v>
      </c>
      <c r="G5" t="s">
        <v>146</v>
      </c>
      <c r="H5" s="25" t="str">
        <f>G5&amp;"_big"</f>
        <v>zhuangbei/104/106_big</v>
      </c>
      <c r="I5" s="25">
        <v>104</v>
      </c>
      <c r="J5" s="4" t="s">
        <v>147</v>
      </c>
      <c r="K5" s="32" t="str">
        <f>_xlfn.XLOOKUP(E5,Equip!E:E,Equip!H:H)</f>
        <v>11002</v>
      </c>
      <c r="L5" s="24">
        <v>0</v>
      </c>
      <c r="M5" t="s">
        <v>148</v>
      </c>
    </row>
    <row r="6" s="26" customFormat="1" spans="1:13">
      <c r="A6" s="26">
        <v>1100203</v>
      </c>
      <c r="B6" s="26">
        <v>1</v>
      </c>
      <c r="C6" s="26">
        <v>6</v>
      </c>
      <c r="D6" s="26" t="s">
        <v>149</v>
      </c>
      <c r="E6" s="24" t="str">
        <f>_xlfn.XLOOKUP(A6,Equip!A:A,Equip!B:B)</f>
        <v>冰霜长剑</v>
      </c>
      <c r="F6" s="33" t="str">
        <f>_xlfn.XLOOKUP(E6,Equip!B:B,Equip!C:C,,0)</f>
        <v>长剑</v>
      </c>
      <c r="G6" t="s">
        <v>150</v>
      </c>
      <c r="H6" s="26" t="str">
        <f>G6&amp;"_big"</f>
        <v>zhuangbei/131/106_big</v>
      </c>
      <c r="I6" s="26">
        <v>131</v>
      </c>
      <c r="J6" s="4" t="s">
        <v>151</v>
      </c>
      <c r="K6" s="33" t="str">
        <f>_xlfn.XLOOKUP(E6,Equip!E:E,Equip!H:H)</f>
        <v>11002</v>
      </c>
      <c r="L6" s="24">
        <v>0</v>
      </c>
      <c r="M6" t="s">
        <v>148</v>
      </c>
    </row>
    <row r="7" s="24" customFormat="1" spans="1:13">
      <c r="A7" s="24">
        <v>1200101</v>
      </c>
      <c r="B7" s="24">
        <v>1</v>
      </c>
      <c r="C7" s="24">
        <v>7</v>
      </c>
      <c r="D7" s="24" t="s">
        <v>152</v>
      </c>
      <c r="E7" s="24" t="str">
        <f>_xlfn.XLOOKUP(A7,Equip!A:A,Equip!B:B)</f>
        <v>铸铁头盔</v>
      </c>
      <c r="F7" s="31" t="str">
        <f>_xlfn.XLOOKUP(E7,Equip!B:B,Equip!C:C,,0)</f>
        <v>头盔</v>
      </c>
      <c r="G7" t="s">
        <v>153</v>
      </c>
      <c r="J7" s="4" t="s">
        <v>154</v>
      </c>
      <c r="K7" s="31" t="str">
        <f>_xlfn.XLOOKUP(E7,Equip!E:E,Equip!H:H)</f>
        <v>12001</v>
      </c>
      <c r="L7" s="24">
        <v>0</v>
      </c>
      <c r="M7" t="s">
        <v>31</v>
      </c>
    </row>
    <row r="8" s="27" customFormat="1" spans="1:13">
      <c r="A8" s="27">
        <v>1200102</v>
      </c>
      <c r="B8" s="27">
        <v>1</v>
      </c>
      <c r="C8" s="27">
        <v>6</v>
      </c>
      <c r="D8" s="27" t="s">
        <v>155</v>
      </c>
      <c r="E8" s="24" t="str">
        <f>_xlfn.XLOOKUP(A8,Equip!A:A,Equip!B:B)</f>
        <v>银制头盔</v>
      </c>
      <c r="F8" s="34" t="str">
        <f>_xlfn.XLOOKUP(E8,Equip!B:B,Equip!C:C,,0)</f>
        <v>头盔</v>
      </c>
      <c r="G8" s="27" t="s">
        <v>156</v>
      </c>
      <c r="H8" s="27"/>
      <c r="J8" s="4" t="s">
        <v>157</v>
      </c>
      <c r="K8" s="34" t="str">
        <f>_xlfn.XLOOKUP(E8,Equip!E:E,Equip!H:H)</f>
        <v>12001</v>
      </c>
      <c r="L8" s="24">
        <v>0</v>
      </c>
      <c r="M8" t="s">
        <v>31</v>
      </c>
    </row>
    <row r="9" s="25" customFormat="1" spans="1:13">
      <c r="A9" s="25">
        <v>1200102</v>
      </c>
      <c r="B9" s="25">
        <v>2</v>
      </c>
      <c r="C9" s="25">
        <v>6</v>
      </c>
      <c r="D9" s="25" t="s">
        <v>158</v>
      </c>
      <c r="E9" s="24" t="str">
        <f>_xlfn.XLOOKUP(A9,Equip!A:A,Equip!B:B)</f>
        <v>银制头盔</v>
      </c>
      <c r="F9" s="32" t="str">
        <f>_xlfn.XLOOKUP(E9,Equip!B:B,Equip!C:C,,0)</f>
        <v>头盔</v>
      </c>
      <c r="G9" s="25" t="s">
        <v>153</v>
      </c>
      <c r="H9" s="25"/>
      <c r="I9" s="25"/>
      <c r="J9" s="4" t="s">
        <v>159</v>
      </c>
      <c r="K9" s="32" t="str">
        <f>_xlfn.XLOOKUP(E9,Equip!E:E,Equip!H:H)</f>
        <v>12001</v>
      </c>
      <c r="L9" s="24">
        <v>0</v>
      </c>
      <c r="M9" t="s">
        <v>31</v>
      </c>
    </row>
    <row r="10" s="26" customFormat="1" spans="1:13">
      <c r="A10" s="26">
        <v>1300101</v>
      </c>
      <c r="B10" s="26">
        <v>1</v>
      </c>
      <c r="C10" s="26">
        <v>6</v>
      </c>
      <c r="D10" s="26" t="s">
        <v>160</v>
      </c>
      <c r="E10" s="24" t="str">
        <f>_xlfn.XLOOKUP(A10,Equip!A:A,Equip!B:B)</f>
        <v>铸铁胸甲</v>
      </c>
      <c r="F10" s="33" t="str">
        <f>_xlfn.XLOOKUP(E10,Equip!B:B,Equip!C:C,,0)</f>
        <v>胸甲</v>
      </c>
      <c r="G10" s="26" t="s">
        <v>161</v>
      </c>
      <c r="H10" s="26"/>
      <c r="I10" s="26"/>
      <c r="J10" s="4" t="s">
        <v>162</v>
      </c>
      <c r="K10" s="33" t="str">
        <f>_xlfn.XLOOKUP(E10,Equip!E:E,Equip!H:H)</f>
        <v>13001</v>
      </c>
      <c r="L10" s="24">
        <v>0</v>
      </c>
      <c r="M10">
        <v>1300103</v>
      </c>
    </row>
    <row r="11" s="27" customFormat="1" spans="1:13">
      <c r="A11" s="27">
        <v>1300102</v>
      </c>
      <c r="B11" s="27">
        <v>1</v>
      </c>
      <c r="C11" s="27">
        <v>7</v>
      </c>
      <c r="D11" s="27" t="s">
        <v>163</v>
      </c>
      <c r="E11" s="24" t="str">
        <f>_xlfn.XLOOKUP(A11,Equip!A:A,Equip!B:B)</f>
        <v>皮制胸甲</v>
      </c>
      <c r="F11" s="34" t="str">
        <f>_xlfn.XLOOKUP(E11,Equip!B:B,Equip!C:C,,0)</f>
        <v>胸甲</v>
      </c>
      <c r="G11" s="27" t="s">
        <v>164</v>
      </c>
      <c r="H11" s="27"/>
      <c r="J11" s="4" t="s">
        <v>165</v>
      </c>
      <c r="K11" s="34" t="str">
        <f>_xlfn.XLOOKUP(E11,Equip!E:E,Equip!H:H)</f>
        <v>13001</v>
      </c>
      <c r="L11" s="24">
        <v>0</v>
      </c>
      <c r="M11">
        <v>1300103</v>
      </c>
    </row>
    <row r="12" s="24" customFormat="1" spans="1:13">
      <c r="A12" s="24">
        <v>1300103</v>
      </c>
      <c r="B12" s="24">
        <v>1</v>
      </c>
      <c r="C12" s="24">
        <v>7</v>
      </c>
      <c r="D12" s="24" t="s">
        <v>166</v>
      </c>
      <c r="E12" s="24" t="str">
        <f>_xlfn.XLOOKUP(A12,Equip!A:A,Equip!B:B)</f>
        <v>铁锁胸甲</v>
      </c>
      <c r="F12" s="31" t="str">
        <f>_xlfn.XLOOKUP(E12,Equip!B:B,Equip!C:C,,0)</f>
        <v>胸甲</v>
      </c>
      <c r="G12" s="24" t="s">
        <v>161</v>
      </c>
      <c r="J12" s="4" t="s">
        <v>167</v>
      </c>
      <c r="K12" s="31" t="str">
        <f>_xlfn.XLOOKUP(E12,Equip!E:E,Equip!H:H)</f>
        <v>13001</v>
      </c>
      <c r="L12" s="24">
        <v>0</v>
      </c>
      <c r="M12">
        <v>1300103</v>
      </c>
    </row>
    <row r="13" s="24" customFormat="1" spans="1:13">
      <c r="A13" s="24">
        <v>1400102</v>
      </c>
      <c r="B13" s="24">
        <v>1</v>
      </c>
      <c r="C13" s="24">
        <v>7</v>
      </c>
      <c r="D13" s="24" t="s">
        <v>168</v>
      </c>
      <c r="E13" s="24" t="str">
        <f>_xlfn.XLOOKUP(A13,Equip!A:A,Equip!B:B)</f>
        <v>钢制腿甲</v>
      </c>
      <c r="F13" s="31" t="str">
        <f>_xlfn.XLOOKUP(E13,Equip!B:B,Equip!C:C,,0)</f>
        <v>裤子</v>
      </c>
      <c r="G13" s="24" t="s">
        <v>169</v>
      </c>
      <c r="J13" s="4" t="s">
        <v>170</v>
      </c>
      <c r="K13" s="31" t="str">
        <f>_xlfn.XLOOKUP(E13,Equip!E:E,Equip!H:H)</f>
        <v>14001</v>
      </c>
      <c r="L13" s="24">
        <v>1</v>
      </c>
      <c r="M13">
        <v>1300103</v>
      </c>
    </row>
    <row r="14" spans="1:13">
      <c r="A14">
        <v>1500103</v>
      </c>
      <c r="B14">
        <v>1</v>
      </c>
      <c r="C14">
        <v>6</v>
      </c>
      <c r="D14" t="s">
        <v>171</v>
      </c>
      <c r="E14" s="24" t="str">
        <f>_xlfn.XLOOKUP(A14,Equip!A:A,Equip!B:B)</f>
        <v>符文靴</v>
      </c>
      <c r="F14" t="str">
        <f>_xlfn.XLOOKUP(E14,Equip!B:B,Equip!C:C,,0)</f>
        <v>鞋子</v>
      </c>
      <c r="G14" t="s">
        <v>172</v>
      </c>
      <c r="J14" s="4" t="s">
        <v>173</v>
      </c>
      <c r="K14" t="str">
        <f>_xlfn.XLOOKUP(E14,Equip!E:E,Equip!H:H)</f>
        <v>15001</v>
      </c>
      <c r="L14" s="24">
        <v>0</v>
      </c>
      <c r="M14">
        <v>1400102</v>
      </c>
    </row>
    <row r="15" s="24" customFormat="1" spans="1:13">
      <c r="A15" s="24">
        <v>1500103</v>
      </c>
      <c r="B15" s="24">
        <v>2</v>
      </c>
      <c r="C15" s="24">
        <v>6</v>
      </c>
      <c r="D15" s="24" t="s">
        <v>174</v>
      </c>
      <c r="E15" s="24" t="str">
        <f>_xlfn.XLOOKUP(A15,Equip!A:A,Equip!B:B)</f>
        <v>符文靴</v>
      </c>
      <c r="F15" s="31" t="str">
        <f>_xlfn.XLOOKUP(E15,Equip!B:B,Equip!C:C,,0)</f>
        <v>鞋子</v>
      </c>
      <c r="G15" s="24" t="s">
        <v>175</v>
      </c>
      <c r="J15" s="4" t="s">
        <v>176</v>
      </c>
      <c r="K15" s="31" t="str">
        <f>_xlfn.XLOOKUP(E15,Equip!E:E,Equip!H:H)</f>
        <v>15001</v>
      </c>
      <c r="L15" s="24">
        <v>0</v>
      </c>
      <c r="M15">
        <v>1400102</v>
      </c>
    </row>
    <row r="16" s="24" customFormat="1" spans="1:13">
      <c r="A16" s="24">
        <v>1500103</v>
      </c>
      <c r="B16" s="24">
        <v>3</v>
      </c>
      <c r="C16" s="24">
        <v>6</v>
      </c>
      <c r="D16" s="24" t="s">
        <v>177</v>
      </c>
      <c r="E16" s="24" t="str">
        <f>_xlfn.XLOOKUP(A16,Equip!A:A,Equip!B:B)</f>
        <v>符文靴</v>
      </c>
      <c r="F16" s="31" t="str">
        <f>_xlfn.XLOOKUP(E16,Equip!B:B,Equip!C:C,,0)</f>
        <v>鞋子</v>
      </c>
      <c r="G16" s="24" t="s">
        <v>178</v>
      </c>
      <c r="J16" s="4" t="s">
        <v>179</v>
      </c>
      <c r="K16" s="31" t="str">
        <f>_xlfn.XLOOKUP(E16,Equip!E:E,Equip!H:H)</f>
        <v>15001</v>
      </c>
      <c r="L16" s="24">
        <v>0</v>
      </c>
      <c r="M16">
        <v>1400102</v>
      </c>
    </row>
    <row r="17" s="26" customFormat="1" spans="1:13">
      <c r="A17" s="26">
        <v>1600101</v>
      </c>
      <c r="B17" s="26">
        <v>1</v>
      </c>
      <c r="C17" s="26">
        <v>6</v>
      </c>
      <c r="D17" s="26" t="s">
        <v>180</v>
      </c>
      <c r="E17" s="24" t="str">
        <f>_xlfn.XLOOKUP(A17,Equip!A:A,Equip!B:B)</f>
        <v>铸铁护手</v>
      </c>
      <c r="F17" s="26" t="str">
        <f>_xlfn.XLOOKUP(E17,Equip!B:B,Equip!C:C,,0)</f>
        <v>手套</v>
      </c>
      <c r="G17" s="26" t="s">
        <v>181</v>
      </c>
      <c r="J17" s="4" t="s">
        <v>182</v>
      </c>
      <c r="K17" s="26" t="str">
        <f>_xlfn.XLOOKUP(E17,Equip!E:E,Equip!H:H)</f>
        <v>16001</v>
      </c>
      <c r="L17" s="24">
        <v>0</v>
      </c>
      <c r="M17">
        <v>1400103</v>
      </c>
    </row>
    <row r="18" s="26" customFormat="1" spans="1:13">
      <c r="A18" s="26">
        <v>1600101</v>
      </c>
      <c r="B18" s="26">
        <v>2</v>
      </c>
      <c r="C18" s="26">
        <v>6</v>
      </c>
      <c r="D18" s="26" t="s">
        <v>183</v>
      </c>
      <c r="E18" s="24" t="str">
        <f>_xlfn.XLOOKUP(A18,Equip!A:A,Equip!B:B)</f>
        <v>铸铁护手</v>
      </c>
      <c r="F18" s="26" t="str">
        <f>_xlfn.XLOOKUP(E18,Equip!B:B,Equip!C:C,,0)</f>
        <v>手套</v>
      </c>
      <c r="G18" s="26" t="s">
        <v>184</v>
      </c>
      <c r="J18" s="4" t="s">
        <v>185</v>
      </c>
      <c r="K18" s="26" t="str">
        <f>_xlfn.XLOOKUP(E18,Equip!E:E,Equip!H:H)</f>
        <v>16001</v>
      </c>
      <c r="L18" s="24">
        <v>0</v>
      </c>
      <c r="M18">
        <v>1400103</v>
      </c>
    </row>
    <row r="19" s="26" customFormat="1" spans="1:13">
      <c r="A19" s="26">
        <v>1600101</v>
      </c>
      <c r="B19" s="26">
        <v>3</v>
      </c>
      <c r="C19" s="26">
        <v>6</v>
      </c>
      <c r="D19" s="26" t="s">
        <v>186</v>
      </c>
      <c r="E19" s="24" t="str">
        <f>_xlfn.XLOOKUP(A19,Equip!A:A,Equip!B:B)</f>
        <v>铸铁护手</v>
      </c>
      <c r="F19" s="26" t="str">
        <f>_xlfn.XLOOKUP(E19,Equip!B:B,Equip!C:C,,0)</f>
        <v>手套</v>
      </c>
      <c r="G19" s="26" t="s">
        <v>187</v>
      </c>
      <c r="J19" s="4" t="s">
        <v>188</v>
      </c>
      <c r="K19" s="26" t="str">
        <f>_xlfn.XLOOKUP(E19,Equip!E:E,Equip!H:H)</f>
        <v>16001</v>
      </c>
      <c r="L19" s="24">
        <v>0</v>
      </c>
      <c r="M19">
        <v>1400103</v>
      </c>
    </row>
    <row r="20" s="26" customFormat="1" spans="1:13">
      <c r="A20" s="26">
        <v>1600101</v>
      </c>
      <c r="B20" s="26">
        <v>4</v>
      </c>
      <c r="C20" s="26">
        <v>7</v>
      </c>
      <c r="D20" s="26" t="s">
        <v>189</v>
      </c>
      <c r="E20" s="24" t="str">
        <f>_xlfn.XLOOKUP(A20,Equip!A:A,Equip!B:B)</f>
        <v>铸铁护手</v>
      </c>
      <c r="F20" s="26" t="str">
        <f>_xlfn.XLOOKUP(E20,Equip!B:B,Equip!C:C,,0)</f>
        <v>手套</v>
      </c>
      <c r="G20" s="26" t="s">
        <v>190</v>
      </c>
      <c r="J20" s="4" t="s">
        <v>191</v>
      </c>
      <c r="K20" s="26" t="str">
        <f>_xlfn.XLOOKUP(E20,Equip!E:E,Equip!H:H)</f>
        <v>16001</v>
      </c>
      <c r="L20" s="24">
        <v>0</v>
      </c>
      <c r="M20">
        <v>1400103</v>
      </c>
    </row>
    <row r="21" s="28" customFormat="1" spans="1:13">
      <c r="A21" s="28">
        <v>1600102</v>
      </c>
      <c r="B21" s="28">
        <v>1</v>
      </c>
      <c r="C21" s="28">
        <v>6</v>
      </c>
      <c r="D21" s="28" t="s">
        <v>192</v>
      </c>
      <c r="E21" s="24" t="str">
        <f>_xlfn.XLOOKUP(A21,Equip!A:A,Equip!B:B)</f>
        <v>皮制护手</v>
      </c>
      <c r="F21" s="28" t="str">
        <f>_xlfn.XLOOKUP(E21,Equip!B:B,Equip!C:C,,0)</f>
        <v>手套</v>
      </c>
      <c r="G21" s="28" t="s">
        <v>193</v>
      </c>
      <c r="J21" s="4" t="s">
        <v>194</v>
      </c>
      <c r="K21" s="28" t="str">
        <f>_xlfn.XLOOKUP(E21,Equip!E:E,Equip!H:H)</f>
        <v>16001</v>
      </c>
      <c r="L21" s="24">
        <v>0</v>
      </c>
      <c r="M21">
        <v>1400103</v>
      </c>
    </row>
    <row r="22" s="28" customFormat="1" spans="1:13">
      <c r="A22" s="28">
        <v>1600102</v>
      </c>
      <c r="B22" s="28">
        <v>2</v>
      </c>
      <c r="C22" s="28">
        <v>7</v>
      </c>
      <c r="D22" s="28" t="s">
        <v>195</v>
      </c>
      <c r="E22" s="24" t="str">
        <f>_xlfn.XLOOKUP(A22,Equip!A:A,Equip!B:B)</f>
        <v>皮制护手</v>
      </c>
      <c r="F22" s="28" t="str">
        <f>_xlfn.XLOOKUP(E22,Equip!B:B,Equip!C:C,,0)</f>
        <v>手套</v>
      </c>
      <c r="G22" s="28" t="s">
        <v>196</v>
      </c>
      <c r="J22" s="4" t="s">
        <v>197</v>
      </c>
      <c r="K22" s="28" t="str">
        <f>_xlfn.XLOOKUP(E22,Equip!E:E,Equip!H:H)</f>
        <v>16001</v>
      </c>
      <c r="L22" s="24">
        <v>0</v>
      </c>
      <c r="M22">
        <v>1400103</v>
      </c>
    </row>
    <row r="23" s="24" customFormat="1" spans="1:13">
      <c r="A23" s="24">
        <v>1700104</v>
      </c>
      <c r="B23" s="24">
        <v>1</v>
      </c>
      <c r="C23" s="24">
        <v>8</v>
      </c>
      <c r="D23" s="24" t="s">
        <v>198</v>
      </c>
      <c r="E23" s="24" t="str">
        <f>_xlfn.XLOOKUP(A23,Equip!A:A,Equip!B:B)</f>
        <v>华丽礼花</v>
      </c>
      <c r="F23" s="31" t="str">
        <f>_xlfn.XLOOKUP(E23,Equip!B:B,Equip!C:C,,0)</f>
        <v>礼花</v>
      </c>
      <c r="G23" s="24" t="s">
        <v>199</v>
      </c>
      <c r="J23" s="4" t="s">
        <v>200</v>
      </c>
      <c r="K23" s="31" t="str">
        <f>_xlfn.XLOOKUP(E23,Equip!E:E,Equip!H:H)</f>
        <v>17001</v>
      </c>
      <c r="L23" s="24">
        <v>0</v>
      </c>
      <c r="M23">
        <v>1300103</v>
      </c>
    </row>
    <row r="24" s="24" customFormat="1" spans="1:13">
      <c r="A24" s="24">
        <v>1800103</v>
      </c>
      <c r="B24" s="24">
        <v>1</v>
      </c>
      <c r="C24" s="24">
        <v>7</v>
      </c>
      <c r="D24" s="24" t="s">
        <v>201</v>
      </c>
      <c r="E24" s="24" t="str">
        <f>_xlfn.XLOOKUP(A24,Equip!A:A,Equip!B:B)</f>
        <v>珠光耳环</v>
      </c>
      <c r="F24" s="31" t="str">
        <f>_xlfn.XLOOKUP(E24,Equip!B:B,Equip!C:C,,0)</f>
        <v>耳环</v>
      </c>
      <c r="G24" s="24" t="s">
        <v>202</v>
      </c>
      <c r="J24" s="4" t="s">
        <v>203</v>
      </c>
      <c r="K24" s="31" t="str">
        <f>_xlfn.XLOOKUP(E24,Equip!E:E,Equip!H:H)</f>
        <v>18001</v>
      </c>
      <c r="L24" s="24">
        <v>1</v>
      </c>
      <c r="M24">
        <v>1300103</v>
      </c>
    </row>
    <row r="25" s="29" customFormat="1" spans="1:13">
      <c r="A25" s="29">
        <v>1900101</v>
      </c>
      <c r="B25" s="29">
        <v>1</v>
      </c>
      <c r="C25" s="29">
        <v>7</v>
      </c>
      <c r="D25" s="29" t="s">
        <v>204</v>
      </c>
      <c r="E25" s="24" t="str">
        <f>_xlfn.XLOOKUP(A25,Equip!A:A,Equip!B:B)</f>
        <v>精铁项链</v>
      </c>
      <c r="F25" s="29" t="str">
        <f>_xlfn.XLOOKUP(E25,Equip!B:B,Equip!C:C,,0)</f>
        <v>项链</v>
      </c>
      <c r="G25" s="29" t="s">
        <v>205</v>
      </c>
      <c r="J25" s="4" t="s">
        <v>206</v>
      </c>
      <c r="K25" s="29" t="str">
        <f>_xlfn.XLOOKUP(E25,Equip!E:E,Equip!H:H)</f>
        <v>19001</v>
      </c>
      <c r="L25" s="24">
        <v>0</v>
      </c>
      <c r="M25">
        <v>1400102</v>
      </c>
    </row>
    <row r="26" s="29" customFormat="1" spans="1:13">
      <c r="A26" s="29">
        <v>1900101</v>
      </c>
      <c r="B26" s="29">
        <v>2</v>
      </c>
      <c r="C26" s="29">
        <v>7</v>
      </c>
      <c r="D26" s="29" t="s">
        <v>207</v>
      </c>
      <c r="E26" s="24" t="str">
        <f>_xlfn.XLOOKUP(A26,Equip!A:A,Equip!B:B)</f>
        <v>精铁项链</v>
      </c>
      <c r="F26" s="29" t="str">
        <f>_xlfn.XLOOKUP(E26,Equip!B:B,Equip!C:C,,0)</f>
        <v>项链</v>
      </c>
      <c r="G26" s="29" t="s">
        <v>208</v>
      </c>
      <c r="J26" s="4" t="s">
        <v>209</v>
      </c>
      <c r="K26" s="29" t="str">
        <f>_xlfn.XLOOKUP(E26,Equip!E:E,Equip!H:H)</f>
        <v>19001</v>
      </c>
      <c r="L26" s="24">
        <v>0</v>
      </c>
      <c r="M26">
        <v>1400102</v>
      </c>
    </row>
    <row r="27" s="24" customFormat="1" spans="1:13">
      <c r="A27" s="24">
        <v>1900101</v>
      </c>
      <c r="B27" s="24">
        <v>3</v>
      </c>
      <c r="C27" s="24">
        <v>7</v>
      </c>
      <c r="D27" s="24" t="s">
        <v>210</v>
      </c>
      <c r="E27" s="24" t="str">
        <f>_xlfn.XLOOKUP(A27,Equip!A:A,Equip!B:B)</f>
        <v>精铁项链</v>
      </c>
      <c r="F27" s="31" t="str">
        <f>_xlfn.XLOOKUP(E27,Equip!B:B,Equip!C:C,,0)</f>
        <v>项链</v>
      </c>
      <c r="G27" s="24" t="s">
        <v>211</v>
      </c>
      <c r="J27" s="4" t="s">
        <v>212</v>
      </c>
      <c r="K27" s="31" t="str">
        <f>_xlfn.XLOOKUP(E27,Equip!E:E,Equip!H:H)</f>
        <v>19001</v>
      </c>
      <c r="L27" s="24">
        <v>0</v>
      </c>
      <c r="M27">
        <v>1400102</v>
      </c>
    </row>
    <row r="28" customFormat="1" spans="1:13">
      <c r="A28">
        <v>1900102</v>
      </c>
      <c r="B28">
        <v>1</v>
      </c>
      <c r="C28">
        <v>6</v>
      </c>
      <c r="D28" t="s">
        <v>213</v>
      </c>
      <c r="E28" s="24" t="str">
        <f>_xlfn.XLOOKUP(A28,Equip!A:A,Equip!B:B)</f>
        <v>宝石项链</v>
      </c>
      <c r="F28" t="str">
        <f>_xlfn.XLOOKUP(E28,Equip!B:B,Equip!C:C,,0)</f>
        <v>项链</v>
      </c>
      <c r="G28" t="s">
        <v>214</v>
      </c>
      <c r="J28" s="4" t="s">
        <v>215</v>
      </c>
      <c r="K28" t="str">
        <f>_xlfn.XLOOKUP(E28,Equip!E:E,Equip!H:H)</f>
        <v>19001</v>
      </c>
      <c r="L28" s="24">
        <v>0</v>
      </c>
      <c r="M28">
        <v>1400102</v>
      </c>
    </row>
    <row r="29" s="24" customFormat="1" spans="1:13">
      <c r="A29" s="24">
        <v>2000101</v>
      </c>
      <c r="B29" s="24">
        <v>1</v>
      </c>
      <c r="C29" s="24">
        <v>6</v>
      </c>
      <c r="D29" s="24" t="s">
        <v>216</v>
      </c>
      <c r="E29" s="24" t="str">
        <f>_xlfn.XLOOKUP(A29,Equip!A:A,Equip!B:B)</f>
        <v>精铁戒指</v>
      </c>
      <c r="F29" s="31" t="str">
        <f>_xlfn.XLOOKUP(E29,Equip!B:B,Equip!C:C,,0)</f>
        <v>戒指</v>
      </c>
      <c r="G29" s="24" t="s">
        <v>217</v>
      </c>
      <c r="J29" s="4" t="s">
        <v>218</v>
      </c>
      <c r="K29" s="31" t="str">
        <f>_xlfn.XLOOKUP(E29,Equip!E:E,Equip!H:H)</f>
        <v>20001</v>
      </c>
      <c r="L29" s="24">
        <v>0</v>
      </c>
      <c r="M29">
        <v>1400103</v>
      </c>
    </row>
    <row r="30" s="24" customFormat="1" spans="1:13">
      <c r="A30" s="24">
        <v>2000102</v>
      </c>
      <c r="B30" s="24">
        <v>1</v>
      </c>
      <c r="C30" s="24">
        <v>6</v>
      </c>
      <c r="D30" s="24" t="s">
        <v>219</v>
      </c>
      <c r="E30" s="24" t="str">
        <f>_xlfn.XLOOKUP(A30,Equip!A:A,Equip!B:B)</f>
        <v>护法戒指</v>
      </c>
      <c r="F30" s="31" t="str">
        <f>_xlfn.XLOOKUP(E30,Equip!B:B,Equip!C:C,,0)</f>
        <v>戒指</v>
      </c>
      <c r="G30" s="24" t="s">
        <v>220</v>
      </c>
      <c r="J30" s="4" t="s">
        <v>221</v>
      </c>
      <c r="K30" s="31" t="str">
        <f>_xlfn.XLOOKUP(E30,Equip!E:E,Equip!H:H)</f>
        <v>20001</v>
      </c>
      <c r="L30" s="24">
        <v>0</v>
      </c>
      <c r="M30">
        <v>1400103</v>
      </c>
    </row>
  </sheetData>
  <conditionalFormatting sqref="D7">
    <cfRule type="duplicateValues" dxfId="1" priority="7"/>
  </conditionalFormatting>
  <conditionalFormatting sqref="D13">
    <cfRule type="duplicateValues" dxfId="1" priority="2"/>
  </conditionalFormatting>
  <conditionalFormatting sqref="D24">
    <cfRule type="duplicateValues" dxfId="1" priority="1"/>
  </conditionalFormatting>
  <conditionalFormatting sqref="D1:D6 D8:D12 D14:D23 D25:D1048576">
    <cfRule type="duplicateValues" dxfId="1" priority="9"/>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I8" sqref="I8"/>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222</v>
      </c>
      <c r="B1" s="5" t="s">
        <v>223</v>
      </c>
      <c r="C1" s="6" t="s">
        <v>224</v>
      </c>
      <c r="D1" s="6" t="s">
        <v>225</v>
      </c>
      <c r="E1" s="6" t="s">
        <v>226</v>
      </c>
      <c r="F1" s="6" t="s">
        <v>227</v>
      </c>
      <c r="G1" s="6" t="s">
        <v>228</v>
      </c>
      <c r="H1" s="6" t="s">
        <v>229</v>
      </c>
      <c r="I1" s="6" t="s">
        <v>230</v>
      </c>
    </row>
    <row r="2" ht="16.5" spans="1:9">
      <c r="A2" s="7" t="s">
        <v>231</v>
      </c>
      <c r="B2" s="7" t="s">
        <v>11</v>
      </c>
      <c r="C2" s="8" t="s">
        <v>232</v>
      </c>
      <c r="D2" s="8" t="s">
        <v>233</v>
      </c>
      <c r="E2" s="8" t="s">
        <v>234</v>
      </c>
      <c r="F2" s="8" t="s">
        <v>235</v>
      </c>
      <c r="G2" s="8" t="s">
        <v>236</v>
      </c>
      <c r="H2" s="8" t="s">
        <v>237</v>
      </c>
      <c r="I2" s="8" t="s">
        <v>238</v>
      </c>
    </row>
    <row r="3" ht="16.5" spans="1:9">
      <c r="A3" s="9" t="s">
        <v>20</v>
      </c>
      <c r="B3" s="22" t="s">
        <v>21</v>
      </c>
      <c r="C3" s="9" t="s">
        <v>23</v>
      </c>
      <c r="D3" s="9" t="s">
        <v>23</v>
      </c>
      <c r="E3" s="9" t="s">
        <v>22</v>
      </c>
      <c r="F3" s="9" t="s">
        <v>20</v>
      </c>
      <c r="G3" s="9" t="s">
        <v>20</v>
      </c>
      <c r="H3" s="9" t="s">
        <v>22</v>
      </c>
      <c r="I3" s="9" t="s">
        <v>58</v>
      </c>
    </row>
    <row r="4" spans="1:9">
      <c r="A4">
        <v>1</v>
      </c>
      <c r="B4" t="s">
        <v>239</v>
      </c>
      <c r="C4" s="23" t="s">
        <v>240</v>
      </c>
      <c r="D4" s="23" t="s">
        <v>241</v>
      </c>
      <c r="E4" s="23">
        <v>1</v>
      </c>
      <c r="F4" s="4">
        <v>1</v>
      </c>
      <c r="G4" s="4">
        <v>1</v>
      </c>
      <c r="H4" s="4">
        <v>0</v>
      </c>
      <c r="I4" t="s">
        <v>242</v>
      </c>
    </row>
    <row r="5" spans="1:9">
      <c r="A5">
        <v>3</v>
      </c>
      <c r="B5" t="s">
        <v>243</v>
      </c>
      <c r="C5" s="23" t="s">
        <v>244</v>
      </c>
      <c r="D5" s="23" t="s">
        <v>245</v>
      </c>
      <c r="E5" s="23">
        <v>2</v>
      </c>
      <c r="F5" s="4">
        <v>2</v>
      </c>
      <c r="G5" s="4">
        <v>2</v>
      </c>
      <c r="H5" s="4">
        <v>1</v>
      </c>
      <c r="I5" t="s">
        <v>246</v>
      </c>
    </row>
    <row r="6" spans="1:9">
      <c r="A6">
        <v>5</v>
      </c>
      <c r="B6" t="s">
        <v>247</v>
      </c>
      <c r="C6" s="23" t="s">
        <v>248</v>
      </c>
      <c r="D6" s="23" t="s">
        <v>249</v>
      </c>
      <c r="E6" s="23">
        <v>3</v>
      </c>
      <c r="F6" s="4">
        <v>3</v>
      </c>
      <c r="G6" s="4">
        <v>3</v>
      </c>
      <c r="H6" s="4">
        <v>1</v>
      </c>
      <c r="I6" t="s">
        <v>250</v>
      </c>
    </row>
    <row r="7" spans="1:9">
      <c r="A7">
        <v>6</v>
      </c>
      <c r="B7" t="s">
        <v>251</v>
      </c>
      <c r="C7" s="23" t="s">
        <v>252</v>
      </c>
      <c r="D7" s="23" t="s">
        <v>253</v>
      </c>
      <c r="E7" s="23">
        <v>6</v>
      </c>
      <c r="F7" s="4">
        <v>3</v>
      </c>
      <c r="G7" s="4">
        <v>3</v>
      </c>
      <c r="H7" s="4">
        <v>1</v>
      </c>
      <c r="I7" t="s">
        <v>254</v>
      </c>
    </row>
    <row r="8" spans="1:9">
      <c r="A8">
        <v>7</v>
      </c>
      <c r="B8" t="s">
        <v>255</v>
      </c>
      <c r="C8" s="23" t="s">
        <v>252</v>
      </c>
      <c r="D8" s="23" t="s">
        <v>253</v>
      </c>
      <c r="E8" s="23">
        <v>6</v>
      </c>
      <c r="F8" s="4">
        <v>3</v>
      </c>
      <c r="G8" s="4">
        <v>3</v>
      </c>
      <c r="H8" s="4">
        <v>1</v>
      </c>
      <c r="I8" t="s">
        <v>256</v>
      </c>
    </row>
    <row r="9" spans="1:9">
      <c r="A9">
        <v>8</v>
      </c>
      <c r="B9" t="s">
        <v>257</v>
      </c>
      <c r="C9" s="23" t="s">
        <v>252</v>
      </c>
      <c r="D9" s="23" t="s">
        <v>253</v>
      </c>
      <c r="E9" s="23">
        <v>6</v>
      </c>
      <c r="F9" s="4">
        <v>3</v>
      </c>
      <c r="G9" s="4">
        <v>3</v>
      </c>
      <c r="H9" s="4">
        <v>1</v>
      </c>
      <c r="I9" t="s">
        <v>258</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132" activePane="bottomRight" state="frozen"/>
      <selection/>
      <selection pane="topRight"/>
      <selection pane="bottomLeft"/>
      <selection pane="bottomRight" activeCell="G111" sqref="G111"/>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259</v>
      </c>
      <c r="C1" s="17" t="s">
        <v>260</v>
      </c>
      <c r="D1" s="17" t="s">
        <v>261</v>
      </c>
      <c r="E1" s="17" t="s">
        <v>262</v>
      </c>
      <c r="F1" s="17" t="s">
        <v>263</v>
      </c>
      <c r="G1" s="17" t="s">
        <v>264</v>
      </c>
      <c r="H1" s="17" t="s">
        <v>265</v>
      </c>
      <c r="I1" s="17" t="s">
        <v>266</v>
      </c>
      <c r="J1" s="17" t="s">
        <v>267</v>
      </c>
    </row>
    <row r="2" ht="16.5" spans="1:10">
      <c r="A2" s="19" t="s">
        <v>10</v>
      </c>
      <c r="B2" s="19" t="s">
        <v>268</v>
      </c>
      <c r="C2" s="19" t="s">
        <v>269</v>
      </c>
      <c r="D2" s="19" t="s">
        <v>50</v>
      </c>
      <c r="E2" s="19" t="s">
        <v>270</v>
      </c>
      <c r="F2" s="19" t="s">
        <v>271</v>
      </c>
      <c r="G2" s="19" t="s">
        <v>272</v>
      </c>
      <c r="H2" s="19" t="s">
        <v>273</v>
      </c>
      <c r="I2" s="19" t="s">
        <v>274</v>
      </c>
      <c r="J2" s="19" t="s">
        <v>275</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276</v>
      </c>
      <c r="E4">
        <v>10000</v>
      </c>
      <c r="F4">
        <v>9</v>
      </c>
      <c r="G4">
        <v>9</v>
      </c>
      <c r="H4">
        <v>1</v>
      </c>
      <c r="I4" t="str">
        <f t="shared" ref="I4:I67" si="0">_xlfn.TEXTJOIN("|",0,F4:G4)</f>
        <v>9|9</v>
      </c>
      <c r="J4" s="16">
        <v>0</v>
      </c>
    </row>
    <row r="5" spans="1:10">
      <c r="A5" s="17">
        <v>1100101</v>
      </c>
      <c r="B5" s="21">
        <v>4</v>
      </c>
      <c r="C5" s="21">
        <v>1</v>
      </c>
      <c r="D5" s="10" t="s">
        <v>276</v>
      </c>
      <c r="E5">
        <v>10000</v>
      </c>
      <c r="F5">
        <v>15</v>
      </c>
      <c r="G5">
        <v>15</v>
      </c>
      <c r="H5">
        <v>1</v>
      </c>
      <c r="I5" t="str">
        <f t="shared" si="0"/>
        <v>15|15</v>
      </c>
      <c r="J5" s="16">
        <v>0</v>
      </c>
    </row>
    <row r="6" spans="1:10">
      <c r="A6" s="17">
        <v>1100101</v>
      </c>
      <c r="B6" s="21">
        <v>8</v>
      </c>
      <c r="C6" s="21">
        <v>4</v>
      </c>
      <c r="D6" s="10" t="s">
        <v>276</v>
      </c>
      <c r="E6">
        <v>10000</v>
      </c>
      <c r="F6">
        <v>21</v>
      </c>
      <c r="G6">
        <v>21</v>
      </c>
      <c r="H6">
        <v>1</v>
      </c>
      <c r="I6" t="str">
        <f t="shared" si="0"/>
        <v>21|21</v>
      </c>
      <c r="J6" s="16">
        <v>0</v>
      </c>
    </row>
    <row r="7" spans="1:10">
      <c r="A7" s="17">
        <v>1100101</v>
      </c>
      <c r="B7" s="21">
        <v>13</v>
      </c>
      <c r="C7" s="21">
        <v>8</v>
      </c>
      <c r="D7" s="10" t="s">
        <v>276</v>
      </c>
      <c r="E7">
        <v>10000</v>
      </c>
      <c r="F7">
        <v>30</v>
      </c>
      <c r="G7">
        <v>30</v>
      </c>
      <c r="H7">
        <v>1</v>
      </c>
      <c r="I7" t="str">
        <f t="shared" si="0"/>
        <v>30|30</v>
      </c>
      <c r="J7" s="16">
        <v>0</v>
      </c>
    </row>
    <row r="8" spans="1:10">
      <c r="A8" s="17">
        <v>1100101</v>
      </c>
      <c r="B8" s="21">
        <v>19</v>
      </c>
      <c r="C8" s="21">
        <v>13</v>
      </c>
      <c r="D8" s="10" t="s">
        <v>276</v>
      </c>
      <c r="E8">
        <v>10000</v>
      </c>
      <c r="F8">
        <v>42</v>
      </c>
      <c r="G8">
        <v>42</v>
      </c>
      <c r="H8">
        <v>1</v>
      </c>
      <c r="I8" t="str">
        <f t="shared" si="0"/>
        <v>42|42</v>
      </c>
      <c r="J8" s="16">
        <v>0</v>
      </c>
    </row>
    <row r="9" spans="1:10">
      <c r="A9" s="17">
        <v>1100101</v>
      </c>
      <c r="B9" s="21">
        <v>25</v>
      </c>
      <c r="C9" s="21">
        <v>19</v>
      </c>
      <c r="D9" s="10" t="s">
        <v>276</v>
      </c>
      <c r="E9">
        <v>10000</v>
      </c>
      <c r="F9">
        <v>54</v>
      </c>
      <c r="G9">
        <v>54</v>
      </c>
      <c r="H9">
        <v>1</v>
      </c>
      <c r="I9" t="str">
        <f t="shared" si="0"/>
        <v>54|54</v>
      </c>
      <c r="J9" s="16">
        <v>0</v>
      </c>
    </row>
    <row r="10" spans="1:10">
      <c r="A10" s="17">
        <v>1100101</v>
      </c>
      <c r="B10" s="21">
        <v>31</v>
      </c>
      <c r="C10" s="21">
        <v>25</v>
      </c>
      <c r="D10" s="10" t="s">
        <v>276</v>
      </c>
      <c r="E10">
        <v>10000</v>
      </c>
      <c r="F10">
        <v>72</v>
      </c>
      <c r="G10">
        <v>72</v>
      </c>
      <c r="H10">
        <v>1</v>
      </c>
      <c r="I10" t="str">
        <f t="shared" si="0"/>
        <v>72|72</v>
      </c>
      <c r="J10" s="16">
        <v>0</v>
      </c>
    </row>
    <row r="11" s="16" customFormat="1" spans="1:10">
      <c r="A11" s="17">
        <v>1100101</v>
      </c>
      <c r="B11" s="21">
        <v>37</v>
      </c>
      <c r="C11" s="21">
        <v>31</v>
      </c>
      <c r="D11" s="10" t="s">
        <v>276</v>
      </c>
      <c r="E11">
        <v>10000</v>
      </c>
      <c r="F11">
        <v>90</v>
      </c>
      <c r="G11">
        <v>90</v>
      </c>
      <c r="H11">
        <v>1</v>
      </c>
      <c r="I11" t="str">
        <f t="shared" si="0"/>
        <v>90|90</v>
      </c>
      <c r="J11" s="16">
        <v>0</v>
      </c>
    </row>
    <row r="12" spans="1:10">
      <c r="A12" s="17">
        <v>1100101</v>
      </c>
      <c r="B12" s="21">
        <v>43</v>
      </c>
      <c r="C12" s="21">
        <v>37</v>
      </c>
      <c r="D12" s="10" t="s">
        <v>276</v>
      </c>
      <c r="E12">
        <v>10000</v>
      </c>
      <c r="F12">
        <v>120</v>
      </c>
      <c r="G12">
        <v>120</v>
      </c>
      <c r="H12">
        <v>1</v>
      </c>
      <c r="I12" t="str">
        <f t="shared" si="0"/>
        <v>120|120</v>
      </c>
      <c r="J12" s="16">
        <v>0</v>
      </c>
    </row>
    <row r="13" spans="1:10">
      <c r="A13" s="17">
        <v>1100101</v>
      </c>
      <c r="B13" s="21">
        <v>49</v>
      </c>
      <c r="C13" s="21">
        <v>43</v>
      </c>
      <c r="D13" s="10" t="s">
        <v>276</v>
      </c>
      <c r="E13">
        <v>10000</v>
      </c>
      <c r="F13">
        <v>150</v>
      </c>
      <c r="G13">
        <v>150</v>
      </c>
      <c r="H13">
        <v>1</v>
      </c>
      <c r="I13" t="str">
        <f t="shared" si="0"/>
        <v>150|150</v>
      </c>
      <c r="J13" s="16">
        <v>0</v>
      </c>
    </row>
    <row r="14" spans="1:10">
      <c r="A14" s="17">
        <v>1100101</v>
      </c>
      <c r="B14" s="21">
        <v>55</v>
      </c>
      <c r="C14" s="21">
        <v>49</v>
      </c>
      <c r="D14" s="10" t="s">
        <v>276</v>
      </c>
      <c r="E14">
        <v>10000</v>
      </c>
      <c r="F14">
        <v>180</v>
      </c>
      <c r="G14">
        <v>180</v>
      </c>
      <c r="H14">
        <v>1</v>
      </c>
      <c r="I14" t="str">
        <f t="shared" si="0"/>
        <v>180|180</v>
      </c>
      <c r="J14" s="16">
        <v>0</v>
      </c>
    </row>
    <row r="15" spans="1:10">
      <c r="A15" s="17">
        <v>1100101</v>
      </c>
      <c r="B15" s="21">
        <v>61</v>
      </c>
      <c r="C15" s="21">
        <v>55</v>
      </c>
      <c r="D15" s="10" t="s">
        <v>276</v>
      </c>
      <c r="E15">
        <v>10000</v>
      </c>
      <c r="F15">
        <v>240</v>
      </c>
      <c r="G15">
        <v>240</v>
      </c>
      <c r="H15">
        <v>1</v>
      </c>
      <c r="I15" t="str">
        <f t="shared" si="0"/>
        <v>240|240</v>
      </c>
      <c r="J15" s="16">
        <v>0</v>
      </c>
    </row>
    <row r="16" spans="1:10">
      <c r="A16" s="17">
        <v>1100101</v>
      </c>
      <c r="B16" s="21">
        <v>67</v>
      </c>
      <c r="C16" s="21">
        <v>61</v>
      </c>
      <c r="D16" s="10" t="s">
        <v>276</v>
      </c>
      <c r="E16">
        <v>10000</v>
      </c>
      <c r="F16">
        <v>330</v>
      </c>
      <c r="G16">
        <v>330</v>
      </c>
      <c r="H16">
        <v>1</v>
      </c>
      <c r="I16" t="str">
        <f t="shared" si="0"/>
        <v>330|330</v>
      </c>
      <c r="J16" s="16">
        <v>0</v>
      </c>
    </row>
    <row r="17" spans="1:10">
      <c r="A17" s="17">
        <v>1100101</v>
      </c>
      <c r="B17" s="21">
        <v>75</v>
      </c>
      <c r="C17" s="21">
        <v>67</v>
      </c>
      <c r="D17" s="10" t="s">
        <v>276</v>
      </c>
      <c r="E17">
        <v>10000</v>
      </c>
      <c r="F17">
        <v>450</v>
      </c>
      <c r="G17">
        <v>450</v>
      </c>
      <c r="H17">
        <v>1</v>
      </c>
      <c r="I17" t="str">
        <f t="shared" si="0"/>
        <v>450|450</v>
      </c>
      <c r="J17" s="16">
        <v>0</v>
      </c>
    </row>
    <row r="18" spans="1:10">
      <c r="A18" s="17">
        <v>1100101</v>
      </c>
      <c r="B18" s="21">
        <v>90</v>
      </c>
      <c r="C18" s="21">
        <v>75</v>
      </c>
      <c r="D18" s="10" t="s">
        <v>276</v>
      </c>
      <c r="E18">
        <v>10000</v>
      </c>
      <c r="F18">
        <v>495</v>
      </c>
      <c r="G18">
        <v>600</v>
      </c>
      <c r="H18">
        <v>1</v>
      </c>
      <c r="I18" t="str">
        <f t="shared" si="0"/>
        <v>495|600</v>
      </c>
      <c r="J18" s="16">
        <v>0</v>
      </c>
    </row>
    <row r="19" customFormat="1" spans="1:10">
      <c r="A19" s="17">
        <v>1100201</v>
      </c>
      <c r="B19" s="21">
        <v>1</v>
      </c>
      <c r="C19" s="21">
        <v>1</v>
      </c>
      <c r="D19" s="10" t="s">
        <v>277</v>
      </c>
      <c r="E19">
        <v>10000</v>
      </c>
      <c r="F19">
        <v>9</v>
      </c>
      <c r="G19">
        <v>9</v>
      </c>
      <c r="H19">
        <v>1</v>
      </c>
      <c r="I19" t="str">
        <f t="shared" si="0"/>
        <v>9|9</v>
      </c>
      <c r="J19" s="16">
        <v>0</v>
      </c>
    </row>
    <row r="20" customFormat="1" spans="1:10">
      <c r="A20" s="17">
        <v>1100201</v>
      </c>
      <c r="B20" s="21">
        <v>4</v>
      </c>
      <c r="C20" s="21">
        <v>1</v>
      </c>
      <c r="D20" s="10" t="s">
        <v>277</v>
      </c>
      <c r="E20">
        <v>10000</v>
      </c>
      <c r="F20">
        <v>15</v>
      </c>
      <c r="G20">
        <v>15</v>
      </c>
      <c r="H20">
        <v>1</v>
      </c>
      <c r="I20" t="str">
        <f t="shared" si="0"/>
        <v>15|15</v>
      </c>
      <c r="J20" s="16">
        <v>0</v>
      </c>
    </row>
    <row r="21" customFormat="1" spans="1:10">
      <c r="A21" s="17">
        <v>1100201</v>
      </c>
      <c r="B21" s="21">
        <v>8</v>
      </c>
      <c r="C21" s="21">
        <v>4</v>
      </c>
      <c r="D21" s="10" t="s">
        <v>277</v>
      </c>
      <c r="E21">
        <v>10000</v>
      </c>
      <c r="F21">
        <v>21</v>
      </c>
      <c r="G21">
        <v>21</v>
      </c>
      <c r="H21">
        <v>1</v>
      </c>
      <c r="I21" t="str">
        <f t="shared" si="0"/>
        <v>21|21</v>
      </c>
      <c r="J21" s="16">
        <v>0</v>
      </c>
    </row>
    <row r="22" customFormat="1" spans="1:10">
      <c r="A22" s="17">
        <v>1100201</v>
      </c>
      <c r="B22" s="21">
        <v>13</v>
      </c>
      <c r="C22" s="21">
        <v>8</v>
      </c>
      <c r="D22" s="10" t="s">
        <v>277</v>
      </c>
      <c r="E22">
        <v>10000</v>
      </c>
      <c r="F22">
        <v>30</v>
      </c>
      <c r="G22">
        <v>30</v>
      </c>
      <c r="H22">
        <v>1</v>
      </c>
      <c r="I22" t="str">
        <f t="shared" si="0"/>
        <v>30|30</v>
      </c>
      <c r="J22" s="16">
        <v>0</v>
      </c>
    </row>
    <row r="23" customFormat="1" spans="1:10">
      <c r="A23" s="17">
        <v>1100201</v>
      </c>
      <c r="B23" s="21">
        <v>19</v>
      </c>
      <c r="C23" s="21">
        <v>13</v>
      </c>
      <c r="D23" s="10" t="s">
        <v>277</v>
      </c>
      <c r="E23">
        <v>10000</v>
      </c>
      <c r="F23">
        <v>42</v>
      </c>
      <c r="G23">
        <v>42</v>
      </c>
      <c r="H23">
        <v>1</v>
      </c>
      <c r="I23" t="str">
        <f t="shared" si="0"/>
        <v>42|42</v>
      </c>
      <c r="J23" s="16">
        <v>0</v>
      </c>
    </row>
    <row r="24" customFormat="1" spans="1:10">
      <c r="A24" s="17">
        <v>1100201</v>
      </c>
      <c r="B24" s="21">
        <v>25</v>
      </c>
      <c r="C24" s="21">
        <v>19</v>
      </c>
      <c r="D24" s="10" t="s">
        <v>277</v>
      </c>
      <c r="E24">
        <v>10000</v>
      </c>
      <c r="F24">
        <v>54</v>
      </c>
      <c r="G24">
        <v>54</v>
      </c>
      <c r="H24">
        <v>1</v>
      </c>
      <c r="I24" t="str">
        <f t="shared" si="0"/>
        <v>54|54</v>
      </c>
      <c r="J24" s="16">
        <v>0</v>
      </c>
    </row>
    <row r="25" customFormat="1" spans="1:10">
      <c r="A25" s="17">
        <v>1100201</v>
      </c>
      <c r="B25" s="21">
        <v>31</v>
      </c>
      <c r="C25" s="21">
        <v>25</v>
      </c>
      <c r="D25" s="10" t="s">
        <v>277</v>
      </c>
      <c r="E25">
        <v>10000</v>
      </c>
      <c r="F25">
        <v>72</v>
      </c>
      <c r="G25">
        <v>72</v>
      </c>
      <c r="H25">
        <v>1</v>
      </c>
      <c r="I25" t="str">
        <f t="shared" si="0"/>
        <v>72|72</v>
      </c>
      <c r="J25" s="16">
        <v>0</v>
      </c>
    </row>
    <row r="26" customFormat="1" spans="1:10">
      <c r="A26" s="17">
        <v>1100201</v>
      </c>
      <c r="B26" s="21">
        <v>37</v>
      </c>
      <c r="C26" s="21">
        <v>31</v>
      </c>
      <c r="D26" s="10" t="s">
        <v>277</v>
      </c>
      <c r="E26">
        <v>10000</v>
      </c>
      <c r="F26">
        <v>90</v>
      </c>
      <c r="G26">
        <v>90</v>
      </c>
      <c r="H26">
        <v>1</v>
      </c>
      <c r="I26" t="str">
        <f t="shared" si="0"/>
        <v>90|90</v>
      </c>
      <c r="J26" s="16">
        <v>0</v>
      </c>
    </row>
    <row r="27" customFormat="1" spans="1:10">
      <c r="A27" s="17">
        <v>1100201</v>
      </c>
      <c r="B27" s="21">
        <v>43</v>
      </c>
      <c r="C27" s="21">
        <v>37</v>
      </c>
      <c r="D27" s="10" t="s">
        <v>277</v>
      </c>
      <c r="E27">
        <v>10000</v>
      </c>
      <c r="F27">
        <v>120</v>
      </c>
      <c r="G27">
        <v>120</v>
      </c>
      <c r="H27">
        <v>1</v>
      </c>
      <c r="I27" t="str">
        <f t="shared" si="0"/>
        <v>120|120</v>
      </c>
      <c r="J27" s="16">
        <v>0</v>
      </c>
    </row>
    <row r="28" customFormat="1" spans="1:10">
      <c r="A28" s="17">
        <v>1100201</v>
      </c>
      <c r="B28" s="21">
        <v>49</v>
      </c>
      <c r="C28" s="21">
        <v>43</v>
      </c>
      <c r="D28" s="10" t="s">
        <v>277</v>
      </c>
      <c r="E28">
        <v>10000</v>
      </c>
      <c r="F28">
        <v>150</v>
      </c>
      <c r="G28">
        <v>150</v>
      </c>
      <c r="H28">
        <v>1</v>
      </c>
      <c r="I28" t="str">
        <f t="shared" si="0"/>
        <v>150|150</v>
      </c>
      <c r="J28" s="16">
        <v>0</v>
      </c>
    </row>
    <row r="29" customFormat="1" spans="1:10">
      <c r="A29" s="17">
        <v>1100201</v>
      </c>
      <c r="B29" s="21">
        <v>55</v>
      </c>
      <c r="C29" s="21">
        <v>49</v>
      </c>
      <c r="D29" s="10" t="s">
        <v>277</v>
      </c>
      <c r="E29">
        <v>10000</v>
      </c>
      <c r="F29">
        <v>180</v>
      </c>
      <c r="G29">
        <v>180</v>
      </c>
      <c r="H29">
        <v>1</v>
      </c>
      <c r="I29" t="str">
        <f t="shared" si="0"/>
        <v>180|180</v>
      </c>
      <c r="J29" s="16">
        <v>0</v>
      </c>
    </row>
    <row r="30" customFormat="1" spans="1:10">
      <c r="A30" s="17">
        <v>1100201</v>
      </c>
      <c r="B30" s="21">
        <v>61</v>
      </c>
      <c r="C30" s="21">
        <v>55</v>
      </c>
      <c r="D30" s="10" t="s">
        <v>277</v>
      </c>
      <c r="E30">
        <v>10000</v>
      </c>
      <c r="F30">
        <v>240</v>
      </c>
      <c r="G30">
        <v>240</v>
      </c>
      <c r="H30">
        <v>1</v>
      </c>
      <c r="I30" t="str">
        <f t="shared" si="0"/>
        <v>240|240</v>
      </c>
      <c r="J30" s="16">
        <v>0</v>
      </c>
    </row>
    <row r="31" customFormat="1" spans="1:10">
      <c r="A31" s="17">
        <v>1100201</v>
      </c>
      <c r="B31" s="21">
        <v>67</v>
      </c>
      <c r="C31" s="21">
        <v>61</v>
      </c>
      <c r="D31" s="10" t="s">
        <v>277</v>
      </c>
      <c r="E31">
        <v>10000</v>
      </c>
      <c r="F31">
        <v>330</v>
      </c>
      <c r="G31">
        <v>330</v>
      </c>
      <c r="H31">
        <v>1</v>
      </c>
      <c r="I31" t="str">
        <f t="shared" si="0"/>
        <v>330|330</v>
      </c>
      <c r="J31" s="16">
        <v>0</v>
      </c>
    </row>
    <row r="32" customFormat="1" spans="1:10">
      <c r="A32" s="17">
        <v>1100201</v>
      </c>
      <c r="B32" s="21">
        <v>75</v>
      </c>
      <c r="C32" s="21">
        <v>67</v>
      </c>
      <c r="D32" s="10" t="s">
        <v>277</v>
      </c>
      <c r="E32">
        <v>10000</v>
      </c>
      <c r="F32">
        <v>450</v>
      </c>
      <c r="G32">
        <v>450</v>
      </c>
      <c r="H32">
        <v>1</v>
      </c>
      <c r="I32" t="str">
        <f t="shared" si="0"/>
        <v>450|450</v>
      </c>
      <c r="J32" s="16">
        <v>0</v>
      </c>
    </row>
    <row r="33" customFormat="1" spans="1:10">
      <c r="A33" s="17">
        <v>1100201</v>
      </c>
      <c r="B33" s="21">
        <v>90</v>
      </c>
      <c r="C33" s="21">
        <v>75</v>
      </c>
      <c r="D33" s="10" t="s">
        <v>277</v>
      </c>
      <c r="E33">
        <v>10000</v>
      </c>
      <c r="F33">
        <v>495</v>
      </c>
      <c r="G33">
        <v>600</v>
      </c>
      <c r="H33">
        <v>1</v>
      </c>
      <c r="I33" t="str">
        <f t="shared" si="0"/>
        <v>495|600</v>
      </c>
      <c r="J33" s="16">
        <v>0</v>
      </c>
    </row>
    <row r="34" customFormat="1" spans="1:10">
      <c r="A34" s="17">
        <v>1200101</v>
      </c>
      <c r="B34" s="21">
        <v>1</v>
      </c>
      <c r="C34" s="21">
        <v>1</v>
      </c>
      <c r="D34" s="10" t="s">
        <v>278</v>
      </c>
      <c r="E34">
        <v>10001</v>
      </c>
      <c r="F34" s="13">
        <v>17</v>
      </c>
      <c r="G34" s="13">
        <v>17</v>
      </c>
      <c r="H34">
        <v>1</v>
      </c>
      <c r="I34" t="str">
        <f t="shared" si="0"/>
        <v>17|17</v>
      </c>
      <c r="J34" s="16">
        <v>0</v>
      </c>
    </row>
    <row r="35" customFormat="1" spans="1:10">
      <c r="A35" s="17">
        <v>1200101</v>
      </c>
      <c r="B35" s="21">
        <v>4</v>
      </c>
      <c r="C35" s="21">
        <v>1</v>
      </c>
      <c r="D35" s="10" t="s">
        <v>278</v>
      </c>
      <c r="E35">
        <v>10001</v>
      </c>
      <c r="F35" s="13">
        <v>28</v>
      </c>
      <c r="G35" s="13">
        <v>28</v>
      </c>
      <c r="H35">
        <v>1</v>
      </c>
      <c r="I35" t="str">
        <f t="shared" si="0"/>
        <v>28|28</v>
      </c>
      <c r="J35" s="16">
        <v>0</v>
      </c>
    </row>
    <row r="36" customFormat="1" spans="1:10">
      <c r="A36" s="17">
        <v>1200101</v>
      </c>
      <c r="B36" s="21">
        <v>8</v>
      </c>
      <c r="C36" s="21">
        <v>4</v>
      </c>
      <c r="D36" s="10" t="s">
        <v>278</v>
      </c>
      <c r="E36">
        <v>10001</v>
      </c>
      <c r="F36" s="13">
        <v>40</v>
      </c>
      <c r="G36" s="13">
        <v>40</v>
      </c>
      <c r="H36">
        <v>1</v>
      </c>
      <c r="I36" t="str">
        <f t="shared" si="0"/>
        <v>40|40</v>
      </c>
      <c r="J36" s="16">
        <v>0</v>
      </c>
    </row>
    <row r="37" customFormat="1" spans="1:10">
      <c r="A37" s="17">
        <v>1200101</v>
      </c>
      <c r="B37" s="21">
        <v>13</v>
      </c>
      <c r="C37" s="21">
        <v>8</v>
      </c>
      <c r="D37" s="10" t="s">
        <v>278</v>
      </c>
      <c r="E37">
        <v>10001</v>
      </c>
      <c r="F37" s="13">
        <v>56</v>
      </c>
      <c r="G37" s="13">
        <v>56</v>
      </c>
      <c r="H37">
        <v>1</v>
      </c>
      <c r="I37" t="str">
        <f t="shared" si="0"/>
        <v>56|56</v>
      </c>
      <c r="J37" s="16">
        <v>0</v>
      </c>
    </row>
    <row r="38" customFormat="1" spans="1:10">
      <c r="A38" s="17">
        <v>1200101</v>
      </c>
      <c r="B38" s="21">
        <v>19</v>
      </c>
      <c r="C38" s="21">
        <v>13</v>
      </c>
      <c r="D38" s="10" t="s">
        <v>278</v>
      </c>
      <c r="E38">
        <v>10001</v>
      </c>
      <c r="F38" s="13">
        <v>79</v>
      </c>
      <c r="G38" s="13">
        <v>79</v>
      </c>
      <c r="H38">
        <v>1</v>
      </c>
      <c r="I38" t="str">
        <f t="shared" si="0"/>
        <v>79|79</v>
      </c>
      <c r="J38" s="16">
        <v>0</v>
      </c>
    </row>
    <row r="39" customFormat="1" spans="1:10">
      <c r="A39" s="17">
        <v>1200101</v>
      </c>
      <c r="B39" s="21">
        <v>25</v>
      </c>
      <c r="C39" s="21">
        <v>19</v>
      </c>
      <c r="D39" s="10" t="s">
        <v>278</v>
      </c>
      <c r="E39">
        <v>10001</v>
      </c>
      <c r="F39" s="13">
        <v>101</v>
      </c>
      <c r="G39" s="13">
        <v>101</v>
      </c>
      <c r="H39">
        <v>1</v>
      </c>
      <c r="I39" t="str">
        <f t="shared" si="0"/>
        <v>101|101</v>
      </c>
      <c r="J39" s="16">
        <v>0</v>
      </c>
    </row>
    <row r="40" customFormat="1" spans="1:10">
      <c r="A40" s="17">
        <v>1200101</v>
      </c>
      <c r="B40" s="21">
        <v>31</v>
      </c>
      <c r="C40" s="21">
        <v>25</v>
      </c>
      <c r="D40" s="10" t="s">
        <v>278</v>
      </c>
      <c r="E40">
        <v>10001</v>
      </c>
      <c r="F40" s="13">
        <v>135</v>
      </c>
      <c r="G40" s="13">
        <v>135</v>
      </c>
      <c r="H40">
        <v>1</v>
      </c>
      <c r="I40" t="str">
        <f t="shared" si="0"/>
        <v>135|135</v>
      </c>
      <c r="J40" s="16">
        <v>0</v>
      </c>
    </row>
    <row r="41" customFormat="1" spans="1:10">
      <c r="A41" s="17">
        <v>1200101</v>
      </c>
      <c r="B41" s="21">
        <v>37</v>
      </c>
      <c r="C41" s="21">
        <v>31</v>
      </c>
      <c r="D41" s="10" t="s">
        <v>278</v>
      </c>
      <c r="E41">
        <v>10001</v>
      </c>
      <c r="F41" s="13">
        <v>168</v>
      </c>
      <c r="G41" s="13">
        <v>168</v>
      </c>
      <c r="H41">
        <v>1</v>
      </c>
      <c r="I41" t="str">
        <f t="shared" si="0"/>
        <v>168|168</v>
      </c>
      <c r="J41" s="16">
        <v>0</v>
      </c>
    </row>
    <row r="42" customFormat="1" spans="1:10">
      <c r="A42" s="17">
        <v>1200101</v>
      </c>
      <c r="B42" s="21">
        <v>43</v>
      </c>
      <c r="C42" s="21">
        <v>37</v>
      </c>
      <c r="D42" s="10" t="s">
        <v>278</v>
      </c>
      <c r="E42">
        <v>10001</v>
      </c>
      <c r="F42" s="13">
        <v>224</v>
      </c>
      <c r="G42" s="13">
        <v>224</v>
      </c>
      <c r="H42">
        <v>1</v>
      </c>
      <c r="I42" t="str">
        <f t="shared" si="0"/>
        <v>224|224</v>
      </c>
      <c r="J42" s="16">
        <v>0</v>
      </c>
    </row>
    <row r="43" customFormat="1" spans="1:10">
      <c r="A43" s="17">
        <v>1200101</v>
      </c>
      <c r="B43" s="21">
        <v>49</v>
      </c>
      <c r="C43" s="21">
        <v>43</v>
      </c>
      <c r="D43" s="10" t="s">
        <v>278</v>
      </c>
      <c r="E43">
        <v>10001</v>
      </c>
      <c r="F43" s="13">
        <v>280</v>
      </c>
      <c r="G43" s="13">
        <v>280</v>
      </c>
      <c r="H43">
        <v>1</v>
      </c>
      <c r="I43" t="str">
        <f t="shared" si="0"/>
        <v>280|280</v>
      </c>
      <c r="J43" s="16">
        <v>0</v>
      </c>
    </row>
    <row r="44" customFormat="1" spans="1:10">
      <c r="A44" s="17">
        <v>1200101</v>
      </c>
      <c r="B44" s="21">
        <v>55</v>
      </c>
      <c r="C44" s="21">
        <v>49</v>
      </c>
      <c r="D44" s="10" t="s">
        <v>278</v>
      </c>
      <c r="E44">
        <v>10001</v>
      </c>
      <c r="F44" s="13">
        <v>336</v>
      </c>
      <c r="G44" s="13">
        <v>336</v>
      </c>
      <c r="H44">
        <v>1</v>
      </c>
      <c r="I44" t="str">
        <f t="shared" si="0"/>
        <v>336|336</v>
      </c>
      <c r="J44" s="16">
        <v>0</v>
      </c>
    </row>
    <row r="45" customFormat="1" spans="1:10">
      <c r="A45" s="17">
        <v>1200101</v>
      </c>
      <c r="B45" s="21">
        <v>61</v>
      </c>
      <c r="C45" s="21">
        <v>55</v>
      </c>
      <c r="D45" s="10" t="s">
        <v>278</v>
      </c>
      <c r="E45">
        <v>10001</v>
      </c>
      <c r="F45" s="13">
        <v>448</v>
      </c>
      <c r="G45" s="13">
        <v>448</v>
      </c>
      <c r="H45">
        <v>1</v>
      </c>
      <c r="I45" t="str">
        <f t="shared" si="0"/>
        <v>448|448</v>
      </c>
      <c r="J45" s="16">
        <v>0</v>
      </c>
    </row>
    <row r="46" customFormat="1" spans="1:10">
      <c r="A46" s="17">
        <v>1200101</v>
      </c>
      <c r="B46" s="21">
        <v>67</v>
      </c>
      <c r="C46" s="21">
        <v>61</v>
      </c>
      <c r="D46" s="10" t="s">
        <v>278</v>
      </c>
      <c r="E46">
        <v>10001</v>
      </c>
      <c r="F46" s="13">
        <v>616</v>
      </c>
      <c r="G46" s="13">
        <v>616</v>
      </c>
      <c r="H46">
        <v>1</v>
      </c>
      <c r="I46" t="str">
        <f t="shared" si="0"/>
        <v>616|616</v>
      </c>
      <c r="J46" s="16">
        <v>0</v>
      </c>
    </row>
    <row r="47" customFormat="1" spans="1:10">
      <c r="A47" s="17">
        <v>1200101</v>
      </c>
      <c r="B47" s="21">
        <v>75</v>
      </c>
      <c r="C47" s="21">
        <v>67</v>
      </c>
      <c r="D47" s="10" t="s">
        <v>278</v>
      </c>
      <c r="E47">
        <v>10001</v>
      </c>
      <c r="F47" s="13">
        <v>840</v>
      </c>
      <c r="G47" s="13">
        <v>840</v>
      </c>
      <c r="H47">
        <v>1</v>
      </c>
      <c r="I47" t="str">
        <f t="shared" si="0"/>
        <v>840|840</v>
      </c>
      <c r="J47" s="16">
        <v>0</v>
      </c>
    </row>
    <row r="48" customFormat="1" spans="1:10">
      <c r="A48" s="17">
        <v>1200101</v>
      </c>
      <c r="B48" s="21">
        <v>90</v>
      </c>
      <c r="C48" s="21">
        <v>75</v>
      </c>
      <c r="D48" s="10" t="s">
        <v>278</v>
      </c>
      <c r="E48">
        <v>10001</v>
      </c>
      <c r="F48" s="13">
        <v>1155</v>
      </c>
      <c r="G48" s="13">
        <v>1400</v>
      </c>
      <c r="H48">
        <v>1</v>
      </c>
      <c r="I48" t="str">
        <f t="shared" si="0"/>
        <v>1155|1400</v>
      </c>
      <c r="J48" s="16">
        <v>0</v>
      </c>
    </row>
    <row r="49" customFormat="1" spans="1:10">
      <c r="A49" s="17">
        <v>1300101</v>
      </c>
      <c r="B49" s="21">
        <v>1</v>
      </c>
      <c r="C49" s="21">
        <v>1</v>
      </c>
      <c r="D49" s="10" t="s">
        <v>279</v>
      </c>
      <c r="E49">
        <v>10001</v>
      </c>
      <c r="F49" s="13">
        <v>34</v>
      </c>
      <c r="G49" s="13">
        <v>34</v>
      </c>
      <c r="H49">
        <v>1</v>
      </c>
      <c r="I49" t="str">
        <f t="shared" si="0"/>
        <v>34|34</v>
      </c>
      <c r="J49" s="16">
        <v>0</v>
      </c>
    </row>
    <row r="50" customFormat="1" spans="1:10">
      <c r="A50" s="17">
        <v>1300101</v>
      </c>
      <c r="B50" s="21">
        <v>4</v>
      </c>
      <c r="C50" s="21">
        <v>1</v>
      </c>
      <c r="D50" s="10" t="s">
        <v>279</v>
      </c>
      <c r="E50">
        <v>10001</v>
      </c>
      <c r="F50" s="13">
        <v>56</v>
      </c>
      <c r="G50" s="13">
        <v>56</v>
      </c>
      <c r="H50">
        <v>1</v>
      </c>
      <c r="I50" t="str">
        <f t="shared" si="0"/>
        <v>56|56</v>
      </c>
      <c r="J50" s="16">
        <v>0</v>
      </c>
    </row>
    <row r="51" customFormat="1" spans="1:10">
      <c r="A51" s="17">
        <v>1300101</v>
      </c>
      <c r="B51" s="21">
        <v>8</v>
      </c>
      <c r="C51" s="21">
        <v>4</v>
      </c>
      <c r="D51" s="10" t="s">
        <v>279</v>
      </c>
      <c r="E51">
        <v>10001</v>
      </c>
      <c r="F51" s="13">
        <v>79</v>
      </c>
      <c r="G51" s="13">
        <v>79</v>
      </c>
      <c r="H51">
        <v>1</v>
      </c>
      <c r="I51" t="str">
        <f t="shared" si="0"/>
        <v>79|79</v>
      </c>
      <c r="J51" s="16">
        <v>0</v>
      </c>
    </row>
    <row r="52" customFormat="1" spans="1:10">
      <c r="A52" s="17">
        <v>1300101</v>
      </c>
      <c r="B52" s="21">
        <v>13</v>
      </c>
      <c r="C52" s="21">
        <v>8</v>
      </c>
      <c r="D52" s="10" t="s">
        <v>279</v>
      </c>
      <c r="E52">
        <v>10001</v>
      </c>
      <c r="F52" s="13">
        <v>112</v>
      </c>
      <c r="G52" s="13">
        <v>112</v>
      </c>
      <c r="H52">
        <v>1</v>
      </c>
      <c r="I52" t="str">
        <f t="shared" si="0"/>
        <v>112|112</v>
      </c>
      <c r="J52" s="16">
        <v>0</v>
      </c>
    </row>
    <row r="53" s="16" customFormat="1" spans="1:10">
      <c r="A53" s="17">
        <v>1300101</v>
      </c>
      <c r="B53" s="21">
        <v>19</v>
      </c>
      <c r="C53" s="21">
        <v>13</v>
      </c>
      <c r="D53" s="10" t="s">
        <v>279</v>
      </c>
      <c r="E53">
        <v>10001</v>
      </c>
      <c r="F53" s="13">
        <v>157</v>
      </c>
      <c r="G53" s="13">
        <v>157</v>
      </c>
      <c r="H53">
        <v>1</v>
      </c>
      <c r="I53" t="str">
        <f t="shared" si="0"/>
        <v>157|157</v>
      </c>
      <c r="J53" s="16">
        <v>0</v>
      </c>
    </row>
    <row r="54" spans="1:10">
      <c r="A54" s="17">
        <v>1300101</v>
      </c>
      <c r="B54" s="21">
        <v>25</v>
      </c>
      <c r="C54" s="21">
        <v>19</v>
      </c>
      <c r="D54" s="10" t="s">
        <v>279</v>
      </c>
      <c r="E54">
        <v>10001</v>
      </c>
      <c r="F54" s="13">
        <v>202</v>
      </c>
      <c r="G54" s="13">
        <v>202</v>
      </c>
      <c r="H54">
        <v>1</v>
      </c>
      <c r="I54" t="str">
        <f t="shared" si="0"/>
        <v>202|202</v>
      </c>
      <c r="J54" s="16">
        <v>0</v>
      </c>
    </row>
    <row r="55" spans="1:10">
      <c r="A55" s="17">
        <v>1300101</v>
      </c>
      <c r="B55" s="21">
        <v>31</v>
      </c>
      <c r="C55" s="21">
        <v>25</v>
      </c>
      <c r="D55" s="10" t="s">
        <v>279</v>
      </c>
      <c r="E55">
        <v>10001</v>
      </c>
      <c r="F55" s="13">
        <v>269</v>
      </c>
      <c r="G55" s="13">
        <v>269</v>
      </c>
      <c r="H55">
        <v>1</v>
      </c>
      <c r="I55" t="str">
        <f t="shared" si="0"/>
        <v>269|269</v>
      </c>
      <c r="J55" s="16">
        <v>0</v>
      </c>
    </row>
    <row r="56" spans="1:10">
      <c r="A56" s="17">
        <v>1300101</v>
      </c>
      <c r="B56" s="21">
        <v>37</v>
      </c>
      <c r="C56" s="21">
        <v>31</v>
      </c>
      <c r="D56" s="10" t="s">
        <v>279</v>
      </c>
      <c r="E56">
        <v>10001</v>
      </c>
      <c r="F56" s="13">
        <v>336</v>
      </c>
      <c r="G56" s="13">
        <v>336</v>
      </c>
      <c r="H56">
        <v>1</v>
      </c>
      <c r="I56" t="str">
        <f t="shared" si="0"/>
        <v>336|336</v>
      </c>
      <c r="J56" s="16">
        <v>0</v>
      </c>
    </row>
    <row r="57" spans="1:10">
      <c r="A57" s="17">
        <v>1300101</v>
      </c>
      <c r="B57" s="21">
        <v>43</v>
      </c>
      <c r="C57" s="21">
        <v>37</v>
      </c>
      <c r="D57" s="10" t="s">
        <v>279</v>
      </c>
      <c r="E57">
        <v>10001</v>
      </c>
      <c r="F57" s="13">
        <v>448</v>
      </c>
      <c r="G57" s="13">
        <v>448</v>
      </c>
      <c r="H57">
        <v>1</v>
      </c>
      <c r="I57" t="str">
        <f t="shared" si="0"/>
        <v>448|448</v>
      </c>
      <c r="J57" s="16">
        <v>0</v>
      </c>
    </row>
    <row r="58" spans="1:10">
      <c r="A58" s="17">
        <v>1300101</v>
      </c>
      <c r="B58" s="21">
        <v>49</v>
      </c>
      <c r="C58" s="21">
        <v>43</v>
      </c>
      <c r="D58" s="10" t="s">
        <v>279</v>
      </c>
      <c r="E58">
        <v>10001</v>
      </c>
      <c r="F58" s="13">
        <v>560</v>
      </c>
      <c r="G58" s="13">
        <v>560</v>
      </c>
      <c r="H58">
        <v>1</v>
      </c>
      <c r="I58" t="str">
        <f t="shared" si="0"/>
        <v>560|560</v>
      </c>
      <c r="J58" s="16">
        <v>0</v>
      </c>
    </row>
    <row r="59" spans="1:10">
      <c r="A59" s="17">
        <v>1300101</v>
      </c>
      <c r="B59" s="21">
        <v>55</v>
      </c>
      <c r="C59" s="21">
        <v>49</v>
      </c>
      <c r="D59" s="10" t="s">
        <v>279</v>
      </c>
      <c r="E59">
        <v>10001</v>
      </c>
      <c r="F59" s="13">
        <v>672</v>
      </c>
      <c r="G59" s="13">
        <v>672</v>
      </c>
      <c r="H59">
        <v>1</v>
      </c>
      <c r="I59" t="str">
        <f t="shared" si="0"/>
        <v>672|672</v>
      </c>
      <c r="J59" s="16">
        <v>0</v>
      </c>
    </row>
    <row r="60" customFormat="1" spans="1:10">
      <c r="A60" s="17">
        <v>1300101</v>
      </c>
      <c r="B60" s="21">
        <v>61</v>
      </c>
      <c r="C60" s="21">
        <v>55</v>
      </c>
      <c r="D60" s="10" t="s">
        <v>279</v>
      </c>
      <c r="E60">
        <v>10001</v>
      </c>
      <c r="F60" s="13">
        <v>896</v>
      </c>
      <c r="G60" s="13">
        <v>896</v>
      </c>
      <c r="H60">
        <v>1</v>
      </c>
      <c r="I60" t="str">
        <f t="shared" si="0"/>
        <v>896|896</v>
      </c>
      <c r="J60" s="16">
        <v>0</v>
      </c>
    </row>
    <row r="61" customFormat="1" spans="1:10">
      <c r="A61" s="17">
        <v>1300101</v>
      </c>
      <c r="B61" s="21">
        <v>67</v>
      </c>
      <c r="C61" s="21">
        <v>61</v>
      </c>
      <c r="D61" s="10" t="s">
        <v>279</v>
      </c>
      <c r="E61">
        <v>10001</v>
      </c>
      <c r="F61" s="13">
        <v>1232</v>
      </c>
      <c r="G61" s="13">
        <v>1232</v>
      </c>
      <c r="H61">
        <v>1</v>
      </c>
      <c r="I61" t="str">
        <f t="shared" si="0"/>
        <v>1232|1232</v>
      </c>
      <c r="J61" s="16">
        <v>0</v>
      </c>
    </row>
    <row r="62" customFormat="1" spans="1:10">
      <c r="A62" s="17">
        <v>1300101</v>
      </c>
      <c r="B62" s="21">
        <v>75</v>
      </c>
      <c r="C62" s="21">
        <v>67</v>
      </c>
      <c r="D62" s="10" t="s">
        <v>279</v>
      </c>
      <c r="E62">
        <v>10001</v>
      </c>
      <c r="F62" s="13">
        <v>1680</v>
      </c>
      <c r="G62" s="13">
        <v>1680</v>
      </c>
      <c r="H62">
        <v>1</v>
      </c>
      <c r="I62" t="str">
        <f t="shared" si="0"/>
        <v>1680|1680</v>
      </c>
      <c r="J62" s="16">
        <v>0</v>
      </c>
    </row>
    <row r="63" customFormat="1" spans="1:10">
      <c r="A63" s="17">
        <v>1300101</v>
      </c>
      <c r="B63" s="21">
        <v>90</v>
      </c>
      <c r="C63" s="21">
        <v>75</v>
      </c>
      <c r="D63" s="10" t="s">
        <v>279</v>
      </c>
      <c r="E63">
        <v>10001</v>
      </c>
      <c r="F63" s="13">
        <v>2310</v>
      </c>
      <c r="G63" s="13">
        <v>2800</v>
      </c>
      <c r="H63">
        <v>1</v>
      </c>
      <c r="I63" t="str">
        <f t="shared" si="0"/>
        <v>2310|2800</v>
      </c>
      <c r="J63" s="16">
        <v>0</v>
      </c>
    </row>
    <row r="64" s="16" customFormat="1" spans="1:10">
      <c r="A64" s="17">
        <v>1400101</v>
      </c>
      <c r="B64" s="21">
        <v>1</v>
      </c>
      <c r="C64" s="21">
        <v>1</v>
      </c>
      <c r="D64" s="10" t="s">
        <v>280</v>
      </c>
      <c r="E64">
        <v>10001</v>
      </c>
      <c r="F64" s="13">
        <v>17</v>
      </c>
      <c r="G64" s="13">
        <v>17</v>
      </c>
      <c r="H64">
        <v>1</v>
      </c>
      <c r="I64" t="str">
        <f t="shared" si="0"/>
        <v>17|17</v>
      </c>
      <c r="J64" s="16">
        <v>0</v>
      </c>
    </row>
    <row r="65" spans="1:10">
      <c r="A65" s="17">
        <v>1400101</v>
      </c>
      <c r="B65" s="21">
        <v>4</v>
      </c>
      <c r="C65" s="21">
        <v>1</v>
      </c>
      <c r="D65" s="10" t="s">
        <v>280</v>
      </c>
      <c r="E65">
        <v>10001</v>
      </c>
      <c r="F65" s="13">
        <v>28</v>
      </c>
      <c r="G65" s="13">
        <v>28</v>
      </c>
      <c r="H65">
        <v>1</v>
      </c>
      <c r="I65" t="str">
        <f t="shared" si="0"/>
        <v>28|28</v>
      </c>
      <c r="J65" s="16">
        <v>0</v>
      </c>
    </row>
    <row r="66" spans="1:10">
      <c r="A66" s="17">
        <v>1400101</v>
      </c>
      <c r="B66" s="21">
        <v>8</v>
      </c>
      <c r="C66" s="21">
        <v>4</v>
      </c>
      <c r="D66" s="10" t="s">
        <v>280</v>
      </c>
      <c r="E66">
        <v>10001</v>
      </c>
      <c r="F66" s="13">
        <v>40</v>
      </c>
      <c r="G66" s="13">
        <v>40</v>
      </c>
      <c r="H66">
        <v>1</v>
      </c>
      <c r="I66" t="str">
        <f t="shared" si="0"/>
        <v>40|40</v>
      </c>
      <c r="J66" s="16">
        <v>0</v>
      </c>
    </row>
    <row r="67" spans="1:10">
      <c r="A67" s="17">
        <v>1400101</v>
      </c>
      <c r="B67" s="21">
        <v>13</v>
      </c>
      <c r="C67" s="21">
        <v>8</v>
      </c>
      <c r="D67" s="10" t="s">
        <v>280</v>
      </c>
      <c r="E67">
        <v>10001</v>
      </c>
      <c r="F67" s="13">
        <v>56</v>
      </c>
      <c r="G67" s="13">
        <v>56</v>
      </c>
      <c r="H67">
        <v>1</v>
      </c>
      <c r="I67" t="str">
        <f t="shared" si="0"/>
        <v>56|56</v>
      </c>
      <c r="J67" s="16">
        <v>0</v>
      </c>
    </row>
    <row r="68" customFormat="1" spans="1:10">
      <c r="A68" s="17">
        <v>1400101</v>
      </c>
      <c r="B68" s="21">
        <v>19</v>
      </c>
      <c r="C68" s="21">
        <v>13</v>
      </c>
      <c r="D68" s="10" t="s">
        <v>280</v>
      </c>
      <c r="E68">
        <v>10001</v>
      </c>
      <c r="F68" s="13">
        <v>79</v>
      </c>
      <c r="G68" s="13">
        <v>79</v>
      </c>
      <c r="H68">
        <v>1</v>
      </c>
      <c r="I68" t="str">
        <f t="shared" ref="I68:I131" si="1">_xlfn.TEXTJOIN("|",0,F68:G68)</f>
        <v>79|79</v>
      </c>
      <c r="J68" s="16">
        <v>0</v>
      </c>
    </row>
    <row r="69" customFormat="1" spans="1:10">
      <c r="A69" s="17">
        <v>1400101</v>
      </c>
      <c r="B69" s="21">
        <v>25</v>
      </c>
      <c r="C69" s="21">
        <v>19</v>
      </c>
      <c r="D69" s="10" t="s">
        <v>280</v>
      </c>
      <c r="E69">
        <v>10001</v>
      </c>
      <c r="F69" s="13">
        <v>101</v>
      </c>
      <c r="G69" s="13">
        <v>101</v>
      </c>
      <c r="H69">
        <v>1</v>
      </c>
      <c r="I69" t="str">
        <f t="shared" si="1"/>
        <v>101|101</v>
      </c>
      <c r="J69" s="16">
        <v>0</v>
      </c>
    </row>
    <row r="70" customFormat="1" spans="1:10">
      <c r="A70" s="17">
        <v>1400101</v>
      </c>
      <c r="B70" s="21">
        <v>31</v>
      </c>
      <c r="C70" s="21">
        <v>25</v>
      </c>
      <c r="D70" s="10" t="s">
        <v>280</v>
      </c>
      <c r="E70">
        <v>10001</v>
      </c>
      <c r="F70" s="13">
        <v>135</v>
      </c>
      <c r="G70" s="13">
        <v>135</v>
      </c>
      <c r="H70">
        <v>1</v>
      </c>
      <c r="I70" t="str">
        <f t="shared" si="1"/>
        <v>135|135</v>
      </c>
      <c r="J70" s="16">
        <v>0</v>
      </c>
    </row>
    <row r="71" customFormat="1" spans="1:10">
      <c r="A71" s="17">
        <v>1400101</v>
      </c>
      <c r="B71" s="21">
        <v>37</v>
      </c>
      <c r="C71" s="21">
        <v>31</v>
      </c>
      <c r="D71" s="10" t="s">
        <v>280</v>
      </c>
      <c r="E71">
        <v>10001</v>
      </c>
      <c r="F71" s="13">
        <v>168</v>
      </c>
      <c r="G71" s="13">
        <v>168</v>
      </c>
      <c r="H71">
        <v>1</v>
      </c>
      <c r="I71" t="str">
        <f t="shared" si="1"/>
        <v>168|168</v>
      </c>
      <c r="J71" s="16">
        <v>0</v>
      </c>
    </row>
    <row r="72" customFormat="1" spans="1:10">
      <c r="A72" s="17">
        <v>1400101</v>
      </c>
      <c r="B72" s="21">
        <v>43</v>
      </c>
      <c r="C72" s="21">
        <v>37</v>
      </c>
      <c r="D72" s="10" t="s">
        <v>280</v>
      </c>
      <c r="E72">
        <v>10001</v>
      </c>
      <c r="F72" s="13">
        <v>224</v>
      </c>
      <c r="G72" s="13">
        <v>224</v>
      </c>
      <c r="H72">
        <v>1</v>
      </c>
      <c r="I72" t="str">
        <f t="shared" si="1"/>
        <v>224|224</v>
      </c>
      <c r="J72" s="16">
        <v>0</v>
      </c>
    </row>
    <row r="73" customFormat="1" spans="1:10">
      <c r="A73" s="17">
        <v>1400101</v>
      </c>
      <c r="B73" s="21">
        <v>49</v>
      </c>
      <c r="C73" s="21">
        <v>43</v>
      </c>
      <c r="D73" s="10" t="s">
        <v>280</v>
      </c>
      <c r="E73">
        <v>10001</v>
      </c>
      <c r="F73" s="13">
        <v>280</v>
      </c>
      <c r="G73" s="13">
        <v>280</v>
      </c>
      <c r="H73">
        <v>1</v>
      </c>
      <c r="I73" t="str">
        <f t="shared" si="1"/>
        <v>280|280</v>
      </c>
      <c r="J73" s="16">
        <v>0</v>
      </c>
    </row>
    <row r="74" customFormat="1" spans="1:10">
      <c r="A74" s="17">
        <v>1400101</v>
      </c>
      <c r="B74" s="21">
        <v>55</v>
      </c>
      <c r="C74" s="21">
        <v>49</v>
      </c>
      <c r="D74" s="10" t="s">
        <v>280</v>
      </c>
      <c r="E74">
        <v>10001</v>
      </c>
      <c r="F74" s="13">
        <v>336</v>
      </c>
      <c r="G74" s="13">
        <v>336</v>
      </c>
      <c r="H74">
        <v>1</v>
      </c>
      <c r="I74" t="str">
        <f t="shared" si="1"/>
        <v>336|336</v>
      </c>
      <c r="J74" s="16">
        <v>0</v>
      </c>
    </row>
    <row r="75" customFormat="1" spans="1:10">
      <c r="A75" s="17">
        <v>1400101</v>
      </c>
      <c r="B75" s="21">
        <v>61</v>
      </c>
      <c r="C75" s="21">
        <v>55</v>
      </c>
      <c r="D75" s="10" t="s">
        <v>280</v>
      </c>
      <c r="E75">
        <v>10001</v>
      </c>
      <c r="F75" s="13">
        <v>448</v>
      </c>
      <c r="G75" s="13">
        <v>448</v>
      </c>
      <c r="H75">
        <v>1</v>
      </c>
      <c r="I75" t="str">
        <f t="shared" si="1"/>
        <v>448|448</v>
      </c>
      <c r="J75" s="16">
        <v>0</v>
      </c>
    </row>
    <row r="76" customFormat="1" spans="1:10">
      <c r="A76" s="17">
        <v>1400101</v>
      </c>
      <c r="B76" s="21">
        <v>67</v>
      </c>
      <c r="C76" s="21">
        <v>61</v>
      </c>
      <c r="D76" s="10" t="s">
        <v>280</v>
      </c>
      <c r="E76">
        <v>10001</v>
      </c>
      <c r="F76" s="13">
        <v>616</v>
      </c>
      <c r="G76" s="13">
        <v>616</v>
      </c>
      <c r="H76">
        <v>1</v>
      </c>
      <c r="I76" t="str">
        <f t="shared" si="1"/>
        <v>616|616</v>
      </c>
      <c r="J76" s="16">
        <v>0</v>
      </c>
    </row>
    <row r="77" customFormat="1" spans="1:10">
      <c r="A77" s="17">
        <v>1400101</v>
      </c>
      <c r="B77" s="21">
        <v>75</v>
      </c>
      <c r="C77" s="21">
        <v>67</v>
      </c>
      <c r="D77" s="10" t="s">
        <v>280</v>
      </c>
      <c r="E77">
        <v>10001</v>
      </c>
      <c r="F77" s="13">
        <v>840</v>
      </c>
      <c r="G77" s="13">
        <v>840</v>
      </c>
      <c r="H77">
        <v>1</v>
      </c>
      <c r="I77" t="str">
        <f t="shared" si="1"/>
        <v>840|840</v>
      </c>
      <c r="J77" s="16">
        <v>0</v>
      </c>
    </row>
    <row r="78" customFormat="1" spans="1:10">
      <c r="A78" s="17">
        <v>1400101</v>
      </c>
      <c r="B78" s="21">
        <v>90</v>
      </c>
      <c r="C78" s="21">
        <v>75</v>
      </c>
      <c r="D78" s="10" t="s">
        <v>280</v>
      </c>
      <c r="E78">
        <v>10001</v>
      </c>
      <c r="F78" s="13">
        <v>1155</v>
      </c>
      <c r="G78" s="13">
        <v>1400</v>
      </c>
      <c r="H78">
        <v>1</v>
      </c>
      <c r="I78" t="str">
        <f t="shared" si="1"/>
        <v>1155|1400</v>
      </c>
      <c r="J78" s="16">
        <v>0</v>
      </c>
    </row>
    <row r="79" customFormat="1" spans="1:10">
      <c r="A79" s="17">
        <v>1500101</v>
      </c>
      <c r="B79" s="21">
        <v>1</v>
      </c>
      <c r="C79" s="21">
        <v>1</v>
      </c>
      <c r="D79" s="10" t="s">
        <v>281</v>
      </c>
      <c r="E79">
        <v>10001</v>
      </c>
      <c r="F79" s="13">
        <v>17</v>
      </c>
      <c r="G79" s="13">
        <v>17</v>
      </c>
      <c r="H79">
        <v>1</v>
      </c>
      <c r="I79" t="str">
        <f t="shared" si="1"/>
        <v>17|17</v>
      </c>
      <c r="J79" s="16">
        <v>0</v>
      </c>
    </row>
    <row r="80" customFormat="1" spans="1:10">
      <c r="A80" s="17">
        <v>1500101</v>
      </c>
      <c r="B80" s="21">
        <v>4</v>
      </c>
      <c r="C80" s="21">
        <v>1</v>
      </c>
      <c r="D80" s="10" t="s">
        <v>281</v>
      </c>
      <c r="E80">
        <v>10001</v>
      </c>
      <c r="F80" s="13">
        <v>28</v>
      </c>
      <c r="G80" s="13">
        <v>28</v>
      </c>
      <c r="H80">
        <v>1</v>
      </c>
      <c r="I80" t="str">
        <f t="shared" si="1"/>
        <v>28|28</v>
      </c>
      <c r="J80" s="16">
        <v>0</v>
      </c>
    </row>
    <row r="81" customFormat="1" spans="1:10">
      <c r="A81" s="17">
        <v>1500101</v>
      </c>
      <c r="B81" s="21">
        <v>8</v>
      </c>
      <c r="C81" s="21">
        <v>4</v>
      </c>
      <c r="D81" s="10" t="s">
        <v>281</v>
      </c>
      <c r="E81">
        <v>10001</v>
      </c>
      <c r="F81" s="13">
        <v>40</v>
      </c>
      <c r="G81" s="13">
        <v>40</v>
      </c>
      <c r="H81">
        <v>1</v>
      </c>
      <c r="I81" t="str">
        <f t="shared" si="1"/>
        <v>40|40</v>
      </c>
      <c r="J81" s="16">
        <v>0</v>
      </c>
    </row>
    <row r="82" customFormat="1" spans="1:10">
      <c r="A82" s="17">
        <v>1500101</v>
      </c>
      <c r="B82" s="21">
        <v>13</v>
      </c>
      <c r="C82" s="21">
        <v>8</v>
      </c>
      <c r="D82" s="10" t="s">
        <v>281</v>
      </c>
      <c r="E82">
        <v>10001</v>
      </c>
      <c r="F82" s="13">
        <v>56</v>
      </c>
      <c r="G82" s="13">
        <v>56</v>
      </c>
      <c r="H82">
        <v>1</v>
      </c>
      <c r="I82" t="str">
        <f t="shared" si="1"/>
        <v>56|56</v>
      </c>
      <c r="J82" s="16">
        <v>0</v>
      </c>
    </row>
    <row r="83" customFormat="1" spans="1:10">
      <c r="A83" s="17">
        <v>1500101</v>
      </c>
      <c r="B83" s="21">
        <v>19</v>
      </c>
      <c r="C83" s="21">
        <v>13</v>
      </c>
      <c r="D83" s="10" t="s">
        <v>281</v>
      </c>
      <c r="E83">
        <v>10001</v>
      </c>
      <c r="F83" s="13">
        <v>79</v>
      </c>
      <c r="G83" s="13">
        <v>79</v>
      </c>
      <c r="H83">
        <v>1</v>
      </c>
      <c r="I83" t="str">
        <f t="shared" si="1"/>
        <v>79|79</v>
      </c>
      <c r="J83" s="16">
        <v>0</v>
      </c>
    </row>
    <row r="84" customFormat="1" spans="1:10">
      <c r="A84" s="17">
        <v>1500101</v>
      </c>
      <c r="B84" s="21">
        <v>25</v>
      </c>
      <c r="C84" s="21">
        <v>19</v>
      </c>
      <c r="D84" s="10" t="s">
        <v>281</v>
      </c>
      <c r="E84">
        <v>10001</v>
      </c>
      <c r="F84" s="13">
        <v>101</v>
      </c>
      <c r="G84" s="13">
        <v>101</v>
      </c>
      <c r="H84">
        <v>1</v>
      </c>
      <c r="I84" t="str">
        <f t="shared" si="1"/>
        <v>101|101</v>
      </c>
      <c r="J84" s="16">
        <v>0</v>
      </c>
    </row>
    <row r="85" customFormat="1" spans="1:10">
      <c r="A85" s="17">
        <v>1500101</v>
      </c>
      <c r="B85" s="21">
        <v>31</v>
      </c>
      <c r="C85" s="21">
        <v>25</v>
      </c>
      <c r="D85" s="10" t="s">
        <v>281</v>
      </c>
      <c r="E85">
        <v>10001</v>
      </c>
      <c r="F85" s="13">
        <v>135</v>
      </c>
      <c r="G85" s="13">
        <v>135</v>
      </c>
      <c r="H85">
        <v>1</v>
      </c>
      <c r="I85" t="str">
        <f t="shared" si="1"/>
        <v>135|135</v>
      </c>
      <c r="J85" s="16">
        <v>0</v>
      </c>
    </row>
    <row r="86" customFormat="1" spans="1:10">
      <c r="A86" s="17">
        <v>1500101</v>
      </c>
      <c r="B86" s="21">
        <v>37</v>
      </c>
      <c r="C86" s="21">
        <v>31</v>
      </c>
      <c r="D86" s="10" t="s">
        <v>281</v>
      </c>
      <c r="E86">
        <v>10001</v>
      </c>
      <c r="F86" s="13">
        <v>168</v>
      </c>
      <c r="G86" s="13">
        <v>168</v>
      </c>
      <c r="H86">
        <v>1</v>
      </c>
      <c r="I86" t="str">
        <f t="shared" si="1"/>
        <v>168|168</v>
      </c>
      <c r="J86" s="16">
        <v>0</v>
      </c>
    </row>
    <row r="87" customFormat="1" spans="1:10">
      <c r="A87" s="17">
        <v>1500101</v>
      </c>
      <c r="B87" s="21">
        <v>43</v>
      </c>
      <c r="C87" s="21">
        <v>37</v>
      </c>
      <c r="D87" s="10" t="s">
        <v>281</v>
      </c>
      <c r="E87">
        <v>10001</v>
      </c>
      <c r="F87" s="13">
        <v>224</v>
      </c>
      <c r="G87" s="13">
        <v>224</v>
      </c>
      <c r="H87">
        <v>1</v>
      </c>
      <c r="I87" t="str">
        <f t="shared" si="1"/>
        <v>224|224</v>
      </c>
      <c r="J87" s="16">
        <v>0</v>
      </c>
    </row>
    <row r="88" customFormat="1" spans="1:10">
      <c r="A88" s="17">
        <v>1500101</v>
      </c>
      <c r="B88" s="21">
        <v>49</v>
      </c>
      <c r="C88" s="21">
        <v>43</v>
      </c>
      <c r="D88" s="10" t="s">
        <v>281</v>
      </c>
      <c r="E88">
        <v>10001</v>
      </c>
      <c r="F88" s="13">
        <v>280</v>
      </c>
      <c r="G88" s="13">
        <v>280</v>
      </c>
      <c r="H88">
        <v>1</v>
      </c>
      <c r="I88" t="str">
        <f t="shared" si="1"/>
        <v>280|280</v>
      </c>
      <c r="J88" s="16">
        <v>0</v>
      </c>
    </row>
    <row r="89" customFormat="1" spans="1:10">
      <c r="A89" s="17">
        <v>1500101</v>
      </c>
      <c r="B89" s="21">
        <v>55</v>
      </c>
      <c r="C89" s="21">
        <v>49</v>
      </c>
      <c r="D89" s="10" t="s">
        <v>281</v>
      </c>
      <c r="E89">
        <v>10001</v>
      </c>
      <c r="F89" s="13">
        <v>336</v>
      </c>
      <c r="G89" s="13">
        <v>336</v>
      </c>
      <c r="H89">
        <v>1</v>
      </c>
      <c r="I89" t="str">
        <f t="shared" si="1"/>
        <v>336|336</v>
      </c>
      <c r="J89" s="16">
        <v>0</v>
      </c>
    </row>
    <row r="90" customFormat="1" spans="1:10">
      <c r="A90" s="17">
        <v>1500101</v>
      </c>
      <c r="B90" s="21">
        <v>61</v>
      </c>
      <c r="C90" s="21">
        <v>55</v>
      </c>
      <c r="D90" s="10" t="s">
        <v>281</v>
      </c>
      <c r="E90">
        <v>10001</v>
      </c>
      <c r="F90" s="13">
        <v>448</v>
      </c>
      <c r="G90" s="13">
        <v>448</v>
      </c>
      <c r="H90">
        <v>1</v>
      </c>
      <c r="I90" t="str">
        <f t="shared" si="1"/>
        <v>448|448</v>
      </c>
      <c r="J90" s="16">
        <v>0</v>
      </c>
    </row>
    <row r="91" customFormat="1" spans="1:10">
      <c r="A91" s="17">
        <v>1500101</v>
      </c>
      <c r="B91" s="21">
        <v>67</v>
      </c>
      <c r="C91" s="21">
        <v>61</v>
      </c>
      <c r="D91" s="10" t="s">
        <v>281</v>
      </c>
      <c r="E91">
        <v>10001</v>
      </c>
      <c r="F91" s="13">
        <v>616</v>
      </c>
      <c r="G91" s="13">
        <v>616</v>
      </c>
      <c r="H91">
        <v>1</v>
      </c>
      <c r="I91" t="str">
        <f t="shared" si="1"/>
        <v>616|616</v>
      </c>
      <c r="J91" s="16">
        <v>0</v>
      </c>
    </row>
    <row r="92" customFormat="1" spans="1:10">
      <c r="A92" s="17">
        <v>1500101</v>
      </c>
      <c r="B92" s="21">
        <v>75</v>
      </c>
      <c r="C92" s="21">
        <v>67</v>
      </c>
      <c r="D92" s="10" t="s">
        <v>281</v>
      </c>
      <c r="E92">
        <v>10001</v>
      </c>
      <c r="F92" s="13">
        <v>840</v>
      </c>
      <c r="G92" s="13">
        <v>840</v>
      </c>
      <c r="H92">
        <v>1</v>
      </c>
      <c r="I92" t="str">
        <f t="shared" si="1"/>
        <v>840|840</v>
      </c>
      <c r="J92" s="16">
        <v>0</v>
      </c>
    </row>
    <row r="93" customFormat="1" spans="1:10">
      <c r="A93" s="17">
        <v>1500101</v>
      </c>
      <c r="B93" s="21">
        <v>90</v>
      </c>
      <c r="C93" s="21">
        <v>75</v>
      </c>
      <c r="D93" s="10" t="s">
        <v>281</v>
      </c>
      <c r="E93">
        <v>10001</v>
      </c>
      <c r="F93" s="13">
        <v>1155</v>
      </c>
      <c r="G93" s="13">
        <v>1400</v>
      </c>
      <c r="H93">
        <v>1</v>
      </c>
      <c r="I93" t="str">
        <f t="shared" si="1"/>
        <v>1155|1400</v>
      </c>
      <c r="J93" s="16">
        <v>0</v>
      </c>
    </row>
    <row r="94" customFormat="1" spans="1:10">
      <c r="A94" s="17">
        <v>1600101</v>
      </c>
      <c r="B94" s="21">
        <v>1</v>
      </c>
      <c r="C94" s="21">
        <v>1</v>
      </c>
      <c r="D94" s="10" t="s">
        <v>282</v>
      </c>
      <c r="E94">
        <v>10000</v>
      </c>
      <c r="F94">
        <v>6</v>
      </c>
      <c r="G94">
        <v>6</v>
      </c>
      <c r="H94">
        <v>1</v>
      </c>
      <c r="I94" t="str">
        <f t="shared" si="1"/>
        <v>6|6</v>
      </c>
      <c r="J94" s="16">
        <v>0</v>
      </c>
    </row>
    <row r="95" customFormat="1" spans="1:10">
      <c r="A95" s="17">
        <v>1600101</v>
      </c>
      <c r="B95" s="21">
        <v>4</v>
      </c>
      <c r="C95" s="21">
        <v>1</v>
      </c>
      <c r="D95" s="10" t="s">
        <v>282</v>
      </c>
      <c r="E95">
        <v>10000</v>
      </c>
      <c r="F95">
        <v>10</v>
      </c>
      <c r="G95">
        <v>10</v>
      </c>
      <c r="H95">
        <v>1</v>
      </c>
      <c r="I95" t="str">
        <f t="shared" si="1"/>
        <v>10|10</v>
      </c>
      <c r="J95" s="16">
        <v>0</v>
      </c>
    </row>
    <row r="96" customFormat="1" spans="1:10">
      <c r="A96" s="17">
        <v>1600101</v>
      </c>
      <c r="B96" s="21">
        <v>8</v>
      </c>
      <c r="C96" s="21">
        <v>4</v>
      </c>
      <c r="D96" s="10" t="s">
        <v>282</v>
      </c>
      <c r="E96">
        <v>10000</v>
      </c>
      <c r="F96">
        <v>14</v>
      </c>
      <c r="G96">
        <v>14</v>
      </c>
      <c r="H96">
        <v>1</v>
      </c>
      <c r="I96" t="str">
        <f t="shared" si="1"/>
        <v>14|14</v>
      </c>
      <c r="J96" s="16">
        <v>0</v>
      </c>
    </row>
    <row r="97" customFormat="1" spans="1:10">
      <c r="A97" s="17">
        <v>1600101</v>
      </c>
      <c r="B97" s="21">
        <v>13</v>
      </c>
      <c r="C97" s="21">
        <v>8</v>
      </c>
      <c r="D97" s="10" t="s">
        <v>282</v>
      </c>
      <c r="E97">
        <v>10000</v>
      </c>
      <c r="F97">
        <v>20</v>
      </c>
      <c r="G97">
        <v>20</v>
      </c>
      <c r="H97">
        <v>1</v>
      </c>
      <c r="I97" t="str">
        <f t="shared" si="1"/>
        <v>20|20</v>
      </c>
      <c r="J97" s="16">
        <v>0</v>
      </c>
    </row>
    <row r="98" customFormat="1" spans="1:10">
      <c r="A98" s="17">
        <v>1600101</v>
      </c>
      <c r="B98" s="21">
        <v>19</v>
      </c>
      <c r="C98" s="21">
        <v>13</v>
      </c>
      <c r="D98" s="10" t="s">
        <v>282</v>
      </c>
      <c r="E98">
        <v>10000</v>
      </c>
      <c r="F98">
        <v>28</v>
      </c>
      <c r="G98">
        <v>28</v>
      </c>
      <c r="H98">
        <v>1</v>
      </c>
      <c r="I98" t="str">
        <f t="shared" si="1"/>
        <v>28|28</v>
      </c>
      <c r="J98" s="16">
        <v>0</v>
      </c>
    </row>
    <row r="99" customFormat="1" spans="1:10">
      <c r="A99" s="17">
        <v>1600101</v>
      </c>
      <c r="B99" s="21">
        <v>25</v>
      </c>
      <c r="C99" s="21">
        <v>19</v>
      </c>
      <c r="D99" s="10" t="s">
        <v>282</v>
      </c>
      <c r="E99">
        <v>10000</v>
      </c>
      <c r="F99">
        <v>36</v>
      </c>
      <c r="G99">
        <v>36</v>
      </c>
      <c r="H99">
        <v>1</v>
      </c>
      <c r="I99" t="str">
        <f t="shared" si="1"/>
        <v>36|36</v>
      </c>
      <c r="J99" s="16">
        <v>0</v>
      </c>
    </row>
    <row r="100" customFormat="1" spans="1:10">
      <c r="A100" s="17">
        <v>1600101</v>
      </c>
      <c r="B100" s="21">
        <v>31</v>
      </c>
      <c r="C100" s="21">
        <v>25</v>
      </c>
      <c r="D100" s="10" t="s">
        <v>282</v>
      </c>
      <c r="E100">
        <v>10000</v>
      </c>
      <c r="F100">
        <v>48</v>
      </c>
      <c r="G100">
        <v>48</v>
      </c>
      <c r="H100">
        <v>1</v>
      </c>
      <c r="I100" t="str">
        <f t="shared" si="1"/>
        <v>48|48</v>
      </c>
      <c r="J100" s="16">
        <v>0</v>
      </c>
    </row>
    <row r="101" customFormat="1" spans="1:10">
      <c r="A101" s="17">
        <v>1600101</v>
      </c>
      <c r="B101" s="21">
        <v>37</v>
      </c>
      <c r="C101" s="21">
        <v>31</v>
      </c>
      <c r="D101" s="10" t="s">
        <v>282</v>
      </c>
      <c r="E101">
        <v>10000</v>
      </c>
      <c r="F101">
        <v>60</v>
      </c>
      <c r="G101">
        <v>60</v>
      </c>
      <c r="H101">
        <v>1</v>
      </c>
      <c r="I101" t="str">
        <f t="shared" si="1"/>
        <v>60|60</v>
      </c>
      <c r="J101" s="16">
        <v>0</v>
      </c>
    </row>
    <row r="102" customFormat="1" spans="1:10">
      <c r="A102" s="17">
        <v>1600101</v>
      </c>
      <c r="B102" s="21">
        <v>43</v>
      </c>
      <c r="C102" s="21">
        <v>37</v>
      </c>
      <c r="D102" s="10" t="s">
        <v>282</v>
      </c>
      <c r="E102">
        <v>10000</v>
      </c>
      <c r="F102">
        <v>80</v>
      </c>
      <c r="G102">
        <v>80</v>
      </c>
      <c r="H102">
        <v>1</v>
      </c>
      <c r="I102" t="str">
        <f t="shared" si="1"/>
        <v>80|80</v>
      </c>
      <c r="J102" s="16">
        <v>0</v>
      </c>
    </row>
    <row r="103" customFormat="1" spans="1:10">
      <c r="A103" s="17">
        <v>1600101</v>
      </c>
      <c r="B103" s="21">
        <v>49</v>
      </c>
      <c r="C103" s="21">
        <v>43</v>
      </c>
      <c r="D103" s="10" t="s">
        <v>282</v>
      </c>
      <c r="E103">
        <v>10000</v>
      </c>
      <c r="F103">
        <v>100</v>
      </c>
      <c r="G103">
        <v>100</v>
      </c>
      <c r="H103">
        <v>1</v>
      </c>
      <c r="I103" t="str">
        <f t="shared" si="1"/>
        <v>100|100</v>
      </c>
      <c r="J103" s="16">
        <v>0</v>
      </c>
    </row>
    <row r="104" customFormat="1" spans="1:10">
      <c r="A104" s="17">
        <v>1600101</v>
      </c>
      <c r="B104" s="21">
        <v>55</v>
      </c>
      <c r="C104" s="21">
        <v>49</v>
      </c>
      <c r="D104" s="10" t="s">
        <v>282</v>
      </c>
      <c r="E104">
        <v>10000</v>
      </c>
      <c r="F104">
        <v>120</v>
      </c>
      <c r="G104">
        <v>120</v>
      </c>
      <c r="H104">
        <v>1</v>
      </c>
      <c r="I104" t="str">
        <f t="shared" si="1"/>
        <v>120|120</v>
      </c>
      <c r="J104" s="16">
        <v>0</v>
      </c>
    </row>
    <row r="105" customFormat="1" spans="1:10">
      <c r="A105" s="17">
        <v>1600101</v>
      </c>
      <c r="B105" s="21">
        <v>61</v>
      </c>
      <c r="C105" s="21">
        <v>55</v>
      </c>
      <c r="D105" s="10" t="s">
        <v>282</v>
      </c>
      <c r="E105">
        <v>10000</v>
      </c>
      <c r="F105">
        <v>160</v>
      </c>
      <c r="G105">
        <v>160</v>
      </c>
      <c r="H105">
        <v>1</v>
      </c>
      <c r="I105" t="str">
        <f t="shared" si="1"/>
        <v>160|160</v>
      </c>
      <c r="J105" s="16">
        <v>0</v>
      </c>
    </row>
    <row r="106" customFormat="1" spans="1:10">
      <c r="A106" s="17">
        <v>1600101</v>
      </c>
      <c r="B106" s="21">
        <v>67</v>
      </c>
      <c r="C106" s="21">
        <v>61</v>
      </c>
      <c r="D106" s="10" t="s">
        <v>282</v>
      </c>
      <c r="E106">
        <v>10000</v>
      </c>
      <c r="F106">
        <v>220</v>
      </c>
      <c r="G106">
        <v>220</v>
      </c>
      <c r="H106">
        <v>1</v>
      </c>
      <c r="I106" t="str">
        <f t="shared" si="1"/>
        <v>220|220</v>
      </c>
      <c r="J106" s="16">
        <v>0</v>
      </c>
    </row>
    <row r="107" customFormat="1" spans="1:10">
      <c r="A107" s="17">
        <v>1600101</v>
      </c>
      <c r="B107" s="21">
        <v>75</v>
      </c>
      <c r="C107" s="21">
        <v>67</v>
      </c>
      <c r="D107" s="10" t="s">
        <v>282</v>
      </c>
      <c r="E107">
        <v>10000</v>
      </c>
      <c r="F107">
        <v>300</v>
      </c>
      <c r="G107">
        <v>300</v>
      </c>
      <c r="H107">
        <v>1</v>
      </c>
      <c r="I107" t="str">
        <f t="shared" si="1"/>
        <v>300|300</v>
      </c>
      <c r="J107" s="16">
        <v>0</v>
      </c>
    </row>
    <row r="108" customFormat="1" spans="1:10">
      <c r="A108" s="17">
        <v>1600101</v>
      </c>
      <c r="B108" s="21">
        <v>90</v>
      </c>
      <c r="C108" s="21">
        <v>75</v>
      </c>
      <c r="D108" s="10" t="s">
        <v>282</v>
      </c>
      <c r="E108">
        <v>10000</v>
      </c>
      <c r="F108">
        <v>330</v>
      </c>
      <c r="G108">
        <v>400</v>
      </c>
      <c r="H108">
        <v>1</v>
      </c>
      <c r="I108" t="str">
        <f t="shared" si="1"/>
        <v>330|400</v>
      </c>
      <c r="J108" s="16">
        <v>0</v>
      </c>
    </row>
    <row r="109" customFormat="1" spans="1:10">
      <c r="A109" s="17">
        <v>1700101</v>
      </c>
      <c r="B109" s="21">
        <v>1</v>
      </c>
      <c r="C109" s="21">
        <v>1</v>
      </c>
      <c r="D109" s="10" t="s">
        <v>283</v>
      </c>
      <c r="E109">
        <v>10014</v>
      </c>
      <c r="F109">
        <v>4</v>
      </c>
      <c r="G109">
        <v>4</v>
      </c>
      <c r="H109">
        <v>1</v>
      </c>
      <c r="I109" t="str">
        <f t="shared" si="1"/>
        <v>4|4</v>
      </c>
      <c r="J109" s="16">
        <v>2</v>
      </c>
    </row>
    <row r="110" customFormat="1" spans="1:10">
      <c r="A110" s="17">
        <v>1700101</v>
      </c>
      <c r="B110" s="21">
        <v>4</v>
      </c>
      <c r="C110" s="21">
        <v>1</v>
      </c>
      <c r="D110" s="10" t="s">
        <v>283</v>
      </c>
      <c r="E110">
        <v>10014</v>
      </c>
      <c r="F110">
        <v>17</v>
      </c>
      <c r="G110">
        <v>17</v>
      </c>
      <c r="H110">
        <v>1</v>
      </c>
      <c r="I110" t="str">
        <f t="shared" si="1"/>
        <v>17|17</v>
      </c>
      <c r="J110" s="16">
        <v>2</v>
      </c>
    </row>
    <row r="111" customFormat="1" spans="1:10">
      <c r="A111" s="17">
        <v>1700101</v>
      </c>
      <c r="B111" s="21">
        <v>8</v>
      </c>
      <c r="C111" s="21">
        <v>4</v>
      </c>
      <c r="D111" s="10" t="s">
        <v>283</v>
      </c>
      <c r="E111">
        <v>10014</v>
      </c>
      <c r="F111">
        <v>35</v>
      </c>
      <c r="G111">
        <v>35</v>
      </c>
      <c r="H111">
        <v>1</v>
      </c>
      <c r="I111" t="str">
        <f t="shared" si="1"/>
        <v>35|35</v>
      </c>
      <c r="J111" s="16">
        <v>2</v>
      </c>
    </row>
    <row r="112" customFormat="1" spans="1:10">
      <c r="A112" s="17">
        <v>1700101</v>
      </c>
      <c r="B112" s="21">
        <v>13</v>
      </c>
      <c r="C112" s="21">
        <v>8</v>
      </c>
      <c r="D112" s="10" t="s">
        <v>283</v>
      </c>
      <c r="E112">
        <v>10014</v>
      </c>
      <c r="F112">
        <v>57</v>
      </c>
      <c r="G112">
        <v>57</v>
      </c>
      <c r="H112">
        <v>1</v>
      </c>
      <c r="I112" t="str">
        <f t="shared" si="1"/>
        <v>57|57</v>
      </c>
      <c r="J112" s="16">
        <v>2</v>
      </c>
    </row>
    <row r="113" customFormat="1" spans="1:10">
      <c r="A113" s="17">
        <v>1700101</v>
      </c>
      <c r="B113" s="21">
        <v>19</v>
      </c>
      <c r="C113" s="21">
        <v>13</v>
      </c>
      <c r="D113" s="10" t="s">
        <v>283</v>
      </c>
      <c r="E113">
        <v>10014</v>
      </c>
      <c r="F113">
        <v>83</v>
      </c>
      <c r="G113">
        <v>83</v>
      </c>
      <c r="H113">
        <v>1</v>
      </c>
      <c r="I113" t="str">
        <f t="shared" si="1"/>
        <v>83|83</v>
      </c>
      <c r="J113" s="16">
        <v>2</v>
      </c>
    </row>
    <row r="114" customFormat="1" spans="1:10">
      <c r="A114" s="17">
        <v>1700101</v>
      </c>
      <c r="B114" s="21">
        <v>25</v>
      </c>
      <c r="C114" s="21">
        <v>19</v>
      </c>
      <c r="D114" s="10" t="s">
        <v>283</v>
      </c>
      <c r="E114">
        <v>10014</v>
      </c>
      <c r="F114">
        <v>110</v>
      </c>
      <c r="G114">
        <v>110</v>
      </c>
      <c r="H114">
        <v>1</v>
      </c>
      <c r="I114" t="str">
        <f t="shared" si="1"/>
        <v>110|110</v>
      </c>
      <c r="J114" s="16">
        <v>2</v>
      </c>
    </row>
    <row r="115" customFormat="1" spans="1:10">
      <c r="A115" s="17">
        <v>1700101</v>
      </c>
      <c r="B115" s="21">
        <v>31</v>
      </c>
      <c r="C115" s="21">
        <v>25</v>
      </c>
      <c r="D115" s="10" t="s">
        <v>283</v>
      </c>
      <c r="E115">
        <v>10014</v>
      </c>
      <c r="F115">
        <v>136</v>
      </c>
      <c r="G115">
        <v>136</v>
      </c>
      <c r="H115">
        <v>1</v>
      </c>
      <c r="I115" t="str">
        <f t="shared" si="1"/>
        <v>136|136</v>
      </c>
      <c r="J115" s="16">
        <v>2</v>
      </c>
    </row>
    <row r="116" customFormat="1" spans="1:10">
      <c r="A116" s="17">
        <v>1700101</v>
      </c>
      <c r="B116" s="21">
        <v>37</v>
      </c>
      <c r="C116" s="21">
        <v>31</v>
      </c>
      <c r="D116" s="10" t="s">
        <v>283</v>
      </c>
      <c r="E116">
        <v>10014</v>
      </c>
      <c r="F116">
        <v>163</v>
      </c>
      <c r="G116">
        <v>163</v>
      </c>
      <c r="H116">
        <v>1</v>
      </c>
      <c r="I116" t="str">
        <f t="shared" si="1"/>
        <v>163|163</v>
      </c>
      <c r="J116" s="16">
        <v>2</v>
      </c>
    </row>
    <row r="117" s="16" customFormat="1" spans="1:10">
      <c r="A117" s="17">
        <v>1700101</v>
      </c>
      <c r="B117" s="21">
        <v>43</v>
      </c>
      <c r="C117" s="21">
        <v>37</v>
      </c>
      <c r="D117" s="10" t="s">
        <v>283</v>
      </c>
      <c r="E117">
        <v>10014</v>
      </c>
      <c r="F117">
        <v>189</v>
      </c>
      <c r="G117">
        <v>189</v>
      </c>
      <c r="H117">
        <v>1</v>
      </c>
      <c r="I117" t="str">
        <f t="shared" si="1"/>
        <v>189|189</v>
      </c>
      <c r="J117" s="16">
        <v>2</v>
      </c>
    </row>
    <row r="118" spans="1:10">
      <c r="A118" s="17">
        <v>1700101</v>
      </c>
      <c r="B118" s="21">
        <v>49</v>
      </c>
      <c r="C118" s="21">
        <v>43</v>
      </c>
      <c r="D118" s="10" t="s">
        <v>283</v>
      </c>
      <c r="E118">
        <v>10014</v>
      </c>
      <c r="F118">
        <v>211</v>
      </c>
      <c r="G118">
        <v>211</v>
      </c>
      <c r="H118">
        <v>1</v>
      </c>
      <c r="I118" t="str">
        <f t="shared" si="1"/>
        <v>211|211</v>
      </c>
      <c r="J118" s="16">
        <v>2</v>
      </c>
    </row>
    <row r="119" spans="1:10">
      <c r="A119" s="17">
        <v>1700101</v>
      </c>
      <c r="B119" s="21">
        <v>55</v>
      </c>
      <c r="C119" s="21">
        <v>49</v>
      </c>
      <c r="D119" s="10" t="s">
        <v>283</v>
      </c>
      <c r="E119">
        <v>10014</v>
      </c>
      <c r="F119">
        <v>236</v>
      </c>
      <c r="G119">
        <v>236</v>
      </c>
      <c r="H119">
        <v>1</v>
      </c>
      <c r="I119" t="str">
        <f t="shared" si="1"/>
        <v>236|236</v>
      </c>
      <c r="J119" s="16">
        <v>2</v>
      </c>
    </row>
    <row r="120" spans="1:10">
      <c r="A120" s="17">
        <v>1700101</v>
      </c>
      <c r="B120" s="21">
        <v>61</v>
      </c>
      <c r="C120" s="21">
        <v>55</v>
      </c>
      <c r="D120" s="10" t="s">
        <v>283</v>
      </c>
      <c r="E120">
        <v>10014</v>
      </c>
      <c r="F120">
        <v>259</v>
      </c>
      <c r="G120">
        <v>259</v>
      </c>
      <c r="H120">
        <v>1</v>
      </c>
      <c r="I120" t="str">
        <f t="shared" si="1"/>
        <v>259|259</v>
      </c>
      <c r="J120" s="16">
        <v>2</v>
      </c>
    </row>
    <row r="121" spans="1:10">
      <c r="A121" s="17">
        <v>1700101</v>
      </c>
      <c r="B121" s="21">
        <v>67</v>
      </c>
      <c r="C121" s="21">
        <v>61</v>
      </c>
      <c r="D121" s="10" t="s">
        <v>283</v>
      </c>
      <c r="E121">
        <v>10014</v>
      </c>
      <c r="F121">
        <v>282</v>
      </c>
      <c r="G121">
        <v>282</v>
      </c>
      <c r="H121">
        <v>1</v>
      </c>
      <c r="I121" t="str">
        <f t="shared" si="1"/>
        <v>282|282</v>
      </c>
      <c r="J121" s="16">
        <v>2</v>
      </c>
    </row>
    <row r="122" spans="1:10">
      <c r="A122" s="17">
        <v>1700101</v>
      </c>
      <c r="B122" s="21">
        <v>75</v>
      </c>
      <c r="C122" s="21">
        <v>67</v>
      </c>
      <c r="D122" s="10" t="s">
        <v>283</v>
      </c>
      <c r="E122">
        <v>10014</v>
      </c>
      <c r="F122">
        <v>307</v>
      </c>
      <c r="G122">
        <v>307</v>
      </c>
      <c r="H122">
        <v>1</v>
      </c>
      <c r="I122" t="str">
        <f t="shared" si="1"/>
        <v>307|307</v>
      </c>
      <c r="J122" s="16">
        <v>2</v>
      </c>
    </row>
    <row r="123" spans="1:10">
      <c r="A123" s="17">
        <v>1700101</v>
      </c>
      <c r="B123" s="21">
        <v>90</v>
      </c>
      <c r="C123" s="21">
        <v>75</v>
      </c>
      <c r="D123" s="10" t="s">
        <v>283</v>
      </c>
      <c r="E123">
        <v>10014</v>
      </c>
      <c r="F123">
        <v>337</v>
      </c>
      <c r="G123">
        <v>400</v>
      </c>
      <c r="H123">
        <v>1</v>
      </c>
      <c r="I123" t="str">
        <f t="shared" si="1"/>
        <v>337|400</v>
      </c>
      <c r="J123" s="16">
        <v>2</v>
      </c>
    </row>
    <row r="124" spans="1:10">
      <c r="A124" s="17">
        <v>1800101</v>
      </c>
      <c r="B124" s="21">
        <v>1</v>
      </c>
      <c r="C124" s="21">
        <v>1</v>
      </c>
      <c r="D124" s="10" t="s">
        <v>284</v>
      </c>
      <c r="E124">
        <v>10000</v>
      </c>
      <c r="F124">
        <v>3</v>
      </c>
      <c r="G124">
        <v>3</v>
      </c>
      <c r="H124">
        <v>1</v>
      </c>
      <c r="I124" t="str">
        <f t="shared" si="1"/>
        <v>3|3</v>
      </c>
      <c r="J124" s="16">
        <v>2</v>
      </c>
    </row>
    <row r="125" spans="1:10">
      <c r="A125" s="17">
        <v>1800101</v>
      </c>
      <c r="B125" s="21">
        <v>4</v>
      </c>
      <c r="C125" s="21">
        <v>1</v>
      </c>
      <c r="D125" s="10" t="s">
        <v>284</v>
      </c>
      <c r="E125">
        <v>10000</v>
      </c>
      <c r="F125">
        <v>5</v>
      </c>
      <c r="G125">
        <v>5</v>
      </c>
      <c r="H125">
        <v>1</v>
      </c>
      <c r="I125" t="str">
        <f t="shared" si="1"/>
        <v>5|5</v>
      </c>
      <c r="J125" s="16">
        <v>2</v>
      </c>
    </row>
    <row r="126" spans="1:10">
      <c r="A126" s="17">
        <v>1800101</v>
      </c>
      <c r="B126" s="21">
        <v>8</v>
      </c>
      <c r="C126" s="21">
        <v>4</v>
      </c>
      <c r="D126" s="10" t="s">
        <v>284</v>
      </c>
      <c r="E126">
        <v>10000</v>
      </c>
      <c r="F126">
        <v>7</v>
      </c>
      <c r="G126">
        <v>7</v>
      </c>
      <c r="H126">
        <v>1</v>
      </c>
      <c r="I126" t="str">
        <f t="shared" si="1"/>
        <v>7|7</v>
      </c>
      <c r="J126" s="16">
        <v>2</v>
      </c>
    </row>
    <row r="127" spans="1:10">
      <c r="A127" s="17">
        <v>1800101</v>
      </c>
      <c r="B127" s="21">
        <v>13</v>
      </c>
      <c r="C127" s="21">
        <v>8</v>
      </c>
      <c r="D127" s="10" t="s">
        <v>284</v>
      </c>
      <c r="E127">
        <v>10000</v>
      </c>
      <c r="F127">
        <v>10</v>
      </c>
      <c r="G127">
        <v>10</v>
      </c>
      <c r="H127">
        <v>1</v>
      </c>
      <c r="I127" t="str">
        <f t="shared" si="1"/>
        <v>10|10</v>
      </c>
      <c r="J127" s="16">
        <v>2</v>
      </c>
    </row>
    <row r="128" spans="1:10">
      <c r="A128" s="17">
        <v>1800101</v>
      </c>
      <c r="B128" s="21">
        <v>19</v>
      </c>
      <c r="C128" s="21">
        <v>13</v>
      </c>
      <c r="D128" s="10" t="s">
        <v>284</v>
      </c>
      <c r="E128">
        <v>10000</v>
      </c>
      <c r="F128">
        <v>14</v>
      </c>
      <c r="G128">
        <v>14</v>
      </c>
      <c r="H128">
        <v>1</v>
      </c>
      <c r="I128" t="str">
        <f t="shared" si="1"/>
        <v>14|14</v>
      </c>
      <c r="J128" s="16">
        <v>2</v>
      </c>
    </row>
    <row r="129" spans="1:10">
      <c r="A129" s="17">
        <v>1800101</v>
      </c>
      <c r="B129" s="21">
        <v>25</v>
      </c>
      <c r="C129" s="21">
        <v>19</v>
      </c>
      <c r="D129" s="10" t="s">
        <v>284</v>
      </c>
      <c r="E129">
        <v>10000</v>
      </c>
      <c r="F129">
        <v>18</v>
      </c>
      <c r="G129">
        <v>18</v>
      </c>
      <c r="H129">
        <v>1</v>
      </c>
      <c r="I129" t="str">
        <f t="shared" si="1"/>
        <v>18|18</v>
      </c>
      <c r="J129" s="16">
        <v>2</v>
      </c>
    </row>
    <row r="130" spans="1:10">
      <c r="A130" s="17">
        <v>1800101</v>
      </c>
      <c r="B130" s="21">
        <v>31</v>
      </c>
      <c r="C130" s="21">
        <v>25</v>
      </c>
      <c r="D130" s="10" t="s">
        <v>284</v>
      </c>
      <c r="E130">
        <v>10000</v>
      </c>
      <c r="F130">
        <v>24</v>
      </c>
      <c r="G130">
        <v>24</v>
      </c>
      <c r="H130">
        <v>1</v>
      </c>
      <c r="I130" t="str">
        <f t="shared" si="1"/>
        <v>24|24</v>
      </c>
      <c r="J130" s="16">
        <v>2</v>
      </c>
    </row>
    <row r="131" spans="1:10">
      <c r="A131" s="17">
        <v>1800101</v>
      </c>
      <c r="B131" s="21">
        <v>37</v>
      </c>
      <c r="C131" s="21">
        <v>31</v>
      </c>
      <c r="D131" s="10" t="s">
        <v>284</v>
      </c>
      <c r="E131">
        <v>10000</v>
      </c>
      <c r="F131">
        <v>30</v>
      </c>
      <c r="G131">
        <v>30</v>
      </c>
      <c r="H131">
        <v>1</v>
      </c>
      <c r="I131" t="str">
        <f t="shared" si="1"/>
        <v>30|30</v>
      </c>
      <c r="J131" s="16">
        <v>2</v>
      </c>
    </row>
    <row r="132" spans="1:10">
      <c r="A132" s="17">
        <v>1800101</v>
      </c>
      <c r="B132" s="21">
        <v>43</v>
      </c>
      <c r="C132" s="21">
        <v>37</v>
      </c>
      <c r="D132" s="10" t="s">
        <v>284</v>
      </c>
      <c r="E132">
        <v>10000</v>
      </c>
      <c r="F132">
        <v>40</v>
      </c>
      <c r="G132">
        <v>40</v>
      </c>
      <c r="H132">
        <v>1</v>
      </c>
      <c r="I132" t="str">
        <f t="shared" ref="I132:I168" si="2">_xlfn.TEXTJOIN("|",0,F132:G132)</f>
        <v>40|40</v>
      </c>
      <c r="J132" s="16">
        <v>2</v>
      </c>
    </row>
    <row r="133" spans="1:10">
      <c r="A133" s="17">
        <v>1800101</v>
      </c>
      <c r="B133" s="21">
        <v>49</v>
      </c>
      <c r="C133" s="21">
        <v>43</v>
      </c>
      <c r="D133" s="10" t="s">
        <v>284</v>
      </c>
      <c r="E133">
        <v>10000</v>
      </c>
      <c r="F133">
        <v>50</v>
      </c>
      <c r="G133">
        <v>50</v>
      </c>
      <c r="H133">
        <v>1</v>
      </c>
      <c r="I133" t="str">
        <f t="shared" si="2"/>
        <v>50|50</v>
      </c>
      <c r="J133" s="16">
        <v>2</v>
      </c>
    </row>
    <row r="134" spans="1:10">
      <c r="A134" s="17">
        <v>1800101</v>
      </c>
      <c r="B134" s="21">
        <v>55</v>
      </c>
      <c r="C134" s="21">
        <v>49</v>
      </c>
      <c r="D134" s="10" t="s">
        <v>284</v>
      </c>
      <c r="E134">
        <v>10000</v>
      </c>
      <c r="F134">
        <v>60</v>
      </c>
      <c r="G134">
        <v>60</v>
      </c>
      <c r="H134">
        <v>1</v>
      </c>
      <c r="I134" t="str">
        <f t="shared" si="2"/>
        <v>60|60</v>
      </c>
      <c r="J134" s="16">
        <v>2</v>
      </c>
    </row>
    <row r="135" spans="1:10">
      <c r="A135" s="17">
        <v>1800101</v>
      </c>
      <c r="B135" s="21">
        <v>61</v>
      </c>
      <c r="C135" s="21">
        <v>55</v>
      </c>
      <c r="D135" s="10" t="s">
        <v>284</v>
      </c>
      <c r="E135">
        <v>10000</v>
      </c>
      <c r="F135">
        <v>80</v>
      </c>
      <c r="G135">
        <v>80</v>
      </c>
      <c r="H135">
        <v>1</v>
      </c>
      <c r="I135" t="str">
        <f t="shared" si="2"/>
        <v>80|80</v>
      </c>
      <c r="J135" s="16">
        <v>2</v>
      </c>
    </row>
    <row r="136" spans="1:10">
      <c r="A136" s="17">
        <v>1800101</v>
      </c>
      <c r="B136" s="21">
        <v>67</v>
      </c>
      <c r="C136" s="21">
        <v>61</v>
      </c>
      <c r="D136" s="10" t="s">
        <v>284</v>
      </c>
      <c r="E136">
        <v>10000</v>
      </c>
      <c r="F136">
        <v>110</v>
      </c>
      <c r="G136">
        <v>110</v>
      </c>
      <c r="H136">
        <v>1</v>
      </c>
      <c r="I136" t="str">
        <f t="shared" si="2"/>
        <v>110|110</v>
      </c>
      <c r="J136" s="16">
        <v>2</v>
      </c>
    </row>
    <row r="137" spans="1:10">
      <c r="A137" s="17">
        <v>1800101</v>
      </c>
      <c r="B137" s="21">
        <v>75</v>
      </c>
      <c r="C137" s="21">
        <v>67</v>
      </c>
      <c r="D137" s="10" t="s">
        <v>284</v>
      </c>
      <c r="E137">
        <v>10000</v>
      </c>
      <c r="F137">
        <v>150</v>
      </c>
      <c r="G137">
        <v>150</v>
      </c>
      <c r="H137">
        <v>1</v>
      </c>
      <c r="I137" t="str">
        <f t="shared" si="2"/>
        <v>150|150</v>
      </c>
      <c r="J137" s="16">
        <v>2</v>
      </c>
    </row>
    <row r="138" spans="1:10">
      <c r="A138" s="17">
        <v>1800101</v>
      </c>
      <c r="B138" s="21">
        <v>90</v>
      </c>
      <c r="C138" s="21">
        <v>75</v>
      </c>
      <c r="D138" s="10" t="s">
        <v>284</v>
      </c>
      <c r="E138">
        <v>10000</v>
      </c>
      <c r="F138">
        <v>165</v>
      </c>
      <c r="G138">
        <v>200</v>
      </c>
      <c r="H138">
        <v>1</v>
      </c>
      <c r="I138" t="str">
        <f t="shared" si="2"/>
        <v>165|200</v>
      </c>
      <c r="J138" s="16">
        <v>2</v>
      </c>
    </row>
    <row r="139" spans="1:10">
      <c r="A139" s="17">
        <v>1900101</v>
      </c>
      <c r="B139" s="21">
        <v>1</v>
      </c>
      <c r="C139" s="21">
        <v>1</v>
      </c>
      <c r="D139" s="10" t="s">
        <v>285</v>
      </c>
      <c r="E139">
        <v>10014</v>
      </c>
      <c r="F139">
        <v>4</v>
      </c>
      <c r="G139">
        <v>4</v>
      </c>
      <c r="H139">
        <v>1</v>
      </c>
      <c r="I139" t="str">
        <f t="shared" si="2"/>
        <v>4|4</v>
      </c>
      <c r="J139" s="16">
        <v>0</v>
      </c>
    </row>
    <row r="140" spans="1:10">
      <c r="A140" s="17">
        <v>1900101</v>
      </c>
      <c r="B140" s="21">
        <v>4</v>
      </c>
      <c r="C140" s="21">
        <v>1</v>
      </c>
      <c r="D140" s="10" t="s">
        <v>285</v>
      </c>
      <c r="E140">
        <v>10014</v>
      </c>
      <c r="F140">
        <v>17</v>
      </c>
      <c r="G140">
        <v>17</v>
      </c>
      <c r="H140">
        <v>1</v>
      </c>
      <c r="I140" t="str">
        <f t="shared" si="2"/>
        <v>17|17</v>
      </c>
      <c r="J140" s="16">
        <v>0</v>
      </c>
    </row>
    <row r="141" spans="1:10">
      <c r="A141" s="17">
        <v>1900101</v>
      </c>
      <c r="B141" s="21">
        <v>8</v>
      </c>
      <c r="C141" s="21">
        <v>4</v>
      </c>
      <c r="D141" s="10" t="s">
        <v>285</v>
      </c>
      <c r="E141">
        <v>10014</v>
      </c>
      <c r="F141">
        <v>35</v>
      </c>
      <c r="G141">
        <v>35</v>
      </c>
      <c r="H141">
        <v>1</v>
      </c>
      <c r="I141" t="str">
        <f t="shared" si="2"/>
        <v>35|35</v>
      </c>
      <c r="J141" s="16">
        <v>0</v>
      </c>
    </row>
    <row r="142" spans="1:10">
      <c r="A142" s="17">
        <v>1900101</v>
      </c>
      <c r="B142" s="21">
        <v>13</v>
      </c>
      <c r="C142" s="21">
        <v>8</v>
      </c>
      <c r="D142" s="10" t="s">
        <v>285</v>
      </c>
      <c r="E142">
        <v>10014</v>
      </c>
      <c r="F142">
        <v>57</v>
      </c>
      <c r="G142">
        <v>57</v>
      </c>
      <c r="H142">
        <v>1</v>
      </c>
      <c r="I142" t="str">
        <f t="shared" si="2"/>
        <v>57|57</v>
      </c>
      <c r="J142" s="16">
        <v>0</v>
      </c>
    </row>
    <row r="143" spans="1:10">
      <c r="A143" s="17">
        <v>1900101</v>
      </c>
      <c r="B143" s="21">
        <v>19</v>
      </c>
      <c r="C143" s="21">
        <v>13</v>
      </c>
      <c r="D143" s="10" t="s">
        <v>285</v>
      </c>
      <c r="E143">
        <v>10014</v>
      </c>
      <c r="F143">
        <v>83</v>
      </c>
      <c r="G143">
        <v>83</v>
      </c>
      <c r="H143">
        <v>1</v>
      </c>
      <c r="I143" t="str">
        <f t="shared" si="2"/>
        <v>83|83</v>
      </c>
      <c r="J143" s="16">
        <v>0</v>
      </c>
    </row>
    <row r="144" spans="1:10">
      <c r="A144" s="17">
        <v>1900101</v>
      </c>
      <c r="B144" s="21">
        <v>25</v>
      </c>
      <c r="C144" s="21">
        <v>19</v>
      </c>
      <c r="D144" s="10" t="s">
        <v>285</v>
      </c>
      <c r="E144">
        <v>10014</v>
      </c>
      <c r="F144">
        <v>110</v>
      </c>
      <c r="G144">
        <v>110</v>
      </c>
      <c r="H144">
        <v>1</v>
      </c>
      <c r="I144" t="str">
        <f t="shared" si="2"/>
        <v>110|110</v>
      </c>
      <c r="J144" s="16">
        <v>0</v>
      </c>
    </row>
    <row r="145" spans="1:10">
      <c r="A145" s="17">
        <v>1900101</v>
      </c>
      <c r="B145" s="21">
        <v>31</v>
      </c>
      <c r="C145" s="21">
        <v>25</v>
      </c>
      <c r="D145" s="10" t="s">
        <v>285</v>
      </c>
      <c r="E145">
        <v>10014</v>
      </c>
      <c r="F145">
        <v>136</v>
      </c>
      <c r="G145">
        <v>136</v>
      </c>
      <c r="H145">
        <v>1</v>
      </c>
      <c r="I145" t="str">
        <f t="shared" si="2"/>
        <v>136|136</v>
      </c>
      <c r="J145" s="16">
        <v>0</v>
      </c>
    </row>
    <row r="146" spans="1:10">
      <c r="A146" s="17">
        <v>1900101</v>
      </c>
      <c r="B146" s="21">
        <v>37</v>
      </c>
      <c r="C146" s="21">
        <v>31</v>
      </c>
      <c r="D146" s="10" t="s">
        <v>285</v>
      </c>
      <c r="E146">
        <v>10014</v>
      </c>
      <c r="F146">
        <v>163</v>
      </c>
      <c r="G146">
        <v>163</v>
      </c>
      <c r="H146">
        <v>1</v>
      </c>
      <c r="I146" t="str">
        <f t="shared" si="2"/>
        <v>163|163</v>
      </c>
      <c r="J146" s="16">
        <v>0</v>
      </c>
    </row>
    <row r="147" spans="1:10">
      <c r="A147" s="17">
        <v>1900101</v>
      </c>
      <c r="B147" s="21">
        <v>43</v>
      </c>
      <c r="C147" s="21">
        <v>37</v>
      </c>
      <c r="D147" s="10" t="s">
        <v>285</v>
      </c>
      <c r="E147">
        <v>10014</v>
      </c>
      <c r="F147">
        <v>189</v>
      </c>
      <c r="G147">
        <v>189</v>
      </c>
      <c r="H147">
        <v>1</v>
      </c>
      <c r="I147" t="str">
        <f t="shared" si="2"/>
        <v>189|189</v>
      </c>
      <c r="J147" s="16">
        <v>0</v>
      </c>
    </row>
    <row r="148" spans="1:10">
      <c r="A148" s="17">
        <v>1900101</v>
      </c>
      <c r="B148" s="21">
        <v>49</v>
      </c>
      <c r="C148" s="21">
        <v>43</v>
      </c>
      <c r="D148" s="10" t="s">
        <v>285</v>
      </c>
      <c r="E148">
        <v>10014</v>
      </c>
      <c r="F148">
        <v>211</v>
      </c>
      <c r="G148">
        <v>211</v>
      </c>
      <c r="H148">
        <v>1</v>
      </c>
      <c r="I148" t="str">
        <f t="shared" si="2"/>
        <v>211|211</v>
      </c>
      <c r="J148" s="16">
        <v>0</v>
      </c>
    </row>
    <row r="149" spans="1:10">
      <c r="A149" s="17">
        <v>1900101</v>
      </c>
      <c r="B149" s="21">
        <v>55</v>
      </c>
      <c r="C149" s="21">
        <v>49</v>
      </c>
      <c r="D149" s="10" t="s">
        <v>285</v>
      </c>
      <c r="E149">
        <v>10014</v>
      </c>
      <c r="F149">
        <v>236</v>
      </c>
      <c r="G149">
        <v>236</v>
      </c>
      <c r="H149">
        <v>1</v>
      </c>
      <c r="I149" t="str">
        <f t="shared" si="2"/>
        <v>236|236</v>
      </c>
      <c r="J149" s="16">
        <v>0</v>
      </c>
    </row>
    <row r="150" spans="1:10">
      <c r="A150" s="17">
        <v>1900101</v>
      </c>
      <c r="B150" s="21">
        <v>61</v>
      </c>
      <c r="C150" s="21">
        <v>55</v>
      </c>
      <c r="D150" s="10" t="s">
        <v>285</v>
      </c>
      <c r="E150">
        <v>10014</v>
      </c>
      <c r="F150">
        <v>259</v>
      </c>
      <c r="G150">
        <v>259</v>
      </c>
      <c r="H150">
        <v>1</v>
      </c>
      <c r="I150" t="str">
        <f t="shared" si="2"/>
        <v>259|259</v>
      </c>
      <c r="J150" s="16">
        <v>0</v>
      </c>
    </row>
    <row r="151" spans="1:10">
      <c r="A151" s="17">
        <v>1900101</v>
      </c>
      <c r="B151" s="21">
        <v>67</v>
      </c>
      <c r="C151" s="21">
        <v>61</v>
      </c>
      <c r="D151" s="10" t="s">
        <v>285</v>
      </c>
      <c r="E151">
        <v>10014</v>
      </c>
      <c r="F151">
        <v>282</v>
      </c>
      <c r="G151">
        <v>282</v>
      </c>
      <c r="H151">
        <v>1</v>
      </c>
      <c r="I151" t="str">
        <f t="shared" si="2"/>
        <v>282|282</v>
      </c>
      <c r="J151" s="16">
        <v>0</v>
      </c>
    </row>
    <row r="152" spans="1:10">
      <c r="A152" s="17">
        <v>1900101</v>
      </c>
      <c r="B152" s="21">
        <v>75</v>
      </c>
      <c r="C152" s="21">
        <v>67</v>
      </c>
      <c r="D152" s="10" t="s">
        <v>285</v>
      </c>
      <c r="E152">
        <v>10014</v>
      </c>
      <c r="F152">
        <v>307</v>
      </c>
      <c r="G152">
        <v>307</v>
      </c>
      <c r="H152">
        <v>1</v>
      </c>
      <c r="I152" t="str">
        <f t="shared" si="2"/>
        <v>307|307</v>
      </c>
      <c r="J152" s="16">
        <v>0</v>
      </c>
    </row>
    <row r="153" spans="1:10">
      <c r="A153" s="17">
        <v>1900101</v>
      </c>
      <c r="B153" s="21">
        <v>90</v>
      </c>
      <c r="C153" s="21">
        <v>75</v>
      </c>
      <c r="D153" s="10" t="s">
        <v>285</v>
      </c>
      <c r="E153">
        <v>10014</v>
      </c>
      <c r="F153">
        <v>337</v>
      </c>
      <c r="G153">
        <v>400</v>
      </c>
      <c r="H153">
        <v>1</v>
      </c>
      <c r="I153" t="str">
        <f t="shared" si="2"/>
        <v>337|400</v>
      </c>
      <c r="J153" s="16">
        <v>0</v>
      </c>
    </row>
    <row r="154" spans="1:10">
      <c r="A154" s="17">
        <v>2000101</v>
      </c>
      <c r="B154" s="21">
        <v>1</v>
      </c>
      <c r="C154" s="21">
        <v>1</v>
      </c>
      <c r="D154" s="10" t="s">
        <v>286</v>
      </c>
      <c r="E154">
        <v>10000</v>
      </c>
      <c r="F154">
        <v>3</v>
      </c>
      <c r="G154">
        <v>3</v>
      </c>
      <c r="H154">
        <v>1</v>
      </c>
      <c r="I154" t="str">
        <f t="shared" si="2"/>
        <v>3|3</v>
      </c>
      <c r="J154" s="16">
        <v>0</v>
      </c>
    </row>
    <row r="155" spans="1:10">
      <c r="A155" s="17">
        <v>2000101</v>
      </c>
      <c r="B155" s="21">
        <v>4</v>
      </c>
      <c r="C155" s="21">
        <v>1</v>
      </c>
      <c r="D155" s="10" t="s">
        <v>286</v>
      </c>
      <c r="E155">
        <v>10000</v>
      </c>
      <c r="F155">
        <v>5</v>
      </c>
      <c r="G155">
        <v>5</v>
      </c>
      <c r="H155">
        <v>1</v>
      </c>
      <c r="I155" t="str">
        <f t="shared" si="2"/>
        <v>5|5</v>
      </c>
      <c r="J155" s="16">
        <v>0</v>
      </c>
    </row>
    <row r="156" spans="1:10">
      <c r="A156" s="17">
        <v>2000101</v>
      </c>
      <c r="B156" s="21">
        <v>8</v>
      </c>
      <c r="C156" s="21">
        <v>4</v>
      </c>
      <c r="D156" s="10" t="s">
        <v>286</v>
      </c>
      <c r="E156">
        <v>10000</v>
      </c>
      <c r="F156">
        <v>7</v>
      </c>
      <c r="G156">
        <v>7</v>
      </c>
      <c r="H156">
        <v>1</v>
      </c>
      <c r="I156" t="str">
        <f t="shared" si="2"/>
        <v>7|7</v>
      </c>
      <c r="J156" s="16">
        <v>0</v>
      </c>
    </row>
    <row r="157" spans="1:10">
      <c r="A157" s="17">
        <v>2000101</v>
      </c>
      <c r="B157" s="21">
        <v>13</v>
      </c>
      <c r="C157" s="21">
        <v>8</v>
      </c>
      <c r="D157" s="10" t="s">
        <v>286</v>
      </c>
      <c r="E157">
        <v>10000</v>
      </c>
      <c r="F157">
        <v>10</v>
      </c>
      <c r="G157">
        <v>10</v>
      </c>
      <c r="H157">
        <v>1</v>
      </c>
      <c r="I157" t="str">
        <f t="shared" si="2"/>
        <v>10|10</v>
      </c>
      <c r="J157" s="16">
        <v>0</v>
      </c>
    </row>
    <row r="158" spans="1:10">
      <c r="A158" s="17">
        <v>2000101</v>
      </c>
      <c r="B158" s="21">
        <v>19</v>
      </c>
      <c r="C158" s="21">
        <v>13</v>
      </c>
      <c r="D158" s="10" t="s">
        <v>286</v>
      </c>
      <c r="E158">
        <v>10000</v>
      </c>
      <c r="F158">
        <v>14</v>
      </c>
      <c r="G158">
        <v>14</v>
      </c>
      <c r="H158">
        <v>1</v>
      </c>
      <c r="I158" t="str">
        <f t="shared" si="2"/>
        <v>14|14</v>
      </c>
      <c r="J158" s="16">
        <v>0</v>
      </c>
    </row>
    <row r="159" spans="1:10">
      <c r="A159" s="17">
        <v>2000101</v>
      </c>
      <c r="B159" s="21">
        <v>25</v>
      </c>
      <c r="C159" s="21">
        <v>19</v>
      </c>
      <c r="D159" s="10" t="s">
        <v>286</v>
      </c>
      <c r="E159">
        <v>10000</v>
      </c>
      <c r="F159">
        <v>18</v>
      </c>
      <c r="G159">
        <v>18</v>
      </c>
      <c r="H159">
        <v>1</v>
      </c>
      <c r="I159" t="str">
        <f t="shared" si="2"/>
        <v>18|18</v>
      </c>
      <c r="J159" s="16">
        <v>0</v>
      </c>
    </row>
    <row r="160" spans="1:10">
      <c r="A160" s="17">
        <v>2000101</v>
      </c>
      <c r="B160" s="21">
        <v>31</v>
      </c>
      <c r="C160" s="21">
        <v>25</v>
      </c>
      <c r="D160" s="10" t="s">
        <v>286</v>
      </c>
      <c r="E160">
        <v>10000</v>
      </c>
      <c r="F160">
        <v>24</v>
      </c>
      <c r="G160">
        <v>24</v>
      </c>
      <c r="H160">
        <v>1</v>
      </c>
      <c r="I160" t="str">
        <f t="shared" si="2"/>
        <v>24|24</v>
      </c>
      <c r="J160" s="16">
        <v>0</v>
      </c>
    </row>
    <row r="161" spans="1:10">
      <c r="A161" s="17">
        <v>2000101</v>
      </c>
      <c r="B161" s="21">
        <v>37</v>
      </c>
      <c r="C161" s="21">
        <v>31</v>
      </c>
      <c r="D161" s="10" t="s">
        <v>286</v>
      </c>
      <c r="E161">
        <v>10000</v>
      </c>
      <c r="F161">
        <v>30</v>
      </c>
      <c r="G161">
        <v>30</v>
      </c>
      <c r="H161">
        <v>1</v>
      </c>
      <c r="I161" t="str">
        <f t="shared" si="2"/>
        <v>30|30</v>
      </c>
      <c r="J161" s="16">
        <v>0</v>
      </c>
    </row>
    <row r="162" spans="1:10">
      <c r="A162" s="17">
        <v>2000101</v>
      </c>
      <c r="B162" s="21">
        <v>43</v>
      </c>
      <c r="C162" s="21">
        <v>37</v>
      </c>
      <c r="D162" s="10" t="s">
        <v>286</v>
      </c>
      <c r="E162">
        <v>10000</v>
      </c>
      <c r="F162">
        <v>40</v>
      </c>
      <c r="G162">
        <v>40</v>
      </c>
      <c r="H162">
        <v>1</v>
      </c>
      <c r="I162" t="str">
        <f t="shared" si="2"/>
        <v>40|40</v>
      </c>
      <c r="J162" s="16">
        <v>0</v>
      </c>
    </row>
    <row r="163" spans="1:10">
      <c r="A163" s="17">
        <v>2000101</v>
      </c>
      <c r="B163" s="21">
        <v>49</v>
      </c>
      <c r="C163" s="21">
        <v>43</v>
      </c>
      <c r="D163" s="10" t="s">
        <v>286</v>
      </c>
      <c r="E163">
        <v>10000</v>
      </c>
      <c r="F163">
        <v>50</v>
      </c>
      <c r="G163">
        <v>50</v>
      </c>
      <c r="H163">
        <v>1</v>
      </c>
      <c r="I163" t="str">
        <f t="shared" si="2"/>
        <v>50|50</v>
      </c>
      <c r="J163" s="16">
        <v>0</v>
      </c>
    </row>
    <row r="164" spans="1:10">
      <c r="A164" s="17">
        <v>2000101</v>
      </c>
      <c r="B164" s="21">
        <v>55</v>
      </c>
      <c r="C164" s="21">
        <v>49</v>
      </c>
      <c r="D164" s="10" t="s">
        <v>286</v>
      </c>
      <c r="E164">
        <v>10000</v>
      </c>
      <c r="F164">
        <v>60</v>
      </c>
      <c r="G164">
        <v>60</v>
      </c>
      <c r="H164">
        <v>1</v>
      </c>
      <c r="I164" t="str">
        <f t="shared" si="2"/>
        <v>60|60</v>
      </c>
      <c r="J164" s="16">
        <v>0</v>
      </c>
    </row>
    <row r="165" spans="1:10">
      <c r="A165" s="17">
        <v>2000101</v>
      </c>
      <c r="B165" s="21">
        <v>61</v>
      </c>
      <c r="C165" s="21">
        <v>55</v>
      </c>
      <c r="D165" s="10" t="s">
        <v>286</v>
      </c>
      <c r="E165">
        <v>10000</v>
      </c>
      <c r="F165">
        <v>80</v>
      </c>
      <c r="G165">
        <v>80</v>
      </c>
      <c r="H165">
        <v>1</v>
      </c>
      <c r="I165" t="str">
        <f t="shared" si="2"/>
        <v>80|80</v>
      </c>
      <c r="J165" s="16">
        <v>0</v>
      </c>
    </row>
    <row r="166" spans="1:10">
      <c r="A166" s="17">
        <v>2000101</v>
      </c>
      <c r="B166" s="21">
        <v>67</v>
      </c>
      <c r="C166" s="21">
        <v>61</v>
      </c>
      <c r="D166" s="10" t="s">
        <v>286</v>
      </c>
      <c r="E166">
        <v>10000</v>
      </c>
      <c r="F166">
        <v>110</v>
      </c>
      <c r="G166">
        <v>110</v>
      </c>
      <c r="H166">
        <v>1</v>
      </c>
      <c r="I166" t="str">
        <f t="shared" si="2"/>
        <v>110|110</v>
      </c>
      <c r="J166" s="16">
        <v>0</v>
      </c>
    </row>
    <row r="167" spans="1:10">
      <c r="A167" s="17">
        <v>2000101</v>
      </c>
      <c r="B167" s="21">
        <v>75</v>
      </c>
      <c r="C167" s="21">
        <v>67</v>
      </c>
      <c r="D167" s="10" t="s">
        <v>286</v>
      </c>
      <c r="E167">
        <v>10000</v>
      </c>
      <c r="F167">
        <v>150</v>
      </c>
      <c r="G167">
        <v>150</v>
      </c>
      <c r="H167">
        <v>1</v>
      </c>
      <c r="I167" t="str">
        <f t="shared" si="2"/>
        <v>150|150</v>
      </c>
      <c r="J167" s="16">
        <v>0</v>
      </c>
    </row>
    <row r="168" spans="1:10">
      <c r="A168" s="17">
        <v>2000101</v>
      </c>
      <c r="B168" s="21">
        <v>90</v>
      </c>
      <c r="C168" s="21">
        <v>75</v>
      </c>
      <c r="D168" s="10" t="s">
        <v>286</v>
      </c>
      <c r="E168">
        <v>10000</v>
      </c>
      <c r="F168">
        <v>165</v>
      </c>
      <c r="G168">
        <v>200</v>
      </c>
      <c r="H168">
        <v>1</v>
      </c>
      <c r="I168" t="str">
        <f t="shared" si="2"/>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1"/>
  <sheetViews>
    <sheetView zoomScale="145" zoomScaleNormal="145" topLeftCell="A43" workbookViewId="0">
      <selection activeCell="J7" sqref="J7"/>
    </sheetView>
  </sheetViews>
  <sheetFormatPr defaultColWidth="9" defaultRowHeight="13.5" outlineLevelCol="5"/>
  <cols>
    <col min="2" max="2" width="14" customWidth="1"/>
    <col min="3" max="3" width="21.25" customWidth="1"/>
    <col min="4" max="4" width="65.75" customWidth="1"/>
    <col min="5" max="6" width="9.7" customWidth="1"/>
  </cols>
  <sheetData>
    <row r="1" spans="1:6">
      <c r="A1" t="s">
        <v>287</v>
      </c>
      <c r="B1" t="s">
        <v>288</v>
      </c>
      <c r="C1" s="10" t="s">
        <v>289</v>
      </c>
      <c r="D1" s="10" t="s">
        <v>290</v>
      </c>
      <c r="E1" s="10" t="s">
        <v>291</v>
      </c>
      <c r="F1" s="10" t="s">
        <v>292</v>
      </c>
    </row>
    <row r="2" spans="1:6">
      <c r="A2" s="12" t="s">
        <v>10</v>
      </c>
      <c r="B2" s="12" t="s">
        <v>11</v>
      </c>
      <c r="C2" s="2" t="s">
        <v>293</v>
      </c>
      <c r="D2" s="2" t="s">
        <v>294</v>
      </c>
      <c r="E2" s="2" t="s">
        <v>54</v>
      </c>
      <c r="F2" s="2" t="s">
        <v>51</v>
      </c>
    </row>
    <row r="3" spans="1:6">
      <c r="A3" s="3" t="s">
        <v>20</v>
      </c>
      <c r="B3" s="3" t="s">
        <v>21</v>
      </c>
      <c r="C3" s="15" t="s">
        <v>22</v>
      </c>
      <c r="D3" s="3" t="s">
        <v>23</v>
      </c>
      <c r="E3" s="3" t="s">
        <v>22</v>
      </c>
      <c r="F3" s="3" t="s">
        <v>21</v>
      </c>
    </row>
    <row r="4" spans="1:6">
      <c r="A4">
        <v>110011</v>
      </c>
      <c r="B4" t="s">
        <v>295</v>
      </c>
      <c r="D4" s="10" t="s">
        <v>296</v>
      </c>
      <c r="E4" s="10">
        <f t="shared" ref="E4:E67" si="0">IF(ISNUMBER(SEARCH("|",$D4)),1,0)</f>
        <v>1</v>
      </c>
      <c r="F4" s="10"/>
    </row>
    <row r="5" spans="1:6">
      <c r="A5">
        <v>110012</v>
      </c>
      <c r="B5" t="s">
        <v>297</v>
      </c>
      <c r="D5" s="10" t="s">
        <v>298</v>
      </c>
      <c r="E5" s="10">
        <f t="shared" si="0"/>
        <v>1</v>
      </c>
      <c r="F5" s="10"/>
    </row>
    <row r="6" customFormat="1" spans="1:6">
      <c r="A6">
        <v>110021</v>
      </c>
      <c r="B6" t="s">
        <v>299</v>
      </c>
      <c r="D6" s="10" t="s">
        <v>300</v>
      </c>
      <c r="E6" s="10">
        <f t="shared" si="0"/>
        <v>1</v>
      </c>
      <c r="F6" s="10"/>
    </row>
    <row r="7" customFormat="1" spans="1:6">
      <c r="A7">
        <v>110022</v>
      </c>
      <c r="B7" t="s">
        <v>301</v>
      </c>
      <c r="D7" s="10" t="s">
        <v>302</v>
      </c>
      <c r="E7" s="10">
        <f t="shared" si="0"/>
        <v>1</v>
      </c>
      <c r="F7" s="10"/>
    </row>
    <row r="8" customFormat="1" spans="1:6">
      <c r="A8">
        <v>110031</v>
      </c>
      <c r="B8" t="s">
        <v>303</v>
      </c>
      <c r="D8" s="10" t="s">
        <v>304</v>
      </c>
      <c r="E8" s="10">
        <f t="shared" si="0"/>
        <v>1</v>
      </c>
      <c r="F8" s="10"/>
    </row>
    <row r="9" customFormat="1" spans="1:6">
      <c r="A9">
        <v>110032</v>
      </c>
      <c r="B9" t="s">
        <v>305</v>
      </c>
      <c r="D9" s="10" t="s">
        <v>306</v>
      </c>
      <c r="E9" s="10">
        <f t="shared" si="0"/>
        <v>1</v>
      </c>
      <c r="F9" s="10"/>
    </row>
    <row r="10" spans="1:6">
      <c r="A10">
        <v>120011</v>
      </c>
      <c r="B10" t="s">
        <v>307</v>
      </c>
      <c r="D10" s="10" t="s">
        <v>308</v>
      </c>
      <c r="E10" s="10">
        <f t="shared" si="0"/>
        <v>1</v>
      </c>
      <c r="F10" s="10"/>
    </row>
    <row r="11" spans="1:6">
      <c r="A11">
        <v>120012</v>
      </c>
      <c r="B11" t="s">
        <v>309</v>
      </c>
      <c r="D11" s="10" t="s">
        <v>310</v>
      </c>
      <c r="E11" s="10">
        <f t="shared" si="0"/>
        <v>1</v>
      </c>
      <c r="F11" s="10"/>
    </row>
    <row r="12" spans="1:6">
      <c r="A12">
        <v>130011</v>
      </c>
      <c r="B12" t="s">
        <v>311</v>
      </c>
      <c r="D12" s="10" t="s">
        <v>312</v>
      </c>
      <c r="E12" s="10">
        <f t="shared" si="0"/>
        <v>1</v>
      </c>
      <c r="F12" s="10"/>
    </row>
    <row r="13" spans="1:6">
      <c r="A13">
        <v>130012</v>
      </c>
      <c r="B13" t="s">
        <v>313</v>
      </c>
      <c r="D13" s="10" t="s">
        <v>314</v>
      </c>
      <c r="E13" s="10">
        <f t="shared" si="0"/>
        <v>1</v>
      </c>
      <c r="F13" s="10"/>
    </row>
    <row r="14" spans="1:6">
      <c r="A14">
        <v>140011</v>
      </c>
      <c r="B14" t="s">
        <v>315</v>
      </c>
      <c r="D14" s="10" t="s">
        <v>316</v>
      </c>
      <c r="E14" s="10">
        <f t="shared" si="0"/>
        <v>1</v>
      </c>
      <c r="F14" s="10"/>
    </row>
    <row r="15" spans="1:6">
      <c r="A15">
        <v>140012</v>
      </c>
      <c r="B15" t="s">
        <v>317</v>
      </c>
      <c r="D15" s="10" t="s">
        <v>318</v>
      </c>
      <c r="E15" s="10">
        <f t="shared" si="0"/>
        <v>1</v>
      </c>
      <c r="F15" s="10"/>
    </row>
    <row r="16" spans="1:6">
      <c r="A16">
        <v>150011</v>
      </c>
      <c r="B16" t="s">
        <v>319</v>
      </c>
      <c r="D16" s="10" t="s">
        <v>320</v>
      </c>
      <c r="E16" s="10">
        <f t="shared" si="0"/>
        <v>1</v>
      </c>
      <c r="F16" s="10"/>
    </row>
    <row r="17" spans="1:6">
      <c r="A17">
        <v>150012</v>
      </c>
      <c r="B17" t="s">
        <v>321</v>
      </c>
      <c r="D17" s="10" t="s">
        <v>322</v>
      </c>
      <c r="E17" s="10">
        <f t="shared" si="0"/>
        <v>1</v>
      </c>
      <c r="F17" s="10"/>
    </row>
    <row r="18" spans="1:6">
      <c r="A18">
        <v>160011</v>
      </c>
      <c r="B18" t="s">
        <v>323</v>
      </c>
      <c r="D18" s="10" t="s">
        <v>324</v>
      </c>
      <c r="E18" s="10">
        <f t="shared" si="0"/>
        <v>1</v>
      </c>
      <c r="F18" s="10"/>
    </row>
    <row r="19" spans="1:6">
      <c r="A19">
        <v>160012</v>
      </c>
      <c r="B19" t="s">
        <v>325</v>
      </c>
      <c r="D19" s="10" t="s">
        <v>326</v>
      </c>
      <c r="E19" s="10">
        <f t="shared" si="0"/>
        <v>1</v>
      </c>
      <c r="F19" s="10"/>
    </row>
    <row r="20" spans="1:6">
      <c r="A20">
        <v>170011</v>
      </c>
      <c r="B20" t="s">
        <v>327</v>
      </c>
      <c r="D20" s="10" t="s">
        <v>328</v>
      </c>
      <c r="E20" s="10">
        <f t="shared" si="0"/>
        <v>1</v>
      </c>
      <c r="F20" s="10"/>
    </row>
    <row r="21" spans="1:6">
      <c r="A21">
        <v>170012</v>
      </c>
      <c r="B21" t="s">
        <v>329</v>
      </c>
      <c r="D21" s="10" t="s">
        <v>330</v>
      </c>
      <c r="E21" s="10">
        <f t="shared" si="0"/>
        <v>1</v>
      </c>
      <c r="F21" s="10"/>
    </row>
    <row r="22" spans="1:6">
      <c r="A22">
        <v>180011</v>
      </c>
      <c r="B22" t="s">
        <v>331</v>
      </c>
      <c r="D22" s="10" t="s">
        <v>332</v>
      </c>
      <c r="E22" s="10">
        <f t="shared" si="0"/>
        <v>1</v>
      </c>
      <c r="F22" s="10"/>
    </row>
    <row r="23" spans="1:6">
      <c r="A23">
        <v>180012</v>
      </c>
      <c r="B23" t="s">
        <v>333</v>
      </c>
      <c r="D23" s="10" t="s">
        <v>334</v>
      </c>
      <c r="E23" s="10">
        <f t="shared" si="0"/>
        <v>1</v>
      </c>
      <c r="F23" s="10"/>
    </row>
    <row r="24" spans="1:6">
      <c r="A24">
        <v>190011</v>
      </c>
      <c r="B24" t="s">
        <v>335</v>
      </c>
      <c r="D24" s="10" t="s">
        <v>336</v>
      </c>
      <c r="E24" s="10">
        <f t="shared" si="0"/>
        <v>1</v>
      </c>
      <c r="F24" s="10"/>
    </row>
    <row r="25" spans="1:6">
      <c r="A25">
        <v>190012</v>
      </c>
      <c r="B25" t="s">
        <v>337</v>
      </c>
      <c r="D25" s="10" t="s">
        <v>338</v>
      </c>
      <c r="E25" s="10">
        <f t="shared" si="0"/>
        <v>1</v>
      </c>
      <c r="F25" s="10"/>
    </row>
    <row r="26" spans="1:6">
      <c r="A26">
        <v>200011</v>
      </c>
      <c r="B26" t="s">
        <v>339</v>
      </c>
      <c r="D26" s="10" t="s">
        <v>340</v>
      </c>
      <c r="E26" s="10">
        <f t="shared" si="0"/>
        <v>1</v>
      </c>
      <c r="F26" s="10"/>
    </row>
    <row r="27" spans="1:6">
      <c r="A27">
        <v>200012</v>
      </c>
      <c r="B27" t="s">
        <v>341</v>
      </c>
      <c r="D27" s="10" t="s">
        <v>342</v>
      </c>
      <c r="E27" s="10">
        <f t="shared" si="0"/>
        <v>1</v>
      </c>
      <c r="F27" s="10"/>
    </row>
    <row r="28" spans="1:6">
      <c r="A28">
        <v>100101</v>
      </c>
      <c r="D28">
        <v>100101</v>
      </c>
      <c r="E28">
        <f t="shared" si="0"/>
        <v>0</v>
      </c>
    </row>
    <row r="29" spans="1:6">
      <c r="A29">
        <v>100102</v>
      </c>
      <c r="D29">
        <v>100102</v>
      </c>
      <c r="E29">
        <f t="shared" si="0"/>
        <v>0</v>
      </c>
    </row>
    <row r="30" spans="1:6">
      <c r="A30">
        <v>100103</v>
      </c>
      <c r="D30">
        <v>100103</v>
      </c>
      <c r="E30">
        <f t="shared" si="0"/>
        <v>0</v>
      </c>
    </row>
    <row r="31" spans="1:6">
      <c r="A31">
        <v>100104</v>
      </c>
      <c r="D31">
        <v>100104</v>
      </c>
      <c r="E31">
        <f t="shared" si="0"/>
        <v>0</v>
      </c>
    </row>
    <row r="32" spans="1:6">
      <c r="A32">
        <v>100201</v>
      </c>
      <c r="D32">
        <v>100201</v>
      </c>
      <c r="E32">
        <f t="shared" si="0"/>
        <v>0</v>
      </c>
    </row>
    <row r="33" spans="1:5">
      <c r="A33">
        <v>100202</v>
      </c>
      <c r="D33">
        <v>100202</v>
      </c>
      <c r="E33">
        <f t="shared" si="0"/>
        <v>0</v>
      </c>
    </row>
    <row r="34" spans="1:5">
      <c r="A34">
        <v>100203</v>
      </c>
      <c r="D34">
        <v>100203</v>
      </c>
      <c r="E34">
        <f t="shared" si="0"/>
        <v>0</v>
      </c>
    </row>
    <row r="35" spans="1:5">
      <c r="A35">
        <v>100204</v>
      </c>
      <c r="D35">
        <v>100204</v>
      </c>
      <c r="E35">
        <f t="shared" si="0"/>
        <v>0</v>
      </c>
    </row>
    <row r="36" spans="1:5">
      <c r="A36">
        <v>100205</v>
      </c>
      <c r="D36">
        <v>100205</v>
      </c>
      <c r="E36">
        <f t="shared" si="0"/>
        <v>0</v>
      </c>
    </row>
    <row r="37" spans="1:5">
      <c r="A37">
        <v>100301</v>
      </c>
      <c r="D37">
        <v>100301</v>
      </c>
      <c r="E37">
        <f t="shared" si="0"/>
        <v>0</v>
      </c>
    </row>
    <row r="38" spans="1:5">
      <c r="A38">
        <v>100302</v>
      </c>
      <c r="D38">
        <v>100302</v>
      </c>
      <c r="E38">
        <f t="shared" si="0"/>
        <v>0</v>
      </c>
    </row>
    <row r="39" spans="1:5">
      <c r="A39">
        <v>100303</v>
      </c>
      <c r="D39">
        <v>100303</v>
      </c>
      <c r="E39">
        <f t="shared" si="0"/>
        <v>0</v>
      </c>
    </row>
    <row r="40" spans="1:5">
      <c r="A40">
        <v>100304</v>
      </c>
      <c r="D40">
        <v>100304</v>
      </c>
      <c r="E40">
        <f t="shared" si="0"/>
        <v>0</v>
      </c>
    </row>
    <row r="41" spans="1:5">
      <c r="A41">
        <v>100305</v>
      </c>
      <c r="D41">
        <v>100305</v>
      </c>
      <c r="E41">
        <f t="shared" si="0"/>
        <v>0</v>
      </c>
    </row>
    <row r="42" spans="1:5">
      <c r="A42">
        <v>100401</v>
      </c>
      <c r="D42">
        <v>100401</v>
      </c>
      <c r="E42">
        <f t="shared" si="0"/>
        <v>0</v>
      </c>
    </row>
    <row r="43" spans="1:5">
      <c r="A43">
        <v>100402</v>
      </c>
      <c r="D43">
        <v>100402</v>
      </c>
      <c r="E43">
        <f t="shared" si="0"/>
        <v>0</v>
      </c>
    </row>
    <row r="44" spans="1:5">
      <c r="A44">
        <v>100403</v>
      </c>
      <c r="D44">
        <v>100403</v>
      </c>
      <c r="E44">
        <f t="shared" si="0"/>
        <v>0</v>
      </c>
    </row>
    <row r="45" customFormat="1" spans="1:5">
      <c r="A45">
        <v>100501</v>
      </c>
      <c r="D45">
        <v>100501</v>
      </c>
      <c r="E45">
        <f t="shared" si="0"/>
        <v>0</v>
      </c>
    </row>
    <row r="46" customFormat="1" spans="1:5">
      <c r="A46">
        <v>100502</v>
      </c>
      <c r="D46">
        <v>100502</v>
      </c>
      <c r="E46">
        <f t="shared" si="0"/>
        <v>0</v>
      </c>
    </row>
    <row r="47" customFormat="1" spans="1:5">
      <c r="A47">
        <v>100503</v>
      </c>
      <c r="D47">
        <v>100503</v>
      </c>
      <c r="E47">
        <f t="shared" si="0"/>
        <v>0</v>
      </c>
    </row>
    <row r="48" customFormat="1" spans="1:5">
      <c r="A48">
        <v>100504</v>
      </c>
      <c r="D48">
        <v>100504</v>
      </c>
      <c r="E48">
        <f t="shared" si="0"/>
        <v>0</v>
      </c>
    </row>
    <row r="49" customFormat="1" spans="1:5">
      <c r="A49">
        <v>100601</v>
      </c>
      <c r="D49">
        <v>100601</v>
      </c>
      <c r="E49">
        <f t="shared" si="0"/>
        <v>0</v>
      </c>
    </row>
    <row r="50" customFormat="1" spans="1:5">
      <c r="A50">
        <v>100602</v>
      </c>
      <c r="D50">
        <v>100602</v>
      </c>
      <c r="E50">
        <f t="shared" si="0"/>
        <v>0</v>
      </c>
    </row>
    <row r="51" customFormat="1" spans="1:5">
      <c r="A51">
        <v>100603</v>
      </c>
      <c r="D51">
        <v>100603</v>
      </c>
      <c r="E51">
        <f t="shared" si="0"/>
        <v>0</v>
      </c>
    </row>
    <row r="52" customFormat="1" spans="1:5">
      <c r="A52">
        <v>100604</v>
      </c>
      <c r="D52">
        <v>100604</v>
      </c>
      <c r="E52">
        <f t="shared" si="0"/>
        <v>0</v>
      </c>
    </row>
    <row r="53" customFormat="1" spans="1:5">
      <c r="A53">
        <v>100605</v>
      </c>
      <c r="D53">
        <v>100605</v>
      </c>
      <c r="E53">
        <f t="shared" si="0"/>
        <v>0</v>
      </c>
    </row>
    <row r="54" customFormat="1" spans="1:5">
      <c r="A54">
        <v>100701</v>
      </c>
      <c r="D54">
        <v>100701</v>
      </c>
      <c r="E54">
        <f t="shared" si="0"/>
        <v>0</v>
      </c>
    </row>
    <row r="55" customFormat="1" spans="1:5">
      <c r="A55">
        <v>100702</v>
      </c>
      <c r="D55">
        <v>100702</v>
      </c>
      <c r="E55">
        <f t="shared" si="0"/>
        <v>0</v>
      </c>
    </row>
    <row r="56" customFormat="1" spans="1:5">
      <c r="A56">
        <v>100703</v>
      </c>
      <c r="D56">
        <v>100703</v>
      </c>
      <c r="E56">
        <f t="shared" si="0"/>
        <v>0</v>
      </c>
    </row>
    <row r="57" customFormat="1" spans="1:5">
      <c r="A57">
        <v>100704</v>
      </c>
      <c r="D57">
        <v>100704</v>
      </c>
      <c r="E57">
        <f t="shared" si="0"/>
        <v>0</v>
      </c>
    </row>
    <row r="58" customFormat="1" spans="1:5">
      <c r="A58">
        <v>100705</v>
      </c>
      <c r="D58">
        <v>100705</v>
      </c>
      <c r="E58">
        <f t="shared" si="0"/>
        <v>0</v>
      </c>
    </row>
    <row r="59" customFormat="1" spans="1:5">
      <c r="A59">
        <v>100801</v>
      </c>
      <c r="D59">
        <v>100801</v>
      </c>
      <c r="E59">
        <f t="shared" si="0"/>
        <v>0</v>
      </c>
    </row>
    <row r="60" customFormat="1" spans="1:5">
      <c r="A60">
        <v>100802</v>
      </c>
      <c r="D60">
        <v>100802</v>
      </c>
      <c r="E60">
        <f t="shared" si="0"/>
        <v>0</v>
      </c>
    </row>
    <row r="61" customFormat="1" spans="1:5">
      <c r="A61">
        <v>100803</v>
      </c>
      <c r="D61">
        <v>100803</v>
      </c>
      <c r="E61">
        <f t="shared" si="0"/>
        <v>0</v>
      </c>
    </row>
    <row r="62" customFormat="1" spans="1:5">
      <c r="A62">
        <v>100804</v>
      </c>
      <c r="D62">
        <v>100804</v>
      </c>
      <c r="E62">
        <f t="shared" si="0"/>
        <v>0</v>
      </c>
    </row>
    <row r="63" customFormat="1" spans="1:5">
      <c r="A63">
        <v>100901</v>
      </c>
      <c r="D63">
        <v>100901</v>
      </c>
      <c r="E63">
        <f t="shared" si="0"/>
        <v>0</v>
      </c>
    </row>
    <row r="64" customFormat="1" spans="1:5">
      <c r="A64">
        <v>100902</v>
      </c>
      <c r="D64">
        <v>100902</v>
      </c>
      <c r="E64">
        <f t="shared" si="0"/>
        <v>0</v>
      </c>
    </row>
    <row r="65" customFormat="1" spans="1:5">
      <c r="A65">
        <v>100903</v>
      </c>
      <c r="D65">
        <v>100903</v>
      </c>
      <c r="E65">
        <f t="shared" si="0"/>
        <v>0</v>
      </c>
    </row>
    <row r="66" customFormat="1" spans="1:5">
      <c r="A66">
        <v>100904</v>
      </c>
      <c r="D66">
        <v>100904</v>
      </c>
      <c r="E66">
        <f t="shared" si="0"/>
        <v>0</v>
      </c>
    </row>
    <row r="67" customFormat="1" spans="1:5">
      <c r="A67">
        <v>101001</v>
      </c>
      <c r="D67">
        <v>101001</v>
      </c>
      <c r="E67">
        <f t="shared" si="0"/>
        <v>0</v>
      </c>
    </row>
    <row r="68" customFormat="1" spans="1:5">
      <c r="A68">
        <v>101002</v>
      </c>
      <c r="D68">
        <v>101002</v>
      </c>
      <c r="E68">
        <f t="shared" ref="E68:E131" si="1">IF(ISNUMBER(SEARCH("|",$D68)),1,0)</f>
        <v>0</v>
      </c>
    </row>
    <row r="69" customFormat="1" spans="1:5">
      <c r="A69">
        <v>101003</v>
      </c>
      <c r="D69">
        <v>101003</v>
      </c>
      <c r="E69">
        <f t="shared" si="1"/>
        <v>0</v>
      </c>
    </row>
    <row r="70" customFormat="1" spans="1:5">
      <c r="A70">
        <v>101004</v>
      </c>
      <c r="D70">
        <v>101004</v>
      </c>
      <c r="E70">
        <f t="shared" si="1"/>
        <v>0</v>
      </c>
    </row>
    <row r="71" customFormat="1" spans="1:5">
      <c r="A71">
        <v>101101</v>
      </c>
      <c r="D71">
        <v>101101</v>
      </c>
      <c r="E71">
        <f t="shared" si="1"/>
        <v>0</v>
      </c>
    </row>
    <row r="72" customFormat="1" spans="1:5">
      <c r="A72">
        <v>101102</v>
      </c>
      <c r="D72">
        <v>101102</v>
      </c>
      <c r="E72">
        <f t="shared" si="1"/>
        <v>0</v>
      </c>
    </row>
    <row r="73" customFormat="1" spans="1:5">
      <c r="A73">
        <v>101103</v>
      </c>
      <c r="D73">
        <v>101103</v>
      </c>
      <c r="E73">
        <f t="shared" si="1"/>
        <v>0</v>
      </c>
    </row>
    <row r="74" customFormat="1" spans="1:5">
      <c r="A74">
        <v>101201</v>
      </c>
      <c r="D74">
        <v>101201</v>
      </c>
      <c r="E74">
        <f t="shared" si="1"/>
        <v>0</v>
      </c>
    </row>
    <row r="75" customFormat="1" spans="1:5">
      <c r="A75">
        <v>101202</v>
      </c>
      <c r="D75">
        <v>101202</v>
      </c>
      <c r="E75">
        <f t="shared" si="1"/>
        <v>0</v>
      </c>
    </row>
    <row r="76" customFormat="1" spans="1:5">
      <c r="A76">
        <v>101203</v>
      </c>
      <c r="D76">
        <v>101203</v>
      </c>
      <c r="E76">
        <f t="shared" si="1"/>
        <v>0</v>
      </c>
    </row>
    <row r="77" customFormat="1" spans="1:5">
      <c r="A77">
        <v>101204</v>
      </c>
      <c r="D77">
        <v>101204</v>
      </c>
      <c r="E77">
        <f t="shared" si="1"/>
        <v>0</v>
      </c>
    </row>
    <row r="78" customFormat="1" spans="1:5">
      <c r="A78">
        <v>101301</v>
      </c>
      <c r="D78">
        <v>101301</v>
      </c>
      <c r="E78">
        <f t="shared" si="1"/>
        <v>0</v>
      </c>
    </row>
    <row r="79" customFormat="1" spans="1:5">
      <c r="A79">
        <v>101302</v>
      </c>
      <c r="D79">
        <v>101302</v>
      </c>
      <c r="E79">
        <f t="shared" si="1"/>
        <v>0</v>
      </c>
    </row>
    <row r="80" customFormat="1" spans="1:5">
      <c r="A80">
        <v>101303</v>
      </c>
      <c r="D80">
        <v>101303</v>
      </c>
      <c r="E80">
        <f t="shared" si="1"/>
        <v>0</v>
      </c>
    </row>
    <row r="81" customFormat="1" spans="1:5">
      <c r="A81">
        <v>101304</v>
      </c>
      <c r="D81">
        <v>101304</v>
      </c>
      <c r="E81">
        <f t="shared" si="1"/>
        <v>0</v>
      </c>
    </row>
    <row r="82" customFormat="1" spans="1:5">
      <c r="A82">
        <v>101401</v>
      </c>
      <c r="D82">
        <v>101401</v>
      </c>
      <c r="E82">
        <f t="shared" si="1"/>
        <v>0</v>
      </c>
    </row>
    <row r="83" customFormat="1" spans="1:5">
      <c r="A83">
        <v>101402</v>
      </c>
      <c r="D83">
        <v>101402</v>
      </c>
      <c r="E83">
        <f t="shared" si="1"/>
        <v>0</v>
      </c>
    </row>
    <row r="84" customFormat="1" spans="1:5">
      <c r="A84">
        <v>101403</v>
      </c>
      <c r="D84">
        <v>101403</v>
      </c>
      <c r="E84">
        <f t="shared" si="1"/>
        <v>0</v>
      </c>
    </row>
    <row r="85" customFormat="1" spans="1:5">
      <c r="A85">
        <v>101404</v>
      </c>
      <c r="D85">
        <v>101404</v>
      </c>
      <c r="E85">
        <f t="shared" si="1"/>
        <v>0</v>
      </c>
    </row>
    <row r="86" customFormat="1" spans="1:5">
      <c r="A86">
        <v>101501</v>
      </c>
      <c r="D86">
        <v>101501</v>
      </c>
      <c r="E86">
        <f t="shared" si="1"/>
        <v>0</v>
      </c>
    </row>
    <row r="87" customFormat="1" spans="1:5">
      <c r="A87">
        <v>101502</v>
      </c>
      <c r="D87">
        <v>101502</v>
      </c>
      <c r="E87">
        <f t="shared" si="1"/>
        <v>0</v>
      </c>
    </row>
    <row r="88" customFormat="1" spans="1:5">
      <c r="A88">
        <v>101503</v>
      </c>
      <c r="D88">
        <v>101503</v>
      </c>
      <c r="E88">
        <f t="shared" si="1"/>
        <v>0</v>
      </c>
    </row>
    <row r="89" customFormat="1" spans="1:5">
      <c r="A89">
        <v>101504</v>
      </c>
      <c r="D89">
        <v>101504</v>
      </c>
      <c r="E89">
        <f t="shared" si="1"/>
        <v>0</v>
      </c>
    </row>
    <row r="90" customFormat="1" spans="1:5">
      <c r="A90">
        <v>101601</v>
      </c>
      <c r="D90">
        <v>101601</v>
      </c>
      <c r="E90">
        <f t="shared" si="1"/>
        <v>0</v>
      </c>
    </row>
    <row r="91" customFormat="1" spans="1:5">
      <c r="A91">
        <v>101602</v>
      </c>
      <c r="D91">
        <v>101602</v>
      </c>
      <c r="E91">
        <f t="shared" si="1"/>
        <v>0</v>
      </c>
    </row>
    <row r="92" customFormat="1" spans="1:5">
      <c r="A92">
        <v>101603</v>
      </c>
      <c r="D92">
        <v>101603</v>
      </c>
      <c r="E92">
        <f t="shared" si="1"/>
        <v>0</v>
      </c>
    </row>
    <row r="93" customFormat="1" spans="1:5">
      <c r="A93">
        <v>101604</v>
      </c>
      <c r="D93">
        <v>101604</v>
      </c>
      <c r="E93">
        <f t="shared" si="1"/>
        <v>0</v>
      </c>
    </row>
    <row r="94" customFormat="1" spans="1:5">
      <c r="A94">
        <v>101701</v>
      </c>
      <c r="D94">
        <v>101701</v>
      </c>
      <c r="E94">
        <f t="shared" si="1"/>
        <v>0</v>
      </c>
    </row>
    <row r="95" customFormat="1" spans="1:5">
      <c r="A95">
        <v>101702</v>
      </c>
      <c r="D95">
        <v>101702</v>
      </c>
      <c r="E95">
        <f t="shared" si="1"/>
        <v>0</v>
      </c>
    </row>
    <row r="96" customFormat="1" spans="1:5">
      <c r="A96">
        <v>101703</v>
      </c>
      <c r="D96">
        <v>101703</v>
      </c>
      <c r="E96">
        <f t="shared" si="1"/>
        <v>0</v>
      </c>
    </row>
    <row r="97" customFormat="1" spans="1:5">
      <c r="A97">
        <v>101704</v>
      </c>
      <c r="D97">
        <v>101704</v>
      </c>
      <c r="E97">
        <f t="shared" si="1"/>
        <v>0</v>
      </c>
    </row>
    <row r="98" customFormat="1" spans="1:5">
      <c r="A98">
        <v>101705</v>
      </c>
      <c r="D98">
        <v>101705</v>
      </c>
      <c r="E98">
        <f t="shared" si="1"/>
        <v>0</v>
      </c>
    </row>
    <row r="99" customFormat="1" spans="1:5">
      <c r="A99">
        <v>101801</v>
      </c>
      <c r="D99">
        <v>101801</v>
      </c>
      <c r="E99">
        <f t="shared" si="1"/>
        <v>0</v>
      </c>
    </row>
    <row r="100" customFormat="1" spans="1:5">
      <c r="A100">
        <v>101802</v>
      </c>
      <c r="D100">
        <v>101802</v>
      </c>
      <c r="E100">
        <f t="shared" si="1"/>
        <v>0</v>
      </c>
    </row>
    <row r="101" customFormat="1" spans="1:5">
      <c r="A101">
        <v>101803</v>
      </c>
      <c r="D101">
        <v>101803</v>
      </c>
      <c r="E101">
        <f t="shared" si="1"/>
        <v>0</v>
      </c>
    </row>
    <row r="102" customFormat="1" spans="1:5">
      <c r="A102">
        <v>101804</v>
      </c>
      <c r="D102">
        <v>101804</v>
      </c>
      <c r="E102">
        <f t="shared" si="1"/>
        <v>0</v>
      </c>
    </row>
    <row r="103" customFormat="1" spans="1:5">
      <c r="A103">
        <v>101805</v>
      </c>
      <c r="D103">
        <v>101805</v>
      </c>
      <c r="E103">
        <f t="shared" si="1"/>
        <v>0</v>
      </c>
    </row>
    <row r="104" customFormat="1" spans="1:5">
      <c r="A104">
        <v>101901</v>
      </c>
      <c r="D104">
        <v>101901</v>
      </c>
      <c r="E104">
        <f t="shared" si="1"/>
        <v>0</v>
      </c>
    </row>
    <row r="105" customFormat="1" spans="1:5">
      <c r="A105">
        <v>101902</v>
      </c>
      <c r="D105">
        <v>101902</v>
      </c>
      <c r="E105">
        <f t="shared" si="1"/>
        <v>0</v>
      </c>
    </row>
    <row r="106" customFormat="1" spans="1:5">
      <c r="A106">
        <v>101903</v>
      </c>
      <c r="D106">
        <v>101903</v>
      </c>
      <c r="E106">
        <f t="shared" si="1"/>
        <v>0</v>
      </c>
    </row>
    <row r="107" customFormat="1" spans="1:5">
      <c r="A107">
        <v>101904</v>
      </c>
      <c r="D107">
        <v>101904</v>
      </c>
      <c r="E107">
        <f t="shared" si="1"/>
        <v>0</v>
      </c>
    </row>
    <row r="108" customFormat="1" spans="1:5">
      <c r="A108">
        <v>102001</v>
      </c>
      <c r="D108">
        <v>102001</v>
      </c>
      <c r="E108">
        <f t="shared" si="1"/>
        <v>0</v>
      </c>
    </row>
    <row r="109" customFormat="1" spans="1:5">
      <c r="A109">
        <v>102002</v>
      </c>
      <c r="D109">
        <v>102002</v>
      </c>
      <c r="E109">
        <f t="shared" si="1"/>
        <v>0</v>
      </c>
    </row>
    <row r="110" customFormat="1" spans="1:5">
      <c r="A110">
        <v>102003</v>
      </c>
      <c r="D110">
        <v>102003</v>
      </c>
      <c r="E110">
        <f t="shared" si="1"/>
        <v>0</v>
      </c>
    </row>
    <row r="111" customFormat="1" spans="1:5">
      <c r="A111">
        <v>102004</v>
      </c>
      <c r="D111">
        <v>102004</v>
      </c>
      <c r="E111">
        <f t="shared" si="1"/>
        <v>0</v>
      </c>
    </row>
    <row r="112" customFormat="1" spans="1:5">
      <c r="A112">
        <v>102101</v>
      </c>
      <c r="D112">
        <v>102101</v>
      </c>
      <c r="E112">
        <f t="shared" si="1"/>
        <v>0</v>
      </c>
    </row>
    <row r="113" customFormat="1" spans="1:6">
      <c r="A113">
        <v>102102</v>
      </c>
      <c r="D113">
        <v>102102</v>
      </c>
      <c r="E113">
        <f t="shared" si="1"/>
        <v>0</v>
      </c>
    </row>
    <row r="114" customFormat="1" spans="1:6">
      <c r="A114">
        <v>102103</v>
      </c>
      <c r="D114">
        <v>102103</v>
      </c>
      <c r="E114">
        <f t="shared" si="1"/>
        <v>0</v>
      </c>
    </row>
    <row r="115" customFormat="1" spans="1:6">
      <c r="A115">
        <v>102104</v>
      </c>
      <c r="D115">
        <v>102104</v>
      </c>
      <c r="E115">
        <f t="shared" si="1"/>
        <v>0</v>
      </c>
    </row>
    <row r="116" customFormat="1" spans="1:6">
      <c r="A116">
        <v>102201</v>
      </c>
      <c r="D116">
        <v>102201</v>
      </c>
      <c r="E116">
        <f t="shared" si="1"/>
        <v>0</v>
      </c>
    </row>
    <row r="117" customFormat="1" spans="1:6">
      <c r="A117">
        <v>102202</v>
      </c>
      <c r="D117">
        <v>102202</v>
      </c>
      <c r="E117">
        <f t="shared" si="1"/>
        <v>0</v>
      </c>
    </row>
    <row r="118" customFormat="1" spans="1:6">
      <c r="A118">
        <v>102203</v>
      </c>
      <c r="D118">
        <v>102203</v>
      </c>
      <c r="E118">
        <f t="shared" si="1"/>
        <v>0</v>
      </c>
    </row>
    <row r="119" customFormat="1" spans="1:6">
      <c r="A119">
        <v>102204</v>
      </c>
      <c r="D119">
        <v>102204</v>
      </c>
      <c r="E119">
        <f t="shared" si="1"/>
        <v>0</v>
      </c>
    </row>
    <row r="120" customFormat="1" spans="1:6">
      <c r="A120">
        <v>102301</v>
      </c>
      <c r="D120">
        <v>102301</v>
      </c>
      <c r="E120">
        <f t="shared" si="1"/>
        <v>0</v>
      </c>
    </row>
    <row r="121" customFormat="1" spans="1:6">
      <c r="A121">
        <v>102302</v>
      </c>
      <c r="D121">
        <v>102302</v>
      </c>
      <c r="E121">
        <f t="shared" si="1"/>
        <v>0</v>
      </c>
    </row>
    <row r="122" customFormat="1" spans="1:6">
      <c r="A122">
        <v>102303</v>
      </c>
      <c r="D122">
        <v>102303</v>
      </c>
      <c r="E122">
        <f t="shared" si="1"/>
        <v>0</v>
      </c>
    </row>
    <row r="123" customFormat="1" spans="1:6">
      <c r="A123">
        <v>102304</v>
      </c>
      <c r="D123">
        <v>102304</v>
      </c>
      <c r="E123">
        <f t="shared" si="1"/>
        <v>0</v>
      </c>
    </row>
    <row r="124" customFormat="1" spans="1:6">
      <c r="A124">
        <v>102401</v>
      </c>
      <c r="B124" t="s">
        <v>343</v>
      </c>
      <c r="C124"/>
      <c r="D124" t="s">
        <v>344</v>
      </c>
      <c r="E124">
        <f t="shared" si="1"/>
        <v>1</v>
      </c>
      <c r="F124" t="s">
        <v>345</v>
      </c>
    </row>
    <row r="125" customFormat="1" spans="1:6">
      <c r="A125">
        <v>102402</v>
      </c>
      <c r="D125" t="s">
        <v>346</v>
      </c>
      <c r="E125">
        <f t="shared" si="1"/>
        <v>1</v>
      </c>
      <c r="F125" t="s">
        <v>347</v>
      </c>
    </row>
    <row r="126" customFormat="1" spans="1:6">
      <c r="A126">
        <v>102403</v>
      </c>
      <c r="D126" t="s">
        <v>346</v>
      </c>
      <c r="E126">
        <f t="shared" si="1"/>
        <v>1</v>
      </c>
      <c r="F126" t="s">
        <v>348</v>
      </c>
    </row>
    <row r="127" customFormat="1" spans="1:6">
      <c r="A127">
        <v>102404</v>
      </c>
      <c r="D127" t="s">
        <v>346</v>
      </c>
      <c r="E127">
        <f t="shared" si="1"/>
        <v>1</v>
      </c>
      <c r="F127" t="s">
        <v>349</v>
      </c>
    </row>
    <row r="128" customFormat="1" spans="1:6">
      <c r="A128">
        <v>102501</v>
      </c>
      <c r="D128">
        <v>102501</v>
      </c>
      <c r="E128">
        <f t="shared" si="1"/>
        <v>0</v>
      </c>
    </row>
    <row r="129" customFormat="1" spans="1:6">
      <c r="A129">
        <v>102502</v>
      </c>
      <c r="D129">
        <v>102502</v>
      </c>
      <c r="E129">
        <f t="shared" si="1"/>
        <v>0</v>
      </c>
    </row>
    <row r="130" customFormat="1" spans="1:6">
      <c r="A130">
        <v>102503</v>
      </c>
      <c r="D130">
        <v>102503</v>
      </c>
      <c r="E130">
        <f t="shared" si="1"/>
        <v>0</v>
      </c>
    </row>
    <row r="131" customFormat="1" spans="1:6">
      <c r="A131">
        <v>102504</v>
      </c>
      <c r="D131">
        <v>102504</v>
      </c>
      <c r="E131">
        <f t="shared" si="1"/>
        <v>0</v>
      </c>
    </row>
    <row r="132" customFormat="1" spans="1:6">
      <c r="A132">
        <v>102601</v>
      </c>
      <c r="D132" t="s">
        <v>350</v>
      </c>
      <c r="E132">
        <f t="shared" ref="E132:E195" si="2">IF(ISNUMBER(SEARCH("|",$D132)),1,0)</f>
        <v>1</v>
      </c>
      <c r="F132" t="s">
        <v>351</v>
      </c>
    </row>
    <row r="133" customFormat="1" spans="1:6">
      <c r="A133">
        <v>102602</v>
      </c>
      <c r="D133" t="s">
        <v>352</v>
      </c>
      <c r="E133">
        <f t="shared" si="2"/>
        <v>1</v>
      </c>
      <c r="F133" t="s">
        <v>353</v>
      </c>
    </row>
    <row r="134" customFormat="1" spans="1:6">
      <c r="A134">
        <v>102603</v>
      </c>
      <c r="D134">
        <v>102611</v>
      </c>
      <c r="E134">
        <f t="shared" si="2"/>
        <v>0</v>
      </c>
    </row>
    <row r="135" customFormat="1" spans="1:6">
      <c r="A135">
        <v>102604</v>
      </c>
      <c r="D135">
        <v>102612</v>
      </c>
      <c r="E135">
        <f t="shared" si="2"/>
        <v>0</v>
      </c>
    </row>
    <row r="136" customFormat="1" spans="1:6">
      <c r="A136">
        <v>102701</v>
      </c>
      <c r="D136" t="s">
        <v>354</v>
      </c>
      <c r="E136">
        <f t="shared" si="2"/>
        <v>1</v>
      </c>
      <c r="F136" t="s">
        <v>355</v>
      </c>
    </row>
    <row r="137" customFormat="1" spans="1:6">
      <c r="A137">
        <v>102702</v>
      </c>
      <c r="D137" t="s">
        <v>356</v>
      </c>
      <c r="E137">
        <f t="shared" si="2"/>
        <v>1</v>
      </c>
      <c r="F137" t="s">
        <v>353</v>
      </c>
    </row>
    <row r="138" customFormat="1" spans="1:6">
      <c r="A138">
        <v>102703</v>
      </c>
      <c r="D138">
        <v>102711</v>
      </c>
      <c r="E138">
        <f t="shared" si="2"/>
        <v>0</v>
      </c>
    </row>
    <row r="139" customFormat="1" spans="1:6">
      <c r="A139">
        <v>102704</v>
      </c>
      <c r="D139">
        <v>102712</v>
      </c>
      <c r="E139">
        <f t="shared" si="2"/>
        <v>0</v>
      </c>
    </row>
    <row r="140" spans="1:6">
      <c r="A140" s="10">
        <v>90001</v>
      </c>
      <c r="D140" s="10">
        <v>90001</v>
      </c>
      <c r="E140" s="10">
        <f t="shared" si="2"/>
        <v>0</v>
      </c>
      <c r="F140" s="10"/>
    </row>
    <row r="141" spans="1:6">
      <c r="A141" s="10">
        <v>90002</v>
      </c>
      <c r="D141" s="10">
        <v>90002</v>
      </c>
      <c r="E141" s="10">
        <f t="shared" si="2"/>
        <v>0</v>
      </c>
      <c r="F141" s="10"/>
    </row>
    <row r="142" spans="1:6">
      <c r="A142" s="10">
        <v>90003</v>
      </c>
      <c r="D142" s="10">
        <v>90003</v>
      </c>
      <c r="E142" s="10">
        <f t="shared" si="2"/>
        <v>0</v>
      </c>
      <c r="F142" s="10"/>
    </row>
    <row r="143" spans="1:6">
      <c r="A143" s="10">
        <v>90004</v>
      </c>
      <c r="D143" s="10">
        <v>90004</v>
      </c>
      <c r="E143" s="10">
        <f t="shared" si="2"/>
        <v>0</v>
      </c>
      <c r="F143" s="10"/>
    </row>
    <row r="144" spans="1:6">
      <c r="A144" s="10">
        <v>90005</v>
      </c>
      <c r="D144" s="10">
        <v>90005</v>
      </c>
      <c r="E144" s="10">
        <f t="shared" si="2"/>
        <v>0</v>
      </c>
      <c r="F144" s="10"/>
    </row>
    <row r="145" spans="1:6">
      <c r="A145" s="10">
        <v>90006</v>
      </c>
      <c r="D145" s="10">
        <v>90006</v>
      </c>
      <c r="E145" s="10">
        <f t="shared" si="2"/>
        <v>0</v>
      </c>
      <c r="F145" s="10"/>
    </row>
    <row r="146" spans="1:6">
      <c r="A146" s="10">
        <v>90007</v>
      </c>
      <c r="D146" s="10">
        <v>90007</v>
      </c>
      <c r="E146" s="10">
        <f t="shared" si="2"/>
        <v>0</v>
      </c>
      <c r="F146" s="10"/>
    </row>
    <row r="147" spans="1:6">
      <c r="A147" s="10">
        <v>90008</v>
      </c>
      <c r="D147" s="10">
        <v>90008</v>
      </c>
      <c r="E147" s="10">
        <f t="shared" si="2"/>
        <v>0</v>
      </c>
      <c r="F147" s="10"/>
    </row>
    <row r="148" spans="1:6">
      <c r="A148" s="10">
        <v>90009</v>
      </c>
      <c r="D148" s="10">
        <v>90009</v>
      </c>
      <c r="E148" s="10">
        <f t="shared" si="2"/>
        <v>0</v>
      </c>
      <c r="F148" s="10"/>
    </row>
    <row r="149" spans="1:6">
      <c r="A149" s="10">
        <v>90010</v>
      </c>
      <c r="D149" s="10">
        <v>90010</v>
      </c>
      <c r="E149" s="10">
        <f t="shared" si="2"/>
        <v>0</v>
      </c>
      <c r="F149" s="10"/>
    </row>
    <row r="150" spans="1:6">
      <c r="A150" s="10">
        <v>90011</v>
      </c>
      <c r="D150" s="10">
        <v>90011</v>
      </c>
      <c r="E150" s="10">
        <f t="shared" si="2"/>
        <v>0</v>
      </c>
      <c r="F150" s="10"/>
    </row>
    <row r="151" spans="1:6">
      <c r="A151" s="10">
        <v>90012</v>
      </c>
      <c r="D151" s="10">
        <v>90012</v>
      </c>
      <c r="E151" s="10">
        <f t="shared" si="2"/>
        <v>0</v>
      </c>
      <c r="F151" s="10"/>
    </row>
    <row r="152" spans="1:6">
      <c r="A152" s="10">
        <v>90013</v>
      </c>
      <c r="D152" s="10">
        <v>90013</v>
      </c>
      <c r="E152" s="10">
        <f t="shared" si="2"/>
        <v>0</v>
      </c>
      <c r="F152" s="10"/>
    </row>
    <row r="153" spans="1:6">
      <c r="A153" s="10">
        <v>90014</v>
      </c>
      <c r="D153" s="10">
        <v>90014</v>
      </c>
      <c r="E153" s="10">
        <f t="shared" si="2"/>
        <v>0</v>
      </c>
      <c r="F153" s="10"/>
    </row>
    <row r="154" spans="1:6">
      <c r="A154" s="10">
        <v>90015</v>
      </c>
      <c r="D154" s="10">
        <v>90015</v>
      </c>
      <c r="E154" s="10">
        <f t="shared" si="2"/>
        <v>0</v>
      </c>
      <c r="F154" s="10"/>
    </row>
    <row r="155" spans="1:6">
      <c r="A155" s="10">
        <v>90016</v>
      </c>
      <c r="D155" s="10">
        <v>90016</v>
      </c>
      <c r="E155" s="10">
        <f t="shared" si="2"/>
        <v>0</v>
      </c>
      <c r="F155" s="10"/>
    </row>
    <row r="156" spans="1:6">
      <c r="A156" s="10">
        <v>90017</v>
      </c>
      <c r="D156" s="10">
        <v>90017</v>
      </c>
      <c r="E156" s="10">
        <f t="shared" si="2"/>
        <v>0</v>
      </c>
      <c r="F156" s="10"/>
    </row>
    <row r="157" spans="1:6">
      <c r="A157" s="10">
        <v>90018</v>
      </c>
      <c r="D157" s="10">
        <v>90018</v>
      </c>
      <c r="E157" s="10">
        <f t="shared" si="2"/>
        <v>0</v>
      </c>
      <c r="F157" s="10"/>
    </row>
    <row r="158" spans="1:6">
      <c r="A158" s="10">
        <v>90019</v>
      </c>
      <c r="D158" s="10">
        <v>90019</v>
      </c>
      <c r="E158" s="10">
        <f t="shared" si="2"/>
        <v>0</v>
      </c>
      <c r="F158" s="10"/>
    </row>
    <row r="159" spans="1:6">
      <c r="A159" s="10">
        <v>90020</v>
      </c>
      <c r="D159" s="10">
        <v>90020</v>
      </c>
      <c r="E159" s="10">
        <f t="shared" si="2"/>
        <v>0</v>
      </c>
      <c r="F159" s="10"/>
    </row>
    <row r="160" spans="1:6">
      <c r="A160" s="10">
        <v>90021</v>
      </c>
      <c r="D160" s="10">
        <v>90021</v>
      </c>
      <c r="E160" s="10">
        <f t="shared" si="2"/>
        <v>0</v>
      </c>
      <c r="F160" s="10"/>
    </row>
    <row r="161" spans="1:6">
      <c r="A161" s="10">
        <v>90022</v>
      </c>
      <c r="D161" s="10">
        <v>90022</v>
      </c>
      <c r="E161" s="10">
        <f t="shared" si="2"/>
        <v>0</v>
      </c>
      <c r="F161" s="10"/>
    </row>
    <row r="162" spans="1:6">
      <c r="A162" s="10">
        <v>90023</v>
      </c>
      <c r="D162" s="10">
        <v>90023</v>
      </c>
      <c r="E162" s="10">
        <f t="shared" si="2"/>
        <v>0</v>
      </c>
      <c r="F162" s="10"/>
    </row>
    <row r="163" spans="1:6">
      <c r="A163" s="10">
        <v>90024</v>
      </c>
      <c r="D163" s="10">
        <v>90024</v>
      </c>
      <c r="E163" s="10">
        <f t="shared" si="2"/>
        <v>0</v>
      </c>
      <c r="F163" s="10"/>
    </row>
    <row r="164" spans="1:6">
      <c r="A164" s="10">
        <v>90025</v>
      </c>
      <c r="D164" s="10">
        <v>90025</v>
      </c>
      <c r="E164" s="10">
        <f t="shared" si="2"/>
        <v>0</v>
      </c>
      <c r="F164" s="10"/>
    </row>
    <row r="165" spans="1:6">
      <c r="A165" s="10">
        <v>90026</v>
      </c>
      <c r="D165" s="10">
        <v>90026</v>
      </c>
      <c r="E165" s="10">
        <f t="shared" si="2"/>
        <v>0</v>
      </c>
      <c r="F165" s="10"/>
    </row>
    <row r="166" spans="1:6">
      <c r="A166" s="10">
        <v>90027</v>
      </c>
      <c r="D166" s="10">
        <v>90027</v>
      </c>
      <c r="E166" s="10">
        <f t="shared" si="2"/>
        <v>0</v>
      </c>
      <c r="F166" s="10"/>
    </row>
    <row r="167" spans="1:6">
      <c r="A167" s="10">
        <v>90028</v>
      </c>
      <c r="D167" s="10">
        <v>90028</v>
      </c>
      <c r="E167" s="10">
        <f t="shared" si="2"/>
        <v>0</v>
      </c>
      <c r="F167" s="10"/>
    </row>
    <row r="168" spans="1:6">
      <c r="A168" s="10">
        <v>90029</v>
      </c>
      <c r="D168" s="10">
        <v>90029</v>
      </c>
      <c r="E168" s="10">
        <f t="shared" si="2"/>
        <v>0</v>
      </c>
      <c r="F168" s="10"/>
    </row>
    <row r="169" spans="1:6">
      <c r="A169" s="10">
        <v>90030</v>
      </c>
      <c r="D169" s="10">
        <v>90030</v>
      </c>
      <c r="E169" s="10">
        <f t="shared" si="2"/>
        <v>0</v>
      </c>
      <c r="F169" s="10"/>
    </row>
    <row r="170" spans="1:6">
      <c r="A170" s="10">
        <v>90031</v>
      </c>
      <c r="D170" s="10">
        <v>90031</v>
      </c>
      <c r="E170" s="10">
        <f t="shared" si="2"/>
        <v>0</v>
      </c>
      <c r="F170" s="10"/>
    </row>
    <row r="171" spans="1:6">
      <c r="A171" s="10">
        <v>90032</v>
      </c>
      <c r="D171" s="10">
        <v>90032</v>
      </c>
      <c r="E171" s="10">
        <f t="shared" si="2"/>
        <v>0</v>
      </c>
      <c r="F171" s="10"/>
    </row>
    <row r="172" spans="1:6">
      <c r="A172" s="10">
        <v>90033</v>
      </c>
      <c r="D172" s="10">
        <v>90033</v>
      </c>
      <c r="E172" s="10">
        <f t="shared" si="2"/>
        <v>0</v>
      </c>
      <c r="F172" s="10"/>
    </row>
    <row r="173" spans="1:6">
      <c r="A173" s="10">
        <v>90034</v>
      </c>
      <c r="D173" s="10">
        <v>90034</v>
      </c>
      <c r="E173" s="10">
        <f t="shared" si="2"/>
        <v>0</v>
      </c>
      <c r="F173" s="10"/>
    </row>
    <row r="174" spans="1:6">
      <c r="A174" s="10">
        <v>90035</v>
      </c>
      <c r="D174" s="10">
        <v>90035</v>
      </c>
      <c r="E174" s="10">
        <f t="shared" si="2"/>
        <v>0</v>
      </c>
      <c r="F174" s="10"/>
    </row>
    <row r="175" spans="1:6">
      <c r="A175" s="10">
        <v>90036</v>
      </c>
      <c r="D175" s="10">
        <v>90036</v>
      </c>
      <c r="E175" s="10">
        <f t="shared" si="2"/>
        <v>0</v>
      </c>
      <c r="F175" s="10"/>
    </row>
    <row r="176" spans="1:6">
      <c r="A176" s="10">
        <v>90037</v>
      </c>
      <c r="D176" s="10">
        <v>90037</v>
      </c>
      <c r="E176" s="10">
        <f t="shared" si="2"/>
        <v>0</v>
      </c>
      <c r="F176" s="10"/>
    </row>
    <row r="177" spans="1:6">
      <c r="A177" s="10">
        <v>90038</v>
      </c>
      <c r="D177" s="10">
        <v>90038</v>
      </c>
      <c r="E177" s="10">
        <f t="shared" si="2"/>
        <v>0</v>
      </c>
      <c r="F177" s="10"/>
    </row>
    <row r="178" spans="1:6">
      <c r="A178" s="10">
        <v>90039</v>
      </c>
      <c r="D178" s="10">
        <v>90039</v>
      </c>
      <c r="E178" s="10">
        <f t="shared" si="2"/>
        <v>0</v>
      </c>
      <c r="F178" s="10"/>
    </row>
    <row r="179" spans="1:6">
      <c r="A179" s="10">
        <v>90040</v>
      </c>
      <c r="D179" s="10">
        <v>90040</v>
      </c>
      <c r="E179" s="10">
        <f t="shared" si="2"/>
        <v>0</v>
      </c>
      <c r="F179" s="10"/>
    </row>
    <row r="180" spans="1:6">
      <c r="A180" s="10">
        <v>90041</v>
      </c>
      <c r="D180" s="10">
        <v>90041</v>
      </c>
      <c r="E180" s="10">
        <f t="shared" si="2"/>
        <v>0</v>
      </c>
      <c r="F180" s="10"/>
    </row>
    <row r="181" spans="1:6">
      <c r="A181" s="10">
        <v>90042</v>
      </c>
      <c r="D181" s="10">
        <v>90042</v>
      </c>
      <c r="E181" s="10">
        <f t="shared" si="2"/>
        <v>0</v>
      </c>
      <c r="F181" s="10"/>
    </row>
    <row r="182" spans="1:6">
      <c r="A182" s="10">
        <v>90043</v>
      </c>
      <c r="D182" s="10">
        <v>90043</v>
      </c>
      <c r="E182" s="10">
        <f t="shared" si="2"/>
        <v>0</v>
      </c>
      <c r="F182" s="10"/>
    </row>
    <row r="183" spans="1:6">
      <c r="A183" s="10">
        <v>90044</v>
      </c>
      <c r="D183" s="10">
        <v>90044</v>
      </c>
      <c r="E183" s="10">
        <f t="shared" si="2"/>
        <v>0</v>
      </c>
      <c r="F183" s="10"/>
    </row>
    <row r="184" spans="1:6">
      <c r="A184" s="10">
        <v>90045</v>
      </c>
      <c r="D184" s="10">
        <v>90045</v>
      </c>
      <c r="E184" s="10">
        <f t="shared" si="2"/>
        <v>0</v>
      </c>
      <c r="F184" s="10"/>
    </row>
    <row r="185" spans="1:6">
      <c r="A185" s="10">
        <v>90046</v>
      </c>
      <c r="D185" s="10">
        <v>90046</v>
      </c>
      <c r="E185" s="10">
        <f t="shared" si="2"/>
        <v>0</v>
      </c>
      <c r="F185" s="10"/>
    </row>
    <row r="186" spans="1:6">
      <c r="A186" s="10">
        <v>90047</v>
      </c>
      <c r="D186" s="10">
        <v>90047</v>
      </c>
      <c r="E186" s="10">
        <f t="shared" si="2"/>
        <v>0</v>
      </c>
      <c r="F186" s="10"/>
    </row>
    <row r="187" spans="1:6">
      <c r="A187" s="10">
        <v>90048</v>
      </c>
      <c r="D187" s="10">
        <v>90048</v>
      </c>
      <c r="E187" s="10">
        <f t="shared" si="2"/>
        <v>0</v>
      </c>
      <c r="F187" s="10"/>
    </row>
    <row r="188" spans="1:6">
      <c r="A188" s="10">
        <v>90049</v>
      </c>
      <c r="D188" s="10">
        <v>90049</v>
      </c>
      <c r="E188" s="10">
        <f t="shared" si="2"/>
        <v>0</v>
      </c>
      <c r="F188" s="10"/>
    </row>
    <row r="189" spans="1:6">
      <c r="A189" s="10">
        <v>90050</v>
      </c>
      <c r="D189" s="10">
        <v>90050</v>
      </c>
      <c r="E189" s="10">
        <f t="shared" si="2"/>
        <v>0</v>
      </c>
      <c r="F189" s="10"/>
    </row>
    <row r="190" spans="1:6">
      <c r="A190" s="10">
        <v>90051</v>
      </c>
      <c r="D190" s="10">
        <v>90051</v>
      </c>
      <c r="E190" s="10">
        <f t="shared" si="2"/>
        <v>0</v>
      </c>
      <c r="F190" s="10"/>
    </row>
    <row r="191" spans="1:6">
      <c r="A191" s="10">
        <v>90052</v>
      </c>
      <c r="D191" s="10">
        <v>90052</v>
      </c>
      <c r="E191" s="10">
        <f t="shared" si="2"/>
        <v>0</v>
      </c>
      <c r="F191" s="10"/>
    </row>
    <row r="192" spans="1:6">
      <c r="A192" s="10">
        <v>90053</v>
      </c>
      <c r="D192" s="10">
        <v>90053</v>
      </c>
      <c r="E192" s="10">
        <f t="shared" si="2"/>
        <v>0</v>
      </c>
      <c r="F192" s="10"/>
    </row>
    <row r="193" spans="1:6">
      <c r="A193" s="10">
        <v>90054</v>
      </c>
      <c r="D193" s="10">
        <v>90054</v>
      </c>
      <c r="E193" s="10">
        <f t="shared" si="2"/>
        <v>0</v>
      </c>
      <c r="F193" s="10"/>
    </row>
    <row r="194" spans="1:6">
      <c r="A194" s="10">
        <v>90055</v>
      </c>
      <c r="D194" s="10">
        <v>90055</v>
      </c>
      <c r="E194" s="10">
        <f t="shared" si="2"/>
        <v>0</v>
      </c>
      <c r="F194" s="10"/>
    </row>
    <row r="195" spans="1:6">
      <c r="A195" s="10">
        <v>90056</v>
      </c>
      <c r="D195" s="10">
        <v>90056</v>
      </c>
      <c r="E195" s="10">
        <f t="shared" si="2"/>
        <v>0</v>
      </c>
      <c r="F195" s="10"/>
    </row>
    <row r="196" spans="1:6">
      <c r="A196" s="10">
        <v>90057</v>
      </c>
      <c r="D196" s="10">
        <v>90057</v>
      </c>
      <c r="E196" s="10">
        <f t="shared" ref="E196:E259" si="3">IF(ISNUMBER(SEARCH("|",$D196)),1,0)</f>
        <v>0</v>
      </c>
      <c r="F196" s="10"/>
    </row>
    <row r="197" spans="1:6">
      <c r="A197" s="10">
        <v>90058</v>
      </c>
      <c r="D197" s="10">
        <v>90058</v>
      </c>
      <c r="E197" s="10">
        <f t="shared" si="3"/>
        <v>0</v>
      </c>
      <c r="F197" s="10"/>
    </row>
    <row r="198" spans="1:6">
      <c r="A198" s="10">
        <v>90059</v>
      </c>
      <c r="D198" s="10">
        <v>90059</v>
      </c>
      <c r="E198" s="10">
        <f t="shared" si="3"/>
        <v>0</v>
      </c>
      <c r="F198" s="10"/>
    </row>
    <row r="199" spans="1:6">
      <c r="A199" s="10">
        <v>90060</v>
      </c>
      <c r="D199" s="10">
        <v>90060</v>
      </c>
      <c r="E199" s="10">
        <f t="shared" si="3"/>
        <v>0</v>
      </c>
      <c r="F199" s="10"/>
    </row>
    <row r="200" spans="1:6">
      <c r="A200" s="10">
        <v>90061</v>
      </c>
      <c r="D200" s="10">
        <v>90061</v>
      </c>
      <c r="E200" s="10">
        <f t="shared" si="3"/>
        <v>0</v>
      </c>
      <c r="F200" s="10"/>
    </row>
    <row r="201" spans="1:6">
      <c r="A201" s="10">
        <v>90062</v>
      </c>
      <c r="D201" s="10">
        <v>90062</v>
      </c>
      <c r="E201" s="10">
        <f t="shared" si="3"/>
        <v>0</v>
      </c>
      <c r="F201" s="10"/>
    </row>
    <row r="202" spans="1:6">
      <c r="A202" s="10">
        <v>90063</v>
      </c>
      <c r="D202" s="10">
        <v>90063</v>
      </c>
      <c r="E202" s="10">
        <f t="shared" si="3"/>
        <v>0</v>
      </c>
      <c r="F202" s="10"/>
    </row>
    <row r="203" spans="1:6">
      <c r="A203" s="10">
        <v>90064</v>
      </c>
      <c r="D203" s="10">
        <v>90064</v>
      </c>
      <c r="E203" s="10">
        <f t="shared" si="3"/>
        <v>0</v>
      </c>
      <c r="F203" s="10"/>
    </row>
    <row r="204" spans="1:6">
      <c r="A204" s="10">
        <v>90065</v>
      </c>
      <c r="D204" s="10">
        <v>90065</v>
      </c>
      <c r="E204" s="10">
        <f t="shared" si="3"/>
        <v>0</v>
      </c>
      <c r="F204" s="10"/>
    </row>
    <row r="205" spans="1:6">
      <c r="A205" s="10">
        <v>90066</v>
      </c>
      <c r="D205" s="10">
        <v>90066</v>
      </c>
      <c r="E205" s="10">
        <f t="shared" si="3"/>
        <v>0</v>
      </c>
      <c r="F205" s="10"/>
    </row>
    <row r="206" spans="1:6">
      <c r="A206" s="10">
        <v>90067</v>
      </c>
      <c r="D206" s="10">
        <v>90067</v>
      </c>
      <c r="E206" s="10">
        <f t="shared" si="3"/>
        <v>0</v>
      </c>
      <c r="F206" s="10"/>
    </row>
    <row r="207" spans="1:6">
      <c r="A207" s="10">
        <v>90068</v>
      </c>
      <c r="D207" s="10">
        <v>90068</v>
      </c>
      <c r="E207" s="10">
        <f t="shared" si="3"/>
        <v>0</v>
      </c>
      <c r="F207" s="10"/>
    </row>
    <row r="208" spans="1:6">
      <c r="A208" s="10">
        <v>90069</v>
      </c>
      <c r="D208" s="10">
        <v>90069</v>
      </c>
      <c r="E208" s="10">
        <f t="shared" si="3"/>
        <v>0</v>
      </c>
      <c r="F208" s="10"/>
    </row>
    <row r="209" spans="1:6">
      <c r="A209" s="10">
        <v>90070</v>
      </c>
      <c r="D209" s="10">
        <v>90070</v>
      </c>
      <c r="E209" s="10">
        <f t="shared" si="3"/>
        <v>0</v>
      </c>
      <c r="F209" s="10"/>
    </row>
    <row r="210" spans="1:6">
      <c r="A210" s="10">
        <v>90071</v>
      </c>
      <c r="D210" s="10">
        <v>90071</v>
      </c>
      <c r="E210" s="10">
        <f t="shared" si="3"/>
        <v>0</v>
      </c>
      <c r="F210" s="10"/>
    </row>
    <row r="211" spans="1:6">
      <c r="A211" s="10">
        <v>90072</v>
      </c>
      <c r="D211" s="10">
        <v>90072</v>
      </c>
      <c r="E211" s="10">
        <f t="shared" si="3"/>
        <v>0</v>
      </c>
      <c r="F211" s="10"/>
    </row>
    <row r="212" spans="1:6">
      <c r="A212" s="10">
        <v>90073</v>
      </c>
      <c r="D212" s="10">
        <v>90073</v>
      </c>
      <c r="E212" s="10">
        <f t="shared" si="3"/>
        <v>0</v>
      </c>
      <c r="F212" s="10"/>
    </row>
    <row r="213" spans="1:6">
      <c r="A213" s="10">
        <v>90074</v>
      </c>
      <c r="D213" s="10">
        <v>90074</v>
      </c>
      <c r="E213" s="10">
        <f t="shared" si="3"/>
        <v>0</v>
      </c>
      <c r="F213" s="10"/>
    </row>
    <row r="214" spans="1:6">
      <c r="A214" s="10">
        <v>90075</v>
      </c>
      <c r="D214" s="10">
        <v>90075</v>
      </c>
      <c r="E214" s="10">
        <f t="shared" si="3"/>
        <v>0</v>
      </c>
      <c r="F214" s="10"/>
    </row>
    <row r="215" spans="1:6">
      <c r="A215" s="10">
        <v>90076</v>
      </c>
      <c r="D215" s="10">
        <v>90076</v>
      </c>
      <c r="E215" s="10">
        <f t="shared" si="3"/>
        <v>0</v>
      </c>
      <c r="F215" s="10"/>
    </row>
    <row r="216" spans="1:6">
      <c r="A216" s="10">
        <v>90077</v>
      </c>
      <c r="D216" s="10">
        <v>90077</v>
      </c>
      <c r="E216" s="10">
        <f t="shared" si="3"/>
        <v>0</v>
      </c>
      <c r="F216" s="10"/>
    </row>
    <row r="217" spans="1:6">
      <c r="A217" s="10">
        <v>90078</v>
      </c>
      <c r="D217" s="10">
        <v>90078</v>
      </c>
      <c r="E217" s="10">
        <f t="shared" si="3"/>
        <v>0</v>
      </c>
      <c r="F217" s="10"/>
    </row>
    <row r="218" spans="1:6">
      <c r="A218" s="10">
        <v>90079</v>
      </c>
      <c r="D218" s="10">
        <v>90079</v>
      </c>
      <c r="E218" s="10">
        <f t="shared" si="3"/>
        <v>0</v>
      </c>
      <c r="F218" s="10"/>
    </row>
    <row r="219" spans="1:6">
      <c r="A219" s="10">
        <v>90080</v>
      </c>
      <c r="D219" s="10">
        <v>90080</v>
      </c>
      <c r="E219" s="10">
        <f t="shared" si="3"/>
        <v>0</v>
      </c>
      <c r="F219" s="10"/>
    </row>
    <row r="220" spans="1:6">
      <c r="A220" s="10">
        <v>90081</v>
      </c>
      <c r="D220" s="10">
        <v>90081</v>
      </c>
      <c r="E220" s="10">
        <f t="shared" si="3"/>
        <v>0</v>
      </c>
      <c r="F220" s="10"/>
    </row>
    <row r="221" spans="1:6">
      <c r="A221" s="10">
        <v>90082</v>
      </c>
      <c r="D221" s="10">
        <v>90082</v>
      </c>
      <c r="E221" s="10">
        <f t="shared" si="3"/>
        <v>0</v>
      </c>
      <c r="F221" s="10"/>
    </row>
    <row r="222" spans="1:6">
      <c r="A222" s="10">
        <v>90083</v>
      </c>
      <c r="D222" s="10">
        <v>90083</v>
      </c>
      <c r="E222" s="10">
        <f t="shared" si="3"/>
        <v>0</v>
      </c>
      <c r="F222" s="10"/>
    </row>
    <row r="223" spans="1:6">
      <c r="A223" s="10">
        <v>90084</v>
      </c>
      <c r="D223" s="10">
        <v>90084</v>
      </c>
      <c r="E223" s="10">
        <f t="shared" si="3"/>
        <v>0</v>
      </c>
      <c r="F223" s="10"/>
    </row>
    <row r="224" spans="1:6">
      <c r="A224" s="10">
        <v>90085</v>
      </c>
      <c r="D224" s="10">
        <v>90085</v>
      </c>
      <c r="E224" s="10">
        <f t="shared" si="3"/>
        <v>0</v>
      </c>
      <c r="F224" s="10"/>
    </row>
    <row r="225" spans="1:6">
      <c r="A225" s="10">
        <v>90086</v>
      </c>
      <c r="D225" s="10">
        <v>90086</v>
      </c>
      <c r="E225" s="10">
        <f t="shared" si="3"/>
        <v>0</v>
      </c>
      <c r="F225" s="10"/>
    </row>
    <row r="226" spans="1:6">
      <c r="A226" s="10">
        <v>90087</v>
      </c>
      <c r="D226" s="10">
        <v>90087</v>
      </c>
      <c r="E226" s="10">
        <f t="shared" si="3"/>
        <v>0</v>
      </c>
      <c r="F226" s="10"/>
    </row>
    <row r="227" spans="1:6">
      <c r="A227" s="10">
        <v>90088</v>
      </c>
      <c r="D227" s="10">
        <v>90088</v>
      </c>
      <c r="E227" s="10">
        <f t="shared" si="3"/>
        <v>0</v>
      </c>
      <c r="F227" s="10"/>
    </row>
    <row r="228" spans="1:6">
      <c r="A228" s="10">
        <v>90089</v>
      </c>
      <c r="D228" s="10">
        <v>90089</v>
      </c>
      <c r="E228" s="10">
        <f t="shared" si="3"/>
        <v>0</v>
      </c>
      <c r="F228" s="10"/>
    </row>
    <row r="229" spans="1:6">
      <c r="A229" s="10">
        <v>90090</v>
      </c>
      <c r="D229" s="10">
        <v>90090</v>
      </c>
      <c r="E229" s="10">
        <f t="shared" si="3"/>
        <v>0</v>
      </c>
      <c r="F229" s="10"/>
    </row>
    <row r="230" spans="1:6">
      <c r="A230" s="10">
        <v>90091</v>
      </c>
      <c r="D230" s="10">
        <v>90091</v>
      </c>
      <c r="E230" s="10">
        <f t="shared" si="3"/>
        <v>0</v>
      </c>
      <c r="F230" s="10"/>
    </row>
    <row r="231" spans="1:6">
      <c r="A231" s="10">
        <v>90092</v>
      </c>
      <c r="D231" s="10">
        <v>90092</v>
      </c>
      <c r="E231" s="10">
        <f t="shared" si="3"/>
        <v>0</v>
      </c>
      <c r="F231" s="10"/>
    </row>
    <row r="232" spans="1:6">
      <c r="A232" s="10">
        <v>90093</v>
      </c>
      <c r="D232" s="10">
        <v>90093</v>
      </c>
      <c r="E232" s="10">
        <f t="shared" si="3"/>
        <v>0</v>
      </c>
      <c r="F232" s="10"/>
    </row>
    <row r="233" spans="1:6">
      <c r="A233" s="10">
        <v>90094</v>
      </c>
      <c r="D233" s="10">
        <v>90094</v>
      </c>
      <c r="E233" s="10">
        <f t="shared" si="3"/>
        <v>0</v>
      </c>
      <c r="F233" s="10"/>
    </row>
    <row r="234" spans="1:6">
      <c r="A234" s="10">
        <v>90095</v>
      </c>
      <c r="D234" s="10">
        <v>90095</v>
      </c>
      <c r="E234" s="10">
        <f t="shared" si="3"/>
        <v>0</v>
      </c>
      <c r="F234" s="10"/>
    </row>
    <row r="235" spans="1:6">
      <c r="A235" s="10">
        <v>90096</v>
      </c>
      <c r="D235" s="10">
        <v>90096</v>
      </c>
      <c r="E235" s="10">
        <f t="shared" si="3"/>
        <v>0</v>
      </c>
      <c r="F235" s="10"/>
    </row>
    <row r="236" spans="1:6">
      <c r="A236" s="10">
        <v>90097</v>
      </c>
      <c r="D236" s="10">
        <v>90097</v>
      </c>
      <c r="E236" s="10">
        <f t="shared" si="3"/>
        <v>0</v>
      </c>
      <c r="F236" s="10"/>
    </row>
    <row r="237" spans="1:6">
      <c r="A237" s="10">
        <v>90098</v>
      </c>
      <c r="D237" s="10">
        <v>90098</v>
      </c>
      <c r="E237" s="10">
        <f t="shared" si="3"/>
        <v>0</v>
      </c>
      <c r="F237" s="10"/>
    </row>
    <row r="238" spans="1:6">
      <c r="A238" s="10">
        <v>90099</v>
      </c>
      <c r="D238" s="10">
        <v>90099</v>
      </c>
      <c r="E238" s="10">
        <f t="shared" si="3"/>
        <v>0</v>
      </c>
      <c r="F238" s="10"/>
    </row>
    <row r="239" spans="1:6">
      <c r="A239" s="10">
        <v>90100</v>
      </c>
      <c r="D239" s="10">
        <v>90100</v>
      </c>
      <c r="E239" s="10">
        <f t="shared" si="3"/>
        <v>0</v>
      </c>
      <c r="F239" s="10"/>
    </row>
    <row r="240" spans="1:6">
      <c r="A240" s="10">
        <v>90101</v>
      </c>
      <c r="D240" s="10">
        <v>90101</v>
      </c>
      <c r="E240" s="10">
        <f t="shared" si="3"/>
        <v>0</v>
      </c>
      <c r="F240" s="10"/>
    </row>
    <row r="241" spans="1:6">
      <c r="A241" s="10">
        <v>90102</v>
      </c>
      <c r="D241" s="10">
        <v>90102</v>
      </c>
      <c r="E241" s="10">
        <f t="shared" si="3"/>
        <v>0</v>
      </c>
      <c r="F241" s="10"/>
    </row>
    <row r="242" spans="1:6">
      <c r="A242" s="10">
        <v>90103</v>
      </c>
      <c r="D242" s="10">
        <v>90103</v>
      </c>
      <c r="E242" s="10">
        <f t="shared" si="3"/>
        <v>0</v>
      </c>
      <c r="F242" s="10"/>
    </row>
    <row r="243" spans="1:6">
      <c r="A243" s="10">
        <v>90104</v>
      </c>
      <c r="D243" s="10">
        <v>90104</v>
      </c>
      <c r="E243" s="10">
        <f t="shared" si="3"/>
        <v>0</v>
      </c>
      <c r="F243" s="10"/>
    </row>
    <row r="244" spans="1:6">
      <c r="A244" s="10">
        <v>90105</v>
      </c>
      <c r="D244" s="10">
        <v>90105</v>
      </c>
      <c r="E244" s="10">
        <f t="shared" si="3"/>
        <v>0</v>
      </c>
      <c r="F244" s="10"/>
    </row>
    <row r="245" spans="1:6">
      <c r="A245" s="10">
        <v>90106</v>
      </c>
      <c r="D245" s="10">
        <v>90106</v>
      </c>
      <c r="E245" s="10">
        <f t="shared" si="3"/>
        <v>0</v>
      </c>
      <c r="F245" s="10"/>
    </row>
    <row r="246" spans="1:6">
      <c r="A246" s="10">
        <v>90107</v>
      </c>
      <c r="D246" s="10">
        <v>90107</v>
      </c>
      <c r="E246" s="10">
        <f t="shared" si="3"/>
        <v>0</v>
      </c>
      <c r="F246" s="10"/>
    </row>
    <row r="247" spans="1:6">
      <c r="A247" s="10">
        <v>90108</v>
      </c>
      <c r="D247" s="10">
        <v>90108</v>
      </c>
      <c r="E247" s="10">
        <f t="shared" si="3"/>
        <v>0</v>
      </c>
      <c r="F247" s="10"/>
    </row>
    <row r="248" spans="1:6">
      <c r="A248" s="10">
        <v>90109</v>
      </c>
      <c r="D248" s="10">
        <v>90109</v>
      </c>
      <c r="E248" s="10">
        <f t="shared" si="3"/>
        <v>0</v>
      </c>
      <c r="F248" s="10"/>
    </row>
    <row r="249" spans="1:6">
      <c r="A249" s="10">
        <v>90110</v>
      </c>
      <c r="D249" s="10">
        <v>90110</v>
      </c>
      <c r="E249" s="10">
        <f t="shared" si="3"/>
        <v>0</v>
      </c>
      <c r="F249" s="10"/>
    </row>
    <row r="250" spans="1:6">
      <c r="A250" s="10">
        <v>90111</v>
      </c>
      <c r="D250" s="10">
        <v>90111</v>
      </c>
      <c r="E250" s="10">
        <f t="shared" si="3"/>
        <v>0</v>
      </c>
      <c r="F250" s="10"/>
    </row>
    <row r="251" spans="1:6">
      <c r="A251" s="10">
        <v>90112</v>
      </c>
      <c r="D251" s="10">
        <v>90112</v>
      </c>
      <c r="E251" s="10">
        <f t="shared" si="3"/>
        <v>0</v>
      </c>
      <c r="F251" s="10"/>
    </row>
    <row r="252" spans="1:6">
      <c r="A252" s="10">
        <v>90113</v>
      </c>
      <c r="D252" s="10">
        <v>90113</v>
      </c>
      <c r="E252" s="10">
        <f t="shared" si="3"/>
        <v>0</v>
      </c>
      <c r="F252" s="10"/>
    </row>
    <row r="253" spans="1:6">
      <c r="A253" s="10">
        <v>90114</v>
      </c>
      <c r="D253" s="10">
        <v>90114</v>
      </c>
      <c r="E253" s="10">
        <f t="shared" si="3"/>
        <v>0</v>
      </c>
      <c r="F253" s="10"/>
    </row>
    <row r="254" spans="1:6">
      <c r="A254" s="10">
        <v>90115</v>
      </c>
      <c r="D254" s="10">
        <v>90115</v>
      </c>
      <c r="E254" s="10">
        <f t="shared" si="3"/>
        <v>0</v>
      </c>
      <c r="F254" s="10"/>
    </row>
    <row r="255" spans="1:6">
      <c r="A255" s="10">
        <v>90116</v>
      </c>
      <c r="D255" s="10">
        <v>90116</v>
      </c>
      <c r="E255" s="10">
        <f t="shared" si="3"/>
        <v>0</v>
      </c>
      <c r="F255" s="10"/>
    </row>
    <row r="256" spans="1:6">
      <c r="A256" s="10">
        <v>90117</v>
      </c>
      <c r="D256" s="10">
        <v>90117</v>
      </c>
      <c r="E256" s="10">
        <f t="shared" si="3"/>
        <v>0</v>
      </c>
      <c r="F256" s="10"/>
    </row>
    <row r="257" spans="1:6">
      <c r="A257" s="10">
        <v>90118</v>
      </c>
      <c r="D257" s="10">
        <v>90118</v>
      </c>
      <c r="E257" s="10">
        <f t="shared" si="3"/>
        <v>0</v>
      </c>
      <c r="F257" s="10"/>
    </row>
    <row r="258" spans="1:6">
      <c r="A258" s="10">
        <v>90119</v>
      </c>
      <c r="D258" s="10">
        <v>90119</v>
      </c>
      <c r="E258" s="10">
        <f t="shared" si="3"/>
        <v>0</v>
      </c>
      <c r="F258" s="10"/>
    </row>
    <row r="259" spans="1:6">
      <c r="A259" s="10">
        <v>90120</v>
      </c>
      <c r="D259" s="10">
        <v>90120</v>
      </c>
      <c r="E259" s="10">
        <f t="shared" si="3"/>
        <v>0</v>
      </c>
      <c r="F259" s="10"/>
    </row>
    <row r="260" spans="1:6">
      <c r="A260" s="10">
        <v>90121</v>
      </c>
      <c r="D260" s="10">
        <v>90121</v>
      </c>
      <c r="E260" s="10">
        <f t="shared" ref="E260:E291" si="4">IF(ISNUMBER(SEARCH("|",$D260)),1,0)</f>
        <v>0</v>
      </c>
      <c r="F260" s="10"/>
    </row>
    <row r="261" spans="1:6">
      <c r="A261" s="10">
        <v>90122</v>
      </c>
      <c r="D261" s="10">
        <v>90122</v>
      </c>
      <c r="E261" s="10">
        <f t="shared" si="4"/>
        <v>0</v>
      </c>
      <c r="F261" s="10"/>
    </row>
    <row r="262" spans="1:6">
      <c r="A262" s="10">
        <v>90123</v>
      </c>
      <c r="D262" s="10">
        <v>90123</v>
      </c>
      <c r="E262" s="10">
        <f t="shared" si="4"/>
        <v>0</v>
      </c>
      <c r="F262" s="10"/>
    </row>
    <row r="263" spans="1:6">
      <c r="A263" s="10">
        <v>90124</v>
      </c>
      <c r="D263" s="10">
        <v>90124</v>
      </c>
      <c r="E263" s="10">
        <f t="shared" si="4"/>
        <v>0</v>
      </c>
      <c r="F263" s="10"/>
    </row>
    <row r="264" spans="1:6">
      <c r="A264" s="10">
        <v>90125</v>
      </c>
      <c r="D264" s="10">
        <v>90125</v>
      </c>
      <c r="E264" s="10">
        <f t="shared" si="4"/>
        <v>0</v>
      </c>
      <c r="F264" s="10"/>
    </row>
    <row r="265" spans="1:6">
      <c r="A265" s="10">
        <v>90126</v>
      </c>
      <c r="D265" s="10">
        <v>90126</v>
      </c>
      <c r="E265" s="10">
        <f t="shared" si="4"/>
        <v>0</v>
      </c>
      <c r="F265" s="10"/>
    </row>
    <row r="266" spans="1:6">
      <c r="A266" s="10">
        <v>90127</v>
      </c>
      <c r="D266" s="10">
        <v>90127</v>
      </c>
      <c r="E266" s="10">
        <f t="shared" si="4"/>
        <v>0</v>
      </c>
      <c r="F266" s="10"/>
    </row>
    <row r="267" spans="1:6">
      <c r="A267" s="10">
        <v>90128</v>
      </c>
      <c r="D267" s="10">
        <v>90128</v>
      </c>
      <c r="E267" s="10">
        <f t="shared" si="4"/>
        <v>0</v>
      </c>
      <c r="F267" s="10"/>
    </row>
    <row r="268" spans="1:6">
      <c r="A268" s="10">
        <v>90129</v>
      </c>
      <c r="D268" s="10">
        <v>90129</v>
      </c>
      <c r="E268" s="10">
        <f t="shared" si="4"/>
        <v>0</v>
      </c>
      <c r="F268" s="10"/>
    </row>
    <row r="269" spans="1:6">
      <c r="A269" s="10">
        <v>90130</v>
      </c>
      <c r="D269" s="10">
        <v>90130</v>
      </c>
      <c r="E269" s="10">
        <f t="shared" si="4"/>
        <v>0</v>
      </c>
      <c r="F269" s="10"/>
    </row>
    <row r="270" spans="1:6">
      <c r="A270" s="10">
        <v>90131</v>
      </c>
      <c r="D270" s="10">
        <v>90131</v>
      </c>
      <c r="E270" s="10">
        <f t="shared" si="4"/>
        <v>0</v>
      </c>
      <c r="F270" s="10"/>
    </row>
    <row r="271" spans="1:6">
      <c r="A271" s="10">
        <v>90132</v>
      </c>
      <c r="D271" s="10">
        <v>90132</v>
      </c>
      <c r="E271" s="10">
        <f t="shared" si="4"/>
        <v>0</v>
      </c>
      <c r="F271" s="10"/>
    </row>
    <row r="272" spans="1:6">
      <c r="A272" s="10">
        <v>90133</v>
      </c>
      <c r="D272" s="10">
        <v>90133</v>
      </c>
      <c r="E272" s="10">
        <f t="shared" si="4"/>
        <v>0</v>
      </c>
      <c r="F272" s="10"/>
    </row>
    <row r="273" spans="1:6">
      <c r="A273" s="10">
        <v>90134</v>
      </c>
      <c r="D273" s="10">
        <v>90134</v>
      </c>
      <c r="E273" s="10">
        <f t="shared" si="4"/>
        <v>0</v>
      </c>
      <c r="F273" s="10"/>
    </row>
    <row r="274" spans="1:6">
      <c r="A274" s="10">
        <v>90135</v>
      </c>
      <c r="D274" s="10">
        <v>90135</v>
      </c>
      <c r="E274" s="10">
        <f t="shared" si="4"/>
        <v>0</v>
      </c>
      <c r="F274" s="10"/>
    </row>
    <row r="275" spans="1:6">
      <c r="A275" s="10">
        <v>90136</v>
      </c>
      <c r="D275" s="10">
        <v>90136</v>
      </c>
      <c r="E275" s="10">
        <f t="shared" si="4"/>
        <v>0</v>
      </c>
      <c r="F275" s="10"/>
    </row>
    <row r="276" spans="1:6">
      <c r="A276" s="10">
        <v>90137</v>
      </c>
      <c r="D276" s="10">
        <v>90137</v>
      </c>
      <c r="E276" s="10">
        <f t="shared" si="4"/>
        <v>0</v>
      </c>
      <c r="F276" s="10"/>
    </row>
    <row r="277" spans="1:6">
      <c r="A277" s="10">
        <v>90138</v>
      </c>
      <c r="D277" s="10">
        <v>90138</v>
      </c>
      <c r="E277" s="10">
        <f t="shared" si="4"/>
        <v>0</v>
      </c>
      <c r="F277" s="10"/>
    </row>
    <row r="278" spans="1:6">
      <c r="A278" s="10">
        <v>90139</v>
      </c>
      <c r="D278" s="10" t="s">
        <v>357</v>
      </c>
      <c r="E278" s="10">
        <f t="shared" si="4"/>
        <v>1</v>
      </c>
      <c r="F278" s="10" t="s">
        <v>345</v>
      </c>
    </row>
    <row r="279" spans="1:6">
      <c r="A279" s="10">
        <v>90140</v>
      </c>
      <c r="D279" s="10" t="s">
        <v>358</v>
      </c>
      <c r="E279" s="10">
        <f t="shared" si="4"/>
        <v>1</v>
      </c>
      <c r="F279" s="10" t="s">
        <v>347</v>
      </c>
    </row>
    <row r="280" spans="1:6">
      <c r="A280" s="10">
        <v>90141</v>
      </c>
      <c r="D280" s="10" t="s">
        <v>359</v>
      </c>
      <c r="E280" s="10">
        <f t="shared" si="4"/>
        <v>1</v>
      </c>
      <c r="F280" s="10" t="s">
        <v>348</v>
      </c>
    </row>
    <row r="281" spans="1:6">
      <c r="A281" s="10">
        <v>90142</v>
      </c>
      <c r="D281" s="10" t="s">
        <v>360</v>
      </c>
      <c r="E281" s="10">
        <f t="shared" si="4"/>
        <v>1</v>
      </c>
      <c r="F281" s="10" t="s">
        <v>349</v>
      </c>
    </row>
    <row r="282" spans="1:6">
      <c r="A282" s="10">
        <v>90143</v>
      </c>
      <c r="D282" s="10" t="s">
        <v>361</v>
      </c>
      <c r="E282" s="10">
        <f t="shared" si="4"/>
        <v>1</v>
      </c>
      <c r="F282" s="10" t="s">
        <v>362</v>
      </c>
    </row>
    <row r="283" spans="1:6">
      <c r="A283" s="10">
        <v>90144</v>
      </c>
      <c r="D283" s="10">
        <v>90144</v>
      </c>
      <c r="E283" s="10">
        <f t="shared" si="4"/>
        <v>0</v>
      </c>
      <c r="F283" s="10"/>
    </row>
    <row r="284" spans="1:6">
      <c r="A284" s="10">
        <v>90145</v>
      </c>
      <c r="D284" s="10">
        <v>90145</v>
      </c>
      <c r="E284" s="10">
        <f t="shared" si="4"/>
        <v>0</v>
      </c>
      <c r="F284" s="10"/>
    </row>
    <row r="285" spans="1:6">
      <c r="A285">
        <v>90158</v>
      </c>
      <c r="D285">
        <v>90158</v>
      </c>
      <c r="E285">
        <f t="shared" si="4"/>
        <v>0</v>
      </c>
    </row>
    <row r="286" spans="1:6">
      <c r="A286">
        <v>90159</v>
      </c>
      <c r="D286">
        <v>90159</v>
      </c>
      <c r="E286">
        <f t="shared" si="4"/>
        <v>0</v>
      </c>
    </row>
    <row r="287" spans="1:6">
      <c r="A287">
        <v>90160</v>
      </c>
      <c r="D287">
        <v>90160</v>
      </c>
      <c r="E287">
        <f t="shared" si="4"/>
        <v>0</v>
      </c>
    </row>
    <row r="288" spans="1:6">
      <c r="A288">
        <v>90161</v>
      </c>
      <c r="D288">
        <v>90161</v>
      </c>
      <c r="E288">
        <f t="shared" si="4"/>
        <v>0</v>
      </c>
    </row>
    <row r="289" spans="1:5">
      <c r="A289">
        <v>90162</v>
      </c>
      <c r="D289">
        <v>90162</v>
      </c>
      <c r="E289">
        <f t="shared" si="4"/>
        <v>0</v>
      </c>
    </row>
    <row r="290" spans="1:5">
      <c r="A290">
        <v>90163</v>
      </c>
      <c r="D290">
        <v>90163</v>
      </c>
      <c r="E290">
        <f t="shared" si="4"/>
        <v>0</v>
      </c>
    </row>
    <row r="291" spans="1:5">
      <c r="A291">
        <v>90164</v>
      </c>
      <c r="D291">
        <v>90164</v>
      </c>
      <c r="E291">
        <f t="shared" si="4"/>
        <v>0</v>
      </c>
    </row>
  </sheetData>
  <conditionalFormatting sqref="A8:A9">
    <cfRule type="duplicateValues" dxfId="1" priority="1"/>
  </conditionalFormatting>
  <conditionalFormatting sqref="A1:A7 A10:A27 A142:A284 A292:A1048576">
    <cfRule type="duplicateValues" dxfId="1" priority="2"/>
  </conditionalFormatting>
  <pageMargins left="0.75" right="0.75" top="1" bottom="1" header="0.5" footer="0.5"/>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681"/>
  <sheetViews>
    <sheetView tabSelected="1" workbookViewId="0">
      <pane xSplit="3" ySplit="1" topLeftCell="K2" activePane="bottomRight" state="frozen"/>
      <selection/>
      <selection pane="topRight"/>
      <selection pane="bottomLeft"/>
      <selection pane="bottomRight" activeCell="K14" sqref="K14"/>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287</v>
      </c>
      <c r="B1" t="s">
        <v>363</v>
      </c>
      <c r="C1" t="s">
        <v>288</v>
      </c>
      <c r="D1" t="s">
        <v>364</v>
      </c>
      <c r="E1" t="s">
        <v>365</v>
      </c>
      <c r="F1" t="s">
        <v>43</v>
      </c>
      <c r="G1" t="s">
        <v>366</v>
      </c>
      <c r="H1" t="s">
        <v>367</v>
      </c>
      <c r="I1" t="s">
        <v>368</v>
      </c>
      <c r="J1" t="s">
        <v>369</v>
      </c>
      <c r="K1" t="s">
        <v>370</v>
      </c>
      <c r="L1" s="10" t="s">
        <v>371</v>
      </c>
      <c r="M1" t="s">
        <v>372</v>
      </c>
      <c r="N1" t="s">
        <v>373</v>
      </c>
      <c r="O1" t="s">
        <v>374</v>
      </c>
      <c r="P1" t="s">
        <v>375</v>
      </c>
      <c r="Q1" s="11" t="s">
        <v>376</v>
      </c>
      <c r="R1" s="11" t="s">
        <v>377</v>
      </c>
      <c r="S1" s="11" t="s">
        <v>378</v>
      </c>
      <c r="T1" s="11" t="s">
        <v>379</v>
      </c>
    </row>
    <row r="2" spans="1:20">
      <c r="A2" s="12" t="s">
        <v>10</v>
      </c>
      <c r="B2" s="2" t="s">
        <v>380</v>
      </c>
      <c r="C2" s="12" t="s">
        <v>11</v>
      </c>
      <c r="D2" s="12" t="s">
        <v>50</v>
      </c>
      <c r="E2" s="12" t="s">
        <v>14</v>
      </c>
      <c r="F2" s="12" t="s">
        <v>51</v>
      </c>
      <c r="G2" s="12" t="s">
        <v>381</v>
      </c>
      <c r="H2" s="12" t="s">
        <v>382</v>
      </c>
      <c r="I2" s="12" t="s">
        <v>383</v>
      </c>
      <c r="J2" s="12" t="s">
        <v>384</v>
      </c>
      <c r="K2" s="12" t="s">
        <v>385</v>
      </c>
      <c r="L2" s="2" t="s">
        <v>386</v>
      </c>
      <c r="M2" s="12" t="s">
        <v>387</v>
      </c>
      <c r="N2" s="12" t="s">
        <v>388</v>
      </c>
      <c r="O2" s="12" t="s">
        <v>389</v>
      </c>
      <c r="P2" s="12" t="s">
        <v>390</v>
      </c>
      <c r="Q2" s="12" t="s">
        <v>271</v>
      </c>
      <c r="R2" s="12" t="s">
        <v>272</v>
      </c>
      <c r="S2" s="12" t="s">
        <v>275</v>
      </c>
      <c r="T2" s="12" t="s">
        <v>391</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392</v>
      </c>
      <c r="D4" t="s">
        <v>26</v>
      </c>
      <c r="E4" t="s">
        <v>393</v>
      </c>
      <c r="F4"/>
      <c r="G4">
        <v>1</v>
      </c>
      <c r="H4">
        <v>100</v>
      </c>
      <c r="I4">
        <v>1</v>
      </c>
      <c r="J4" cm="1">
        <f t="array" ref="J4">_xlfn.SWITCH(B4,1,75,2,61,3,49,4,37,5,25,6,13,7,4,8,1)</f>
        <v>75</v>
      </c>
      <c r="K4" t="str" cm="1">
        <f t="array" ref="K4">IFERROR(_xlfn.SWITCH(L4,1,_xlfn.XLOOKUP(C4,[1]AttributeName!$C:$C,[1]AttributeName!$I:$I),2,_xlfn.XLOOKUP(C4,[1]ModifierDes!$B:$B,[1]ModifierDes!$C:$C),3,_xlfn.XLOOKUP(C4,[1]StuntDes!$B:$B,[1]StuntDes!$C:$C)),"")</f>
        <v>物理倍率增加{0}</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392</v>
      </c>
      <c r="D5" t="s">
        <v>26</v>
      </c>
      <c r="E5" t="s">
        <v>393</v>
      </c>
      <c r="F5"/>
      <c r="G5">
        <v>1</v>
      </c>
      <c r="H5">
        <v>200</v>
      </c>
      <c r="I5">
        <v>1</v>
      </c>
      <c r="J5" cm="1">
        <f t="array" ref="J5">_xlfn.SWITCH(B5,1,75,2,61,3,49,4,37,5,25,6,13,7,4,8,1)</f>
        <v>61</v>
      </c>
      <c r="K5" t="str" cm="1">
        <f t="array" ref="K5">IFERROR(_xlfn.SWITCH(L5,1,_xlfn.XLOOKUP(C5,[1]AttributeName!$C:$C,[1]AttributeName!$I:$I),2,_xlfn.XLOOKUP(C5,[1]ModifierDes!$B:$B,[1]ModifierDes!$C:$C),3,_xlfn.XLOOKUP(C5,[1]StuntDes!$B:$B,[1]StuntDes!$C:$C)),"")</f>
        <v>物理倍率增加{0}</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392</v>
      </c>
      <c r="D6" t="s">
        <v>26</v>
      </c>
      <c r="E6" t="s">
        <v>393</v>
      </c>
      <c r="F6"/>
      <c r="G6">
        <v>1</v>
      </c>
      <c r="H6">
        <v>400</v>
      </c>
      <c r="I6">
        <v>1</v>
      </c>
      <c r="J6" cm="1">
        <f t="array" ref="J6">_xlfn.SWITCH(B6,1,75,2,61,3,49,4,37,5,25,6,13,7,4,8,1)</f>
        <v>49</v>
      </c>
      <c r="K6" t="str" cm="1">
        <f t="array" ref="K6">IFERROR(_xlfn.SWITCH(L6,1,_xlfn.XLOOKUP(C6,[1]AttributeName!$C:$C,[1]AttributeName!$I:$I),2,_xlfn.XLOOKUP(C6,[1]ModifierDes!$B:$B,[1]ModifierDes!$C:$C),3,_xlfn.XLOOKUP(C6,[1]StuntDes!$B:$B,[1]StuntDes!$C:$C)),"")</f>
        <v>物理倍率增加{0}</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392</v>
      </c>
      <c r="D7" t="s">
        <v>26</v>
      </c>
      <c r="E7" t="s">
        <v>393</v>
      </c>
      <c r="F7"/>
      <c r="G7">
        <v>1</v>
      </c>
      <c r="H7">
        <v>600</v>
      </c>
      <c r="I7">
        <v>1</v>
      </c>
      <c r="J7" cm="1">
        <f t="array" ref="J7">_xlfn.SWITCH(B7,1,75,2,61,3,49,4,37,5,25,6,13,7,4,8,1)</f>
        <v>37</v>
      </c>
      <c r="K7" t="str" cm="1">
        <f t="array" ref="K7">IFERROR(_xlfn.SWITCH(L7,1,_xlfn.XLOOKUP(C7,[1]AttributeName!$C:$C,[1]AttributeName!$I:$I),2,_xlfn.XLOOKUP(C7,[1]ModifierDes!$B:$B,[1]ModifierDes!$C:$C),3,_xlfn.XLOOKUP(C7,[1]StuntDes!$B:$B,[1]StuntDes!$C:$C)),"")</f>
        <v>物理倍率增加{0}</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392</v>
      </c>
      <c r="D8" t="s">
        <v>26</v>
      </c>
      <c r="E8" t="s">
        <v>393</v>
      </c>
      <c r="F8"/>
      <c r="G8">
        <v>1</v>
      </c>
      <c r="H8">
        <v>800</v>
      </c>
      <c r="I8">
        <v>1</v>
      </c>
      <c r="J8" cm="1">
        <f t="array" ref="J8">_xlfn.SWITCH(B8,1,75,2,61,3,49,4,37,5,25,6,13,7,4,8,1)</f>
        <v>25</v>
      </c>
      <c r="K8" t="str" cm="1">
        <f t="array" ref="K8">IFERROR(_xlfn.SWITCH(L8,1,_xlfn.XLOOKUP(C8,[1]AttributeName!$C:$C,[1]AttributeName!$I:$I),2,_xlfn.XLOOKUP(C8,[1]ModifierDes!$B:$B,[1]ModifierDes!$C:$C),3,_xlfn.XLOOKUP(C8,[1]StuntDes!$B:$B,[1]StuntDes!$C:$C)),"")</f>
        <v>物理倍率增加{0}</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392</v>
      </c>
      <c r="D9" t="s">
        <v>26</v>
      </c>
      <c r="E9" t="s">
        <v>393</v>
      </c>
      <c r="F9"/>
      <c r="G9">
        <v>1</v>
      </c>
      <c r="H9">
        <v>1000</v>
      </c>
      <c r="I9">
        <v>1</v>
      </c>
      <c r="J9" cm="1">
        <f t="array" ref="J9">_xlfn.SWITCH(B9,1,75,2,61,3,49,4,37,5,25,6,13,7,4,8,1)</f>
        <v>13</v>
      </c>
      <c r="K9" t="str" cm="1">
        <f t="array" ref="K9">IFERROR(_xlfn.SWITCH(L9,1,_xlfn.XLOOKUP(C9,[1]AttributeName!$C:$C,[1]AttributeName!$I:$I),2,_xlfn.XLOOKUP(C9,[1]ModifierDes!$B:$B,[1]ModifierDes!$C:$C),3,_xlfn.XLOOKUP(C9,[1]StuntDes!$B:$B,[1]StuntDes!$C:$C)),"")</f>
        <v>物理倍率增加{0}</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392</v>
      </c>
      <c r="D10" t="s">
        <v>26</v>
      </c>
      <c r="E10" t="s">
        <v>393</v>
      </c>
      <c r="F10"/>
      <c r="G10">
        <v>1</v>
      </c>
      <c r="H10">
        <v>1000</v>
      </c>
      <c r="I10">
        <v>1</v>
      </c>
      <c r="J10" cm="1">
        <f t="array" ref="J10">_xlfn.SWITCH(B10,1,75,2,61,3,49,4,37,5,25,6,13,7,4,8,1)</f>
        <v>4</v>
      </c>
      <c r="K10" t="str" cm="1">
        <f t="array" ref="K10">IFERROR(_xlfn.SWITCH(L10,1,_xlfn.XLOOKUP(C10,[1]AttributeName!$C:$C,[1]AttributeName!$I:$I),2,_xlfn.XLOOKUP(C10,[1]ModifierDes!$B:$B,[1]ModifierDes!$C:$C),3,_xlfn.XLOOKUP(C10,[1]StuntDes!$B:$B,[1]StuntDes!$C:$C)),"")</f>
        <v>物理倍率增加{0}</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392</v>
      </c>
      <c r="D11" t="s">
        <v>26</v>
      </c>
      <c r="E11" t="s">
        <v>393</v>
      </c>
      <c r="F11"/>
      <c r="G11">
        <v>1</v>
      </c>
      <c r="H11">
        <v>1000</v>
      </c>
      <c r="I11">
        <v>1</v>
      </c>
      <c r="J11" cm="1">
        <f t="array" ref="J11">_xlfn.SWITCH(B11,1,75,2,61,3,49,4,37,5,25,6,13,7,4,8,1)</f>
        <v>1</v>
      </c>
      <c r="K11" t="str" cm="1">
        <f t="array" ref="K11">IFERROR(_xlfn.SWITCH(L11,1,_xlfn.XLOOKUP(C11,[1]AttributeName!$C:$C,[1]AttributeName!$I:$I),2,_xlfn.XLOOKUP(C11,[1]ModifierDes!$B:$B,[1]ModifierDes!$C:$C),3,_xlfn.XLOOKUP(C11,[1]StuntDes!$B:$B,[1]StuntDes!$C:$C)),"")</f>
        <v>物理倍率增加{0}</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394</v>
      </c>
      <c r="D12" t="s">
        <v>26</v>
      </c>
      <c r="E12" t="s">
        <v>393</v>
      </c>
      <c r="F12"/>
      <c r="G12">
        <v>1</v>
      </c>
      <c r="H12">
        <v>100</v>
      </c>
      <c r="I12">
        <v>1</v>
      </c>
      <c r="J12" cm="1">
        <f t="array" ref="J12">_xlfn.SWITCH(B12,1,75,2,61,3,49,4,37,5,25,6,13,7,4,8,1)</f>
        <v>75</v>
      </c>
      <c r="K12" t="str" cm="1">
        <f t="array" ref="K12">IFERROR(_xlfn.SWITCH(L12,1,_xlfn.XLOOKUP(C12,[1]AttributeName!$C:$C,[1]AttributeName!$I:$I),2,_xlfn.XLOOKUP(C12,[1]ModifierDes!$B:$B,[1]ModifierDes!$C:$C),3,_xlfn.XLOOKUP(C12,[1]StuntDes!$B:$B,[1]StuntDes!$C:$C)),"")</f>
        <v>火焰倍率增加{0}</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394</v>
      </c>
      <c r="D13" t="s">
        <v>26</v>
      </c>
      <c r="E13" t="s">
        <v>393</v>
      </c>
      <c r="F13"/>
      <c r="G13">
        <v>1</v>
      </c>
      <c r="H13">
        <v>200</v>
      </c>
      <c r="I13">
        <v>1</v>
      </c>
      <c r="J13" cm="1">
        <f t="array" ref="J13">_xlfn.SWITCH(B13,1,75,2,61,3,49,4,37,5,25,6,13,7,4,8,1)</f>
        <v>61</v>
      </c>
      <c r="K13" t="str" cm="1">
        <f t="array" ref="K13">IFERROR(_xlfn.SWITCH(L13,1,_xlfn.XLOOKUP(C13,[1]AttributeName!$C:$C,[1]AttributeName!$I:$I),2,_xlfn.XLOOKUP(C13,[1]ModifierDes!$B:$B,[1]ModifierDes!$C:$C),3,_xlfn.XLOOKUP(C13,[1]StuntDes!$B:$B,[1]StuntDes!$C:$C)),"")</f>
        <v>火焰倍率增加{0}</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394</v>
      </c>
      <c r="D14" t="s">
        <v>26</v>
      </c>
      <c r="E14" t="s">
        <v>393</v>
      </c>
      <c r="F14"/>
      <c r="G14">
        <v>1</v>
      </c>
      <c r="H14">
        <v>400</v>
      </c>
      <c r="I14">
        <v>1</v>
      </c>
      <c r="J14" cm="1">
        <f t="array" ref="J14">_xlfn.SWITCH(B14,1,75,2,61,3,49,4,37,5,25,6,13,7,4,8,1)</f>
        <v>49</v>
      </c>
      <c r="K14" t="str" cm="1">
        <f t="array" ref="K14">IFERROR(_xlfn.SWITCH(L14,1,_xlfn.XLOOKUP(C14,[1]AttributeName!$C:$C,[1]AttributeName!$I:$I),2,_xlfn.XLOOKUP(C14,[1]ModifierDes!$B:$B,[1]ModifierDes!$C:$C),3,_xlfn.XLOOKUP(C14,[1]StuntDes!$B:$B,[1]StuntDes!$C:$C)),"")</f>
        <v>火焰倍率增加{0}</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394</v>
      </c>
      <c r="D15" t="s">
        <v>26</v>
      </c>
      <c r="E15" t="s">
        <v>393</v>
      </c>
      <c r="F15"/>
      <c r="G15">
        <v>1</v>
      </c>
      <c r="H15">
        <v>600</v>
      </c>
      <c r="I15">
        <v>1</v>
      </c>
      <c r="J15" cm="1">
        <f t="array" ref="J15">_xlfn.SWITCH(B15,1,75,2,61,3,49,4,37,5,25,6,13,7,4,8,1)</f>
        <v>37</v>
      </c>
      <c r="K15" t="str" cm="1">
        <f t="array" ref="K15">IFERROR(_xlfn.SWITCH(L15,1,_xlfn.XLOOKUP(C15,[1]AttributeName!$C:$C,[1]AttributeName!$I:$I),2,_xlfn.XLOOKUP(C15,[1]ModifierDes!$B:$B,[1]ModifierDes!$C:$C),3,_xlfn.XLOOKUP(C15,[1]StuntDes!$B:$B,[1]StuntDes!$C:$C)),"")</f>
        <v>火焰倍率增加{0}</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394</v>
      </c>
      <c r="D16" t="s">
        <v>26</v>
      </c>
      <c r="E16" t="s">
        <v>393</v>
      </c>
      <c r="F16"/>
      <c r="G16">
        <v>1</v>
      </c>
      <c r="H16">
        <v>800</v>
      </c>
      <c r="I16">
        <v>1</v>
      </c>
      <c r="J16" cm="1">
        <f t="array" ref="J16">_xlfn.SWITCH(B16,1,75,2,61,3,49,4,37,5,25,6,13,7,4,8,1)</f>
        <v>25</v>
      </c>
      <c r="K16" t="str" cm="1">
        <f t="array" ref="K16">IFERROR(_xlfn.SWITCH(L16,1,_xlfn.XLOOKUP(C16,[1]AttributeName!$C:$C,[1]AttributeName!$I:$I),2,_xlfn.XLOOKUP(C16,[1]ModifierDes!$B:$B,[1]ModifierDes!$C:$C),3,_xlfn.XLOOKUP(C16,[1]StuntDes!$B:$B,[1]StuntDes!$C:$C)),"")</f>
        <v>火焰倍率增加{0}</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394</v>
      </c>
      <c r="D17" t="s">
        <v>26</v>
      </c>
      <c r="E17" t="s">
        <v>393</v>
      </c>
      <c r="F17"/>
      <c r="G17">
        <v>1</v>
      </c>
      <c r="H17">
        <v>1000</v>
      </c>
      <c r="I17">
        <v>1</v>
      </c>
      <c r="J17" cm="1">
        <f t="array" ref="J17">_xlfn.SWITCH(B17,1,75,2,61,3,49,4,37,5,25,6,13,7,4,8,1)</f>
        <v>13</v>
      </c>
      <c r="K17" t="str" cm="1">
        <f t="array" ref="K17">IFERROR(_xlfn.SWITCH(L17,1,_xlfn.XLOOKUP(C17,[1]AttributeName!$C:$C,[1]AttributeName!$I:$I),2,_xlfn.XLOOKUP(C17,[1]ModifierDes!$B:$B,[1]ModifierDes!$C:$C),3,_xlfn.XLOOKUP(C17,[1]StuntDes!$B:$B,[1]StuntDes!$C:$C)),"")</f>
        <v>火焰倍率增加{0}</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394</v>
      </c>
      <c r="D18" t="s">
        <v>26</v>
      </c>
      <c r="E18" t="s">
        <v>393</v>
      </c>
      <c r="F18"/>
      <c r="G18">
        <v>1</v>
      </c>
      <c r="H18">
        <v>1000</v>
      </c>
      <c r="I18">
        <v>1</v>
      </c>
      <c r="J18" cm="1">
        <f t="array" ref="J18">_xlfn.SWITCH(B18,1,75,2,61,3,49,4,37,5,25,6,13,7,4,8,1)</f>
        <v>4</v>
      </c>
      <c r="K18" t="str" cm="1">
        <f t="array" ref="K18">IFERROR(_xlfn.SWITCH(L18,1,_xlfn.XLOOKUP(C18,[1]AttributeName!$C:$C,[1]AttributeName!$I:$I),2,_xlfn.XLOOKUP(C18,[1]ModifierDes!$B:$B,[1]ModifierDes!$C:$C),3,_xlfn.XLOOKUP(C18,[1]StuntDes!$B:$B,[1]StuntDes!$C:$C)),"")</f>
        <v>火焰倍率增加{0}</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394</v>
      </c>
      <c r="D19" t="s">
        <v>26</v>
      </c>
      <c r="E19" t="s">
        <v>393</v>
      </c>
      <c r="F19"/>
      <c r="G19">
        <v>1</v>
      </c>
      <c r="H19">
        <v>1000</v>
      </c>
      <c r="I19">
        <v>1</v>
      </c>
      <c r="J19" cm="1">
        <f t="array" ref="J19">_xlfn.SWITCH(B19,1,75,2,61,3,49,4,37,5,25,6,13,7,4,8,1)</f>
        <v>1</v>
      </c>
      <c r="K19" t="str" cm="1">
        <f t="array" ref="K19">IFERROR(_xlfn.SWITCH(L19,1,_xlfn.XLOOKUP(C19,[1]AttributeName!$C:$C,[1]AttributeName!$I:$I),2,_xlfn.XLOOKUP(C19,[1]ModifierDes!$B:$B,[1]ModifierDes!$C:$C),3,_xlfn.XLOOKUP(C19,[1]StuntDes!$B:$B,[1]StuntDes!$C:$C)),"")</f>
        <v>火焰倍率增加{0}</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395</v>
      </c>
      <c r="D20" t="s">
        <v>26</v>
      </c>
      <c r="E20" t="s">
        <v>393</v>
      </c>
      <c r="F20"/>
      <c r="G20">
        <v>1</v>
      </c>
      <c r="H20">
        <v>100</v>
      </c>
      <c r="I20">
        <v>1</v>
      </c>
      <c r="J20" cm="1">
        <f t="array" ref="J20">_xlfn.SWITCH(B20,1,75,2,61,3,49,4,37,5,25,6,13,7,4,8,1)</f>
        <v>75</v>
      </c>
      <c r="K20" t="str" cm="1">
        <f t="array" ref="K20">IFERROR(_xlfn.SWITCH(L20,1,_xlfn.XLOOKUP(C20,[1]AttributeName!$C:$C,[1]AttributeName!$I:$I),2,_xlfn.XLOOKUP(C20,[1]ModifierDes!$B:$B,[1]ModifierDes!$C:$C),3,_xlfn.XLOOKUP(C20,[1]StuntDes!$B:$B,[1]StuntDes!$C:$C)),"")</f>
        <v>冰冷倍率增加{0}</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395</v>
      </c>
      <c r="D21" t="s">
        <v>26</v>
      </c>
      <c r="E21" t="s">
        <v>393</v>
      </c>
      <c r="F21"/>
      <c r="G21">
        <v>1</v>
      </c>
      <c r="H21">
        <v>200</v>
      </c>
      <c r="I21">
        <v>1</v>
      </c>
      <c r="J21" cm="1">
        <f t="array" ref="J21">_xlfn.SWITCH(B21,1,75,2,61,3,49,4,37,5,25,6,13,7,4,8,1)</f>
        <v>61</v>
      </c>
      <c r="K21" t="str" cm="1">
        <f t="array" ref="K21">IFERROR(_xlfn.SWITCH(L21,1,_xlfn.XLOOKUP(C21,[1]AttributeName!$C:$C,[1]AttributeName!$I:$I),2,_xlfn.XLOOKUP(C21,[1]ModifierDes!$B:$B,[1]ModifierDes!$C:$C),3,_xlfn.XLOOKUP(C21,[1]StuntDes!$B:$B,[1]StuntDes!$C:$C)),"")</f>
        <v>冰冷倍率增加{0}</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395</v>
      </c>
      <c r="D22" t="s">
        <v>26</v>
      </c>
      <c r="E22" t="s">
        <v>393</v>
      </c>
      <c r="F22"/>
      <c r="G22">
        <v>1</v>
      </c>
      <c r="H22">
        <v>400</v>
      </c>
      <c r="I22">
        <v>1</v>
      </c>
      <c r="J22" cm="1">
        <f t="array" ref="J22">_xlfn.SWITCH(B22,1,75,2,61,3,49,4,37,5,25,6,13,7,4,8,1)</f>
        <v>49</v>
      </c>
      <c r="K22" t="str" cm="1">
        <f t="array" ref="K22">IFERROR(_xlfn.SWITCH(L22,1,_xlfn.XLOOKUP(C22,[1]AttributeName!$C:$C,[1]AttributeName!$I:$I),2,_xlfn.XLOOKUP(C22,[1]ModifierDes!$B:$B,[1]ModifierDes!$C:$C),3,_xlfn.XLOOKUP(C22,[1]StuntDes!$B:$B,[1]StuntDes!$C:$C)),"")</f>
        <v>冰冷倍率增加{0}</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395</v>
      </c>
      <c r="D23" t="s">
        <v>26</v>
      </c>
      <c r="E23" t="s">
        <v>393</v>
      </c>
      <c r="F23"/>
      <c r="G23">
        <v>1</v>
      </c>
      <c r="H23">
        <v>600</v>
      </c>
      <c r="I23">
        <v>1</v>
      </c>
      <c r="J23" cm="1">
        <f t="array" ref="J23">_xlfn.SWITCH(B23,1,75,2,61,3,49,4,37,5,25,6,13,7,4,8,1)</f>
        <v>37</v>
      </c>
      <c r="K23" t="str" cm="1">
        <f t="array" ref="K23">IFERROR(_xlfn.SWITCH(L23,1,_xlfn.XLOOKUP(C23,[1]AttributeName!$C:$C,[1]AttributeName!$I:$I),2,_xlfn.XLOOKUP(C23,[1]ModifierDes!$B:$B,[1]ModifierDes!$C:$C),3,_xlfn.XLOOKUP(C23,[1]StuntDes!$B:$B,[1]StuntDes!$C:$C)),"")</f>
        <v>冰冷倍率增加{0}</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395</v>
      </c>
      <c r="D24" t="s">
        <v>26</v>
      </c>
      <c r="E24" t="s">
        <v>393</v>
      </c>
      <c r="F24"/>
      <c r="G24">
        <v>1</v>
      </c>
      <c r="H24">
        <v>800</v>
      </c>
      <c r="I24">
        <v>1</v>
      </c>
      <c r="J24" cm="1">
        <f t="array" ref="J24">_xlfn.SWITCH(B24,1,75,2,61,3,49,4,37,5,25,6,13,7,4,8,1)</f>
        <v>25</v>
      </c>
      <c r="K24" t="str" cm="1">
        <f t="array" ref="K24">IFERROR(_xlfn.SWITCH(L24,1,_xlfn.XLOOKUP(C24,[1]AttributeName!$C:$C,[1]AttributeName!$I:$I),2,_xlfn.XLOOKUP(C24,[1]ModifierDes!$B:$B,[1]ModifierDes!$C:$C),3,_xlfn.XLOOKUP(C24,[1]StuntDes!$B:$B,[1]StuntDes!$C:$C)),"")</f>
        <v>冰冷倍率增加{0}</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395</v>
      </c>
      <c r="D25" t="s">
        <v>26</v>
      </c>
      <c r="E25" t="s">
        <v>393</v>
      </c>
      <c r="F25"/>
      <c r="G25">
        <v>1</v>
      </c>
      <c r="H25">
        <v>1000</v>
      </c>
      <c r="I25">
        <v>1</v>
      </c>
      <c r="J25" cm="1">
        <f t="array" ref="J25">_xlfn.SWITCH(B25,1,75,2,61,3,49,4,37,5,25,6,13,7,4,8,1)</f>
        <v>13</v>
      </c>
      <c r="K25" t="str" cm="1">
        <f t="array" ref="K25">IFERROR(_xlfn.SWITCH(L25,1,_xlfn.XLOOKUP(C25,[1]AttributeName!$C:$C,[1]AttributeName!$I:$I),2,_xlfn.XLOOKUP(C25,[1]ModifierDes!$B:$B,[1]ModifierDes!$C:$C),3,_xlfn.XLOOKUP(C25,[1]StuntDes!$B:$B,[1]StuntDes!$C:$C)),"")</f>
        <v>冰冷倍率增加{0}</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395</v>
      </c>
      <c r="D26" t="s">
        <v>26</v>
      </c>
      <c r="E26" t="s">
        <v>393</v>
      </c>
      <c r="F26"/>
      <c r="G26">
        <v>1</v>
      </c>
      <c r="H26">
        <v>1000</v>
      </c>
      <c r="I26">
        <v>1</v>
      </c>
      <c r="J26" cm="1">
        <f t="array" ref="J26">_xlfn.SWITCH(B26,1,75,2,61,3,49,4,37,5,25,6,13,7,4,8,1)</f>
        <v>4</v>
      </c>
      <c r="K26" t="str" cm="1">
        <f t="array" ref="K26">IFERROR(_xlfn.SWITCH(L26,1,_xlfn.XLOOKUP(C26,[1]AttributeName!$C:$C,[1]AttributeName!$I:$I),2,_xlfn.XLOOKUP(C26,[1]ModifierDes!$B:$B,[1]ModifierDes!$C:$C),3,_xlfn.XLOOKUP(C26,[1]StuntDes!$B:$B,[1]StuntDes!$C:$C)),"")</f>
        <v>冰冷倍率增加{0}</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395</v>
      </c>
      <c r="D27" t="s">
        <v>26</v>
      </c>
      <c r="E27" t="s">
        <v>393</v>
      </c>
      <c r="F27"/>
      <c r="G27">
        <v>1</v>
      </c>
      <c r="H27">
        <v>1000</v>
      </c>
      <c r="I27">
        <v>1</v>
      </c>
      <c r="J27" cm="1">
        <f t="array" ref="J27">_xlfn.SWITCH(B27,1,75,2,61,3,49,4,37,5,25,6,13,7,4,8,1)</f>
        <v>1</v>
      </c>
      <c r="K27" t="str" cm="1">
        <f t="array" ref="K27">IFERROR(_xlfn.SWITCH(L27,1,_xlfn.XLOOKUP(C27,[1]AttributeName!$C:$C,[1]AttributeName!$I:$I),2,_xlfn.XLOOKUP(C27,[1]ModifierDes!$B:$B,[1]ModifierDes!$C:$C),3,_xlfn.XLOOKUP(C27,[1]StuntDes!$B:$B,[1]StuntDes!$C:$C)),"")</f>
        <v>冰冷倍率增加{0}</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396</v>
      </c>
      <c r="D28" t="s">
        <v>26</v>
      </c>
      <c r="E28" t="s">
        <v>393</v>
      </c>
      <c r="F28"/>
      <c r="G28">
        <v>1</v>
      </c>
      <c r="H28">
        <v>100</v>
      </c>
      <c r="I28">
        <v>1</v>
      </c>
      <c r="J28" cm="1">
        <f t="array" ref="J28">_xlfn.SWITCH(B28,1,75,2,61,3,49,4,37,5,25,6,13,7,4,8,1)</f>
        <v>75</v>
      </c>
      <c r="K28" t="str" cm="1">
        <f t="array" ref="K28">IFERROR(_xlfn.SWITCH(L28,1,_xlfn.XLOOKUP(C28,[1]AttributeName!$C:$C,[1]AttributeName!$I:$I),2,_xlfn.XLOOKUP(C28,[1]ModifierDes!$B:$B,[1]ModifierDes!$C:$C),3,_xlfn.XLOOKUP(C28,[1]StuntDes!$B:$B,[1]StuntDes!$C:$C)),"")</f>
        <v>闪电倍率增加{0}</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396</v>
      </c>
      <c r="D29" t="s">
        <v>26</v>
      </c>
      <c r="E29" t="s">
        <v>393</v>
      </c>
      <c r="F29"/>
      <c r="G29">
        <v>1</v>
      </c>
      <c r="H29">
        <v>200</v>
      </c>
      <c r="I29">
        <v>1</v>
      </c>
      <c r="J29" cm="1">
        <f t="array" ref="J29">_xlfn.SWITCH(B29,1,75,2,61,3,49,4,37,5,25,6,13,7,4,8,1)</f>
        <v>61</v>
      </c>
      <c r="K29" t="str" cm="1">
        <f t="array" ref="K29">IFERROR(_xlfn.SWITCH(L29,1,_xlfn.XLOOKUP(C29,[1]AttributeName!$C:$C,[1]AttributeName!$I:$I),2,_xlfn.XLOOKUP(C29,[1]ModifierDes!$B:$B,[1]ModifierDes!$C:$C),3,_xlfn.XLOOKUP(C29,[1]StuntDes!$B:$B,[1]StuntDes!$C:$C)),"")</f>
        <v>闪电倍率增加{0}</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396</v>
      </c>
      <c r="D30" t="s">
        <v>26</v>
      </c>
      <c r="E30" t="s">
        <v>393</v>
      </c>
      <c r="F30"/>
      <c r="G30">
        <v>1</v>
      </c>
      <c r="H30">
        <v>400</v>
      </c>
      <c r="I30">
        <v>1</v>
      </c>
      <c r="J30" cm="1">
        <f t="array" ref="J30">_xlfn.SWITCH(B30,1,75,2,61,3,49,4,37,5,25,6,13,7,4,8,1)</f>
        <v>49</v>
      </c>
      <c r="K30" t="str" cm="1">
        <f t="array" ref="K30">IFERROR(_xlfn.SWITCH(L30,1,_xlfn.XLOOKUP(C30,[1]AttributeName!$C:$C,[1]AttributeName!$I:$I),2,_xlfn.XLOOKUP(C30,[1]ModifierDes!$B:$B,[1]ModifierDes!$C:$C),3,_xlfn.XLOOKUP(C30,[1]StuntDes!$B:$B,[1]StuntDes!$C:$C)),"")</f>
        <v>闪电倍率增加{0}</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396</v>
      </c>
      <c r="D31" t="s">
        <v>26</v>
      </c>
      <c r="E31" t="s">
        <v>393</v>
      </c>
      <c r="F31"/>
      <c r="G31">
        <v>1</v>
      </c>
      <c r="H31">
        <v>600</v>
      </c>
      <c r="I31">
        <v>1</v>
      </c>
      <c r="J31" cm="1">
        <f t="array" ref="J31">_xlfn.SWITCH(B31,1,75,2,61,3,49,4,37,5,25,6,13,7,4,8,1)</f>
        <v>37</v>
      </c>
      <c r="K31" t="str" cm="1">
        <f t="array" ref="K31">IFERROR(_xlfn.SWITCH(L31,1,_xlfn.XLOOKUP(C31,[1]AttributeName!$C:$C,[1]AttributeName!$I:$I),2,_xlfn.XLOOKUP(C31,[1]ModifierDes!$B:$B,[1]ModifierDes!$C:$C),3,_xlfn.XLOOKUP(C31,[1]StuntDes!$B:$B,[1]StuntDes!$C:$C)),"")</f>
        <v>闪电倍率增加{0}</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396</v>
      </c>
      <c r="D32" t="s">
        <v>26</v>
      </c>
      <c r="E32" t="s">
        <v>393</v>
      </c>
      <c r="F32"/>
      <c r="G32">
        <v>1</v>
      </c>
      <c r="H32">
        <v>800</v>
      </c>
      <c r="I32">
        <v>1</v>
      </c>
      <c r="J32" cm="1">
        <f t="array" ref="J32">_xlfn.SWITCH(B32,1,75,2,61,3,49,4,37,5,25,6,13,7,4,8,1)</f>
        <v>25</v>
      </c>
      <c r="K32" t="str" cm="1">
        <f t="array" ref="K32">IFERROR(_xlfn.SWITCH(L32,1,_xlfn.XLOOKUP(C32,[1]AttributeName!$C:$C,[1]AttributeName!$I:$I),2,_xlfn.XLOOKUP(C32,[1]ModifierDes!$B:$B,[1]ModifierDes!$C:$C),3,_xlfn.XLOOKUP(C32,[1]StuntDes!$B:$B,[1]StuntDes!$C:$C)),"")</f>
        <v>闪电倍率增加{0}</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396</v>
      </c>
      <c r="D33" t="s">
        <v>26</v>
      </c>
      <c r="E33" t="s">
        <v>393</v>
      </c>
      <c r="F33"/>
      <c r="G33">
        <v>1</v>
      </c>
      <c r="H33">
        <v>1000</v>
      </c>
      <c r="I33">
        <v>1</v>
      </c>
      <c r="J33" cm="1">
        <f t="array" ref="J33">_xlfn.SWITCH(B33,1,75,2,61,3,49,4,37,5,25,6,13,7,4,8,1)</f>
        <v>13</v>
      </c>
      <c r="K33" t="str" cm="1">
        <f t="array" ref="K33">IFERROR(_xlfn.SWITCH(L33,1,_xlfn.XLOOKUP(C33,[1]AttributeName!$C:$C,[1]AttributeName!$I:$I),2,_xlfn.XLOOKUP(C33,[1]ModifierDes!$B:$B,[1]ModifierDes!$C:$C),3,_xlfn.XLOOKUP(C33,[1]StuntDes!$B:$B,[1]StuntDes!$C:$C)),"")</f>
        <v>闪电倍率增加{0}</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396</v>
      </c>
      <c r="D34" t="s">
        <v>26</v>
      </c>
      <c r="E34" t="s">
        <v>393</v>
      </c>
      <c r="F34"/>
      <c r="G34">
        <v>1</v>
      </c>
      <c r="H34">
        <v>1000</v>
      </c>
      <c r="I34">
        <v>1</v>
      </c>
      <c r="J34" cm="1">
        <f t="array" ref="J34">_xlfn.SWITCH(B34,1,75,2,61,3,49,4,37,5,25,6,13,7,4,8,1)</f>
        <v>4</v>
      </c>
      <c r="K34" t="str" cm="1">
        <f t="array" ref="K34">IFERROR(_xlfn.SWITCH(L34,1,_xlfn.XLOOKUP(C34,[1]AttributeName!$C:$C,[1]AttributeName!$I:$I),2,_xlfn.XLOOKUP(C34,[1]ModifierDes!$B:$B,[1]ModifierDes!$C:$C),3,_xlfn.XLOOKUP(C34,[1]StuntDes!$B:$B,[1]StuntDes!$C:$C)),"")</f>
        <v>闪电倍率增加{0}</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396</v>
      </c>
      <c r="D35" t="s">
        <v>26</v>
      </c>
      <c r="E35" t="s">
        <v>393</v>
      </c>
      <c r="F35"/>
      <c r="G35">
        <v>1</v>
      </c>
      <c r="H35">
        <v>1000</v>
      </c>
      <c r="I35">
        <v>1</v>
      </c>
      <c r="J35" cm="1">
        <f t="array" ref="J35">_xlfn.SWITCH(B35,1,75,2,61,3,49,4,37,5,25,6,13,7,4,8,1)</f>
        <v>1</v>
      </c>
      <c r="K35" t="str" cm="1">
        <f t="array" ref="K35">IFERROR(_xlfn.SWITCH(L35,1,_xlfn.XLOOKUP(C35,[1]AttributeName!$C:$C,[1]AttributeName!$I:$I),2,_xlfn.XLOOKUP(C35,[1]ModifierDes!$B:$B,[1]ModifierDes!$C:$C),3,_xlfn.XLOOKUP(C35,[1]StuntDes!$B:$B,[1]StuntDes!$C:$C)),"")</f>
        <v>闪电倍率增加{0}</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397</v>
      </c>
      <c r="D36" t="s">
        <v>26</v>
      </c>
      <c r="E36" t="s">
        <v>393</v>
      </c>
      <c r="G36">
        <v>1</v>
      </c>
      <c r="H36">
        <v>100</v>
      </c>
      <c r="I36">
        <v>1</v>
      </c>
      <c r="J36" cm="1">
        <f t="array" ref="J36">_xlfn.SWITCH(B36,1,75,2,61,3,49,4,37,5,25,6,13,7,4,8,1)</f>
        <v>75</v>
      </c>
      <c r="K36" t="str" cm="1">
        <f t="array" ref="K36">IFERROR(_xlfn.SWITCH(L36,1,_xlfn.XLOOKUP(C36,[1]AttributeName!$C:$C,[1]AttributeName!$I:$I),2,_xlfn.XLOOKUP(C36,[1]ModifierDes!$B:$B,[1]ModifierDes!$C:$C),3,_xlfn.XLOOKUP(C36,[1]StuntDes!$B:$B,[1]StuntDes!$C:$C)),"")</f>
        <v>混沌倍率增加{0}</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397</v>
      </c>
      <c r="D37" t="s">
        <v>26</v>
      </c>
      <c r="E37" t="s">
        <v>393</v>
      </c>
      <c r="G37">
        <v>1</v>
      </c>
      <c r="H37">
        <v>200</v>
      </c>
      <c r="I37">
        <v>1</v>
      </c>
      <c r="J37" cm="1">
        <f t="array" ref="J37">_xlfn.SWITCH(B37,1,75,2,61,3,49,4,37,5,25,6,13,7,4,8,1)</f>
        <v>61</v>
      </c>
      <c r="K37" t="str" cm="1">
        <f t="array" ref="K37">IFERROR(_xlfn.SWITCH(L37,1,_xlfn.XLOOKUP(C37,[1]AttributeName!$C:$C,[1]AttributeName!$I:$I),2,_xlfn.XLOOKUP(C37,[1]ModifierDes!$B:$B,[1]ModifierDes!$C:$C),3,_xlfn.XLOOKUP(C37,[1]StuntDes!$B:$B,[1]StuntDes!$C:$C)),"")</f>
        <v>混沌倍率增加{0}</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397</v>
      </c>
      <c r="D38" t="s">
        <v>26</v>
      </c>
      <c r="E38" t="s">
        <v>393</v>
      </c>
      <c r="G38">
        <v>1</v>
      </c>
      <c r="H38">
        <v>400</v>
      </c>
      <c r="I38">
        <v>1</v>
      </c>
      <c r="J38" cm="1">
        <f t="array" ref="J38">_xlfn.SWITCH(B38,1,75,2,61,3,49,4,37,5,25,6,13,7,4,8,1)</f>
        <v>49</v>
      </c>
      <c r="K38" t="str" cm="1">
        <f t="array" ref="K38">IFERROR(_xlfn.SWITCH(L38,1,_xlfn.XLOOKUP(C38,[1]AttributeName!$C:$C,[1]AttributeName!$I:$I),2,_xlfn.XLOOKUP(C38,[1]ModifierDes!$B:$B,[1]ModifierDes!$C:$C),3,_xlfn.XLOOKUP(C38,[1]StuntDes!$B:$B,[1]StuntDes!$C:$C)),"")</f>
        <v>混沌倍率增加{0}</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397</v>
      </c>
      <c r="D39" t="s">
        <v>26</v>
      </c>
      <c r="E39" t="s">
        <v>393</v>
      </c>
      <c r="G39">
        <v>1</v>
      </c>
      <c r="H39">
        <v>600</v>
      </c>
      <c r="I39">
        <v>1</v>
      </c>
      <c r="J39" cm="1">
        <f t="array" ref="J39">_xlfn.SWITCH(B39,1,75,2,61,3,49,4,37,5,25,6,13,7,4,8,1)</f>
        <v>37</v>
      </c>
      <c r="K39" t="str" cm="1">
        <f t="array" ref="K39">IFERROR(_xlfn.SWITCH(L39,1,_xlfn.XLOOKUP(C39,[1]AttributeName!$C:$C,[1]AttributeName!$I:$I),2,_xlfn.XLOOKUP(C39,[1]ModifierDes!$B:$B,[1]ModifierDes!$C:$C),3,_xlfn.XLOOKUP(C39,[1]StuntDes!$B:$B,[1]StuntDes!$C:$C)),"")</f>
        <v>混沌倍率增加{0}</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397</v>
      </c>
      <c r="D40" t="s">
        <v>26</v>
      </c>
      <c r="E40" t="s">
        <v>393</v>
      </c>
      <c r="G40">
        <v>1</v>
      </c>
      <c r="H40">
        <v>800</v>
      </c>
      <c r="I40">
        <v>1</v>
      </c>
      <c r="J40" cm="1">
        <f t="array" ref="J40">_xlfn.SWITCH(B40,1,75,2,61,3,49,4,37,5,25,6,13,7,4,8,1)</f>
        <v>25</v>
      </c>
      <c r="K40" t="str" cm="1">
        <f t="array" ref="K40">IFERROR(_xlfn.SWITCH(L40,1,_xlfn.XLOOKUP(C40,[1]AttributeName!$C:$C,[1]AttributeName!$I:$I),2,_xlfn.XLOOKUP(C40,[1]ModifierDes!$B:$B,[1]ModifierDes!$C:$C),3,_xlfn.XLOOKUP(C40,[1]StuntDes!$B:$B,[1]StuntDes!$C:$C)),"")</f>
        <v>混沌倍率增加{0}</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397</v>
      </c>
      <c r="D41" t="s">
        <v>26</v>
      </c>
      <c r="E41" t="s">
        <v>393</v>
      </c>
      <c r="G41">
        <v>1</v>
      </c>
      <c r="H41">
        <v>1000</v>
      </c>
      <c r="I41">
        <v>1</v>
      </c>
      <c r="J41" cm="1">
        <f t="array" ref="J41">_xlfn.SWITCH(B41,1,75,2,61,3,49,4,37,5,25,6,13,7,4,8,1)</f>
        <v>13</v>
      </c>
      <c r="K41" t="str" cm="1">
        <f t="array" ref="K41">IFERROR(_xlfn.SWITCH(L41,1,_xlfn.XLOOKUP(C41,[1]AttributeName!$C:$C,[1]AttributeName!$I:$I),2,_xlfn.XLOOKUP(C41,[1]ModifierDes!$B:$B,[1]ModifierDes!$C:$C),3,_xlfn.XLOOKUP(C41,[1]StuntDes!$B:$B,[1]StuntDes!$C:$C)),"")</f>
        <v>混沌倍率增加{0}</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397</v>
      </c>
      <c r="D42" t="s">
        <v>26</v>
      </c>
      <c r="E42" t="s">
        <v>393</v>
      </c>
      <c r="G42">
        <v>1</v>
      </c>
      <c r="H42">
        <v>1000</v>
      </c>
      <c r="I42">
        <v>1</v>
      </c>
      <c r="J42" cm="1">
        <f t="array" ref="J42">_xlfn.SWITCH(B42,1,75,2,61,3,49,4,37,5,25,6,13,7,4,8,1)</f>
        <v>4</v>
      </c>
      <c r="K42" t="str" cm="1">
        <f t="array" ref="K42">IFERROR(_xlfn.SWITCH(L42,1,_xlfn.XLOOKUP(C42,[1]AttributeName!$C:$C,[1]AttributeName!$I:$I),2,_xlfn.XLOOKUP(C42,[1]ModifierDes!$B:$B,[1]ModifierDes!$C:$C),3,_xlfn.XLOOKUP(C42,[1]StuntDes!$B:$B,[1]StuntDes!$C:$C)),"")</f>
        <v>混沌倍率增加{0}</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397</v>
      </c>
      <c r="D43" t="s">
        <v>26</v>
      </c>
      <c r="E43" t="s">
        <v>393</v>
      </c>
      <c r="F43"/>
      <c r="G43">
        <v>1</v>
      </c>
      <c r="H43">
        <v>1000</v>
      </c>
      <c r="I43">
        <v>1</v>
      </c>
      <c r="J43" cm="1">
        <f t="array" ref="J43">_xlfn.SWITCH(B43,1,75,2,61,3,49,4,37,5,25,6,13,7,4,8,1)</f>
        <v>1</v>
      </c>
      <c r="K43" t="str" cm="1">
        <f t="array" ref="K43">IFERROR(_xlfn.SWITCH(L43,1,_xlfn.XLOOKUP(C43,[1]AttributeName!$C:$C,[1]AttributeName!$I:$I),2,_xlfn.XLOOKUP(C43,[1]ModifierDes!$B:$B,[1]ModifierDes!$C:$C),3,_xlfn.XLOOKUP(C43,[1]StuntDes!$B:$B,[1]StuntDes!$C:$C)),"")</f>
        <v>混沌倍率增加{0}</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398</v>
      </c>
      <c r="D44" t="s">
        <v>26</v>
      </c>
      <c r="E44" t="s">
        <v>393</v>
      </c>
      <c r="G44">
        <v>1</v>
      </c>
      <c r="H44">
        <v>25</v>
      </c>
      <c r="J44" cm="1">
        <f t="array" ref="J44">_xlfn.SWITCH(B44,1,75,2,61,3,49,4,37,5,25,6,13,7,4,8,1)</f>
        <v>75</v>
      </c>
      <c r="K44" t="str" cm="1">
        <f t="array" ref="K44">IFERROR(_xlfn.SWITCH(L44,1,_xlfn.XLOOKUP(C44,[1]AttributeName!$C:$C,[1]AttributeName!$I:$I),2,_xlfn.XLOOKUP(C44,[1]ModifierDes!$B:$B,[1]ModifierDes!$C:$C),3,_xlfn.XLOOKUP(C44,[1]StuntDes!$B:$B,[1]StuntDes!$C:$C)),"")</f>
        <v>获得物理伤害{0}</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398</v>
      </c>
      <c r="D45" t="s">
        <v>26</v>
      </c>
      <c r="E45" t="s">
        <v>393</v>
      </c>
      <c r="G45">
        <v>1</v>
      </c>
      <c r="H45">
        <v>50</v>
      </c>
      <c r="J45" cm="1">
        <f t="array" ref="J45">_xlfn.SWITCH(B45,1,75,2,61,3,49,4,37,5,25,6,13,7,4,8,1)</f>
        <v>61</v>
      </c>
      <c r="K45" t="str" cm="1">
        <f t="array" ref="K45">IFERROR(_xlfn.SWITCH(L45,1,_xlfn.XLOOKUP(C45,[1]AttributeName!$C:$C,[1]AttributeName!$I:$I),2,_xlfn.XLOOKUP(C45,[1]ModifierDes!$B:$B,[1]ModifierDes!$C:$C),3,_xlfn.XLOOKUP(C45,[1]StuntDes!$B:$B,[1]StuntDes!$C:$C)),"")</f>
        <v>获得物理伤害{0}</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398</v>
      </c>
      <c r="D46" t="s">
        <v>26</v>
      </c>
      <c r="E46" t="s">
        <v>393</v>
      </c>
      <c r="G46">
        <v>1</v>
      </c>
      <c r="H46">
        <v>100</v>
      </c>
      <c r="J46" cm="1">
        <f t="array" ref="J46">_xlfn.SWITCH(B46,1,75,2,61,3,49,4,37,5,25,6,13,7,4,8,1)</f>
        <v>49</v>
      </c>
      <c r="K46" t="str" cm="1">
        <f t="array" ref="K46">IFERROR(_xlfn.SWITCH(L46,1,_xlfn.XLOOKUP(C46,[1]AttributeName!$C:$C,[1]AttributeName!$I:$I),2,_xlfn.XLOOKUP(C46,[1]ModifierDes!$B:$B,[1]ModifierDes!$C:$C),3,_xlfn.XLOOKUP(C46,[1]StuntDes!$B:$B,[1]StuntDes!$C:$C)),"")</f>
        <v>获得物理伤害{0}</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398</v>
      </c>
      <c r="D47" t="s">
        <v>26</v>
      </c>
      <c r="E47" t="s">
        <v>393</v>
      </c>
      <c r="G47">
        <v>1</v>
      </c>
      <c r="H47">
        <v>200</v>
      </c>
      <c r="J47" cm="1">
        <f t="array" ref="J47">_xlfn.SWITCH(B47,1,75,2,61,3,49,4,37,5,25,6,13,7,4,8,1)</f>
        <v>37</v>
      </c>
      <c r="K47" t="str" cm="1">
        <f t="array" ref="K47">IFERROR(_xlfn.SWITCH(L47,1,_xlfn.XLOOKUP(C47,[1]AttributeName!$C:$C,[1]AttributeName!$I:$I),2,_xlfn.XLOOKUP(C47,[1]ModifierDes!$B:$B,[1]ModifierDes!$C:$C),3,_xlfn.XLOOKUP(C47,[1]StuntDes!$B:$B,[1]StuntDes!$C:$C)),"")</f>
        <v>获得物理伤害{0}</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398</v>
      </c>
      <c r="D48" t="s">
        <v>26</v>
      </c>
      <c r="E48" t="s">
        <v>393</v>
      </c>
      <c r="G48">
        <v>1</v>
      </c>
      <c r="H48">
        <v>400</v>
      </c>
      <c r="J48" cm="1">
        <f t="array" ref="J48">_xlfn.SWITCH(B48,1,75,2,61,3,49,4,37,5,25,6,13,7,4,8,1)</f>
        <v>25</v>
      </c>
      <c r="K48" t="str" cm="1">
        <f t="array" ref="K48">IFERROR(_xlfn.SWITCH(L48,1,_xlfn.XLOOKUP(C48,[1]AttributeName!$C:$C,[1]AttributeName!$I:$I),2,_xlfn.XLOOKUP(C48,[1]ModifierDes!$B:$B,[1]ModifierDes!$C:$C),3,_xlfn.XLOOKUP(C48,[1]StuntDes!$B:$B,[1]StuntDes!$C:$C)),"")</f>
        <v>获得物理伤害{0}</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398</v>
      </c>
      <c r="D49" t="s">
        <v>26</v>
      </c>
      <c r="E49" t="s">
        <v>393</v>
      </c>
      <c r="G49">
        <v>1</v>
      </c>
      <c r="H49">
        <v>1000</v>
      </c>
      <c r="J49" cm="1">
        <f t="array" ref="J49">_xlfn.SWITCH(B49,1,75,2,61,3,49,4,37,5,25,6,13,7,4,8,1)</f>
        <v>13</v>
      </c>
      <c r="K49" t="str" cm="1">
        <f t="array" ref="K49">IFERROR(_xlfn.SWITCH(L49,1,_xlfn.XLOOKUP(C49,[1]AttributeName!$C:$C,[1]AttributeName!$I:$I),2,_xlfn.XLOOKUP(C49,[1]ModifierDes!$B:$B,[1]ModifierDes!$C:$C),3,_xlfn.XLOOKUP(C49,[1]StuntDes!$B:$B,[1]StuntDes!$C:$C)),"")</f>
        <v>获得物理伤害{0}</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398</v>
      </c>
      <c r="D50" t="s">
        <v>26</v>
      </c>
      <c r="E50" t="s">
        <v>393</v>
      </c>
      <c r="G50">
        <v>1</v>
      </c>
      <c r="H50">
        <v>1000</v>
      </c>
      <c r="J50" cm="1">
        <f t="array" ref="J50">_xlfn.SWITCH(B50,1,75,2,61,3,49,4,37,5,25,6,13,7,4,8,1)</f>
        <v>4</v>
      </c>
      <c r="K50" t="str" cm="1">
        <f t="array" ref="K50">IFERROR(_xlfn.SWITCH(L50,1,_xlfn.XLOOKUP(C50,[1]AttributeName!$C:$C,[1]AttributeName!$I:$I),2,_xlfn.XLOOKUP(C50,[1]ModifierDes!$B:$B,[1]ModifierDes!$C:$C),3,_xlfn.XLOOKUP(C50,[1]StuntDes!$B:$B,[1]StuntDes!$C:$C)),"")</f>
        <v>获得物理伤害{0}</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398</v>
      </c>
      <c r="D51" t="s">
        <v>26</v>
      </c>
      <c r="E51" t="s">
        <v>393</v>
      </c>
      <c r="F51"/>
      <c r="G51">
        <v>1</v>
      </c>
      <c r="H51">
        <v>1000</v>
      </c>
      <c r="J51" cm="1">
        <f t="array" ref="J51">_xlfn.SWITCH(B51,1,75,2,61,3,49,4,37,5,25,6,13,7,4,8,1)</f>
        <v>1</v>
      </c>
      <c r="K51" t="str" cm="1">
        <f t="array" ref="K51">IFERROR(_xlfn.SWITCH(L51,1,_xlfn.XLOOKUP(C51,[1]AttributeName!$C:$C,[1]AttributeName!$I:$I),2,_xlfn.XLOOKUP(C51,[1]ModifierDes!$B:$B,[1]ModifierDes!$C:$C),3,_xlfn.XLOOKUP(C51,[1]StuntDes!$B:$B,[1]StuntDes!$C:$C)),"")</f>
        <v>获得物理伤害{0}</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399</v>
      </c>
      <c r="D52" t="s">
        <v>26</v>
      </c>
      <c r="E52" t="s">
        <v>393</v>
      </c>
      <c r="G52">
        <v>1</v>
      </c>
      <c r="H52">
        <v>1000</v>
      </c>
      <c r="J52" cm="1">
        <f t="array" ref="J52">_xlfn.SWITCH(B52,1,75,2,61,3,49,4,37,5,25,6,13,7,4,8,1)</f>
        <v>75</v>
      </c>
      <c r="K52" t="str" cm="1">
        <f t="array" ref="K52">IFERROR(_xlfn.SWITCH(L52,1,_xlfn.XLOOKUP(C52,[1]AttributeName!$C:$C,[1]AttributeName!$I:$I),2,_xlfn.XLOOKUP(C52,[1]ModifierDes!$B:$B,[1]ModifierDes!$C:$C),3,_xlfn.XLOOKUP(C52,[1]StuntDes!$B:$B,[1]StuntDes!$C:$C)),"")</f>
        <v>获得火焰伤害{0}</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399</v>
      </c>
      <c r="D53" t="s">
        <v>26</v>
      </c>
      <c r="E53" t="s">
        <v>393</v>
      </c>
      <c r="G53">
        <v>1</v>
      </c>
      <c r="H53">
        <v>1000</v>
      </c>
      <c r="J53" cm="1">
        <f t="array" ref="J53">_xlfn.SWITCH(B53,1,75,2,61,3,49,4,37,5,25,6,13,7,4,8,1)</f>
        <v>61</v>
      </c>
      <c r="K53" t="str" cm="1">
        <f t="array" ref="K53">IFERROR(_xlfn.SWITCH(L53,1,_xlfn.XLOOKUP(C53,[1]AttributeName!$C:$C,[1]AttributeName!$I:$I),2,_xlfn.XLOOKUP(C53,[1]ModifierDes!$B:$B,[1]ModifierDes!$C:$C),3,_xlfn.XLOOKUP(C53,[1]StuntDes!$B:$B,[1]StuntDes!$C:$C)),"")</f>
        <v>获得火焰伤害{0}</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399</v>
      </c>
      <c r="D54" t="s">
        <v>26</v>
      </c>
      <c r="E54" t="s">
        <v>393</v>
      </c>
      <c r="G54">
        <v>1</v>
      </c>
      <c r="H54">
        <v>1000</v>
      </c>
      <c r="J54" cm="1">
        <f t="array" ref="J54">_xlfn.SWITCH(B54,1,75,2,61,3,49,4,37,5,25,6,13,7,4,8,1)</f>
        <v>49</v>
      </c>
      <c r="K54" t="str" cm="1">
        <f t="array" ref="K54">IFERROR(_xlfn.SWITCH(L54,1,_xlfn.XLOOKUP(C54,[1]AttributeName!$C:$C,[1]AttributeName!$I:$I),2,_xlfn.XLOOKUP(C54,[1]ModifierDes!$B:$B,[1]ModifierDes!$C:$C),3,_xlfn.XLOOKUP(C54,[1]StuntDes!$B:$B,[1]StuntDes!$C:$C)),"")</f>
        <v>获得火焰伤害{0}</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399</v>
      </c>
      <c r="D55" t="s">
        <v>26</v>
      </c>
      <c r="E55" t="s">
        <v>393</v>
      </c>
      <c r="G55">
        <v>1</v>
      </c>
      <c r="H55">
        <v>1000</v>
      </c>
      <c r="J55" cm="1">
        <f t="array" ref="J55">_xlfn.SWITCH(B55,1,75,2,61,3,49,4,37,5,25,6,13,7,4,8,1)</f>
        <v>37</v>
      </c>
      <c r="K55" t="str" cm="1">
        <f t="array" ref="K55">IFERROR(_xlfn.SWITCH(L55,1,_xlfn.XLOOKUP(C55,[1]AttributeName!$C:$C,[1]AttributeName!$I:$I),2,_xlfn.XLOOKUP(C55,[1]ModifierDes!$B:$B,[1]ModifierDes!$C:$C),3,_xlfn.XLOOKUP(C55,[1]StuntDes!$B:$B,[1]StuntDes!$C:$C)),"")</f>
        <v>获得火焰伤害{0}</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399</v>
      </c>
      <c r="D56" t="s">
        <v>26</v>
      </c>
      <c r="E56" t="s">
        <v>393</v>
      </c>
      <c r="G56">
        <v>1</v>
      </c>
      <c r="H56">
        <v>1000</v>
      </c>
      <c r="J56" cm="1">
        <f t="array" ref="J56">_xlfn.SWITCH(B56,1,75,2,61,3,49,4,37,5,25,6,13,7,4,8,1)</f>
        <v>25</v>
      </c>
      <c r="K56" t="str" cm="1">
        <f t="array" ref="K56">IFERROR(_xlfn.SWITCH(L56,1,_xlfn.XLOOKUP(C56,[1]AttributeName!$C:$C,[1]AttributeName!$I:$I),2,_xlfn.XLOOKUP(C56,[1]ModifierDes!$B:$B,[1]ModifierDes!$C:$C),3,_xlfn.XLOOKUP(C56,[1]StuntDes!$B:$B,[1]StuntDes!$C:$C)),"")</f>
        <v>获得火焰伤害{0}</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399</v>
      </c>
      <c r="D57" t="s">
        <v>26</v>
      </c>
      <c r="E57" t="s">
        <v>393</v>
      </c>
      <c r="G57">
        <v>1</v>
      </c>
      <c r="H57">
        <v>1000</v>
      </c>
      <c r="J57" cm="1">
        <f t="array" ref="J57">_xlfn.SWITCH(B57,1,75,2,61,3,49,4,37,5,25,6,13,7,4,8,1)</f>
        <v>13</v>
      </c>
      <c r="K57" t="str" cm="1">
        <f t="array" ref="K57">IFERROR(_xlfn.SWITCH(L57,1,_xlfn.XLOOKUP(C57,[1]AttributeName!$C:$C,[1]AttributeName!$I:$I),2,_xlfn.XLOOKUP(C57,[1]ModifierDes!$B:$B,[1]ModifierDes!$C:$C),3,_xlfn.XLOOKUP(C57,[1]StuntDes!$B:$B,[1]StuntDes!$C:$C)),"")</f>
        <v>获得火焰伤害{0}</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399</v>
      </c>
      <c r="D58" t="s">
        <v>26</v>
      </c>
      <c r="E58" t="s">
        <v>393</v>
      </c>
      <c r="G58">
        <v>1</v>
      </c>
      <c r="H58">
        <v>1000</v>
      </c>
      <c r="J58" cm="1">
        <f t="array" ref="J58">_xlfn.SWITCH(B58,1,75,2,61,3,49,4,37,5,25,6,13,7,4,8,1)</f>
        <v>4</v>
      </c>
      <c r="K58" t="str" cm="1">
        <f t="array" ref="K58">IFERROR(_xlfn.SWITCH(L58,1,_xlfn.XLOOKUP(C58,[1]AttributeName!$C:$C,[1]AttributeName!$I:$I),2,_xlfn.XLOOKUP(C58,[1]ModifierDes!$B:$B,[1]ModifierDes!$C:$C),3,_xlfn.XLOOKUP(C58,[1]StuntDes!$B:$B,[1]StuntDes!$C:$C)),"")</f>
        <v>获得火焰伤害{0}</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399</v>
      </c>
      <c r="D59" t="s">
        <v>26</v>
      </c>
      <c r="E59" t="s">
        <v>393</v>
      </c>
      <c r="G59">
        <v>1</v>
      </c>
      <c r="H59">
        <v>1000</v>
      </c>
      <c r="J59" cm="1">
        <f t="array" ref="J59">_xlfn.SWITCH(B59,1,75,2,61,3,49,4,37,5,25,6,13,7,4,8,1)</f>
        <v>1</v>
      </c>
      <c r="K59" t="str" cm="1">
        <f t="array" ref="K59">IFERROR(_xlfn.SWITCH(L59,1,_xlfn.XLOOKUP(C59,[1]AttributeName!$C:$C,[1]AttributeName!$I:$I),2,_xlfn.XLOOKUP(C59,[1]ModifierDes!$B:$B,[1]ModifierDes!$C:$C),3,_xlfn.XLOOKUP(C59,[1]StuntDes!$B:$B,[1]StuntDes!$C:$C)),"")</f>
        <v>获得火焰伤害{0}</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400</v>
      </c>
      <c r="D60" t="s">
        <v>26</v>
      </c>
      <c r="E60" t="s">
        <v>393</v>
      </c>
      <c r="G60">
        <v>1</v>
      </c>
      <c r="H60">
        <v>1000</v>
      </c>
      <c r="J60" cm="1">
        <f t="array" ref="J60">_xlfn.SWITCH(B60,1,75,2,61,3,49,4,37,5,25,6,13,7,4,8,1)</f>
        <v>75</v>
      </c>
      <c r="K60" t="str" cm="1">
        <f t="array" ref="K60">IFERROR(_xlfn.SWITCH(L60,1,_xlfn.XLOOKUP(C60,[1]AttributeName!$C:$C,[1]AttributeName!$I:$I),2,_xlfn.XLOOKUP(C60,[1]ModifierDes!$B:$B,[1]ModifierDes!$C:$C),3,_xlfn.XLOOKUP(C60,[1]StuntDes!$B:$B,[1]StuntDes!$C:$C)),"")</f>
        <v>获得冰冷伤害{0}</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400</v>
      </c>
      <c r="D61" t="s">
        <v>26</v>
      </c>
      <c r="E61" t="s">
        <v>393</v>
      </c>
      <c r="G61">
        <v>1</v>
      </c>
      <c r="H61">
        <v>1000</v>
      </c>
      <c r="J61" cm="1">
        <f t="array" ref="J61">_xlfn.SWITCH(B61,1,75,2,61,3,49,4,37,5,25,6,13,7,4,8,1)</f>
        <v>61</v>
      </c>
      <c r="K61" t="str" cm="1">
        <f t="array" ref="K61">IFERROR(_xlfn.SWITCH(L61,1,_xlfn.XLOOKUP(C61,[1]AttributeName!$C:$C,[1]AttributeName!$I:$I),2,_xlfn.XLOOKUP(C61,[1]ModifierDes!$B:$B,[1]ModifierDes!$C:$C),3,_xlfn.XLOOKUP(C61,[1]StuntDes!$B:$B,[1]StuntDes!$C:$C)),"")</f>
        <v>获得冰冷伤害{0}</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400</v>
      </c>
      <c r="D62" t="s">
        <v>26</v>
      </c>
      <c r="E62" t="s">
        <v>393</v>
      </c>
      <c r="G62">
        <v>1</v>
      </c>
      <c r="H62">
        <v>1000</v>
      </c>
      <c r="J62" cm="1">
        <f t="array" ref="J62">_xlfn.SWITCH(B62,1,75,2,61,3,49,4,37,5,25,6,13,7,4,8,1)</f>
        <v>49</v>
      </c>
      <c r="K62" t="str" cm="1">
        <f t="array" ref="K62">IFERROR(_xlfn.SWITCH(L62,1,_xlfn.XLOOKUP(C62,[1]AttributeName!$C:$C,[1]AttributeName!$I:$I),2,_xlfn.XLOOKUP(C62,[1]ModifierDes!$B:$B,[1]ModifierDes!$C:$C),3,_xlfn.XLOOKUP(C62,[1]StuntDes!$B:$B,[1]StuntDes!$C:$C)),"")</f>
        <v>获得冰冷伤害{0}</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400</v>
      </c>
      <c r="D63" t="s">
        <v>26</v>
      </c>
      <c r="E63" t="s">
        <v>393</v>
      </c>
      <c r="G63">
        <v>1</v>
      </c>
      <c r="H63">
        <v>1000</v>
      </c>
      <c r="J63" cm="1">
        <f t="array" ref="J63">_xlfn.SWITCH(B63,1,75,2,61,3,49,4,37,5,25,6,13,7,4,8,1)</f>
        <v>37</v>
      </c>
      <c r="K63" t="str" cm="1">
        <f t="array" ref="K63">IFERROR(_xlfn.SWITCH(L63,1,_xlfn.XLOOKUP(C63,[1]AttributeName!$C:$C,[1]AttributeName!$I:$I),2,_xlfn.XLOOKUP(C63,[1]ModifierDes!$B:$B,[1]ModifierDes!$C:$C),3,_xlfn.XLOOKUP(C63,[1]StuntDes!$B:$B,[1]StuntDes!$C:$C)),"")</f>
        <v>获得冰冷伤害{0}</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400</v>
      </c>
      <c r="D64" t="s">
        <v>26</v>
      </c>
      <c r="E64" t="s">
        <v>393</v>
      </c>
      <c r="G64">
        <v>1</v>
      </c>
      <c r="H64">
        <v>1000</v>
      </c>
      <c r="J64" cm="1">
        <f t="array" ref="J64">_xlfn.SWITCH(B64,1,75,2,61,3,49,4,37,5,25,6,13,7,4,8,1)</f>
        <v>25</v>
      </c>
      <c r="K64" t="str" cm="1">
        <f t="array" ref="K64">IFERROR(_xlfn.SWITCH(L64,1,_xlfn.XLOOKUP(C64,[1]AttributeName!$C:$C,[1]AttributeName!$I:$I),2,_xlfn.XLOOKUP(C64,[1]ModifierDes!$B:$B,[1]ModifierDes!$C:$C),3,_xlfn.XLOOKUP(C64,[1]StuntDes!$B:$B,[1]StuntDes!$C:$C)),"")</f>
        <v>获得冰冷伤害{0}</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400</v>
      </c>
      <c r="D65" t="s">
        <v>26</v>
      </c>
      <c r="E65" t="s">
        <v>393</v>
      </c>
      <c r="G65">
        <v>1</v>
      </c>
      <c r="H65">
        <v>1000</v>
      </c>
      <c r="J65" cm="1">
        <f t="array" ref="J65">_xlfn.SWITCH(B65,1,75,2,61,3,49,4,37,5,25,6,13,7,4,8,1)</f>
        <v>13</v>
      </c>
      <c r="K65" t="str" cm="1">
        <f t="array" ref="K65">IFERROR(_xlfn.SWITCH(L65,1,_xlfn.XLOOKUP(C65,[1]AttributeName!$C:$C,[1]AttributeName!$I:$I),2,_xlfn.XLOOKUP(C65,[1]ModifierDes!$B:$B,[1]ModifierDes!$C:$C),3,_xlfn.XLOOKUP(C65,[1]StuntDes!$B:$B,[1]StuntDes!$C:$C)),"")</f>
        <v>获得冰冷伤害{0}</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400</v>
      </c>
      <c r="D66" t="s">
        <v>26</v>
      </c>
      <c r="E66" t="s">
        <v>393</v>
      </c>
      <c r="G66">
        <v>1</v>
      </c>
      <c r="H66">
        <v>1000</v>
      </c>
      <c r="J66" cm="1">
        <f t="array" ref="J66">_xlfn.SWITCH(B66,1,75,2,61,3,49,4,37,5,25,6,13,7,4,8,1)</f>
        <v>4</v>
      </c>
      <c r="K66" t="str" cm="1">
        <f t="array" ref="K66">IFERROR(_xlfn.SWITCH(L66,1,_xlfn.XLOOKUP(C66,[1]AttributeName!$C:$C,[1]AttributeName!$I:$I),2,_xlfn.XLOOKUP(C66,[1]ModifierDes!$B:$B,[1]ModifierDes!$C:$C),3,_xlfn.XLOOKUP(C66,[1]StuntDes!$B:$B,[1]StuntDes!$C:$C)),"")</f>
        <v>获得冰冷伤害{0}</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400</v>
      </c>
      <c r="D67" t="s">
        <v>26</v>
      </c>
      <c r="E67" t="s">
        <v>393</v>
      </c>
      <c r="G67">
        <v>1</v>
      </c>
      <c r="H67">
        <v>1000</v>
      </c>
      <c r="J67" cm="1">
        <f t="array" ref="J67">_xlfn.SWITCH(B67,1,75,2,61,3,49,4,37,5,25,6,13,7,4,8,1)</f>
        <v>1</v>
      </c>
      <c r="K67" t="str" cm="1">
        <f t="array" ref="K67">IFERROR(_xlfn.SWITCH(L67,1,_xlfn.XLOOKUP(C67,[1]AttributeName!$C:$C,[1]AttributeName!$I:$I),2,_xlfn.XLOOKUP(C67,[1]ModifierDes!$B:$B,[1]ModifierDes!$C:$C),3,_xlfn.XLOOKUP(C67,[1]StuntDes!$B:$B,[1]StuntDes!$C:$C)),"")</f>
        <v>获得冰冷伤害{0}</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401</v>
      </c>
      <c r="D68" t="s">
        <v>26</v>
      </c>
      <c r="E68" t="s">
        <v>393</v>
      </c>
      <c r="G68">
        <v>1</v>
      </c>
      <c r="H68">
        <v>1000</v>
      </c>
      <c r="J68" cm="1">
        <f t="array" ref="J68">_xlfn.SWITCH(B68,1,75,2,61,3,49,4,37,5,25,6,13,7,4,8,1)</f>
        <v>75</v>
      </c>
      <c r="K68" t="str" cm="1">
        <f t="array" ref="K68">IFERROR(_xlfn.SWITCH(L68,1,_xlfn.XLOOKUP(C68,[1]AttributeName!$C:$C,[1]AttributeName!$I:$I),2,_xlfn.XLOOKUP(C68,[1]ModifierDes!$B:$B,[1]ModifierDes!$C:$C),3,_xlfn.XLOOKUP(C68,[1]StuntDes!$B:$B,[1]StuntDes!$C:$C)),"")</f>
        <v>获得闪电伤害{0}</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401</v>
      </c>
      <c r="D69" t="s">
        <v>26</v>
      </c>
      <c r="E69" t="s">
        <v>393</v>
      </c>
      <c r="G69">
        <v>1</v>
      </c>
      <c r="H69">
        <v>1000</v>
      </c>
      <c r="J69" cm="1">
        <f t="array" ref="J69">_xlfn.SWITCH(B69,1,75,2,61,3,49,4,37,5,25,6,13,7,4,8,1)</f>
        <v>61</v>
      </c>
      <c r="K69" t="str" cm="1">
        <f t="array" ref="K69">IFERROR(_xlfn.SWITCH(L69,1,_xlfn.XLOOKUP(C69,[1]AttributeName!$C:$C,[1]AttributeName!$I:$I),2,_xlfn.XLOOKUP(C69,[1]ModifierDes!$B:$B,[1]ModifierDes!$C:$C),3,_xlfn.XLOOKUP(C69,[1]StuntDes!$B:$B,[1]StuntDes!$C:$C)),"")</f>
        <v>获得闪电伤害{0}</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401</v>
      </c>
      <c r="D70" t="s">
        <v>26</v>
      </c>
      <c r="E70" t="s">
        <v>393</v>
      </c>
      <c r="G70">
        <v>1</v>
      </c>
      <c r="H70">
        <v>1000</v>
      </c>
      <c r="J70" cm="1">
        <f t="array" ref="J70">_xlfn.SWITCH(B70,1,75,2,61,3,49,4,37,5,25,6,13,7,4,8,1)</f>
        <v>49</v>
      </c>
      <c r="K70" t="str" cm="1">
        <f t="array" ref="K70">IFERROR(_xlfn.SWITCH(L70,1,_xlfn.XLOOKUP(C70,[1]AttributeName!$C:$C,[1]AttributeName!$I:$I),2,_xlfn.XLOOKUP(C70,[1]ModifierDes!$B:$B,[1]ModifierDes!$C:$C),3,_xlfn.XLOOKUP(C70,[1]StuntDes!$B:$B,[1]StuntDes!$C:$C)),"")</f>
        <v>获得闪电伤害{0}</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401</v>
      </c>
      <c r="D71" t="s">
        <v>26</v>
      </c>
      <c r="E71" t="s">
        <v>393</v>
      </c>
      <c r="G71">
        <v>1</v>
      </c>
      <c r="H71">
        <v>1000</v>
      </c>
      <c r="J71" cm="1">
        <f t="array" ref="J71">_xlfn.SWITCH(B71,1,75,2,61,3,49,4,37,5,25,6,13,7,4,8,1)</f>
        <v>37</v>
      </c>
      <c r="K71" t="str" cm="1">
        <f t="array" ref="K71">IFERROR(_xlfn.SWITCH(L71,1,_xlfn.XLOOKUP(C71,[1]AttributeName!$C:$C,[1]AttributeName!$I:$I),2,_xlfn.XLOOKUP(C71,[1]ModifierDes!$B:$B,[1]ModifierDes!$C:$C),3,_xlfn.XLOOKUP(C71,[1]StuntDes!$B:$B,[1]StuntDes!$C:$C)),"")</f>
        <v>获得闪电伤害{0}</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401</v>
      </c>
      <c r="D72" t="s">
        <v>26</v>
      </c>
      <c r="E72" t="s">
        <v>393</v>
      </c>
      <c r="G72">
        <v>1</v>
      </c>
      <c r="H72">
        <v>1000</v>
      </c>
      <c r="J72" cm="1">
        <f t="array" ref="J72">_xlfn.SWITCH(B72,1,75,2,61,3,49,4,37,5,25,6,13,7,4,8,1)</f>
        <v>25</v>
      </c>
      <c r="K72" t="str" cm="1">
        <f t="array" ref="K72">IFERROR(_xlfn.SWITCH(L72,1,_xlfn.XLOOKUP(C72,[1]AttributeName!$C:$C,[1]AttributeName!$I:$I),2,_xlfn.XLOOKUP(C72,[1]ModifierDes!$B:$B,[1]ModifierDes!$C:$C),3,_xlfn.XLOOKUP(C72,[1]StuntDes!$B:$B,[1]StuntDes!$C:$C)),"")</f>
        <v>获得闪电伤害{0}</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401</v>
      </c>
      <c r="D73" t="s">
        <v>26</v>
      </c>
      <c r="E73" t="s">
        <v>393</v>
      </c>
      <c r="G73">
        <v>1</v>
      </c>
      <c r="H73">
        <v>1000</v>
      </c>
      <c r="J73" cm="1">
        <f t="array" ref="J73">_xlfn.SWITCH(B73,1,75,2,61,3,49,4,37,5,25,6,13,7,4,8,1)</f>
        <v>13</v>
      </c>
      <c r="K73" t="str" cm="1">
        <f t="array" ref="K73">IFERROR(_xlfn.SWITCH(L73,1,_xlfn.XLOOKUP(C73,[1]AttributeName!$C:$C,[1]AttributeName!$I:$I),2,_xlfn.XLOOKUP(C73,[1]ModifierDes!$B:$B,[1]ModifierDes!$C:$C),3,_xlfn.XLOOKUP(C73,[1]StuntDes!$B:$B,[1]StuntDes!$C:$C)),"")</f>
        <v>获得闪电伤害{0}</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401</v>
      </c>
      <c r="D74" t="s">
        <v>26</v>
      </c>
      <c r="E74" t="s">
        <v>393</v>
      </c>
      <c r="G74">
        <v>1</v>
      </c>
      <c r="H74">
        <v>1000</v>
      </c>
      <c r="J74" cm="1">
        <f t="array" ref="J74">_xlfn.SWITCH(B74,1,75,2,61,3,49,4,37,5,25,6,13,7,4,8,1)</f>
        <v>4</v>
      </c>
      <c r="K74" t="str" cm="1">
        <f t="array" ref="K74">IFERROR(_xlfn.SWITCH(L74,1,_xlfn.XLOOKUP(C74,[1]AttributeName!$C:$C,[1]AttributeName!$I:$I),2,_xlfn.XLOOKUP(C74,[1]ModifierDes!$B:$B,[1]ModifierDes!$C:$C),3,_xlfn.XLOOKUP(C74,[1]StuntDes!$B:$B,[1]StuntDes!$C:$C)),"")</f>
        <v>获得闪电伤害{0}</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401</v>
      </c>
      <c r="D75" t="s">
        <v>26</v>
      </c>
      <c r="E75" t="s">
        <v>393</v>
      </c>
      <c r="G75">
        <v>1</v>
      </c>
      <c r="H75">
        <v>1000</v>
      </c>
      <c r="J75" cm="1">
        <f t="array" ref="J75">_xlfn.SWITCH(B75,1,75,2,61,3,49,4,37,5,25,6,13,7,4,8,1)</f>
        <v>1</v>
      </c>
      <c r="K75" t="str" cm="1">
        <f t="array" ref="K75">IFERROR(_xlfn.SWITCH(L75,1,_xlfn.XLOOKUP(C75,[1]AttributeName!$C:$C,[1]AttributeName!$I:$I),2,_xlfn.XLOOKUP(C75,[1]ModifierDes!$B:$B,[1]ModifierDes!$C:$C),3,_xlfn.XLOOKUP(C75,[1]StuntDes!$B:$B,[1]StuntDes!$C:$C)),"")</f>
        <v>获得闪电伤害{0}</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402</v>
      </c>
      <c r="D76" t="s">
        <v>26</v>
      </c>
      <c r="E76" t="s">
        <v>393</v>
      </c>
      <c r="G76">
        <v>1</v>
      </c>
      <c r="H76">
        <v>1000</v>
      </c>
      <c r="J76" cm="1">
        <f t="array" ref="J76">_xlfn.SWITCH(B76,1,75,2,61,3,49,4,37,5,25,6,13,7,4,8,1)</f>
        <v>75</v>
      </c>
      <c r="K76" t="str" cm="1">
        <f t="array" ref="K76">IFERROR(_xlfn.SWITCH(L76,1,_xlfn.XLOOKUP(C76,[1]AttributeName!$C:$C,[1]AttributeName!$I:$I),2,_xlfn.XLOOKUP(C76,[1]ModifierDes!$B:$B,[1]ModifierDes!$C:$C),3,_xlfn.XLOOKUP(C76,[1]StuntDes!$B:$B,[1]StuntDes!$C:$C)),"")</f>
        <v>获得混沌伤害{0}</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402</v>
      </c>
      <c r="D77" t="s">
        <v>26</v>
      </c>
      <c r="E77" t="s">
        <v>393</v>
      </c>
      <c r="G77">
        <v>1</v>
      </c>
      <c r="H77">
        <v>1000</v>
      </c>
      <c r="J77" cm="1">
        <f t="array" ref="J77">_xlfn.SWITCH(B77,1,75,2,61,3,49,4,37,5,25,6,13,7,4,8,1)</f>
        <v>61</v>
      </c>
      <c r="K77" t="str" cm="1">
        <f t="array" ref="K77">IFERROR(_xlfn.SWITCH(L77,1,_xlfn.XLOOKUP(C77,[1]AttributeName!$C:$C,[1]AttributeName!$I:$I),2,_xlfn.XLOOKUP(C77,[1]ModifierDes!$B:$B,[1]ModifierDes!$C:$C),3,_xlfn.XLOOKUP(C77,[1]StuntDes!$B:$B,[1]StuntDes!$C:$C)),"")</f>
        <v>获得混沌伤害{0}</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402</v>
      </c>
      <c r="D78" t="s">
        <v>26</v>
      </c>
      <c r="E78" t="s">
        <v>393</v>
      </c>
      <c r="G78">
        <v>1</v>
      </c>
      <c r="H78">
        <v>1000</v>
      </c>
      <c r="J78" cm="1">
        <f t="array" ref="J78">_xlfn.SWITCH(B78,1,75,2,61,3,49,4,37,5,25,6,13,7,4,8,1)</f>
        <v>49</v>
      </c>
      <c r="K78" t="str" cm="1">
        <f t="array" ref="K78">IFERROR(_xlfn.SWITCH(L78,1,_xlfn.XLOOKUP(C78,[1]AttributeName!$C:$C,[1]AttributeName!$I:$I),2,_xlfn.XLOOKUP(C78,[1]ModifierDes!$B:$B,[1]ModifierDes!$C:$C),3,_xlfn.XLOOKUP(C78,[1]StuntDes!$B:$B,[1]StuntDes!$C:$C)),"")</f>
        <v>获得混沌伤害{0}</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402</v>
      </c>
      <c r="D79" t="s">
        <v>26</v>
      </c>
      <c r="E79" t="s">
        <v>393</v>
      </c>
      <c r="G79">
        <v>1</v>
      </c>
      <c r="H79">
        <v>1000</v>
      </c>
      <c r="J79" cm="1">
        <f t="array" ref="J79">_xlfn.SWITCH(B79,1,75,2,61,3,49,4,37,5,25,6,13,7,4,8,1)</f>
        <v>37</v>
      </c>
      <c r="K79" t="str" cm="1">
        <f t="array" ref="K79">IFERROR(_xlfn.SWITCH(L79,1,_xlfn.XLOOKUP(C79,[1]AttributeName!$C:$C,[1]AttributeName!$I:$I),2,_xlfn.XLOOKUP(C79,[1]ModifierDes!$B:$B,[1]ModifierDes!$C:$C),3,_xlfn.XLOOKUP(C79,[1]StuntDes!$B:$B,[1]StuntDes!$C:$C)),"")</f>
        <v>获得混沌伤害{0}</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402</v>
      </c>
      <c r="D80" t="s">
        <v>26</v>
      </c>
      <c r="E80" t="s">
        <v>393</v>
      </c>
      <c r="G80">
        <v>1</v>
      </c>
      <c r="H80">
        <v>1000</v>
      </c>
      <c r="J80" cm="1">
        <f t="array" ref="J80">_xlfn.SWITCH(B80,1,75,2,61,3,49,4,37,5,25,6,13,7,4,8,1)</f>
        <v>25</v>
      </c>
      <c r="K80" t="str" cm="1">
        <f t="array" ref="K80">IFERROR(_xlfn.SWITCH(L80,1,_xlfn.XLOOKUP(C80,[1]AttributeName!$C:$C,[1]AttributeName!$I:$I),2,_xlfn.XLOOKUP(C80,[1]ModifierDes!$B:$B,[1]ModifierDes!$C:$C),3,_xlfn.XLOOKUP(C80,[1]StuntDes!$B:$B,[1]StuntDes!$C:$C)),"")</f>
        <v>获得混沌伤害{0}</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402</v>
      </c>
      <c r="D81" t="s">
        <v>26</v>
      </c>
      <c r="E81" t="s">
        <v>393</v>
      </c>
      <c r="G81">
        <v>1</v>
      </c>
      <c r="H81">
        <v>1000</v>
      </c>
      <c r="J81" cm="1">
        <f t="array" ref="J81">_xlfn.SWITCH(B81,1,75,2,61,3,49,4,37,5,25,6,13,7,4,8,1)</f>
        <v>13</v>
      </c>
      <c r="K81" t="str" cm="1">
        <f t="array" ref="K81">IFERROR(_xlfn.SWITCH(L81,1,_xlfn.XLOOKUP(C81,[1]AttributeName!$C:$C,[1]AttributeName!$I:$I),2,_xlfn.XLOOKUP(C81,[1]ModifierDes!$B:$B,[1]ModifierDes!$C:$C),3,_xlfn.XLOOKUP(C81,[1]StuntDes!$B:$B,[1]StuntDes!$C:$C)),"")</f>
        <v>获得混沌伤害{0}</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402</v>
      </c>
      <c r="D82" t="s">
        <v>26</v>
      </c>
      <c r="E82" t="s">
        <v>393</v>
      </c>
      <c r="G82">
        <v>1</v>
      </c>
      <c r="H82">
        <v>1000</v>
      </c>
      <c r="J82" cm="1">
        <f t="array" ref="J82">_xlfn.SWITCH(B82,1,75,2,61,3,49,4,37,5,25,6,13,7,4,8,1)</f>
        <v>4</v>
      </c>
      <c r="K82" t="str" cm="1">
        <f t="array" ref="K82">IFERROR(_xlfn.SWITCH(L82,1,_xlfn.XLOOKUP(C82,[1]AttributeName!$C:$C,[1]AttributeName!$I:$I),2,_xlfn.XLOOKUP(C82,[1]ModifierDes!$B:$B,[1]ModifierDes!$C:$C),3,_xlfn.XLOOKUP(C82,[1]StuntDes!$B:$B,[1]StuntDes!$C:$C)),"")</f>
        <v>获得混沌伤害{0}</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402</v>
      </c>
      <c r="D83" t="s">
        <v>26</v>
      </c>
      <c r="E83" t="s">
        <v>393</v>
      </c>
      <c r="G83">
        <v>1</v>
      </c>
      <c r="H83">
        <v>1000</v>
      </c>
      <c r="J83" cm="1">
        <f t="array" ref="J83">_xlfn.SWITCH(B83,1,75,2,61,3,49,4,37,5,25,6,13,7,4,8,1)</f>
        <v>1</v>
      </c>
      <c r="K83" t="str" cm="1">
        <f t="array" ref="K83">IFERROR(_xlfn.SWITCH(L83,1,_xlfn.XLOOKUP(C83,[1]AttributeName!$C:$C,[1]AttributeName!$I:$I),2,_xlfn.XLOOKUP(C83,[1]ModifierDes!$B:$B,[1]ModifierDes!$C:$C),3,_xlfn.XLOOKUP(C83,[1]StuntDes!$B:$B,[1]StuntDes!$C:$C)),"")</f>
        <v>获得混沌伤害{0}</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403</v>
      </c>
      <c r="D84" t="s">
        <v>26</v>
      </c>
      <c r="E84" t="s">
        <v>393</v>
      </c>
      <c r="G84">
        <v>1</v>
      </c>
      <c r="H84">
        <v>1000</v>
      </c>
      <c r="J84" cm="1">
        <f t="array" ref="J84">_xlfn.SWITCH(B84,1,75,2,61,3,49,4,37,5,25,6,13,7,4,8,1)</f>
        <v>75</v>
      </c>
      <c r="K84" t="str" cm="1">
        <f t="array" ref="K84">IFERROR(_xlfn.SWITCH(L84,1,_xlfn.XLOOKUP(C84,[1]AttributeName!$C:$C,[1]AttributeName!$I:$I),2,_xlfn.XLOOKUP(C84,[1]ModifierDes!$B:$B,[1]ModifierDes!$C:$C),3,_xlfn.XLOOKUP(C84,[1]StuntDes!$B:$B,[1]StuntDes!$C:$C)),"")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403</v>
      </c>
      <c r="D85" t="s">
        <v>26</v>
      </c>
      <c r="E85" t="s">
        <v>393</v>
      </c>
      <c r="G85">
        <v>1</v>
      </c>
      <c r="H85">
        <v>1000</v>
      </c>
      <c r="J85" cm="1">
        <f t="array" ref="J85">_xlfn.SWITCH(B85,1,75,2,61,3,49,4,37,5,25,6,13,7,4,8,1)</f>
        <v>61</v>
      </c>
      <c r="K85" t="str" cm="1">
        <f t="array" ref="K85">IFERROR(_xlfn.SWITCH(L85,1,_xlfn.XLOOKUP(C85,[1]AttributeName!$C:$C,[1]AttributeName!$I:$I),2,_xlfn.XLOOKUP(C85,[1]ModifierDes!$B:$B,[1]ModifierDes!$C:$C),3,_xlfn.XLOOKUP(C85,[1]StuntDes!$B:$B,[1]StuntDes!$C:$C)),"")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403</v>
      </c>
      <c r="D86" t="s">
        <v>26</v>
      </c>
      <c r="E86" t="s">
        <v>393</v>
      </c>
      <c r="G86">
        <v>1</v>
      </c>
      <c r="H86">
        <v>1000</v>
      </c>
      <c r="J86" cm="1">
        <f t="array" ref="J86">_xlfn.SWITCH(B86,1,75,2,61,3,49,4,37,5,25,6,13,7,4,8,1)</f>
        <v>49</v>
      </c>
      <c r="K86" t="str" cm="1">
        <f t="array" ref="K86">IFERROR(_xlfn.SWITCH(L86,1,_xlfn.XLOOKUP(C86,[1]AttributeName!$C:$C,[1]AttributeName!$I:$I),2,_xlfn.XLOOKUP(C86,[1]ModifierDes!$B:$B,[1]ModifierDes!$C:$C),3,_xlfn.XLOOKUP(C86,[1]StuntDes!$B:$B,[1]StuntDes!$C:$C)),"")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403</v>
      </c>
      <c r="D87" t="s">
        <v>26</v>
      </c>
      <c r="E87" t="s">
        <v>393</v>
      </c>
      <c r="G87">
        <v>1</v>
      </c>
      <c r="H87">
        <v>1000</v>
      </c>
      <c r="J87" cm="1">
        <f t="array" ref="J87">_xlfn.SWITCH(B87,1,75,2,61,3,49,4,37,5,25,6,13,7,4,8,1)</f>
        <v>37</v>
      </c>
      <c r="K87" t="str" cm="1">
        <f t="array" ref="K87">IFERROR(_xlfn.SWITCH(L87,1,_xlfn.XLOOKUP(C87,[1]AttributeName!$C:$C,[1]AttributeName!$I:$I),2,_xlfn.XLOOKUP(C87,[1]ModifierDes!$B:$B,[1]ModifierDes!$C:$C),3,_xlfn.XLOOKUP(C87,[1]StuntDes!$B:$B,[1]StuntDes!$C:$C)),"")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403</v>
      </c>
      <c r="D88" t="s">
        <v>26</v>
      </c>
      <c r="E88" t="s">
        <v>393</v>
      </c>
      <c r="G88">
        <v>1</v>
      </c>
      <c r="H88">
        <v>1000</v>
      </c>
      <c r="J88" cm="1">
        <f t="array" ref="J88">_xlfn.SWITCH(B88,1,75,2,61,3,49,4,37,5,25,6,13,7,4,8,1)</f>
        <v>25</v>
      </c>
      <c r="K88" t="str" cm="1">
        <f t="array" ref="K88">IFERROR(_xlfn.SWITCH(L88,1,_xlfn.XLOOKUP(C88,[1]AttributeName!$C:$C,[1]AttributeName!$I:$I),2,_xlfn.XLOOKUP(C88,[1]ModifierDes!$B:$B,[1]ModifierDes!$C:$C),3,_xlfn.XLOOKUP(C88,[1]StuntDes!$B:$B,[1]StuntDes!$C:$C)),"")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403</v>
      </c>
      <c r="D89" t="s">
        <v>26</v>
      </c>
      <c r="E89" t="s">
        <v>393</v>
      </c>
      <c r="G89">
        <v>1</v>
      </c>
      <c r="H89">
        <v>1000</v>
      </c>
      <c r="J89" cm="1">
        <f t="array" ref="J89">_xlfn.SWITCH(B89,1,75,2,61,3,49,4,37,5,25,6,13,7,4,8,1)</f>
        <v>13</v>
      </c>
      <c r="K89" t="str" cm="1">
        <f t="array" ref="K89">IFERROR(_xlfn.SWITCH(L89,1,_xlfn.XLOOKUP(C89,[1]AttributeName!$C:$C,[1]AttributeName!$I:$I),2,_xlfn.XLOOKUP(C89,[1]ModifierDes!$B:$B,[1]ModifierDes!$C:$C),3,_xlfn.XLOOKUP(C89,[1]StuntDes!$B:$B,[1]StuntDes!$C:$C)),"")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403</v>
      </c>
      <c r="D90" t="s">
        <v>26</v>
      </c>
      <c r="E90" t="s">
        <v>393</v>
      </c>
      <c r="G90">
        <v>1</v>
      </c>
      <c r="H90">
        <v>1000</v>
      </c>
      <c r="J90" cm="1">
        <f t="array" ref="J90">_xlfn.SWITCH(B90,1,75,2,61,3,49,4,37,5,25,6,13,7,4,8,1)</f>
        <v>4</v>
      </c>
      <c r="K90" t="str" cm="1">
        <f t="array" ref="K90">IFERROR(_xlfn.SWITCH(L90,1,_xlfn.XLOOKUP(C90,[1]AttributeName!$C:$C,[1]AttributeName!$I:$I),2,_xlfn.XLOOKUP(C90,[1]ModifierDes!$B:$B,[1]ModifierDes!$C:$C),3,_xlfn.XLOOKUP(C90,[1]StuntDes!$B:$B,[1]StuntDes!$C:$C)),"")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403</v>
      </c>
      <c r="D91" t="s">
        <v>26</v>
      </c>
      <c r="E91" t="s">
        <v>393</v>
      </c>
      <c r="G91">
        <v>1</v>
      </c>
      <c r="H91">
        <v>1000</v>
      </c>
      <c r="J91" cm="1">
        <f t="array" ref="J91">_xlfn.SWITCH(B91,1,75,2,61,3,49,4,37,5,25,6,13,7,4,8,1)</f>
        <v>1</v>
      </c>
      <c r="K91" t="str" cm="1">
        <f t="array" ref="K91">IFERROR(_xlfn.SWITCH(L91,1,_xlfn.XLOOKUP(C91,[1]AttributeName!$C:$C,[1]AttributeName!$I:$I),2,_xlfn.XLOOKUP(C91,[1]ModifierDes!$B:$B,[1]ModifierDes!$C:$C),3,_xlfn.XLOOKUP(C91,[1]StuntDes!$B:$B,[1]StuntDes!$C:$C)),"")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404</v>
      </c>
      <c r="D92" t="s">
        <v>26</v>
      </c>
      <c r="E92" t="s">
        <v>393</v>
      </c>
      <c r="G92">
        <v>1</v>
      </c>
      <c r="H92">
        <v>1000</v>
      </c>
      <c r="J92" cm="1">
        <f t="array" ref="J92">_xlfn.SWITCH(B92,1,75,2,61,3,49,4,37,5,25,6,13,7,4,8,1)</f>
        <v>75</v>
      </c>
      <c r="K92" t="str" cm="1">
        <f t="array" ref="K92">IFERROR(_xlfn.SWITCH(L92,1,_xlfn.XLOOKUP(C92,[1]AttributeName!$C:$C,[1]AttributeName!$I:$I),2,_xlfn.XLOOKUP(C92,[1]ModifierDes!$B:$B,[1]ModifierDes!$C:$C),3,_xlfn.XLOOKUP(C92,[1]StuntDes!$B:$B,[1]StuntDes!$C:$C)),"")</f>
        <v>物理伤害提高{0}</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404</v>
      </c>
      <c r="D93" t="s">
        <v>26</v>
      </c>
      <c r="E93" t="s">
        <v>393</v>
      </c>
      <c r="G93">
        <v>1</v>
      </c>
      <c r="H93">
        <v>1000</v>
      </c>
      <c r="J93" cm="1">
        <f t="array" ref="J93">_xlfn.SWITCH(B93,1,75,2,61,3,49,4,37,5,25,6,13,7,4,8,1)</f>
        <v>61</v>
      </c>
      <c r="K93" t="str" cm="1">
        <f t="array" ref="K93">IFERROR(_xlfn.SWITCH(L93,1,_xlfn.XLOOKUP(C93,[1]AttributeName!$C:$C,[1]AttributeName!$I:$I),2,_xlfn.XLOOKUP(C93,[1]ModifierDes!$B:$B,[1]ModifierDes!$C:$C),3,_xlfn.XLOOKUP(C93,[1]StuntDes!$B:$B,[1]StuntDes!$C:$C)),"")</f>
        <v>物理伤害提高{0}</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404</v>
      </c>
      <c r="D94" t="s">
        <v>26</v>
      </c>
      <c r="E94" t="s">
        <v>393</v>
      </c>
      <c r="G94">
        <v>1</v>
      </c>
      <c r="H94">
        <v>1000</v>
      </c>
      <c r="J94" cm="1">
        <f t="array" ref="J94">_xlfn.SWITCH(B94,1,75,2,61,3,49,4,37,5,25,6,13,7,4,8,1)</f>
        <v>49</v>
      </c>
      <c r="K94" t="str" cm="1">
        <f t="array" ref="K94">IFERROR(_xlfn.SWITCH(L94,1,_xlfn.XLOOKUP(C94,[1]AttributeName!$C:$C,[1]AttributeName!$I:$I),2,_xlfn.XLOOKUP(C94,[1]ModifierDes!$B:$B,[1]ModifierDes!$C:$C),3,_xlfn.XLOOKUP(C94,[1]StuntDes!$B:$B,[1]StuntDes!$C:$C)),"")</f>
        <v>物理伤害提高{0}</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404</v>
      </c>
      <c r="D95" t="s">
        <v>26</v>
      </c>
      <c r="E95" t="s">
        <v>393</v>
      </c>
      <c r="G95">
        <v>1</v>
      </c>
      <c r="H95">
        <v>1000</v>
      </c>
      <c r="J95" cm="1">
        <f t="array" ref="J95">_xlfn.SWITCH(B95,1,75,2,61,3,49,4,37,5,25,6,13,7,4,8,1)</f>
        <v>37</v>
      </c>
      <c r="K95" t="str" cm="1">
        <f t="array" ref="K95">IFERROR(_xlfn.SWITCH(L95,1,_xlfn.XLOOKUP(C95,[1]AttributeName!$C:$C,[1]AttributeName!$I:$I),2,_xlfn.XLOOKUP(C95,[1]ModifierDes!$B:$B,[1]ModifierDes!$C:$C),3,_xlfn.XLOOKUP(C95,[1]StuntDes!$B:$B,[1]StuntDes!$C:$C)),"")</f>
        <v>物理伤害提高{0}</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404</v>
      </c>
      <c r="D96" t="s">
        <v>26</v>
      </c>
      <c r="E96" t="s">
        <v>393</v>
      </c>
      <c r="G96">
        <v>1</v>
      </c>
      <c r="H96">
        <v>1000</v>
      </c>
      <c r="J96" cm="1">
        <f t="array" ref="J96">_xlfn.SWITCH(B96,1,75,2,61,3,49,4,37,5,25,6,13,7,4,8,1)</f>
        <v>25</v>
      </c>
      <c r="K96" t="str" cm="1">
        <f t="array" ref="K96">IFERROR(_xlfn.SWITCH(L96,1,_xlfn.XLOOKUP(C96,[1]AttributeName!$C:$C,[1]AttributeName!$I:$I),2,_xlfn.XLOOKUP(C96,[1]ModifierDes!$B:$B,[1]ModifierDes!$C:$C),3,_xlfn.XLOOKUP(C96,[1]StuntDes!$B:$B,[1]StuntDes!$C:$C)),"")</f>
        <v>物理伤害提高{0}</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404</v>
      </c>
      <c r="D97" t="s">
        <v>26</v>
      </c>
      <c r="E97" t="s">
        <v>393</v>
      </c>
      <c r="G97">
        <v>1</v>
      </c>
      <c r="H97">
        <v>1000</v>
      </c>
      <c r="J97" cm="1">
        <f t="array" ref="J97">_xlfn.SWITCH(B97,1,75,2,61,3,49,4,37,5,25,6,13,7,4,8,1)</f>
        <v>13</v>
      </c>
      <c r="K97" t="str" cm="1">
        <f t="array" ref="K97">IFERROR(_xlfn.SWITCH(L97,1,_xlfn.XLOOKUP(C97,[1]AttributeName!$C:$C,[1]AttributeName!$I:$I),2,_xlfn.XLOOKUP(C97,[1]ModifierDes!$B:$B,[1]ModifierDes!$C:$C),3,_xlfn.XLOOKUP(C97,[1]StuntDes!$B:$B,[1]StuntDes!$C:$C)),"")</f>
        <v>物理伤害提高{0}</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404</v>
      </c>
      <c r="D98" t="s">
        <v>26</v>
      </c>
      <c r="E98" t="s">
        <v>393</v>
      </c>
      <c r="G98">
        <v>1</v>
      </c>
      <c r="H98">
        <v>1000</v>
      </c>
      <c r="J98" cm="1">
        <f t="array" ref="J98">_xlfn.SWITCH(B98,1,75,2,61,3,49,4,37,5,25,6,13,7,4,8,1)</f>
        <v>4</v>
      </c>
      <c r="K98" t="str" cm="1">
        <f t="array" ref="K98">IFERROR(_xlfn.SWITCH(L98,1,_xlfn.XLOOKUP(C98,[1]AttributeName!$C:$C,[1]AttributeName!$I:$I),2,_xlfn.XLOOKUP(C98,[1]ModifierDes!$B:$B,[1]ModifierDes!$C:$C),3,_xlfn.XLOOKUP(C98,[1]StuntDes!$B:$B,[1]StuntDes!$C:$C)),"")</f>
        <v>物理伤害提高{0}</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404</v>
      </c>
      <c r="D99" t="s">
        <v>26</v>
      </c>
      <c r="E99" t="s">
        <v>393</v>
      </c>
      <c r="F99"/>
      <c r="G99">
        <v>1</v>
      </c>
      <c r="H99">
        <v>1000</v>
      </c>
      <c r="J99" cm="1">
        <f t="array" ref="J99">_xlfn.SWITCH(B99,1,75,2,61,3,49,4,37,5,25,6,13,7,4,8,1)</f>
        <v>1</v>
      </c>
      <c r="K99" t="str" cm="1">
        <f t="array" ref="K99">IFERROR(_xlfn.SWITCH(L99,1,_xlfn.XLOOKUP(C99,[1]AttributeName!$C:$C,[1]AttributeName!$I:$I),2,_xlfn.XLOOKUP(C99,[1]ModifierDes!$B:$B,[1]ModifierDes!$C:$C),3,_xlfn.XLOOKUP(C99,[1]StuntDes!$B:$B,[1]StuntDes!$C:$C)),"")</f>
        <v>物理伤害提高{0}</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405</v>
      </c>
      <c r="D100" t="s">
        <v>26</v>
      </c>
      <c r="E100" t="s">
        <v>393</v>
      </c>
      <c r="G100">
        <v>1</v>
      </c>
      <c r="H100">
        <v>1000</v>
      </c>
      <c r="J100" cm="1">
        <f t="array" ref="J100">_xlfn.SWITCH(B100,1,75,2,61,3,49,4,37,5,25,6,13,7,4,8,1)</f>
        <v>75</v>
      </c>
      <c r="K100" t="str" cm="1">
        <f t="array" ref="K100">IFERROR(_xlfn.SWITCH(L100,1,_xlfn.XLOOKUP(C100,[1]AttributeName!$C:$C,[1]AttributeName!$I:$I),2,_xlfn.XLOOKUP(C100,[1]ModifierDes!$B:$B,[1]ModifierDes!$C:$C),3,_xlfn.XLOOKUP(C100,[1]StuntDes!$B:$B,[1]StuntDes!$C:$C)),"")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405</v>
      </c>
      <c r="D101" t="s">
        <v>26</v>
      </c>
      <c r="E101" t="s">
        <v>393</v>
      </c>
      <c r="G101">
        <v>1</v>
      </c>
      <c r="H101">
        <v>1000</v>
      </c>
      <c r="J101" cm="1">
        <f t="array" ref="J101">_xlfn.SWITCH(B101,1,75,2,61,3,49,4,37,5,25,6,13,7,4,8,1)</f>
        <v>61</v>
      </c>
      <c r="K101" t="str" cm="1">
        <f t="array" ref="K101">IFERROR(_xlfn.SWITCH(L101,1,_xlfn.XLOOKUP(C101,[1]AttributeName!$C:$C,[1]AttributeName!$I:$I),2,_xlfn.XLOOKUP(C101,[1]ModifierDes!$B:$B,[1]ModifierDes!$C:$C),3,_xlfn.XLOOKUP(C101,[1]StuntDes!$B:$B,[1]StuntDes!$C:$C)),"")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405</v>
      </c>
      <c r="D102" t="s">
        <v>26</v>
      </c>
      <c r="E102" t="s">
        <v>393</v>
      </c>
      <c r="G102">
        <v>1</v>
      </c>
      <c r="H102">
        <v>1000</v>
      </c>
      <c r="J102" cm="1">
        <f t="array" ref="J102">_xlfn.SWITCH(B102,1,75,2,61,3,49,4,37,5,25,6,13,7,4,8,1)</f>
        <v>49</v>
      </c>
      <c r="K102" t="str" cm="1">
        <f t="array" ref="K102">IFERROR(_xlfn.SWITCH(L102,1,_xlfn.XLOOKUP(C102,[1]AttributeName!$C:$C,[1]AttributeName!$I:$I),2,_xlfn.XLOOKUP(C102,[1]ModifierDes!$B:$B,[1]ModifierDes!$C:$C),3,_xlfn.XLOOKUP(C102,[1]StuntDes!$B:$B,[1]StuntDes!$C:$C)),"")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405</v>
      </c>
      <c r="D103" t="s">
        <v>26</v>
      </c>
      <c r="E103" t="s">
        <v>393</v>
      </c>
      <c r="G103">
        <v>1</v>
      </c>
      <c r="H103">
        <v>1000</v>
      </c>
      <c r="J103" cm="1">
        <f t="array" ref="J103">_xlfn.SWITCH(B103,1,75,2,61,3,49,4,37,5,25,6,13,7,4,8,1)</f>
        <v>37</v>
      </c>
      <c r="K103" t="str" cm="1">
        <f t="array" ref="K103">IFERROR(_xlfn.SWITCH(L103,1,_xlfn.XLOOKUP(C103,[1]AttributeName!$C:$C,[1]AttributeName!$I:$I),2,_xlfn.XLOOKUP(C103,[1]ModifierDes!$B:$B,[1]ModifierDes!$C:$C),3,_xlfn.XLOOKUP(C103,[1]StuntDes!$B:$B,[1]StuntDes!$C:$C)),"")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405</v>
      </c>
      <c r="D104" t="s">
        <v>26</v>
      </c>
      <c r="E104" t="s">
        <v>393</v>
      </c>
      <c r="G104">
        <v>1</v>
      </c>
      <c r="H104">
        <v>1000</v>
      </c>
      <c r="J104" cm="1">
        <f t="array" ref="J104">_xlfn.SWITCH(B104,1,75,2,61,3,49,4,37,5,25,6,13,7,4,8,1)</f>
        <v>25</v>
      </c>
      <c r="K104" t="str" cm="1">
        <f t="array" ref="K104">IFERROR(_xlfn.SWITCH(L104,1,_xlfn.XLOOKUP(C104,[1]AttributeName!$C:$C,[1]AttributeName!$I:$I),2,_xlfn.XLOOKUP(C104,[1]ModifierDes!$B:$B,[1]ModifierDes!$C:$C),3,_xlfn.XLOOKUP(C104,[1]StuntDes!$B:$B,[1]StuntDes!$C:$C)),"")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405</v>
      </c>
      <c r="D105" t="s">
        <v>26</v>
      </c>
      <c r="E105" t="s">
        <v>393</v>
      </c>
      <c r="G105">
        <v>1</v>
      </c>
      <c r="H105">
        <v>1000</v>
      </c>
      <c r="J105" cm="1">
        <f t="array" ref="J105">_xlfn.SWITCH(B105,1,75,2,61,3,49,4,37,5,25,6,13,7,4,8,1)</f>
        <v>13</v>
      </c>
      <c r="K105" t="str" cm="1">
        <f t="array" ref="K105">IFERROR(_xlfn.SWITCH(L105,1,_xlfn.XLOOKUP(C105,[1]AttributeName!$C:$C,[1]AttributeName!$I:$I),2,_xlfn.XLOOKUP(C105,[1]ModifierDes!$B:$B,[1]ModifierDes!$C:$C),3,_xlfn.XLOOKUP(C105,[1]StuntDes!$B:$B,[1]StuntDes!$C:$C)),"")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405</v>
      </c>
      <c r="D106" t="s">
        <v>26</v>
      </c>
      <c r="E106" t="s">
        <v>393</v>
      </c>
      <c r="G106">
        <v>1</v>
      </c>
      <c r="H106">
        <v>1000</v>
      </c>
      <c r="J106" cm="1">
        <f t="array" ref="J106">_xlfn.SWITCH(B106,1,75,2,61,3,49,4,37,5,25,6,13,7,4,8,1)</f>
        <v>4</v>
      </c>
      <c r="K106" t="str" cm="1">
        <f t="array" ref="K106">IFERROR(_xlfn.SWITCH(L106,1,_xlfn.XLOOKUP(C106,[1]AttributeName!$C:$C,[1]AttributeName!$I:$I),2,_xlfn.XLOOKUP(C106,[1]ModifierDes!$B:$B,[1]ModifierDes!$C:$C),3,_xlfn.XLOOKUP(C106,[1]StuntDes!$B:$B,[1]StuntDes!$C:$C)),"")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405</v>
      </c>
      <c r="D107" t="s">
        <v>26</v>
      </c>
      <c r="E107" t="s">
        <v>393</v>
      </c>
      <c r="F107"/>
      <c r="G107">
        <v>1</v>
      </c>
      <c r="H107">
        <v>1000</v>
      </c>
      <c r="J107" cm="1">
        <f t="array" ref="J107">_xlfn.SWITCH(B107,1,75,2,61,3,49,4,37,5,25,6,13,7,4,8,1)</f>
        <v>1</v>
      </c>
      <c r="K107" t="str" cm="1">
        <f t="array" ref="K107">IFERROR(_xlfn.SWITCH(L107,1,_xlfn.XLOOKUP(C107,[1]AttributeName!$C:$C,[1]AttributeName!$I:$I),2,_xlfn.XLOOKUP(C107,[1]ModifierDes!$B:$B,[1]ModifierDes!$C:$C),3,_xlfn.XLOOKUP(C107,[1]StuntDes!$B:$B,[1]StuntDes!$C:$C)),"")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406</v>
      </c>
      <c r="D108" t="s">
        <v>26</v>
      </c>
      <c r="E108" t="s">
        <v>393</v>
      </c>
      <c r="G108">
        <v>1</v>
      </c>
      <c r="H108">
        <v>1000</v>
      </c>
      <c r="J108" cm="1">
        <f t="array" ref="J108">_xlfn.SWITCH(B108,1,75,2,61,3,49,4,37,5,25,6,13,7,4,8,1)</f>
        <v>75</v>
      </c>
      <c r="K108" t="str" cm="1">
        <f t="array" ref="K108">IFERROR(_xlfn.SWITCH(L108,1,_xlfn.XLOOKUP(C108,[1]AttributeName!$C:$C,[1]AttributeName!$I:$I),2,_xlfn.XLOOKUP(C108,[1]ModifierDes!$B:$B,[1]ModifierDes!$C:$C),3,_xlfn.XLOOKUP(C108,[1]StuntDes!$B:$B,[1]StuntDes!$C:$C)),"")</f>
        <v>混沌伤害提高{0}</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406</v>
      </c>
      <c r="D109" t="s">
        <v>26</v>
      </c>
      <c r="E109" t="s">
        <v>393</v>
      </c>
      <c r="G109">
        <v>1</v>
      </c>
      <c r="H109">
        <v>1000</v>
      </c>
      <c r="J109" cm="1">
        <f t="array" ref="J109">_xlfn.SWITCH(B109,1,75,2,61,3,49,4,37,5,25,6,13,7,4,8,1)</f>
        <v>61</v>
      </c>
      <c r="K109" t="str" cm="1">
        <f t="array" ref="K109">IFERROR(_xlfn.SWITCH(L109,1,_xlfn.XLOOKUP(C109,[1]AttributeName!$C:$C,[1]AttributeName!$I:$I),2,_xlfn.XLOOKUP(C109,[1]ModifierDes!$B:$B,[1]ModifierDes!$C:$C),3,_xlfn.XLOOKUP(C109,[1]StuntDes!$B:$B,[1]StuntDes!$C:$C)),"")</f>
        <v>混沌伤害提高{0}</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406</v>
      </c>
      <c r="D110" t="s">
        <v>26</v>
      </c>
      <c r="E110" t="s">
        <v>393</v>
      </c>
      <c r="G110">
        <v>1</v>
      </c>
      <c r="H110">
        <v>1000</v>
      </c>
      <c r="J110" cm="1">
        <f t="array" ref="J110">_xlfn.SWITCH(B110,1,75,2,61,3,49,4,37,5,25,6,13,7,4,8,1)</f>
        <v>49</v>
      </c>
      <c r="K110" t="str" cm="1">
        <f t="array" ref="K110">IFERROR(_xlfn.SWITCH(L110,1,_xlfn.XLOOKUP(C110,[1]AttributeName!$C:$C,[1]AttributeName!$I:$I),2,_xlfn.XLOOKUP(C110,[1]ModifierDes!$B:$B,[1]ModifierDes!$C:$C),3,_xlfn.XLOOKUP(C110,[1]StuntDes!$B:$B,[1]StuntDes!$C:$C)),"")</f>
        <v>混沌伤害提高{0}</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406</v>
      </c>
      <c r="D111" t="s">
        <v>26</v>
      </c>
      <c r="E111" t="s">
        <v>393</v>
      </c>
      <c r="G111">
        <v>1</v>
      </c>
      <c r="H111">
        <v>1000</v>
      </c>
      <c r="J111" cm="1">
        <f t="array" ref="J111">_xlfn.SWITCH(B111,1,75,2,61,3,49,4,37,5,25,6,13,7,4,8,1)</f>
        <v>37</v>
      </c>
      <c r="K111" t="str" cm="1">
        <f t="array" ref="K111">IFERROR(_xlfn.SWITCH(L111,1,_xlfn.XLOOKUP(C111,[1]AttributeName!$C:$C,[1]AttributeName!$I:$I),2,_xlfn.XLOOKUP(C111,[1]ModifierDes!$B:$B,[1]ModifierDes!$C:$C),3,_xlfn.XLOOKUP(C111,[1]StuntDes!$B:$B,[1]StuntDes!$C:$C)),"")</f>
        <v>混沌伤害提高{0}</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406</v>
      </c>
      <c r="D112" t="s">
        <v>26</v>
      </c>
      <c r="E112" t="s">
        <v>393</v>
      </c>
      <c r="G112">
        <v>1</v>
      </c>
      <c r="H112">
        <v>1000</v>
      </c>
      <c r="J112" cm="1">
        <f t="array" ref="J112">_xlfn.SWITCH(B112,1,75,2,61,3,49,4,37,5,25,6,13,7,4,8,1)</f>
        <v>25</v>
      </c>
      <c r="K112" t="str" cm="1">
        <f t="array" ref="K112">IFERROR(_xlfn.SWITCH(L112,1,_xlfn.XLOOKUP(C112,[1]AttributeName!$C:$C,[1]AttributeName!$I:$I),2,_xlfn.XLOOKUP(C112,[1]ModifierDes!$B:$B,[1]ModifierDes!$C:$C),3,_xlfn.XLOOKUP(C112,[1]StuntDes!$B:$B,[1]StuntDes!$C:$C)),"")</f>
        <v>混沌伤害提高{0}</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406</v>
      </c>
      <c r="D113" t="s">
        <v>26</v>
      </c>
      <c r="E113" t="s">
        <v>393</v>
      </c>
      <c r="G113">
        <v>1</v>
      </c>
      <c r="H113">
        <v>1000</v>
      </c>
      <c r="J113" cm="1">
        <f t="array" ref="J113">_xlfn.SWITCH(B113,1,75,2,61,3,49,4,37,5,25,6,13,7,4,8,1)</f>
        <v>13</v>
      </c>
      <c r="K113" t="str" cm="1">
        <f t="array" ref="K113">IFERROR(_xlfn.SWITCH(L113,1,_xlfn.XLOOKUP(C113,[1]AttributeName!$C:$C,[1]AttributeName!$I:$I),2,_xlfn.XLOOKUP(C113,[1]ModifierDes!$B:$B,[1]ModifierDes!$C:$C),3,_xlfn.XLOOKUP(C113,[1]StuntDes!$B:$B,[1]StuntDes!$C:$C)),"")</f>
        <v>混沌伤害提高{0}</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406</v>
      </c>
      <c r="D114" t="s">
        <v>26</v>
      </c>
      <c r="E114" t="s">
        <v>393</v>
      </c>
      <c r="G114">
        <v>1</v>
      </c>
      <c r="H114">
        <v>1000</v>
      </c>
      <c r="J114" cm="1">
        <f t="array" ref="J114">_xlfn.SWITCH(B114,1,75,2,61,3,49,4,37,5,25,6,13,7,4,8,1)</f>
        <v>4</v>
      </c>
      <c r="K114" t="str" cm="1">
        <f t="array" ref="K114">IFERROR(_xlfn.SWITCH(L114,1,_xlfn.XLOOKUP(C114,[1]AttributeName!$C:$C,[1]AttributeName!$I:$I),2,_xlfn.XLOOKUP(C114,[1]ModifierDes!$B:$B,[1]ModifierDes!$C:$C),3,_xlfn.XLOOKUP(C114,[1]StuntDes!$B:$B,[1]StuntDes!$C:$C)),"")</f>
        <v>混沌伤害提高{0}</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406</v>
      </c>
      <c r="D115" t="s">
        <v>26</v>
      </c>
      <c r="E115" t="s">
        <v>393</v>
      </c>
      <c r="F115"/>
      <c r="G115">
        <v>1</v>
      </c>
      <c r="H115">
        <v>1000</v>
      </c>
      <c r="J115" cm="1">
        <f t="array" ref="J115">_xlfn.SWITCH(B115,1,75,2,61,3,49,4,37,5,25,6,13,7,4,8,1)</f>
        <v>1</v>
      </c>
      <c r="K115" t="str" cm="1">
        <f t="array" ref="K115">IFERROR(_xlfn.SWITCH(L115,1,_xlfn.XLOOKUP(C115,[1]AttributeName!$C:$C,[1]AttributeName!$I:$I),2,_xlfn.XLOOKUP(C115,[1]ModifierDes!$B:$B,[1]ModifierDes!$C:$C),3,_xlfn.XLOOKUP(C115,[1]StuntDes!$B:$B,[1]StuntDes!$C:$C)),"")</f>
        <v>混沌伤害提高{0}</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407</v>
      </c>
      <c r="D116" t="s">
        <v>26</v>
      </c>
      <c r="E116" t="s">
        <v>393</v>
      </c>
      <c r="G116">
        <v>1</v>
      </c>
      <c r="H116">
        <v>1000</v>
      </c>
      <c r="J116" cm="1">
        <f t="array" ref="J116">_xlfn.SWITCH(B116,1,75,2,61,3,49,4,37,5,25,6,13,7,4,8,1)</f>
        <v>75</v>
      </c>
      <c r="K116" t="str" cm="1">
        <f t="array" ref="K116">IFERROR(_xlfn.SWITCH(L116,1,_xlfn.XLOOKUP(C116,[1]AttributeName!$C:$C,[1]AttributeName!$I:$I),2,_xlfn.XLOOKUP(C116,[1]ModifierDes!$B:$B,[1]ModifierDes!$C:$C),3,_xlfn.XLOOKUP(C116,[1]StuntDes!$B:$B,[1]StuntDes!$C:$C)),"")</f>
        <v>基础生命增加{0}</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407</v>
      </c>
      <c r="D117" t="s">
        <v>26</v>
      </c>
      <c r="E117" t="s">
        <v>393</v>
      </c>
      <c r="G117">
        <v>1</v>
      </c>
      <c r="H117">
        <v>1000</v>
      </c>
      <c r="J117" cm="1">
        <f t="array" ref="J117">_xlfn.SWITCH(B117,1,75,2,61,3,49,4,37,5,25,6,13,7,4,8,1)</f>
        <v>61</v>
      </c>
      <c r="K117" t="str" cm="1">
        <f t="array" ref="K117">IFERROR(_xlfn.SWITCH(L117,1,_xlfn.XLOOKUP(C117,[1]AttributeName!$C:$C,[1]AttributeName!$I:$I),2,_xlfn.XLOOKUP(C117,[1]ModifierDes!$B:$B,[1]ModifierDes!$C:$C),3,_xlfn.XLOOKUP(C117,[1]StuntDes!$B:$B,[1]StuntDes!$C:$C)),"")</f>
        <v>基础生命增加{0}</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407</v>
      </c>
      <c r="D118" t="s">
        <v>26</v>
      </c>
      <c r="E118" t="s">
        <v>393</v>
      </c>
      <c r="G118">
        <v>1</v>
      </c>
      <c r="H118">
        <v>1000</v>
      </c>
      <c r="J118" cm="1">
        <f t="array" ref="J118">_xlfn.SWITCH(B118,1,75,2,61,3,49,4,37,5,25,6,13,7,4,8,1)</f>
        <v>49</v>
      </c>
      <c r="K118" t="str" cm="1">
        <f t="array" ref="K118">IFERROR(_xlfn.SWITCH(L118,1,_xlfn.XLOOKUP(C118,[1]AttributeName!$C:$C,[1]AttributeName!$I:$I),2,_xlfn.XLOOKUP(C118,[1]ModifierDes!$B:$B,[1]ModifierDes!$C:$C),3,_xlfn.XLOOKUP(C118,[1]StuntDes!$B:$B,[1]StuntDes!$C:$C)),"")</f>
        <v>基础生命增加{0}</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407</v>
      </c>
      <c r="D119" t="s">
        <v>26</v>
      </c>
      <c r="E119" t="s">
        <v>393</v>
      </c>
      <c r="G119">
        <v>1</v>
      </c>
      <c r="H119">
        <v>1000</v>
      </c>
      <c r="J119" cm="1">
        <f t="array" ref="J119">_xlfn.SWITCH(B119,1,75,2,61,3,49,4,37,5,25,6,13,7,4,8,1)</f>
        <v>37</v>
      </c>
      <c r="K119" t="str" cm="1">
        <f t="array" ref="K119">IFERROR(_xlfn.SWITCH(L119,1,_xlfn.XLOOKUP(C119,[1]AttributeName!$C:$C,[1]AttributeName!$I:$I),2,_xlfn.XLOOKUP(C119,[1]ModifierDes!$B:$B,[1]ModifierDes!$C:$C),3,_xlfn.XLOOKUP(C119,[1]StuntDes!$B:$B,[1]StuntDes!$C:$C)),"")</f>
        <v>基础生命增加{0}</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407</v>
      </c>
      <c r="D120" t="s">
        <v>26</v>
      </c>
      <c r="E120" t="s">
        <v>393</v>
      </c>
      <c r="G120">
        <v>1</v>
      </c>
      <c r="H120">
        <v>1000</v>
      </c>
      <c r="J120" cm="1">
        <f t="array" ref="J120">_xlfn.SWITCH(B120,1,75,2,61,3,49,4,37,5,25,6,13,7,4,8,1)</f>
        <v>25</v>
      </c>
      <c r="K120" t="str" cm="1">
        <f t="array" ref="K120">IFERROR(_xlfn.SWITCH(L120,1,_xlfn.XLOOKUP(C120,[1]AttributeName!$C:$C,[1]AttributeName!$I:$I),2,_xlfn.XLOOKUP(C120,[1]ModifierDes!$B:$B,[1]ModifierDes!$C:$C),3,_xlfn.XLOOKUP(C120,[1]StuntDes!$B:$B,[1]StuntDes!$C:$C)),"")</f>
        <v>基础生命增加{0}</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407</v>
      </c>
      <c r="D121" t="s">
        <v>26</v>
      </c>
      <c r="E121" t="s">
        <v>393</v>
      </c>
      <c r="G121">
        <v>1</v>
      </c>
      <c r="H121">
        <v>1000</v>
      </c>
      <c r="J121" cm="1">
        <f t="array" ref="J121">_xlfn.SWITCH(B121,1,75,2,61,3,49,4,37,5,25,6,13,7,4,8,1)</f>
        <v>13</v>
      </c>
      <c r="K121" t="str" cm="1">
        <f t="array" ref="K121">IFERROR(_xlfn.SWITCH(L121,1,_xlfn.XLOOKUP(C121,[1]AttributeName!$C:$C,[1]AttributeName!$I:$I),2,_xlfn.XLOOKUP(C121,[1]ModifierDes!$B:$B,[1]ModifierDes!$C:$C),3,_xlfn.XLOOKUP(C121,[1]StuntDes!$B:$B,[1]StuntDes!$C:$C)),"")</f>
        <v>基础生命增加{0}</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407</v>
      </c>
      <c r="D122" t="s">
        <v>26</v>
      </c>
      <c r="E122" t="s">
        <v>393</v>
      </c>
      <c r="G122">
        <v>1</v>
      </c>
      <c r="H122">
        <v>1000</v>
      </c>
      <c r="J122" cm="1">
        <f t="array" ref="J122">_xlfn.SWITCH(B122,1,75,2,61,3,49,4,37,5,25,6,13,7,4,8,1)</f>
        <v>4</v>
      </c>
      <c r="K122" t="str" cm="1">
        <f t="array" ref="K122">IFERROR(_xlfn.SWITCH(L122,1,_xlfn.XLOOKUP(C122,[1]AttributeName!$C:$C,[1]AttributeName!$I:$I),2,_xlfn.XLOOKUP(C122,[1]ModifierDes!$B:$B,[1]ModifierDes!$C:$C),3,_xlfn.XLOOKUP(C122,[1]StuntDes!$B:$B,[1]StuntDes!$C:$C)),"")</f>
        <v>基础生命增加{0}</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407</v>
      </c>
      <c r="D123" t="s">
        <v>26</v>
      </c>
      <c r="E123" t="s">
        <v>393</v>
      </c>
      <c r="F123"/>
      <c r="G123">
        <v>1</v>
      </c>
      <c r="H123">
        <v>1000</v>
      </c>
      <c r="J123" cm="1">
        <f t="array" ref="J123">_xlfn.SWITCH(B123,1,75,2,61,3,49,4,37,5,25,6,13,7,4,8,1)</f>
        <v>1</v>
      </c>
      <c r="K123" t="str" cm="1">
        <f t="array" ref="K123">IFERROR(_xlfn.SWITCH(L123,1,_xlfn.XLOOKUP(C123,[1]AttributeName!$C:$C,[1]AttributeName!$I:$I),2,_xlfn.XLOOKUP(C123,[1]ModifierDes!$B:$B,[1]ModifierDes!$C:$C),3,_xlfn.XLOOKUP(C123,[1]StuntDes!$B:$B,[1]StuntDes!$C:$C)),"")</f>
        <v>基础生命增加{0}</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408</v>
      </c>
      <c r="D124" t="s">
        <v>26</v>
      </c>
      <c r="E124" t="s">
        <v>393</v>
      </c>
      <c r="G124">
        <v>1</v>
      </c>
      <c r="H124">
        <v>1000</v>
      </c>
      <c r="J124" cm="1">
        <f t="array" ref="J124">_xlfn.SWITCH(B124,1,75,2,61,3,49,4,37,5,25,6,13,7,4,8,1)</f>
        <v>75</v>
      </c>
      <c r="K124" t="str" cm="1">
        <f t="array" ref="K124">IFERROR(_xlfn.SWITCH(L124,1,_xlfn.XLOOKUP(C124,[1]AttributeName!$C:$C,[1]AttributeName!$I:$I),2,_xlfn.XLOOKUP(C124,[1]ModifierDes!$B:$B,[1]ModifierDes!$C:$C),3,_xlfn.XLOOKUP(C124,[1]StuntDes!$B:$B,[1]StuntDes!$C:$C)),"")</f>
        <v>基础魔力增加{0}</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408</v>
      </c>
      <c r="D125" t="s">
        <v>26</v>
      </c>
      <c r="E125" t="s">
        <v>393</v>
      </c>
      <c r="G125">
        <v>1</v>
      </c>
      <c r="H125">
        <v>1000</v>
      </c>
      <c r="J125" cm="1">
        <f t="array" ref="J125">_xlfn.SWITCH(B125,1,75,2,61,3,49,4,37,5,25,6,13,7,4,8,1)</f>
        <v>61</v>
      </c>
      <c r="K125" t="str" cm="1">
        <f t="array" ref="K125">IFERROR(_xlfn.SWITCH(L125,1,_xlfn.XLOOKUP(C125,[1]AttributeName!$C:$C,[1]AttributeName!$I:$I),2,_xlfn.XLOOKUP(C125,[1]ModifierDes!$B:$B,[1]ModifierDes!$C:$C),3,_xlfn.XLOOKUP(C125,[1]StuntDes!$B:$B,[1]StuntDes!$C:$C)),"")</f>
        <v>基础魔力增加{0}</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408</v>
      </c>
      <c r="D126" t="s">
        <v>26</v>
      </c>
      <c r="E126" t="s">
        <v>393</v>
      </c>
      <c r="G126">
        <v>1</v>
      </c>
      <c r="H126">
        <v>1000</v>
      </c>
      <c r="J126" cm="1">
        <f t="array" ref="J126">_xlfn.SWITCH(B126,1,75,2,61,3,49,4,37,5,25,6,13,7,4,8,1)</f>
        <v>49</v>
      </c>
      <c r="K126" t="str" cm="1">
        <f t="array" ref="K126">IFERROR(_xlfn.SWITCH(L126,1,_xlfn.XLOOKUP(C126,[1]AttributeName!$C:$C,[1]AttributeName!$I:$I),2,_xlfn.XLOOKUP(C126,[1]ModifierDes!$B:$B,[1]ModifierDes!$C:$C),3,_xlfn.XLOOKUP(C126,[1]StuntDes!$B:$B,[1]StuntDes!$C:$C)),"")</f>
        <v>基础魔力增加{0}</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408</v>
      </c>
      <c r="D127" t="s">
        <v>26</v>
      </c>
      <c r="E127" t="s">
        <v>393</v>
      </c>
      <c r="G127">
        <v>1</v>
      </c>
      <c r="H127">
        <v>1000</v>
      </c>
      <c r="J127" cm="1">
        <f t="array" ref="J127">_xlfn.SWITCH(B127,1,75,2,61,3,49,4,37,5,25,6,13,7,4,8,1)</f>
        <v>37</v>
      </c>
      <c r="K127" t="str" cm="1">
        <f t="array" ref="K127">IFERROR(_xlfn.SWITCH(L127,1,_xlfn.XLOOKUP(C127,[1]AttributeName!$C:$C,[1]AttributeName!$I:$I),2,_xlfn.XLOOKUP(C127,[1]ModifierDes!$B:$B,[1]ModifierDes!$C:$C),3,_xlfn.XLOOKUP(C127,[1]StuntDes!$B:$B,[1]StuntDes!$C:$C)),"")</f>
        <v>基础魔力增加{0}</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408</v>
      </c>
      <c r="D128" t="s">
        <v>26</v>
      </c>
      <c r="E128" t="s">
        <v>393</v>
      </c>
      <c r="G128">
        <v>1</v>
      </c>
      <c r="H128">
        <v>1000</v>
      </c>
      <c r="J128" cm="1">
        <f t="array" ref="J128">_xlfn.SWITCH(B128,1,75,2,61,3,49,4,37,5,25,6,13,7,4,8,1)</f>
        <v>25</v>
      </c>
      <c r="K128" t="str" cm="1">
        <f t="array" ref="K128">IFERROR(_xlfn.SWITCH(L128,1,_xlfn.XLOOKUP(C128,[1]AttributeName!$C:$C,[1]AttributeName!$I:$I),2,_xlfn.XLOOKUP(C128,[1]ModifierDes!$B:$B,[1]ModifierDes!$C:$C),3,_xlfn.XLOOKUP(C128,[1]StuntDes!$B:$B,[1]StuntDes!$C:$C)),"")</f>
        <v>基础魔力增加{0}</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408</v>
      </c>
      <c r="D129" t="s">
        <v>26</v>
      </c>
      <c r="E129" t="s">
        <v>393</v>
      </c>
      <c r="G129">
        <v>1</v>
      </c>
      <c r="H129">
        <v>1000</v>
      </c>
      <c r="J129" cm="1">
        <f t="array" ref="J129">_xlfn.SWITCH(B129,1,75,2,61,3,49,4,37,5,25,6,13,7,4,8,1)</f>
        <v>13</v>
      </c>
      <c r="K129" t="str" cm="1">
        <f t="array" ref="K129">IFERROR(_xlfn.SWITCH(L129,1,_xlfn.XLOOKUP(C129,[1]AttributeName!$C:$C,[1]AttributeName!$I:$I),2,_xlfn.XLOOKUP(C129,[1]ModifierDes!$B:$B,[1]ModifierDes!$C:$C),3,_xlfn.XLOOKUP(C129,[1]StuntDes!$B:$B,[1]StuntDes!$C:$C)),"")</f>
        <v>基础魔力增加{0}</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408</v>
      </c>
      <c r="D130" t="s">
        <v>26</v>
      </c>
      <c r="E130" t="s">
        <v>393</v>
      </c>
      <c r="G130">
        <v>1</v>
      </c>
      <c r="H130">
        <v>1000</v>
      </c>
      <c r="J130" cm="1">
        <f t="array" ref="J130">_xlfn.SWITCH(B130,1,75,2,61,3,49,4,37,5,25,6,13,7,4,8,1)</f>
        <v>4</v>
      </c>
      <c r="K130" t="str" cm="1">
        <f t="array" ref="K130">IFERROR(_xlfn.SWITCH(L130,1,_xlfn.XLOOKUP(C130,[1]AttributeName!$C:$C,[1]AttributeName!$I:$I),2,_xlfn.XLOOKUP(C130,[1]ModifierDes!$B:$B,[1]ModifierDes!$C:$C),3,_xlfn.XLOOKUP(C130,[1]StuntDes!$B:$B,[1]StuntDes!$C:$C)),"")</f>
        <v>基础魔力增加{0}</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408</v>
      </c>
      <c r="D131" t="s">
        <v>26</v>
      </c>
      <c r="E131" t="s">
        <v>393</v>
      </c>
      <c r="F131"/>
      <c r="G131">
        <v>1</v>
      </c>
      <c r="H131">
        <v>1000</v>
      </c>
      <c r="J131" cm="1">
        <f t="array" ref="J131">_xlfn.SWITCH(B131,1,75,2,61,3,49,4,37,5,25,6,13,7,4,8,1)</f>
        <v>1</v>
      </c>
      <c r="K131" t="str" cm="1">
        <f t="array" ref="K131">IFERROR(_xlfn.SWITCH(L131,1,_xlfn.XLOOKUP(C131,[1]AttributeName!$C:$C,[1]AttributeName!$I:$I),2,_xlfn.XLOOKUP(C131,[1]ModifierDes!$B:$B,[1]ModifierDes!$C:$C),3,_xlfn.XLOOKUP(C131,[1]StuntDes!$B:$B,[1]StuntDes!$C:$C)),"")</f>
        <v>基础魔力增加{0}</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409</v>
      </c>
      <c r="D132" t="s">
        <v>26</v>
      </c>
      <c r="E132" s="13" t="s">
        <v>410</v>
      </c>
      <c r="F132"/>
      <c r="G132">
        <v>2</v>
      </c>
      <c r="H132">
        <v>1000</v>
      </c>
      <c r="J132" cm="1">
        <f t="array" ref="J132">_xlfn.SWITCH(B132,1,75,2,61,3,49,4,37,5,25,6,13,7,4,8,1)</f>
        <v>75</v>
      </c>
      <c r="K132" t="str" cm="1">
        <f t="array" ref="K132">IFERROR(_xlfn.SWITCH(L132,1,_xlfn.XLOOKUP(C132,[1]AttributeName!$C:$C,[1]AttributeName!$I:$I),2,_xlfn.XLOOKUP(C132,[1]ModifierDes!$B:$B,[1]ModifierDes!$C:$C),3,_xlfn.XLOOKUP(C132,[1]StuntDes!$B:$B,[1]StuntDes!$C:$C)),"")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409</v>
      </c>
      <c r="D133" t="s">
        <v>26</v>
      </c>
      <c r="E133" s="13" t="s">
        <v>410</v>
      </c>
      <c r="F133"/>
      <c r="G133">
        <v>2</v>
      </c>
      <c r="H133">
        <v>1000</v>
      </c>
      <c r="J133" cm="1">
        <f t="array" ref="J133">_xlfn.SWITCH(B133,1,75,2,61,3,49,4,37,5,25,6,13,7,4,8,1)</f>
        <v>61</v>
      </c>
      <c r="K133" t="str" cm="1">
        <f t="array" ref="K133">IFERROR(_xlfn.SWITCH(L133,1,_xlfn.XLOOKUP(C133,[1]AttributeName!$C:$C,[1]AttributeName!$I:$I),2,_xlfn.XLOOKUP(C133,[1]ModifierDes!$B:$B,[1]ModifierDes!$C:$C),3,_xlfn.XLOOKUP(C133,[1]StuntDes!$B:$B,[1]StuntDes!$C:$C)),"")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409</v>
      </c>
      <c r="D134" t="s">
        <v>26</v>
      </c>
      <c r="E134" s="13" t="s">
        <v>410</v>
      </c>
      <c r="F134"/>
      <c r="G134">
        <v>2</v>
      </c>
      <c r="H134">
        <v>1000</v>
      </c>
      <c r="J134" cm="1">
        <f t="array" ref="J134">_xlfn.SWITCH(B134,1,75,2,61,3,49,4,37,5,25,6,13,7,4,8,1)</f>
        <v>49</v>
      </c>
      <c r="K134" t="str" cm="1">
        <f t="array" ref="K134">IFERROR(_xlfn.SWITCH(L134,1,_xlfn.XLOOKUP(C134,[1]AttributeName!$C:$C,[1]AttributeName!$I:$I),2,_xlfn.XLOOKUP(C134,[1]ModifierDes!$B:$B,[1]ModifierDes!$C:$C),3,_xlfn.XLOOKUP(C134,[1]StuntDes!$B:$B,[1]StuntDes!$C:$C)),"")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409</v>
      </c>
      <c r="D135" t="s">
        <v>26</v>
      </c>
      <c r="E135" s="13" t="s">
        <v>410</v>
      </c>
      <c r="F135"/>
      <c r="G135">
        <v>2</v>
      </c>
      <c r="H135">
        <v>1000</v>
      </c>
      <c r="J135" cm="1">
        <f t="array" ref="J135">_xlfn.SWITCH(B135,1,75,2,61,3,49,4,37,5,25,6,13,7,4,8,1)</f>
        <v>37</v>
      </c>
      <c r="K135" t="str" cm="1">
        <f t="array" ref="K135">IFERROR(_xlfn.SWITCH(L135,1,_xlfn.XLOOKUP(C135,[1]AttributeName!$C:$C,[1]AttributeName!$I:$I),2,_xlfn.XLOOKUP(C135,[1]ModifierDes!$B:$B,[1]ModifierDes!$C:$C),3,_xlfn.XLOOKUP(C135,[1]StuntDes!$B:$B,[1]StuntDes!$C:$C)),"")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409</v>
      </c>
      <c r="D136" t="s">
        <v>26</v>
      </c>
      <c r="E136" s="13" t="s">
        <v>410</v>
      </c>
      <c r="F136"/>
      <c r="G136">
        <v>2</v>
      </c>
      <c r="H136">
        <v>1000</v>
      </c>
      <c r="J136" cm="1">
        <f t="array" ref="J136">_xlfn.SWITCH(B136,1,75,2,61,3,49,4,37,5,25,6,13,7,4,8,1)</f>
        <v>25</v>
      </c>
      <c r="K136" t="str" cm="1">
        <f t="array" ref="K136">IFERROR(_xlfn.SWITCH(L136,1,_xlfn.XLOOKUP(C136,[1]AttributeName!$C:$C,[1]AttributeName!$I:$I),2,_xlfn.XLOOKUP(C136,[1]ModifierDes!$B:$B,[1]ModifierDes!$C:$C),3,_xlfn.XLOOKUP(C136,[1]StuntDes!$B:$B,[1]StuntDes!$C:$C)),"")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409</v>
      </c>
      <c r="D137" t="s">
        <v>26</v>
      </c>
      <c r="E137" s="13" t="s">
        <v>410</v>
      </c>
      <c r="F137"/>
      <c r="G137">
        <v>2</v>
      </c>
      <c r="H137">
        <v>1000</v>
      </c>
      <c r="J137" cm="1">
        <f t="array" ref="J137">_xlfn.SWITCH(B137,1,75,2,61,3,49,4,37,5,25,6,13,7,4,8,1)</f>
        <v>13</v>
      </c>
      <c r="K137" t="str" cm="1">
        <f t="array" ref="K137">IFERROR(_xlfn.SWITCH(L137,1,_xlfn.XLOOKUP(C137,[1]AttributeName!$C:$C,[1]AttributeName!$I:$I),2,_xlfn.XLOOKUP(C137,[1]ModifierDes!$B:$B,[1]ModifierDes!$C:$C),3,_xlfn.XLOOKUP(C137,[1]StuntDes!$B:$B,[1]StuntDes!$C:$C)),"")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409</v>
      </c>
      <c r="D138" t="s">
        <v>26</v>
      </c>
      <c r="E138" s="13" t="s">
        <v>410</v>
      </c>
      <c r="F138"/>
      <c r="G138">
        <v>2</v>
      </c>
      <c r="H138">
        <v>1000</v>
      </c>
      <c r="J138" cm="1">
        <f t="array" ref="J138">_xlfn.SWITCH(B138,1,75,2,61,3,49,4,37,5,25,6,13,7,4,8,1)</f>
        <v>4</v>
      </c>
      <c r="K138" t="str" cm="1">
        <f t="array" ref="K138">IFERROR(_xlfn.SWITCH(L138,1,_xlfn.XLOOKUP(C138,[1]AttributeName!$C:$C,[1]AttributeName!$I:$I),2,_xlfn.XLOOKUP(C138,[1]ModifierDes!$B:$B,[1]ModifierDes!$C:$C),3,_xlfn.XLOOKUP(C138,[1]StuntDes!$B:$B,[1]StuntDes!$C:$C)),"")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409</v>
      </c>
      <c r="D139" t="s">
        <v>26</v>
      </c>
      <c r="E139" s="13" t="s">
        <v>410</v>
      </c>
      <c r="F139"/>
      <c r="G139">
        <v>2</v>
      </c>
      <c r="H139">
        <v>1000</v>
      </c>
      <c r="J139" cm="1">
        <f t="array" ref="J139">_xlfn.SWITCH(B139,1,75,2,61,3,49,4,37,5,25,6,13,7,4,8,1)</f>
        <v>1</v>
      </c>
      <c r="K139" t="str" cm="1">
        <f t="array" ref="K139">IFERROR(_xlfn.SWITCH(L139,1,_xlfn.XLOOKUP(C139,[1]AttributeName!$C:$C,[1]AttributeName!$I:$I),2,_xlfn.XLOOKUP(C139,[1]ModifierDes!$B:$B,[1]ModifierDes!$C:$C),3,_xlfn.XLOOKUP(C139,[1]StuntDes!$B:$B,[1]StuntDes!$C:$C)),"")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411</v>
      </c>
      <c r="D140" t="s">
        <v>26</v>
      </c>
      <c r="E140" s="13" t="s">
        <v>410</v>
      </c>
      <c r="G140">
        <v>2</v>
      </c>
      <c r="H140">
        <v>25</v>
      </c>
      <c r="I140">
        <v>2</v>
      </c>
      <c r="J140" cm="1">
        <f t="array" ref="J140">_xlfn.SWITCH(B140,1,75,2,61,3,49,4,37,5,25,6,13,7,4,8,1)</f>
        <v>75</v>
      </c>
      <c r="K140" t="str" cm="1">
        <f t="array" ref="K140">IFERROR(_xlfn.SWITCH(L140,1,_xlfn.XLOOKUP(C140,[1]AttributeName!$C:$C,[1]AttributeName!$I:$I),2,_xlfn.XLOOKUP(C140,[1]ModifierDes!$B:$B,[1]ModifierDes!$C:$C),3,_xlfn.XLOOKUP(C140,[1]StuntDes!$B:$B,[1]StuntDes!$C:$C)),"")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5</v>
      </c>
      <c r="R140">
        <v>7</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411</v>
      </c>
      <c r="D141" t="s">
        <v>26</v>
      </c>
      <c r="E141" s="13" t="s">
        <v>410</v>
      </c>
      <c r="G141">
        <v>2</v>
      </c>
      <c r="H141">
        <v>100</v>
      </c>
      <c r="I141">
        <v>2</v>
      </c>
      <c r="J141" cm="1">
        <f t="array" ref="J141">_xlfn.SWITCH(B141,1,75,2,61,3,49,4,37,5,25,6,13,7,4,8,1)</f>
        <v>61</v>
      </c>
      <c r="K141" t="str" cm="1">
        <f t="array" ref="K141">IFERROR(_xlfn.SWITCH(L141,1,_xlfn.XLOOKUP(C141,[1]AttributeName!$C:$C,[1]AttributeName!$I:$I),2,_xlfn.XLOOKUP(C141,[1]ModifierDes!$B:$B,[1]ModifierDes!$C:$C),3,_xlfn.XLOOKUP(C141,[1]StuntDes!$B:$B,[1]StuntDes!$C:$C)),"")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4</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411</v>
      </c>
      <c r="D142" t="s">
        <v>26</v>
      </c>
      <c r="E142" s="13" t="s">
        <v>410</v>
      </c>
      <c r="G142">
        <v>2</v>
      </c>
      <c r="H142">
        <v>300</v>
      </c>
      <c r="I142">
        <v>2</v>
      </c>
      <c r="J142" cm="1">
        <f t="array" ref="J142">_xlfn.SWITCH(B142,1,75,2,61,3,49,4,37,5,25,6,13,7,4,8,1)</f>
        <v>49</v>
      </c>
      <c r="K142" t="str" cm="1">
        <f t="array" ref="K142">IFERROR(_xlfn.SWITCH(L142,1,_xlfn.XLOOKUP(C142,[1]AttributeName!$C:$C,[1]AttributeName!$I:$I),2,_xlfn.XLOOKUP(C142,[1]ModifierDes!$B:$B,[1]ModifierDes!$C:$C),3,_xlfn.XLOOKUP(C142,[1]StuntDes!$B:$B,[1]StuntDes!$C:$C)),"")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411</v>
      </c>
      <c r="D143" t="s">
        <v>26</v>
      </c>
      <c r="E143" s="13" t="s">
        <v>410</v>
      </c>
      <c r="G143">
        <v>2</v>
      </c>
      <c r="H143">
        <v>1000</v>
      </c>
      <c r="I143">
        <v>2</v>
      </c>
      <c r="J143" cm="1">
        <f t="array" ref="J143">_xlfn.SWITCH(B143,1,75,2,61,3,49,4,37,5,25,6,13,7,4,8,1)</f>
        <v>25</v>
      </c>
      <c r="K143" t="str" cm="1">
        <f t="array" ref="K143">IFERROR(_xlfn.SWITCH(L143,1,_xlfn.XLOOKUP(C143,[1]AttributeName!$C:$C,[1]AttributeName!$I:$I),2,_xlfn.XLOOKUP(C143,[1]ModifierDes!$B:$B,[1]ModifierDes!$C:$C),3,_xlfn.XLOOKUP(C143,[1]StuntDes!$B:$B,[1]StuntDes!$C:$C)),"")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412</v>
      </c>
      <c r="D144" t="s">
        <v>26</v>
      </c>
      <c r="E144" s="13" t="s">
        <v>410</v>
      </c>
      <c r="G144">
        <v>2</v>
      </c>
      <c r="H144">
        <v>25</v>
      </c>
      <c r="I144">
        <v>2</v>
      </c>
      <c r="J144" cm="1">
        <f t="array" ref="J144">_xlfn.SWITCH(B144,1,75,2,61,3,49,4,37,5,25,6,13,7,4,8,1)</f>
        <v>75</v>
      </c>
      <c r="K144" t="str" cm="1">
        <f t="array" ref="K144">IFERROR(_xlfn.SWITCH(L144,1,_xlfn.XLOOKUP(C144,[1]AttributeName!$C:$C,[1]AttributeName!$I:$I),2,_xlfn.XLOOKUP(C144,[1]ModifierDes!$B:$B,[1]ModifierDes!$C:$C),3,_xlfn.XLOOKUP(C144,[1]StuntDes!$B:$B,[1]StuntDes!$C:$C)),"")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5</v>
      </c>
      <c r="R144">
        <v>7</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412</v>
      </c>
      <c r="D145" t="s">
        <v>26</v>
      </c>
      <c r="E145" s="13" t="s">
        <v>410</v>
      </c>
      <c r="G145">
        <v>2</v>
      </c>
      <c r="H145">
        <v>100</v>
      </c>
      <c r="I145">
        <v>2</v>
      </c>
      <c r="J145" cm="1">
        <f t="array" ref="J145">_xlfn.SWITCH(B145,1,75,2,61,3,49,4,37,5,25,6,13,7,4,8,1)</f>
        <v>61</v>
      </c>
      <c r="K145" t="str" cm="1">
        <f t="array" ref="K145">IFERROR(_xlfn.SWITCH(L145,1,_xlfn.XLOOKUP(C145,[1]AttributeName!$C:$C,[1]AttributeName!$I:$I),2,_xlfn.XLOOKUP(C145,[1]ModifierDes!$B:$B,[1]ModifierDes!$C:$C),3,_xlfn.XLOOKUP(C145,[1]StuntDes!$B:$B,[1]StuntDes!$C:$C)),"")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4</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412</v>
      </c>
      <c r="D146" t="s">
        <v>26</v>
      </c>
      <c r="E146" s="13" t="s">
        <v>410</v>
      </c>
      <c r="G146">
        <v>2</v>
      </c>
      <c r="H146">
        <v>300</v>
      </c>
      <c r="I146">
        <v>2</v>
      </c>
      <c r="J146" cm="1">
        <f t="array" ref="J146">_xlfn.SWITCH(B146,1,75,2,61,3,49,4,37,5,25,6,13,7,4,8,1)</f>
        <v>49</v>
      </c>
      <c r="K146" t="str" cm="1">
        <f t="array" ref="K146">IFERROR(_xlfn.SWITCH(L146,1,_xlfn.XLOOKUP(C146,[1]AttributeName!$C:$C,[1]AttributeName!$I:$I),2,_xlfn.XLOOKUP(C146,[1]ModifierDes!$B:$B,[1]ModifierDes!$C:$C),3,_xlfn.XLOOKUP(C146,[1]StuntDes!$B:$B,[1]StuntDes!$C:$C)),"")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412</v>
      </c>
      <c r="D147" t="s">
        <v>26</v>
      </c>
      <c r="E147" s="13" t="s">
        <v>410</v>
      </c>
      <c r="G147">
        <v>2</v>
      </c>
      <c r="H147">
        <v>1000</v>
      </c>
      <c r="I147">
        <v>2</v>
      </c>
      <c r="J147" cm="1">
        <f t="array" ref="J147">_xlfn.SWITCH(B147,1,75,2,61,3,49,4,37,5,25,6,13,7,4,8,1)</f>
        <v>25</v>
      </c>
      <c r="K147" t="str" cm="1">
        <f t="array" ref="K147">IFERROR(_xlfn.SWITCH(L147,1,_xlfn.XLOOKUP(C147,[1]AttributeName!$C:$C,[1]AttributeName!$I:$I),2,_xlfn.XLOOKUP(C147,[1]ModifierDes!$B:$B,[1]ModifierDes!$C:$C),3,_xlfn.XLOOKUP(C147,[1]StuntDes!$B:$B,[1]StuntDes!$C:$C)),"")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413</v>
      </c>
      <c r="D148" t="s">
        <v>26</v>
      </c>
      <c r="E148" s="13" t="s">
        <v>410</v>
      </c>
      <c r="G148">
        <v>2</v>
      </c>
      <c r="H148">
        <v>25</v>
      </c>
      <c r="I148">
        <v>2</v>
      </c>
      <c r="J148" cm="1">
        <f t="array" ref="J148">_xlfn.SWITCH(B148,1,75,2,61,3,49,4,37,5,25,6,13,7,4,8,1)</f>
        <v>75</v>
      </c>
      <c r="K148" t="str" cm="1">
        <f t="array" ref="K148">IFERROR(_xlfn.SWITCH(L148,1,_xlfn.XLOOKUP(C148,[1]AttributeName!$C:$C,[1]AttributeName!$I:$I),2,_xlfn.XLOOKUP(C148,[1]ModifierDes!$B:$B,[1]ModifierDes!$C:$C),3,_xlfn.XLOOKUP(C148,[1]StuntDes!$B:$B,[1]StuntDes!$C:$C)),"")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5</v>
      </c>
      <c r="R148">
        <v>7</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413</v>
      </c>
      <c r="D149" t="s">
        <v>26</v>
      </c>
      <c r="E149" s="13" t="s">
        <v>410</v>
      </c>
      <c r="G149">
        <v>2</v>
      </c>
      <c r="H149">
        <v>100</v>
      </c>
      <c r="I149">
        <v>2</v>
      </c>
      <c r="J149" cm="1">
        <f t="array" ref="J149">_xlfn.SWITCH(B149,1,75,2,61,3,49,4,37,5,25,6,13,7,4,8,1)</f>
        <v>61</v>
      </c>
      <c r="K149" t="str" cm="1">
        <f t="array" ref="K149">IFERROR(_xlfn.SWITCH(L149,1,_xlfn.XLOOKUP(C149,[1]AttributeName!$C:$C,[1]AttributeName!$I:$I),2,_xlfn.XLOOKUP(C149,[1]ModifierDes!$B:$B,[1]ModifierDes!$C:$C),3,_xlfn.XLOOKUP(C149,[1]StuntDes!$B:$B,[1]StuntDes!$C:$C)),"")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4</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413</v>
      </c>
      <c r="D150" t="s">
        <v>26</v>
      </c>
      <c r="E150" s="13" t="s">
        <v>410</v>
      </c>
      <c r="G150">
        <v>2</v>
      </c>
      <c r="H150">
        <v>300</v>
      </c>
      <c r="I150">
        <v>2</v>
      </c>
      <c r="J150" cm="1">
        <f t="array" ref="J150">_xlfn.SWITCH(B150,1,75,2,61,3,49,4,37,5,25,6,13,7,4,8,1)</f>
        <v>49</v>
      </c>
      <c r="K150" t="str" cm="1">
        <f t="array" ref="K150">IFERROR(_xlfn.SWITCH(L150,1,_xlfn.XLOOKUP(C150,[1]AttributeName!$C:$C,[1]AttributeName!$I:$I),2,_xlfn.XLOOKUP(C150,[1]ModifierDes!$B:$B,[1]ModifierDes!$C:$C),3,_xlfn.XLOOKUP(C150,[1]StuntDes!$B:$B,[1]StuntDes!$C:$C)),"")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413</v>
      </c>
      <c r="D151" t="s">
        <v>26</v>
      </c>
      <c r="E151" s="13" t="s">
        <v>410</v>
      </c>
      <c r="G151">
        <v>2</v>
      </c>
      <c r="H151">
        <v>1000</v>
      </c>
      <c r="I151">
        <v>2</v>
      </c>
      <c r="J151" cm="1">
        <f t="array" ref="J151">_xlfn.SWITCH(B151,1,75,2,61,3,49,4,37,5,25,6,13,7,4,8,1)</f>
        <v>25</v>
      </c>
      <c r="K151" t="str" cm="1">
        <f t="array" ref="K151">IFERROR(_xlfn.SWITCH(L151,1,_xlfn.XLOOKUP(C151,[1]AttributeName!$C:$C,[1]AttributeName!$I:$I),2,_xlfn.XLOOKUP(C151,[1]ModifierDes!$B:$B,[1]ModifierDes!$C:$C),3,_xlfn.XLOOKUP(C151,[1]StuntDes!$B:$B,[1]StuntDes!$C:$C)),"")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414</v>
      </c>
      <c r="D152" t="s">
        <v>26</v>
      </c>
      <c r="E152" s="13" t="s">
        <v>410</v>
      </c>
      <c r="G152">
        <v>2</v>
      </c>
      <c r="H152">
        <v>25</v>
      </c>
      <c r="I152">
        <v>2</v>
      </c>
      <c r="J152" cm="1">
        <f t="array" ref="J152">_xlfn.SWITCH(B152,1,75,2,61,3,49,4,37,5,25,6,13,7,4,8,1)</f>
        <v>75</v>
      </c>
      <c r="K152" t="str" cm="1">
        <f t="array" ref="K152">IFERROR(_xlfn.SWITCH(L152,1,_xlfn.XLOOKUP(C152,[1]AttributeName!$C:$C,[1]AttributeName!$I:$I),2,_xlfn.XLOOKUP(C152,[1]ModifierDes!$B:$B,[1]ModifierDes!$C:$C),3,_xlfn.XLOOKUP(C152,[1]StuntDes!$B:$B,[1]StuntDes!$C:$C)),"")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5</v>
      </c>
      <c r="R152">
        <v>7</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414</v>
      </c>
      <c r="D153" t="s">
        <v>26</v>
      </c>
      <c r="E153" s="13" t="s">
        <v>410</v>
      </c>
      <c r="G153">
        <v>2</v>
      </c>
      <c r="H153">
        <v>100</v>
      </c>
      <c r="I153">
        <v>2</v>
      </c>
      <c r="J153" cm="1">
        <f t="array" ref="J153">_xlfn.SWITCH(B153,1,75,2,61,3,49,4,37,5,25,6,13,7,4,8,1)</f>
        <v>61</v>
      </c>
      <c r="K153" t="str" cm="1">
        <f t="array" ref="K153">IFERROR(_xlfn.SWITCH(L153,1,_xlfn.XLOOKUP(C153,[1]AttributeName!$C:$C,[1]AttributeName!$I:$I),2,_xlfn.XLOOKUP(C153,[1]ModifierDes!$B:$B,[1]ModifierDes!$C:$C),3,_xlfn.XLOOKUP(C153,[1]StuntDes!$B:$B,[1]StuntDes!$C:$C)),"")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4</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414</v>
      </c>
      <c r="D154" t="s">
        <v>26</v>
      </c>
      <c r="E154" s="13" t="s">
        <v>410</v>
      </c>
      <c r="G154">
        <v>2</v>
      </c>
      <c r="H154">
        <v>300</v>
      </c>
      <c r="I154">
        <v>2</v>
      </c>
      <c r="J154" cm="1">
        <f t="array" ref="J154">_xlfn.SWITCH(B154,1,75,2,61,3,49,4,37,5,25,6,13,7,4,8,1)</f>
        <v>49</v>
      </c>
      <c r="K154" t="str" cm="1">
        <f t="array" ref="K154">IFERROR(_xlfn.SWITCH(L154,1,_xlfn.XLOOKUP(C154,[1]AttributeName!$C:$C,[1]AttributeName!$I:$I),2,_xlfn.XLOOKUP(C154,[1]ModifierDes!$B:$B,[1]ModifierDes!$C:$C),3,_xlfn.XLOOKUP(C154,[1]StuntDes!$B:$B,[1]StuntDes!$C:$C)),"")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414</v>
      </c>
      <c r="D155" t="s">
        <v>26</v>
      </c>
      <c r="E155" s="13" t="s">
        <v>410</v>
      </c>
      <c r="G155">
        <v>2</v>
      </c>
      <c r="H155">
        <v>1000</v>
      </c>
      <c r="I155">
        <v>2</v>
      </c>
      <c r="J155" cm="1">
        <f t="array" ref="J155">_xlfn.SWITCH(B155,1,75,2,61,3,49,4,37,5,25,6,13,7,4,8,1)</f>
        <v>25</v>
      </c>
      <c r="K155" t="str" cm="1">
        <f t="array" ref="K155">IFERROR(_xlfn.SWITCH(L155,1,_xlfn.XLOOKUP(C155,[1]AttributeName!$C:$C,[1]AttributeName!$I:$I),2,_xlfn.XLOOKUP(C155,[1]ModifierDes!$B:$B,[1]ModifierDes!$C:$C),3,_xlfn.XLOOKUP(C155,[1]StuntDes!$B:$B,[1]StuntDes!$C:$C)),"")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415</v>
      </c>
      <c r="D156" t="s">
        <v>26</v>
      </c>
      <c r="E156" s="13" t="s">
        <v>410</v>
      </c>
      <c r="G156">
        <v>2</v>
      </c>
      <c r="H156">
        <v>25</v>
      </c>
      <c r="I156">
        <v>2</v>
      </c>
      <c r="J156" cm="1">
        <f t="array" ref="J156">_xlfn.SWITCH(B156,1,75,2,61,3,49,4,37,5,25,6,13,7,4,8,1)</f>
        <v>75</v>
      </c>
      <c r="K156" t="str" cm="1">
        <f t="array" ref="K156">IFERROR(_xlfn.SWITCH(L156,1,_xlfn.XLOOKUP(C156,[1]AttributeName!$C:$C,[1]AttributeName!$I:$I),2,_xlfn.XLOOKUP(C156,[1]ModifierDes!$B:$B,[1]ModifierDes!$C:$C),3,_xlfn.XLOOKUP(C156,[1]StuntDes!$B:$B,[1]StuntDes!$C:$C)),"")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5</v>
      </c>
      <c r="R156">
        <v>7</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415</v>
      </c>
      <c r="D157" t="s">
        <v>26</v>
      </c>
      <c r="E157" s="13" t="s">
        <v>410</v>
      </c>
      <c r="G157">
        <v>2</v>
      </c>
      <c r="H157">
        <v>100</v>
      </c>
      <c r="I157">
        <v>2</v>
      </c>
      <c r="J157" cm="1">
        <f t="array" ref="J157">_xlfn.SWITCH(B157,1,75,2,61,3,49,4,37,5,25,6,13,7,4,8,1)</f>
        <v>61</v>
      </c>
      <c r="K157" t="str" cm="1">
        <f t="array" ref="K157">IFERROR(_xlfn.SWITCH(L157,1,_xlfn.XLOOKUP(C157,[1]AttributeName!$C:$C,[1]AttributeName!$I:$I),2,_xlfn.XLOOKUP(C157,[1]ModifierDes!$B:$B,[1]ModifierDes!$C:$C),3,_xlfn.XLOOKUP(C157,[1]StuntDes!$B:$B,[1]StuntDes!$C:$C)),"")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4</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415</v>
      </c>
      <c r="D158" t="s">
        <v>26</v>
      </c>
      <c r="E158" s="13" t="s">
        <v>410</v>
      </c>
      <c r="G158">
        <v>2</v>
      </c>
      <c r="H158">
        <v>300</v>
      </c>
      <c r="I158">
        <v>2</v>
      </c>
      <c r="J158" cm="1">
        <f t="array" ref="J158">_xlfn.SWITCH(B158,1,75,2,61,3,49,4,37,5,25,6,13,7,4,8,1)</f>
        <v>49</v>
      </c>
      <c r="K158" t="str" cm="1">
        <f t="array" ref="K158">IFERROR(_xlfn.SWITCH(L158,1,_xlfn.XLOOKUP(C158,[1]AttributeName!$C:$C,[1]AttributeName!$I:$I),2,_xlfn.XLOOKUP(C158,[1]ModifierDes!$B:$B,[1]ModifierDes!$C:$C),3,_xlfn.XLOOKUP(C158,[1]StuntDes!$B:$B,[1]StuntDes!$C:$C)),"")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415</v>
      </c>
      <c r="D159" t="s">
        <v>26</v>
      </c>
      <c r="E159" s="13" t="s">
        <v>410</v>
      </c>
      <c r="G159">
        <v>2</v>
      </c>
      <c r="H159">
        <v>1000</v>
      </c>
      <c r="I159">
        <v>2</v>
      </c>
      <c r="J159" cm="1">
        <f t="array" ref="J159">_xlfn.SWITCH(B159,1,75,2,61,3,49,4,37,5,25,6,13,7,4,8,1)</f>
        <v>25</v>
      </c>
      <c r="K159" t="str" cm="1">
        <f t="array" ref="K159">IFERROR(_xlfn.SWITCH(L159,1,_xlfn.XLOOKUP(C159,[1]AttributeName!$C:$C,[1]AttributeName!$I:$I),2,_xlfn.XLOOKUP(C159,[1]ModifierDes!$B:$B,[1]ModifierDes!$C:$C),3,_xlfn.XLOOKUP(C159,[1]StuntDes!$B:$B,[1]StuntDes!$C:$C)),"")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416</v>
      </c>
      <c r="D160" t="s">
        <v>26</v>
      </c>
      <c r="E160" s="13" t="s">
        <v>410</v>
      </c>
      <c r="F160"/>
      <c r="G160">
        <v>2</v>
      </c>
      <c r="H160">
        <v>100</v>
      </c>
      <c r="J160" cm="1">
        <f t="array" ref="J160">_xlfn.SWITCH(B160,1,75,2,61,3,49,4,37,5,25,6,13,7,4,8,1)</f>
        <v>75</v>
      </c>
      <c r="K160" t="str" cm="1">
        <f t="array" ref="K160">IFERROR(_xlfn.SWITCH(L160,1,_xlfn.XLOOKUP(C160,[1]AttributeName!$C:$C,[1]AttributeName!$I:$I),2,_xlfn.XLOOKUP(C160,[1]ModifierDes!$B:$B,[1]ModifierDes!$C:$C),3,_xlfn.XLOOKUP(C160,[1]StuntDes!$B:$B,[1]StuntDes!$C:$C)),"")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416</v>
      </c>
      <c r="D161" t="s">
        <v>26</v>
      </c>
      <c r="E161" s="13" t="s">
        <v>410</v>
      </c>
      <c r="F161"/>
      <c r="G161">
        <v>2</v>
      </c>
      <c r="H161">
        <v>200</v>
      </c>
      <c r="J161" cm="1">
        <f t="array" ref="J161">_xlfn.SWITCH(B161,1,75,2,61,3,49,4,37,5,25,6,13,7,4,8,1)</f>
        <v>61</v>
      </c>
      <c r="K161" t="str" cm="1">
        <f t="array" ref="K161">IFERROR(_xlfn.SWITCH(L161,1,_xlfn.XLOOKUP(C161,[1]AttributeName!$C:$C,[1]AttributeName!$I:$I),2,_xlfn.XLOOKUP(C161,[1]ModifierDes!$B:$B,[1]ModifierDes!$C:$C),3,_xlfn.XLOOKUP(C161,[1]StuntDes!$B:$B,[1]StuntDes!$C:$C)),"")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416</v>
      </c>
      <c r="D162" t="s">
        <v>26</v>
      </c>
      <c r="E162" s="13" t="s">
        <v>410</v>
      </c>
      <c r="F162"/>
      <c r="G162">
        <v>2</v>
      </c>
      <c r="H162">
        <v>400</v>
      </c>
      <c r="J162" cm="1">
        <f t="array" ref="J162">_xlfn.SWITCH(B162,1,75,2,61,3,49,4,37,5,25,6,13,7,4,8,1)</f>
        <v>49</v>
      </c>
      <c r="K162" t="str" cm="1">
        <f t="array" ref="K162">IFERROR(_xlfn.SWITCH(L162,1,_xlfn.XLOOKUP(C162,[1]AttributeName!$C:$C,[1]AttributeName!$I:$I),2,_xlfn.XLOOKUP(C162,[1]ModifierDes!$B:$B,[1]ModifierDes!$C:$C),3,_xlfn.XLOOKUP(C162,[1]StuntDes!$B:$B,[1]StuntDes!$C:$C)),"")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416</v>
      </c>
      <c r="D163" t="s">
        <v>26</v>
      </c>
      <c r="E163" s="13" t="s">
        <v>410</v>
      </c>
      <c r="F163"/>
      <c r="G163">
        <v>2</v>
      </c>
      <c r="H163">
        <v>600</v>
      </c>
      <c r="J163" cm="1">
        <f t="array" ref="J163">_xlfn.SWITCH(B163,1,75,2,61,3,49,4,37,5,25,6,13,7,4,8,1)</f>
        <v>37</v>
      </c>
      <c r="K163" t="str" cm="1">
        <f t="array" ref="K163">IFERROR(_xlfn.SWITCH(L163,1,_xlfn.XLOOKUP(C163,[1]AttributeName!$C:$C,[1]AttributeName!$I:$I),2,_xlfn.XLOOKUP(C163,[1]ModifierDes!$B:$B,[1]ModifierDes!$C:$C),3,_xlfn.XLOOKUP(C163,[1]StuntDes!$B:$B,[1]StuntDes!$C:$C)),"")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416</v>
      </c>
      <c r="D164" t="s">
        <v>26</v>
      </c>
      <c r="E164" s="13" t="s">
        <v>410</v>
      </c>
      <c r="F164"/>
      <c r="G164">
        <v>2</v>
      </c>
      <c r="H164">
        <v>800</v>
      </c>
      <c r="J164" cm="1">
        <f t="array" ref="J164">_xlfn.SWITCH(B164,1,75,2,61,3,49,4,37,5,25,6,13,7,4,8,1)</f>
        <v>25</v>
      </c>
      <c r="K164" t="str" cm="1">
        <f t="array" ref="K164">IFERROR(_xlfn.SWITCH(L164,1,_xlfn.XLOOKUP(C164,[1]AttributeName!$C:$C,[1]AttributeName!$I:$I),2,_xlfn.XLOOKUP(C164,[1]ModifierDes!$B:$B,[1]ModifierDes!$C:$C),3,_xlfn.XLOOKUP(C164,[1]StuntDes!$B:$B,[1]StuntDes!$C:$C)),"")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416</v>
      </c>
      <c r="D165" t="s">
        <v>26</v>
      </c>
      <c r="E165" s="13" t="s">
        <v>410</v>
      </c>
      <c r="F165"/>
      <c r="G165">
        <v>2</v>
      </c>
      <c r="H165">
        <v>1000</v>
      </c>
      <c r="J165" cm="1">
        <f t="array" ref="J165">_xlfn.SWITCH(B165,1,75,2,61,3,49,4,37,5,25,6,13,7,4,8,1)</f>
        <v>13</v>
      </c>
      <c r="K165" t="str" cm="1">
        <f t="array" ref="K165">IFERROR(_xlfn.SWITCH(L165,1,_xlfn.XLOOKUP(C165,[1]AttributeName!$C:$C,[1]AttributeName!$I:$I),2,_xlfn.XLOOKUP(C165,[1]ModifierDes!$B:$B,[1]ModifierDes!$C:$C),3,_xlfn.XLOOKUP(C165,[1]StuntDes!$B:$B,[1]StuntDes!$C:$C)),"")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416</v>
      </c>
      <c r="D166" t="s">
        <v>26</v>
      </c>
      <c r="E166" s="13" t="s">
        <v>410</v>
      </c>
      <c r="F166"/>
      <c r="G166">
        <v>2</v>
      </c>
      <c r="H166">
        <v>1000</v>
      </c>
      <c r="J166" cm="1">
        <f t="array" ref="J166">_xlfn.SWITCH(B166,1,75,2,61,3,49,4,37,5,25,6,13,7,4,8,1)</f>
        <v>4</v>
      </c>
      <c r="K166" t="str" cm="1">
        <f t="array" ref="K166">IFERROR(_xlfn.SWITCH(L166,1,_xlfn.XLOOKUP(C166,[1]AttributeName!$C:$C,[1]AttributeName!$I:$I),2,_xlfn.XLOOKUP(C166,[1]ModifierDes!$B:$B,[1]ModifierDes!$C:$C),3,_xlfn.XLOOKUP(C166,[1]StuntDes!$B:$B,[1]StuntDes!$C:$C)),"")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416</v>
      </c>
      <c r="D167" t="s">
        <v>26</v>
      </c>
      <c r="E167" s="13" t="s">
        <v>410</v>
      </c>
      <c r="F167"/>
      <c r="G167">
        <v>2</v>
      </c>
      <c r="H167">
        <v>1000</v>
      </c>
      <c r="J167" cm="1">
        <f t="array" ref="J167">_xlfn.SWITCH(B167,1,75,2,61,3,49,4,37,5,25,6,13,7,4,8,1)</f>
        <v>1</v>
      </c>
      <c r="K167" t="str" cm="1">
        <f t="array" ref="K167">IFERROR(_xlfn.SWITCH(L167,1,_xlfn.XLOOKUP(C167,[1]AttributeName!$C:$C,[1]AttributeName!$I:$I),2,_xlfn.XLOOKUP(C167,[1]ModifierDes!$B:$B,[1]ModifierDes!$C:$C),3,_xlfn.XLOOKUP(C167,[1]StuntDes!$B:$B,[1]StuntDes!$C:$C)),"")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417</v>
      </c>
      <c r="D168" t="s">
        <v>26</v>
      </c>
      <c r="E168" s="13" t="s">
        <v>410</v>
      </c>
      <c r="F168"/>
      <c r="G168">
        <v>2</v>
      </c>
      <c r="H168">
        <v>100</v>
      </c>
      <c r="J168" cm="1">
        <f t="array" ref="J168">_xlfn.SWITCH(B168,1,75,2,61,3,49,4,37,5,25,6,13,7,4,8,1)</f>
        <v>75</v>
      </c>
      <c r="K168" t="str" cm="1">
        <f t="array" ref="K168">IFERROR(_xlfn.SWITCH(L168,1,_xlfn.XLOOKUP(C168,[1]AttributeName!$C:$C,[1]AttributeName!$I:$I),2,_xlfn.XLOOKUP(C168,[1]ModifierDes!$B:$B,[1]ModifierDes!$C:$C),3,_xlfn.XLOOKUP(C168,[1]StuntDes!$B:$B,[1]StuntDes!$C:$C)),"")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417</v>
      </c>
      <c r="D169" t="s">
        <v>26</v>
      </c>
      <c r="E169" s="13" t="s">
        <v>410</v>
      </c>
      <c r="F169"/>
      <c r="G169">
        <v>2</v>
      </c>
      <c r="H169">
        <v>200</v>
      </c>
      <c r="J169" cm="1">
        <f t="array" ref="J169">_xlfn.SWITCH(B169,1,75,2,61,3,49,4,37,5,25,6,13,7,4,8,1)</f>
        <v>61</v>
      </c>
      <c r="K169" t="str" cm="1">
        <f t="array" ref="K169">IFERROR(_xlfn.SWITCH(L169,1,_xlfn.XLOOKUP(C169,[1]AttributeName!$C:$C,[1]AttributeName!$I:$I),2,_xlfn.XLOOKUP(C169,[1]ModifierDes!$B:$B,[1]ModifierDes!$C:$C),3,_xlfn.XLOOKUP(C169,[1]StuntDes!$B:$B,[1]StuntDes!$C:$C)),"")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417</v>
      </c>
      <c r="D170" t="s">
        <v>26</v>
      </c>
      <c r="E170" s="13" t="s">
        <v>410</v>
      </c>
      <c r="F170"/>
      <c r="G170">
        <v>2</v>
      </c>
      <c r="H170">
        <v>400</v>
      </c>
      <c r="J170" cm="1">
        <f t="array" ref="J170">_xlfn.SWITCH(B170,1,75,2,61,3,49,4,37,5,25,6,13,7,4,8,1)</f>
        <v>49</v>
      </c>
      <c r="K170" t="str" cm="1">
        <f t="array" ref="K170">IFERROR(_xlfn.SWITCH(L170,1,_xlfn.XLOOKUP(C170,[1]AttributeName!$C:$C,[1]AttributeName!$I:$I),2,_xlfn.XLOOKUP(C170,[1]ModifierDes!$B:$B,[1]ModifierDes!$C:$C),3,_xlfn.XLOOKUP(C170,[1]StuntDes!$B:$B,[1]StuntDes!$C:$C)),"")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417</v>
      </c>
      <c r="D171" t="s">
        <v>26</v>
      </c>
      <c r="E171" s="13" t="s">
        <v>410</v>
      </c>
      <c r="F171"/>
      <c r="G171">
        <v>2</v>
      </c>
      <c r="H171">
        <v>600</v>
      </c>
      <c r="J171" cm="1">
        <f t="array" ref="J171">_xlfn.SWITCH(B171,1,75,2,61,3,49,4,37,5,25,6,13,7,4,8,1)</f>
        <v>37</v>
      </c>
      <c r="K171" t="str" cm="1">
        <f t="array" ref="K171">IFERROR(_xlfn.SWITCH(L171,1,_xlfn.XLOOKUP(C171,[1]AttributeName!$C:$C,[1]AttributeName!$I:$I),2,_xlfn.XLOOKUP(C171,[1]ModifierDes!$B:$B,[1]ModifierDes!$C:$C),3,_xlfn.XLOOKUP(C171,[1]StuntDes!$B:$B,[1]StuntDes!$C:$C)),"")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417</v>
      </c>
      <c r="D172" t="s">
        <v>26</v>
      </c>
      <c r="E172" s="13" t="s">
        <v>410</v>
      </c>
      <c r="F172"/>
      <c r="G172">
        <v>2</v>
      </c>
      <c r="H172">
        <v>800</v>
      </c>
      <c r="J172" cm="1">
        <f t="array" ref="J172">_xlfn.SWITCH(B172,1,75,2,61,3,49,4,37,5,25,6,13,7,4,8,1)</f>
        <v>25</v>
      </c>
      <c r="K172" t="str" cm="1">
        <f t="array" ref="K172">IFERROR(_xlfn.SWITCH(L172,1,_xlfn.XLOOKUP(C172,[1]AttributeName!$C:$C,[1]AttributeName!$I:$I),2,_xlfn.XLOOKUP(C172,[1]ModifierDes!$B:$B,[1]ModifierDes!$C:$C),3,_xlfn.XLOOKUP(C172,[1]StuntDes!$B:$B,[1]StuntDes!$C:$C)),"")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417</v>
      </c>
      <c r="D173" t="s">
        <v>26</v>
      </c>
      <c r="E173" s="13" t="s">
        <v>410</v>
      </c>
      <c r="F173"/>
      <c r="G173">
        <v>2</v>
      </c>
      <c r="H173">
        <v>1000</v>
      </c>
      <c r="J173" cm="1">
        <f t="array" ref="J173">_xlfn.SWITCH(B173,1,75,2,61,3,49,4,37,5,25,6,13,7,4,8,1)</f>
        <v>13</v>
      </c>
      <c r="K173" t="str" cm="1">
        <f t="array" ref="K173">IFERROR(_xlfn.SWITCH(L173,1,_xlfn.XLOOKUP(C173,[1]AttributeName!$C:$C,[1]AttributeName!$I:$I),2,_xlfn.XLOOKUP(C173,[1]ModifierDes!$B:$B,[1]ModifierDes!$C:$C),3,_xlfn.XLOOKUP(C173,[1]StuntDes!$B:$B,[1]StuntDes!$C:$C)),"")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417</v>
      </c>
      <c r="D174" t="s">
        <v>26</v>
      </c>
      <c r="E174" s="13" t="s">
        <v>410</v>
      </c>
      <c r="F174"/>
      <c r="G174">
        <v>2</v>
      </c>
      <c r="H174">
        <v>1000</v>
      </c>
      <c r="J174" cm="1">
        <f t="array" ref="J174">_xlfn.SWITCH(B174,1,75,2,61,3,49,4,37,5,25,6,13,7,4,8,1)</f>
        <v>4</v>
      </c>
      <c r="K174" t="str" cm="1">
        <f t="array" ref="K174">IFERROR(_xlfn.SWITCH(L174,1,_xlfn.XLOOKUP(C174,[1]AttributeName!$C:$C,[1]AttributeName!$I:$I),2,_xlfn.XLOOKUP(C174,[1]ModifierDes!$B:$B,[1]ModifierDes!$C:$C),3,_xlfn.XLOOKUP(C174,[1]StuntDes!$B:$B,[1]StuntDes!$C:$C)),"")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417</v>
      </c>
      <c r="D175" t="s">
        <v>26</v>
      </c>
      <c r="E175" s="13" t="s">
        <v>410</v>
      </c>
      <c r="F175"/>
      <c r="G175">
        <v>2</v>
      </c>
      <c r="H175">
        <v>1000</v>
      </c>
      <c r="J175" cm="1">
        <f t="array" ref="J175">_xlfn.SWITCH(B175,1,75,2,61,3,49,4,37,5,25,6,13,7,4,8,1)</f>
        <v>1</v>
      </c>
      <c r="K175" t="str" cm="1">
        <f t="array" ref="K175">IFERROR(_xlfn.SWITCH(L175,1,_xlfn.XLOOKUP(C175,[1]AttributeName!$C:$C,[1]AttributeName!$I:$I),2,_xlfn.XLOOKUP(C175,[1]ModifierDes!$B:$B,[1]ModifierDes!$C:$C),3,_xlfn.XLOOKUP(C175,[1]StuntDes!$B:$B,[1]StuntDes!$C:$C)),"")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418</v>
      </c>
      <c r="D176" t="s">
        <v>26</v>
      </c>
      <c r="E176" s="13" t="s">
        <v>410</v>
      </c>
      <c r="F176"/>
      <c r="G176">
        <v>2</v>
      </c>
      <c r="H176">
        <v>100</v>
      </c>
      <c r="J176" cm="1">
        <f t="array" ref="J176">_xlfn.SWITCH(B176,1,75,2,61,3,49,4,37,5,25,6,13,7,4,8,1)</f>
        <v>75</v>
      </c>
      <c r="K176" t="str" cm="1">
        <f t="array" ref="K176">IFERROR(_xlfn.SWITCH(L176,1,_xlfn.XLOOKUP(C176,[1]AttributeName!$C:$C,[1]AttributeName!$I:$I),2,_xlfn.XLOOKUP(C176,[1]ModifierDes!$B:$B,[1]ModifierDes!$C:$C),3,_xlfn.XLOOKUP(C176,[1]StuntDes!$B:$B,[1]StuntDes!$C:$C)),"")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418</v>
      </c>
      <c r="D177" t="s">
        <v>26</v>
      </c>
      <c r="E177" s="13" t="s">
        <v>410</v>
      </c>
      <c r="F177"/>
      <c r="G177">
        <v>2</v>
      </c>
      <c r="H177">
        <v>200</v>
      </c>
      <c r="J177" cm="1">
        <f t="array" ref="J177">_xlfn.SWITCH(B177,1,75,2,61,3,49,4,37,5,25,6,13,7,4,8,1)</f>
        <v>61</v>
      </c>
      <c r="K177" t="str" cm="1">
        <f t="array" ref="K177">IFERROR(_xlfn.SWITCH(L177,1,_xlfn.XLOOKUP(C177,[1]AttributeName!$C:$C,[1]AttributeName!$I:$I),2,_xlfn.XLOOKUP(C177,[1]ModifierDes!$B:$B,[1]ModifierDes!$C:$C),3,_xlfn.XLOOKUP(C177,[1]StuntDes!$B:$B,[1]StuntDes!$C:$C)),"")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418</v>
      </c>
      <c r="D178" t="s">
        <v>26</v>
      </c>
      <c r="E178" s="13" t="s">
        <v>410</v>
      </c>
      <c r="F178"/>
      <c r="G178">
        <v>2</v>
      </c>
      <c r="H178">
        <v>400</v>
      </c>
      <c r="J178" cm="1">
        <f t="array" ref="J178">_xlfn.SWITCH(B178,1,75,2,61,3,49,4,37,5,25,6,13,7,4,8,1)</f>
        <v>49</v>
      </c>
      <c r="K178" t="str" cm="1">
        <f t="array" ref="K178">IFERROR(_xlfn.SWITCH(L178,1,_xlfn.XLOOKUP(C178,[1]AttributeName!$C:$C,[1]AttributeName!$I:$I),2,_xlfn.XLOOKUP(C178,[1]ModifierDes!$B:$B,[1]ModifierDes!$C:$C),3,_xlfn.XLOOKUP(C178,[1]StuntDes!$B:$B,[1]StuntDes!$C:$C)),"")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418</v>
      </c>
      <c r="D179" t="s">
        <v>26</v>
      </c>
      <c r="E179" s="13" t="s">
        <v>410</v>
      </c>
      <c r="F179"/>
      <c r="G179">
        <v>2</v>
      </c>
      <c r="H179">
        <v>600</v>
      </c>
      <c r="J179" cm="1">
        <f t="array" ref="J179">_xlfn.SWITCH(B179,1,75,2,61,3,49,4,37,5,25,6,13,7,4,8,1)</f>
        <v>37</v>
      </c>
      <c r="K179" t="str" cm="1">
        <f t="array" ref="K179">IFERROR(_xlfn.SWITCH(L179,1,_xlfn.XLOOKUP(C179,[1]AttributeName!$C:$C,[1]AttributeName!$I:$I),2,_xlfn.XLOOKUP(C179,[1]ModifierDes!$B:$B,[1]ModifierDes!$C:$C),3,_xlfn.XLOOKUP(C179,[1]StuntDes!$B:$B,[1]StuntDes!$C:$C)),"")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418</v>
      </c>
      <c r="D180" t="s">
        <v>26</v>
      </c>
      <c r="E180" s="13" t="s">
        <v>410</v>
      </c>
      <c r="F180"/>
      <c r="G180">
        <v>2</v>
      </c>
      <c r="H180">
        <v>800</v>
      </c>
      <c r="J180" cm="1">
        <f t="array" ref="J180">_xlfn.SWITCH(B180,1,75,2,61,3,49,4,37,5,25,6,13,7,4,8,1)</f>
        <v>25</v>
      </c>
      <c r="K180" t="str" cm="1">
        <f t="array" ref="K180">IFERROR(_xlfn.SWITCH(L180,1,_xlfn.XLOOKUP(C180,[1]AttributeName!$C:$C,[1]AttributeName!$I:$I),2,_xlfn.XLOOKUP(C180,[1]ModifierDes!$B:$B,[1]ModifierDes!$C:$C),3,_xlfn.XLOOKUP(C180,[1]StuntDes!$B:$B,[1]StuntDes!$C:$C)),"")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418</v>
      </c>
      <c r="D181" t="s">
        <v>26</v>
      </c>
      <c r="E181" s="13" t="s">
        <v>410</v>
      </c>
      <c r="F181"/>
      <c r="G181">
        <v>2</v>
      </c>
      <c r="H181">
        <v>1000</v>
      </c>
      <c r="J181" cm="1">
        <f t="array" ref="J181">_xlfn.SWITCH(B181,1,75,2,61,3,49,4,37,5,25,6,13,7,4,8,1)</f>
        <v>13</v>
      </c>
      <c r="K181" t="str" cm="1">
        <f t="array" ref="K181">IFERROR(_xlfn.SWITCH(L181,1,_xlfn.XLOOKUP(C181,[1]AttributeName!$C:$C,[1]AttributeName!$I:$I),2,_xlfn.XLOOKUP(C181,[1]ModifierDes!$B:$B,[1]ModifierDes!$C:$C),3,_xlfn.XLOOKUP(C181,[1]StuntDes!$B:$B,[1]StuntDes!$C:$C)),"")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418</v>
      </c>
      <c r="D182" t="s">
        <v>26</v>
      </c>
      <c r="E182" s="13" t="s">
        <v>410</v>
      </c>
      <c r="F182"/>
      <c r="G182">
        <v>2</v>
      </c>
      <c r="H182">
        <v>1000</v>
      </c>
      <c r="J182" cm="1">
        <f t="array" ref="J182">_xlfn.SWITCH(B182,1,75,2,61,3,49,4,37,5,25,6,13,7,4,8,1)</f>
        <v>4</v>
      </c>
      <c r="K182" t="str" cm="1">
        <f t="array" ref="K182">IFERROR(_xlfn.SWITCH(L182,1,_xlfn.XLOOKUP(C182,[1]AttributeName!$C:$C,[1]AttributeName!$I:$I),2,_xlfn.XLOOKUP(C182,[1]ModifierDes!$B:$B,[1]ModifierDes!$C:$C),3,_xlfn.XLOOKUP(C182,[1]StuntDes!$B:$B,[1]StuntDes!$C:$C)),"")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418</v>
      </c>
      <c r="D183" t="s">
        <v>26</v>
      </c>
      <c r="E183" s="13" t="s">
        <v>410</v>
      </c>
      <c r="F183"/>
      <c r="G183">
        <v>2</v>
      </c>
      <c r="H183">
        <v>1000</v>
      </c>
      <c r="J183" cm="1">
        <f t="array" ref="J183">_xlfn.SWITCH(B183,1,75,2,61,3,49,4,37,5,25,6,13,7,4,8,1)</f>
        <v>1</v>
      </c>
      <c r="K183" t="str" cm="1">
        <f t="array" ref="K183">IFERROR(_xlfn.SWITCH(L183,1,_xlfn.XLOOKUP(C183,[1]AttributeName!$C:$C,[1]AttributeName!$I:$I),2,_xlfn.XLOOKUP(C183,[1]ModifierDes!$B:$B,[1]ModifierDes!$C:$C),3,_xlfn.XLOOKUP(C183,[1]StuntDes!$B:$B,[1]StuntDes!$C:$C)),"")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419</v>
      </c>
      <c r="D184" t="s">
        <v>26</v>
      </c>
      <c r="E184" s="13" t="s">
        <v>410</v>
      </c>
      <c r="F184"/>
      <c r="G184">
        <v>2</v>
      </c>
      <c r="H184">
        <v>1000</v>
      </c>
      <c r="J184" cm="1">
        <f t="array" ref="J184">_xlfn.SWITCH(B184,1,75,2,61,3,49,4,37,5,25,6,13,7,4,8,1)</f>
        <v>75</v>
      </c>
      <c r="K184" t="str" cm="1">
        <f t="array" ref="K184">IFERROR(_xlfn.SWITCH(L184,1,_xlfn.XLOOKUP(C184,[1]AttributeName!$C:$C,[1]AttributeName!$I:$I),2,_xlfn.XLOOKUP(C184,[1]ModifierDes!$B:$B,[1]ModifierDes!$C:$C),3,_xlfn.XLOOKUP(C184,[1]StuntDes!$B:$B,[1]StuntDes!$C:$C)),"")</f>
        <v>点燃概率增加{0}</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419</v>
      </c>
      <c r="D185" t="s">
        <v>26</v>
      </c>
      <c r="E185" s="13" t="s">
        <v>410</v>
      </c>
      <c r="F185"/>
      <c r="G185">
        <v>2</v>
      </c>
      <c r="H185">
        <v>1000</v>
      </c>
      <c r="J185" cm="1">
        <f t="array" ref="J185">_xlfn.SWITCH(B185,1,75,2,61,3,49,4,37,5,25,6,13,7,4,8,1)</f>
        <v>61</v>
      </c>
      <c r="K185" t="str" cm="1">
        <f t="array" ref="K185">IFERROR(_xlfn.SWITCH(L185,1,_xlfn.XLOOKUP(C185,[1]AttributeName!$C:$C,[1]AttributeName!$I:$I),2,_xlfn.XLOOKUP(C185,[1]ModifierDes!$B:$B,[1]ModifierDes!$C:$C),3,_xlfn.XLOOKUP(C185,[1]StuntDes!$B:$B,[1]StuntDes!$C:$C)),"")</f>
        <v>点燃概率增加{0}</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419</v>
      </c>
      <c r="D186" t="s">
        <v>26</v>
      </c>
      <c r="E186" s="13" t="s">
        <v>410</v>
      </c>
      <c r="F186"/>
      <c r="G186">
        <v>2</v>
      </c>
      <c r="H186">
        <v>1000</v>
      </c>
      <c r="J186" cm="1">
        <f t="array" ref="J186">_xlfn.SWITCH(B186,1,75,2,61,3,49,4,37,5,25,6,13,7,4,8,1)</f>
        <v>49</v>
      </c>
      <c r="K186" t="str" cm="1">
        <f t="array" ref="K186">IFERROR(_xlfn.SWITCH(L186,1,_xlfn.XLOOKUP(C186,[1]AttributeName!$C:$C,[1]AttributeName!$I:$I),2,_xlfn.XLOOKUP(C186,[1]ModifierDes!$B:$B,[1]ModifierDes!$C:$C),3,_xlfn.XLOOKUP(C186,[1]StuntDes!$B:$B,[1]StuntDes!$C:$C)),"")</f>
        <v>点燃概率增加{0}</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419</v>
      </c>
      <c r="D187" t="s">
        <v>26</v>
      </c>
      <c r="E187" s="13" t="s">
        <v>410</v>
      </c>
      <c r="F187"/>
      <c r="G187">
        <v>2</v>
      </c>
      <c r="H187">
        <v>1000</v>
      </c>
      <c r="J187" cm="1">
        <f t="array" ref="J187">_xlfn.SWITCH(B187,1,75,2,61,3,49,4,37,5,25,6,13,7,4,8,1)</f>
        <v>37</v>
      </c>
      <c r="K187" t="str" cm="1">
        <f t="array" ref="K187">IFERROR(_xlfn.SWITCH(L187,1,_xlfn.XLOOKUP(C187,[1]AttributeName!$C:$C,[1]AttributeName!$I:$I),2,_xlfn.XLOOKUP(C187,[1]ModifierDes!$B:$B,[1]ModifierDes!$C:$C),3,_xlfn.XLOOKUP(C187,[1]StuntDes!$B:$B,[1]StuntDes!$C:$C)),"")</f>
        <v>点燃概率增加{0}</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419</v>
      </c>
      <c r="D188" t="s">
        <v>26</v>
      </c>
      <c r="E188" s="13" t="s">
        <v>410</v>
      </c>
      <c r="F188"/>
      <c r="G188">
        <v>2</v>
      </c>
      <c r="H188">
        <v>1000</v>
      </c>
      <c r="J188" cm="1">
        <f t="array" ref="J188">_xlfn.SWITCH(B188,1,75,2,61,3,49,4,37,5,25,6,13,7,4,8,1)</f>
        <v>25</v>
      </c>
      <c r="K188" t="str" cm="1">
        <f t="array" ref="K188">IFERROR(_xlfn.SWITCH(L188,1,_xlfn.XLOOKUP(C188,[1]AttributeName!$C:$C,[1]AttributeName!$I:$I),2,_xlfn.XLOOKUP(C188,[1]ModifierDes!$B:$B,[1]ModifierDes!$C:$C),3,_xlfn.XLOOKUP(C188,[1]StuntDes!$B:$B,[1]StuntDes!$C:$C)),"")</f>
        <v>点燃概率增加{0}</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419</v>
      </c>
      <c r="D189" t="s">
        <v>26</v>
      </c>
      <c r="E189" s="13" t="s">
        <v>410</v>
      </c>
      <c r="F189"/>
      <c r="G189">
        <v>2</v>
      </c>
      <c r="H189">
        <v>1000</v>
      </c>
      <c r="J189" cm="1">
        <f t="array" ref="J189">_xlfn.SWITCH(B189,1,75,2,61,3,49,4,37,5,25,6,13,7,4,8,1)</f>
        <v>13</v>
      </c>
      <c r="K189" t="str" cm="1">
        <f t="array" ref="K189">IFERROR(_xlfn.SWITCH(L189,1,_xlfn.XLOOKUP(C189,[1]AttributeName!$C:$C,[1]AttributeName!$I:$I),2,_xlfn.XLOOKUP(C189,[1]ModifierDes!$B:$B,[1]ModifierDes!$C:$C),3,_xlfn.XLOOKUP(C189,[1]StuntDes!$B:$B,[1]StuntDes!$C:$C)),"")</f>
        <v>点燃概率增加{0}</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419</v>
      </c>
      <c r="D190" t="s">
        <v>26</v>
      </c>
      <c r="E190" s="13" t="s">
        <v>410</v>
      </c>
      <c r="F190"/>
      <c r="G190">
        <v>2</v>
      </c>
      <c r="H190">
        <v>1000</v>
      </c>
      <c r="J190" cm="1">
        <f t="array" ref="J190">_xlfn.SWITCH(B190,1,75,2,61,3,49,4,37,5,25,6,13,7,4,8,1)</f>
        <v>4</v>
      </c>
      <c r="K190" t="str" cm="1">
        <f t="array" ref="K190">IFERROR(_xlfn.SWITCH(L190,1,_xlfn.XLOOKUP(C190,[1]AttributeName!$C:$C,[1]AttributeName!$I:$I),2,_xlfn.XLOOKUP(C190,[1]ModifierDes!$B:$B,[1]ModifierDes!$C:$C),3,_xlfn.XLOOKUP(C190,[1]StuntDes!$B:$B,[1]StuntDes!$C:$C)),"")</f>
        <v>点燃概率增加{0}</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419</v>
      </c>
      <c r="D191" t="s">
        <v>26</v>
      </c>
      <c r="E191" s="13" t="s">
        <v>410</v>
      </c>
      <c r="F191"/>
      <c r="G191">
        <v>2</v>
      </c>
      <c r="H191">
        <v>1000</v>
      </c>
      <c r="J191" cm="1">
        <f t="array" ref="J191">_xlfn.SWITCH(B191,1,75,2,61,3,49,4,37,5,25,6,13,7,4,8,1)</f>
        <v>1</v>
      </c>
      <c r="K191" t="str" cm="1">
        <f t="array" ref="K191">IFERROR(_xlfn.SWITCH(L191,1,_xlfn.XLOOKUP(C191,[1]AttributeName!$C:$C,[1]AttributeName!$I:$I),2,_xlfn.XLOOKUP(C191,[1]ModifierDes!$B:$B,[1]ModifierDes!$C:$C),3,_xlfn.XLOOKUP(C191,[1]StuntDes!$B:$B,[1]StuntDes!$C:$C)),"")</f>
        <v>点燃概率增加{0}</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420</v>
      </c>
      <c r="D192" t="s">
        <v>26</v>
      </c>
      <c r="E192" s="13" t="s">
        <v>410</v>
      </c>
      <c r="F192"/>
      <c r="G192">
        <v>2</v>
      </c>
      <c r="H192">
        <v>1000</v>
      </c>
      <c r="J192" cm="1">
        <f t="array" ref="J192">_xlfn.SWITCH(B192,1,75,2,61,3,49,4,37,5,25,6,13,7,4,8,1)</f>
        <v>75</v>
      </c>
      <c r="K192" t="str" cm="1">
        <f t="array" ref="K192">IFERROR(_xlfn.SWITCH(L192,1,_xlfn.XLOOKUP(C192,[1]AttributeName!$C:$C,[1]AttributeName!$I:$I),2,_xlfn.XLOOKUP(C192,[1]ModifierDes!$B:$B,[1]ModifierDes!$C:$C),3,_xlfn.XLOOKUP(C192,[1]StuntDes!$B:$B,[1]StuntDes!$C:$C)),"")</f>
        <v>冻结效果比例增加{0}</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420</v>
      </c>
      <c r="D193" t="s">
        <v>26</v>
      </c>
      <c r="E193" s="13" t="s">
        <v>410</v>
      </c>
      <c r="F193"/>
      <c r="G193">
        <v>2</v>
      </c>
      <c r="H193">
        <v>1000</v>
      </c>
      <c r="J193" cm="1">
        <f t="array" ref="J193">_xlfn.SWITCH(B193,1,75,2,61,3,49,4,37,5,25,6,13,7,4,8,1)</f>
        <v>61</v>
      </c>
      <c r="K193" t="str" cm="1">
        <f t="array" ref="K193">IFERROR(_xlfn.SWITCH(L193,1,_xlfn.XLOOKUP(C193,[1]AttributeName!$C:$C,[1]AttributeName!$I:$I),2,_xlfn.XLOOKUP(C193,[1]ModifierDes!$B:$B,[1]ModifierDes!$C:$C),3,_xlfn.XLOOKUP(C193,[1]StuntDes!$B:$B,[1]StuntDes!$C:$C)),"")</f>
        <v>冻结效果比例增加{0}</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420</v>
      </c>
      <c r="D194" t="s">
        <v>26</v>
      </c>
      <c r="E194" s="13" t="s">
        <v>410</v>
      </c>
      <c r="F194"/>
      <c r="G194">
        <v>2</v>
      </c>
      <c r="H194">
        <v>1000</v>
      </c>
      <c r="J194" cm="1">
        <f t="array" ref="J194">_xlfn.SWITCH(B194,1,75,2,61,3,49,4,37,5,25,6,13,7,4,8,1)</f>
        <v>49</v>
      </c>
      <c r="K194" t="str" cm="1">
        <f t="array" ref="K194">IFERROR(_xlfn.SWITCH(L194,1,_xlfn.XLOOKUP(C194,[1]AttributeName!$C:$C,[1]AttributeName!$I:$I),2,_xlfn.XLOOKUP(C194,[1]ModifierDes!$B:$B,[1]ModifierDes!$C:$C),3,_xlfn.XLOOKUP(C194,[1]StuntDes!$B:$B,[1]StuntDes!$C:$C)),"")</f>
        <v>冻结效果比例增加{0}</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420</v>
      </c>
      <c r="D195" t="s">
        <v>26</v>
      </c>
      <c r="E195" s="13" t="s">
        <v>410</v>
      </c>
      <c r="F195"/>
      <c r="G195">
        <v>2</v>
      </c>
      <c r="H195">
        <v>1000</v>
      </c>
      <c r="J195" cm="1">
        <f t="array" ref="J195">_xlfn.SWITCH(B195,1,75,2,61,3,49,4,37,5,25,6,13,7,4,8,1)</f>
        <v>37</v>
      </c>
      <c r="K195" t="str" cm="1">
        <f t="array" ref="K195">IFERROR(_xlfn.SWITCH(L195,1,_xlfn.XLOOKUP(C195,[1]AttributeName!$C:$C,[1]AttributeName!$I:$I),2,_xlfn.XLOOKUP(C195,[1]ModifierDes!$B:$B,[1]ModifierDes!$C:$C),3,_xlfn.XLOOKUP(C195,[1]StuntDes!$B:$B,[1]StuntDes!$C:$C)),"")</f>
        <v>冻结效果比例增加{0}</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420</v>
      </c>
      <c r="D196" t="s">
        <v>26</v>
      </c>
      <c r="E196" s="13" t="s">
        <v>410</v>
      </c>
      <c r="F196"/>
      <c r="G196">
        <v>2</v>
      </c>
      <c r="H196">
        <v>1000</v>
      </c>
      <c r="J196" cm="1">
        <f t="array" ref="J196">_xlfn.SWITCH(B196,1,75,2,61,3,49,4,37,5,25,6,13,7,4,8,1)</f>
        <v>25</v>
      </c>
      <c r="K196" t="str" cm="1">
        <f t="array" ref="K196">IFERROR(_xlfn.SWITCH(L196,1,_xlfn.XLOOKUP(C196,[1]AttributeName!$C:$C,[1]AttributeName!$I:$I),2,_xlfn.XLOOKUP(C196,[1]ModifierDes!$B:$B,[1]ModifierDes!$C:$C),3,_xlfn.XLOOKUP(C196,[1]StuntDes!$B:$B,[1]StuntDes!$C:$C)),"")</f>
        <v>冻结效果比例增加{0}</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420</v>
      </c>
      <c r="D197" t="s">
        <v>26</v>
      </c>
      <c r="E197" s="13" t="s">
        <v>410</v>
      </c>
      <c r="F197"/>
      <c r="G197">
        <v>2</v>
      </c>
      <c r="H197">
        <v>1000</v>
      </c>
      <c r="J197" cm="1">
        <f t="array" ref="J197">_xlfn.SWITCH(B197,1,75,2,61,3,49,4,37,5,25,6,13,7,4,8,1)</f>
        <v>13</v>
      </c>
      <c r="K197" t="str" cm="1">
        <f t="array" ref="K197">IFERROR(_xlfn.SWITCH(L197,1,_xlfn.XLOOKUP(C197,[1]AttributeName!$C:$C,[1]AttributeName!$I:$I),2,_xlfn.XLOOKUP(C197,[1]ModifierDes!$B:$B,[1]ModifierDes!$C:$C),3,_xlfn.XLOOKUP(C197,[1]StuntDes!$B:$B,[1]StuntDes!$C:$C)),"")</f>
        <v>冻结效果比例增加{0}</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420</v>
      </c>
      <c r="D198" t="s">
        <v>26</v>
      </c>
      <c r="E198" s="13" t="s">
        <v>410</v>
      </c>
      <c r="F198"/>
      <c r="G198">
        <v>2</v>
      </c>
      <c r="H198">
        <v>1000</v>
      </c>
      <c r="J198" cm="1">
        <f t="array" ref="J198">_xlfn.SWITCH(B198,1,75,2,61,3,49,4,37,5,25,6,13,7,4,8,1)</f>
        <v>4</v>
      </c>
      <c r="K198" t="str" cm="1">
        <f t="array" ref="K198">IFERROR(_xlfn.SWITCH(L198,1,_xlfn.XLOOKUP(C198,[1]AttributeName!$C:$C,[1]AttributeName!$I:$I),2,_xlfn.XLOOKUP(C198,[1]ModifierDes!$B:$B,[1]ModifierDes!$C:$C),3,_xlfn.XLOOKUP(C198,[1]StuntDes!$B:$B,[1]StuntDes!$C:$C)),"")</f>
        <v>冻结效果比例增加{0}</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420</v>
      </c>
      <c r="D199" t="s">
        <v>26</v>
      </c>
      <c r="E199" s="13" t="s">
        <v>410</v>
      </c>
      <c r="F199"/>
      <c r="G199">
        <v>2</v>
      </c>
      <c r="H199">
        <v>1000</v>
      </c>
      <c r="J199" cm="1">
        <f t="array" ref="J199">_xlfn.SWITCH(B199,1,75,2,61,3,49,4,37,5,25,6,13,7,4,8,1)</f>
        <v>1</v>
      </c>
      <c r="K199" t="str" cm="1">
        <f t="array" ref="K199">IFERROR(_xlfn.SWITCH(L199,1,_xlfn.XLOOKUP(C199,[1]AttributeName!$C:$C,[1]AttributeName!$I:$I),2,_xlfn.XLOOKUP(C199,[1]ModifierDes!$B:$B,[1]ModifierDes!$C:$C),3,_xlfn.XLOOKUP(C199,[1]StuntDes!$B:$B,[1]StuntDes!$C:$C)),"")</f>
        <v>冻结效果比例增加{0}</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421</v>
      </c>
      <c r="D200" t="s">
        <v>26</v>
      </c>
      <c r="E200" s="13" t="s">
        <v>410</v>
      </c>
      <c r="F200"/>
      <c r="G200">
        <v>2</v>
      </c>
      <c r="H200">
        <v>1000</v>
      </c>
      <c r="J200" cm="1">
        <f t="array" ref="J200">_xlfn.SWITCH(B200,1,75,2,61,3,49,4,37,5,25,6,13,7,4,8,1)</f>
        <v>75</v>
      </c>
      <c r="K200" t="str" cm="1">
        <f t="array" ref="K200">IFERROR(_xlfn.SWITCH(L200,1,_xlfn.XLOOKUP(C200,[1]AttributeName!$C:$C,[1]AttributeName!$I:$I),2,_xlfn.XLOOKUP(C200,[1]ModifierDes!$B:$B,[1]ModifierDes!$C:$C),3,_xlfn.XLOOKUP(C200,[1]StuntDes!$B:$B,[1]StuntDes!$C:$C)),"")</f>
        <v>感电概率提高增加{0}</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421</v>
      </c>
      <c r="D201" t="s">
        <v>26</v>
      </c>
      <c r="E201" s="13" t="s">
        <v>410</v>
      </c>
      <c r="F201"/>
      <c r="G201">
        <v>2</v>
      </c>
      <c r="H201">
        <v>1000</v>
      </c>
      <c r="J201" cm="1">
        <f t="array" ref="J201">_xlfn.SWITCH(B201,1,75,2,61,3,49,4,37,5,25,6,13,7,4,8,1)</f>
        <v>61</v>
      </c>
      <c r="K201" t="str" cm="1">
        <f t="array" ref="K201">IFERROR(_xlfn.SWITCH(L201,1,_xlfn.XLOOKUP(C201,[1]AttributeName!$C:$C,[1]AttributeName!$I:$I),2,_xlfn.XLOOKUP(C201,[1]ModifierDes!$B:$B,[1]ModifierDes!$C:$C),3,_xlfn.XLOOKUP(C201,[1]StuntDes!$B:$B,[1]StuntDes!$C:$C)),"")</f>
        <v>感电概率提高增加{0}</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421</v>
      </c>
      <c r="D202" t="s">
        <v>26</v>
      </c>
      <c r="E202" s="13" t="s">
        <v>410</v>
      </c>
      <c r="F202"/>
      <c r="G202">
        <v>2</v>
      </c>
      <c r="H202">
        <v>1000</v>
      </c>
      <c r="J202" cm="1">
        <f t="array" ref="J202">_xlfn.SWITCH(B202,1,75,2,61,3,49,4,37,5,25,6,13,7,4,8,1)</f>
        <v>49</v>
      </c>
      <c r="K202" t="str" cm="1">
        <f t="array" ref="K202">IFERROR(_xlfn.SWITCH(L202,1,_xlfn.XLOOKUP(C202,[1]AttributeName!$C:$C,[1]AttributeName!$I:$I),2,_xlfn.XLOOKUP(C202,[1]ModifierDes!$B:$B,[1]ModifierDes!$C:$C),3,_xlfn.XLOOKUP(C202,[1]StuntDes!$B:$B,[1]StuntDes!$C:$C)),"")</f>
        <v>感电概率提高增加{0}</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421</v>
      </c>
      <c r="D203" t="s">
        <v>26</v>
      </c>
      <c r="E203" s="13" t="s">
        <v>410</v>
      </c>
      <c r="F203"/>
      <c r="G203">
        <v>2</v>
      </c>
      <c r="H203">
        <v>1000</v>
      </c>
      <c r="J203" cm="1">
        <f t="array" ref="J203">_xlfn.SWITCH(B203,1,75,2,61,3,49,4,37,5,25,6,13,7,4,8,1)</f>
        <v>37</v>
      </c>
      <c r="K203" t="str" cm="1">
        <f t="array" ref="K203">IFERROR(_xlfn.SWITCH(L203,1,_xlfn.XLOOKUP(C203,[1]AttributeName!$C:$C,[1]AttributeName!$I:$I),2,_xlfn.XLOOKUP(C203,[1]ModifierDes!$B:$B,[1]ModifierDes!$C:$C),3,_xlfn.XLOOKUP(C203,[1]StuntDes!$B:$B,[1]StuntDes!$C:$C)),"")</f>
        <v>感电概率提高增加{0}</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421</v>
      </c>
      <c r="D204" t="s">
        <v>26</v>
      </c>
      <c r="E204" s="13" t="s">
        <v>410</v>
      </c>
      <c r="F204"/>
      <c r="G204">
        <v>2</v>
      </c>
      <c r="H204">
        <v>1000</v>
      </c>
      <c r="J204" cm="1">
        <f t="array" ref="J204">_xlfn.SWITCH(B204,1,75,2,61,3,49,4,37,5,25,6,13,7,4,8,1)</f>
        <v>25</v>
      </c>
      <c r="K204" t="str" cm="1">
        <f t="array" ref="K204">IFERROR(_xlfn.SWITCH(L204,1,_xlfn.XLOOKUP(C204,[1]AttributeName!$C:$C,[1]AttributeName!$I:$I),2,_xlfn.XLOOKUP(C204,[1]ModifierDes!$B:$B,[1]ModifierDes!$C:$C),3,_xlfn.XLOOKUP(C204,[1]StuntDes!$B:$B,[1]StuntDes!$C:$C)),"")</f>
        <v>感电概率提高增加{0}</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421</v>
      </c>
      <c r="D205" t="s">
        <v>26</v>
      </c>
      <c r="E205" s="13" t="s">
        <v>410</v>
      </c>
      <c r="F205"/>
      <c r="G205">
        <v>2</v>
      </c>
      <c r="H205">
        <v>1000</v>
      </c>
      <c r="J205" cm="1">
        <f t="array" ref="J205">_xlfn.SWITCH(B205,1,75,2,61,3,49,4,37,5,25,6,13,7,4,8,1)</f>
        <v>13</v>
      </c>
      <c r="K205" t="str" cm="1">
        <f t="array" ref="K205">IFERROR(_xlfn.SWITCH(L205,1,_xlfn.XLOOKUP(C205,[1]AttributeName!$C:$C,[1]AttributeName!$I:$I),2,_xlfn.XLOOKUP(C205,[1]ModifierDes!$B:$B,[1]ModifierDes!$C:$C),3,_xlfn.XLOOKUP(C205,[1]StuntDes!$B:$B,[1]StuntDes!$C:$C)),"")</f>
        <v>感电概率提高增加{0}</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421</v>
      </c>
      <c r="D206" t="s">
        <v>26</v>
      </c>
      <c r="E206" s="13" t="s">
        <v>410</v>
      </c>
      <c r="F206"/>
      <c r="G206">
        <v>2</v>
      </c>
      <c r="H206">
        <v>1000</v>
      </c>
      <c r="J206" cm="1">
        <f t="array" ref="J206">_xlfn.SWITCH(B206,1,75,2,61,3,49,4,37,5,25,6,13,7,4,8,1)</f>
        <v>4</v>
      </c>
      <c r="K206" t="str" cm="1">
        <f t="array" ref="K206">IFERROR(_xlfn.SWITCH(L206,1,_xlfn.XLOOKUP(C206,[1]AttributeName!$C:$C,[1]AttributeName!$I:$I),2,_xlfn.XLOOKUP(C206,[1]ModifierDes!$B:$B,[1]ModifierDes!$C:$C),3,_xlfn.XLOOKUP(C206,[1]StuntDes!$B:$B,[1]StuntDes!$C:$C)),"")</f>
        <v>感电概率提高增加{0}</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421</v>
      </c>
      <c r="D207" t="s">
        <v>26</v>
      </c>
      <c r="E207" s="13" t="s">
        <v>410</v>
      </c>
      <c r="F207"/>
      <c r="G207">
        <v>2</v>
      </c>
      <c r="H207">
        <v>1000</v>
      </c>
      <c r="J207" cm="1">
        <f t="array" ref="J207">_xlfn.SWITCH(B207,1,75,2,61,3,49,4,37,5,25,6,13,7,4,8,1)</f>
        <v>1</v>
      </c>
      <c r="K207" t="str" cm="1">
        <f t="array" ref="K207">IFERROR(_xlfn.SWITCH(L207,1,_xlfn.XLOOKUP(C207,[1]AttributeName!$C:$C,[1]AttributeName!$I:$I),2,_xlfn.XLOOKUP(C207,[1]ModifierDes!$B:$B,[1]ModifierDes!$C:$C),3,_xlfn.XLOOKUP(C207,[1]StuntDes!$B:$B,[1]StuntDes!$C:$C)),"")</f>
        <v>感电概率提高增加{0}</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422</v>
      </c>
      <c r="D208" t="s">
        <v>26</v>
      </c>
      <c r="E208" s="13" t="s">
        <v>410</v>
      </c>
      <c r="G208">
        <v>2</v>
      </c>
      <c r="H208">
        <v>1000</v>
      </c>
      <c r="J208" cm="1">
        <f t="array" ref="J208">_xlfn.SWITCH(B208,1,75,2,61,3,49,4,37,5,25,6,13,7,4,8,1)</f>
        <v>75</v>
      </c>
      <c r="K208" t="str" cm="1">
        <f t="array" ref="K208">IFERROR(_xlfn.SWITCH(L208,1,_xlfn.XLOOKUP(C208,[1]AttributeName!$C:$C,[1]AttributeName!$I:$I),2,_xlfn.XLOOKUP(C208,[1]ModifierDes!$B:$B,[1]ModifierDes!$C:$C),3,_xlfn.XLOOKUP(C208,[1]StuntDes!$B:$B,[1]StuntDes!$C:$C)),"")</f>
        <v>流血效果比例增加{0}</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422</v>
      </c>
      <c r="D209" t="s">
        <v>26</v>
      </c>
      <c r="E209" s="13" t="s">
        <v>410</v>
      </c>
      <c r="G209">
        <v>2</v>
      </c>
      <c r="H209">
        <v>1000</v>
      </c>
      <c r="J209" cm="1">
        <f t="array" ref="J209">_xlfn.SWITCH(B209,1,75,2,61,3,49,4,37,5,25,6,13,7,4,8,1)</f>
        <v>61</v>
      </c>
      <c r="K209" t="str" cm="1">
        <f t="array" ref="K209">IFERROR(_xlfn.SWITCH(L209,1,_xlfn.XLOOKUP(C209,[1]AttributeName!$C:$C,[1]AttributeName!$I:$I),2,_xlfn.XLOOKUP(C209,[1]ModifierDes!$B:$B,[1]ModifierDes!$C:$C),3,_xlfn.XLOOKUP(C209,[1]StuntDes!$B:$B,[1]StuntDes!$C:$C)),"")</f>
        <v>流血效果比例增加{0}</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422</v>
      </c>
      <c r="D210" t="s">
        <v>26</v>
      </c>
      <c r="E210" s="13" t="s">
        <v>410</v>
      </c>
      <c r="G210">
        <v>2</v>
      </c>
      <c r="H210">
        <v>1000</v>
      </c>
      <c r="J210" cm="1">
        <f t="array" ref="J210">_xlfn.SWITCH(B210,1,75,2,61,3,49,4,37,5,25,6,13,7,4,8,1)</f>
        <v>49</v>
      </c>
      <c r="K210" t="str" cm="1">
        <f t="array" ref="K210">IFERROR(_xlfn.SWITCH(L210,1,_xlfn.XLOOKUP(C210,[1]AttributeName!$C:$C,[1]AttributeName!$I:$I),2,_xlfn.XLOOKUP(C210,[1]ModifierDes!$B:$B,[1]ModifierDes!$C:$C),3,_xlfn.XLOOKUP(C210,[1]StuntDes!$B:$B,[1]StuntDes!$C:$C)),"")</f>
        <v>流血效果比例增加{0}</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422</v>
      </c>
      <c r="D211" t="s">
        <v>26</v>
      </c>
      <c r="E211" s="13" t="s">
        <v>410</v>
      </c>
      <c r="G211">
        <v>2</v>
      </c>
      <c r="H211">
        <v>1000</v>
      </c>
      <c r="J211" cm="1">
        <f t="array" ref="J211">_xlfn.SWITCH(B211,1,75,2,61,3,49,4,37,5,25,6,13,7,4,8,1)</f>
        <v>37</v>
      </c>
      <c r="K211" t="str" cm="1">
        <f t="array" ref="K211">IFERROR(_xlfn.SWITCH(L211,1,_xlfn.XLOOKUP(C211,[1]AttributeName!$C:$C,[1]AttributeName!$I:$I),2,_xlfn.XLOOKUP(C211,[1]ModifierDes!$B:$B,[1]ModifierDes!$C:$C),3,_xlfn.XLOOKUP(C211,[1]StuntDes!$B:$B,[1]StuntDes!$C:$C)),"")</f>
        <v>流血效果比例增加{0}</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422</v>
      </c>
      <c r="D212" t="s">
        <v>26</v>
      </c>
      <c r="E212" s="13" t="s">
        <v>410</v>
      </c>
      <c r="G212">
        <v>2</v>
      </c>
      <c r="H212">
        <v>1000</v>
      </c>
      <c r="J212" cm="1">
        <f t="array" ref="J212">_xlfn.SWITCH(B212,1,75,2,61,3,49,4,37,5,25,6,13,7,4,8,1)</f>
        <v>25</v>
      </c>
      <c r="K212" t="str" cm="1">
        <f t="array" ref="K212">IFERROR(_xlfn.SWITCH(L212,1,_xlfn.XLOOKUP(C212,[1]AttributeName!$C:$C,[1]AttributeName!$I:$I),2,_xlfn.XLOOKUP(C212,[1]ModifierDes!$B:$B,[1]ModifierDes!$C:$C),3,_xlfn.XLOOKUP(C212,[1]StuntDes!$B:$B,[1]StuntDes!$C:$C)),"")</f>
        <v>流血效果比例增加{0}</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422</v>
      </c>
      <c r="D213" t="s">
        <v>26</v>
      </c>
      <c r="E213" s="13" t="s">
        <v>410</v>
      </c>
      <c r="G213">
        <v>2</v>
      </c>
      <c r="H213">
        <v>1000</v>
      </c>
      <c r="J213" cm="1">
        <f t="array" ref="J213">_xlfn.SWITCH(B213,1,75,2,61,3,49,4,37,5,25,6,13,7,4,8,1)</f>
        <v>13</v>
      </c>
      <c r="K213" t="str" cm="1">
        <f t="array" ref="K213">IFERROR(_xlfn.SWITCH(L213,1,_xlfn.XLOOKUP(C213,[1]AttributeName!$C:$C,[1]AttributeName!$I:$I),2,_xlfn.XLOOKUP(C213,[1]ModifierDes!$B:$B,[1]ModifierDes!$C:$C),3,_xlfn.XLOOKUP(C213,[1]StuntDes!$B:$B,[1]StuntDes!$C:$C)),"")</f>
        <v>流血效果比例增加{0}</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422</v>
      </c>
      <c r="D214" t="s">
        <v>26</v>
      </c>
      <c r="E214" s="13" t="s">
        <v>410</v>
      </c>
      <c r="G214">
        <v>2</v>
      </c>
      <c r="H214">
        <v>1000</v>
      </c>
      <c r="J214" cm="1">
        <f t="array" ref="J214">_xlfn.SWITCH(B214,1,75,2,61,3,49,4,37,5,25,6,13,7,4,8,1)</f>
        <v>4</v>
      </c>
      <c r="K214" t="str" cm="1">
        <f t="array" ref="K214">IFERROR(_xlfn.SWITCH(L214,1,_xlfn.XLOOKUP(C214,[1]AttributeName!$C:$C,[1]AttributeName!$I:$I),2,_xlfn.XLOOKUP(C214,[1]ModifierDes!$B:$B,[1]ModifierDes!$C:$C),3,_xlfn.XLOOKUP(C214,[1]StuntDes!$B:$B,[1]StuntDes!$C:$C)),"")</f>
        <v>流血效果比例增加{0}</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422</v>
      </c>
      <c r="D215" t="s">
        <v>26</v>
      </c>
      <c r="E215" s="13" t="s">
        <v>410</v>
      </c>
      <c r="G215">
        <v>2</v>
      </c>
      <c r="H215">
        <v>1000</v>
      </c>
      <c r="J215" cm="1">
        <f t="array" ref="J215">_xlfn.SWITCH(B215,1,75,2,61,3,49,4,37,5,25,6,13,7,4,8,1)</f>
        <v>1</v>
      </c>
      <c r="K215" t="str" cm="1">
        <f t="array" ref="K215">IFERROR(_xlfn.SWITCH(L215,1,_xlfn.XLOOKUP(C215,[1]AttributeName!$C:$C,[1]AttributeName!$I:$I),2,_xlfn.XLOOKUP(C215,[1]ModifierDes!$B:$B,[1]ModifierDes!$C:$C),3,_xlfn.XLOOKUP(C215,[1]StuntDes!$B:$B,[1]StuntDes!$C:$C)),"")</f>
        <v>流血效果比例增加{0}</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423</v>
      </c>
      <c r="D216" t="s">
        <v>26</v>
      </c>
      <c r="E216" s="13" t="s">
        <v>410</v>
      </c>
      <c r="G216">
        <v>2</v>
      </c>
      <c r="H216">
        <v>1000</v>
      </c>
      <c r="J216" cm="1">
        <f t="array" ref="J216">_xlfn.SWITCH(B216,1,75,2,61,3,49,4,37,5,25,6,13,7,4,8,1)</f>
        <v>75</v>
      </c>
      <c r="K216" t="str" cm="1">
        <f t="array" ref="K216">IFERROR(_xlfn.SWITCH(L216,1,_xlfn.XLOOKUP(C216,[1]AttributeName!$C:$C,[1]AttributeName!$I:$I),2,_xlfn.XLOOKUP(C216,[1]ModifierDes!$B:$B,[1]ModifierDes!$C:$C),3,_xlfn.XLOOKUP(C216,[1]StuntDes!$B:$B,[1]StuntDes!$C:$C)),"")</f>
        <v>中毒效果比例增加{0}</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423</v>
      </c>
      <c r="D217" t="s">
        <v>26</v>
      </c>
      <c r="E217" s="13" t="s">
        <v>410</v>
      </c>
      <c r="G217">
        <v>2</v>
      </c>
      <c r="H217">
        <v>1000</v>
      </c>
      <c r="J217" cm="1">
        <f t="array" ref="J217">_xlfn.SWITCH(B217,1,75,2,61,3,49,4,37,5,25,6,13,7,4,8,1)</f>
        <v>61</v>
      </c>
      <c r="K217" t="str" cm="1">
        <f t="array" ref="K217">IFERROR(_xlfn.SWITCH(L217,1,_xlfn.XLOOKUP(C217,[1]AttributeName!$C:$C,[1]AttributeName!$I:$I),2,_xlfn.XLOOKUP(C217,[1]ModifierDes!$B:$B,[1]ModifierDes!$C:$C),3,_xlfn.XLOOKUP(C217,[1]StuntDes!$B:$B,[1]StuntDes!$C:$C)),"")</f>
        <v>中毒效果比例增加{0}</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423</v>
      </c>
      <c r="D218" t="s">
        <v>26</v>
      </c>
      <c r="E218" s="13" t="s">
        <v>410</v>
      </c>
      <c r="G218">
        <v>2</v>
      </c>
      <c r="H218">
        <v>1000</v>
      </c>
      <c r="J218" cm="1">
        <f t="array" ref="J218">_xlfn.SWITCH(B218,1,75,2,61,3,49,4,37,5,25,6,13,7,4,8,1)</f>
        <v>49</v>
      </c>
      <c r="K218" t="str" cm="1">
        <f t="array" ref="K218">IFERROR(_xlfn.SWITCH(L218,1,_xlfn.XLOOKUP(C218,[1]AttributeName!$C:$C,[1]AttributeName!$I:$I),2,_xlfn.XLOOKUP(C218,[1]ModifierDes!$B:$B,[1]ModifierDes!$C:$C),3,_xlfn.XLOOKUP(C218,[1]StuntDes!$B:$B,[1]StuntDes!$C:$C)),"")</f>
        <v>中毒效果比例增加{0}</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423</v>
      </c>
      <c r="D219" t="s">
        <v>26</v>
      </c>
      <c r="E219" s="13" t="s">
        <v>410</v>
      </c>
      <c r="G219">
        <v>2</v>
      </c>
      <c r="H219">
        <v>1000</v>
      </c>
      <c r="J219" cm="1">
        <f t="array" ref="J219">_xlfn.SWITCH(B219,1,75,2,61,3,49,4,37,5,25,6,13,7,4,8,1)</f>
        <v>37</v>
      </c>
      <c r="K219" t="str" cm="1">
        <f t="array" ref="K219">IFERROR(_xlfn.SWITCH(L219,1,_xlfn.XLOOKUP(C219,[1]AttributeName!$C:$C,[1]AttributeName!$I:$I),2,_xlfn.XLOOKUP(C219,[1]ModifierDes!$B:$B,[1]ModifierDes!$C:$C),3,_xlfn.XLOOKUP(C219,[1]StuntDes!$B:$B,[1]StuntDes!$C:$C)),"")</f>
        <v>中毒效果比例增加{0}</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423</v>
      </c>
      <c r="D220" t="s">
        <v>26</v>
      </c>
      <c r="E220" s="13" t="s">
        <v>410</v>
      </c>
      <c r="G220">
        <v>2</v>
      </c>
      <c r="H220">
        <v>1000</v>
      </c>
      <c r="J220" cm="1">
        <f t="array" ref="J220">_xlfn.SWITCH(B220,1,75,2,61,3,49,4,37,5,25,6,13,7,4,8,1)</f>
        <v>25</v>
      </c>
      <c r="K220" t="str" cm="1">
        <f t="array" ref="K220">IFERROR(_xlfn.SWITCH(L220,1,_xlfn.XLOOKUP(C220,[1]AttributeName!$C:$C,[1]AttributeName!$I:$I),2,_xlfn.XLOOKUP(C220,[1]ModifierDes!$B:$B,[1]ModifierDes!$C:$C),3,_xlfn.XLOOKUP(C220,[1]StuntDes!$B:$B,[1]StuntDes!$C:$C)),"")</f>
        <v>中毒效果比例增加{0}</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423</v>
      </c>
      <c r="D221" t="s">
        <v>26</v>
      </c>
      <c r="E221" s="13" t="s">
        <v>410</v>
      </c>
      <c r="G221">
        <v>2</v>
      </c>
      <c r="H221">
        <v>1000</v>
      </c>
      <c r="J221" cm="1">
        <f t="array" ref="J221">_xlfn.SWITCH(B221,1,75,2,61,3,49,4,37,5,25,6,13,7,4,8,1)</f>
        <v>13</v>
      </c>
      <c r="K221" t="str" cm="1">
        <f t="array" ref="K221">IFERROR(_xlfn.SWITCH(L221,1,_xlfn.XLOOKUP(C221,[1]AttributeName!$C:$C,[1]AttributeName!$I:$I),2,_xlfn.XLOOKUP(C221,[1]ModifierDes!$B:$B,[1]ModifierDes!$C:$C),3,_xlfn.XLOOKUP(C221,[1]StuntDes!$B:$B,[1]StuntDes!$C:$C)),"")</f>
        <v>中毒效果比例增加{0}</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423</v>
      </c>
      <c r="D222" t="s">
        <v>26</v>
      </c>
      <c r="E222" s="13" t="s">
        <v>410</v>
      </c>
      <c r="G222">
        <v>2</v>
      </c>
      <c r="H222">
        <v>1000</v>
      </c>
      <c r="J222" cm="1">
        <f t="array" ref="J222">_xlfn.SWITCH(B222,1,75,2,61,3,49,4,37,5,25,6,13,7,4,8,1)</f>
        <v>4</v>
      </c>
      <c r="K222" t="str" cm="1">
        <f t="array" ref="K222">IFERROR(_xlfn.SWITCH(L222,1,_xlfn.XLOOKUP(C222,[1]AttributeName!$C:$C,[1]AttributeName!$I:$I),2,_xlfn.XLOOKUP(C222,[1]ModifierDes!$B:$B,[1]ModifierDes!$C:$C),3,_xlfn.XLOOKUP(C222,[1]StuntDes!$B:$B,[1]StuntDes!$C:$C)),"")</f>
        <v>中毒效果比例增加{0}</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423</v>
      </c>
      <c r="D223" t="s">
        <v>26</v>
      </c>
      <c r="E223" s="13" t="s">
        <v>410</v>
      </c>
      <c r="G223">
        <v>2</v>
      </c>
      <c r="H223">
        <v>1000</v>
      </c>
      <c r="J223" cm="1">
        <f t="array" ref="J223">_xlfn.SWITCH(B223,1,75,2,61,3,49,4,37,5,25,6,13,7,4,8,1)</f>
        <v>1</v>
      </c>
      <c r="K223" t="str" cm="1">
        <f t="array" ref="K223">IFERROR(_xlfn.SWITCH(L223,1,_xlfn.XLOOKUP(C223,[1]AttributeName!$C:$C,[1]AttributeName!$I:$I),2,_xlfn.XLOOKUP(C223,[1]ModifierDes!$B:$B,[1]ModifierDes!$C:$C),3,_xlfn.XLOOKUP(C223,[1]StuntDes!$B:$B,[1]StuntDes!$C:$C)),"")</f>
        <v>中毒效果比例增加{0}</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424</v>
      </c>
      <c r="D224" t="s">
        <v>26</v>
      </c>
      <c r="E224" s="13" t="s">
        <v>410</v>
      </c>
      <c r="F224"/>
      <c r="G224">
        <v>2</v>
      </c>
      <c r="H224">
        <v>1000</v>
      </c>
      <c r="J224" cm="1">
        <f t="array" ref="J224">_xlfn.SWITCH(B224,1,75,2,61,3,49,4,37,5,25,6,13,7,4,8,1)</f>
        <v>75</v>
      </c>
      <c r="K224" t="str" cm="1">
        <f t="array" ref="K224">IFERROR(_xlfn.SWITCH(L224,1,_xlfn.XLOOKUP(C224,[1]AttributeName!$C:$C,[1]AttributeName!$I:$I),2,_xlfn.XLOOKUP(C224,[1]ModifierDes!$B:$B,[1]ModifierDes!$C:$C),3,_xlfn.XLOOKUP(C224,[1]StuntDes!$B:$B,[1]StuntDes!$C:$C)),"")</f>
        <v>穿戴等级降低增加{0}</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424</v>
      </c>
      <c r="D225" t="s">
        <v>26</v>
      </c>
      <c r="E225" s="13" t="s">
        <v>410</v>
      </c>
      <c r="F225"/>
      <c r="G225">
        <v>2</v>
      </c>
      <c r="H225">
        <v>1000</v>
      </c>
      <c r="J225" cm="1">
        <f t="array" ref="J225">_xlfn.SWITCH(B225,1,75,2,61,3,49,4,37,5,25,6,13,7,4,8,1)</f>
        <v>61</v>
      </c>
      <c r="K225" t="str" cm="1">
        <f t="array" ref="K225">IFERROR(_xlfn.SWITCH(L225,1,_xlfn.XLOOKUP(C225,[1]AttributeName!$C:$C,[1]AttributeName!$I:$I),2,_xlfn.XLOOKUP(C225,[1]ModifierDes!$B:$B,[1]ModifierDes!$C:$C),3,_xlfn.XLOOKUP(C225,[1]StuntDes!$B:$B,[1]StuntDes!$C:$C)),"")</f>
        <v>穿戴等级降低增加{0}</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424</v>
      </c>
      <c r="D226" t="s">
        <v>26</v>
      </c>
      <c r="E226" s="13" t="s">
        <v>410</v>
      </c>
      <c r="F226"/>
      <c r="G226">
        <v>2</v>
      </c>
      <c r="H226">
        <v>1000</v>
      </c>
      <c r="J226" cm="1">
        <f t="array" ref="J226">_xlfn.SWITCH(B226,1,75,2,61,3,49,4,37,5,25,6,13,7,4,8,1)</f>
        <v>49</v>
      </c>
      <c r="K226" t="str" cm="1">
        <f t="array" ref="K226">IFERROR(_xlfn.SWITCH(L226,1,_xlfn.XLOOKUP(C226,[1]AttributeName!$C:$C,[1]AttributeName!$I:$I),2,_xlfn.XLOOKUP(C226,[1]ModifierDes!$B:$B,[1]ModifierDes!$C:$C),3,_xlfn.XLOOKUP(C226,[1]StuntDes!$B:$B,[1]StuntDes!$C:$C)),"")</f>
        <v>穿戴等级降低增加{0}</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424</v>
      </c>
      <c r="D227" t="s">
        <v>26</v>
      </c>
      <c r="E227" s="13" t="s">
        <v>410</v>
      </c>
      <c r="F227"/>
      <c r="G227">
        <v>2</v>
      </c>
      <c r="H227">
        <v>1000</v>
      </c>
      <c r="J227" cm="1">
        <f t="array" ref="J227">_xlfn.SWITCH(B227,1,75,2,61,3,49,4,37,5,25,6,13,7,4,8,1)</f>
        <v>37</v>
      </c>
      <c r="K227" t="str" cm="1">
        <f t="array" ref="K227">IFERROR(_xlfn.SWITCH(L227,1,_xlfn.XLOOKUP(C227,[1]AttributeName!$C:$C,[1]AttributeName!$I:$I),2,_xlfn.XLOOKUP(C227,[1]ModifierDes!$B:$B,[1]ModifierDes!$C:$C),3,_xlfn.XLOOKUP(C227,[1]StuntDes!$B:$B,[1]StuntDes!$C:$C)),"")</f>
        <v>穿戴等级降低增加{0}</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424</v>
      </c>
      <c r="D228" t="s">
        <v>26</v>
      </c>
      <c r="E228" s="13" t="s">
        <v>410</v>
      </c>
      <c r="F228"/>
      <c r="G228">
        <v>2</v>
      </c>
      <c r="H228">
        <v>1000</v>
      </c>
      <c r="J228" cm="1">
        <f t="array" ref="J228">_xlfn.SWITCH(B228,1,75,2,61,3,49,4,37,5,25,6,13,7,4,8,1)</f>
        <v>25</v>
      </c>
      <c r="K228" t="str" cm="1">
        <f t="array" ref="K228">IFERROR(_xlfn.SWITCH(L228,1,_xlfn.XLOOKUP(C228,[1]AttributeName!$C:$C,[1]AttributeName!$I:$I),2,_xlfn.XLOOKUP(C228,[1]ModifierDes!$B:$B,[1]ModifierDes!$C:$C),3,_xlfn.XLOOKUP(C228,[1]StuntDes!$B:$B,[1]StuntDes!$C:$C)),"")</f>
        <v>穿戴等级降低增加{0}</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424</v>
      </c>
      <c r="D229" t="s">
        <v>26</v>
      </c>
      <c r="E229" s="13" t="s">
        <v>410</v>
      </c>
      <c r="F229"/>
      <c r="G229">
        <v>2</v>
      </c>
      <c r="H229">
        <v>1000</v>
      </c>
      <c r="J229" cm="1">
        <f t="array" ref="J229">_xlfn.SWITCH(B229,1,75,2,61,3,49,4,37,5,25,6,13,7,4,8,1)</f>
        <v>13</v>
      </c>
      <c r="K229" t="str" cm="1">
        <f t="array" ref="K229">IFERROR(_xlfn.SWITCH(L229,1,_xlfn.XLOOKUP(C229,[1]AttributeName!$C:$C,[1]AttributeName!$I:$I),2,_xlfn.XLOOKUP(C229,[1]ModifierDes!$B:$B,[1]ModifierDes!$C:$C),3,_xlfn.XLOOKUP(C229,[1]StuntDes!$B:$B,[1]StuntDes!$C:$C)),"")</f>
        <v>穿戴等级降低增加{0}</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424</v>
      </c>
      <c r="D230" t="s">
        <v>26</v>
      </c>
      <c r="E230" s="13" t="s">
        <v>410</v>
      </c>
      <c r="F230"/>
      <c r="G230">
        <v>2</v>
      </c>
      <c r="H230">
        <v>1000</v>
      </c>
      <c r="J230" cm="1">
        <f t="array" ref="J230">_xlfn.SWITCH(B230,1,75,2,61,3,49,4,37,5,25,6,13,7,4,8,1)</f>
        <v>4</v>
      </c>
      <c r="K230" t="str" cm="1">
        <f t="array" ref="K230">IFERROR(_xlfn.SWITCH(L230,1,_xlfn.XLOOKUP(C230,[1]AttributeName!$C:$C,[1]AttributeName!$I:$I),2,_xlfn.XLOOKUP(C230,[1]ModifierDes!$B:$B,[1]ModifierDes!$C:$C),3,_xlfn.XLOOKUP(C230,[1]StuntDes!$B:$B,[1]StuntDes!$C:$C)),"")</f>
        <v>穿戴等级降低增加{0}</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424</v>
      </c>
      <c r="D231" t="s">
        <v>26</v>
      </c>
      <c r="E231" s="13" t="s">
        <v>410</v>
      </c>
      <c r="F231"/>
      <c r="G231">
        <v>2</v>
      </c>
      <c r="H231">
        <v>1000</v>
      </c>
      <c r="J231" cm="1">
        <f t="array" ref="J231">_xlfn.SWITCH(B231,1,75,2,61,3,49,4,37,5,25,6,13,7,4,8,1)</f>
        <v>1</v>
      </c>
      <c r="K231" t="str" cm="1">
        <f t="array" ref="K231">IFERROR(_xlfn.SWITCH(L231,1,_xlfn.XLOOKUP(C231,[1]AttributeName!$C:$C,[1]AttributeName!$I:$I),2,_xlfn.XLOOKUP(C231,[1]ModifierDes!$B:$B,[1]ModifierDes!$C:$C),3,_xlfn.XLOOKUP(C231,[1]StuntDes!$B:$B,[1]StuntDes!$C:$C)),"")</f>
        <v>穿戴等级降低增加{0}</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425</v>
      </c>
      <c r="D232" t="s">
        <v>26</v>
      </c>
      <c r="E232" s="13" t="s">
        <v>410</v>
      </c>
      <c r="G232">
        <v>2</v>
      </c>
      <c r="H232">
        <v>1000</v>
      </c>
      <c r="J232" cm="1">
        <f t="array" ref="J232">_xlfn.SWITCH(B232,1,75,2,61,3,49,4,37,5,25,6,13,7,4,8,1)</f>
        <v>75</v>
      </c>
      <c r="K232" t="str" cm="1">
        <f t="array" ref="K232">IFERROR(_xlfn.SWITCH(L232,1,_xlfn.XLOOKUP(C232,[1]AttributeName!$C:$C,[1]AttributeName!$I:$I),2,_xlfn.XLOOKUP(C232,[1]ModifierDes!$B:$B,[1]ModifierDes!$C:$C),3,_xlfn.XLOOKUP(C232,[1]StuntDes!$B:$B,[1]StuntDes!$C:$C)),"")</f>
        <v>击杀回血增加{0}</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425</v>
      </c>
      <c r="D233" t="s">
        <v>26</v>
      </c>
      <c r="E233" s="13" t="s">
        <v>410</v>
      </c>
      <c r="G233">
        <v>2</v>
      </c>
      <c r="H233">
        <v>1000</v>
      </c>
      <c r="J233" cm="1">
        <f t="array" ref="J233">_xlfn.SWITCH(B233,1,75,2,61,3,49,4,37,5,25,6,13,7,4,8,1)</f>
        <v>61</v>
      </c>
      <c r="K233" t="str" cm="1">
        <f t="array" ref="K233">IFERROR(_xlfn.SWITCH(L233,1,_xlfn.XLOOKUP(C233,[1]AttributeName!$C:$C,[1]AttributeName!$I:$I),2,_xlfn.XLOOKUP(C233,[1]ModifierDes!$B:$B,[1]ModifierDes!$C:$C),3,_xlfn.XLOOKUP(C233,[1]StuntDes!$B:$B,[1]StuntDes!$C:$C)),"")</f>
        <v>击杀回血增加{0}</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425</v>
      </c>
      <c r="D234" t="s">
        <v>26</v>
      </c>
      <c r="E234" s="13" t="s">
        <v>410</v>
      </c>
      <c r="G234">
        <v>2</v>
      </c>
      <c r="H234">
        <v>1000</v>
      </c>
      <c r="J234" cm="1">
        <f t="array" ref="J234">_xlfn.SWITCH(B234,1,75,2,61,3,49,4,37,5,25,6,13,7,4,8,1)</f>
        <v>49</v>
      </c>
      <c r="K234" t="str" cm="1">
        <f t="array" ref="K234">IFERROR(_xlfn.SWITCH(L234,1,_xlfn.XLOOKUP(C234,[1]AttributeName!$C:$C,[1]AttributeName!$I:$I),2,_xlfn.XLOOKUP(C234,[1]ModifierDes!$B:$B,[1]ModifierDes!$C:$C),3,_xlfn.XLOOKUP(C234,[1]StuntDes!$B:$B,[1]StuntDes!$C:$C)),"")</f>
        <v>击杀回血增加{0}</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425</v>
      </c>
      <c r="D235" t="s">
        <v>26</v>
      </c>
      <c r="E235" s="13" t="s">
        <v>410</v>
      </c>
      <c r="G235">
        <v>2</v>
      </c>
      <c r="H235">
        <v>1000</v>
      </c>
      <c r="J235" cm="1">
        <f t="array" ref="J235">_xlfn.SWITCH(B235,1,75,2,61,3,49,4,37,5,25,6,13,7,4,8,1)</f>
        <v>37</v>
      </c>
      <c r="K235" t="str" cm="1">
        <f t="array" ref="K235">IFERROR(_xlfn.SWITCH(L235,1,_xlfn.XLOOKUP(C235,[1]AttributeName!$C:$C,[1]AttributeName!$I:$I),2,_xlfn.XLOOKUP(C235,[1]ModifierDes!$B:$B,[1]ModifierDes!$C:$C),3,_xlfn.XLOOKUP(C235,[1]StuntDes!$B:$B,[1]StuntDes!$C:$C)),"")</f>
        <v>击杀回血增加{0}</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425</v>
      </c>
      <c r="D236" t="s">
        <v>26</v>
      </c>
      <c r="E236" s="13" t="s">
        <v>410</v>
      </c>
      <c r="G236">
        <v>2</v>
      </c>
      <c r="H236">
        <v>1000</v>
      </c>
      <c r="J236" cm="1">
        <f t="array" ref="J236">_xlfn.SWITCH(B236,1,75,2,61,3,49,4,37,5,25,6,13,7,4,8,1)</f>
        <v>25</v>
      </c>
      <c r="K236" t="str" cm="1">
        <f t="array" ref="K236">IFERROR(_xlfn.SWITCH(L236,1,_xlfn.XLOOKUP(C236,[1]AttributeName!$C:$C,[1]AttributeName!$I:$I),2,_xlfn.XLOOKUP(C236,[1]ModifierDes!$B:$B,[1]ModifierDes!$C:$C),3,_xlfn.XLOOKUP(C236,[1]StuntDes!$B:$B,[1]StuntDes!$C:$C)),"")</f>
        <v>击杀回血增加{0}</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425</v>
      </c>
      <c r="D237" t="s">
        <v>26</v>
      </c>
      <c r="E237" s="13" t="s">
        <v>410</v>
      </c>
      <c r="G237">
        <v>2</v>
      </c>
      <c r="H237">
        <v>1000</v>
      </c>
      <c r="J237" cm="1">
        <f t="array" ref="J237">_xlfn.SWITCH(B237,1,75,2,61,3,49,4,37,5,25,6,13,7,4,8,1)</f>
        <v>13</v>
      </c>
      <c r="K237" t="str" cm="1">
        <f t="array" ref="K237">IFERROR(_xlfn.SWITCH(L237,1,_xlfn.XLOOKUP(C237,[1]AttributeName!$C:$C,[1]AttributeName!$I:$I),2,_xlfn.XLOOKUP(C237,[1]ModifierDes!$B:$B,[1]ModifierDes!$C:$C),3,_xlfn.XLOOKUP(C237,[1]StuntDes!$B:$B,[1]StuntDes!$C:$C)),"")</f>
        <v>击杀回血增加{0}</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425</v>
      </c>
      <c r="D238" t="s">
        <v>26</v>
      </c>
      <c r="E238" s="13" t="s">
        <v>410</v>
      </c>
      <c r="G238">
        <v>2</v>
      </c>
      <c r="H238">
        <v>1000</v>
      </c>
      <c r="J238" cm="1">
        <f t="array" ref="J238">_xlfn.SWITCH(B238,1,75,2,61,3,49,4,37,5,25,6,13,7,4,8,1)</f>
        <v>4</v>
      </c>
      <c r="K238" t="str" cm="1">
        <f t="array" ref="K238">IFERROR(_xlfn.SWITCH(L238,1,_xlfn.XLOOKUP(C238,[1]AttributeName!$C:$C,[1]AttributeName!$I:$I),2,_xlfn.XLOOKUP(C238,[1]ModifierDes!$B:$B,[1]ModifierDes!$C:$C),3,_xlfn.XLOOKUP(C238,[1]StuntDes!$B:$B,[1]StuntDes!$C:$C)),"")</f>
        <v>击杀回血增加{0}</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425</v>
      </c>
      <c r="D239" t="s">
        <v>26</v>
      </c>
      <c r="E239" s="13" t="s">
        <v>410</v>
      </c>
      <c r="G239">
        <v>2</v>
      </c>
      <c r="H239">
        <v>1000</v>
      </c>
      <c r="J239" cm="1">
        <f t="array" ref="J239">_xlfn.SWITCH(B239,1,75,2,61,3,49,4,37,5,25,6,13,7,4,8,1)</f>
        <v>1</v>
      </c>
      <c r="K239" t="str" cm="1">
        <f t="array" ref="K239">IFERROR(_xlfn.SWITCH(L239,1,_xlfn.XLOOKUP(C239,[1]AttributeName!$C:$C,[1]AttributeName!$I:$I),2,_xlfn.XLOOKUP(C239,[1]ModifierDes!$B:$B,[1]ModifierDes!$C:$C),3,_xlfn.XLOOKUP(C239,[1]StuntDes!$B:$B,[1]StuntDes!$C:$C)),"")</f>
        <v>击杀回血增加{0}</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426</v>
      </c>
      <c r="D240" t="s">
        <v>26</v>
      </c>
      <c r="E240" s="13" t="s">
        <v>410</v>
      </c>
      <c r="G240">
        <v>2</v>
      </c>
      <c r="H240">
        <v>1000</v>
      </c>
      <c r="J240" cm="1">
        <f t="array" ref="J240">_xlfn.SWITCH(B240,1,75,2,61,3,49,4,37,5,25,6,13,7,4,8,1)</f>
        <v>75</v>
      </c>
      <c r="K240" t="str" cm="1">
        <f t="array" ref="K240">IFERROR(_xlfn.SWITCH(L240,1,_xlfn.XLOOKUP(C240,[1]AttributeName!$C:$C,[1]AttributeName!$I:$I),2,_xlfn.XLOOKUP(C240,[1]ModifierDes!$B:$B,[1]ModifierDes!$C:$C),3,_xlfn.XLOOKUP(C240,[1]StuntDes!$B:$B,[1]StuntDes!$C:$C)),"")</f>
        <v>击杀回蓝增加{0}</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426</v>
      </c>
      <c r="D241" t="s">
        <v>26</v>
      </c>
      <c r="E241" s="13" t="s">
        <v>410</v>
      </c>
      <c r="G241">
        <v>2</v>
      </c>
      <c r="H241">
        <v>1000</v>
      </c>
      <c r="J241" cm="1">
        <f t="array" ref="J241">_xlfn.SWITCH(B241,1,75,2,61,3,49,4,37,5,25,6,13,7,4,8,1)</f>
        <v>61</v>
      </c>
      <c r="K241" t="str" cm="1">
        <f t="array" ref="K241">IFERROR(_xlfn.SWITCH(L241,1,_xlfn.XLOOKUP(C241,[1]AttributeName!$C:$C,[1]AttributeName!$I:$I),2,_xlfn.XLOOKUP(C241,[1]ModifierDes!$B:$B,[1]ModifierDes!$C:$C),3,_xlfn.XLOOKUP(C241,[1]StuntDes!$B:$B,[1]StuntDes!$C:$C)),"")</f>
        <v>击杀回蓝增加{0}</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426</v>
      </c>
      <c r="D242" t="s">
        <v>26</v>
      </c>
      <c r="E242" s="13" t="s">
        <v>410</v>
      </c>
      <c r="G242">
        <v>2</v>
      </c>
      <c r="H242">
        <v>1000</v>
      </c>
      <c r="J242" cm="1">
        <f t="array" ref="J242">_xlfn.SWITCH(B242,1,75,2,61,3,49,4,37,5,25,6,13,7,4,8,1)</f>
        <v>49</v>
      </c>
      <c r="K242" t="str" cm="1">
        <f t="array" ref="K242">IFERROR(_xlfn.SWITCH(L242,1,_xlfn.XLOOKUP(C242,[1]AttributeName!$C:$C,[1]AttributeName!$I:$I),2,_xlfn.XLOOKUP(C242,[1]ModifierDes!$B:$B,[1]ModifierDes!$C:$C),3,_xlfn.XLOOKUP(C242,[1]StuntDes!$B:$B,[1]StuntDes!$C:$C)),"")</f>
        <v>击杀回蓝增加{0}</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426</v>
      </c>
      <c r="D243" t="s">
        <v>26</v>
      </c>
      <c r="E243" s="13" t="s">
        <v>410</v>
      </c>
      <c r="G243">
        <v>2</v>
      </c>
      <c r="H243">
        <v>1000</v>
      </c>
      <c r="J243" cm="1">
        <f t="array" ref="J243">_xlfn.SWITCH(B243,1,75,2,61,3,49,4,37,5,25,6,13,7,4,8,1)</f>
        <v>37</v>
      </c>
      <c r="K243" t="str" cm="1">
        <f t="array" ref="K243">IFERROR(_xlfn.SWITCH(L243,1,_xlfn.XLOOKUP(C243,[1]AttributeName!$C:$C,[1]AttributeName!$I:$I),2,_xlfn.XLOOKUP(C243,[1]ModifierDes!$B:$B,[1]ModifierDes!$C:$C),3,_xlfn.XLOOKUP(C243,[1]StuntDes!$B:$B,[1]StuntDes!$C:$C)),"")</f>
        <v>击杀回蓝增加{0}</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426</v>
      </c>
      <c r="D244" t="s">
        <v>26</v>
      </c>
      <c r="E244" s="13" t="s">
        <v>410</v>
      </c>
      <c r="G244">
        <v>2</v>
      </c>
      <c r="H244">
        <v>1000</v>
      </c>
      <c r="J244" cm="1">
        <f t="array" ref="J244">_xlfn.SWITCH(B244,1,75,2,61,3,49,4,37,5,25,6,13,7,4,8,1)</f>
        <v>25</v>
      </c>
      <c r="K244" t="str" cm="1">
        <f t="array" ref="K244">IFERROR(_xlfn.SWITCH(L244,1,_xlfn.XLOOKUP(C244,[1]AttributeName!$C:$C,[1]AttributeName!$I:$I),2,_xlfn.XLOOKUP(C244,[1]ModifierDes!$B:$B,[1]ModifierDes!$C:$C),3,_xlfn.XLOOKUP(C244,[1]StuntDes!$B:$B,[1]StuntDes!$C:$C)),"")</f>
        <v>击杀回蓝增加{0}</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426</v>
      </c>
      <c r="D245" t="s">
        <v>26</v>
      </c>
      <c r="E245" s="13" t="s">
        <v>410</v>
      </c>
      <c r="G245">
        <v>2</v>
      </c>
      <c r="H245">
        <v>1000</v>
      </c>
      <c r="J245" cm="1">
        <f t="array" ref="J245">_xlfn.SWITCH(B245,1,75,2,61,3,49,4,37,5,25,6,13,7,4,8,1)</f>
        <v>13</v>
      </c>
      <c r="K245" t="str" cm="1">
        <f t="array" ref="K245">IFERROR(_xlfn.SWITCH(L245,1,_xlfn.XLOOKUP(C245,[1]AttributeName!$C:$C,[1]AttributeName!$I:$I),2,_xlfn.XLOOKUP(C245,[1]ModifierDes!$B:$B,[1]ModifierDes!$C:$C),3,_xlfn.XLOOKUP(C245,[1]StuntDes!$B:$B,[1]StuntDes!$C:$C)),"")</f>
        <v>击杀回蓝增加{0}</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426</v>
      </c>
      <c r="D246" t="s">
        <v>26</v>
      </c>
      <c r="E246" s="13" t="s">
        <v>410</v>
      </c>
      <c r="G246">
        <v>2</v>
      </c>
      <c r="H246">
        <v>1000</v>
      </c>
      <c r="J246" cm="1">
        <f t="array" ref="J246">_xlfn.SWITCH(B246,1,75,2,61,3,49,4,37,5,25,6,13,7,4,8,1)</f>
        <v>4</v>
      </c>
      <c r="K246" t="str" cm="1">
        <f t="array" ref="K246">IFERROR(_xlfn.SWITCH(L246,1,_xlfn.XLOOKUP(C246,[1]AttributeName!$C:$C,[1]AttributeName!$I:$I),2,_xlfn.XLOOKUP(C246,[1]ModifierDes!$B:$B,[1]ModifierDes!$C:$C),3,_xlfn.XLOOKUP(C246,[1]StuntDes!$B:$B,[1]StuntDes!$C:$C)),"")</f>
        <v>击杀回蓝增加{0}</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426</v>
      </c>
      <c r="D247" t="s">
        <v>26</v>
      </c>
      <c r="E247" s="13" t="s">
        <v>410</v>
      </c>
      <c r="G247">
        <v>2</v>
      </c>
      <c r="H247">
        <v>1000</v>
      </c>
      <c r="J247" cm="1">
        <f t="array" ref="J247">_xlfn.SWITCH(B247,1,75,2,61,3,49,4,37,5,25,6,13,7,4,8,1)</f>
        <v>1</v>
      </c>
      <c r="K247" t="str" cm="1">
        <f t="array" ref="K247">IFERROR(_xlfn.SWITCH(L247,1,_xlfn.XLOOKUP(C247,[1]AttributeName!$C:$C,[1]AttributeName!$I:$I),2,_xlfn.XLOOKUP(C247,[1]ModifierDes!$B:$B,[1]ModifierDes!$C:$C),3,_xlfn.XLOOKUP(C247,[1]StuntDes!$B:$B,[1]StuntDes!$C:$C)),"")</f>
        <v>击杀回蓝增加{0}</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407</v>
      </c>
      <c r="D248" t="s">
        <v>427</v>
      </c>
      <c r="E248" t="s">
        <v>393</v>
      </c>
      <c r="G248">
        <v>1</v>
      </c>
      <c r="H248">
        <v>1000</v>
      </c>
      <c r="J248" cm="1">
        <f t="array" ref="J248">_xlfn.SWITCH(B248,1,75,2,61,3,49,4,37,5,25,6,13,7,4,8,1)</f>
        <v>75</v>
      </c>
      <c r="K248" t="str" cm="1">
        <f t="array" ref="K248">IFERROR(_xlfn.SWITCH(L248,1,_xlfn.XLOOKUP(C248,[1]AttributeName!$C:$C,[1]AttributeName!$I:$I),2,_xlfn.XLOOKUP(C248,[1]ModifierDes!$B:$B,[1]ModifierDes!$C:$C),3,_xlfn.XLOOKUP(C248,[1]StuntDes!$B:$B,[1]StuntDes!$C:$C)),"")</f>
        <v>基础生命增加{0}</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407</v>
      </c>
      <c r="D249" t="s">
        <v>427</v>
      </c>
      <c r="E249" t="s">
        <v>393</v>
      </c>
      <c r="G249">
        <v>1</v>
      </c>
      <c r="H249">
        <v>1000</v>
      </c>
      <c r="J249" cm="1">
        <f t="array" ref="J249">_xlfn.SWITCH(B249,1,75,2,61,3,49,4,37,5,25,6,13,7,4,8,1)</f>
        <v>61</v>
      </c>
      <c r="K249" t="str" cm="1">
        <f t="array" ref="K249">IFERROR(_xlfn.SWITCH(L249,1,_xlfn.XLOOKUP(C249,[1]AttributeName!$C:$C,[1]AttributeName!$I:$I),2,_xlfn.XLOOKUP(C249,[1]ModifierDes!$B:$B,[1]ModifierDes!$C:$C),3,_xlfn.XLOOKUP(C249,[1]StuntDes!$B:$B,[1]StuntDes!$C:$C)),"")</f>
        <v>基础生命增加{0}</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407</v>
      </c>
      <c r="D250" t="s">
        <v>427</v>
      </c>
      <c r="E250" t="s">
        <v>393</v>
      </c>
      <c r="G250">
        <v>1</v>
      </c>
      <c r="H250">
        <v>1000</v>
      </c>
      <c r="J250" cm="1">
        <f t="array" ref="J250">_xlfn.SWITCH(B250,1,75,2,61,3,49,4,37,5,25,6,13,7,4,8,1)</f>
        <v>49</v>
      </c>
      <c r="K250" t="str" cm="1">
        <f t="array" ref="K250">IFERROR(_xlfn.SWITCH(L250,1,_xlfn.XLOOKUP(C250,[1]AttributeName!$C:$C,[1]AttributeName!$I:$I),2,_xlfn.XLOOKUP(C250,[1]ModifierDes!$B:$B,[1]ModifierDes!$C:$C),3,_xlfn.XLOOKUP(C250,[1]StuntDes!$B:$B,[1]StuntDes!$C:$C)),"")</f>
        <v>基础生命增加{0}</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407</v>
      </c>
      <c r="D251" t="s">
        <v>427</v>
      </c>
      <c r="E251" t="s">
        <v>393</v>
      </c>
      <c r="G251">
        <v>1</v>
      </c>
      <c r="H251">
        <v>1000</v>
      </c>
      <c r="J251" cm="1">
        <f t="array" ref="J251">_xlfn.SWITCH(B251,1,75,2,61,3,49,4,37,5,25,6,13,7,4,8,1)</f>
        <v>37</v>
      </c>
      <c r="K251" t="str" cm="1">
        <f t="array" ref="K251">IFERROR(_xlfn.SWITCH(L251,1,_xlfn.XLOOKUP(C251,[1]AttributeName!$C:$C,[1]AttributeName!$I:$I),2,_xlfn.XLOOKUP(C251,[1]ModifierDes!$B:$B,[1]ModifierDes!$C:$C),3,_xlfn.XLOOKUP(C251,[1]StuntDes!$B:$B,[1]StuntDes!$C:$C)),"")</f>
        <v>基础生命增加{0}</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407</v>
      </c>
      <c r="D252" t="s">
        <v>427</v>
      </c>
      <c r="E252" t="s">
        <v>393</v>
      </c>
      <c r="G252">
        <v>1</v>
      </c>
      <c r="H252">
        <v>1000</v>
      </c>
      <c r="J252" cm="1">
        <f t="array" ref="J252">_xlfn.SWITCH(B252,1,75,2,61,3,49,4,37,5,25,6,13,7,4,8,1)</f>
        <v>25</v>
      </c>
      <c r="K252" t="str" cm="1">
        <f t="array" ref="K252">IFERROR(_xlfn.SWITCH(L252,1,_xlfn.XLOOKUP(C252,[1]AttributeName!$C:$C,[1]AttributeName!$I:$I),2,_xlfn.XLOOKUP(C252,[1]ModifierDes!$B:$B,[1]ModifierDes!$C:$C),3,_xlfn.XLOOKUP(C252,[1]StuntDes!$B:$B,[1]StuntDes!$C:$C)),"")</f>
        <v>基础生命增加{0}</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407</v>
      </c>
      <c r="D253" t="s">
        <v>427</v>
      </c>
      <c r="E253" t="s">
        <v>393</v>
      </c>
      <c r="G253">
        <v>1</v>
      </c>
      <c r="H253">
        <v>1000</v>
      </c>
      <c r="J253" cm="1">
        <f t="array" ref="J253">_xlfn.SWITCH(B253,1,75,2,61,3,49,4,37,5,25,6,13,7,4,8,1)</f>
        <v>13</v>
      </c>
      <c r="K253" t="str" cm="1">
        <f t="array" ref="K253">IFERROR(_xlfn.SWITCH(L253,1,_xlfn.XLOOKUP(C253,[1]AttributeName!$C:$C,[1]AttributeName!$I:$I),2,_xlfn.XLOOKUP(C253,[1]ModifierDes!$B:$B,[1]ModifierDes!$C:$C),3,_xlfn.XLOOKUP(C253,[1]StuntDes!$B:$B,[1]StuntDes!$C:$C)),"")</f>
        <v>基础生命增加{0}</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407</v>
      </c>
      <c r="D254" t="s">
        <v>427</v>
      </c>
      <c r="E254" t="s">
        <v>393</v>
      </c>
      <c r="G254">
        <v>1</v>
      </c>
      <c r="H254">
        <v>1000</v>
      </c>
      <c r="J254" cm="1">
        <f t="array" ref="J254">_xlfn.SWITCH(B254,1,75,2,61,3,49,4,37,5,25,6,13,7,4,8,1)</f>
        <v>4</v>
      </c>
      <c r="K254" t="str" cm="1">
        <f t="array" ref="K254">IFERROR(_xlfn.SWITCH(L254,1,_xlfn.XLOOKUP(C254,[1]AttributeName!$C:$C,[1]AttributeName!$I:$I),2,_xlfn.XLOOKUP(C254,[1]ModifierDes!$B:$B,[1]ModifierDes!$C:$C),3,_xlfn.XLOOKUP(C254,[1]StuntDes!$B:$B,[1]StuntDes!$C:$C)),"")</f>
        <v>基础生命增加{0}</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407</v>
      </c>
      <c r="D255" t="s">
        <v>427</v>
      </c>
      <c r="E255" t="s">
        <v>393</v>
      </c>
      <c r="F255"/>
      <c r="G255">
        <v>1</v>
      </c>
      <c r="H255">
        <v>1000</v>
      </c>
      <c r="J255" cm="1">
        <f t="array" ref="J255">_xlfn.SWITCH(B255,1,75,2,61,3,49,4,37,5,25,6,13,7,4,8,1)</f>
        <v>1</v>
      </c>
      <c r="K255" t="str" cm="1">
        <f t="array" ref="K255">IFERROR(_xlfn.SWITCH(L255,1,_xlfn.XLOOKUP(C255,[1]AttributeName!$C:$C,[1]AttributeName!$I:$I),2,_xlfn.XLOOKUP(C255,[1]ModifierDes!$B:$B,[1]ModifierDes!$C:$C),3,_xlfn.XLOOKUP(C255,[1]StuntDes!$B:$B,[1]StuntDes!$C:$C)),"")</f>
        <v>基础生命增加{0}</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408</v>
      </c>
      <c r="D256" t="s">
        <v>427</v>
      </c>
      <c r="E256" t="s">
        <v>393</v>
      </c>
      <c r="F256"/>
      <c r="G256">
        <v>1</v>
      </c>
      <c r="H256">
        <v>1000</v>
      </c>
      <c r="J256" cm="1">
        <f t="array" ref="J256">_xlfn.SWITCH(B256,1,75,2,61,3,49,4,37,5,25,6,13,7,4,8,1)</f>
        <v>75</v>
      </c>
      <c r="K256" t="str" cm="1">
        <f t="array" ref="K256">IFERROR(_xlfn.SWITCH(L256,1,_xlfn.XLOOKUP(C256,[1]AttributeName!$C:$C,[1]AttributeName!$I:$I),2,_xlfn.XLOOKUP(C256,[1]ModifierDes!$B:$B,[1]ModifierDes!$C:$C),3,_xlfn.XLOOKUP(C256,[1]StuntDes!$B:$B,[1]StuntDes!$C:$C)),"")</f>
        <v>基础魔力增加{0}</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408</v>
      </c>
      <c r="D257" t="s">
        <v>427</v>
      </c>
      <c r="E257" t="s">
        <v>393</v>
      </c>
      <c r="F257"/>
      <c r="G257">
        <v>1</v>
      </c>
      <c r="H257">
        <v>1000</v>
      </c>
      <c r="J257" cm="1">
        <f t="array" ref="J257">_xlfn.SWITCH(B257,1,75,2,61,3,49,4,37,5,25,6,13,7,4,8,1)</f>
        <v>61</v>
      </c>
      <c r="K257" t="str" cm="1">
        <f t="array" ref="K257">IFERROR(_xlfn.SWITCH(L257,1,_xlfn.XLOOKUP(C257,[1]AttributeName!$C:$C,[1]AttributeName!$I:$I),2,_xlfn.XLOOKUP(C257,[1]ModifierDes!$B:$B,[1]ModifierDes!$C:$C),3,_xlfn.XLOOKUP(C257,[1]StuntDes!$B:$B,[1]StuntDes!$C:$C)),"")</f>
        <v>基础魔力增加{0}</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408</v>
      </c>
      <c r="D258" t="s">
        <v>427</v>
      </c>
      <c r="E258" t="s">
        <v>393</v>
      </c>
      <c r="F258"/>
      <c r="G258">
        <v>1</v>
      </c>
      <c r="H258">
        <v>1000</v>
      </c>
      <c r="J258" cm="1">
        <f t="array" ref="J258">_xlfn.SWITCH(B258,1,75,2,61,3,49,4,37,5,25,6,13,7,4,8,1)</f>
        <v>49</v>
      </c>
      <c r="K258" t="str" cm="1">
        <f t="array" ref="K258">IFERROR(_xlfn.SWITCH(L258,1,_xlfn.XLOOKUP(C258,[1]AttributeName!$C:$C,[1]AttributeName!$I:$I),2,_xlfn.XLOOKUP(C258,[1]ModifierDes!$B:$B,[1]ModifierDes!$C:$C),3,_xlfn.XLOOKUP(C258,[1]StuntDes!$B:$B,[1]StuntDes!$C:$C)),"")</f>
        <v>基础魔力增加{0}</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408</v>
      </c>
      <c r="D259" t="s">
        <v>427</v>
      </c>
      <c r="E259" t="s">
        <v>393</v>
      </c>
      <c r="F259"/>
      <c r="G259">
        <v>1</v>
      </c>
      <c r="H259">
        <v>1000</v>
      </c>
      <c r="J259" cm="1">
        <f t="array" ref="J259">_xlfn.SWITCH(B259,1,75,2,61,3,49,4,37,5,25,6,13,7,4,8,1)</f>
        <v>37</v>
      </c>
      <c r="K259" t="str" cm="1">
        <f t="array" ref="K259">IFERROR(_xlfn.SWITCH(L259,1,_xlfn.XLOOKUP(C259,[1]AttributeName!$C:$C,[1]AttributeName!$I:$I),2,_xlfn.XLOOKUP(C259,[1]ModifierDes!$B:$B,[1]ModifierDes!$C:$C),3,_xlfn.XLOOKUP(C259,[1]StuntDes!$B:$B,[1]StuntDes!$C:$C)),"")</f>
        <v>基础魔力增加{0}</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408</v>
      </c>
      <c r="D260" t="s">
        <v>427</v>
      </c>
      <c r="E260" t="s">
        <v>393</v>
      </c>
      <c r="F260"/>
      <c r="G260">
        <v>1</v>
      </c>
      <c r="H260">
        <v>1000</v>
      </c>
      <c r="J260" cm="1">
        <f t="array" ref="J260">_xlfn.SWITCH(B260,1,75,2,61,3,49,4,37,5,25,6,13,7,4,8,1)</f>
        <v>25</v>
      </c>
      <c r="K260" t="str" cm="1">
        <f t="array" ref="K260">IFERROR(_xlfn.SWITCH(L260,1,_xlfn.XLOOKUP(C260,[1]AttributeName!$C:$C,[1]AttributeName!$I:$I),2,_xlfn.XLOOKUP(C260,[1]ModifierDes!$B:$B,[1]ModifierDes!$C:$C),3,_xlfn.XLOOKUP(C260,[1]StuntDes!$B:$B,[1]StuntDes!$C:$C)),"")</f>
        <v>基础魔力增加{0}</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408</v>
      </c>
      <c r="D261" t="s">
        <v>427</v>
      </c>
      <c r="E261" t="s">
        <v>393</v>
      </c>
      <c r="F261"/>
      <c r="G261">
        <v>1</v>
      </c>
      <c r="H261">
        <v>1000</v>
      </c>
      <c r="J261" cm="1">
        <f t="array" ref="J261">_xlfn.SWITCH(B261,1,75,2,61,3,49,4,37,5,25,6,13,7,4,8,1)</f>
        <v>13</v>
      </c>
      <c r="K261" t="str" cm="1">
        <f t="array" ref="K261">IFERROR(_xlfn.SWITCH(L261,1,_xlfn.XLOOKUP(C261,[1]AttributeName!$C:$C,[1]AttributeName!$I:$I),2,_xlfn.XLOOKUP(C261,[1]ModifierDes!$B:$B,[1]ModifierDes!$C:$C),3,_xlfn.XLOOKUP(C261,[1]StuntDes!$B:$B,[1]StuntDes!$C:$C)),"")</f>
        <v>基础魔力增加{0}</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408</v>
      </c>
      <c r="D262" t="s">
        <v>427</v>
      </c>
      <c r="E262" t="s">
        <v>393</v>
      </c>
      <c r="F262"/>
      <c r="G262">
        <v>1</v>
      </c>
      <c r="H262">
        <v>1000</v>
      </c>
      <c r="J262" cm="1">
        <f t="array" ref="J262">_xlfn.SWITCH(B262,1,75,2,61,3,49,4,37,5,25,6,13,7,4,8,1)</f>
        <v>4</v>
      </c>
      <c r="K262" t="str" cm="1">
        <f t="array" ref="K262">IFERROR(_xlfn.SWITCH(L262,1,_xlfn.XLOOKUP(C262,[1]AttributeName!$C:$C,[1]AttributeName!$I:$I),2,_xlfn.XLOOKUP(C262,[1]ModifierDes!$B:$B,[1]ModifierDes!$C:$C),3,_xlfn.XLOOKUP(C262,[1]StuntDes!$B:$B,[1]StuntDes!$C:$C)),"")</f>
        <v>基础魔力增加{0}</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408</v>
      </c>
      <c r="D263" t="s">
        <v>427</v>
      </c>
      <c r="E263" t="s">
        <v>393</v>
      </c>
      <c r="F263"/>
      <c r="G263">
        <v>1</v>
      </c>
      <c r="H263">
        <v>1000</v>
      </c>
      <c r="J263" cm="1">
        <f t="array" ref="J263">_xlfn.SWITCH(B263,1,75,2,61,3,49,4,37,5,25,6,13,7,4,8,1)</f>
        <v>1</v>
      </c>
      <c r="K263" t="str" cm="1">
        <f t="array" ref="K263">IFERROR(_xlfn.SWITCH(L263,1,_xlfn.XLOOKUP(C263,[1]AttributeName!$C:$C,[1]AttributeName!$I:$I),2,_xlfn.XLOOKUP(C263,[1]ModifierDes!$B:$B,[1]ModifierDes!$C:$C),3,_xlfn.XLOOKUP(C263,[1]StuntDes!$B:$B,[1]StuntDes!$C:$C)),"")</f>
        <v>基础魔力增加{0}</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428</v>
      </c>
      <c r="D264" t="s">
        <v>427</v>
      </c>
      <c r="E264" t="s">
        <v>393</v>
      </c>
      <c r="G264">
        <v>1</v>
      </c>
      <c r="H264">
        <v>1000</v>
      </c>
      <c r="J264" cm="1">
        <f t="array" ref="J264">_xlfn.SWITCH(B264,1,75,2,61,3,49,4,37,5,25,6,13,7,4,8,1)</f>
        <v>75</v>
      </c>
      <c r="K264" t="str" cm="1">
        <f t="array" ref="K264">IFERROR(_xlfn.SWITCH(L264,1,_xlfn.XLOOKUP(C264,[1]AttributeName!$C:$C,[1]AttributeName!$I:$I),2,_xlfn.XLOOKUP(C264,[1]ModifierDes!$B:$B,[1]ModifierDes!$C:$C),3,_xlfn.XLOOKUP(C264,[1]StuntDes!$B:$B,[1]StuntDes!$C:$C)),"")</f>
        <v>防御力增加{0}</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428</v>
      </c>
      <c r="D265" t="s">
        <v>427</v>
      </c>
      <c r="E265" t="s">
        <v>393</v>
      </c>
      <c r="G265">
        <v>1</v>
      </c>
      <c r="H265">
        <v>1000</v>
      </c>
      <c r="J265" cm="1">
        <f t="array" ref="J265">_xlfn.SWITCH(B265,1,75,2,61,3,49,4,37,5,25,6,13,7,4,8,1)</f>
        <v>61</v>
      </c>
      <c r="K265" t="str" cm="1">
        <f t="array" ref="K265">IFERROR(_xlfn.SWITCH(L265,1,_xlfn.XLOOKUP(C265,[1]AttributeName!$C:$C,[1]AttributeName!$I:$I),2,_xlfn.XLOOKUP(C265,[1]ModifierDes!$B:$B,[1]ModifierDes!$C:$C),3,_xlfn.XLOOKUP(C265,[1]StuntDes!$B:$B,[1]StuntDes!$C:$C)),"")</f>
        <v>防御力增加{0}</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428</v>
      </c>
      <c r="D266" t="s">
        <v>427</v>
      </c>
      <c r="E266" t="s">
        <v>393</v>
      </c>
      <c r="G266">
        <v>1</v>
      </c>
      <c r="H266">
        <v>1000</v>
      </c>
      <c r="J266" cm="1">
        <f t="array" ref="J266">_xlfn.SWITCH(B266,1,75,2,61,3,49,4,37,5,25,6,13,7,4,8,1)</f>
        <v>49</v>
      </c>
      <c r="K266" t="str" cm="1">
        <f t="array" ref="K266">IFERROR(_xlfn.SWITCH(L266,1,_xlfn.XLOOKUP(C266,[1]AttributeName!$C:$C,[1]AttributeName!$I:$I),2,_xlfn.XLOOKUP(C266,[1]ModifierDes!$B:$B,[1]ModifierDes!$C:$C),3,_xlfn.XLOOKUP(C266,[1]StuntDes!$B:$B,[1]StuntDes!$C:$C)),"")</f>
        <v>防御力增加{0}</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428</v>
      </c>
      <c r="D267" t="s">
        <v>427</v>
      </c>
      <c r="E267" t="s">
        <v>393</v>
      </c>
      <c r="G267">
        <v>1</v>
      </c>
      <c r="H267">
        <v>1000</v>
      </c>
      <c r="J267" cm="1">
        <f t="array" ref="J267">_xlfn.SWITCH(B267,1,75,2,61,3,49,4,37,5,25,6,13,7,4,8,1)</f>
        <v>37</v>
      </c>
      <c r="K267" t="str" cm="1">
        <f t="array" ref="K267">IFERROR(_xlfn.SWITCH(L267,1,_xlfn.XLOOKUP(C267,[1]AttributeName!$C:$C,[1]AttributeName!$I:$I),2,_xlfn.XLOOKUP(C267,[1]ModifierDes!$B:$B,[1]ModifierDes!$C:$C),3,_xlfn.XLOOKUP(C267,[1]StuntDes!$B:$B,[1]StuntDes!$C:$C)),"")</f>
        <v>防御力增加{0}</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428</v>
      </c>
      <c r="D268" t="s">
        <v>427</v>
      </c>
      <c r="E268" t="s">
        <v>393</v>
      </c>
      <c r="G268">
        <v>1</v>
      </c>
      <c r="H268">
        <v>1000</v>
      </c>
      <c r="J268" cm="1">
        <f t="array" ref="J268">_xlfn.SWITCH(B268,1,75,2,61,3,49,4,37,5,25,6,13,7,4,8,1)</f>
        <v>25</v>
      </c>
      <c r="K268" t="str" cm="1">
        <f t="array" ref="K268">IFERROR(_xlfn.SWITCH(L268,1,_xlfn.XLOOKUP(C268,[1]AttributeName!$C:$C,[1]AttributeName!$I:$I),2,_xlfn.XLOOKUP(C268,[1]ModifierDes!$B:$B,[1]ModifierDes!$C:$C),3,_xlfn.XLOOKUP(C268,[1]StuntDes!$B:$B,[1]StuntDes!$C:$C)),"")</f>
        <v>防御力增加{0}</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428</v>
      </c>
      <c r="D269" t="s">
        <v>427</v>
      </c>
      <c r="E269" t="s">
        <v>393</v>
      </c>
      <c r="G269">
        <v>1</v>
      </c>
      <c r="H269">
        <v>1000</v>
      </c>
      <c r="J269" cm="1">
        <f t="array" ref="J269">_xlfn.SWITCH(B269,1,75,2,61,3,49,4,37,5,25,6,13,7,4,8,1)</f>
        <v>13</v>
      </c>
      <c r="K269" t="str" cm="1">
        <f t="array" ref="K269">IFERROR(_xlfn.SWITCH(L269,1,_xlfn.XLOOKUP(C269,[1]AttributeName!$C:$C,[1]AttributeName!$I:$I),2,_xlfn.XLOOKUP(C269,[1]ModifierDes!$B:$B,[1]ModifierDes!$C:$C),3,_xlfn.XLOOKUP(C269,[1]StuntDes!$B:$B,[1]StuntDes!$C:$C)),"")</f>
        <v>防御力增加{0}</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428</v>
      </c>
      <c r="D270" t="s">
        <v>427</v>
      </c>
      <c r="E270" t="s">
        <v>393</v>
      </c>
      <c r="G270">
        <v>1</v>
      </c>
      <c r="H270">
        <v>1000</v>
      </c>
      <c r="J270" cm="1">
        <f t="array" ref="J270">_xlfn.SWITCH(B270,1,75,2,61,3,49,4,37,5,25,6,13,7,4,8,1)</f>
        <v>4</v>
      </c>
      <c r="K270" t="str" cm="1">
        <f t="array" ref="K270">IFERROR(_xlfn.SWITCH(L270,1,_xlfn.XLOOKUP(C270,[1]AttributeName!$C:$C,[1]AttributeName!$I:$I),2,_xlfn.XLOOKUP(C270,[1]ModifierDes!$B:$B,[1]ModifierDes!$C:$C),3,_xlfn.XLOOKUP(C270,[1]StuntDes!$B:$B,[1]StuntDes!$C:$C)),"")</f>
        <v>防御力增加{0}</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428</v>
      </c>
      <c r="D271" t="s">
        <v>427</v>
      </c>
      <c r="E271" t="s">
        <v>393</v>
      </c>
      <c r="G271">
        <v>1</v>
      </c>
      <c r="H271">
        <v>1000</v>
      </c>
      <c r="J271" cm="1">
        <f t="array" ref="J271">_xlfn.SWITCH(B271,1,75,2,61,3,49,4,37,5,25,6,13,7,4,8,1)</f>
        <v>1</v>
      </c>
      <c r="K271" t="str" cm="1">
        <f t="array" ref="K271">IFERROR(_xlfn.SWITCH(L271,1,_xlfn.XLOOKUP(C271,[1]AttributeName!$C:$C,[1]AttributeName!$I:$I),2,_xlfn.XLOOKUP(C271,[1]ModifierDes!$B:$B,[1]ModifierDes!$C:$C),3,_xlfn.XLOOKUP(C271,[1]StuntDes!$B:$B,[1]StuntDes!$C:$C)),"")</f>
        <v>防御力增加{0}</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429</v>
      </c>
      <c r="D272" t="s">
        <v>427</v>
      </c>
      <c r="E272" t="s">
        <v>393</v>
      </c>
      <c r="G272">
        <v>1</v>
      </c>
      <c r="H272">
        <v>250</v>
      </c>
      <c r="J272" cm="1">
        <f t="array" ref="J272">_xlfn.SWITCH(B272,1,75,2,61,3,49,4,37,5,25,6,13,7,4,8,1)</f>
        <v>75</v>
      </c>
      <c r="K272" t="str" cm="1">
        <f t="array" ref="K272">IFERROR(_xlfn.SWITCH(L272,1,_xlfn.XLOOKUP(C272,[1]AttributeName!$C:$C,[1]AttributeName!$I:$I),2,_xlfn.XLOOKUP(C272,[1]ModifierDes!$B:$B,[1]ModifierDes!$C:$C),3,_xlfn.XLOOKUP(C272,[1]StuntDes!$B:$B,[1]StuntDes!$C:$C)),"")</f>
        <v>攻击格挡率增加{0}</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429</v>
      </c>
      <c r="D273" t="s">
        <v>427</v>
      </c>
      <c r="E273" t="s">
        <v>393</v>
      </c>
      <c r="G273">
        <v>1</v>
      </c>
      <c r="H273">
        <v>500</v>
      </c>
      <c r="J273" cm="1">
        <f t="array" ref="J273">_xlfn.SWITCH(B273,1,75,2,61,3,49,4,37,5,25,6,13,7,4,8,1)</f>
        <v>61</v>
      </c>
      <c r="K273" t="str" cm="1">
        <f t="array" ref="K273">IFERROR(_xlfn.SWITCH(L273,1,_xlfn.XLOOKUP(C273,[1]AttributeName!$C:$C,[1]AttributeName!$I:$I),2,_xlfn.XLOOKUP(C273,[1]ModifierDes!$B:$B,[1]ModifierDes!$C:$C),3,_xlfn.XLOOKUP(C273,[1]StuntDes!$B:$B,[1]StuntDes!$C:$C)),"")</f>
        <v>攻击格挡率增加{0}</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429</v>
      </c>
      <c r="D274" t="s">
        <v>427</v>
      </c>
      <c r="E274" t="s">
        <v>393</v>
      </c>
      <c r="G274">
        <v>1</v>
      </c>
      <c r="H274">
        <v>1000</v>
      </c>
      <c r="J274" cm="1">
        <f t="array" ref="J274">_xlfn.SWITCH(B274,1,75,2,61,3,49,4,37,5,25,6,13,7,4,8,1)</f>
        <v>49</v>
      </c>
      <c r="K274" t="str" cm="1">
        <f t="array" ref="K274">IFERROR(_xlfn.SWITCH(L274,1,_xlfn.XLOOKUP(C274,[1]AttributeName!$C:$C,[1]AttributeName!$I:$I),2,_xlfn.XLOOKUP(C274,[1]ModifierDes!$B:$B,[1]ModifierDes!$C:$C),3,_xlfn.XLOOKUP(C274,[1]StuntDes!$B:$B,[1]StuntDes!$C:$C)),"")</f>
        <v>攻击格挡率增加{0}</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429</v>
      </c>
      <c r="D275" t="s">
        <v>427</v>
      </c>
      <c r="E275" t="s">
        <v>393</v>
      </c>
      <c r="G275">
        <v>1</v>
      </c>
      <c r="H275">
        <v>1000</v>
      </c>
      <c r="J275" cm="1">
        <f t="array" ref="J275">_xlfn.SWITCH(B275,1,75,2,61,3,49,4,37,5,25,6,13,7,4,8,1)</f>
        <v>37</v>
      </c>
      <c r="K275" t="str" cm="1">
        <f t="array" ref="K275">IFERROR(_xlfn.SWITCH(L275,1,_xlfn.XLOOKUP(C275,[1]AttributeName!$C:$C,[1]AttributeName!$I:$I),2,_xlfn.XLOOKUP(C275,[1]ModifierDes!$B:$B,[1]ModifierDes!$C:$C),3,_xlfn.XLOOKUP(C275,[1]StuntDes!$B:$B,[1]StuntDes!$C:$C)),"")</f>
        <v>攻击格挡率增加{0}</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429</v>
      </c>
      <c r="D276" t="s">
        <v>427</v>
      </c>
      <c r="E276" t="s">
        <v>393</v>
      </c>
      <c r="G276">
        <v>1</v>
      </c>
      <c r="H276">
        <v>1000</v>
      </c>
      <c r="J276" cm="1">
        <f t="array" ref="J276">_xlfn.SWITCH(B276,1,75,2,61,3,49,4,37,5,25,6,13,7,4,8,1)</f>
        <v>25</v>
      </c>
      <c r="K276" t="str" cm="1">
        <f t="array" ref="K276">IFERROR(_xlfn.SWITCH(L276,1,_xlfn.XLOOKUP(C276,[1]AttributeName!$C:$C,[1]AttributeName!$I:$I),2,_xlfn.XLOOKUP(C276,[1]ModifierDes!$B:$B,[1]ModifierDes!$C:$C),3,_xlfn.XLOOKUP(C276,[1]StuntDes!$B:$B,[1]StuntDes!$C:$C)),"")</f>
        <v>攻击格挡率增加{0}</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429</v>
      </c>
      <c r="D277" t="s">
        <v>427</v>
      </c>
      <c r="E277" t="s">
        <v>393</v>
      </c>
      <c r="G277">
        <v>1</v>
      </c>
      <c r="H277">
        <v>1000</v>
      </c>
      <c r="J277" cm="1">
        <f t="array" ref="J277">_xlfn.SWITCH(B277,1,75,2,61,3,49,4,37,5,25,6,13,7,4,8,1)</f>
        <v>13</v>
      </c>
      <c r="K277" t="str" cm="1">
        <f t="array" ref="K277">IFERROR(_xlfn.SWITCH(L277,1,_xlfn.XLOOKUP(C277,[1]AttributeName!$C:$C,[1]AttributeName!$I:$I),2,_xlfn.XLOOKUP(C277,[1]ModifierDes!$B:$B,[1]ModifierDes!$C:$C),3,_xlfn.XLOOKUP(C277,[1]StuntDes!$B:$B,[1]StuntDes!$C:$C)),"")</f>
        <v>攻击格挡率增加{0}</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429</v>
      </c>
      <c r="D278" t="s">
        <v>427</v>
      </c>
      <c r="E278" t="s">
        <v>393</v>
      </c>
      <c r="G278">
        <v>1</v>
      </c>
      <c r="H278">
        <v>1000</v>
      </c>
      <c r="J278" cm="1">
        <f t="array" ref="J278">_xlfn.SWITCH(B278,1,75,2,61,3,49,4,37,5,25,6,13,7,4,8,1)</f>
        <v>4</v>
      </c>
      <c r="K278" t="str" cm="1">
        <f t="array" ref="K278">IFERROR(_xlfn.SWITCH(L278,1,_xlfn.XLOOKUP(C278,[1]AttributeName!$C:$C,[1]AttributeName!$I:$I),2,_xlfn.XLOOKUP(C278,[1]ModifierDes!$B:$B,[1]ModifierDes!$C:$C),3,_xlfn.XLOOKUP(C278,[1]StuntDes!$B:$B,[1]StuntDes!$C:$C)),"")</f>
        <v>攻击格挡率增加{0}</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429</v>
      </c>
      <c r="D279" t="s">
        <v>427</v>
      </c>
      <c r="E279" t="s">
        <v>393</v>
      </c>
      <c r="G279">
        <v>1</v>
      </c>
      <c r="H279">
        <v>1000</v>
      </c>
      <c r="J279" cm="1">
        <f t="array" ref="J279">_xlfn.SWITCH(B279,1,75,2,61,3,49,4,37,5,25,6,13,7,4,8,1)</f>
        <v>1</v>
      </c>
      <c r="K279" t="str" cm="1">
        <f t="array" ref="K279">IFERROR(_xlfn.SWITCH(L279,1,_xlfn.XLOOKUP(C279,[1]AttributeName!$C:$C,[1]AttributeName!$I:$I),2,_xlfn.XLOOKUP(C279,[1]ModifierDes!$B:$B,[1]ModifierDes!$C:$C),3,_xlfn.XLOOKUP(C279,[1]StuntDes!$B:$B,[1]StuntDes!$C:$C)),"")</f>
        <v>攻击格挡率增加{0}</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430</v>
      </c>
      <c r="D280" t="s">
        <v>427</v>
      </c>
      <c r="E280" t="s">
        <v>393</v>
      </c>
      <c r="G280">
        <v>1</v>
      </c>
      <c r="H280">
        <v>250</v>
      </c>
      <c r="J280" cm="1">
        <f t="array" ref="J280">_xlfn.SWITCH(B280,1,75,2,61,3,49,4,37,5,25,6,13,7,4,8,1)</f>
        <v>75</v>
      </c>
      <c r="K280" t="str" cm="1">
        <f t="array" ref="K280">IFERROR(_xlfn.SWITCH(L280,1,_xlfn.XLOOKUP(C280,[1]AttributeName!$C:$C,[1]AttributeName!$I:$I),2,_xlfn.XLOOKUP(C280,[1]ModifierDes!$B:$B,[1]ModifierDes!$C:$C),3,_xlfn.XLOOKUP(C280,[1]StuntDes!$B:$B,[1]StuntDes!$C:$C)),"")</f>
        <v>法术格挡率增加{0}</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430</v>
      </c>
      <c r="D281" t="s">
        <v>427</v>
      </c>
      <c r="E281" t="s">
        <v>393</v>
      </c>
      <c r="G281">
        <v>1</v>
      </c>
      <c r="H281">
        <v>500</v>
      </c>
      <c r="J281" cm="1">
        <f t="array" ref="J281">_xlfn.SWITCH(B281,1,75,2,61,3,49,4,37,5,25,6,13,7,4,8,1)</f>
        <v>61</v>
      </c>
      <c r="K281" t="str" cm="1">
        <f t="array" ref="K281">IFERROR(_xlfn.SWITCH(L281,1,_xlfn.XLOOKUP(C281,[1]AttributeName!$C:$C,[1]AttributeName!$I:$I),2,_xlfn.XLOOKUP(C281,[1]ModifierDes!$B:$B,[1]ModifierDes!$C:$C),3,_xlfn.XLOOKUP(C281,[1]StuntDes!$B:$B,[1]StuntDes!$C:$C)),"")</f>
        <v>法术格挡率增加{0}</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430</v>
      </c>
      <c r="D282" t="s">
        <v>427</v>
      </c>
      <c r="E282" t="s">
        <v>393</v>
      </c>
      <c r="G282">
        <v>1</v>
      </c>
      <c r="H282">
        <v>1000</v>
      </c>
      <c r="J282" cm="1">
        <f t="array" ref="J282">_xlfn.SWITCH(B282,1,75,2,61,3,49,4,37,5,25,6,13,7,4,8,1)</f>
        <v>49</v>
      </c>
      <c r="K282" t="str" cm="1">
        <f t="array" ref="K282">IFERROR(_xlfn.SWITCH(L282,1,_xlfn.XLOOKUP(C282,[1]AttributeName!$C:$C,[1]AttributeName!$I:$I),2,_xlfn.XLOOKUP(C282,[1]ModifierDes!$B:$B,[1]ModifierDes!$C:$C),3,_xlfn.XLOOKUP(C282,[1]StuntDes!$B:$B,[1]StuntDes!$C:$C)),"")</f>
        <v>法术格挡率增加{0}</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430</v>
      </c>
      <c r="D283" t="s">
        <v>427</v>
      </c>
      <c r="E283" t="s">
        <v>393</v>
      </c>
      <c r="G283">
        <v>1</v>
      </c>
      <c r="H283">
        <v>1000</v>
      </c>
      <c r="J283" cm="1">
        <f t="array" ref="J283">_xlfn.SWITCH(B283,1,75,2,61,3,49,4,37,5,25,6,13,7,4,8,1)</f>
        <v>37</v>
      </c>
      <c r="K283" t="str" cm="1">
        <f t="array" ref="K283">IFERROR(_xlfn.SWITCH(L283,1,_xlfn.XLOOKUP(C283,[1]AttributeName!$C:$C,[1]AttributeName!$I:$I),2,_xlfn.XLOOKUP(C283,[1]ModifierDes!$B:$B,[1]ModifierDes!$C:$C),3,_xlfn.XLOOKUP(C283,[1]StuntDes!$B:$B,[1]StuntDes!$C:$C)),"")</f>
        <v>法术格挡率增加{0}</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430</v>
      </c>
      <c r="D284" t="s">
        <v>427</v>
      </c>
      <c r="E284" t="s">
        <v>393</v>
      </c>
      <c r="G284">
        <v>1</v>
      </c>
      <c r="H284">
        <v>1000</v>
      </c>
      <c r="J284" cm="1">
        <f t="array" ref="J284">_xlfn.SWITCH(B284,1,75,2,61,3,49,4,37,5,25,6,13,7,4,8,1)</f>
        <v>25</v>
      </c>
      <c r="K284" t="str" cm="1">
        <f t="array" ref="K284">IFERROR(_xlfn.SWITCH(L284,1,_xlfn.XLOOKUP(C284,[1]AttributeName!$C:$C,[1]AttributeName!$I:$I),2,_xlfn.XLOOKUP(C284,[1]ModifierDes!$B:$B,[1]ModifierDes!$C:$C),3,_xlfn.XLOOKUP(C284,[1]StuntDes!$B:$B,[1]StuntDes!$C:$C)),"")</f>
        <v>法术格挡率增加{0}</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430</v>
      </c>
      <c r="D285" t="s">
        <v>427</v>
      </c>
      <c r="E285" t="s">
        <v>393</v>
      </c>
      <c r="G285">
        <v>1</v>
      </c>
      <c r="H285">
        <v>1000</v>
      </c>
      <c r="J285" cm="1">
        <f t="array" ref="J285">_xlfn.SWITCH(B285,1,75,2,61,3,49,4,37,5,25,6,13,7,4,8,1)</f>
        <v>13</v>
      </c>
      <c r="K285" t="str" cm="1">
        <f t="array" ref="K285">IFERROR(_xlfn.SWITCH(L285,1,_xlfn.XLOOKUP(C285,[1]AttributeName!$C:$C,[1]AttributeName!$I:$I),2,_xlfn.XLOOKUP(C285,[1]ModifierDes!$B:$B,[1]ModifierDes!$C:$C),3,_xlfn.XLOOKUP(C285,[1]StuntDes!$B:$B,[1]StuntDes!$C:$C)),"")</f>
        <v>法术格挡率增加{0}</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430</v>
      </c>
      <c r="D286" t="s">
        <v>427</v>
      </c>
      <c r="E286" t="s">
        <v>393</v>
      </c>
      <c r="G286">
        <v>1</v>
      </c>
      <c r="H286">
        <v>1000</v>
      </c>
      <c r="J286" cm="1">
        <f t="array" ref="J286">_xlfn.SWITCH(B286,1,75,2,61,3,49,4,37,5,25,6,13,7,4,8,1)</f>
        <v>4</v>
      </c>
      <c r="K286" t="str" cm="1">
        <f t="array" ref="K286">IFERROR(_xlfn.SWITCH(L286,1,_xlfn.XLOOKUP(C286,[1]AttributeName!$C:$C,[1]AttributeName!$I:$I),2,_xlfn.XLOOKUP(C286,[1]ModifierDes!$B:$B,[1]ModifierDes!$C:$C),3,_xlfn.XLOOKUP(C286,[1]StuntDes!$B:$B,[1]StuntDes!$C:$C)),"")</f>
        <v>法术格挡率增加{0}</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430</v>
      </c>
      <c r="D287" t="s">
        <v>427</v>
      </c>
      <c r="E287" t="s">
        <v>393</v>
      </c>
      <c r="G287">
        <v>1</v>
      </c>
      <c r="H287">
        <v>1000</v>
      </c>
      <c r="J287" cm="1">
        <f t="array" ref="J287">_xlfn.SWITCH(B287,1,75,2,61,3,49,4,37,5,25,6,13,7,4,8,1)</f>
        <v>1</v>
      </c>
      <c r="K287" t="str" cm="1">
        <f t="array" ref="K287">IFERROR(_xlfn.SWITCH(L287,1,_xlfn.XLOOKUP(C287,[1]AttributeName!$C:$C,[1]AttributeName!$I:$I),2,_xlfn.XLOOKUP(C287,[1]ModifierDes!$B:$B,[1]ModifierDes!$C:$C),3,_xlfn.XLOOKUP(C287,[1]StuntDes!$B:$B,[1]StuntDes!$C:$C)),"")</f>
        <v>法术格挡率增加{0}</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94</v>
      </c>
      <c r="D288" t="s">
        <v>427</v>
      </c>
      <c r="E288" t="s">
        <v>393</v>
      </c>
      <c r="F288"/>
      <c r="G288">
        <v>1</v>
      </c>
      <c r="H288">
        <v>1000</v>
      </c>
      <c r="J288" cm="1">
        <f t="array" ref="J288">_xlfn.SWITCH(B288,1,75,2,61,3,49,4,37,5,25,6,13,7,4,8,1)</f>
        <v>75</v>
      </c>
      <c r="K288" t="str" cm="1">
        <f t="array" ref="K288">IFERROR(_xlfn.SWITCH(L288,1,_xlfn.XLOOKUP(C288,[1]AttributeName!$C:$C,[1]AttributeName!$I:$I),2,_xlfn.XLOOKUP(C288,[1]ModifierDes!$B:$B,[1]ModifierDes!$C:$C),3,_xlfn.XLOOKUP(C288,[1]StuntDes!$B:$B,[1]StuntDes!$C:$C)),"")</f>
        <v>装备稀有度增加{0}</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94</v>
      </c>
      <c r="D289" t="s">
        <v>427</v>
      </c>
      <c r="E289" t="s">
        <v>393</v>
      </c>
      <c r="F289"/>
      <c r="G289">
        <v>1</v>
      </c>
      <c r="H289">
        <v>1000</v>
      </c>
      <c r="J289" cm="1">
        <f t="array" ref="J289">_xlfn.SWITCH(B289,1,75,2,61,3,49,4,37,5,25,6,13,7,4,8,1)</f>
        <v>61</v>
      </c>
      <c r="K289" t="str" cm="1">
        <f t="array" ref="K289">IFERROR(_xlfn.SWITCH(L289,1,_xlfn.XLOOKUP(C289,[1]AttributeName!$C:$C,[1]AttributeName!$I:$I),2,_xlfn.XLOOKUP(C289,[1]ModifierDes!$B:$B,[1]ModifierDes!$C:$C),3,_xlfn.XLOOKUP(C289,[1]StuntDes!$B:$B,[1]StuntDes!$C:$C)),"")</f>
        <v>装备稀有度增加{0}</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94</v>
      </c>
      <c r="D290" t="s">
        <v>427</v>
      </c>
      <c r="E290" t="s">
        <v>393</v>
      </c>
      <c r="F290"/>
      <c r="G290">
        <v>1</v>
      </c>
      <c r="H290">
        <v>1000</v>
      </c>
      <c r="J290" cm="1">
        <f t="array" ref="J290">_xlfn.SWITCH(B290,1,75,2,61,3,49,4,37,5,25,6,13,7,4,8,1)</f>
        <v>49</v>
      </c>
      <c r="K290" t="str" cm="1">
        <f t="array" ref="K290">IFERROR(_xlfn.SWITCH(L290,1,_xlfn.XLOOKUP(C290,[1]AttributeName!$C:$C,[1]AttributeName!$I:$I),2,_xlfn.XLOOKUP(C290,[1]ModifierDes!$B:$B,[1]ModifierDes!$C:$C),3,_xlfn.XLOOKUP(C290,[1]StuntDes!$B:$B,[1]StuntDes!$C:$C)),"")</f>
        <v>装备稀有度增加{0}</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94</v>
      </c>
      <c r="D291" t="s">
        <v>427</v>
      </c>
      <c r="E291" t="s">
        <v>393</v>
      </c>
      <c r="F291"/>
      <c r="G291">
        <v>1</v>
      </c>
      <c r="H291">
        <v>1000</v>
      </c>
      <c r="J291" cm="1">
        <f t="array" ref="J291">_xlfn.SWITCH(B291,1,75,2,61,3,49,4,37,5,25,6,13,7,4,8,1)</f>
        <v>37</v>
      </c>
      <c r="K291" t="str" cm="1">
        <f t="array" ref="K291">IFERROR(_xlfn.SWITCH(L291,1,_xlfn.XLOOKUP(C291,[1]AttributeName!$C:$C,[1]AttributeName!$I:$I),2,_xlfn.XLOOKUP(C291,[1]ModifierDes!$B:$B,[1]ModifierDes!$C:$C),3,_xlfn.XLOOKUP(C291,[1]StuntDes!$B:$B,[1]StuntDes!$C:$C)),"")</f>
        <v>装备稀有度增加{0}</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94</v>
      </c>
      <c r="D292" t="s">
        <v>427</v>
      </c>
      <c r="E292" t="s">
        <v>393</v>
      </c>
      <c r="F292"/>
      <c r="G292">
        <v>1</v>
      </c>
      <c r="H292">
        <v>1000</v>
      </c>
      <c r="J292" cm="1">
        <f t="array" ref="J292">_xlfn.SWITCH(B292,1,75,2,61,3,49,4,37,5,25,6,13,7,4,8,1)</f>
        <v>25</v>
      </c>
      <c r="K292" t="str" cm="1">
        <f t="array" ref="K292">IFERROR(_xlfn.SWITCH(L292,1,_xlfn.XLOOKUP(C292,[1]AttributeName!$C:$C,[1]AttributeName!$I:$I),2,_xlfn.XLOOKUP(C292,[1]ModifierDes!$B:$B,[1]ModifierDes!$C:$C),3,_xlfn.XLOOKUP(C292,[1]StuntDes!$B:$B,[1]StuntDes!$C:$C)),"")</f>
        <v>装备稀有度增加{0}</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94</v>
      </c>
      <c r="D293" t="s">
        <v>427</v>
      </c>
      <c r="E293" t="s">
        <v>393</v>
      </c>
      <c r="F293"/>
      <c r="G293">
        <v>1</v>
      </c>
      <c r="H293">
        <v>1000</v>
      </c>
      <c r="J293" cm="1">
        <f t="array" ref="J293">_xlfn.SWITCH(B293,1,75,2,61,3,49,4,37,5,25,6,13,7,4,8,1)</f>
        <v>13</v>
      </c>
      <c r="K293" t="str" cm="1">
        <f t="array" ref="K293">IFERROR(_xlfn.SWITCH(L293,1,_xlfn.XLOOKUP(C293,[1]AttributeName!$C:$C,[1]AttributeName!$I:$I),2,_xlfn.XLOOKUP(C293,[1]ModifierDes!$B:$B,[1]ModifierDes!$C:$C),3,_xlfn.XLOOKUP(C293,[1]StuntDes!$B:$B,[1]StuntDes!$C:$C)),"")</f>
        <v>装备稀有度增加{0}</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94</v>
      </c>
      <c r="D294" t="s">
        <v>427</v>
      </c>
      <c r="E294" t="s">
        <v>393</v>
      </c>
      <c r="F294"/>
      <c r="G294">
        <v>1</v>
      </c>
      <c r="H294">
        <v>1000</v>
      </c>
      <c r="J294" cm="1">
        <f t="array" ref="J294">_xlfn.SWITCH(B294,1,75,2,61,3,49,4,37,5,25,6,13,7,4,8,1)</f>
        <v>4</v>
      </c>
      <c r="K294" t="str" cm="1">
        <f t="array" ref="K294">IFERROR(_xlfn.SWITCH(L294,1,_xlfn.XLOOKUP(C294,[1]AttributeName!$C:$C,[1]AttributeName!$I:$I),2,_xlfn.XLOOKUP(C294,[1]ModifierDes!$B:$B,[1]ModifierDes!$C:$C),3,_xlfn.XLOOKUP(C294,[1]StuntDes!$B:$B,[1]StuntDes!$C:$C)),"")</f>
        <v>装备稀有度增加{0}</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94</v>
      </c>
      <c r="D295" t="s">
        <v>427</v>
      </c>
      <c r="E295" t="s">
        <v>393</v>
      </c>
      <c r="F295"/>
      <c r="G295">
        <v>1</v>
      </c>
      <c r="H295">
        <v>1000</v>
      </c>
      <c r="J295" cm="1">
        <f t="array" ref="J295">_xlfn.SWITCH(B295,1,75,2,61,3,49,4,37,5,25,6,13,7,4,8,1)</f>
        <v>1</v>
      </c>
      <c r="K295" t="str" cm="1">
        <f t="array" ref="K295">IFERROR(_xlfn.SWITCH(L295,1,_xlfn.XLOOKUP(C295,[1]AttributeName!$C:$C,[1]AttributeName!$I:$I),2,_xlfn.XLOOKUP(C295,[1]ModifierDes!$B:$B,[1]ModifierDes!$C:$C),3,_xlfn.XLOOKUP(C295,[1]StuntDes!$B:$B,[1]StuntDes!$C:$C)),"")</f>
        <v>装备稀有度增加{0}</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431</v>
      </c>
      <c r="D296" t="s">
        <v>427</v>
      </c>
      <c r="E296" t="s">
        <v>393</v>
      </c>
      <c r="F296"/>
      <c r="G296">
        <v>1</v>
      </c>
      <c r="H296">
        <v>50</v>
      </c>
      <c r="I296">
        <v>3</v>
      </c>
      <c r="J296" cm="1">
        <f t="array" ref="J296">_xlfn.SWITCH(B296,1,75,2,61,3,49,4,37,5,25,6,13,7,4,8,1)</f>
        <v>75</v>
      </c>
      <c r="K296" t="str" cm="1">
        <f t="array" ref="K296">IFERROR(_xlfn.SWITCH(L296,1,_xlfn.XLOOKUP(C296,[1]AttributeName!$C:$C,[1]AttributeName!$I:$I),2,_xlfn.XLOOKUP(C296,[1]ModifierDes!$B:$B,[1]ModifierDes!$C:$C),3,_xlfn.XLOOKUP(C296,[1]StuntDes!$B:$B,[1]StuntDes!$C:$C)),"")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0.12</v>
      </c>
      <c r="R296">
        <v>0.16</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432</v>
      </c>
      <c r="D297" t="s">
        <v>427</v>
      </c>
      <c r="E297" t="s">
        <v>393</v>
      </c>
      <c r="F297"/>
      <c r="G297">
        <v>1</v>
      </c>
      <c r="H297">
        <v>50</v>
      </c>
      <c r="I297">
        <v>3</v>
      </c>
      <c r="J297" cm="1">
        <f t="array" ref="J297">_xlfn.SWITCH(B297,1,75,2,61,3,49,4,37,5,25,6,13,7,4,8,1)</f>
        <v>75</v>
      </c>
      <c r="K297" t="str" cm="1">
        <f t="array" ref="K297">IFERROR(_xlfn.SWITCH(L297,1,_xlfn.XLOOKUP(C297,[1]AttributeName!$C:$C,[1]AttributeName!$I:$I),2,_xlfn.XLOOKUP(C297,[1]ModifierDes!$B:$B,[1]ModifierDes!$C:$C),3,_xlfn.XLOOKUP(C297,[1]StuntDes!$B:$B,[1]StuntDes!$C:$C)),"")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0.24</v>
      </c>
      <c r="R297">
        <v>0.32</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433</v>
      </c>
      <c r="D298" t="s">
        <v>427</v>
      </c>
      <c r="E298" t="s">
        <v>393</v>
      </c>
      <c r="F298"/>
      <c r="G298">
        <v>1</v>
      </c>
      <c r="H298">
        <v>50</v>
      </c>
      <c r="I298">
        <v>3</v>
      </c>
      <c r="J298" cm="1">
        <f t="array" ref="J298">_xlfn.SWITCH(B298,1,75,2,61,3,49,4,37,5,25,6,13,7,4,8,1)</f>
        <v>75</v>
      </c>
      <c r="K298" t="str" cm="1">
        <f t="array" ref="K298">IFERROR(_xlfn.SWITCH(L298,1,_xlfn.XLOOKUP(C298,[1]AttributeName!$C:$C,[1]AttributeName!$I:$I),2,_xlfn.XLOOKUP(C298,[1]ModifierDes!$B:$B,[1]ModifierDes!$C:$C),3,_xlfn.XLOOKUP(C298,[1]StuntDes!$B:$B,[1]StuntDes!$C:$C)),"")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0.24</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434</v>
      </c>
      <c r="D299" t="s">
        <v>427</v>
      </c>
      <c r="E299" t="s">
        <v>393</v>
      </c>
      <c r="F299"/>
      <c r="G299">
        <v>1</v>
      </c>
      <c r="H299">
        <v>50</v>
      </c>
      <c r="I299">
        <v>3</v>
      </c>
      <c r="J299" cm="1">
        <f t="array" ref="J299">_xlfn.SWITCH(B299,1,75,2,61,3,49,4,37,5,25,6,13,7,4,8,1)</f>
        <v>75</v>
      </c>
      <c r="K299" t="str" cm="1">
        <f t="array" ref="K299">IFERROR(_xlfn.SWITCH(L299,1,_xlfn.XLOOKUP(C299,[1]AttributeName!$C:$C,[1]AttributeName!$I:$I),2,_xlfn.XLOOKUP(C299,[1]ModifierDes!$B:$B,[1]ModifierDes!$C:$C),3,_xlfn.XLOOKUP(C299,[1]StuntDes!$B:$B,[1]StuntDes!$C:$C)),"")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0.06</v>
      </c>
      <c r="R299">
        <v>0.08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435</v>
      </c>
      <c r="D300" t="s">
        <v>427</v>
      </c>
      <c r="E300" t="s">
        <v>393</v>
      </c>
      <c r="G300">
        <v>1</v>
      </c>
      <c r="H300">
        <v>1000</v>
      </c>
      <c r="I300"/>
      <c r="J300" cm="1">
        <f t="array" ref="J300">_xlfn.SWITCH(B300,1,75,2,61,3,49,4,37,5,25,6,13,7,4,8,1)</f>
        <v>75</v>
      </c>
      <c r="K300" t="str" cm="1">
        <f t="array" ref="K300">IFERROR(_xlfn.SWITCH(L300,1,_xlfn.XLOOKUP(C300,[1]AttributeName!$C:$C,[1]AttributeName!$I:$I),2,_xlfn.XLOOKUP(C300,[1]ModifierDes!$B:$B,[1]ModifierDes!$C:$C),3,_xlfn.XLOOKUP(C300,[1]StuntDes!$B:$B,[1]StuntDes!$C:$C)),"")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435</v>
      </c>
      <c r="D301" t="s">
        <v>427</v>
      </c>
      <c r="E301" t="s">
        <v>393</v>
      </c>
      <c r="G301">
        <v>1</v>
      </c>
      <c r="H301">
        <v>1000</v>
      </c>
      <c r="I301"/>
      <c r="J301" cm="1">
        <f t="array" ref="J301">_xlfn.SWITCH(B301,1,75,2,61,3,49,4,37,5,25,6,13,7,4,8,1)</f>
        <v>61</v>
      </c>
      <c r="K301" t="str" cm="1">
        <f t="array" ref="K301">IFERROR(_xlfn.SWITCH(L301,1,_xlfn.XLOOKUP(C301,[1]AttributeName!$C:$C,[1]AttributeName!$I:$I),2,_xlfn.XLOOKUP(C301,[1]ModifierDes!$B:$B,[1]ModifierDes!$C:$C),3,_xlfn.XLOOKUP(C301,[1]StuntDes!$B:$B,[1]StuntDes!$C:$C)),"")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435</v>
      </c>
      <c r="D302" t="s">
        <v>427</v>
      </c>
      <c r="E302" t="s">
        <v>393</v>
      </c>
      <c r="G302">
        <v>1</v>
      </c>
      <c r="H302">
        <v>1000</v>
      </c>
      <c r="I302"/>
      <c r="J302" cm="1">
        <f t="array" ref="J302">_xlfn.SWITCH(B302,1,75,2,61,3,49,4,37,5,25,6,13,7,4,8,1)</f>
        <v>49</v>
      </c>
      <c r="K302" t="str" cm="1">
        <f t="array" ref="K302">IFERROR(_xlfn.SWITCH(L302,1,_xlfn.XLOOKUP(C302,[1]AttributeName!$C:$C,[1]AttributeName!$I:$I),2,_xlfn.XLOOKUP(C302,[1]ModifierDes!$B:$B,[1]ModifierDes!$C:$C),3,_xlfn.XLOOKUP(C302,[1]StuntDes!$B:$B,[1]StuntDes!$C:$C)),"")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435</v>
      </c>
      <c r="D303" t="s">
        <v>427</v>
      </c>
      <c r="E303" t="s">
        <v>393</v>
      </c>
      <c r="G303">
        <v>1</v>
      </c>
      <c r="H303">
        <v>1000</v>
      </c>
      <c r="I303"/>
      <c r="J303" cm="1">
        <f t="array" ref="J303">_xlfn.SWITCH(B303,1,75,2,61,3,49,4,37,5,25,6,13,7,4,8,1)</f>
        <v>37</v>
      </c>
      <c r="K303" t="str" cm="1">
        <f t="array" ref="K303">IFERROR(_xlfn.SWITCH(L303,1,_xlfn.XLOOKUP(C303,[1]AttributeName!$C:$C,[1]AttributeName!$I:$I),2,_xlfn.XLOOKUP(C303,[1]ModifierDes!$B:$B,[1]ModifierDes!$C:$C),3,_xlfn.XLOOKUP(C303,[1]StuntDes!$B:$B,[1]StuntDes!$C:$C)),"")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435</v>
      </c>
      <c r="D304" t="s">
        <v>427</v>
      </c>
      <c r="E304" t="s">
        <v>393</v>
      </c>
      <c r="G304">
        <v>1</v>
      </c>
      <c r="H304">
        <v>1000</v>
      </c>
      <c r="I304"/>
      <c r="J304" cm="1">
        <f t="array" ref="J304">_xlfn.SWITCH(B304,1,75,2,61,3,49,4,37,5,25,6,13,7,4,8,1)</f>
        <v>25</v>
      </c>
      <c r="K304" t="str" cm="1">
        <f t="array" ref="K304">IFERROR(_xlfn.SWITCH(L304,1,_xlfn.XLOOKUP(C304,[1]AttributeName!$C:$C,[1]AttributeName!$I:$I),2,_xlfn.XLOOKUP(C304,[1]ModifierDes!$B:$B,[1]ModifierDes!$C:$C),3,_xlfn.XLOOKUP(C304,[1]StuntDes!$B:$B,[1]StuntDes!$C:$C)),"")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435</v>
      </c>
      <c r="D305" t="s">
        <v>427</v>
      </c>
      <c r="E305" t="s">
        <v>393</v>
      </c>
      <c r="G305">
        <v>1</v>
      </c>
      <c r="H305">
        <v>1000</v>
      </c>
      <c r="I305"/>
      <c r="J305" cm="1">
        <f t="array" ref="J305">_xlfn.SWITCH(B305,1,75,2,61,3,49,4,37,5,25,6,13,7,4,8,1)</f>
        <v>13</v>
      </c>
      <c r="K305" t="str" cm="1">
        <f t="array" ref="K305">IFERROR(_xlfn.SWITCH(L305,1,_xlfn.XLOOKUP(C305,[1]AttributeName!$C:$C,[1]AttributeName!$I:$I),2,_xlfn.XLOOKUP(C305,[1]ModifierDes!$B:$B,[1]ModifierDes!$C:$C),3,_xlfn.XLOOKUP(C305,[1]StuntDes!$B:$B,[1]StuntDes!$C:$C)),"")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435</v>
      </c>
      <c r="D306" t="s">
        <v>427</v>
      </c>
      <c r="E306" t="s">
        <v>393</v>
      </c>
      <c r="G306">
        <v>1</v>
      </c>
      <c r="H306">
        <v>1000</v>
      </c>
      <c r="I306"/>
      <c r="J306" cm="1">
        <f t="array" ref="J306">_xlfn.SWITCH(B306,1,75,2,61,3,49,4,37,5,25,6,13,7,4,8,1)</f>
        <v>4</v>
      </c>
      <c r="K306" t="str" cm="1">
        <f t="array" ref="K306">IFERROR(_xlfn.SWITCH(L306,1,_xlfn.XLOOKUP(C306,[1]AttributeName!$C:$C,[1]AttributeName!$I:$I),2,_xlfn.XLOOKUP(C306,[1]ModifierDes!$B:$B,[1]ModifierDes!$C:$C),3,_xlfn.XLOOKUP(C306,[1]StuntDes!$B:$B,[1]StuntDes!$C:$C)),"")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435</v>
      </c>
      <c r="D307" t="s">
        <v>427</v>
      </c>
      <c r="E307" t="s">
        <v>393</v>
      </c>
      <c r="G307">
        <v>1</v>
      </c>
      <c r="H307">
        <v>1000</v>
      </c>
      <c r="I307"/>
      <c r="J307" cm="1">
        <f t="array" ref="J307">_xlfn.SWITCH(B307,1,75,2,61,3,49,4,37,5,25,6,13,7,4,8,1)</f>
        <v>1</v>
      </c>
      <c r="K307" t="str" cm="1">
        <f t="array" ref="K307">IFERROR(_xlfn.SWITCH(L307,1,_xlfn.XLOOKUP(C307,[1]AttributeName!$C:$C,[1]AttributeName!$I:$I),2,_xlfn.XLOOKUP(C307,[1]ModifierDes!$B:$B,[1]ModifierDes!$C:$C),3,_xlfn.XLOOKUP(C307,[1]StuntDes!$B:$B,[1]StuntDes!$C:$C)),"")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436</v>
      </c>
      <c r="D308" t="s">
        <v>427</v>
      </c>
      <c r="E308" t="s">
        <v>393</v>
      </c>
      <c r="G308">
        <v>1</v>
      </c>
      <c r="H308">
        <v>1000</v>
      </c>
      <c r="I308"/>
      <c r="J308" cm="1">
        <f t="array" ref="J308">_xlfn.SWITCH(B308,1,75,2,61,3,49,4,37,5,25,6,13,7,4,8,1)</f>
        <v>75</v>
      </c>
      <c r="K308" t="str" cm="1">
        <f t="array" ref="K308">IFERROR(_xlfn.SWITCH(L308,1,_xlfn.XLOOKUP(C308,[1]AttributeName!$C:$C,[1]AttributeName!$I:$I),2,_xlfn.XLOOKUP(C308,[1]ModifierDes!$B:$B,[1]ModifierDes!$C:$C),3,_xlfn.XLOOKUP(C308,[1]StuntDes!$B:$B,[1]StuntDes!$C:$C)),"")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436</v>
      </c>
      <c r="D309" t="s">
        <v>427</v>
      </c>
      <c r="E309" t="s">
        <v>393</v>
      </c>
      <c r="G309">
        <v>1</v>
      </c>
      <c r="H309">
        <v>1000</v>
      </c>
      <c r="I309"/>
      <c r="J309" cm="1">
        <f t="array" ref="J309">_xlfn.SWITCH(B309,1,75,2,61,3,49,4,37,5,25,6,13,7,4,8,1)</f>
        <v>61</v>
      </c>
      <c r="K309" t="str" cm="1">
        <f t="array" ref="K309">IFERROR(_xlfn.SWITCH(L309,1,_xlfn.XLOOKUP(C309,[1]AttributeName!$C:$C,[1]AttributeName!$I:$I),2,_xlfn.XLOOKUP(C309,[1]ModifierDes!$B:$B,[1]ModifierDes!$C:$C),3,_xlfn.XLOOKUP(C309,[1]StuntDes!$B:$B,[1]StuntDes!$C:$C)),"")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436</v>
      </c>
      <c r="D310" t="s">
        <v>427</v>
      </c>
      <c r="E310" t="s">
        <v>393</v>
      </c>
      <c r="G310">
        <v>1</v>
      </c>
      <c r="H310">
        <v>1000</v>
      </c>
      <c r="I310"/>
      <c r="J310" cm="1">
        <f t="array" ref="J310">_xlfn.SWITCH(B310,1,75,2,61,3,49,4,37,5,25,6,13,7,4,8,1)</f>
        <v>49</v>
      </c>
      <c r="K310" t="str" cm="1">
        <f t="array" ref="K310">IFERROR(_xlfn.SWITCH(L310,1,_xlfn.XLOOKUP(C310,[1]AttributeName!$C:$C,[1]AttributeName!$I:$I),2,_xlfn.XLOOKUP(C310,[1]ModifierDes!$B:$B,[1]ModifierDes!$C:$C),3,_xlfn.XLOOKUP(C310,[1]StuntDes!$B:$B,[1]StuntDes!$C:$C)),"")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436</v>
      </c>
      <c r="D311" t="s">
        <v>427</v>
      </c>
      <c r="E311" t="s">
        <v>393</v>
      </c>
      <c r="G311">
        <v>1</v>
      </c>
      <c r="H311">
        <v>1000</v>
      </c>
      <c r="I311"/>
      <c r="J311" cm="1">
        <f t="array" ref="J311">_xlfn.SWITCH(B311,1,75,2,61,3,49,4,37,5,25,6,13,7,4,8,1)</f>
        <v>37</v>
      </c>
      <c r="K311" t="str" cm="1">
        <f t="array" ref="K311">IFERROR(_xlfn.SWITCH(L311,1,_xlfn.XLOOKUP(C311,[1]AttributeName!$C:$C,[1]AttributeName!$I:$I),2,_xlfn.XLOOKUP(C311,[1]ModifierDes!$B:$B,[1]ModifierDes!$C:$C),3,_xlfn.XLOOKUP(C311,[1]StuntDes!$B:$B,[1]StuntDes!$C:$C)),"")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436</v>
      </c>
      <c r="D312" t="s">
        <v>427</v>
      </c>
      <c r="E312" t="s">
        <v>393</v>
      </c>
      <c r="G312">
        <v>1</v>
      </c>
      <c r="H312">
        <v>1000</v>
      </c>
      <c r="I312"/>
      <c r="J312" cm="1">
        <f t="array" ref="J312">_xlfn.SWITCH(B312,1,75,2,61,3,49,4,37,5,25,6,13,7,4,8,1)</f>
        <v>25</v>
      </c>
      <c r="K312" t="str" cm="1">
        <f t="array" ref="K312">IFERROR(_xlfn.SWITCH(L312,1,_xlfn.XLOOKUP(C312,[1]AttributeName!$C:$C,[1]AttributeName!$I:$I),2,_xlfn.XLOOKUP(C312,[1]ModifierDes!$B:$B,[1]ModifierDes!$C:$C),3,_xlfn.XLOOKUP(C312,[1]StuntDes!$B:$B,[1]StuntDes!$C:$C)),"")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436</v>
      </c>
      <c r="D313" t="s">
        <v>427</v>
      </c>
      <c r="E313" t="s">
        <v>393</v>
      </c>
      <c r="G313">
        <v>1</v>
      </c>
      <c r="H313">
        <v>1000</v>
      </c>
      <c r="I313"/>
      <c r="J313" cm="1">
        <f t="array" ref="J313">_xlfn.SWITCH(B313,1,75,2,61,3,49,4,37,5,25,6,13,7,4,8,1)</f>
        <v>13</v>
      </c>
      <c r="K313" t="str" cm="1">
        <f t="array" ref="K313">IFERROR(_xlfn.SWITCH(L313,1,_xlfn.XLOOKUP(C313,[1]AttributeName!$C:$C,[1]AttributeName!$I:$I),2,_xlfn.XLOOKUP(C313,[1]ModifierDes!$B:$B,[1]ModifierDes!$C:$C),3,_xlfn.XLOOKUP(C313,[1]StuntDes!$B:$B,[1]StuntDes!$C:$C)),"")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436</v>
      </c>
      <c r="D314" t="s">
        <v>427</v>
      </c>
      <c r="E314" t="s">
        <v>393</v>
      </c>
      <c r="G314">
        <v>1</v>
      </c>
      <c r="H314">
        <v>1000</v>
      </c>
      <c r="I314"/>
      <c r="J314" cm="1">
        <f t="array" ref="J314">_xlfn.SWITCH(B314,1,75,2,61,3,49,4,37,5,25,6,13,7,4,8,1)</f>
        <v>4</v>
      </c>
      <c r="K314" t="str" cm="1">
        <f t="array" ref="K314">IFERROR(_xlfn.SWITCH(L314,1,_xlfn.XLOOKUP(C314,[1]AttributeName!$C:$C,[1]AttributeName!$I:$I),2,_xlfn.XLOOKUP(C314,[1]ModifierDes!$B:$B,[1]ModifierDes!$C:$C),3,_xlfn.XLOOKUP(C314,[1]StuntDes!$B:$B,[1]StuntDes!$C:$C)),"")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436</v>
      </c>
      <c r="D315" t="s">
        <v>427</v>
      </c>
      <c r="E315" t="s">
        <v>393</v>
      </c>
      <c r="G315">
        <v>1</v>
      </c>
      <c r="H315">
        <v>1000</v>
      </c>
      <c r="I315"/>
      <c r="J315" cm="1">
        <f t="array" ref="J315">_xlfn.SWITCH(B315,1,75,2,61,3,49,4,37,5,25,6,13,7,4,8,1)</f>
        <v>1</v>
      </c>
      <c r="K315" t="str" cm="1">
        <f t="array" ref="K315">IFERROR(_xlfn.SWITCH(L315,1,_xlfn.XLOOKUP(C315,[1]AttributeName!$C:$C,[1]AttributeName!$I:$I),2,_xlfn.XLOOKUP(C315,[1]ModifierDes!$B:$B,[1]ModifierDes!$C:$C),3,_xlfn.XLOOKUP(C315,[1]StuntDes!$B:$B,[1]StuntDes!$C:$C)),"")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437</v>
      </c>
      <c r="D316" t="s">
        <v>427</v>
      </c>
      <c r="E316" t="s">
        <v>410</v>
      </c>
      <c r="F316"/>
      <c r="G316">
        <v>2</v>
      </c>
      <c r="H316">
        <v>1000</v>
      </c>
      <c r="J316" cm="1">
        <f t="array" ref="J316">_xlfn.SWITCH(B316,1,75,2,61,3,49,4,37,5,25,6,13,7,4,8,1)</f>
        <v>75</v>
      </c>
      <c r="K316" t="str" cm="1">
        <f t="array" ref="K316">IFERROR(_xlfn.SWITCH(L316,1,_xlfn.XLOOKUP(C316,[1]AttributeName!$C:$C,[1]AttributeName!$I:$I),2,_xlfn.XLOOKUP(C316,[1]ModifierDes!$B:$B,[1]ModifierDes!$C:$C),3,_xlfn.XLOOKUP(C316,[1]StuntDes!$B:$B,[1]StuntDes!$C:$C)),"")</f>
        <v>物理抗性增加{0}</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437</v>
      </c>
      <c r="D317" t="s">
        <v>427</v>
      </c>
      <c r="E317" t="s">
        <v>410</v>
      </c>
      <c r="F317"/>
      <c r="G317">
        <v>2</v>
      </c>
      <c r="H317">
        <v>1000</v>
      </c>
      <c r="J317" cm="1">
        <f t="array" ref="J317">_xlfn.SWITCH(B317,1,75,2,61,3,49,4,37,5,25,6,13,7,4,8,1)</f>
        <v>61</v>
      </c>
      <c r="K317" t="str" cm="1">
        <f t="array" ref="K317">IFERROR(_xlfn.SWITCH(L317,1,_xlfn.XLOOKUP(C317,[1]AttributeName!$C:$C,[1]AttributeName!$I:$I),2,_xlfn.XLOOKUP(C317,[1]ModifierDes!$B:$B,[1]ModifierDes!$C:$C),3,_xlfn.XLOOKUP(C317,[1]StuntDes!$B:$B,[1]StuntDes!$C:$C)),"")</f>
        <v>物理抗性增加{0}</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437</v>
      </c>
      <c r="D318" t="s">
        <v>427</v>
      </c>
      <c r="E318" t="s">
        <v>410</v>
      </c>
      <c r="F318"/>
      <c r="G318">
        <v>2</v>
      </c>
      <c r="H318">
        <v>1000</v>
      </c>
      <c r="J318" cm="1">
        <f t="array" ref="J318">_xlfn.SWITCH(B318,1,75,2,61,3,49,4,37,5,25,6,13,7,4,8,1)</f>
        <v>49</v>
      </c>
      <c r="K318" t="str" cm="1">
        <f t="array" ref="K318">IFERROR(_xlfn.SWITCH(L318,1,_xlfn.XLOOKUP(C318,[1]AttributeName!$C:$C,[1]AttributeName!$I:$I),2,_xlfn.XLOOKUP(C318,[1]ModifierDes!$B:$B,[1]ModifierDes!$C:$C),3,_xlfn.XLOOKUP(C318,[1]StuntDes!$B:$B,[1]StuntDes!$C:$C)),"")</f>
        <v>物理抗性增加{0}</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437</v>
      </c>
      <c r="D319" t="s">
        <v>427</v>
      </c>
      <c r="E319" t="s">
        <v>410</v>
      </c>
      <c r="F319"/>
      <c r="G319">
        <v>2</v>
      </c>
      <c r="H319">
        <v>1000</v>
      </c>
      <c r="J319" cm="1">
        <f t="array" ref="J319">_xlfn.SWITCH(B319,1,75,2,61,3,49,4,37,5,25,6,13,7,4,8,1)</f>
        <v>37</v>
      </c>
      <c r="K319" t="str" cm="1">
        <f t="array" ref="K319">IFERROR(_xlfn.SWITCH(L319,1,_xlfn.XLOOKUP(C319,[1]AttributeName!$C:$C,[1]AttributeName!$I:$I),2,_xlfn.XLOOKUP(C319,[1]ModifierDes!$B:$B,[1]ModifierDes!$C:$C),3,_xlfn.XLOOKUP(C319,[1]StuntDes!$B:$B,[1]StuntDes!$C:$C)),"")</f>
        <v>物理抗性增加{0}</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437</v>
      </c>
      <c r="D320" t="s">
        <v>427</v>
      </c>
      <c r="E320" t="s">
        <v>410</v>
      </c>
      <c r="F320"/>
      <c r="G320">
        <v>2</v>
      </c>
      <c r="H320">
        <v>1000</v>
      </c>
      <c r="J320" cm="1">
        <f t="array" ref="J320">_xlfn.SWITCH(B320,1,75,2,61,3,49,4,37,5,25,6,13,7,4,8,1)</f>
        <v>25</v>
      </c>
      <c r="K320" t="str" cm="1">
        <f t="array" ref="K320">IFERROR(_xlfn.SWITCH(L320,1,_xlfn.XLOOKUP(C320,[1]AttributeName!$C:$C,[1]AttributeName!$I:$I),2,_xlfn.XLOOKUP(C320,[1]ModifierDes!$B:$B,[1]ModifierDes!$C:$C),3,_xlfn.XLOOKUP(C320,[1]StuntDes!$B:$B,[1]StuntDes!$C:$C)),"")</f>
        <v>物理抗性增加{0}</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437</v>
      </c>
      <c r="D321" t="s">
        <v>427</v>
      </c>
      <c r="E321" t="s">
        <v>410</v>
      </c>
      <c r="F321"/>
      <c r="G321">
        <v>2</v>
      </c>
      <c r="H321">
        <v>1000</v>
      </c>
      <c r="J321" cm="1">
        <f t="array" ref="J321">_xlfn.SWITCH(B321,1,75,2,61,3,49,4,37,5,25,6,13,7,4,8,1)</f>
        <v>13</v>
      </c>
      <c r="K321" t="str" cm="1">
        <f t="array" ref="K321">IFERROR(_xlfn.SWITCH(L321,1,_xlfn.XLOOKUP(C321,[1]AttributeName!$C:$C,[1]AttributeName!$I:$I),2,_xlfn.XLOOKUP(C321,[1]ModifierDes!$B:$B,[1]ModifierDes!$C:$C),3,_xlfn.XLOOKUP(C321,[1]StuntDes!$B:$B,[1]StuntDes!$C:$C)),"")</f>
        <v>物理抗性增加{0}</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437</v>
      </c>
      <c r="D322" t="s">
        <v>427</v>
      </c>
      <c r="E322" t="s">
        <v>410</v>
      </c>
      <c r="F322"/>
      <c r="G322">
        <v>2</v>
      </c>
      <c r="H322">
        <v>1000</v>
      </c>
      <c r="J322" cm="1">
        <f t="array" ref="J322">_xlfn.SWITCH(B322,1,75,2,61,3,49,4,37,5,25,6,13,7,4,8,1)</f>
        <v>4</v>
      </c>
      <c r="K322" t="str" cm="1">
        <f t="array" ref="K322">IFERROR(_xlfn.SWITCH(L322,1,_xlfn.XLOOKUP(C322,[1]AttributeName!$C:$C,[1]AttributeName!$I:$I),2,_xlfn.XLOOKUP(C322,[1]ModifierDes!$B:$B,[1]ModifierDes!$C:$C),3,_xlfn.XLOOKUP(C322,[1]StuntDes!$B:$B,[1]StuntDes!$C:$C)),"")</f>
        <v>物理抗性增加{0}</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437</v>
      </c>
      <c r="D323" t="s">
        <v>427</v>
      </c>
      <c r="E323" t="s">
        <v>410</v>
      </c>
      <c r="F323"/>
      <c r="G323">
        <v>2</v>
      </c>
      <c r="H323">
        <v>1000</v>
      </c>
      <c r="J323" cm="1">
        <f t="array" ref="J323">_xlfn.SWITCH(B323,1,75,2,61,3,49,4,37,5,25,6,13,7,4,8,1)</f>
        <v>1</v>
      </c>
      <c r="K323" t="str" cm="1">
        <f t="array" ref="K323">IFERROR(_xlfn.SWITCH(L323,1,_xlfn.XLOOKUP(C323,[1]AttributeName!$C:$C,[1]AttributeName!$I:$I),2,_xlfn.XLOOKUP(C323,[1]ModifierDes!$B:$B,[1]ModifierDes!$C:$C),3,_xlfn.XLOOKUP(C323,[1]StuntDes!$B:$B,[1]StuntDes!$C:$C)),"")</f>
        <v>物理抗性增加{0}</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438</v>
      </c>
      <c r="D324" t="s">
        <v>427</v>
      </c>
      <c r="E324" t="s">
        <v>410</v>
      </c>
      <c r="F324"/>
      <c r="G324">
        <v>2</v>
      </c>
      <c r="H324">
        <v>1000</v>
      </c>
      <c r="J324" cm="1">
        <f t="array" ref="J324">_xlfn.SWITCH(B324,1,75,2,61,3,49,4,37,5,25,6,13,7,4,8,1)</f>
        <v>75</v>
      </c>
      <c r="K324" t="str" cm="1">
        <f t="array" ref="K324">IFERROR(_xlfn.SWITCH(L324,1,_xlfn.XLOOKUP(C324,[1]AttributeName!$C:$C,[1]AttributeName!$I:$I),2,_xlfn.XLOOKUP(C324,[1]ModifierDes!$B:$B,[1]ModifierDes!$C:$C),3,_xlfn.XLOOKUP(C324,[1]StuntDes!$B:$B,[1]StuntDes!$C:$C)),"")</f>
        <v>火焰抗性增加{0}</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438</v>
      </c>
      <c r="D325" t="s">
        <v>427</v>
      </c>
      <c r="E325" t="s">
        <v>410</v>
      </c>
      <c r="F325"/>
      <c r="G325">
        <v>2</v>
      </c>
      <c r="H325">
        <v>1000</v>
      </c>
      <c r="J325" cm="1">
        <f t="array" ref="J325">_xlfn.SWITCH(B325,1,75,2,61,3,49,4,37,5,25,6,13,7,4,8,1)</f>
        <v>61</v>
      </c>
      <c r="K325" t="str" cm="1">
        <f t="array" ref="K325">IFERROR(_xlfn.SWITCH(L325,1,_xlfn.XLOOKUP(C325,[1]AttributeName!$C:$C,[1]AttributeName!$I:$I),2,_xlfn.XLOOKUP(C325,[1]ModifierDes!$B:$B,[1]ModifierDes!$C:$C),3,_xlfn.XLOOKUP(C325,[1]StuntDes!$B:$B,[1]StuntDes!$C:$C)),"")</f>
        <v>火焰抗性增加{0}</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438</v>
      </c>
      <c r="D326" t="s">
        <v>427</v>
      </c>
      <c r="E326" t="s">
        <v>410</v>
      </c>
      <c r="F326"/>
      <c r="G326">
        <v>2</v>
      </c>
      <c r="H326">
        <v>1000</v>
      </c>
      <c r="J326" cm="1">
        <f t="array" ref="J326">_xlfn.SWITCH(B326,1,75,2,61,3,49,4,37,5,25,6,13,7,4,8,1)</f>
        <v>49</v>
      </c>
      <c r="K326" t="str" cm="1">
        <f t="array" ref="K326">IFERROR(_xlfn.SWITCH(L326,1,_xlfn.XLOOKUP(C326,[1]AttributeName!$C:$C,[1]AttributeName!$I:$I),2,_xlfn.XLOOKUP(C326,[1]ModifierDes!$B:$B,[1]ModifierDes!$C:$C),3,_xlfn.XLOOKUP(C326,[1]StuntDes!$B:$B,[1]StuntDes!$C:$C)),"")</f>
        <v>火焰抗性增加{0}</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438</v>
      </c>
      <c r="D327" t="s">
        <v>427</v>
      </c>
      <c r="E327" t="s">
        <v>410</v>
      </c>
      <c r="F327"/>
      <c r="G327">
        <v>2</v>
      </c>
      <c r="H327">
        <v>1000</v>
      </c>
      <c r="J327" cm="1">
        <f t="array" ref="J327">_xlfn.SWITCH(B327,1,75,2,61,3,49,4,37,5,25,6,13,7,4,8,1)</f>
        <v>37</v>
      </c>
      <c r="K327" t="str" cm="1">
        <f t="array" ref="K327">IFERROR(_xlfn.SWITCH(L327,1,_xlfn.XLOOKUP(C327,[1]AttributeName!$C:$C,[1]AttributeName!$I:$I),2,_xlfn.XLOOKUP(C327,[1]ModifierDes!$B:$B,[1]ModifierDes!$C:$C),3,_xlfn.XLOOKUP(C327,[1]StuntDes!$B:$B,[1]StuntDes!$C:$C)),"")</f>
        <v>火焰抗性增加{0}</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438</v>
      </c>
      <c r="D328" t="s">
        <v>427</v>
      </c>
      <c r="E328" t="s">
        <v>410</v>
      </c>
      <c r="F328"/>
      <c r="G328">
        <v>2</v>
      </c>
      <c r="H328">
        <v>1000</v>
      </c>
      <c r="J328" cm="1">
        <f t="array" ref="J328">_xlfn.SWITCH(B328,1,75,2,61,3,49,4,37,5,25,6,13,7,4,8,1)</f>
        <v>25</v>
      </c>
      <c r="K328" t="str" cm="1">
        <f t="array" ref="K328">IFERROR(_xlfn.SWITCH(L328,1,_xlfn.XLOOKUP(C328,[1]AttributeName!$C:$C,[1]AttributeName!$I:$I),2,_xlfn.XLOOKUP(C328,[1]ModifierDes!$B:$B,[1]ModifierDes!$C:$C),3,_xlfn.XLOOKUP(C328,[1]StuntDes!$B:$B,[1]StuntDes!$C:$C)),"")</f>
        <v>火焰抗性增加{0}</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438</v>
      </c>
      <c r="D329" t="s">
        <v>427</v>
      </c>
      <c r="E329" t="s">
        <v>410</v>
      </c>
      <c r="F329"/>
      <c r="G329">
        <v>2</v>
      </c>
      <c r="H329">
        <v>1000</v>
      </c>
      <c r="J329" cm="1">
        <f t="array" ref="J329">_xlfn.SWITCH(B329,1,75,2,61,3,49,4,37,5,25,6,13,7,4,8,1)</f>
        <v>13</v>
      </c>
      <c r="K329" t="str" cm="1">
        <f t="array" ref="K329">IFERROR(_xlfn.SWITCH(L329,1,_xlfn.XLOOKUP(C329,[1]AttributeName!$C:$C,[1]AttributeName!$I:$I),2,_xlfn.XLOOKUP(C329,[1]ModifierDes!$B:$B,[1]ModifierDes!$C:$C),3,_xlfn.XLOOKUP(C329,[1]StuntDes!$B:$B,[1]StuntDes!$C:$C)),"")</f>
        <v>火焰抗性增加{0}</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438</v>
      </c>
      <c r="D330" t="s">
        <v>427</v>
      </c>
      <c r="E330" t="s">
        <v>410</v>
      </c>
      <c r="F330"/>
      <c r="G330">
        <v>2</v>
      </c>
      <c r="H330">
        <v>1000</v>
      </c>
      <c r="J330" cm="1">
        <f t="array" ref="J330">_xlfn.SWITCH(B330,1,75,2,61,3,49,4,37,5,25,6,13,7,4,8,1)</f>
        <v>4</v>
      </c>
      <c r="K330" t="str" cm="1">
        <f t="array" ref="K330">IFERROR(_xlfn.SWITCH(L330,1,_xlfn.XLOOKUP(C330,[1]AttributeName!$C:$C,[1]AttributeName!$I:$I),2,_xlfn.XLOOKUP(C330,[1]ModifierDes!$B:$B,[1]ModifierDes!$C:$C),3,_xlfn.XLOOKUP(C330,[1]StuntDes!$B:$B,[1]StuntDes!$C:$C)),"")</f>
        <v>火焰抗性增加{0}</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438</v>
      </c>
      <c r="D331" t="s">
        <v>427</v>
      </c>
      <c r="E331" t="s">
        <v>410</v>
      </c>
      <c r="F331"/>
      <c r="G331">
        <v>2</v>
      </c>
      <c r="H331">
        <v>1000</v>
      </c>
      <c r="J331" cm="1">
        <f t="array" ref="J331">_xlfn.SWITCH(B331,1,75,2,61,3,49,4,37,5,25,6,13,7,4,8,1)</f>
        <v>1</v>
      </c>
      <c r="K331" t="str" cm="1">
        <f t="array" ref="K331">IFERROR(_xlfn.SWITCH(L331,1,_xlfn.XLOOKUP(C331,[1]AttributeName!$C:$C,[1]AttributeName!$I:$I),2,_xlfn.XLOOKUP(C331,[1]ModifierDes!$B:$B,[1]ModifierDes!$C:$C),3,_xlfn.XLOOKUP(C331,[1]StuntDes!$B:$B,[1]StuntDes!$C:$C)),"")</f>
        <v>火焰抗性增加{0}</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439</v>
      </c>
      <c r="D332" t="s">
        <v>427</v>
      </c>
      <c r="E332" t="s">
        <v>410</v>
      </c>
      <c r="F332"/>
      <c r="G332">
        <v>2</v>
      </c>
      <c r="H332">
        <v>1000</v>
      </c>
      <c r="J332" cm="1">
        <f t="array" ref="J332">_xlfn.SWITCH(B332,1,75,2,61,3,49,4,37,5,25,6,13,7,4,8,1)</f>
        <v>75</v>
      </c>
      <c r="K332" t="str" cm="1">
        <f t="array" ref="K332">IFERROR(_xlfn.SWITCH(L332,1,_xlfn.XLOOKUP(C332,[1]AttributeName!$C:$C,[1]AttributeName!$I:$I),2,_xlfn.XLOOKUP(C332,[1]ModifierDes!$B:$B,[1]ModifierDes!$C:$C),3,_xlfn.XLOOKUP(C332,[1]StuntDes!$B:$B,[1]StuntDes!$C:$C)),"")</f>
        <v>冰冷抗性增加{0}</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439</v>
      </c>
      <c r="D333" t="s">
        <v>427</v>
      </c>
      <c r="E333" t="s">
        <v>410</v>
      </c>
      <c r="F333"/>
      <c r="G333">
        <v>2</v>
      </c>
      <c r="H333">
        <v>1000</v>
      </c>
      <c r="J333" cm="1">
        <f t="array" ref="J333">_xlfn.SWITCH(B333,1,75,2,61,3,49,4,37,5,25,6,13,7,4,8,1)</f>
        <v>61</v>
      </c>
      <c r="K333" t="str" cm="1">
        <f t="array" ref="K333">IFERROR(_xlfn.SWITCH(L333,1,_xlfn.XLOOKUP(C333,[1]AttributeName!$C:$C,[1]AttributeName!$I:$I),2,_xlfn.XLOOKUP(C333,[1]ModifierDes!$B:$B,[1]ModifierDes!$C:$C),3,_xlfn.XLOOKUP(C333,[1]StuntDes!$B:$B,[1]StuntDes!$C:$C)),"")</f>
        <v>冰冷抗性增加{0}</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439</v>
      </c>
      <c r="D334" t="s">
        <v>427</v>
      </c>
      <c r="E334" t="s">
        <v>410</v>
      </c>
      <c r="F334"/>
      <c r="G334">
        <v>2</v>
      </c>
      <c r="H334">
        <v>1000</v>
      </c>
      <c r="J334" cm="1">
        <f t="array" ref="J334">_xlfn.SWITCH(B334,1,75,2,61,3,49,4,37,5,25,6,13,7,4,8,1)</f>
        <v>49</v>
      </c>
      <c r="K334" t="str" cm="1">
        <f t="array" ref="K334">IFERROR(_xlfn.SWITCH(L334,1,_xlfn.XLOOKUP(C334,[1]AttributeName!$C:$C,[1]AttributeName!$I:$I),2,_xlfn.XLOOKUP(C334,[1]ModifierDes!$B:$B,[1]ModifierDes!$C:$C),3,_xlfn.XLOOKUP(C334,[1]StuntDes!$B:$B,[1]StuntDes!$C:$C)),"")</f>
        <v>冰冷抗性增加{0}</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439</v>
      </c>
      <c r="D335" t="s">
        <v>427</v>
      </c>
      <c r="E335" t="s">
        <v>410</v>
      </c>
      <c r="F335"/>
      <c r="G335">
        <v>2</v>
      </c>
      <c r="H335">
        <v>1000</v>
      </c>
      <c r="J335" cm="1">
        <f t="array" ref="J335">_xlfn.SWITCH(B335,1,75,2,61,3,49,4,37,5,25,6,13,7,4,8,1)</f>
        <v>37</v>
      </c>
      <c r="K335" t="str" cm="1">
        <f t="array" ref="K335">IFERROR(_xlfn.SWITCH(L335,1,_xlfn.XLOOKUP(C335,[1]AttributeName!$C:$C,[1]AttributeName!$I:$I),2,_xlfn.XLOOKUP(C335,[1]ModifierDes!$B:$B,[1]ModifierDes!$C:$C),3,_xlfn.XLOOKUP(C335,[1]StuntDes!$B:$B,[1]StuntDes!$C:$C)),"")</f>
        <v>冰冷抗性增加{0}</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439</v>
      </c>
      <c r="D336" t="s">
        <v>427</v>
      </c>
      <c r="E336" t="s">
        <v>410</v>
      </c>
      <c r="F336"/>
      <c r="G336">
        <v>2</v>
      </c>
      <c r="H336">
        <v>1000</v>
      </c>
      <c r="J336" cm="1">
        <f t="array" ref="J336">_xlfn.SWITCH(B336,1,75,2,61,3,49,4,37,5,25,6,13,7,4,8,1)</f>
        <v>25</v>
      </c>
      <c r="K336" t="str" cm="1">
        <f t="array" ref="K336">IFERROR(_xlfn.SWITCH(L336,1,_xlfn.XLOOKUP(C336,[1]AttributeName!$C:$C,[1]AttributeName!$I:$I),2,_xlfn.XLOOKUP(C336,[1]ModifierDes!$B:$B,[1]ModifierDes!$C:$C),3,_xlfn.XLOOKUP(C336,[1]StuntDes!$B:$B,[1]StuntDes!$C:$C)),"")</f>
        <v>冰冷抗性增加{0}</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439</v>
      </c>
      <c r="D337" t="s">
        <v>427</v>
      </c>
      <c r="E337" t="s">
        <v>410</v>
      </c>
      <c r="F337"/>
      <c r="G337">
        <v>2</v>
      </c>
      <c r="H337">
        <v>1000</v>
      </c>
      <c r="J337" cm="1">
        <f t="array" ref="J337">_xlfn.SWITCH(B337,1,75,2,61,3,49,4,37,5,25,6,13,7,4,8,1)</f>
        <v>13</v>
      </c>
      <c r="K337" t="str" cm="1">
        <f t="array" ref="K337">IFERROR(_xlfn.SWITCH(L337,1,_xlfn.XLOOKUP(C337,[1]AttributeName!$C:$C,[1]AttributeName!$I:$I),2,_xlfn.XLOOKUP(C337,[1]ModifierDes!$B:$B,[1]ModifierDes!$C:$C),3,_xlfn.XLOOKUP(C337,[1]StuntDes!$B:$B,[1]StuntDes!$C:$C)),"")</f>
        <v>冰冷抗性增加{0}</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439</v>
      </c>
      <c r="D338" t="s">
        <v>427</v>
      </c>
      <c r="E338" t="s">
        <v>410</v>
      </c>
      <c r="F338"/>
      <c r="G338">
        <v>2</v>
      </c>
      <c r="H338">
        <v>1000</v>
      </c>
      <c r="J338" cm="1">
        <f t="array" ref="J338">_xlfn.SWITCH(B338,1,75,2,61,3,49,4,37,5,25,6,13,7,4,8,1)</f>
        <v>4</v>
      </c>
      <c r="K338" t="str" cm="1">
        <f t="array" ref="K338">IFERROR(_xlfn.SWITCH(L338,1,_xlfn.XLOOKUP(C338,[1]AttributeName!$C:$C,[1]AttributeName!$I:$I),2,_xlfn.XLOOKUP(C338,[1]ModifierDes!$B:$B,[1]ModifierDes!$C:$C),3,_xlfn.XLOOKUP(C338,[1]StuntDes!$B:$B,[1]StuntDes!$C:$C)),"")</f>
        <v>冰冷抗性增加{0}</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439</v>
      </c>
      <c r="D339" t="s">
        <v>427</v>
      </c>
      <c r="E339" t="s">
        <v>410</v>
      </c>
      <c r="F339"/>
      <c r="G339">
        <v>2</v>
      </c>
      <c r="H339">
        <v>1000</v>
      </c>
      <c r="J339" cm="1">
        <f t="array" ref="J339">_xlfn.SWITCH(B339,1,75,2,61,3,49,4,37,5,25,6,13,7,4,8,1)</f>
        <v>1</v>
      </c>
      <c r="K339" t="str" cm="1">
        <f t="array" ref="K339">IFERROR(_xlfn.SWITCH(L339,1,_xlfn.XLOOKUP(C339,[1]AttributeName!$C:$C,[1]AttributeName!$I:$I),2,_xlfn.XLOOKUP(C339,[1]ModifierDes!$B:$B,[1]ModifierDes!$C:$C),3,_xlfn.XLOOKUP(C339,[1]StuntDes!$B:$B,[1]StuntDes!$C:$C)),"")</f>
        <v>冰冷抗性增加{0}</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440</v>
      </c>
      <c r="D340" t="s">
        <v>427</v>
      </c>
      <c r="E340" t="s">
        <v>410</v>
      </c>
      <c r="F340"/>
      <c r="G340">
        <v>2</v>
      </c>
      <c r="H340">
        <v>1000</v>
      </c>
      <c r="J340" cm="1">
        <f t="array" ref="J340">_xlfn.SWITCH(B340,1,75,2,61,3,49,4,37,5,25,6,13,7,4,8,1)</f>
        <v>75</v>
      </c>
      <c r="K340" t="str" cm="1">
        <f t="array" ref="K340">IFERROR(_xlfn.SWITCH(L340,1,_xlfn.XLOOKUP(C340,[1]AttributeName!$C:$C,[1]AttributeName!$I:$I),2,_xlfn.XLOOKUP(C340,[1]ModifierDes!$B:$B,[1]ModifierDes!$C:$C),3,_xlfn.XLOOKUP(C340,[1]StuntDes!$B:$B,[1]StuntDes!$C:$C)),"")</f>
        <v>闪电抗性增加{0}</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440</v>
      </c>
      <c r="D341" t="s">
        <v>427</v>
      </c>
      <c r="E341" t="s">
        <v>410</v>
      </c>
      <c r="F341"/>
      <c r="G341">
        <v>2</v>
      </c>
      <c r="H341">
        <v>1000</v>
      </c>
      <c r="J341" cm="1">
        <f t="array" ref="J341">_xlfn.SWITCH(B341,1,75,2,61,3,49,4,37,5,25,6,13,7,4,8,1)</f>
        <v>61</v>
      </c>
      <c r="K341" t="str" cm="1">
        <f t="array" ref="K341">IFERROR(_xlfn.SWITCH(L341,1,_xlfn.XLOOKUP(C341,[1]AttributeName!$C:$C,[1]AttributeName!$I:$I),2,_xlfn.XLOOKUP(C341,[1]ModifierDes!$B:$B,[1]ModifierDes!$C:$C),3,_xlfn.XLOOKUP(C341,[1]StuntDes!$B:$B,[1]StuntDes!$C:$C)),"")</f>
        <v>闪电抗性增加{0}</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440</v>
      </c>
      <c r="D342" t="s">
        <v>427</v>
      </c>
      <c r="E342" t="s">
        <v>410</v>
      </c>
      <c r="F342"/>
      <c r="G342">
        <v>2</v>
      </c>
      <c r="H342">
        <v>1000</v>
      </c>
      <c r="J342" cm="1">
        <f t="array" ref="J342">_xlfn.SWITCH(B342,1,75,2,61,3,49,4,37,5,25,6,13,7,4,8,1)</f>
        <v>49</v>
      </c>
      <c r="K342" t="str" cm="1">
        <f t="array" ref="K342">IFERROR(_xlfn.SWITCH(L342,1,_xlfn.XLOOKUP(C342,[1]AttributeName!$C:$C,[1]AttributeName!$I:$I),2,_xlfn.XLOOKUP(C342,[1]ModifierDes!$B:$B,[1]ModifierDes!$C:$C),3,_xlfn.XLOOKUP(C342,[1]StuntDes!$B:$B,[1]StuntDes!$C:$C)),"")</f>
        <v>闪电抗性增加{0}</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440</v>
      </c>
      <c r="D343" t="s">
        <v>427</v>
      </c>
      <c r="E343" t="s">
        <v>410</v>
      </c>
      <c r="F343"/>
      <c r="G343">
        <v>2</v>
      </c>
      <c r="H343">
        <v>1000</v>
      </c>
      <c r="J343" cm="1">
        <f t="array" ref="J343">_xlfn.SWITCH(B343,1,75,2,61,3,49,4,37,5,25,6,13,7,4,8,1)</f>
        <v>37</v>
      </c>
      <c r="K343" t="str" cm="1">
        <f t="array" ref="K343">IFERROR(_xlfn.SWITCH(L343,1,_xlfn.XLOOKUP(C343,[1]AttributeName!$C:$C,[1]AttributeName!$I:$I),2,_xlfn.XLOOKUP(C343,[1]ModifierDes!$B:$B,[1]ModifierDes!$C:$C),3,_xlfn.XLOOKUP(C343,[1]StuntDes!$B:$B,[1]StuntDes!$C:$C)),"")</f>
        <v>闪电抗性增加{0}</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440</v>
      </c>
      <c r="D344" t="s">
        <v>427</v>
      </c>
      <c r="E344" t="s">
        <v>410</v>
      </c>
      <c r="F344"/>
      <c r="G344">
        <v>2</v>
      </c>
      <c r="H344">
        <v>1000</v>
      </c>
      <c r="J344" cm="1">
        <f t="array" ref="J344">_xlfn.SWITCH(B344,1,75,2,61,3,49,4,37,5,25,6,13,7,4,8,1)</f>
        <v>25</v>
      </c>
      <c r="K344" t="str" cm="1">
        <f t="array" ref="K344">IFERROR(_xlfn.SWITCH(L344,1,_xlfn.XLOOKUP(C344,[1]AttributeName!$C:$C,[1]AttributeName!$I:$I),2,_xlfn.XLOOKUP(C344,[1]ModifierDes!$B:$B,[1]ModifierDes!$C:$C),3,_xlfn.XLOOKUP(C344,[1]StuntDes!$B:$B,[1]StuntDes!$C:$C)),"")</f>
        <v>闪电抗性增加{0}</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440</v>
      </c>
      <c r="D345" t="s">
        <v>427</v>
      </c>
      <c r="E345" t="s">
        <v>410</v>
      </c>
      <c r="F345"/>
      <c r="G345">
        <v>2</v>
      </c>
      <c r="H345">
        <v>1000</v>
      </c>
      <c r="J345" cm="1">
        <f t="array" ref="J345">_xlfn.SWITCH(B345,1,75,2,61,3,49,4,37,5,25,6,13,7,4,8,1)</f>
        <v>13</v>
      </c>
      <c r="K345" t="str" cm="1">
        <f t="array" ref="K345">IFERROR(_xlfn.SWITCH(L345,1,_xlfn.XLOOKUP(C345,[1]AttributeName!$C:$C,[1]AttributeName!$I:$I),2,_xlfn.XLOOKUP(C345,[1]ModifierDes!$B:$B,[1]ModifierDes!$C:$C),3,_xlfn.XLOOKUP(C345,[1]StuntDes!$B:$B,[1]StuntDes!$C:$C)),"")</f>
        <v>闪电抗性增加{0}</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440</v>
      </c>
      <c r="D346" t="s">
        <v>427</v>
      </c>
      <c r="E346" t="s">
        <v>410</v>
      </c>
      <c r="F346"/>
      <c r="G346">
        <v>2</v>
      </c>
      <c r="H346">
        <v>1000</v>
      </c>
      <c r="J346" cm="1">
        <f t="array" ref="J346">_xlfn.SWITCH(B346,1,75,2,61,3,49,4,37,5,25,6,13,7,4,8,1)</f>
        <v>4</v>
      </c>
      <c r="K346" t="str" cm="1">
        <f t="array" ref="K346">IFERROR(_xlfn.SWITCH(L346,1,_xlfn.XLOOKUP(C346,[1]AttributeName!$C:$C,[1]AttributeName!$I:$I),2,_xlfn.XLOOKUP(C346,[1]ModifierDes!$B:$B,[1]ModifierDes!$C:$C),3,_xlfn.XLOOKUP(C346,[1]StuntDes!$B:$B,[1]StuntDes!$C:$C)),"")</f>
        <v>闪电抗性增加{0}</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440</v>
      </c>
      <c r="D347" t="s">
        <v>427</v>
      </c>
      <c r="E347" t="s">
        <v>410</v>
      </c>
      <c r="F347"/>
      <c r="G347">
        <v>2</v>
      </c>
      <c r="H347">
        <v>1000</v>
      </c>
      <c r="J347" cm="1">
        <f t="array" ref="J347">_xlfn.SWITCH(B347,1,75,2,61,3,49,4,37,5,25,6,13,7,4,8,1)</f>
        <v>1</v>
      </c>
      <c r="K347" t="str" cm="1">
        <f t="array" ref="K347">IFERROR(_xlfn.SWITCH(L347,1,_xlfn.XLOOKUP(C347,[1]AttributeName!$C:$C,[1]AttributeName!$I:$I),2,_xlfn.XLOOKUP(C347,[1]ModifierDes!$B:$B,[1]ModifierDes!$C:$C),3,_xlfn.XLOOKUP(C347,[1]StuntDes!$B:$B,[1]StuntDes!$C:$C)),"")</f>
        <v>闪电抗性增加{0}</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441</v>
      </c>
      <c r="D348" t="s">
        <v>427</v>
      </c>
      <c r="E348" t="s">
        <v>410</v>
      </c>
      <c r="F348"/>
      <c r="G348">
        <v>2</v>
      </c>
      <c r="H348">
        <v>250</v>
      </c>
      <c r="J348" cm="1">
        <f t="array" ref="J348">_xlfn.SWITCH(B348,1,75,2,61,3,49,4,37,5,25,6,13,7,4,8,1)</f>
        <v>75</v>
      </c>
      <c r="K348" t="str" cm="1">
        <f t="array" ref="K348">IFERROR(_xlfn.SWITCH(L348,1,_xlfn.XLOOKUP(C348,[1]AttributeName!$C:$C,[1]AttributeName!$I:$I),2,_xlfn.XLOOKUP(C348,[1]ModifierDes!$B:$B,[1]ModifierDes!$C:$C),3,_xlfn.XLOOKUP(C348,[1]StuntDes!$B:$B,[1]StuntDes!$C:$C)),"")</f>
        <v>混沌抗性增加{0}</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441</v>
      </c>
      <c r="D349" t="s">
        <v>427</v>
      </c>
      <c r="E349" t="s">
        <v>410</v>
      </c>
      <c r="F349"/>
      <c r="G349">
        <v>2</v>
      </c>
      <c r="H349">
        <v>250</v>
      </c>
      <c r="J349" cm="1">
        <f t="array" ref="J349">_xlfn.SWITCH(B349,1,75,2,61,3,49,4,37,5,25,6,13,7,4,8,1)</f>
        <v>61</v>
      </c>
      <c r="K349" t="str" cm="1">
        <f t="array" ref="K349">IFERROR(_xlfn.SWITCH(L349,1,_xlfn.XLOOKUP(C349,[1]AttributeName!$C:$C,[1]AttributeName!$I:$I),2,_xlfn.XLOOKUP(C349,[1]ModifierDes!$B:$B,[1]ModifierDes!$C:$C),3,_xlfn.XLOOKUP(C349,[1]StuntDes!$B:$B,[1]StuntDes!$C:$C)),"")</f>
        <v>混沌抗性增加{0}</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441</v>
      </c>
      <c r="D350" t="s">
        <v>427</v>
      </c>
      <c r="E350" t="s">
        <v>410</v>
      </c>
      <c r="F350"/>
      <c r="G350">
        <v>2</v>
      </c>
      <c r="H350">
        <v>250</v>
      </c>
      <c r="J350" cm="1">
        <f t="array" ref="J350">_xlfn.SWITCH(B350,1,75,2,61,3,49,4,37,5,25,6,13,7,4,8,1)</f>
        <v>49</v>
      </c>
      <c r="K350" t="str" cm="1">
        <f t="array" ref="K350">IFERROR(_xlfn.SWITCH(L350,1,_xlfn.XLOOKUP(C350,[1]AttributeName!$C:$C,[1]AttributeName!$I:$I),2,_xlfn.XLOOKUP(C350,[1]ModifierDes!$B:$B,[1]ModifierDes!$C:$C),3,_xlfn.XLOOKUP(C350,[1]StuntDes!$B:$B,[1]StuntDes!$C:$C)),"")</f>
        <v>混沌抗性增加{0}</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441</v>
      </c>
      <c r="D351" t="s">
        <v>427</v>
      </c>
      <c r="E351" t="s">
        <v>410</v>
      </c>
      <c r="F351"/>
      <c r="G351">
        <v>2</v>
      </c>
      <c r="H351">
        <v>250</v>
      </c>
      <c r="J351" cm="1">
        <f t="array" ref="J351">_xlfn.SWITCH(B351,1,75,2,61,3,49,4,37,5,25,6,13,7,4,8,1)</f>
        <v>37</v>
      </c>
      <c r="K351" t="str" cm="1">
        <f t="array" ref="K351">IFERROR(_xlfn.SWITCH(L351,1,_xlfn.XLOOKUP(C351,[1]AttributeName!$C:$C,[1]AttributeName!$I:$I),2,_xlfn.XLOOKUP(C351,[1]ModifierDes!$B:$B,[1]ModifierDes!$C:$C),3,_xlfn.XLOOKUP(C351,[1]StuntDes!$B:$B,[1]StuntDes!$C:$C)),"")</f>
        <v>混沌抗性增加{0}</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441</v>
      </c>
      <c r="D352" t="s">
        <v>427</v>
      </c>
      <c r="E352" t="s">
        <v>410</v>
      </c>
      <c r="F352"/>
      <c r="G352">
        <v>2</v>
      </c>
      <c r="H352">
        <v>250</v>
      </c>
      <c r="J352" cm="1">
        <f t="array" ref="J352">_xlfn.SWITCH(B352,1,75,2,61,3,49,4,37,5,25,6,13,7,4,8,1)</f>
        <v>25</v>
      </c>
      <c r="K352" t="str" cm="1">
        <f t="array" ref="K352">IFERROR(_xlfn.SWITCH(L352,1,_xlfn.XLOOKUP(C352,[1]AttributeName!$C:$C,[1]AttributeName!$I:$I),2,_xlfn.XLOOKUP(C352,[1]ModifierDes!$B:$B,[1]ModifierDes!$C:$C),3,_xlfn.XLOOKUP(C352,[1]StuntDes!$B:$B,[1]StuntDes!$C:$C)),"")</f>
        <v>混沌抗性增加{0}</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441</v>
      </c>
      <c r="D353" t="s">
        <v>427</v>
      </c>
      <c r="E353" t="s">
        <v>410</v>
      </c>
      <c r="F353"/>
      <c r="G353">
        <v>2</v>
      </c>
      <c r="H353">
        <v>250</v>
      </c>
      <c r="J353" cm="1">
        <f t="array" ref="J353">_xlfn.SWITCH(B353,1,75,2,61,3,49,4,37,5,25,6,13,7,4,8,1)</f>
        <v>13</v>
      </c>
      <c r="K353" t="str" cm="1">
        <f t="array" ref="K353">IFERROR(_xlfn.SWITCH(L353,1,_xlfn.XLOOKUP(C353,[1]AttributeName!$C:$C,[1]AttributeName!$I:$I),2,_xlfn.XLOOKUP(C353,[1]ModifierDes!$B:$B,[1]ModifierDes!$C:$C),3,_xlfn.XLOOKUP(C353,[1]StuntDes!$B:$B,[1]StuntDes!$C:$C)),"")</f>
        <v>混沌抗性增加{0}</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441</v>
      </c>
      <c r="D354" t="s">
        <v>427</v>
      </c>
      <c r="E354" t="s">
        <v>410</v>
      </c>
      <c r="F354"/>
      <c r="G354">
        <v>2</v>
      </c>
      <c r="H354">
        <v>250</v>
      </c>
      <c r="J354" cm="1">
        <f t="array" ref="J354">_xlfn.SWITCH(B354,1,75,2,61,3,49,4,37,5,25,6,13,7,4,8,1)</f>
        <v>4</v>
      </c>
      <c r="K354" t="str" cm="1">
        <f t="array" ref="K354">IFERROR(_xlfn.SWITCH(L354,1,_xlfn.XLOOKUP(C354,[1]AttributeName!$C:$C,[1]AttributeName!$I:$I),2,_xlfn.XLOOKUP(C354,[1]ModifierDes!$B:$B,[1]ModifierDes!$C:$C),3,_xlfn.XLOOKUP(C354,[1]StuntDes!$B:$B,[1]StuntDes!$C:$C)),"")</f>
        <v>混沌抗性增加{0}</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441</v>
      </c>
      <c r="D355" t="s">
        <v>427</v>
      </c>
      <c r="E355" t="s">
        <v>410</v>
      </c>
      <c r="F355"/>
      <c r="G355">
        <v>2</v>
      </c>
      <c r="H355">
        <v>250</v>
      </c>
      <c r="J355" cm="1">
        <f t="array" ref="J355">_xlfn.SWITCH(B355,1,75,2,61,3,49,4,37,5,25,6,13,7,4,8,1)</f>
        <v>1</v>
      </c>
      <c r="K355" t="str" cm="1">
        <f t="array" ref="K355">IFERROR(_xlfn.SWITCH(L355,1,_xlfn.XLOOKUP(C355,[1]AttributeName!$C:$C,[1]AttributeName!$I:$I),2,_xlfn.XLOOKUP(C355,[1]ModifierDes!$B:$B,[1]ModifierDes!$C:$C),3,_xlfn.XLOOKUP(C355,[1]StuntDes!$B:$B,[1]StuntDes!$C:$C)),"")</f>
        <v>混沌抗性增加{0}</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416</v>
      </c>
      <c r="D356" t="s">
        <v>427</v>
      </c>
      <c r="E356" t="s">
        <v>410</v>
      </c>
      <c r="F356"/>
      <c r="G356">
        <v>2</v>
      </c>
      <c r="H356">
        <v>100</v>
      </c>
      <c r="I356"/>
      <c r="J356" cm="1">
        <f t="array" ref="J356">_xlfn.SWITCH(B356,1,75,2,61,3,49,4,37,5,25,6,13,7,4,8,1)</f>
        <v>75</v>
      </c>
      <c r="K356" t="str" cm="1">
        <f t="array" ref="K356">IFERROR(_xlfn.SWITCH(L356,1,_xlfn.XLOOKUP(C356,[1]AttributeName!$C:$C,[1]AttributeName!$I:$I),2,_xlfn.XLOOKUP(C356,[1]ModifierDes!$B:$B,[1]ModifierDes!$C:$C),3,_xlfn.XLOOKUP(C356,[1]StuntDes!$B:$B,[1]StuntDes!$C:$C)),"")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416</v>
      </c>
      <c r="D357" t="s">
        <v>427</v>
      </c>
      <c r="E357" t="s">
        <v>410</v>
      </c>
      <c r="F357"/>
      <c r="G357">
        <v>2</v>
      </c>
      <c r="H357">
        <v>200</v>
      </c>
      <c r="I357"/>
      <c r="J357" cm="1">
        <f t="array" ref="J357">_xlfn.SWITCH(B357,1,75,2,61,3,49,4,37,5,25,6,13,7,4,8,1)</f>
        <v>61</v>
      </c>
      <c r="K357" t="str" cm="1">
        <f t="array" ref="K357">IFERROR(_xlfn.SWITCH(L357,1,_xlfn.XLOOKUP(C357,[1]AttributeName!$C:$C,[1]AttributeName!$I:$I),2,_xlfn.XLOOKUP(C357,[1]ModifierDes!$B:$B,[1]ModifierDes!$C:$C),3,_xlfn.XLOOKUP(C357,[1]StuntDes!$B:$B,[1]StuntDes!$C:$C)),"")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416</v>
      </c>
      <c r="D358" t="s">
        <v>427</v>
      </c>
      <c r="E358" t="s">
        <v>410</v>
      </c>
      <c r="F358"/>
      <c r="G358">
        <v>2</v>
      </c>
      <c r="H358">
        <v>400</v>
      </c>
      <c r="I358"/>
      <c r="J358" cm="1">
        <f t="array" ref="J358">_xlfn.SWITCH(B358,1,75,2,61,3,49,4,37,5,25,6,13,7,4,8,1)</f>
        <v>49</v>
      </c>
      <c r="K358" t="str" cm="1">
        <f t="array" ref="K358">IFERROR(_xlfn.SWITCH(L358,1,_xlfn.XLOOKUP(C358,[1]AttributeName!$C:$C,[1]AttributeName!$I:$I),2,_xlfn.XLOOKUP(C358,[1]ModifierDes!$B:$B,[1]ModifierDes!$C:$C),3,_xlfn.XLOOKUP(C358,[1]StuntDes!$B:$B,[1]StuntDes!$C:$C)),"")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416</v>
      </c>
      <c r="D359" t="s">
        <v>427</v>
      </c>
      <c r="E359" t="s">
        <v>410</v>
      </c>
      <c r="F359"/>
      <c r="G359">
        <v>2</v>
      </c>
      <c r="H359">
        <v>600</v>
      </c>
      <c r="I359"/>
      <c r="J359" cm="1">
        <f t="array" ref="J359">_xlfn.SWITCH(B359,1,75,2,61,3,49,4,37,5,25,6,13,7,4,8,1)</f>
        <v>37</v>
      </c>
      <c r="K359" t="str" cm="1">
        <f t="array" ref="K359">IFERROR(_xlfn.SWITCH(L359,1,_xlfn.XLOOKUP(C359,[1]AttributeName!$C:$C,[1]AttributeName!$I:$I),2,_xlfn.XLOOKUP(C359,[1]ModifierDes!$B:$B,[1]ModifierDes!$C:$C),3,_xlfn.XLOOKUP(C359,[1]StuntDes!$B:$B,[1]StuntDes!$C:$C)),"")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416</v>
      </c>
      <c r="D360" t="s">
        <v>427</v>
      </c>
      <c r="E360" t="s">
        <v>410</v>
      </c>
      <c r="F360"/>
      <c r="G360">
        <v>2</v>
      </c>
      <c r="H360">
        <v>800</v>
      </c>
      <c r="I360"/>
      <c r="J360" cm="1">
        <f t="array" ref="J360">_xlfn.SWITCH(B360,1,75,2,61,3,49,4,37,5,25,6,13,7,4,8,1)</f>
        <v>25</v>
      </c>
      <c r="K360" t="str" cm="1">
        <f t="array" ref="K360">IFERROR(_xlfn.SWITCH(L360,1,_xlfn.XLOOKUP(C360,[1]AttributeName!$C:$C,[1]AttributeName!$I:$I),2,_xlfn.XLOOKUP(C360,[1]ModifierDes!$B:$B,[1]ModifierDes!$C:$C),3,_xlfn.XLOOKUP(C360,[1]StuntDes!$B:$B,[1]StuntDes!$C:$C)),"")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416</v>
      </c>
      <c r="D361" t="s">
        <v>427</v>
      </c>
      <c r="E361" t="s">
        <v>410</v>
      </c>
      <c r="F361"/>
      <c r="G361">
        <v>2</v>
      </c>
      <c r="H361">
        <v>1000</v>
      </c>
      <c r="I361"/>
      <c r="J361" cm="1">
        <f t="array" ref="J361">_xlfn.SWITCH(B361,1,75,2,61,3,49,4,37,5,25,6,13,7,4,8,1)</f>
        <v>13</v>
      </c>
      <c r="K361" t="str" cm="1">
        <f t="array" ref="K361">IFERROR(_xlfn.SWITCH(L361,1,_xlfn.XLOOKUP(C361,[1]AttributeName!$C:$C,[1]AttributeName!$I:$I),2,_xlfn.XLOOKUP(C361,[1]ModifierDes!$B:$B,[1]ModifierDes!$C:$C),3,_xlfn.XLOOKUP(C361,[1]StuntDes!$B:$B,[1]StuntDes!$C:$C)),"")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416</v>
      </c>
      <c r="D362" t="s">
        <v>427</v>
      </c>
      <c r="E362" t="s">
        <v>410</v>
      </c>
      <c r="F362"/>
      <c r="G362">
        <v>2</v>
      </c>
      <c r="H362">
        <v>1000</v>
      </c>
      <c r="I362"/>
      <c r="J362" cm="1">
        <f t="array" ref="J362">_xlfn.SWITCH(B362,1,75,2,61,3,49,4,37,5,25,6,13,7,4,8,1)</f>
        <v>4</v>
      </c>
      <c r="K362" t="str" cm="1">
        <f t="array" ref="K362">IFERROR(_xlfn.SWITCH(L362,1,_xlfn.XLOOKUP(C362,[1]AttributeName!$C:$C,[1]AttributeName!$I:$I),2,_xlfn.XLOOKUP(C362,[1]ModifierDes!$B:$B,[1]ModifierDes!$C:$C),3,_xlfn.XLOOKUP(C362,[1]StuntDes!$B:$B,[1]StuntDes!$C:$C)),"")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416</v>
      </c>
      <c r="D363" t="s">
        <v>427</v>
      </c>
      <c r="E363" t="s">
        <v>410</v>
      </c>
      <c r="F363"/>
      <c r="G363">
        <v>2</v>
      </c>
      <c r="H363">
        <v>1000</v>
      </c>
      <c r="I363"/>
      <c r="J363" cm="1">
        <f t="array" ref="J363">_xlfn.SWITCH(B363,1,75,2,61,3,49,4,37,5,25,6,13,7,4,8,1)</f>
        <v>1</v>
      </c>
      <c r="K363" t="str" cm="1">
        <f t="array" ref="K363">IFERROR(_xlfn.SWITCH(L363,1,_xlfn.XLOOKUP(C363,[1]AttributeName!$C:$C,[1]AttributeName!$I:$I),2,_xlfn.XLOOKUP(C363,[1]ModifierDes!$B:$B,[1]ModifierDes!$C:$C),3,_xlfn.XLOOKUP(C363,[1]StuntDes!$B:$B,[1]StuntDes!$C:$C)),"")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442</v>
      </c>
      <c r="D364" t="s">
        <v>427</v>
      </c>
      <c r="E364" t="s">
        <v>410</v>
      </c>
      <c r="F364"/>
      <c r="G364">
        <v>2</v>
      </c>
      <c r="H364">
        <v>100</v>
      </c>
      <c r="I364"/>
      <c r="J364" cm="1">
        <f t="array" ref="J364">_xlfn.SWITCH(B364,1,75,2,61,3,49,4,37,5,25,6,13,7,4,8,1)</f>
        <v>75</v>
      </c>
      <c r="K364" t="str" cm="1">
        <f t="array" ref="K364">IFERROR(_xlfn.SWITCH(L364,1,_xlfn.XLOOKUP(C364,[1]AttributeName!$C:$C,[1]AttributeName!$I:$I),2,_xlfn.XLOOKUP(C364,[1]ModifierDes!$B:$B,[1]ModifierDes!$C:$C),3,_xlfn.XLOOKUP(C364,[1]StuntDes!$B:$B,[1]StuntDes!$C:$C)),"")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442</v>
      </c>
      <c r="D365" t="s">
        <v>427</v>
      </c>
      <c r="E365" t="s">
        <v>410</v>
      </c>
      <c r="F365"/>
      <c r="G365">
        <v>2</v>
      </c>
      <c r="H365">
        <v>200</v>
      </c>
      <c r="I365"/>
      <c r="J365" cm="1">
        <f t="array" ref="J365">_xlfn.SWITCH(B365,1,75,2,61,3,49,4,37,5,25,6,13,7,4,8,1)</f>
        <v>61</v>
      </c>
      <c r="K365" t="str" cm="1">
        <f t="array" ref="K365">IFERROR(_xlfn.SWITCH(L365,1,_xlfn.XLOOKUP(C365,[1]AttributeName!$C:$C,[1]AttributeName!$I:$I),2,_xlfn.XLOOKUP(C365,[1]ModifierDes!$B:$B,[1]ModifierDes!$C:$C),3,_xlfn.XLOOKUP(C365,[1]StuntDes!$B:$B,[1]StuntDes!$C:$C)),"")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442</v>
      </c>
      <c r="D366" t="s">
        <v>427</v>
      </c>
      <c r="E366" t="s">
        <v>410</v>
      </c>
      <c r="F366"/>
      <c r="G366">
        <v>2</v>
      </c>
      <c r="H366">
        <v>400</v>
      </c>
      <c r="I366"/>
      <c r="J366" cm="1">
        <f t="array" ref="J366">_xlfn.SWITCH(B366,1,75,2,61,3,49,4,37,5,25,6,13,7,4,8,1)</f>
        <v>49</v>
      </c>
      <c r="K366" t="str" cm="1">
        <f t="array" ref="K366">IFERROR(_xlfn.SWITCH(L366,1,_xlfn.XLOOKUP(C366,[1]AttributeName!$C:$C,[1]AttributeName!$I:$I),2,_xlfn.XLOOKUP(C366,[1]ModifierDes!$B:$B,[1]ModifierDes!$C:$C),3,_xlfn.XLOOKUP(C366,[1]StuntDes!$B:$B,[1]StuntDes!$C:$C)),"")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442</v>
      </c>
      <c r="D367" t="s">
        <v>427</v>
      </c>
      <c r="E367" t="s">
        <v>410</v>
      </c>
      <c r="F367"/>
      <c r="G367">
        <v>2</v>
      </c>
      <c r="H367">
        <v>600</v>
      </c>
      <c r="I367"/>
      <c r="J367" cm="1">
        <f t="array" ref="J367">_xlfn.SWITCH(B367,1,75,2,61,3,49,4,37,5,25,6,13,7,4,8,1)</f>
        <v>37</v>
      </c>
      <c r="K367" t="str" cm="1">
        <f t="array" ref="K367">IFERROR(_xlfn.SWITCH(L367,1,_xlfn.XLOOKUP(C367,[1]AttributeName!$C:$C,[1]AttributeName!$I:$I),2,_xlfn.XLOOKUP(C367,[1]ModifierDes!$B:$B,[1]ModifierDes!$C:$C),3,_xlfn.XLOOKUP(C367,[1]StuntDes!$B:$B,[1]StuntDes!$C:$C)),"")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442</v>
      </c>
      <c r="D368" t="s">
        <v>427</v>
      </c>
      <c r="E368" t="s">
        <v>410</v>
      </c>
      <c r="F368"/>
      <c r="G368">
        <v>2</v>
      </c>
      <c r="H368">
        <v>800</v>
      </c>
      <c r="I368"/>
      <c r="J368" cm="1">
        <f t="array" ref="J368">_xlfn.SWITCH(B368,1,75,2,61,3,49,4,37,5,25,6,13,7,4,8,1)</f>
        <v>25</v>
      </c>
      <c r="K368" t="str" cm="1">
        <f t="array" ref="K368">IFERROR(_xlfn.SWITCH(L368,1,_xlfn.XLOOKUP(C368,[1]AttributeName!$C:$C,[1]AttributeName!$I:$I),2,_xlfn.XLOOKUP(C368,[1]ModifierDes!$B:$B,[1]ModifierDes!$C:$C),3,_xlfn.XLOOKUP(C368,[1]StuntDes!$B:$B,[1]StuntDes!$C:$C)),"")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442</v>
      </c>
      <c r="D369" t="s">
        <v>427</v>
      </c>
      <c r="E369" t="s">
        <v>410</v>
      </c>
      <c r="F369"/>
      <c r="G369">
        <v>2</v>
      </c>
      <c r="H369">
        <v>1000</v>
      </c>
      <c r="I369"/>
      <c r="J369" cm="1">
        <f t="array" ref="J369">_xlfn.SWITCH(B369,1,75,2,61,3,49,4,37,5,25,6,13,7,4,8,1)</f>
        <v>13</v>
      </c>
      <c r="K369" t="str" cm="1">
        <f t="array" ref="K369">IFERROR(_xlfn.SWITCH(L369,1,_xlfn.XLOOKUP(C369,[1]AttributeName!$C:$C,[1]AttributeName!$I:$I),2,_xlfn.XLOOKUP(C369,[1]ModifierDes!$B:$B,[1]ModifierDes!$C:$C),3,_xlfn.XLOOKUP(C369,[1]StuntDes!$B:$B,[1]StuntDes!$C:$C)),"")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442</v>
      </c>
      <c r="D370" t="s">
        <v>427</v>
      </c>
      <c r="E370" t="s">
        <v>410</v>
      </c>
      <c r="F370"/>
      <c r="G370">
        <v>2</v>
      </c>
      <c r="H370">
        <v>1000</v>
      </c>
      <c r="I370"/>
      <c r="J370" cm="1">
        <f t="array" ref="J370">_xlfn.SWITCH(B370,1,75,2,61,3,49,4,37,5,25,6,13,7,4,8,1)</f>
        <v>4</v>
      </c>
      <c r="K370" t="str" cm="1">
        <f t="array" ref="K370">IFERROR(_xlfn.SWITCH(L370,1,_xlfn.XLOOKUP(C370,[1]AttributeName!$C:$C,[1]AttributeName!$I:$I),2,_xlfn.XLOOKUP(C370,[1]ModifierDes!$B:$B,[1]ModifierDes!$C:$C),3,_xlfn.XLOOKUP(C370,[1]StuntDes!$B:$B,[1]StuntDes!$C:$C)),"")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442</v>
      </c>
      <c r="D371" t="s">
        <v>427</v>
      </c>
      <c r="E371" t="s">
        <v>410</v>
      </c>
      <c r="F371"/>
      <c r="G371">
        <v>2</v>
      </c>
      <c r="H371">
        <v>1000</v>
      </c>
      <c r="I371"/>
      <c r="J371" cm="1">
        <f t="array" ref="J371">_xlfn.SWITCH(B371,1,75,2,61,3,49,4,37,5,25,6,13,7,4,8,1)</f>
        <v>1</v>
      </c>
      <c r="K371" t="str" cm="1">
        <f t="array" ref="K371">IFERROR(_xlfn.SWITCH(L371,1,_xlfn.XLOOKUP(C371,[1]AttributeName!$C:$C,[1]AttributeName!$I:$I),2,_xlfn.XLOOKUP(C371,[1]ModifierDes!$B:$B,[1]ModifierDes!$C:$C),3,_xlfn.XLOOKUP(C371,[1]StuntDes!$B:$B,[1]StuntDes!$C:$C)),"")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417</v>
      </c>
      <c r="D372" t="s">
        <v>427</v>
      </c>
      <c r="E372" t="s">
        <v>410</v>
      </c>
      <c r="F372"/>
      <c r="G372">
        <v>2</v>
      </c>
      <c r="H372">
        <v>100</v>
      </c>
      <c r="I372"/>
      <c r="J372" cm="1">
        <f t="array" ref="J372">_xlfn.SWITCH(B372,1,75,2,61,3,49,4,37,5,25,6,13,7,4,8,1)</f>
        <v>75</v>
      </c>
      <c r="K372" t="str" cm="1">
        <f t="array" ref="K372">IFERROR(_xlfn.SWITCH(L372,1,_xlfn.XLOOKUP(C372,[1]AttributeName!$C:$C,[1]AttributeName!$I:$I),2,_xlfn.XLOOKUP(C372,[1]ModifierDes!$B:$B,[1]ModifierDes!$C:$C),3,_xlfn.XLOOKUP(C372,[1]StuntDes!$B:$B,[1]StuntDes!$C:$C)),"")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417</v>
      </c>
      <c r="D373" t="s">
        <v>427</v>
      </c>
      <c r="E373" t="s">
        <v>410</v>
      </c>
      <c r="F373"/>
      <c r="G373">
        <v>2</v>
      </c>
      <c r="H373">
        <v>200</v>
      </c>
      <c r="I373"/>
      <c r="J373" cm="1">
        <f t="array" ref="J373">_xlfn.SWITCH(B373,1,75,2,61,3,49,4,37,5,25,6,13,7,4,8,1)</f>
        <v>61</v>
      </c>
      <c r="K373" t="str" cm="1">
        <f t="array" ref="K373">IFERROR(_xlfn.SWITCH(L373,1,_xlfn.XLOOKUP(C373,[1]AttributeName!$C:$C,[1]AttributeName!$I:$I),2,_xlfn.XLOOKUP(C373,[1]ModifierDes!$B:$B,[1]ModifierDes!$C:$C),3,_xlfn.XLOOKUP(C373,[1]StuntDes!$B:$B,[1]StuntDes!$C:$C)),"")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417</v>
      </c>
      <c r="D374" t="s">
        <v>427</v>
      </c>
      <c r="E374" t="s">
        <v>410</v>
      </c>
      <c r="F374"/>
      <c r="G374">
        <v>2</v>
      </c>
      <c r="H374">
        <v>400</v>
      </c>
      <c r="I374"/>
      <c r="J374" cm="1">
        <f t="array" ref="J374">_xlfn.SWITCH(B374,1,75,2,61,3,49,4,37,5,25,6,13,7,4,8,1)</f>
        <v>49</v>
      </c>
      <c r="K374" t="str" cm="1">
        <f t="array" ref="K374">IFERROR(_xlfn.SWITCH(L374,1,_xlfn.XLOOKUP(C374,[1]AttributeName!$C:$C,[1]AttributeName!$I:$I),2,_xlfn.XLOOKUP(C374,[1]ModifierDes!$B:$B,[1]ModifierDes!$C:$C),3,_xlfn.XLOOKUP(C374,[1]StuntDes!$B:$B,[1]StuntDes!$C:$C)),"")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417</v>
      </c>
      <c r="D375" t="s">
        <v>427</v>
      </c>
      <c r="E375" t="s">
        <v>410</v>
      </c>
      <c r="F375"/>
      <c r="G375">
        <v>2</v>
      </c>
      <c r="H375">
        <v>600</v>
      </c>
      <c r="I375"/>
      <c r="J375" cm="1">
        <f t="array" ref="J375">_xlfn.SWITCH(B375,1,75,2,61,3,49,4,37,5,25,6,13,7,4,8,1)</f>
        <v>37</v>
      </c>
      <c r="K375" t="str" cm="1">
        <f t="array" ref="K375">IFERROR(_xlfn.SWITCH(L375,1,_xlfn.XLOOKUP(C375,[1]AttributeName!$C:$C,[1]AttributeName!$I:$I),2,_xlfn.XLOOKUP(C375,[1]ModifierDes!$B:$B,[1]ModifierDes!$C:$C),3,_xlfn.XLOOKUP(C375,[1]StuntDes!$B:$B,[1]StuntDes!$C:$C)),"")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417</v>
      </c>
      <c r="D376" t="s">
        <v>427</v>
      </c>
      <c r="E376" t="s">
        <v>410</v>
      </c>
      <c r="F376"/>
      <c r="G376">
        <v>2</v>
      </c>
      <c r="H376">
        <v>800</v>
      </c>
      <c r="I376"/>
      <c r="J376" cm="1">
        <f t="array" ref="J376">_xlfn.SWITCH(B376,1,75,2,61,3,49,4,37,5,25,6,13,7,4,8,1)</f>
        <v>25</v>
      </c>
      <c r="K376" t="str" cm="1">
        <f t="array" ref="K376">IFERROR(_xlfn.SWITCH(L376,1,_xlfn.XLOOKUP(C376,[1]AttributeName!$C:$C,[1]AttributeName!$I:$I),2,_xlfn.XLOOKUP(C376,[1]ModifierDes!$B:$B,[1]ModifierDes!$C:$C),3,_xlfn.XLOOKUP(C376,[1]StuntDes!$B:$B,[1]StuntDes!$C:$C)),"")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417</v>
      </c>
      <c r="D377" t="s">
        <v>427</v>
      </c>
      <c r="E377" t="s">
        <v>410</v>
      </c>
      <c r="F377"/>
      <c r="G377">
        <v>2</v>
      </c>
      <c r="H377">
        <v>1000</v>
      </c>
      <c r="I377"/>
      <c r="J377" cm="1">
        <f t="array" ref="J377">_xlfn.SWITCH(B377,1,75,2,61,3,49,4,37,5,25,6,13,7,4,8,1)</f>
        <v>13</v>
      </c>
      <c r="K377" t="str" cm="1">
        <f t="array" ref="K377">IFERROR(_xlfn.SWITCH(L377,1,_xlfn.XLOOKUP(C377,[1]AttributeName!$C:$C,[1]AttributeName!$I:$I),2,_xlfn.XLOOKUP(C377,[1]ModifierDes!$B:$B,[1]ModifierDes!$C:$C),3,_xlfn.XLOOKUP(C377,[1]StuntDes!$B:$B,[1]StuntDes!$C:$C)),"")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417</v>
      </c>
      <c r="D378" t="s">
        <v>427</v>
      </c>
      <c r="E378" t="s">
        <v>410</v>
      </c>
      <c r="F378"/>
      <c r="G378">
        <v>2</v>
      </c>
      <c r="H378">
        <v>1000</v>
      </c>
      <c r="I378"/>
      <c r="J378" cm="1">
        <f t="array" ref="J378">_xlfn.SWITCH(B378,1,75,2,61,3,49,4,37,5,25,6,13,7,4,8,1)</f>
        <v>4</v>
      </c>
      <c r="K378" t="str" cm="1">
        <f t="array" ref="K378">IFERROR(_xlfn.SWITCH(L378,1,_xlfn.XLOOKUP(C378,[1]AttributeName!$C:$C,[1]AttributeName!$I:$I),2,_xlfn.XLOOKUP(C378,[1]ModifierDes!$B:$B,[1]ModifierDes!$C:$C),3,_xlfn.XLOOKUP(C378,[1]StuntDes!$B:$B,[1]StuntDes!$C:$C)),"")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417</v>
      </c>
      <c r="D379" t="s">
        <v>427</v>
      </c>
      <c r="E379" t="s">
        <v>410</v>
      </c>
      <c r="F379"/>
      <c r="G379">
        <v>2</v>
      </c>
      <c r="H379">
        <v>1000</v>
      </c>
      <c r="I379"/>
      <c r="J379" cm="1">
        <f t="array" ref="J379">_xlfn.SWITCH(B379,1,75,2,61,3,49,4,37,5,25,6,13,7,4,8,1)</f>
        <v>1</v>
      </c>
      <c r="K379" t="str" cm="1">
        <f t="array" ref="K379">IFERROR(_xlfn.SWITCH(L379,1,_xlfn.XLOOKUP(C379,[1]AttributeName!$C:$C,[1]AttributeName!$I:$I),2,_xlfn.XLOOKUP(C379,[1]ModifierDes!$B:$B,[1]ModifierDes!$C:$C),3,_xlfn.XLOOKUP(C379,[1]StuntDes!$B:$B,[1]StuntDes!$C:$C)),"")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443</v>
      </c>
      <c r="D380" t="s">
        <v>427</v>
      </c>
      <c r="E380" t="s">
        <v>410</v>
      </c>
      <c r="F380"/>
      <c r="G380">
        <v>2</v>
      </c>
      <c r="H380">
        <v>100</v>
      </c>
      <c r="I380"/>
      <c r="J380" cm="1">
        <f t="array" ref="J380">_xlfn.SWITCH(B380,1,75,2,61,3,49,4,37,5,25,6,13,7,4,8,1)</f>
        <v>75</v>
      </c>
      <c r="K380" t="str" cm="1">
        <f t="array" ref="K380">IFERROR(_xlfn.SWITCH(L380,1,_xlfn.XLOOKUP(C380,[1]AttributeName!$C:$C,[1]AttributeName!$I:$I),2,_xlfn.XLOOKUP(C380,[1]ModifierDes!$B:$B,[1]ModifierDes!$C:$C),3,_xlfn.XLOOKUP(C380,[1]StuntDes!$B:$B,[1]StuntDes!$C:$C)),"")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443</v>
      </c>
      <c r="D381" t="s">
        <v>427</v>
      </c>
      <c r="E381" t="s">
        <v>410</v>
      </c>
      <c r="F381"/>
      <c r="G381">
        <v>2</v>
      </c>
      <c r="H381">
        <v>200</v>
      </c>
      <c r="I381"/>
      <c r="J381" cm="1">
        <f t="array" ref="J381">_xlfn.SWITCH(B381,1,75,2,61,3,49,4,37,5,25,6,13,7,4,8,1)</f>
        <v>61</v>
      </c>
      <c r="K381" t="str" cm="1">
        <f t="array" ref="K381">IFERROR(_xlfn.SWITCH(L381,1,_xlfn.XLOOKUP(C381,[1]AttributeName!$C:$C,[1]AttributeName!$I:$I),2,_xlfn.XLOOKUP(C381,[1]ModifierDes!$B:$B,[1]ModifierDes!$C:$C),3,_xlfn.XLOOKUP(C381,[1]StuntDes!$B:$B,[1]StuntDes!$C:$C)),"")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443</v>
      </c>
      <c r="D382" t="s">
        <v>427</v>
      </c>
      <c r="E382" t="s">
        <v>410</v>
      </c>
      <c r="F382"/>
      <c r="G382">
        <v>2</v>
      </c>
      <c r="H382">
        <v>400</v>
      </c>
      <c r="I382"/>
      <c r="J382" cm="1">
        <f t="array" ref="J382">_xlfn.SWITCH(B382,1,75,2,61,3,49,4,37,5,25,6,13,7,4,8,1)</f>
        <v>49</v>
      </c>
      <c r="K382" t="str" cm="1">
        <f t="array" ref="K382">IFERROR(_xlfn.SWITCH(L382,1,_xlfn.XLOOKUP(C382,[1]AttributeName!$C:$C,[1]AttributeName!$I:$I),2,_xlfn.XLOOKUP(C382,[1]ModifierDes!$B:$B,[1]ModifierDes!$C:$C),3,_xlfn.XLOOKUP(C382,[1]StuntDes!$B:$B,[1]StuntDes!$C:$C)),"")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443</v>
      </c>
      <c r="D383" t="s">
        <v>427</v>
      </c>
      <c r="E383" t="s">
        <v>410</v>
      </c>
      <c r="F383"/>
      <c r="G383">
        <v>2</v>
      </c>
      <c r="H383">
        <v>600</v>
      </c>
      <c r="I383"/>
      <c r="J383" cm="1">
        <f t="array" ref="J383">_xlfn.SWITCH(B383,1,75,2,61,3,49,4,37,5,25,6,13,7,4,8,1)</f>
        <v>37</v>
      </c>
      <c r="K383" t="str" cm="1">
        <f t="array" ref="K383">IFERROR(_xlfn.SWITCH(L383,1,_xlfn.XLOOKUP(C383,[1]AttributeName!$C:$C,[1]AttributeName!$I:$I),2,_xlfn.XLOOKUP(C383,[1]ModifierDes!$B:$B,[1]ModifierDes!$C:$C),3,_xlfn.XLOOKUP(C383,[1]StuntDes!$B:$B,[1]StuntDes!$C:$C)),"")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443</v>
      </c>
      <c r="D384" t="s">
        <v>427</v>
      </c>
      <c r="E384" t="s">
        <v>410</v>
      </c>
      <c r="F384"/>
      <c r="G384">
        <v>2</v>
      </c>
      <c r="H384">
        <v>800</v>
      </c>
      <c r="I384"/>
      <c r="J384" cm="1">
        <f t="array" ref="J384">_xlfn.SWITCH(B384,1,75,2,61,3,49,4,37,5,25,6,13,7,4,8,1)</f>
        <v>25</v>
      </c>
      <c r="K384" t="str" cm="1">
        <f t="array" ref="K384">IFERROR(_xlfn.SWITCH(L384,1,_xlfn.XLOOKUP(C384,[1]AttributeName!$C:$C,[1]AttributeName!$I:$I),2,_xlfn.XLOOKUP(C384,[1]ModifierDes!$B:$B,[1]ModifierDes!$C:$C),3,_xlfn.XLOOKUP(C384,[1]StuntDes!$B:$B,[1]StuntDes!$C:$C)),"")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443</v>
      </c>
      <c r="D385" t="s">
        <v>427</v>
      </c>
      <c r="E385" t="s">
        <v>410</v>
      </c>
      <c r="F385"/>
      <c r="G385">
        <v>2</v>
      </c>
      <c r="H385">
        <v>1000</v>
      </c>
      <c r="I385"/>
      <c r="J385" cm="1">
        <f t="array" ref="J385">_xlfn.SWITCH(B385,1,75,2,61,3,49,4,37,5,25,6,13,7,4,8,1)</f>
        <v>13</v>
      </c>
      <c r="K385" t="str" cm="1">
        <f t="array" ref="K385">IFERROR(_xlfn.SWITCH(L385,1,_xlfn.XLOOKUP(C385,[1]AttributeName!$C:$C,[1]AttributeName!$I:$I),2,_xlfn.XLOOKUP(C385,[1]ModifierDes!$B:$B,[1]ModifierDes!$C:$C),3,_xlfn.XLOOKUP(C385,[1]StuntDes!$B:$B,[1]StuntDes!$C:$C)),"")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443</v>
      </c>
      <c r="D386" t="s">
        <v>427</v>
      </c>
      <c r="E386" t="s">
        <v>410</v>
      </c>
      <c r="F386"/>
      <c r="G386">
        <v>2</v>
      </c>
      <c r="H386">
        <v>1000</v>
      </c>
      <c r="I386"/>
      <c r="J386" cm="1">
        <f t="array" ref="J386">_xlfn.SWITCH(B386,1,75,2,61,3,49,4,37,5,25,6,13,7,4,8,1)</f>
        <v>4</v>
      </c>
      <c r="K386" t="str" cm="1">
        <f t="array" ref="K386">IFERROR(_xlfn.SWITCH(L386,1,_xlfn.XLOOKUP(C386,[1]AttributeName!$C:$C,[1]AttributeName!$I:$I),2,_xlfn.XLOOKUP(C386,[1]ModifierDes!$B:$B,[1]ModifierDes!$C:$C),3,_xlfn.XLOOKUP(C386,[1]StuntDes!$B:$B,[1]StuntDes!$C:$C)),"")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443</v>
      </c>
      <c r="D387" t="s">
        <v>427</v>
      </c>
      <c r="E387" t="s">
        <v>410</v>
      </c>
      <c r="F387"/>
      <c r="G387">
        <v>2</v>
      </c>
      <c r="H387">
        <v>1000</v>
      </c>
      <c r="I387"/>
      <c r="J387" cm="1">
        <f t="array" ref="J387">_xlfn.SWITCH(B387,1,75,2,61,3,49,4,37,5,25,6,13,7,4,8,1)</f>
        <v>1</v>
      </c>
      <c r="K387" t="str" cm="1">
        <f t="array" ref="K387">IFERROR(_xlfn.SWITCH(L387,1,_xlfn.XLOOKUP(C387,[1]AttributeName!$C:$C,[1]AttributeName!$I:$I),2,_xlfn.XLOOKUP(C387,[1]ModifierDes!$B:$B,[1]ModifierDes!$C:$C),3,_xlfn.XLOOKUP(C387,[1]StuntDes!$B:$B,[1]StuntDes!$C:$C)),"")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403</v>
      </c>
      <c r="D388" t="s">
        <v>427</v>
      </c>
      <c r="E388" t="s">
        <v>410</v>
      </c>
      <c r="G388">
        <v>2</v>
      </c>
      <c r="H388">
        <v>1000</v>
      </c>
      <c r="J388" cm="1">
        <f t="array" ref="J388">_xlfn.SWITCH(B388,1,75,2,61,3,49,4,37,5,25,6,13,7,4,8,1)</f>
        <v>75</v>
      </c>
      <c r="K388" t="str" cm="1">
        <f t="array" ref="K388">IFERROR(_xlfn.SWITCH(L388,1,_xlfn.XLOOKUP(C388,[1]AttributeName!$C:$C,[1]AttributeName!$I:$I),2,_xlfn.XLOOKUP(C388,[1]ModifierDes!$B:$B,[1]ModifierDes!$C:$C),3,_xlfn.XLOOKUP(C388,[1]StuntDes!$B:$B,[1]StuntDes!$C:$C)),"")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403</v>
      </c>
      <c r="D389" t="s">
        <v>427</v>
      </c>
      <c r="E389" t="s">
        <v>410</v>
      </c>
      <c r="G389">
        <v>2</v>
      </c>
      <c r="H389">
        <v>1000</v>
      </c>
      <c r="J389" cm="1">
        <f t="array" ref="J389">_xlfn.SWITCH(B389,1,75,2,61,3,49,4,37,5,25,6,13,7,4,8,1)</f>
        <v>61</v>
      </c>
      <c r="K389" t="str" cm="1">
        <f t="array" ref="K389">IFERROR(_xlfn.SWITCH(L389,1,_xlfn.XLOOKUP(C389,[1]AttributeName!$C:$C,[1]AttributeName!$I:$I),2,_xlfn.XLOOKUP(C389,[1]ModifierDes!$B:$B,[1]ModifierDes!$C:$C),3,_xlfn.XLOOKUP(C389,[1]StuntDes!$B:$B,[1]StuntDes!$C:$C)),"")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403</v>
      </c>
      <c r="D390" t="s">
        <v>427</v>
      </c>
      <c r="E390" t="s">
        <v>410</v>
      </c>
      <c r="G390">
        <v>2</v>
      </c>
      <c r="H390">
        <v>1000</v>
      </c>
      <c r="J390" cm="1">
        <f t="array" ref="J390">_xlfn.SWITCH(B390,1,75,2,61,3,49,4,37,5,25,6,13,7,4,8,1)</f>
        <v>49</v>
      </c>
      <c r="K390" t="str" cm="1">
        <f t="array" ref="K390">IFERROR(_xlfn.SWITCH(L390,1,_xlfn.XLOOKUP(C390,[1]AttributeName!$C:$C,[1]AttributeName!$I:$I),2,_xlfn.XLOOKUP(C390,[1]ModifierDes!$B:$B,[1]ModifierDes!$C:$C),3,_xlfn.XLOOKUP(C390,[1]StuntDes!$B:$B,[1]StuntDes!$C:$C)),"")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403</v>
      </c>
      <c r="D391" t="s">
        <v>427</v>
      </c>
      <c r="E391" t="s">
        <v>410</v>
      </c>
      <c r="G391">
        <v>2</v>
      </c>
      <c r="H391">
        <v>1000</v>
      </c>
      <c r="J391" cm="1">
        <f t="array" ref="J391">_xlfn.SWITCH(B391,1,75,2,61,3,49,4,37,5,25,6,13,7,4,8,1)</f>
        <v>37</v>
      </c>
      <c r="K391" t="str" cm="1">
        <f t="array" ref="K391">IFERROR(_xlfn.SWITCH(L391,1,_xlfn.XLOOKUP(C391,[1]AttributeName!$C:$C,[1]AttributeName!$I:$I),2,_xlfn.XLOOKUP(C391,[1]ModifierDes!$B:$B,[1]ModifierDes!$C:$C),3,_xlfn.XLOOKUP(C391,[1]StuntDes!$B:$B,[1]StuntDes!$C:$C)),"")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403</v>
      </c>
      <c r="D392" t="s">
        <v>427</v>
      </c>
      <c r="E392" t="s">
        <v>410</v>
      </c>
      <c r="G392">
        <v>2</v>
      </c>
      <c r="H392">
        <v>1000</v>
      </c>
      <c r="J392" cm="1">
        <f t="array" ref="J392">_xlfn.SWITCH(B392,1,75,2,61,3,49,4,37,5,25,6,13,7,4,8,1)</f>
        <v>25</v>
      </c>
      <c r="K392" t="str" cm="1">
        <f t="array" ref="K392">IFERROR(_xlfn.SWITCH(L392,1,_xlfn.XLOOKUP(C392,[1]AttributeName!$C:$C,[1]AttributeName!$I:$I),2,_xlfn.XLOOKUP(C392,[1]ModifierDes!$B:$B,[1]ModifierDes!$C:$C),3,_xlfn.XLOOKUP(C392,[1]StuntDes!$B:$B,[1]StuntDes!$C:$C)),"")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403</v>
      </c>
      <c r="D393" t="s">
        <v>427</v>
      </c>
      <c r="E393" t="s">
        <v>410</v>
      </c>
      <c r="G393">
        <v>2</v>
      </c>
      <c r="H393">
        <v>1000</v>
      </c>
      <c r="J393" cm="1">
        <f t="array" ref="J393">_xlfn.SWITCH(B393,1,75,2,61,3,49,4,37,5,25,6,13,7,4,8,1)</f>
        <v>13</v>
      </c>
      <c r="K393" t="str" cm="1">
        <f t="array" ref="K393">IFERROR(_xlfn.SWITCH(L393,1,_xlfn.XLOOKUP(C393,[1]AttributeName!$C:$C,[1]AttributeName!$I:$I),2,_xlfn.XLOOKUP(C393,[1]ModifierDes!$B:$B,[1]ModifierDes!$C:$C),3,_xlfn.XLOOKUP(C393,[1]StuntDes!$B:$B,[1]StuntDes!$C:$C)),"")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403</v>
      </c>
      <c r="D394" t="s">
        <v>427</v>
      </c>
      <c r="E394" t="s">
        <v>410</v>
      </c>
      <c r="G394">
        <v>2</v>
      </c>
      <c r="H394">
        <v>1000</v>
      </c>
      <c r="J394" cm="1">
        <f t="array" ref="J394">_xlfn.SWITCH(B394,1,75,2,61,3,49,4,37,5,25,6,13,7,4,8,1)</f>
        <v>4</v>
      </c>
      <c r="K394" t="str" cm="1">
        <f t="array" ref="K394">IFERROR(_xlfn.SWITCH(L394,1,_xlfn.XLOOKUP(C394,[1]AttributeName!$C:$C,[1]AttributeName!$I:$I),2,_xlfn.XLOOKUP(C394,[1]ModifierDes!$B:$B,[1]ModifierDes!$C:$C),3,_xlfn.XLOOKUP(C394,[1]StuntDes!$B:$B,[1]StuntDes!$C:$C)),"")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403</v>
      </c>
      <c r="D395" t="s">
        <v>427</v>
      </c>
      <c r="E395" t="s">
        <v>410</v>
      </c>
      <c r="G395">
        <v>2</v>
      </c>
      <c r="H395">
        <v>1000</v>
      </c>
      <c r="J395" cm="1">
        <f t="array" ref="J395">_xlfn.SWITCH(B395,1,75,2,61,3,49,4,37,5,25,6,13,7,4,8,1)</f>
        <v>1</v>
      </c>
      <c r="K395" t="str" cm="1">
        <f t="array" ref="K395">IFERROR(_xlfn.SWITCH(L395,1,_xlfn.XLOOKUP(C395,[1]AttributeName!$C:$C,[1]AttributeName!$I:$I),2,_xlfn.XLOOKUP(C395,[1]ModifierDes!$B:$B,[1]ModifierDes!$C:$C),3,_xlfn.XLOOKUP(C395,[1]StuntDes!$B:$B,[1]StuntDes!$C:$C)),"")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444</v>
      </c>
      <c r="D396" t="s">
        <v>427</v>
      </c>
      <c r="E396" t="s">
        <v>410</v>
      </c>
      <c r="F396"/>
      <c r="G396">
        <v>2</v>
      </c>
      <c r="H396">
        <v>1000</v>
      </c>
      <c r="I396"/>
      <c r="J396" cm="1">
        <f t="array" ref="J396">_xlfn.SWITCH(B396,1,75,2,61,3,49,4,37,5,25,6,13,7,4,8,1)</f>
        <v>75</v>
      </c>
      <c r="K396" t="str" cm="1">
        <f t="array" ref="K396">IFERROR(_xlfn.SWITCH(L396,1,_xlfn.XLOOKUP(C396,[1]AttributeName!$C:$C,[1]AttributeName!$I:$I),2,_xlfn.XLOOKUP(C396,[1]ModifierDes!$B:$B,[1]ModifierDes!$C:$C),3,_xlfn.XLOOKUP(C396,[1]StuntDes!$B:$B,[1]StuntDes!$C:$C)),"")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444</v>
      </c>
      <c r="D397" t="s">
        <v>427</v>
      </c>
      <c r="E397" t="s">
        <v>410</v>
      </c>
      <c r="F397"/>
      <c r="G397">
        <v>2</v>
      </c>
      <c r="H397">
        <v>1000</v>
      </c>
      <c r="I397"/>
      <c r="J397" cm="1">
        <f t="array" ref="J397">_xlfn.SWITCH(B397,1,75,2,61,3,49,4,37,5,25,6,13,7,4,8,1)</f>
        <v>61</v>
      </c>
      <c r="K397" t="str" cm="1">
        <f t="array" ref="K397">IFERROR(_xlfn.SWITCH(L397,1,_xlfn.XLOOKUP(C397,[1]AttributeName!$C:$C,[1]AttributeName!$I:$I),2,_xlfn.XLOOKUP(C397,[1]ModifierDes!$B:$B,[1]ModifierDes!$C:$C),3,_xlfn.XLOOKUP(C397,[1]StuntDes!$B:$B,[1]StuntDes!$C:$C)),"")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444</v>
      </c>
      <c r="D398" t="s">
        <v>427</v>
      </c>
      <c r="E398" t="s">
        <v>410</v>
      </c>
      <c r="F398"/>
      <c r="G398">
        <v>2</v>
      </c>
      <c r="H398">
        <v>1000</v>
      </c>
      <c r="I398"/>
      <c r="J398" cm="1">
        <f t="array" ref="J398">_xlfn.SWITCH(B398,1,75,2,61,3,49,4,37,5,25,6,13,7,4,8,1)</f>
        <v>49</v>
      </c>
      <c r="K398" t="str" cm="1">
        <f t="array" ref="K398">IFERROR(_xlfn.SWITCH(L398,1,_xlfn.XLOOKUP(C398,[1]AttributeName!$C:$C,[1]AttributeName!$I:$I),2,_xlfn.XLOOKUP(C398,[1]ModifierDes!$B:$B,[1]ModifierDes!$C:$C),3,_xlfn.XLOOKUP(C398,[1]StuntDes!$B:$B,[1]StuntDes!$C:$C)),"")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444</v>
      </c>
      <c r="D399" t="s">
        <v>427</v>
      </c>
      <c r="E399" t="s">
        <v>410</v>
      </c>
      <c r="F399"/>
      <c r="G399">
        <v>2</v>
      </c>
      <c r="H399">
        <v>1000</v>
      </c>
      <c r="I399"/>
      <c r="J399" cm="1">
        <f t="array" ref="J399">_xlfn.SWITCH(B399,1,75,2,61,3,49,4,37,5,25,6,13,7,4,8,1)</f>
        <v>37</v>
      </c>
      <c r="K399" t="str" cm="1">
        <f t="array" ref="K399">IFERROR(_xlfn.SWITCH(L399,1,_xlfn.XLOOKUP(C399,[1]AttributeName!$C:$C,[1]AttributeName!$I:$I),2,_xlfn.XLOOKUP(C399,[1]ModifierDes!$B:$B,[1]ModifierDes!$C:$C),3,_xlfn.XLOOKUP(C399,[1]StuntDes!$B:$B,[1]StuntDes!$C:$C)),"")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444</v>
      </c>
      <c r="D400" t="s">
        <v>427</v>
      </c>
      <c r="E400" t="s">
        <v>410</v>
      </c>
      <c r="F400"/>
      <c r="G400">
        <v>2</v>
      </c>
      <c r="H400">
        <v>1000</v>
      </c>
      <c r="I400"/>
      <c r="J400" cm="1">
        <f t="array" ref="J400">_xlfn.SWITCH(B400,1,75,2,61,3,49,4,37,5,25,6,13,7,4,8,1)</f>
        <v>25</v>
      </c>
      <c r="K400" t="str" cm="1">
        <f t="array" ref="K400">IFERROR(_xlfn.SWITCH(L400,1,_xlfn.XLOOKUP(C400,[1]AttributeName!$C:$C,[1]AttributeName!$I:$I),2,_xlfn.XLOOKUP(C400,[1]ModifierDes!$B:$B,[1]ModifierDes!$C:$C),3,_xlfn.XLOOKUP(C400,[1]StuntDes!$B:$B,[1]StuntDes!$C:$C)),"")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444</v>
      </c>
      <c r="D401" t="s">
        <v>427</v>
      </c>
      <c r="E401" t="s">
        <v>410</v>
      </c>
      <c r="F401"/>
      <c r="G401">
        <v>2</v>
      </c>
      <c r="H401">
        <v>1000</v>
      </c>
      <c r="I401"/>
      <c r="J401" cm="1">
        <f t="array" ref="J401">_xlfn.SWITCH(B401,1,75,2,61,3,49,4,37,5,25,6,13,7,4,8,1)</f>
        <v>13</v>
      </c>
      <c r="K401" t="str" cm="1">
        <f t="array" ref="K401">IFERROR(_xlfn.SWITCH(L401,1,_xlfn.XLOOKUP(C401,[1]AttributeName!$C:$C,[1]AttributeName!$I:$I),2,_xlfn.XLOOKUP(C401,[1]ModifierDes!$B:$B,[1]ModifierDes!$C:$C),3,_xlfn.XLOOKUP(C401,[1]StuntDes!$B:$B,[1]StuntDes!$C:$C)),"")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444</v>
      </c>
      <c r="D402" t="s">
        <v>427</v>
      </c>
      <c r="E402" t="s">
        <v>410</v>
      </c>
      <c r="F402"/>
      <c r="G402">
        <v>2</v>
      </c>
      <c r="H402">
        <v>1000</v>
      </c>
      <c r="I402"/>
      <c r="J402" cm="1">
        <f t="array" ref="J402">_xlfn.SWITCH(B402,1,75,2,61,3,49,4,37,5,25,6,13,7,4,8,1)</f>
        <v>4</v>
      </c>
      <c r="K402" t="str" cm="1">
        <f t="array" ref="K402">IFERROR(_xlfn.SWITCH(L402,1,_xlfn.XLOOKUP(C402,[1]AttributeName!$C:$C,[1]AttributeName!$I:$I),2,_xlfn.XLOOKUP(C402,[1]ModifierDes!$B:$B,[1]ModifierDes!$C:$C),3,_xlfn.XLOOKUP(C402,[1]StuntDes!$B:$B,[1]StuntDes!$C:$C)),"")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444</v>
      </c>
      <c r="D403" t="s">
        <v>427</v>
      </c>
      <c r="E403" t="s">
        <v>410</v>
      </c>
      <c r="F403"/>
      <c r="G403">
        <v>2</v>
      </c>
      <c r="H403">
        <v>1000</v>
      </c>
      <c r="I403"/>
      <c r="J403" cm="1">
        <f t="array" ref="J403">_xlfn.SWITCH(B403,1,75,2,61,3,49,4,37,5,25,6,13,7,4,8,1)</f>
        <v>1</v>
      </c>
      <c r="K403" t="str" cm="1">
        <f t="array" ref="K403">IFERROR(_xlfn.SWITCH(L403,1,_xlfn.XLOOKUP(C403,[1]AttributeName!$C:$C,[1]AttributeName!$I:$I),2,_xlfn.XLOOKUP(C403,[1]ModifierDes!$B:$B,[1]ModifierDes!$C:$C),3,_xlfn.XLOOKUP(C403,[1]StuntDes!$B:$B,[1]StuntDes!$C:$C)),"")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424</v>
      </c>
      <c r="D404" t="s">
        <v>427</v>
      </c>
      <c r="E404" t="s">
        <v>410</v>
      </c>
      <c r="G404">
        <v>2</v>
      </c>
      <c r="H404">
        <v>1000</v>
      </c>
      <c r="J404" cm="1">
        <f t="array" ref="J404">_xlfn.SWITCH(B404,1,75,2,61,3,49,4,37,5,25,6,13,7,4,8,1)</f>
        <v>75</v>
      </c>
      <c r="K404" t="str" cm="1">
        <f t="array" ref="K404">IFERROR(_xlfn.SWITCH(L404,1,_xlfn.XLOOKUP(C404,[1]AttributeName!$C:$C,[1]AttributeName!$I:$I),2,_xlfn.XLOOKUP(C404,[1]ModifierDes!$B:$B,[1]ModifierDes!$C:$C),3,_xlfn.XLOOKUP(C404,[1]StuntDes!$B:$B,[1]StuntDes!$C:$C)),"")</f>
        <v>穿戴等级降低增加{0}</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424</v>
      </c>
      <c r="D405" t="s">
        <v>427</v>
      </c>
      <c r="E405" t="s">
        <v>410</v>
      </c>
      <c r="G405">
        <v>2</v>
      </c>
      <c r="H405">
        <v>1000</v>
      </c>
      <c r="J405" cm="1">
        <f t="array" ref="J405">_xlfn.SWITCH(B405,1,75,2,61,3,49,4,37,5,25,6,13,7,4,8,1)</f>
        <v>61</v>
      </c>
      <c r="K405" t="str" cm="1">
        <f t="array" ref="K405">IFERROR(_xlfn.SWITCH(L405,1,_xlfn.XLOOKUP(C405,[1]AttributeName!$C:$C,[1]AttributeName!$I:$I),2,_xlfn.XLOOKUP(C405,[1]ModifierDes!$B:$B,[1]ModifierDes!$C:$C),3,_xlfn.XLOOKUP(C405,[1]StuntDes!$B:$B,[1]StuntDes!$C:$C)),"")</f>
        <v>穿戴等级降低增加{0}</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424</v>
      </c>
      <c r="D406" t="s">
        <v>427</v>
      </c>
      <c r="E406" t="s">
        <v>410</v>
      </c>
      <c r="G406">
        <v>2</v>
      </c>
      <c r="H406">
        <v>1000</v>
      </c>
      <c r="J406" cm="1">
        <f t="array" ref="J406">_xlfn.SWITCH(B406,1,75,2,61,3,49,4,37,5,25,6,13,7,4,8,1)</f>
        <v>49</v>
      </c>
      <c r="K406" t="str" cm="1">
        <f t="array" ref="K406">IFERROR(_xlfn.SWITCH(L406,1,_xlfn.XLOOKUP(C406,[1]AttributeName!$C:$C,[1]AttributeName!$I:$I),2,_xlfn.XLOOKUP(C406,[1]ModifierDes!$B:$B,[1]ModifierDes!$C:$C),3,_xlfn.XLOOKUP(C406,[1]StuntDes!$B:$B,[1]StuntDes!$C:$C)),"")</f>
        <v>穿戴等级降低增加{0}</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424</v>
      </c>
      <c r="D407" t="s">
        <v>427</v>
      </c>
      <c r="E407" t="s">
        <v>410</v>
      </c>
      <c r="G407">
        <v>2</v>
      </c>
      <c r="H407">
        <v>1000</v>
      </c>
      <c r="J407" cm="1">
        <f t="array" ref="J407">_xlfn.SWITCH(B407,1,75,2,61,3,49,4,37,5,25,6,13,7,4,8,1)</f>
        <v>37</v>
      </c>
      <c r="K407" t="str" cm="1">
        <f t="array" ref="K407">IFERROR(_xlfn.SWITCH(L407,1,_xlfn.XLOOKUP(C407,[1]AttributeName!$C:$C,[1]AttributeName!$I:$I),2,_xlfn.XLOOKUP(C407,[1]ModifierDes!$B:$B,[1]ModifierDes!$C:$C),3,_xlfn.XLOOKUP(C407,[1]StuntDes!$B:$B,[1]StuntDes!$C:$C)),"")</f>
        <v>穿戴等级降低增加{0}</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424</v>
      </c>
      <c r="D408" t="s">
        <v>427</v>
      </c>
      <c r="E408" t="s">
        <v>410</v>
      </c>
      <c r="G408">
        <v>2</v>
      </c>
      <c r="H408">
        <v>1000</v>
      </c>
      <c r="J408" cm="1">
        <f t="array" ref="J408">_xlfn.SWITCH(B408,1,75,2,61,3,49,4,37,5,25,6,13,7,4,8,1)</f>
        <v>25</v>
      </c>
      <c r="K408" t="str" cm="1">
        <f t="array" ref="K408">IFERROR(_xlfn.SWITCH(L408,1,_xlfn.XLOOKUP(C408,[1]AttributeName!$C:$C,[1]AttributeName!$I:$I),2,_xlfn.XLOOKUP(C408,[1]ModifierDes!$B:$B,[1]ModifierDes!$C:$C),3,_xlfn.XLOOKUP(C408,[1]StuntDes!$B:$B,[1]StuntDes!$C:$C)),"")</f>
        <v>穿戴等级降低增加{0}</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424</v>
      </c>
      <c r="D409" t="s">
        <v>427</v>
      </c>
      <c r="E409" t="s">
        <v>410</v>
      </c>
      <c r="G409">
        <v>2</v>
      </c>
      <c r="H409">
        <v>1000</v>
      </c>
      <c r="J409" cm="1">
        <f t="array" ref="J409">_xlfn.SWITCH(B409,1,75,2,61,3,49,4,37,5,25,6,13,7,4,8,1)</f>
        <v>13</v>
      </c>
      <c r="K409" t="str" cm="1">
        <f t="array" ref="K409">IFERROR(_xlfn.SWITCH(L409,1,_xlfn.XLOOKUP(C409,[1]AttributeName!$C:$C,[1]AttributeName!$I:$I),2,_xlfn.XLOOKUP(C409,[1]ModifierDes!$B:$B,[1]ModifierDes!$C:$C),3,_xlfn.XLOOKUP(C409,[1]StuntDes!$B:$B,[1]StuntDes!$C:$C)),"")</f>
        <v>穿戴等级降低增加{0}</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424</v>
      </c>
      <c r="D410" t="s">
        <v>427</v>
      </c>
      <c r="E410" t="s">
        <v>410</v>
      </c>
      <c r="G410">
        <v>2</v>
      </c>
      <c r="H410">
        <v>1000</v>
      </c>
      <c r="J410" cm="1">
        <f t="array" ref="J410">_xlfn.SWITCH(B410,1,75,2,61,3,49,4,37,5,25,6,13,7,4,8,1)</f>
        <v>4</v>
      </c>
      <c r="K410" t="str" cm="1">
        <f t="array" ref="K410">IFERROR(_xlfn.SWITCH(L410,1,_xlfn.XLOOKUP(C410,[1]AttributeName!$C:$C,[1]AttributeName!$I:$I),2,_xlfn.XLOOKUP(C410,[1]ModifierDes!$B:$B,[1]ModifierDes!$C:$C),3,_xlfn.XLOOKUP(C410,[1]StuntDes!$B:$B,[1]StuntDes!$C:$C)),"")</f>
        <v>穿戴等级降低增加{0}</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424</v>
      </c>
      <c r="D411" t="s">
        <v>427</v>
      </c>
      <c r="E411" t="s">
        <v>410</v>
      </c>
      <c r="G411">
        <v>2</v>
      </c>
      <c r="H411">
        <v>1000</v>
      </c>
      <c r="J411" cm="1">
        <f t="array" ref="J411">_xlfn.SWITCH(B411,1,75,2,61,3,49,4,37,5,25,6,13,7,4,8,1)</f>
        <v>1</v>
      </c>
      <c r="K411" t="str" cm="1">
        <f t="array" ref="K411">IFERROR(_xlfn.SWITCH(L411,1,_xlfn.XLOOKUP(C411,[1]AttributeName!$C:$C,[1]AttributeName!$I:$I),2,_xlfn.XLOOKUP(C411,[1]ModifierDes!$B:$B,[1]ModifierDes!$C:$C),3,_xlfn.XLOOKUP(C411,[1]StuntDes!$B:$B,[1]StuntDes!$C:$C)),"")</f>
        <v>穿戴等级降低增加{0}</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445</v>
      </c>
      <c r="D412" t="s">
        <v>427</v>
      </c>
      <c r="E412" t="s">
        <v>410</v>
      </c>
      <c r="F412"/>
      <c r="G412">
        <v>2</v>
      </c>
      <c r="H412">
        <v>1000</v>
      </c>
      <c r="I412"/>
      <c r="J412" cm="1">
        <f t="array" ref="J412">_xlfn.SWITCH(B412,1,75,2,61,3,49,4,37,5,25,6,13,7,4,8,1)</f>
        <v>75</v>
      </c>
      <c r="K412" t="str" cm="1">
        <f t="array" ref="K412">IFERROR(_xlfn.SWITCH(L412,1,_xlfn.XLOOKUP(C412,[1]AttributeName!$C:$C,[1]AttributeName!$I:$I),2,_xlfn.XLOOKUP(C412,[1]ModifierDes!$B:$B,[1]ModifierDes!$C:$C),3,_xlfn.XLOOKUP(C412,[1]StuntDes!$B:$B,[1]StuntDes!$C:$C)),"")</f>
        <v>每秒生命恢复增加{0}</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66</v>
      </c>
      <c r="R412">
        <v>99</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445</v>
      </c>
      <c r="D413" t="s">
        <v>427</v>
      </c>
      <c r="E413" t="s">
        <v>410</v>
      </c>
      <c r="F413"/>
      <c r="G413">
        <v>2</v>
      </c>
      <c r="H413">
        <v>1000</v>
      </c>
      <c r="I413"/>
      <c r="J413" cm="1">
        <f t="array" ref="J413">_xlfn.SWITCH(B413,1,75,2,61,3,49,4,37,5,25,6,13,7,4,8,1)</f>
        <v>61</v>
      </c>
      <c r="K413" t="str" cm="1">
        <f t="array" ref="K413">IFERROR(_xlfn.SWITCH(L413,1,_xlfn.XLOOKUP(C413,[1]AttributeName!$C:$C,[1]AttributeName!$I:$I),2,_xlfn.XLOOKUP(C413,[1]ModifierDes!$B:$B,[1]ModifierDes!$C:$C),3,_xlfn.XLOOKUP(C413,[1]StuntDes!$B:$B,[1]StuntDes!$C:$C)),"")</f>
        <v>每秒生命恢复增加{0}</v>
      </c>
      <c r="L413">
        <f t="shared" si="37"/>
        <v>1</v>
      </c>
      <c r="M413" s="10" t="str">
        <f>IFERROR(_xlfn.XLOOKUP(C413,[1]StuntDes!$B:$B,[1]StuntDes!$A:$A),"")</f>
        <v/>
      </c>
      <c r="N413" s="10" t="str">
        <f>IFERROR(_xlfn.XLOOKUP(C413,[1]ModifierDes!$B:$B,[1]ModifierDes!$A:$A),"")</f>
        <v/>
      </c>
      <c r="O413" s="10">
        <f>IFERROR(_xlfn.XLOOKUP(C413,[1]AttributeName!$C:$C,[1]AttributeName!$B:$B),"")</f>
        <v>10003</v>
      </c>
      <c r="P413" s="10"/>
      <c r="Q413">
        <v>55</v>
      </c>
      <c r="R413">
        <v>61</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445</v>
      </c>
      <c r="D414" t="s">
        <v>427</v>
      </c>
      <c r="E414" t="s">
        <v>410</v>
      </c>
      <c r="F414"/>
      <c r="G414">
        <v>2</v>
      </c>
      <c r="H414">
        <v>1000</v>
      </c>
      <c r="I414"/>
      <c r="J414" cm="1">
        <f t="array" ref="J414">_xlfn.SWITCH(B414,1,75,2,61,3,49,4,37,5,25,6,13,7,4,8,1)</f>
        <v>49</v>
      </c>
      <c r="K414" t="str" cm="1">
        <f t="array" ref="K414">IFERROR(_xlfn.SWITCH(L414,1,_xlfn.XLOOKUP(C414,[1]AttributeName!$C:$C,[1]AttributeName!$I:$I),2,_xlfn.XLOOKUP(C414,[1]ModifierDes!$B:$B,[1]ModifierDes!$C:$C),3,_xlfn.XLOOKUP(C414,[1]StuntDes!$B:$B,[1]StuntDes!$C:$C)),"")</f>
        <v>每秒生命恢复增加{0}</v>
      </c>
      <c r="L414">
        <f t="shared" si="37"/>
        <v>1</v>
      </c>
      <c r="M414" s="10" t="str">
        <f>IFERROR(_xlfn.XLOOKUP(C414,[1]StuntDes!$B:$B,[1]StuntDes!$A:$A),"")</f>
        <v/>
      </c>
      <c r="N414" s="10" t="str">
        <f>IFERROR(_xlfn.XLOOKUP(C414,[1]ModifierDes!$B:$B,[1]ModifierDes!$A:$A),"")</f>
        <v/>
      </c>
      <c r="O414" s="10">
        <f>IFERROR(_xlfn.XLOOKUP(C414,[1]AttributeName!$C:$C,[1]AttributeName!$B:$B),"")</f>
        <v>10003</v>
      </c>
      <c r="P414" s="10"/>
      <c r="Q414">
        <v>45</v>
      </c>
      <c r="R414">
        <v>51</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445</v>
      </c>
      <c r="D415" t="s">
        <v>427</v>
      </c>
      <c r="E415" t="s">
        <v>410</v>
      </c>
      <c r="F415"/>
      <c r="G415">
        <v>2</v>
      </c>
      <c r="H415">
        <v>1000</v>
      </c>
      <c r="I415"/>
      <c r="J415" cm="1">
        <f t="array" ref="J415">_xlfn.SWITCH(B415,1,75,2,61,3,49,4,37,5,25,6,13,7,4,8,1)</f>
        <v>37</v>
      </c>
      <c r="K415" t="str" cm="1">
        <f t="array" ref="K415">IFERROR(_xlfn.SWITCH(L415,1,_xlfn.XLOOKUP(C415,[1]AttributeName!$C:$C,[1]AttributeName!$I:$I),2,_xlfn.XLOOKUP(C415,[1]ModifierDes!$B:$B,[1]ModifierDes!$C:$C),3,_xlfn.XLOOKUP(C415,[1]StuntDes!$B:$B,[1]StuntDes!$C:$C)),"")</f>
        <v>每秒生命恢复增加{0}</v>
      </c>
      <c r="L415">
        <f t="shared" si="37"/>
        <v>1</v>
      </c>
      <c r="M415" s="10" t="str">
        <f>IFERROR(_xlfn.XLOOKUP(C415,[1]StuntDes!$B:$B,[1]StuntDes!$A:$A),"")</f>
        <v/>
      </c>
      <c r="N415" s="10" t="str">
        <f>IFERROR(_xlfn.XLOOKUP(C415,[1]ModifierDes!$B:$B,[1]ModifierDes!$A:$A),"")</f>
        <v/>
      </c>
      <c r="O415" s="10">
        <f>IFERROR(_xlfn.XLOOKUP(C415,[1]AttributeName!$C:$C,[1]AttributeName!$B:$B),"")</f>
        <v>10003</v>
      </c>
      <c r="P415" s="10"/>
      <c r="Q415">
        <v>36</v>
      </c>
      <c r="R415">
        <v>42</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445</v>
      </c>
      <c r="D416" t="s">
        <v>427</v>
      </c>
      <c r="E416" t="s">
        <v>410</v>
      </c>
      <c r="F416"/>
      <c r="G416">
        <v>2</v>
      </c>
      <c r="H416">
        <v>1000</v>
      </c>
      <c r="I416"/>
      <c r="J416" cm="1">
        <f t="array" ref="J416">_xlfn.SWITCH(B416,1,75,2,61,3,49,4,37,5,25,6,13,7,4,8,1)</f>
        <v>25</v>
      </c>
      <c r="K416" t="str" cm="1">
        <f t="array" ref="K416">IFERROR(_xlfn.SWITCH(L416,1,_xlfn.XLOOKUP(C416,[1]AttributeName!$C:$C,[1]AttributeName!$I:$I),2,_xlfn.XLOOKUP(C416,[1]ModifierDes!$B:$B,[1]ModifierDes!$C:$C),3,_xlfn.XLOOKUP(C416,[1]StuntDes!$B:$B,[1]StuntDes!$C:$C)),"")</f>
        <v>每秒生命恢复增加{0}</v>
      </c>
      <c r="L416">
        <f t="shared" si="37"/>
        <v>1</v>
      </c>
      <c r="M416" s="10" t="str">
        <f>IFERROR(_xlfn.XLOOKUP(C416,[1]StuntDes!$B:$B,[1]StuntDes!$A:$A),"")</f>
        <v/>
      </c>
      <c r="N416" s="10" t="str">
        <f>IFERROR(_xlfn.XLOOKUP(C416,[1]ModifierDes!$B:$B,[1]ModifierDes!$A:$A),"")</f>
        <v/>
      </c>
      <c r="O416" s="10">
        <f>IFERROR(_xlfn.XLOOKUP(C416,[1]AttributeName!$C:$C,[1]AttributeName!$B:$B),"")</f>
        <v>10003</v>
      </c>
      <c r="P416" s="10"/>
      <c r="Q416">
        <v>28</v>
      </c>
      <c r="R416">
        <v>33</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445</v>
      </c>
      <c r="D417" t="s">
        <v>427</v>
      </c>
      <c r="E417" t="s">
        <v>410</v>
      </c>
      <c r="F417"/>
      <c r="G417">
        <v>2</v>
      </c>
      <c r="H417">
        <v>1000</v>
      </c>
      <c r="I417"/>
      <c r="J417" cm="1">
        <f t="array" ref="J417">_xlfn.SWITCH(B417,1,75,2,61,3,49,4,37,5,25,6,13,7,4,8,1)</f>
        <v>13</v>
      </c>
      <c r="K417" t="str" cm="1">
        <f t="array" ref="K417">IFERROR(_xlfn.SWITCH(L417,1,_xlfn.XLOOKUP(C417,[1]AttributeName!$C:$C,[1]AttributeName!$I:$I),2,_xlfn.XLOOKUP(C417,[1]ModifierDes!$B:$B,[1]ModifierDes!$C:$C),3,_xlfn.XLOOKUP(C417,[1]StuntDes!$B:$B,[1]StuntDes!$C:$C)),"")</f>
        <v>每秒生命恢复增加{0}</v>
      </c>
      <c r="L417">
        <f t="shared" si="37"/>
        <v>1</v>
      </c>
      <c r="M417" s="10" t="str">
        <f>IFERROR(_xlfn.XLOOKUP(C417,[1]StuntDes!$B:$B,[1]StuntDes!$A:$A),"")</f>
        <v/>
      </c>
      <c r="N417" s="10" t="str">
        <f>IFERROR(_xlfn.XLOOKUP(C417,[1]ModifierDes!$B:$B,[1]ModifierDes!$A:$A),"")</f>
        <v/>
      </c>
      <c r="O417" s="10">
        <f>IFERROR(_xlfn.XLOOKUP(C417,[1]AttributeName!$C:$C,[1]AttributeName!$B:$B),"")</f>
        <v>10003</v>
      </c>
      <c r="P417" s="10"/>
      <c r="Q417">
        <v>21</v>
      </c>
      <c r="R417">
        <v>26</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445</v>
      </c>
      <c r="D418" t="s">
        <v>427</v>
      </c>
      <c r="E418" t="s">
        <v>410</v>
      </c>
      <c r="F418"/>
      <c r="G418">
        <v>2</v>
      </c>
      <c r="H418">
        <v>1000</v>
      </c>
      <c r="I418"/>
      <c r="J418" cm="1">
        <f t="array" ref="J418">_xlfn.SWITCH(B418,1,75,2,61,3,49,4,37,5,25,6,13,7,4,8,1)</f>
        <v>4</v>
      </c>
      <c r="K418" t="str" cm="1">
        <f t="array" ref="K418">IFERROR(_xlfn.SWITCH(L418,1,_xlfn.XLOOKUP(C418,[1]AttributeName!$C:$C,[1]AttributeName!$I:$I),2,_xlfn.XLOOKUP(C418,[1]ModifierDes!$B:$B,[1]ModifierDes!$C:$C),3,_xlfn.XLOOKUP(C418,[1]StuntDes!$B:$B,[1]StuntDes!$C:$C)),"")</f>
        <v>每秒生命恢复增加{0}</v>
      </c>
      <c r="L418">
        <f t="shared" si="37"/>
        <v>1</v>
      </c>
      <c r="M418" s="10" t="str">
        <f>IFERROR(_xlfn.XLOOKUP(C418,[1]StuntDes!$B:$B,[1]StuntDes!$A:$A),"")</f>
        <v/>
      </c>
      <c r="N418" s="10" t="str">
        <f>IFERROR(_xlfn.XLOOKUP(C418,[1]ModifierDes!$B:$B,[1]ModifierDes!$A:$A),"")</f>
        <v/>
      </c>
      <c r="O418" s="10">
        <f>IFERROR(_xlfn.XLOOKUP(C418,[1]AttributeName!$C:$C,[1]AttributeName!$B:$B),"")</f>
        <v>10003</v>
      </c>
      <c r="P418" s="10"/>
      <c r="Q418">
        <v>14</v>
      </c>
      <c r="R418">
        <v>18</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445</v>
      </c>
      <c r="D419" t="s">
        <v>427</v>
      </c>
      <c r="E419" t="s">
        <v>410</v>
      </c>
      <c r="F419"/>
      <c r="G419">
        <v>2</v>
      </c>
      <c r="H419">
        <v>1000</v>
      </c>
      <c r="I419"/>
      <c r="J419" cm="1">
        <f t="array" ref="J419">_xlfn.SWITCH(B419,1,75,2,61,3,49,4,37,5,25,6,13,7,4,8,1)</f>
        <v>1</v>
      </c>
      <c r="K419" t="str" cm="1">
        <f t="array" ref="K419">IFERROR(_xlfn.SWITCH(L419,1,_xlfn.XLOOKUP(C419,[1]AttributeName!$C:$C,[1]AttributeName!$I:$I),2,_xlfn.XLOOKUP(C419,[1]ModifierDes!$B:$B,[1]ModifierDes!$C:$C),3,_xlfn.XLOOKUP(C419,[1]StuntDes!$B:$B,[1]StuntDes!$C:$C)),"")</f>
        <v>每秒生命恢复增加{0}</v>
      </c>
      <c r="L419">
        <f t="shared" si="37"/>
        <v>1</v>
      </c>
      <c r="M419" s="10" t="str">
        <f>IFERROR(_xlfn.XLOOKUP(C419,[1]StuntDes!$B:$B,[1]StuntDes!$A:$A),"")</f>
        <v/>
      </c>
      <c r="N419" s="10" t="str">
        <f>IFERROR(_xlfn.XLOOKUP(C419,[1]ModifierDes!$B:$B,[1]ModifierDes!$A:$A),"")</f>
        <v/>
      </c>
      <c r="O419" s="10">
        <f>IFERROR(_xlfn.XLOOKUP(C419,[1]AttributeName!$C:$C,[1]AttributeName!$B:$B),"")</f>
        <v>10003</v>
      </c>
      <c r="P419" s="10"/>
      <c r="Q419">
        <v>8</v>
      </c>
      <c r="R419">
        <v>13</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446</v>
      </c>
      <c r="D420" t="s">
        <v>427</v>
      </c>
      <c r="E420" t="s">
        <v>410</v>
      </c>
      <c r="G420">
        <v>2</v>
      </c>
      <c r="H420">
        <v>1000</v>
      </c>
      <c r="I420"/>
      <c r="J420" cm="1">
        <f t="array" ref="J420">_xlfn.SWITCH(B420,1,75,2,61,3,49,4,37,5,25,6,13,7,4,8,1)</f>
        <v>75</v>
      </c>
      <c r="K420" t="str" cm="1">
        <f t="array" ref="K420">IFERROR(_xlfn.SWITCH(L420,1,_xlfn.XLOOKUP(C420,[1]AttributeName!$C:$C,[1]AttributeName!$I:$I),2,_xlfn.XLOOKUP(C420,[1]ModifierDes!$B:$B,[1]ModifierDes!$C:$C),3,_xlfn.XLOOKUP(C420,[1]StuntDes!$B:$B,[1]StuntDes!$C:$C)),"")</f>
        <v>每秒魔力恢复增加{0}</v>
      </c>
      <c r="L420">
        <f t="shared" si="37"/>
        <v>1</v>
      </c>
      <c r="M420" s="10" t="str">
        <f>IFERROR(_xlfn.XLOOKUP(C420,[1]StuntDes!$B:$B,[1]StuntDes!$A:$A),"")</f>
        <v/>
      </c>
      <c r="N420" s="10" t="str">
        <f>IFERROR(_xlfn.XLOOKUP(C420,[1]ModifierDes!$B:$B,[1]ModifierDes!$A:$A),"")</f>
        <v/>
      </c>
      <c r="O420" s="10">
        <f>IFERROR(_xlfn.XLOOKUP(C420,[1]AttributeName!$C:$C,[1]AttributeName!$B:$B),"")</f>
        <v>10005</v>
      </c>
      <c r="P420" s="10"/>
      <c r="Q420">
        <v>44</v>
      </c>
      <c r="R420">
        <v>66</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446</v>
      </c>
      <c r="D421" t="s">
        <v>427</v>
      </c>
      <c r="E421" t="s">
        <v>410</v>
      </c>
      <c r="G421">
        <v>2</v>
      </c>
      <c r="H421">
        <v>1000</v>
      </c>
      <c r="I421"/>
      <c r="J421" cm="1">
        <f t="array" ref="J421">_xlfn.SWITCH(B421,1,75,2,61,3,49,4,37,5,25,6,13,7,4,8,1)</f>
        <v>61</v>
      </c>
      <c r="K421" t="str" cm="1">
        <f t="array" ref="K421">IFERROR(_xlfn.SWITCH(L421,1,_xlfn.XLOOKUP(C421,[1]AttributeName!$C:$C,[1]AttributeName!$I:$I),2,_xlfn.XLOOKUP(C421,[1]ModifierDes!$B:$B,[1]ModifierDes!$C:$C),3,_xlfn.XLOOKUP(C421,[1]StuntDes!$B:$B,[1]StuntDes!$C:$C)),"")</f>
        <v>每秒魔力恢复增加{0}</v>
      </c>
      <c r="L421">
        <f t="shared" si="37"/>
        <v>1</v>
      </c>
      <c r="M421" s="10" t="str">
        <f>IFERROR(_xlfn.XLOOKUP(C421,[1]StuntDes!$B:$B,[1]StuntDes!$A:$A),"")</f>
        <v/>
      </c>
      <c r="N421" s="10" t="str">
        <f>IFERROR(_xlfn.XLOOKUP(C421,[1]ModifierDes!$B:$B,[1]ModifierDes!$A:$A),"")</f>
        <v/>
      </c>
      <c r="O421" s="10">
        <f>IFERROR(_xlfn.XLOOKUP(C421,[1]AttributeName!$C:$C,[1]AttributeName!$B:$B),"")</f>
        <v>10005</v>
      </c>
      <c r="P421" s="10"/>
      <c r="Q421">
        <v>37</v>
      </c>
      <c r="R421">
        <v>40</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446</v>
      </c>
      <c r="D422" t="s">
        <v>427</v>
      </c>
      <c r="E422" t="s">
        <v>410</v>
      </c>
      <c r="G422">
        <v>2</v>
      </c>
      <c r="H422">
        <v>1000</v>
      </c>
      <c r="I422"/>
      <c r="J422" cm="1">
        <f t="array" ref="J422">_xlfn.SWITCH(B422,1,75,2,61,3,49,4,37,5,25,6,13,7,4,8,1)</f>
        <v>49</v>
      </c>
      <c r="K422" t="str" cm="1">
        <f t="array" ref="K422">IFERROR(_xlfn.SWITCH(L422,1,_xlfn.XLOOKUP(C422,[1]AttributeName!$C:$C,[1]AttributeName!$I:$I),2,_xlfn.XLOOKUP(C422,[1]ModifierDes!$B:$B,[1]ModifierDes!$C:$C),3,_xlfn.XLOOKUP(C422,[1]StuntDes!$B:$B,[1]StuntDes!$C:$C)),"")</f>
        <v>每秒魔力恢复增加{0}</v>
      </c>
      <c r="L422">
        <f t="shared" si="37"/>
        <v>1</v>
      </c>
      <c r="M422" s="10" t="str">
        <f>IFERROR(_xlfn.XLOOKUP(C422,[1]StuntDes!$B:$B,[1]StuntDes!$A:$A),"")</f>
        <v/>
      </c>
      <c r="N422" s="10" t="str">
        <f>IFERROR(_xlfn.XLOOKUP(C422,[1]ModifierDes!$B:$B,[1]ModifierDes!$A:$A),"")</f>
        <v/>
      </c>
      <c r="O422" s="10">
        <f>IFERROR(_xlfn.XLOOKUP(C422,[1]AttributeName!$C:$C,[1]AttributeName!$B:$B),"")</f>
        <v>10005</v>
      </c>
      <c r="P422" s="10"/>
      <c r="Q422">
        <v>30</v>
      </c>
      <c r="R422">
        <v>34</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446</v>
      </c>
      <c r="D423" t="s">
        <v>427</v>
      </c>
      <c r="E423" t="s">
        <v>410</v>
      </c>
      <c r="G423">
        <v>2</v>
      </c>
      <c r="H423">
        <v>1000</v>
      </c>
      <c r="I423"/>
      <c r="J423" cm="1">
        <f t="array" ref="J423">_xlfn.SWITCH(B423,1,75,2,61,3,49,4,37,5,25,6,13,7,4,8,1)</f>
        <v>37</v>
      </c>
      <c r="K423" t="str" cm="1">
        <f t="array" ref="K423">IFERROR(_xlfn.SWITCH(L423,1,_xlfn.XLOOKUP(C423,[1]AttributeName!$C:$C,[1]AttributeName!$I:$I),2,_xlfn.XLOOKUP(C423,[1]ModifierDes!$B:$B,[1]ModifierDes!$C:$C),3,_xlfn.XLOOKUP(C423,[1]StuntDes!$B:$B,[1]StuntDes!$C:$C)),"")</f>
        <v>每秒魔力恢复增加{0}</v>
      </c>
      <c r="L423">
        <f t="shared" si="37"/>
        <v>1</v>
      </c>
      <c r="M423" s="10" t="str">
        <f>IFERROR(_xlfn.XLOOKUP(C423,[1]StuntDes!$B:$B,[1]StuntDes!$A:$A),"")</f>
        <v/>
      </c>
      <c r="N423" s="10" t="str">
        <f>IFERROR(_xlfn.XLOOKUP(C423,[1]ModifierDes!$B:$B,[1]ModifierDes!$A:$A),"")</f>
        <v/>
      </c>
      <c r="O423" s="10">
        <f>IFERROR(_xlfn.XLOOKUP(C423,[1]AttributeName!$C:$C,[1]AttributeName!$B:$B),"")</f>
        <v>10005</v>
      </c>
      <c r="P423" s="10"/>
      <c r="Q423">
        <v>24</v>
      </c>
      <c r="R423">
        <v>28</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446</v>
      </c>
      <c r="D424" t="s">
        <v>427</v>
      </c>
      <c r="E424" t="s">
        <v>410</v>
      </c>
      <c r="G424">
        <v>2</v>
      </c>
      <c r="H424">
        <v>1000</v>
      </c>
      <c r="I424"/>
      <c r="J424" cm="1">
        <f t="array" ref="J424">_xlfn.SWITCH(B424,1,75,2,61,3,49,4,37,5,25,6,13,7,4,8,1)</f>
        <v>25</v>
      </c>
      <c r="K424" t="str" cm="1">
        <f t="array" ref="K424">IFERROR(_xlfn.SWITCH(L424,1,_xlfn.XLOOKUP(C424,[1]AttributeName!$C:$C,[1]AttributeName!$I:$I),2,_xlfn.XLOOKUP(C424,[1]ModifierDes!$B:$B,[1]ModifierDes!$C:$C),3,_xlfn.XLOOKUP(C424,[1]StuntDes!$B:$B,[1]StuntDes!$C:$C)),"")</f>
        <v>每秒魔力恢复增加{0}</v>
      </c>
      <c r="L424">
        <f t="shared" si="37"/>
        <v>1</v>
      </c>
      <c r="M424" s="10" t="str">
        <f>IFERROR(_xlfn.XLOOKUP(C424,[1]StuntDes!$B:$B,[1]StuntDes!$A:$A),"")</f>
        <v/>
      </c>
      <c r="N424" s="10" t="str">
        <f>IFERROR(_xlfn.XLOOKUP(C424,[1]ModifierDes!$B:$B,[1]ModifierDes!$A:$A),"")</f>
        <v/>
      </c>
      <c r="O424" s="10">
        <f>IFERROR(_xlfn.XLOOKUP(C424,[1]AttributeName!$C:$C,[1]AttributeName!$B:$B),"")</f>
        <v>10005</v>
      </c>
      <c r="P424" s="10"/>
      <c r="Q424">
        <v>19</v>
      </c>
      <c r="R424">
        <v>22</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446</v>
      </c>
      <c r="D425" t="s">
        <v>427</v>
      </c>
      <c r="E425" t="s">
        <v>410</v>
      </c>
      <c r="G425">
        <v>2</v>
      </c>
      <c r="H425">
        <v>1000</v>
      </c>
      <c r="I425"/>
      <c r="J425" cm="1">
        <f t="array" ref="J425">_xlfn.SWITCH(B425,1,75,2,61,3,49,4,37,5,25,6,13,7,4,8,1)</f>
        <v>13</v>
      </c>
      <c r="K425" t="str" cm="1">
        <f t="array" ref="K425">IFERROR(_xlfn.SWITCH(L425,1,_xlfn.XLOOKUP(C425,[1]AttributeName!$C:$C,[1]AttributeName!$I:$I),2,_xlfn.XLOOKUP(C425,[1]ModifierDes!$B:$B,[1]ModifierDes!$C:$C),3,_xlfn.XLOOKUP(C425,[1]StuntDes!$B:$B,[1]StuntDes!$C:$C)),"")</f>
        <v>每秒魔力恢复增加{0}</v>
      </c>
      <c r="L425">
        <f t="shared" si="37"/>
        <v>1</v>
      </c>
      <c r="M425" s="10" t="str">
        <f>IFERROR(_xlfn.XLOOKUP(C425,[1]StuntDes!$B:$B,[1]StuntDes!$A:$A),"")</f>
        <v/>
      </c>
      <c r="N425" s="10" t="str">
        <f>IFERROR(_xlfn.XLOOKUP(C425,[1]ModifierDes!$B:$B,[1]ModifierDes!$A:$A),"")</f>
        <v/>
      </c>
      <c r="O425" s="10">
        <f>IFERROR(_xlfn.XLOOKUP(C425,[1]AttributeName!$C:$C,[1]AttributeName!$B:$B),"")</f>
        <v>10005</v>
      </c>
      <c r="P425" s="10"/>
      <c r="Q425">
        <v>14</v>
      </c>
      <c r="R425">
        <v>17</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446</v>
      </c>
      <c r="D426" t="s">
        <v>427</v>
      </c>
      <c r="E426" t="s">
        <v>410</v>
      </c>
      <c r="G426">
        <v>2</v>
      </c>
      <c r="H426">
        <v>1000</v>
      </c>
      <c r="I426"/>
      <c r="J426" cm="1">
        <f t="array" ref="J426">_xlfn.SWITCH(B426,1,75,2,61,3,49,4,37,5,25,6,13,7,4,8,1)</f>
        <v>4</v>
      </c>
      <c r="K426" t="str" cm="1">
        <f t="array" ref="K426">IFERROR(_xlfn.SWITCH(L426,1,_xlfn.XLOOKUP(C426,[1]AttributeName!$C:$C,[1]AttributeName!$I:$I),2,_xlfn.XLOOKUP(C426,[1]ModifierDes!$B:$B,[1]ModifierDes!$C:$C),3,_xlfn.XLOOKUP(C426,[1]StuntDes!$B:$B,[1]StuntDes!$C:$C)),"")</f>
        <v>每秒魔力恢复增加{0}</v>
      </c>
      <c r="L426">
        <f t="shared" si="37"/>
        <v>1</v>
      </c>
      <c r="M426" s="10" t="str">
        <f>IFERROR(_xlfn.XLOOKUP(C426,[1]StuntDes!$B:$B,[1]StuntDes!$A:$A),"")</f>
        <v/>
      </c>
      <c r="N426" s="10" t="str">
        <f>IFERROR(_xlfn.XLOOKUP(C426,[1]ModifierDes!$B:$B,[1]ModifierDes!$A:$A),"")</f>
        <v/>
      </c>
      <c r="O426" s="10">
        <f>IFERROR(_xlfn.XLOOKUP(C426,[1]AttributeName!$C:$C,[1]AttributeName!$B:$B),"")</f>
        <v>10005</v>
      </c>
      <c r="P426" s="10"/>
      <c r="Q426">
        <v>9</v>
      </c>
      <c r="R426">
        <v>12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446</v>
      </c>
      <c r="D427" t="s">
        <v>427</v>
      </c>
      <c r="E427" t="s">
        <v>410</v>
      </c>
      <c r="G427">
        <v>2</v>
      </c>
      <c r="H427">
        <v>1000</v>
      </c>
      <c r="I427"/>
      <c r="J427" cm="1">
        <f t="array" ref="J427">_xlfn.SWITCH(B427,1,75,2,61,3,49,4,37,5,25,6,13,7,4,8,1)</f>
        <v>1</v>
      </c>
      <c r="K427" t="str" cm="1">
        <f t="array" ref="K427">IFERROR(_xlfn.SWITCH(L427,1,_xlfn.XLOOKUP(C427,[1]AttributeName!$C:$C,[1]AttributeName!$I:$I),2,_xlfn.XLOOKUP(C427,[1]ModifierDes!$B:$B,[1]ModifierDes!$C:$C),3,_xlfn.XLOOKUP(C427,[1]StuntDes!$B:$B,[1]StuntDes!$C:$C)),"")</f>
        <v>每秒魔力恢复增加{0}</v>
      </c>
      <c r="L427">
        <f t="shared" si="37"/>
        <v>1</v>
      </c>
      <c r="M427" s="10" t="str">
        <f>IFERROR(_xlfn.XLOOKUP(C427,[1]StuntDes!$B:$B,[1]StuntDes!$A:$A),"")</f>
        <v/>
      </c>
      <c r="N427" s="10" t="str">
        <f>IFERROR(_xlfn.XLOOKUP(C427,[1]ModifierDes!$B:$B,[1]ModifierDes!$A:$A),"")</f>
        <v/>
      </c>
      <c r="O427" s="10">
        <f>IFERROR(_xlfn.XLOOKUP(C427,[1]AttributeName!$C:$C,[1]AttributeName!$B:$B),"")</f>
        <v>10005</v>
      </c>
      <c r="P427" s="10"/>
      <c r="Q427">
        <v>5</v>
      </c>
      <c r="R427">
        <v>8</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407</v>
      </c>
      <c r="D428" t="s">
        <v>32</v>
      </c>
      <c r="E428" t="s">
        <v>393</v>
      </c>
      <c r="F428"/>
      <c r="G428">
        <v>1</v>
      </c>
      <c r="H428">
        <v>1000</v>
      </c>
      <c r="J428" cm="1">
        <f t="array" ref="J428">_xlfn.SWITCH(B428,1,75,2,61,3,49,4,37,5,25,6,13,7,4,8,1)</f>
        <v>75</v>
      </c>
      <c r="K428" t="str" cm="1">
        <f t="array" ref="K428">IFERROR(_xlfn.SWITCH(L428,1,_xlfn.XLOOKUP(C428,[1]AttributeName!$C:$C,[1]AttributeName!$I:$I),2,_xlfn.XLOOKUP(C428,[1]ModifierDes!$B:$B,[1]ModifierDes!$C:$C),3,_xlfn.XLOOKUP(C428,[1]StuntDes!$B:$B,[1]StuntDes!$C:$C)),"")</f>
        <v>基础生命增加{0}</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407</v>
      </c>
      <c r="D429" t="s">
        <v>32</v>
      </c>
      <c r="E429" t="s">
        <v>393</v>
      </c>
      <c r="F429"/>
      <c r="G429">
        <v>1</v>
      </c>
      <c r="H429">
        <v>1000</v>
      </c>
      <c r="J429" cm="1">
        <f t="array" ref="J429">_xlfn.SWITCH(B429,1,75,2,61,3,49,4,37,5,25,6,13,7,4,8,1)</f>
        <v>61</v>
      </c>
      <c r="K429" t="str" cm="1">
        <f t="array" ref="K429">IFERROR(_xlfn.SWITCH(L429,1,_xlfn.XLOOKUP(C429,[1]AttributeName!$C:$C,[1]AttributeName!$I:$I),2,_xlfn.XLOOKUP(C429,[1]ModifierDes!$B:$B,[1]ModifierDes!$C:$C),3,_xlfn.XLOOKUP(C429,[1]StuntDes!$B:$B,[1]StuntDes!$C:$C)),"")</f>
        <v>基础生命增加{0}</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407</v>
      </c>
      <c r="D430" t="s">
        <v>32</v>
      </c>
      <c r="E430" t="s">
        <v>393</v>
      </c>
      <c r="F430"/>
      <c r="G430">
        <v>1</v>
      </c>
      <c r="H430">
        <v>1000</v>
      </c>
      <c r="J430" cm="1">
        <f t="array" ref="J430">_xlfn.SWITCH(B430,1,75,2,61,3,49,4,37,5,25,6,13,7,4,8,1)</f>
        <v>49</v>
      </c>
      <c r="K430" t="str" cm="1">
        <f t="array" ref="K430">IFERROR(_xlfn.SWITCH(L430,1,_xlfn.XLOOKUP(C430,[1]AttributeName!$C:$C,[1]AttributeName!$I:$I),2,_xlfn.XLOOKUP(C430,[1]ModifierDes!$B:$B,[1]ModifierDes!$C:$C),3,_xlfn.XLOOKUP(C430,[1]StuntDes!$B:$B,[1]StuntDes!$C:$C)),"")</f>
        <v>基础生命增加{0}</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407</v>
      </c>
      <c r="D431" t="s">
        <v>32</v>
      </c>
      <c r="E431" t="s">
        <v>393</v>
      </c>
      <c r="F431"/>
      <c r="G431">
        <v>1</v>
      </c>
      <c r="H431">
        <v>1000</v>
      </c>
      <c r="J431" cm="1">
        <f t="array" ref="J431">_xlfn.SWITCH(B431,1,75,2,61,3,49,4,37,5,25,6,13,7,4,8,1)</f>
        <v>37</v>
      </c>
      <c r="K431" t="str" cm="1">
        <f t="array" ref="K431">IFERROR(_xlfn.SWITCH(L431,1,_xlfn.XLOOKUP(C431,[1]AttributeName!$C:$C,[1]AttributeName!$I:$I),2,_xlfn.XLOOKUP(C431,[1]ModifierDes!$B:$B,[1]ModifierDes!$C:$C),3,_xlfn.XLOOKUP(C431,[1]StuntDes!$B:$B,[1]StuntDes!$C:$C)),"")</f>
        <v>基础生命增加{0}</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407</v>
      </c>
      <c r="D432" t="s">
        <v>32</v>
      </c>
      <c r="E432" t="s">
        <v>393</v>
      </c>
      <c r="F432"/>
      <c r="G432">
        <v>1</v>
      </c>
      <c r="H432">
        <v>1000</v>
      </c>
      <c r="J432" cm="1">
        <f t="array" ref="J432">_xlfn.SWITCH(B432,1,75,2,61,3,49,4,37,5,25,6,13,7,4,8,1)</f>
        <v>25</v>
      </c>
      <c r="K432" t="str" cm="1">
        <f t="array" ref="K432">IFERROR(_xlfn.SWITCH(L432,1,_xlfn.XLOOKUP(C432,[1]AttributeName!$C:$C,[1]AttributeName!$I:$I),2,_xlfn.XLOOKUP(C432,[1]ModifierDes!$B:$B,[1]ModifierDes!$C:$C),3,_xlfn.XLOOKUP(C432,[1]StuntDes!$B:$B,[1]StuntDes!$C:$C)),"")</f>
        <v>基础生命增加{0}</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407</v>
      </c>
      <c r="D433" t="s">
        <v>32</v>
      </c>
      <c r="E433" t="s">
        <v>393</v>
      </c>
      <c r="F433"/>
      <c r="G433">
        <v>1</v>
      </c>
      <c r="H433">
        <v>1000</v>
      </c>
      <c r="J433" cm="1">
        <f t="array" ref="J433">_xlfn.SWITCH(B433,1,75,2,61,3,49,4,37,5,25,6,13,7,4,8,1)</f>
        <v>13</v>
      </c>
      <c r="K433" t="str" cm="1">
        <f t="array" ref="K433">IFERROR(_xlfn.SWITCH(L433,1,_xlfn.XLOOKUP(C433,[1]AttributeName!$C:$C,[1]AttributeName!$I:$I),2,_xlfn.XLOOKUP(C433,[1]ModifierDes!$B:$B,[1]ModifierDes!$C:$C),3,_xlfn.XLOOKUP(C433,[1]StuntDes!$B:$B,[1]StuntDes!$C:$C)),"")</f>
        <v>基础生命增加{0}</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407</v>
      </c>
      <c r="D434" t="s">
        <v>32</v>
      </c>
      <c r="E434" t="s">
        <v>393</v>
      </c>
      <c r="F434"/>
      <c r="G434">
        <v>1</v>
      </c>
      <c r="H434">
        <v>1000</v>
      </c>
      <c r="J434" cm="1">
        <f t="array" ref="J434">_xlfn.SWITCH(B434,1,75,2,61,3,49,4,37,5,25,6,13,7,4,8,1)</f>
        <v>4</v>
      </c>
      <c r="K434" t="str" cm="1">
        <f t="array" ref="K434">IFERROR(_xlfn.SWITCH(L434,1,_xlfn.XLOOKUP(C434,[1]AttributeName!$C:$C,[1]AttributeName!$I:$I),2,_xlfn.XLOOKUP(C434,[1]ModifierDes!$B:$B,[1]ModifierDes!$C:$C),3,_xlfn.XLOOKUP(C434,[1]StuntDes!$B:$B,[1]StuntDes!$C:$C)),"")</f>
        <v>基础生命增加{0}</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407</v>
      </c>
      <c r="D435" t="s">
        <v>32</v>
      </c>
      <c r="E435" t="s">
        <v>393</v>
      </c>
      <c r="F435"/>
      <c r="G435">
        <v>1</v>
      </c>
      <c r="H435">
        <v>1000</v>
      </c>
      <c r="J435" cm="1">
        <f t="array" ref="J435">_xlfn.SWITCH(B435,1,75,2,61,3,49,4,37,5,25,6,13,7,4,8,1)</f>
        <v>1</v>
      </c>
      <c r="K435" t="str" cm="1">
        <f t="array" ref="K435">IFERROR(_xlfn.SWITCH(L435,1,_xlfn.XLOOKUP(C435,[1]AttributeName!$C:$C,[1]AttributeName!$I:$I),2,_xlfn.XLOOKUP(C435,[1]ModifierDes!$B:$B,[1]ModifierDes!$C:$C),3,_xlfn.XLOOKUP(C435,[1]StuntDes!$B:$B,[1]StuntDes!$C:$C)),"")</f>
        <v>基础生命增加{0}</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408</v>
      </c>
      <c r="D436" t="s">
        <v>32</v>
      </c>
      <c r="E436" t="s">
        <v>393</v>
      </c>
      <c r="F436"/>
      <c r="G436">
        <v>1</v>
      </c>
      <c r="H436">
        <v>1000</v>
      </c>
      <c r="J436" cm="1">
        <f t="array" ref="J436">_xlfn.SWITCH(B436,1,75,2,61,3,49,4,37,5,25,6,13,7,4,8,1)</f>
        <v>75</v>
      </c>
      <c r="K436" t="str" cm="1">
        <f t="array" ref="K436">IFERROR(_xlfn.SWITCH(L436,1,_xlfn.XLOOKUP(C436,[1]AttributeName!$C:$C,[1]AttributeName!$I:$I),2,_xlfn.XLOOKUP(C436,[1]ModifierDes!$B:$B,[1]ModifierDes!$C:$C),3,_xlfn.XLOOKUP(C436,[1]StuntDes!$B:$B,[1]StuntDes!$C:$C)),"")</f>
        <v>基础魔力增加{0}</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408</v>
      </c>
      <c r="D437" t="s">
        <v>32</v>
      </c>
      <c r="E437" t="s">
        <v>393</v>
      </c>
      <c r="F437"/>
      <c r="G437">
        <v>1</v>
      </c>
      <c r="H437">
        <v>1000</v>
      </c>
      <c r="J437" cm="1">
        <f t="array" ref="J437">_xlfn.SWITCH(B437,1,75,2,61,3,49,4,37,5,25,6,13,7,4,8,1)</f>
        <v>61</v>
      </c>
      <c r="K437" t="str" cm="1">
        <f t="array" ref="K437">IFERROR(_xlfn.SWITCH(L437,1,_xlfn.XLOOKUP(C437,[1]AttributeName!$C:$C,[1]AttributeName!$I:$I),2,_xlfn.XLOOKUP(C437,[1]ModifierDes!$B:$B,[1]ModifierDes!$C:$C),3,_xlfn.XLOOKUP(C437,[1]StuntDes!$B:$B,[1]StuntDes!$C:$C)),"")</f>
        <v>基础魔力增加{0}</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408</v>
      </c>
      <c r="D438" t="s">
        <v>32</v>
      </c>
      <c r="E438" t="s">
        <v>393</v>
      </c>
      <c r="F438"/>
      <c r="G438">
        <v>1</v>
      </c>
      <c r="H438">
        <v>1000</v>
      </c>
      <c r="J438" cm="1">
        <f t="array" ref="J438">_xlfn.SWITCH(B438,1,75,2,61,3,49,4,37,5,25,6,13,7,4,8,1)</f>
        <v>49</v>
      </c>
      <c r="K438" t="str" cm="1">
        <f t="array" ref="K438">IFERROR(_xlfn.SWITCH(L438,1,_xlfn.XLOOKUP(C438,[1]AttributeName!$C:$C,[1]AttributeName!$I:$I),2,_xlfn.XLOOKUP(C438,[1]ModifierDes!$B:$B,[1]ModifierDes!$C:$C),3,_xlfn.XLOOKUP(C438,[1]StuntDes!$B:$B,[1]StuntDes!$C:$C)),"")</f>
        <v>基础魔力增加{0}</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408</v>
      </c>
      <c r="D439" t="s">
        <v>32</v>
      </c>
      <c r="E439" t="s">
        <v>393</v>
      </c>
      <c r="F439"/>
      <c r="G439">
        <v>1</v>
      </c>
      <c r="H439">
        <v>1000</v>
      </c>
      <c r="J439" cm="1">
        <f t="array" ref="J439">_xlfn.SWITCH(B439,1,75,2,61,3,49,4,37,5,25,6,13,7,4,8,1)</f>
        <v>37</v>
      </c>
      <c r="K439" t="str" cm="1">
        <f t="array" ref="K439">IFERROR(_xlfn.SWITCH(L439,1,_xlfn.XLOOKUP(C439,[1]AttributeName!$C:$C,[1]AttributeName!$I:$I),2,_xlfn.XLOOKUP(C439,[1]ModifierDes!$B:$B,[1]ModifierDes!$C:$C),3,_xlfn.XLOOKUP(C439,[1]StuntDes!$B:$B,[1]StuntDes!$C:$C)),"")</f>
        <v>基础魔力增加{0}</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408</v>
      </c>
      <c r="D440" t="s">
        <v>32</v>
      </c>
      <c r="E440" t="s">
        <v>393</v>
      </c>
      <c r="F440"/>
      <c r="G440">
        <v>1</v>
      </c>
      <c r="H440">
        <v>1000</v>
      </c>
      <c r="J440" cm="1">
        <f t="array" ref="J440">_xlfn.SWITCH(B440,1,75,2,61,3,49,4,37,5,25,6,13,7,4,8,1)</f>
        <v>25</v>
      </c>
      <c r="K440" t="str" cm="1">
        <f t="array" ref="K440">IFERROR(_xlfn.SWITCH(L440,1,_xlfn.XLOOKUP(C440,[1]AttributeName!$C:$C,[1]AttributeName!$I:$I),2,_xlfn.XLOOKUP(C440,[1]ModifierDes!$B:$B,[1]ModifierDes!$C:$C),3,_xlfn.XLOOKUP(C440,[1]StuntDes!$B:$B,[1]StuntDes!$C:$C)),"")</f>
        <v>基础魔力增加{0}</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408</v>
      </c>
      <c r="D441" t="s">
        <v>32</v>
      </c>
      <c r="E441" t="s">
        <v>393</v>
      </c>
      <c r="F441"/>
      <c r="G441">
        <v>1</v>
      </c>
      <c r="H441">
        <v>1000</v>
      </c>
      <c r="J441" cm="1">
        <f t="array" ref="J441">_xlfn.SWITCH(B441,1,75,2,61,3,49,4,37,5,25,6,13,7,4,8,1)</f>
        <v>13</v>
      </c>
      <c r="K441" t="str" cm="1">
        <f t="array" ref="K441">IFERROR(_xlfn.SWITCH(L441,1,_xlfn.XLOOKUP(C441,[1]AttributeName!$C:$C,[1]AttributeName!$I:$I),2,_xlfn.XLOOKUP(C441,[1]ModifierDes!$B:$B,[1]ModifierDes!$C:$C),3,_xlfn.XLOOKUP(C441,[1]StuntDes!$B:$B,[1]StuntDes!$C:$C)),"")</f>
        <v>基础魔力增加{0}</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408</v>
      </c>
      <c r="D442" t="s">
        <v>32</v>
      </c>
      <c r="E442" t="s">
        <v>393</v>
      </c>
      <c r="F442"/>
      <c r="G442">
        <v>1</v>
      </c>
      <c r="H442">
        <v>1000</v>
      </c>
      <c r="J442" cm="1">
        <f t="array" ref="J442">_xlfn.SWITCH(B442,1,75,2,61,3,49,4,37,5,25,6,13,7,4,8,1)</f>
        <v>4</v>
      </c>
      <c r="K442" t="str" cm="1">
        <f t="array" ref="K442">IFERROR(_xlfn.SWITCH(L442,1,_xlfn.XLOOKUP(C442,[1]AttributeName!$C:$C,[1]AttributeName!$I:$I),2,_xlfn.XLOOKUP(C442,[1]ModifierDes!$B:$B,[1]ModifierDes!$C:$C),3,_xlfn.XLOOKUP(C442,[1]StuntDes!$B:$B,[1]StuntDes!$C:$C)),"")</f>
        <v>基础魔力增加{0}</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408</v>
      </c>
      <c r="D443" t="s">
        <v>32</v>
      </c>
      <c r="E443" t="s">
        <v>393</v>
      </c>
      <c r="F443"/>
      <c r="G443">
        <v>1</v>
      </c>
      <c r="H443">
        <v>1000</v>
      </c>
      <c r="J443" cm="1">
        <f t="array" ref="J443">_xlfn.SWITCH(B443,1,75,2,61,3,49,4,37,5,25,6,13,7,4,8,1)</f>
        <v>1</v>
      </c>
      <c r="K443" t="str" cm="1">
        <f t="array" ref="K443">IFERROR(_xlfn.SWITCH(L443,1,_xlfn.XLOOKUP(C443,[1]AttributeName!$C:$C,[1]AttributeName!$I:$I),2,_xlfn.XLOOKUP(C443,[1]ModifierDes!$B:$B,[1]ModifierDes!$C:$C),3,_xlfn.XLOOKUP(C443,[1]StuntDes!$B:$B,[1]StuntDes!$C:$C)),"")</f>
        <v>基础魔力增加{0}</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428</v>
      </c>
      <c r="D444" t="s">
        <v>32</v>
      </c>
      <c r="E444" t="s">
        <v>393</v>
      </c>
      <c r="F444"/>
      <c r="G444">
        <v>1</v>
      </c>
      <c r="H444">
        <v>1000</v>
      </c>
      <c r="J444" cm="1">
        <f t="array" ref="J444">_xlfn.SWITCH(B444,1,75,2,61,3,49,4,37,5,25,6,13,7,4,8,1)</f>
        <v>75</v>
      </c>
      <c r="K444" t="str" cm="1">
        <f t="array" ref="K444">IFERROR(_xlfn.SWITCH(L444,1,_xlfn.XLOOKUP(C444,[1]AttributeName!$C:$C,[1]AttributeName!$I:$I),2,_xlfn.XLOOKUP(C444,[1]ModifierDes!$B:$B,[1]ModifierDes!$C:$C),3,_xlfn.XLOOKUP(C444,[1]StuntDes!$B:$B,[1]StuntDes!$C:$C)),"")</f>
        <v>防御力增加{0}</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428</v>
      </c>
      <c r="D445" t="s">
        <v>32</v>
      </c>
      <c r="E445" t="s">
        <v>393</v>
      </c>
      <c r="F445"/>
      <c r="G445">
        <v>1</v>
      </c>
      <c r="H445">
        <v>1000</v>
      </c>
      <c r="J445" cm="1">
        <f t="array" ref="J445">_xlfn.SWITCH(B445,1,75,2,61,3,49,4,37,5,25,6,13,7,4,8,1)</f>
        <v>61</v>
      </c>
      <c r="K445" t="str" cm="1">
        <f t="array" ref="K445">IFERROR(_xlfn.SWITCH(L445,1,_xlfn.XLOOKUP(C445,[1]AttributeName!$C:$C,[1]AttributeName!$I:$I),2,_xlfn.XLOOKUP(C445,[1]ModifierDes!$B:$B,[1]ModifierDes!$C:$C),3,_xlfn.XLOOKUP(C445,[1]StuntDes!$B:$B,[1]StuntDes!$C:$C)),"")</f>
        <v>防御力增加{0}</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428</v>
      </c>
      <c r="D446" t="s">
        <v>32</v>
      </c>
      <c r="E446" t="s">
        <v>393</v>
      </c>
      <c r="F446"/>
      <c r="G446">
        <v>1</v>
      </c>
      <c r="H446">
        <v>1000</v>
      </c>
      <c r="J446" cm="1">
        <f t="array" ref="J446">_xlfn.SWITCH(B446,1,75,2,61,3,49,4,37,5,25,6,13,7,4,8,1)</f>
        <v>49</v>
      </c>
      <c r="K446" t="str" cm="1">
        <f t="array" ref="K446">IFERROR(_xlfn.SWITCH(L446,1,_xlfn.XLOOKUP(C446,[1]AttributeName!$C:$C,[1]AttributeName!$I:$I),2,_xlfn.XLOOKUP(C446,[1]ModifierDes!$B:$B,[1]ModifierDes!$C:$C),3,_xlfn.XLOOKUP(C446,[1]StuntDes!$B:$B,[1]StuntDes!$C:$C)),"")</f>
        <v>防御力增加{0}</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428</v>
      </c>
      <c r="D447" t="s">
        <v>32</v>
      </c>
      <c r="E447" t="s">
        <v>393</v>
      </c>
      <c r="F447"/>
      <c r="G447">
        <v>1</v>
      </c>
      <c r="H447">
        <v>1000</v>
      </c>
      <c r="J447" cm="1">
        <f t="array" ref="J447">_xlfn.SWITCH(B447,1,75,2,61,3,49,4,37,5,25,6,13,7,4,8,1)</f>
        <v>37</v>
      </c>
      <c r="K447" t="str" cm="1">
        <f t="array" ref="K447">IFERROR(_xlfn.SWITCH(L447,1,_xlfn.XLOOKUP(C447,[1]AttributeName!$C:$C,[1]AttributeName!$I:$I),2,_xlfn.XLOOKUP(C447,[1]ModifierDes!$B:$B,[1]ModifierDes!$C:$C),3,_xlfn.XLOOKUP(C447,[1]StuntDes!$B:$B,[1]StuntDes!$C:$C)),"")</f>
        <v>防御力增加{0}</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428</v>
      </c>
      <c r="D448" t="s">
        <v>32</v>
      </c>
      <c r="E448" t="s">
        <v>393</v>
      </c>
      <c r="F448"/>
      <c r="G448">
        <v>1</v>
      </c>
      <c r="H448">
        <v>1000</v>
      </c>
      <c r="J448" cm="1">
        <f t="array" ref="J448">_xlfn.SWITCH(B448,1,75,2,61,3,49,4,37,5,25,6,13,7,4,8,1)</f>
        <v>25</v>
      </c>
      <c r="K448" t="str" cm="1">
        <f t="array" ref="K448">IFERROR(_xlfn.SWITCH(L448,1,_xlfn.XLOOKUP(C448,[1]AttributeName!$C:$C,[1]AttributeName!$I:$I),2,_xlfn.XLOOKUP(C448,[1]ModifierDes!$B:$B,[1]ModifierDes!$C:$C),3,_xlfn.XLOOKUP(C448,[1]StuntDes!$B:$B,[1]StuntDes!$C:$C)),"")</f>
        <v>防御力增加{0}</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428</v>
      </c>
      <c r="D449" t="s">
        <v>32</v>
      </c>
      <c r="E449" t="s">
        <v>393</v>
      </c>
      <c r="F449"/>
      <c r="G449">
        <v>1</v>
      </c>
      <c r="H449">
        <v>1000</v>
      </c>
      <c r="J449" cm="1">
        <f t="array" ref="J449">_xlfn.SWITCH(B449,1,75,2,61,3,49,4,37,5,25,6,13,7,4,8,1)</f>
        <v>13</v>
      </c>
      <c r="K449" t="str" cm="1">
        <f t="array" ref="K449">IFERROR(_xlfn.SWITCH(L449,1,_xlfn.XLOOKUP(C449,[1]AttributeName!$C:$C,[1]AttributeName!$I:$I),2,_xlfn.XLOOKUP(C449,[1]ModifierDes!$B:$B,[1]ModifierDes!$C:$C),3,_xlfn.XLOOKUP(C449,[1]StuntDes!$B:$B,[1]StuntDes!$C:$C)),"")</f>
        <v>防御力增加{0}</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428</v>
      </c>
      <c r="D450" t="s">
        <v>32</v>
      </c>
      <c r="E450" t="s">
        <v>393</v>
      </c>
      <c r="F450"/>
      <c r="G450">
        <v>1</v>
      </c>
      <c r="H450">
        <v>1000</v>
      </c>
      <c r="J450" cm="1">
        <f t="array" ref="J450">_xlfn.SWITCH(B450,1,75,2,61,3,49,4,37,5,25,6,13,7,4,8,1)</f>
        <v>4</v>
      </c>
      <c r="K450" t="str" cm="1">
        <f t="array" ref="K450">IFERROR(_xlfn.SWITCH(L450,1,_xlfn.XLOOKUP(C450,[1]AttributeName!$C:$C,[1]AttributeName!$I:$I),2,_xlfn.XLOOKUP(C450,[1]ModifierDes!$B:$B,[1]ModifierDes!$C:$C),3,_xlfn.XLOOKUP(C450,[1]StuntDes!$B:$B,[1]StuntDes!$C:$C)),"")</f>
        <v>防御力增加{0}</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428</v>
      </c>
      <c r="D451" t="s">
        <v>32</v>
      </c>
      <c r="E451" t="s">
        <v>393</v>
      </c>
      <c r="F451"/>
      <c r="G451">
        <v>1</v>
      </c>
      <c r="H451">
        <v>1000</v>
      </c>
      <c r="J451" cm="1">
        <f t="array" ref="J451">_xlfn.SWITCH(B451,1,75,2,61,3,49,4,37,5,25,6,13,7,4,8,1)</f>
        <v>1</v>
      </c>
      <c r="K451" t="str" cm="1">
        <f t="array" ref="K451">IFERROR(_xlfn.SWITCH(L451,1,_xlfn.XLOOKUP(C451,[1]AttributeName!$C:$C,[1]AttributeName!$I:$I),2,_xlfn.XLOOKUP(C451,[1]ModifierDes!$B:$B,[1]ModifierDes!$C:$C),3,_xlfn.XLOOKUP(C451,[1]StuntDes!$B:$B,[1]StuntDes!$C:$C)),"")</f>
        <v>防御力增加{0}</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429</v>
      </c>
      <c r="D452" t="s">
        <v>32</v>
      </c>
      <c r="E452" t="s">
        <v>393</v>
      </c>
      <c r="G452">
        <v>1</v>
      </c>
      <c r="H452">
        <v>250</v>
      </c>
      <c r="J452" cm="1">
        <f t="array" ref="J452">_xlfn.SWITCH(B452,1,75,2,61,3,49,4,37,5,25,6,13,7,4,8,1)</f>
        <v>75</v>
      </c>
      <c r="K452" t="str" cm="1">
        <f t="array" ref="K452">IFERROR(_xlfn.SWITCH(L452,1,_xlfn.XLOOKUP(C452,[1]AttributeName!$C:$C,[1]AttributeName!$I:$I),2,_xlfn.XLOOKUP(C452,[1]ModifierDes!$B:$B,[1]ModifierDes!$C:$C),3,_xlfn.XLOOKUP(C452,[1]StuntDes!$B:$B,[1]StuntDes!$C:$C)),"")</f>
        <v>攻击格挡率增加{0}</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429</v>
      </c>
      <c r="D453" t="s">
        <v>32</v>
      </c>
      <c r="E453" t="s">
        <v>393</v>
      </c>
      <c r="G453">
        <v>1</v>
      </c>
      <c r="H453">
        <v>500</v>
      </c>
      <c r="J453" cm="1">
        <f t="array" ref="J453">_xlfn.SWITCH(B453,1,75,2,61,3,49,4,37,5,25,6,13,7,4,8,1)</f>
        <v>61</v>
      </c>
      <c r="K453" t="str" cm="1">
        <f t="array" ref="K453">IFERROR(_xlfn.SWITCH(L453,1,_xlfn.XLOOKUP(C453,[1]AttributeName!$C:$C,[1]AttributeName!$I:$I),2,_xlfn.XLOOKUP(C453,[1]ModifierDes!$B:$B,[1]ModifierDes!$C:$C),3,_xlfn.XLOOKUP(C453,[1]StuntDes!$B:$B,[1]StuntDes!$C:$C)),"")</f>
        <v>攻击格挡率增加{0}</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429</v>
      </c>
      <c r="D454" t="s">
        <v>32</v>
      </c>
      <c r="E454" t="s">
        <v>393</v>
      </c>
      <c r="G454">
        <v>1</v>
      </c>
      <c r="H454">
        <v>1000</v>
      </c>
      <c r="J454" cm="1">
        <f t="array" ref="J454">_xlfn.SWITCH(B454,1,75,2,61,3,49,4,37,5,25,6,13,7,4,8,1)</f>
        <v>49</v>
      </c>
      <c r="K454" t="str" cm="1">
        <f t="array" ref="K454">IFERROR(_xlfn.SWITCH(L454,1,_xlfn.XLOOKUP(C454,[1]AttributeName!$C:$C,[1]AttributeName!$I:$I),2,_xlfn.XLOOKUP(C454,[1]ModifierDes!$B:$B,[1]ModifierDes!$C:$C),3,_xlfn.XLOOKUP(C454,[1]StuntDes!$B:$B,[1]StuntDes!$C:$C)),"")</f>
        <v>攻击格挡率增加{0}</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429</v>
      </c>
      <c r="D455" t="s">
        <v>32</v>
      </c>
      <c r="E455" t="s">
        <v>393</v>
      </c>
      <c r="G455">
        <v>1</v>
      </c>
      <c r="H455">
        <v>1000</v>
      </c>
      <c r="J455" cm="1">
        <f t="array" ref="J455">_xlfn.SWITCH(B455,1,75,2,61,3,49,4,37,5,25,6,13,7,4,8,1)</f>
        <v>37</v>
      </c>
      <c r="K455" t="str" cm="1">
        <f t="array" ref="K455">IFERROR(_xlfn.SWITCH(L455,1,_xlfn.XLOOKUP(C455,[1]AttributeName!$C:$C,[1]AttributeName!$I:$I),2,_xlfn.XLOOKUP(C455,[1]ModifierDes!$B:$B,[1]ModifierDes!$C:$C),3,_xlfn.XLOOKUP(C455,[1]StuntDes!$B:$B,[1]StuntDes!$C:$C)),"")</f>
        <v>攻击格挡率增加{0}</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429</v>
      </c>
      <c r="D456" t="s">
        <v>32</v>
      </c>
      <c r="E456" t="s">
        <v>393</v>
      </c>
      <c r="G456">
        <v>1</v>
      </c>
      <c r="H456">
        <v>1000</v>
      </c>
      <c r="J456" cm="1">
        <f t="array" ref="J456">_xlfn.SWITCH(B456,1,75,2,61,3,49,4,37,5,25,6,13,7,4,8,1)</f>
        <v>25</v>
      </c>
      <c r="K456" t="str" cm="1">
        <f t="array" ref="K456">IFERROR(_xlfn.SWITCH(L456,1,_xlfn.XLOOKUP(C456,[1]AttributeName!$C:$C,[1]AttributeName!$I:$I),2,_xlfn.XLOOKUP(C456,[1]ModifierDes!$B:$B,[1]ModifierDes!$C:$C),3,_xlfn.XLOOKUP(C456,[1]StuntDes!$B:$B,[1]StuntDes!$C:$C)),"")</f>
        <v>攻击格挡率增加{0}</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429</v>
      </c>
      <c r="D457" t="s">
        <v>32</v>
      </c>
      <c r="E457" t="s">
        <v>393</v>
      </c>
      <c r="G457">
        <v>1</v>
      </c>
      <c r="H457">
        <v>1000</v>
      </c>
      <c r="J457" cm="1">
        <f t="array" ref="J457">_xlfn.SWITCH(B457,1,75,2,61,3,49,4,37,5,25,6,13,7,4,8,1)</f>
        <v>13</v>
      </c>
      <c r="K457" t="str" cm="1">
        <f t="array" ref="K457">IFERROR(_xlfn.SWITCH(L457,1,_xlfn.XLOOKUP(C457,[1]AttributeName!$C:$C,[1]AttributeName!$I:$I),2,_xlfn.XLOOKUP(C457,[1]ModifierDes!$B:$B,[1]ModifierDes!$C:$C),3,_xlfn.XLOOKUP(C457,[1]StuntDes!$B:$B,[1]StuntDes!$C:$C)),"")</f>
        <v>攻击格挡率增加{0}</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429</v>
      </c>
      <c r="D458" t="s">
        <v>32</v>
      </c>
      <c r="E458" t="s">
        <v>393</v>
      </c>
      <c r="G458">
        <v>1</v>
      </c>
      <c r="H458">
        <v>1000</v>
      </c>
      <c r="J458" cm="1">
        <f t="array" ref="J458">_xlfn.SWITCH(B458,1,75,2,61,3,49,4,37,5,25,6,13,7,4,8,1)</f>
        <v>4</v>
      </c>
      <c r="K458" t="str" cm="1">
        <f t="array" ref="K458">IFERROR(_xlfn.SWITCH(L458,1,_xlfn.XLOOKUP(C458,[1]AttributeName!$C:$C,[1]AttributeName!$I:$I),2,_xlfn.XLOOKUP(C458,[1]ModifierDes!$B:$B,[1]ModifierDes!$C:$C),3,_xlfn.XLOOKUP(C458,[1]StuntDes!$B:$B,[1]StuntDes!$C:$C)),"")</f>
        <v>攻击格挡率增加{0}</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429</v>
      </c>
      <c r="D459" t="s">
        <v>32</v>
      </c>
      <c r="E459" t="s">
        <v>393</v>
      </c>
      <c r="G459">
        <v>1</v>
      </c>
      <c r="H459">
        <v>1000</v>
      </c>
      <c r="J459" cm="1">
        <f t="array" ref="J459">_xlfn.SWITCH(B459,1,75,2,61,3,49,4,37,5,25,6,13,7,4,8,1)</f>
        <v>1</v>
      </c>
      <c r="K459" t="str" cm="1">
        <f t="array" ref="K459">IFERROR(_xlfn.SWITCH(L459,1,_xlfn.XLOOKUP(C459,[1]AttributeName!$C:$C,[1]AttributeName!$I:$I),2,_xlfn.XLOOKUP(C459,[1]ModifierDes!$B:$B,[1]ModifierDes!$C:$C),3,_xlfn.XLOOKUP(C459,[1]StuntDes!$B:$B,[1]StuntDes!$C:$C)),"")</f>
        <v>攻击格挡率增加{0}</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430</v>
      </c>
      <c r="D460" t="s">
        <v>32</v>
      </c>
      <c r="E460" t="s">
        <v>393</v>
      </c>
      <c r="G460">
        <v>1</v>
      </c>
      <c r="H460">
        <v>250</v>
      </c>
      <c r="J460" cm="1">
        <f t="array" ref="J460">_xlfn.SWITCH(B460,1,75,2,61,3,49,4,37,5,25,6,13,7,4,8,1)</f>
        <v>75</v>
      </c>
      <c r="K460" t="str" cm="1">
        <f t="array" ref="K460">IFERROR(_xlfn.SWITCH(L460,1,_xlfn.XLOOKUP(C460,[1]AttributeName!$C:$C,[1]AttributeName!$I:$I),2,_xlfn.XLOOKUP(C460,[1]ModifierDes!$B:$B,[1]ModifierDes!$C:$C),3,_xlfn.XLOOKUP(C460,[1]StuntDes!$B:$B,[1]StuntDes!$C:$C)),"")</f>
        <v>法术格挡率增加{0}</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430</v>
      </c>
      <c r="D461" t="s">
        <v>32</v>
      </c>
      <c r="E461" t="s">
        <v>393</v>
      </c>
      <c r="G461">
        <v>1</v>
      </c>
      <c r="H461">
        <v>500</v>
      </c>
      <c r="J461" cm="1">
        <f t="array" ref="J461">_xlfn.SWITCH(B461,1,75,2,61,3,49,4,37,5,25,6,13,7,4,8,1)</f>
        <v>61</v>
      </c>
      <c r="K461" t="str" cm="1">
        <f t="array" ref="K461">IFERROR(_xlfn.SWITCH(L461,1,_xlfn.XLOOKUP(C461,[1]AttributeName!$C:$C,[1]AttributeName!$I:$I),2,_xlfn.XLOOKUP(C461,[1]ModifierDes!$B:$B,[1]ModifierDes!$C:$C),3,_xlfn.XLOOKUP(C461,[1]StuntDes!$B:$B,[1]StuntDes!$C:$C)),"")</f>
        <v>法术格挡率增加{0}</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430</v>
      </c>
      <c r="D462" t="s">
        <v>32</v>
      </c>
      <c r="E462" t="s">
        <v>393</v>
      </c>
      <c r="G462">
        <v>1</v>
      </c>
      <c r="H462">
        <v>1000</v>
      </c>
      <c r="J462" cm="1">
        <f t="array" ref="J462">_xlfn.SWITCH(B462,1,75,2,61,3,49,4,37,5,25,6,13,7,4,8,1)</f>
        <v>49</v>
      </c>
      <c r="K462" t="str" cm="1">
        <f t="array" ref="K462">IFERROR(_xlfn.SWITCH(L462,1,_xlfn.XLOOKUP(C462,[1]AttributeName!$C:$C,[1]AttributeName!$I:$I),2,_xlfn.XLOOKUP(C462,[1]ModifierDes!$B:$B,[1]ModifierDes!$C:$C),3,_xlfn.XLOOKUP(C462,[1]StuntDes!$B:$B,[1]StuntDes!$C:$C)),"")</f>
        <v>法术格挡率增加{0}</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430</v>
      </c>
      <c r="D463" t="s">
        <v>32</v>
      </c>
      <c r="E463" t="s">
        <v>393</v>
      </c>
      <c r="G463">
        <v>1</v>
      </c>
      <c r="H463">
        <v>1000</v>
      </c>
      <c r="J463" cm="1">
        <f t="array" ref="J463">_xlfn.SWITCH(B463,1,75,2,61,3,49,4,37,5,25,6,13,7,4,8,1)</f>
        <v>37</v>
      </c>
      <c r="K463" t="str" cm="1">
        <f t="array" ref="K463">IFERROR(_xlfn.SWITCH(L463,1,_xlfn.XLOOKUP(C463,[1]AttributeName!$C:$C,[1]AttributeName!$I:$I),2,_xlfn.XLOOKUP(C463,[1]ModifierDes!$B:$B,[1]ModifierDes!$C:$C),3,_xlfn.XLOOKUP(C463,[1]StuntDes!$B:$B,[1]StuntDes!$C:$C)),"")</f>
        <v>法术格挡率增加{0}</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430</v>
      </c>
      <c r="D464" t="s">
        <v>32</v>
      </c>
      <c r="E464" t="s">
        <v>393</v>
      </c>
      <c r="G464">
        <v>1</v>
      </c>
      <c r="H464">
        <v>1000</v>
      </c>
      <c r="J464" cm="1">
        <f t="array" ref="J464">_xlfn.SWITCH(B464,1,75,2,61,3,49,4,37,5,25,6,13,7,4,8,1)</f>
        <v>25</v>
      </c>
      <c r="K464" t="str" cm="1">
        <f t="array" ref="K464">IFERROR(_xlfn.SWITCH(L464,1,_xlfn.XLOOKUP(C464,[1]AttributeName!$C:$C,[1]AttributeName!$I:$I),2,_xlfn.XLOOKUP(C464,[1]ModifierDes!$B:$B,[1]ModifierDes!$C:$C),3,_xlfn.XLOOKUP(C464,[1]StuntDes!$B:$B,[1]StuntDes!$C:$C)),"")</f>
        <v>法术格挡率增加{0}</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430</v>
      </c>
      <c r="D465" t="s">
        <v>32</v>
      </c>
      <c r="E465" t="s">
        <v>393</v>
      </c>
      <c r="G465">
        <v>1</v>
      </c>
      <c r="H465">
        <v>1000</v>
      </c>
      <c r="J465" cm="1">
        <f t="array" ref="J465">_xlfn.SWITCH(B465,1,75,2,61,3,49,4,37,5,25,6,13,7,4,8,1)</f>
        <v>13</v>
      </c>
      <c r="K465" t="str" cm="1">
        <f t="array" ref="K465">IFERROR(_xlfn.SWITCH(L465,1,_xlfn.XLOOKUP(C465,[1]AttributeName!$C:$C,[1]AttributeName!$I:$I),2,_xlfn.XLOOKUP(C465,[1]ModifierDes!$B:$B,[1]ModifierDes!$C:$C),3,_xlfn.XLOOKUP(C465,[1]StuntDes!$B:$B,[1]StuntDes!$C:$C)),"")</f>
        <v>法术格挡率增加{0}</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430</v>
      </c>
      <c r="D466" t="s">
        <v>32</v>
      </c>
      <c r="E466" t="s">
        <v>393</v>
      </c>
      <c r="G466">
        <v>1</v>
      </c>
      <c r="H466">
        <v>1000</v>
      </c>
      <c r="J466" cm="1">
        <f t="array" ref="J466">_xlfn.SWITCH(B466,1,75,2,61,3,49,4,37,5,25,6,13,7,4,8,1)</f>
        <v>4</v>
      </c>
      <c r="K466" t="str" cm="1">
        <f t="array" ref="K466">IFERROR(_xlfn.SWITCH(L466,1,_xlfn.XLOOKUP(C466,[1]AttributeName!$C:$C,[1]AttributeName!$I:$I),2,_xlfn.XLOOKUP(C466,[1]ModifierDes!$B:$B,[1]ModifierDes!$C:$C),3,_xlfn.XLOOKUP(C466,[1]StuntDes!$B:$B,[1]StuntDes!$C:$C)),"")</f>
        <v>法术格挡率增加{0}</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430</v>
      </c>
      <c r="D467" t="s">
        <v>32</v>
      </c>
      <c r="E467" t="s">
        <v>393</v>
      </c>
      <c r="G467">
        <v>1</v>
      </c>
      <c r="H467">
        <v>1000</v>
      </c>
      <c r="J467" cm="1">
        <f t="array" ref="J467">_xlfn.SWITCH(B467,1,75,2,61,3,49,4,37,5,25,6,13,7,4,8,1)</f>
        <v>1</v>
      </c>
      <c r="K467" t="str" cm="1">
        <f t="array" ref="K467">IFERROR(_xlfn.SWITCH(L467,1,_xlfn.XLOOKUP(C467,[1]AttributeName!$C:$C,[1]AttributeName!$I:$I),2,_xlfn.XLOOKUP(C467,[1]ModifierDes!$B:$B,[1]ModifierDes!$C:$C),3,_xlfn.XLOOKUP(C467,[1]StuntDes!$B:$B,[1]StuntDes!$C:$C)),"")</f>
        <v>法术格挡率增加{0}</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94</v>
      </c>
      <c r="D468" t="s">
        <v>32</v>
      </c>
      <c r="E468" t="s">
        <v>393</v>
      </c>
      <c r="G468">
        <v>1</v>
      </c>
      <c r="H468">
        <v>1000</v>
      </c>
      <c r="J468" cm="1">
        <f t="array" ref="J468">_xlfn.SWITCH(B468,1,75,2,61,3,49,4,37,5,25,6,13,7,4,8,1)</f>
        <v>75</v>
      </c>
      <c r="K468" t="str" cm="1">
        <f t="array" ref="K468">IFERROR(_xlfn.SWITCH(L468,1,_xlfn.XLOOKUP(C468,[1]AttributeName!$C:$C,[1]AttributeName!$I:$I),2,_xlfn.XLOOKUP(C468,[1]ModifierDes!$B:$B,[1]ModifierDes!$C:$C),3,_xlfn.XLOOKUP(C468,[1]StuntDes!$B:$B,[1]StuntDes!$C:$C)),"")</f>
        <v>装备稀有度增加{0}</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94</v>
      </c>
      <c r="D469" t="s">
        <v>32</v>
      </c>
      <c r="E469" t="s">
        <v>393</v>
      </c>
      <c r="G469">
        <v>1</v>
      </c>
      <c r="H469">
        <v>1000</v>
      </c>
      <c r="J469" cm="1">
        <f t="array" ref="J469">_xlfn.SWITCH(B469,1,75,2,61,3,49,4,37,5,25,6,13,7,4,8,1)</f>
        <v>61</v>
      </c>
      <c r="K469" t="str" cm="1">
        <f t="array" ref="K469">IFERROR(_xlfn.SWITCH(L469,1,_xlfn.XLOOKUP(C469,[1]AttributeName!$C:$C,[1]AttributeName!$I:$I),2,_xlfn.XLOOKUP(C469,[1]ModifierDes!$B:$B,[1]ModifierDes!$C:$C),3,_xlfn.XLOOKUP(C469,[1]StuntDes!$B:$B,[1]StuntDes!$C:$C)),"")</f>
        <v>装备稀有度增加{0}</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94</v>
      </c>
      <c r="D470" t="s">
        <v>32</v>
      </c>
      <c r="E470" t="s">
        <v>393</v>
      </c>
      <c r="G470">
        <v>1</v>
      </c>
      <c r="H470">
        <v>1000</v>
      </c>
      <c r="J470" cm="1">
        <f t="array" ref="J470">_xlfn.SWITCH(B470,1,75,2,61,3,49,4,37,5,25,6,13,7,4,8,1)</f>
        <v>49</v>
      </c>
      <c r="K470" t="str" cm="1">
        <f t="array" ref="K470">IFERROR(_xlfn.SWITCH(L470,1,_xlfn.XLOOKUP(C470,[1]AttributeName!$C:$C,[1]AttributeName!$I:$I),2,_xlfn.XLOOKUP(C470,[1]ModifierDes!$B:$B,[1]ModifierDes!$C:$C),3,_xlfn.XLOOKUP(C470,[1]StuntDes!$B:$B,[1]StuntDes!$C:$C)),"")</f>
        <v>装备稀有度增加{0}</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94</v>
      </c>
      <c r="D471" t="s">
        <v>32</v>
      </c>
      <c r="E471" t="s">
        <v>393</v>
      </c>
      <c r="G471">
        <v>1</v>
      </c>
      <c r="H471">
        <v>1000</v>
      </c>
      <c r="J471" cm="1">
        <f t="array" ref="J471">_xlfn.SWITCH(B471,1,75,2,61,3,49,4,37,5,25,6,13,7,4,8,1)</f>
        <v>37</v>
      </c>
      <c r="K471" t="str" cm="1">
        <f t="array" ref="K471">IFERROR(_xlfn.SWITCH(L471,1,_xlfn.XLOOKUP(C471,[1]AttributeName!$C:$C,[1]AttributeName!$I:$I),2,_xlfn.XLOOKUP(C471,[1]ModifierDes!$B:$B,[1]ModifierDes!$C:$C),3,_xlfn.XLOOKUP(C471,[1]StuntDes!$B:$B,[1]StuntDes!$C:$C)),"")</f>
        <v>装备稀有度增加{0}</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94</v>
      </c>
      <c r="D472" t="s">
        <v>32</v>
      </c>
      <c r="E472" t="s">
        <v>393</v>
      </c>
      <c r="G472">
        <v>1</v>
      </c>
      <c r="H472">
        <v>1000</v>
      </c>
      <c r="J472" cm="1">
        <f t="array" ref="J472">_xlfn.SWITCH(B472,1,75,2,61,3,49,4,37,5,25,6,13,7,4,8,1)</f>
        <v>25</v>
      </c>
      <c r="K472" t="str" cm="1">
        <f t="array" ref="K472">IFERROR(_xlfn.SWITCH(L472,1,_xlfn.XLOOKUP(C472,[1]AttributeName!$C:$C,[1]AttributeName!$I:$I),2,_xlfn.XLOOKUP(C472,[1]ModifierDes!$B:$B,[1]ModifierDes!$C:$C),3,_xlfn.XLOOKUP(C472,[1]StuntDes!$B:$B,[1]StuntDes!$C:$C)),"")</f>
        <v>装备稀有度增加{0}</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94</v>
      </c>
      <c r="D473" t="s">
        <v>32</v>
      </c>
      <c r="E473" t="s">
        <v>393</v>
      </c>
      <c r="G473">
        <v>1</v>
      </c>
      <c r="H473">
        <v>1000</v>
      </c>
      <c r="J473" cm="1">
        <f t="array" ref="J473">_xlfn.SWITCH(B473,1,75,2,61,3,49,4,37,5,25,6,13,7,4,8,1)</f>
        <v>13</v>
      </c>
      <c r="K473" t="str" cm="1">
        <f t="array" ref="K473">IFERROR(_xlfn.SWITCH(L473,1,_xlfn.XLOOKUP(C473,[1]AttributeName!$C:$C,[1]AttributeName!$I:$I),2,_xlfn.XLOOKUP(C473,[1]ModifierDes!$B:$B,[1]ModifierDes!$C:$C),3,_xlfn.XLOOKUP(C473,[1]StuntDes!$B:$B,[1]StuntDes!$C:$C)),"")</f>
        <v>装备稀有度增加{0}</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94</v>
      </c>
      <c r="D474" t="s">
        <v>32</v>
      </c>
      <c r="E474" t="s">
        <v>393</v>
      </c>
      <c r="G474">
        <v>1</v>
      </c>
      <c r="H474">
        <v>1000</v>
      </c>
      <c r="J474" cm="1">
        <f t="array" ref="J474">_xlfn.SWITCH(B474,1,75,2,61,3,49,4,37,5,25,6,13,7,4,8,1)</f>
        <v>4</v>
      </c>
      <c r="K474" t="str" cm="1">
        <f t="array" ref="K474">IFERROR(_xlfn.SWITCH(L474,1,_xlfn.XLOOKUP(C474,[1]AttributeName!$C:$C,[1]AttributeName!$I:$I),2,_xlfn.XLOOKUP(C474,[1]ModifierDes!$B:$B,[1]ModifierDes!$C:$C),3,_xlfn.XLOOKUP(C474,[1]StuntDes!$B:$B,[1]StuntDes!$C:$C)),"")</f>
        <v>装备稀有度增加{0}</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94</v>
      </c>
      <c r="D475" t="s">
        <v>32</v>
      </c>
      <c r="E475" t="s">
        <v>393</v>
      </c>
      <c r="G475">
        <v>1</v>
      </c>
      <c r="H475">
        <v>1000</v>
      </c>
      <c r="J475" cm="1">
        <f t="array" ref="J475">_xlfn.SWITCH(B475,1,75,2,61,3,49,4,37,5,25,6,13,7,4,8,1)</f>
        <v>1</v>
      </c>
      <c r="K475" t="str" cm="1">
        <f t="array" ref="K475">IFERROR(_xlfn.SWITCH(L475,1,_xlfn.XLOOKUP(C475,[1]AttributeName!$C:$C,[1]AttributeName!$I:$I),2,_xlfn.XLOOKUP(C475,[1]ModifierDes!$B:$B,[1]ModifierDes!$C:$C),3,_xlfn.XLOOKUP(C475,[1]StuntDes!$B:$B,[1]StuntDes!$C:$C)),"")</f>
        <v>装备稀有度增加{0}</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431</v>
      </c>
      <c r="D476" t="s">
        <v>32</v>
      </c>
      <c r="E476" t="s">
        <v>393</v>
      </c>
      <c r="F476"/>
      <c r="G476">
        <v>1</v>
      </c>
      <c r="H476">
        <v>50</v>
      </c>
      <c r="I476">
        <v>3</v>
      </c>
      <c r="J476" cm="1">
        <f t="array" ref="J476">_xlfn.SWITCH(B476,1,75,2,61,3,49,4,37,5,25,6,13,7,4,8,1)</f>
        <v>75</v>
      </c>
      <c r="K476" t="str" cm="1">
        <f t="array" ref="K476">IFERROR(_xlfn.SWITCH(L476,1,_xlfn.XLOOKUP(C476,[1]AttributeName!$C:$C,[1]AttributeName!$I:$I),2,_xlfn.XLOOKUP(C476,[1]ModifierDes!$B:$B,[1]ModifierDes!$C:$C),3,_xlfn.XLOOKUP(C476,[1]StuntDes!$B:$B,[1]StuntDes!$C:$C)),"")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0.12</v>
      </c>
      <c r="R476">
        <v>0.16</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432</v>
      </c>
      <c r="D477" t="s">
        <v>32</v>
      </c>
      <c r="E477" t="s">
        <v>393</v>
      </c>
      <c r="F477"/>
      <c r="G477">
        <v>1</v>
      </c>
      <c r="H477">
        <v>50</v>
      </c>
      <c r="I477">
        <v>3</v>
      </c>
      <c r="J477" cm="1">
        <f t="array" ref="J477">_xlfn.SWITCH(B477,1,75,2,61,3,49,4,37,5,25,6,13,7,4,8,1)</f>
        <v>75</v>
      </c>
      <c r="K477" t="str" cm="1">
        <f t="array" ref="K477">IFERROR(_xlfn.SWITCH(L477,1,_xlfn.XLOOKUP(C477,[1]AttributeName!$C:$C,[1]AttributeName!$I:$I),2,_xlfn.XLOOKUP(C477,[1]ModifierDes!$B:$B,[1]ModifierDes!$C:$C),3,_xlfn.XLOOKUP(C477,[1]StuntDes!$B:$B,[1]StuntDes!$C:$C)),"")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0.24</v>
      </c>
      <c r="R477">
        <v>0.32</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433</v>
      </c>
      <c r="D478" t="s">
        <v>32</v>
      </c>
      <c r="E478" t="s">
        <v>393</v>
      </c>
      <c r="F478"/>
      <c r="G478">
        <v>1</v>
      </c>
      <c r="H478">
        <v>50</v>
      </c>
      <c r="I478">
        <v>3</v>
      </c>
      <c r="J478" cm="1">
        <f t="array" ref="J478">_xlfn.SWITCH(B478,1,75,2,61,3,49,4,37,5,25,6,13,7,4,8,1)</f>
        <v>75</v>
      </c>
      <c r="K478" t="str" cm="1">
        <f t="array" ref="K478">IFERROR(_xlfn.SWITCH(L478,1,_xlfn.XLOOKUP(C478,[1]AttributeName!$C:$C,[1]AttributeName!$I:$I),2,_xlfn.XLOOKUP(C478,[1]ModifierDes!$B:$B,[1]ModifierDes!$C:$C),3,_xlfn.XLOOKUP(C478,[1]StuntDes!$B:$B,[1]StuntDes!$C:$C)),"")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0.24</v>
      </c>
      <c r="R478">
        <v>0.32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434</v>
      </c>
      <c r="D479" t="s">
        <v>32</v>
      </c>
      <c r="E479" t="s">
        <v>393</v>
      </c>
      <c r="F479"/>
      <c r="G479">
        <v>1</v>
      </c>
      <c r="H479">
        <v>50</v>
      </c>
      <c r="I479">
        <v>3</v>
      </c>
      <c r="J479" cm="1">
        <f t="array" ref="J479">_xlfn.SWITCH(B479,1,75,2,61,3,49,4,37,5,25,6,13,7,4,8,1)</f>
        <v>75</v>
      </c>
      <c r="K479" t="str" cm="1">
        <f t="array" ref="K479">IFERROR(_xlfn.SWITCH(L479,1,_xlfn.XLOOKUP(C479,[1]AttributeName!$C:$C,[1]AttributeName!$I:$I),2,_xlfn.XLOOKUP(C479,[1]ModifierDes!$B:$B,[1]ModifierDes!$C:$C),3,_xlfn.XLOOKUP(C479,[1]StuntDes!$B:$B,[1]StuntDes!$C:$C)),"")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0.06</v>
      </c>
      <c r="R479">
        <v>0.08</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435</v>
      </c>
      <c r="D480" t="s">
        <v>32</v>
      </c>
      <c r="E480" t="s">
        <v>393</v>
      </c>
      <c r="F480"/>
      <c r="G480">
        <v>1</v>
      </c>
      <c r="H480">
        <v>1000</v>
      </c>
      <c r="I480"/>
      <c r="J480" cm="1">
        <f t="array" ref="J480">_xlfn.SWITCH(B480,1,75,2,61,3,49,4,37,5,25,6,13,7,4,8,1)</f>
        <v>75</v>
      </c>
      <c r="K480" t="str" cm="1">
        <f t="array" ref="K480">IFERROR(_xlfn.SWITCH(L480,1,_xlfn.XLOOKUP(C480,[1]AttributeName!$C:$C,[1]AttributeName!$I:$I),2,_xlfn.XLOOKUP(C480,[1]ModifierDes!$B:$B,[1]ModifierDes!$C:$C),3,_xlfn.XLOOKUP(C480,[1]StuntDes!$B:$B,[1]StuntDes!$C:$C)),"")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435</v>
      </c>
      <c r="D481" t="s">
        <v>32</v>
      </c>
      <c r="E481" t="s">
        <v>393</v>
      </c>
      <c r="F481"/>
      <c r="G481">
        <v>1</v>
      </c>
      <c r="H481">
        <v>1000</v>
      </c>
      <c r="I481"/>
      <c r="J481" cm="1">
        <f t="array" ref="J481">_xlfn.SWITCH(B481,1,75,2,61,3,49,4,37,5,25,6,13,7,4,8,1)</f>
        <v>61</v>
      </c>
      <c r="K481" t="str" cm="1">
        <f t="array" ref="K481">IFERROR(_xlfn.SWITCH(L481,1,_xlfn.XLOOKUP(C481,[1]AttributeName!$C:$C,[1]AttributeName!$I:$I),2,_xlfn.XLOOKUP(C481,[1]ModifierDes!$B:$B,[1]ModifierDes!$C:$C),3,_xlfn.XLOOKUP(C481,[1]StuntDes!$B:$B,[1]StuntDes!$C:$C)),"")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435</v>
      </c>
      <c r="D482" t="s">
        <v>32</v>
      </c>
      <c r="E482" t="s">
        <v>393</v>
      </c>
      <c r="F482"/>
      <c r="G482">
        <v>1</v>
      </c>
      <c r="H482">
        <v>1000</v>
      </c>
      <c r="I482"/>
      <c r="J482" cm="1">
        <f t="array" ref="J482">_xlfn.SWITCH(B482,1,75,2,61,3,49,4,37,5,25,6,13,7,4,8,1)</f>
        <v>49</v>
      </c>
      <c r="K482" t="str" cm="1">
        <f t="array" ref="K482">IFERROR(_xlfn.SWITCH(L482,1,_xlfn.XLOOKUP(C482,[1]AttributeName!$C:$C,[1]AttributeName!$I:$I),2,_xlfn.XLOOKUP(C482,[1]ModifierDes!$B:$B,[1]ModifierDes!$C:$C),3,_xlfn.XLOOKUP(C482,[1]StuntDes!$B:$B,[1]StuntDes!$C:$C)),"")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435</v>
      </c>
      <c r="D483" t="s">
        <v>32</v>
      </c>
      <c r="E483" t="s">
        <v>393</v>
      </c>
      <c r="F483"/>
      <c r="G483">
        <v>1</v>
      </c>
      <c r="H483">
        <v>1000</v>
      </c>
      <c r="I483"/>
      <c r="J483" cm="1">
        <f t="array" ref="J483">_xlfn.SWITCH(B483,1,75,2,61,3,49,4,37,5,25,6,13,7,4,8,1)</f>
        <v>37</v>
      </c>
      <c r="K483" t="str" cm="1">
        <f t="array" ref="K483">IFERROR(_xlfn.SWITCH(L483,1,_xlfn.XLOOKUP(C483,[1]AttributeName!$C:$C,[1]AttributeName!$I:$I),2,_xlfn.XLOOKUP(C483,[1]ModifierDes!$B:$B,[1]ModifierDes!$C:$C),3,_xlfn.XLOOKUP(C483,[1]StuntDes!$B:$B,[1]StuntDes!$C:$C)),"")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435</v>
      </c>
      <c r="D484" t="s">
        <v>32</v>
      </c>
      <c r="E484" t="s">
        <v>393</v>
      </c>
      <c r="F484"/>
      <c r="G484">
        <v>1</v>
      </c>
      <c r="H484">
        <v>1000</v>
      </c>
      <c r="I484"/>
      <c r="J484" cm="1">
        <f t="array" ref="J484">_xlfn.SWITCH(B484,1,75,2,61,3,49,4,37,5,25,6,13,7,4,8,1)</f>
        <v>25</v>
      </c>
      <c r="K484" t="str" cm="1">
        <f t="array" ref="K484">IFERROR(_xlfn.SWITCH(L484,1,_xlfn.XLOOKUP(C484,[1]AttributeName!$C:$C,[1]AttributeName!$I:$I),2,_xlfn.XLOOKUP(C484,[1]ModifierDes!$B:$B,[1]ModifierDes!$C:$C),3,_xlfn.XLOOKUP(C484,[1]StuntDes!$B:$B,[1]StuntDes!$C:$C)),"")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435</v>
      </c>
      <c r="D485" t="s">
        <v>32</v>
      </c>
      <c r="E485" t="s">
        <v>393</v>
      </c>
      <c r="F485"/>
      <c r="G485">
        <v>1</v>
      </c>
      <c r="H485">
        <v>1000</v>
      </c>
      <c r="I485"/>
      <c r="J485" cm="1">
        <f t="array" ref="J485">_xlfn.SWITCH(B485,1,75,2,61,3,49,4,37,5,25,6,13,7,4,8,1)</f>
        <v>13</v>
      </c>
      <c r="K485" t="str" cm="1">
        <f t="array" ref="K485">IFERROR(_xlfn.SWITCH(L485,1,_xlfn.XLOOKUP(C485,[1]AttributeName!$C:$C,[1]AttributeName!$I:$I),2,_xlfn.XLOOKUP(C485,[1]ModifierDes!$B:$B,[1]ModifierDes!$C:$C),3,_xlfn.XLOOKUP(C485,[1]StuntDes!$B:$B,[1]StuntDes!$C:$C)),"")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435</v>
      </c>
      <c r="D486" t="s">
        <v>32</v>
      </c>
      <c r="E486" t="s">
        <v>393</v>
      </c>
      <c r="F486"/>
      <c r="G486">
        <v>1</v>
      </c>
      <c r="H486">
        <v>1000</v>
      </c>
      <c r="I486"/>
      <c r="J486" cm="1">
        <f t="array" ref="J486">_xlfn.SWITCH(B486,1,75,2,61,3,49,4,37,5,25,6,13,7,4,8,1)</f>
        <v>4</v>
      </c>
      <c r="K486" t="str" cm="1">
        <f t="array" ref="K486">IFERROR(_xlfn.SWITCH(L486,1,_xlfn.XLOOKUP(C486,[1]AttributeName!$C:$C,[1]AttributeName!$I:$I),2,_xlfn.XLOOKUP(C486,[1]ModifierDes!$B:$B,[1]ModifierDes!$C:$C),3,_xlfn.XLOOKUP(C486,[1]StuntDes!$B:$B,[1]StuntDes!$C:$C)),"")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435</v>
      </c>
      <c r="D487" t="s">
        <v>32</v>
      </c>
      <c r="E487" t="s">
        <v>393</v>
      </c>
      <c r="F487"/>
      <c r="G487">
        <v>1</v>
      </c>
      <c r="H487">
        <v>1000</v>
      </c>
      <c r="I487"/>
      <c r="J487" cm="1">
        <f t="array" ref="J487">_xlfn.SWITCH(B487,1,75,2,61,3,49,4,37,5,25,6,13,7,4,8,1)</f>
        <v>1</v>
      </c>
      <c r="K487" t="str" cm="1">
        <f t="array" ref="K487">IFERROR(_xlfn.SWITCH(L487,1,_xlfn.XLOOKUP(C487,[1]AttributeName!$C:$C,[1]AttributeName!$I:$I),2,_xlfn.XLOOKUP(C487,[1]ModifierDes!$B:$B,[1]ModifierDes!$C:$C),3,_xlfn.XLOOKUP(C487,[1]StuntDes!$B:$B,[1]StuntDes!$C:$C)),"")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436</v>
      </c>
      <c r="D488" t="s">
        <v>32</v>
      </c>
      <c r="E488" t="s">
        <v>393</v>
      </c>
      <c r="G488">
        <v>1</v>
      </c>
      <c r="H488">
        <v>1000</v>
      </c>
      <c r="I488"/>
      <c r="J488" cm="1">
        <f t="array" ref="J488">_xlfn.SWITCH(B488,1,75,2,61,3,49,4,37,5,25,6,13,7,4,8,1)</f>
        <v>75</v>
      </c>
      <c r="K488" t="str" cm="1">
        <f t="array" ref="K488">IFERROR(_xlfn.SWITCH(L488,1,_xlfn.XLOOKUP(C488,[1]AttributeName!$C:$C,[1]AttributeName!$I:$I),2,_xlfn.XLOOKUP(C488,[1]ModifierDes!$B:$B,[1]ModifierDes!$C:$C),3,_xlfn.XLOOKUP(C488,[1]StuntDes!$B:$B,[1]StuntDes!$C:$C)),"")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436</v>
      </c>
      <c r="D489" t="s">
        <v>32</v>
      </c>
      <c r="E489" t="s">
        <v>393</v>
      </c>
      <c r="G489">
        <v>1</v>
      </c>
      <c r="H489">
        <v>1000</v>
      </c>
      <c r="I489"/>
      <c r="J489" cm="1">
        <f t="array" ref="J489">_xlfn.SWITCH(B489,1,75,2,61,3,49,4,37,5,25,6,13,7,4,8,1)</f>
        <v>61</v>
      </c>
      <c r="K489" t="str" cm="1">
        <f t="array" ref="K489">IFERROR(_xlfn.SWITCH(L489,1,_xlfn.XLOOKUP(C489,[1]AttributeName!$C:$C,[1]AttributeName!$I:$I),2,_xlfn.XLOOKUP(C489,[1]ModifierDes!$B:$B,[1]ModifierDes!$C:$C),3,_xlfn.XLOOKUP(C489,[1]StuntDes!$B:$B,[1]StuntDes!$C:$C)),"")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436</v>
      </c>
      <c r="D490" t="s">
        <v>32</v>
      </c>
      <c r="E490" t="s">
        <v>393</v>
      </c>
      <c r="G490">
        <v>1</v>
      </c>
      <c r="H490">
        <v>1000</v>
      </c>
      <c r="I490"/>
      <c r="J490" cm="1">
        <f t="array" ref="J490">_xlfn.SWITCH(B490,1,75,2,61,3,49,4,37,5,25,6,13,7,4,8,1)</f>
        <v>49</v>
      </c>
      <c r="K490" t="str" cm="1">
        <f t="array" ref="K490">IFERROR(_xlfn.SWITCH(L490,1,_xlfn.XLOOKUP(C490,[1]AttributeName!$C:$C,[1]AttributeName!$I:$I),2,_xlfn.XLOOKUP(C490,[1]ModifierDes!$B:$B,[1]ModifierDes!$C:$C),3,_xlfn.XLOOKUP(C490,[1]StuntDes!$B:$B,[1]StuntDes!$C:$C)),"")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436</v>
      </c>
      <c r="D491" t="s">
        <v>32</v>
      </c>
      <c r="E491" t="s">
        <v>393</v>
      </c>
      <c r="G491">
        <v>1</v>
      </c>
      <c r="H491">
        <v>1000</v>
      </c>
      <c r="I491"/>
      <c r="J491" cm="1">
        <f t="array" ref="J491">_xlfn.SWITCH(B491,1,75,2,61,3,49,4,37,5,25,6,13,7,4,8,1)</f>
        <v>37</v>
      </c>
      <c r="K491" t="str" cm="1">
        <f t="array" ref="K491">IFERROR(_xlfn.SWITCH(L491,1,_xlfn.XLOOKUP(C491,[1]AttributeName!$C:$C,[1]AttributeName!$I:$I),2,_xlfn.XLOOKUP(C491,[1]ModifierDes!$B:$B,[1]ModifierDes!$C:$C),3,_xlfn.XLOOKUP(C491,[1]StuntDes!$B:$B,[1]StuntDes!$C:$C)),"")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436</v>
      </c>
      <c r="D492" t="s">
        <v>32</v>
      </c>
      <c r="E492" t="s">
        <v>393</v>
      </c>
      <c r="G492">
        <v>1</v>
      </c>
      <c r="H492">
        <v>1000</v>
      </c>
      <c r="I492"/>
      <c r="J492" cm="1">
        <f t="array" ref="J492">_xlfn.SWITCH(B492,1,75,2,61,3,49,4,37,5,25,6,13,7,4,8,1)</f>
        <v>25</v>
      </c>
      <c r="K492" t="str" cm="1">
        <f t="array" ref="K492">IFERROR(_xlfn.SWITCH(L492,1,_xlfn.XLOOKUP(C492,[1]AttributeName!$C:$C,[1]AttributeName!$I:$I),2,_xlfn.XLOOKUP(C492,[1]ModifierDes!$B:$B,[1]ModifierDes!$C:$C),3,_xlfn.XLOOKUP(C492,[1]StuntDes!$B:$B,[1]StuntDes!$C:$C)),"")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436</v>
      </c>
      <c r="D493" t="s">
        <v>32</v>
      </c>
      <c r="E493" t="s">
        <v>393</v>
      </c>
      <c r="G493">
        <v>1</v>
      </c>
      <c r="H493">
        <v>1000</v>
      </c>
      <c r="I493"/>
      <c r="J493" cm="1">
        <f t="array" ref="J493">_xlfn.SWITCH(B493,1,75,2,61,3,49,4,37,5,25,6,13,7,4,8,1)</f>
        <v>13</v>
      </c>
      <c r="K493" t="str" cm="1">
        <f t="array" ref="K493">IFERROR(_xlfn.SWITCH(L493,1,_xlfn.XLOOKUP(C493,[1]AttributeName!$C:$C,[1]AttributeName!$I:$I),2,_xlfn.XLOOKUP(C493,[1]ModifierDes!$B:$B,[1]ModifierDes!$C:$C),3,_xlfn.XLOOKUP(C493,[1]StuntDes!$B:$B,[1]StuntDes!$C:$C)),"")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436</v>
      </c>
      <c r="D494" t="s">
        <v>32</v>
      </c>
      <c r="E494" t="s">
        <v>393</v>
      </c>
      <c r="G494">
        <v>1</v>
      </c>
      <c r="H494">
        <v>1000</v>
      </c>
      <c r="I494"/>
      <c r="J494" cm="1">
        <f t="array" ref="J494">_xlfn.SWITCH(B494,1,75,2,61,3,49,4,37,5,25,6,13,7,4,8,1)</f>
        <v>4</v>
      </c>
      <c r="K494" t="str" cm="1">
        <f t="array" ref="K494">IFERROR(_xlfn.SWITCH(L494,1,_xlfn.XLOOKUP(C494,[1]AttributeName!$C:$C,[1]AttributeName!$I:$I),2,_xlfn.XLOOKUP(C494,[1]ModifierDes!$B:$B,[1]ModifierDes!$C:$C),3,_xlfn.XLOOKUP(C494,[1]StuntDes!$B:$B,[1]StuntDes!$C:$C)),"")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436</v>
      </c>
      <c r="D495" t="s">
        <v>32</v>
      </c>
      <c r="E495" t="s">
        <v>393</v>
      </c>
      <c r="G495">
        <v>1</v>
      </c>
      <c r="H495">
        <v>1000</v>
      </c>
      <c r="I495"/>
      <c r="J495" cm="1">
        <f t="array" ref="J495">_xlfn.SWITCH(B495,1,75,2,61,3,49,4,37,5,25,6,13,7,4,8,1)</f>
        <v>1</v>
      </c>
      <c r="K495" t="str" cm="1">
        <f t="array" ref="K495">IFERROR(_xlfn.SWITCH(L495,1,_xlfn.XLOOKUP(C495,[1]AttributeName!$C:$C,[1]AttributeName!$I:$I),2,_xlfn.XLOOKUP(C495,[1]ModifierDes!$B:$B,[1]ModifierDes!$C:$C),3,_xlfn.XLOOKUP(C495,[1]StuntDes!$B:$B,[1]StuntDes!$C:$C)),"")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437</v>
      </c>
      <c r="D496" t="s">
        <v>32</v>
      </c>
      <c r="E496" t="s">
        <v>410</v>
      </c>
      <c r="F496"/>
      <c r="G496">
        <v>2</v>
      </c>
      <c r="H496">
        <v>1000</v>
      </c>
      <c r="J496" cm="1">
        <f t="array" ref="J496">_xlfn.SWITCH(B496,1,75,2,61,3,49,4,37,5,25,6,13,7,4,8,1)</f>
        <v>75</v>
      </c>
      <c r="K496" t="str" cm="1">
        <f t="array" ref="K496">IFERROR(_xlfn.SWITCH(L496,1,_xlfn.XLOOKUP(C496,[1]AttributeName!$C:$C,[1]AttributeName!$I:$I),2,_xlfn.XLOOKUP(C496,[1]ModifierDes!$B:$B,[1]ModifierDes!$C:$C),3,_xlfn.XLOOKUP(C496,[1]StuntDes!$B:$B,[1]StuntDes!$C:$C)),"")</f>
        <v>物理抗性增加{0}</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437</v>
      </c>
      <c r="D497" t="s">
        <v>32</v>
      </c>
      <c r="E497" t="s">
        <v>410</v>
      </c>
      <c r="F497"/>
      <c r="G497">
        <v>2</v>
      </c>
      <c r="H497">
        <v>1000</v>
      </c>
      <c r="J497" cm="1">
        <f t="array" ref="J497">_xlfn.SWITCH(B497,1,75,2,61,3,49,4,37,5,25,6,13,7,4,8,1)</f>
        <v>61</v>
      </c>
      <c r="K497" t="str" cm="1">
        <f t="array" ref="K497">IFERROR(_xlfn.SWITCH(L497,1,_xlfn.XLOOKUP(C497,[1]AttributeName!$C:$C,[1]AttributeName!$I:$I),2,_xlfn.XLOOKUP(C497,[1]ModifierDes!$B:$B,[1]ModifierDes!$C:$C),3,_xlfn.XLOOKUP(C497,[1]StuntDes!$B:$B,[1]StuntDes!$C:$C)),"")</f>
        <v>物理抗性增加{0}</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437</v>
      </c>
      <c r="D498" t="s">
        <v>32</v>
      </c>
      <c r="E498" t="s">
        <v>410</v>
      </c>
      <c r="F498"/>
      <c r="G498">
        <v>2</v>
      </c>
      <c r="H498">
        <v>1000</v>
      </c>
      <c r="J498" cm="1">
        <f t="array" ref="J498">_xlfn.SWITCH(B498,1,75,2,61,3,49,4,37,5,25,6,13,7,4,8,1)</f>
        <v>49</v>
      </c>
      <c r="K498" t="str" cm="1">
        <f t="array" ref="K498">IFERROR(_xlfn.SWITCH(L498,1,_xlfn.XLOOKUP(C498,[1]AttributeName!$C:$C,[1]AttributeName!$I:$I),2,_xlfn.XLOOKUP(C498,[1]ModifierDes!$B:$B,[1]ModifierDes!$C:$C),3,_xlfn.XLOOKUP(C498,[1]StuntDes!$B:$B,[1]StuntDes!$C:$C)),"")</f>
        <v>物理抗性增加{0}</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437</v>
      </c>
      <c r="D499" t="s">
        <v>32</v>
      </c>
      <c r="E499" t="s">
        <v>410</v>
      </c>
      <c r="F499"/>
      <c r="G499">
        <v>2</v>
      </c>
      <c r="H499">
        <v>1000</v>
      </c>
      <c r="J499" cm="1">
        <f t="array" ref="J499">_xlfn.SWITCH(B499,1,75,2,61,3,49,4,37,5,25,6,13,7,4,8,1)</f>
        <v>37</v>
      </c>
      <c r="K499" t="str" cm="1">
        <f t="array" ref="K499">IFERROR(_xlfn.SWITCH(L499,1,_xlfn.XLOOKUP(C499,[1]AttributeName!$C:$C,[1]AttributeName!$I:$I),2,_xlfn.XLOOKUP(C499,[1]ModifierDes!$B:$B,[1]ModifierDes!$C:$C),3,_xlfn.XLOOKUP(C499,[1]StuntDes!$B:$B,[1]StuntDes!$C:$C)),"")</f>
        <v>物理抗性增加{0}</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437</v>
      </c>
      <c r="D500" t="s">
        <v>32</v>
      </c>
      <c r="E500" t="s">
        <v>410</v>
      </c>
      <c r="F500"/>
      <c r="G500">
        <v>2</v>
      </c>
      <c r="H500">
        <v>1000</v>
      </c>
      <c r="J500" cm="1">
        <f t="array" ref="J500">_xlfn.SWITCH(B500,1,75,2,61,3,49,4,37,5,25,6,13,7,4,8,1)</f>
        <v>25</v>
      </c>
      <c r="K500" t="str" cm="1">
        <f t="array" ref="K500">IFERROR(_xlfn.SWITCH(L500,1,_xlfn.XLOOKUP(C500,[1]AttributeName!$C:$C,[1]AttributeName!$I:$I),2,_xlfn.XLOOKUP(C500,[1]ModifierDes!$B:$B,[1]ModifierDes!$C:$C),3,_xlfn.XLOOKUP(C500,[1]StuntDes!$B:$B,[1]StuntDes!$C:$C)),"")</f>
        <v>物理抗性增加{0}</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437</v>
      </c>
      <c r="D501" t="s">
        <v>32</v>
      </c>
      <c r="E501" t="s">
        <v>410</v>
      </c>
      <c r="F501"/>
      <c r="G501">
        <v>2</v>
      </c>
      <c r="H501">
        <v>1000</v>
      </c>
      <c r="J501" cm="1">
        <f t="array" ref="J501">_xlfn.SWITCH(B501,1,75,2,61,3,49,4,37,5,25,6,13,7,4,8,1)</f>
        <v>13</v>
      </c>
      <c r="K501" t="str" cm="1">
        <f t="array" ref="K501">IFERROR(_xlfn.SWITCH(L501,1,_xlfn.XLOOKUP(C501,[1]AttributeName!$C:$C,[1]AttributeName!$I:$I),2,_xlfn.XLOOKUP(C501,[1]ModifierDes!$B:$B,[1]ModifierDes!$C:$C),3,_xlfn.XLOOKUP(C501,[1]StuntDes!$B:$B,[1]StuntDes!$C:$C)),"")</f>
        <v>物理抗性增加{0}</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437</v>
      </c>
      <c r="D502" t="s">
        <v>32</v>
      </c>
      <c r="E502" t="s">
        <v>410</v>
      </c>
      <c r="F502"/>
      <c r="G502">
        <v>2</v>
      </c>
      <c r="H502">
        <v>1000</v>
      </c>
      <c r="J502" cm="1">
        <f t="array" ref="J502">_xlfn.SWITCH(B502,1,75,2,61,3,49,4,37,5,25,6,13,7,4,8,1)</f>
        <v>4</v>
      </c>
      <c r="K502" t="str" cm="1">
        <f t="array" ref="K502">IFERROR(_xlfn.SWITCH(L502,1,_xlfn.XLOOKUP(C502,[1]AttributeName!$C:$C,[1]AttributeName!$I:$I),2,_xlfn.XLOOKUP(C502,[1]ModifierDes!$B:$B,[1]ModifierDes!$C:$C),3,_xlfn.XLOOKUP(C502,[1]StuntDes!$B:$B,[1]StuntDes!$C:$C)),"")</f>
        <v>物理抗性增加{0}</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437</v>
      </c>
      <c r="D503" t="s">
        <v>32</v>
      </c>
      <c r="E503" t="s">
        <v>410</v>
      </c>
      <c r="F503"/>
      <c r="G503">
        <v>2</v>
      </c>
      <c r="H503">
        <v>1000</v>
      </c>
      <c r="J503" cm="1">
        <f t="array" ref="J503">_xlfn.SWITCH(B503,1,75,2,61,3,49,4,37,5,25,6,13,7,4,8,1)</f>
        <v>1</v>
      </c>
      <c r="K503" t="str" cm="1">
        <f t="array" ref="K503">IFERROR(_xlfn.SWITCH(L503,1,_xlfn.XLOOKUP(C503,[1]AttributeName!$C:$C,[1]AttributeName!$I:$I),2,_xlfn.XLOOKUP(C503,[1]ModifierDes!$B:$B,[1]ModifierDes!$C:$C),3,_xlfn.XLOOKUP(C503,[1]StuntDes!$B:$B,[1]StuntDes!$C:$C)),"")</f>
        <v>物理抗性增加{0}</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438</v>
      </c>
      <c r="D504" t="s">
        <v>32</v>
      </c>
      <c r="E504" t="s">
        <v>410</v>
      </c>
      <c r="F504"/>
      <c r="G504">
        <v>2</v>
      </c>
      <c r="H504">
        <v>1000</v>
      </c>
      <c r="J504" cm="1">
        <f t="array" ref="J504">_xlfn.SWITCH(B504,1,75,2,61,3,49,4,37,5,25,6,13,7,4,8,1)</f>
        <v>75</v>
      </c>
      <c r="K504" t="str" cm="1">
        <f t="array" ref="K504">IFERROR(_xlfn.SWITCH(L504,1,_xlfn.XLOOKUP(C504,[1]AttributeName!$C:$C,[1]AttributeName!$I:$I),2,_xlfn.XLOOKUP(C504,[1]ModifierDes!$B:$B,[1]ModifierDes!$C:$C),3,_xlfn.XLOOKUP(C504,[1]StuntDes!$B:$B,[1]StuntDes!$C:$C)),"")</f>
        <v>火焰抗性增加{0}</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438</v>
      </c>
      <c r="D505" t="s">
        <v>32</v>
      </c>
      <c r="E505" t="s">
        <v>410</v>
      </c>
      <c r="F505"/>
      <c r="G505">
        <v>2</v>
      </c>
      <c r="H505">
        <v>1000</v>
      </c>
      <c r="J505" cm="1">
        <f t="array" ref="J505">_xlfn.SWITCH(B505,1,75,2,61,3,49,4,37,5,25,6,13,7,4,8,1)</f>
        <v>61</v>
      </c>
      <c r="K505" t="str" cm="1">
        <f t="array" ref="K505">IFERROR(_xlfn.SWITCH(L505,1,_xlfn.XLOOKUP(C505,[1]AttributeName!$C:$C,[1]AttributeName!$I:$I),2,_xlfn.XLOOKUP(C505,[1]ModifierDes!$B:$B,[1]ModifierDes!$C:$C),3,_xlfn.XLOOKUP(C505,[1]StuntDes!$B:$B,[1]StuntDes!$C:$C)),"")</f>
        <v>火焰抗性增加{0}</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438</v>
      </c>
      <c r="D506" t="s">
        <v>32</v>
      </c>
      <c r="E506" t="s">
        <v>410</v>
      </c>
      <c r="F506"/>
      <c r="G506">
        <v>2</v>
      </c>
      <c r="H506">
        <v>1000</v>
      </c>
      <c r="J506" cm="1">
        <f t="array" ref="J506">_xlfn.SWITCH(B506,1,75,2,61,3,49,4,37,5,25,6,13,7,4,8,1)</f>
        <v>49</v>
      </c>
      <c r="K506" t="str" cm="1">
        <f t="array" ref="K506">IFERROR(_xlfn.SWITCH(L506,1,_xlfn.XLOOKUP(C506,[1]AttributeName!$C:$C,[1]AttributeName!$I:$I),2,_xlfn.XLOOKUP(C506,[1]ModifierDes!$B:$B,[1]ModifierDes!$C:$C),3,_xlfn.XLOOKUP(C506,[1]StuntDes!$B:$B,[1]StuntDes!$C:$C)),"")</f>
        <v>火焰抗性增加{0}</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438</v>
      </c>
      <c r="D507" t="s">
        <v>32</v>
      </c>
      <c r="E507" t="s">
        <v>410</v>
      </c>
      <c r="F507"/>
      <c r="G507">
        <v>2</v>
      </c>
      <c r="H507">
        <v>1000</v>
      </c>
      <c r="J507" cm="1">
        <f t="array" ref="J507">_xlfn.SWITCH(B507,1,75,2,61,3,49,4,37,5,25,6,13,7,4,8,1)</f>
        <v>37</v>
      </c>
      <c r="K507" t="str" cm="1">
        <f t="array" ref="K507">IFERROR(_xlfn.SWITCH(L507,1,_xlfn.XLOOKUP(C507,[1]AttributeName!$C:$C,[1]AttributeName!$I:$I),2,_xlfn.XLOOKUP(C507,[1]ModifierDes!$B:$B,[1]ModifierDes!$C:$C),3,_xlfn.XLOOKUP(C507,[1]StuntDes!$B:$B,[1]StuntDes!$C:$C)),"")</f>
        <v>火焰抗性增加{0}</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438</v>
      </c>
      <c r="D508" t="s">
        <v>32</v>
      </c>
      <c r="E508" t="s">
        <v>410</v>
      </c>
      <c r="F508"/>
      <c r="G508">
        <v>2</v>
      </c>
      <c r="H508">
        <v>1000</v>
      </c>
      <c r="J508" cm="1">
        <f t="array" ref="J508">_xlfn.SWITCH(B508,1,75,2,61,3,49,4,37,5,25,6,13,7,4,8,1)</f>
        <v>25</v>
      </c>
      <c r="K508" t="str" cm="1">
        <f t="array" ref="K508">IFERROR(_xlfn.SWITCH(L508,1,_xlfn.XLOOKUP(C508,[1]AttributeName!$C:$C,[1]AttributeName!$I:$I),2,_xlfn.XLOOKUP(C508,[1]ModifierDes!$B:$B,[1]ModifierDes!$C:$C),3,_xlfn.XLOOKUP(C508,[1]StuntDes!$B:$B,[1]StuntDes!$C:$C)),"")</f>
        <v>火焰抗性增加{0}</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438</v>
      </c>
      <c r="D509" t="s">
        <v>32</v>
      </c>
      <c r="E509" t="s">
        <v>410</v>
      </c>
      <c r="F509"/>
      <c r="G509">
        <v>2</v>
      </c>
      <c r="H509">
        <v>1000</v>
      </c>
      <c r="J509" cm="1">
        <f t="array" ref="J509">_xlfn.SWITCH(B509,1,75,2,61,3,49,4,37,5,25,6,13,7,4,8,1)</f>
        <v>13</v>
      </c>
      <c r="K509" t="str" cm="1">
        <f t="array" ref="K509">IFERROR(_xlfn.SWITCH(L509,1,_xlfn.XLOOKUP(C509,[1]AttributeName!$C:$C,[1]AttributeName!$I:$I),2,_xlfn.XLOOKUP(C509,[1]ModifierDes!$B:$B,[1]ModifierDes!$C:$C),3,_xlfn.XLOOKUP(C509,[1]StuntDes!$B:$B,[1]StuntDes!$C:$C)),"")</f>
        <v>火焰抗性增加{0}</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438</v>
      </c>
      <c r="D510" t="s">
        <v>32</v>
      </c>
      <c r="E510" t="s">
        <v>410</v>
      </c>
      <c r="F510"/>
      <c r="G510">
        <v>2</v>
      </c>
      <c r="H510">
        <v>1000</v>
      </c>
      <c r="J510" cm="1">
        <f t="array" ref="J510">_xlfn.SWITCH(B510,1,75,2,61,3,49,4,37,5,25,6,13,7,4,8,1)</f>
        <v>4</v>
      </c>
      <c r="K510" t="str" cm="1">
        <f t="array" ref="K510">IFERROR(_xlfn.SWITCH(L510,1,_xlfn.XLOOKUP(C510,[1]AttributeName!$C:$C,[1]AttributeName!$I:$I),2,_xlfn.XLOOKUP(C510,[1]ModifierDes!$B:$B,[1]ModifierDes!$C:$C),3,_xlfn.XLOOKUP(C510,[1]StuntDes!$B:$B,[1]StuntDes!$C:$C)),"")</f>
        <v>火焰抗性增加{0}</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438</v>
      </c>
      <c r="D511" t="s">
        <v>32</v>
      </c>
      <c r="E511" t="s">
        <v>410</v>
      </c>
      <c r="F511"/>
      <c r="G511">
        <v>2</v>
      </c>
      <c r="H511">
        <v>1000</v>
      </c>
      <c r="J511" cm="1">
        <f t="array" ref="J511">_xlfn.SWITCH(B511,1,75,2,61,3,49,4,37,5,25,6,13,7,4,8,1)</f>
        <v>1</v>
      </c>
      <c r="K511" t="str" cm="1">
        <f t="array" ref="K511">IFERROR(_xlfn.SWITCH(L511,1,_xlfn.XLOOKUP(C511,[1]AttributeName!$C:$C,[1]AttributeName!$I:$I),2,_xlfn.XLOOKUP(C511,[1]ModifierDes!$B:$B,[1]ModifierDes!$C:$C),3,_xlfn.XLOOKUP(C511,[1]StuntDes!$B:$B,[1]StuntDes!$C:$C)),"")</f>
        <v>火焰抗性增加{0}</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439</v>
      </c>
      <c r="D512" t="s">
        <v>32</v>
      </c>
      <c r="E512" t="s">
        <v>410</v>
      </c>
      <c r="F512"/>
      <c r="G512">
        <v>2</v>
      </c>
      <c r="H512">
        <v>1000</v>
      </c>
      <c r="J512" cm="1">
        <f t="array" ref="J512">_xlfn.SWITCH(B512,1,75,2,61,3,49,4,37,5,25,6,13,7,4,8,1)</f>
        <v>75</v>
      </c>
      <c r="K512" t="str" cm="1">
        <f t="array" ref="K512">IFERROR(_xlfn.SWITCH(L512,1,_xlfn.XLOOKUP(C512,[1]AttributeName!$C:$C,[1]AttributeName!$I:$I),2,_xlfn.XLOOKUP(C512,[1]ModifierDes!$B:$B,[1]ModifierDes!$C:$C),3,_xlfn.XLOOKUP(C512,[1]StuntDes!$B:$B,[1]StuntDes!$C:$C)),"")</f>
        <v>冰冷抗性增加{0}</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439</v>
      </c>
      <c r="D513" t="s">
        <v>32</v>
      </c>
      <c r="E513" t="s">
        <v>410</v>
      </c>
      <c r="F513"/>
      <c r="G513">
        <v>2</v>
      </c>
      <c r="H513">
        <v>1000</v>
      </c>
      <c r="J513" cm="1">
        <f t="array" ref="J513">_xlfn.SWITCH(B513,1,75,2,61,3,49,4,37,5,25,6,13,7,4,8,1)</f>
        <v>61</v>
      </c>
      <c r="K513" t="str" cm="1">
        <f t="array" ref="K513">IFERROR(_xlfn.SWITCH(L513,1,_xlfn.XLOOKUP(C513,[1]AttributeName!$C:$C,[1]AttributeName!$I:$I),2,_xlfn.XLOOKUP(C513,[1]ModifierDes!$B:$B,[1]ModifierDes!$C:$C),3,_xlfn.XLOOKUP(C513,[1]StuntDes!$B:$B,[1]StuntDes!$C:$C)),"")</f>
        <v>冰冷抗性增加{0}</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439</v>
      </c>
      <c r="D514" t="s">
        <v>32</v>
      </c>
      <c r="E514" t="s">
        <v>410</v>
      </c>
      <c r="F514"/>
      <c r="G514">
        <v>2</v>
      </c>
      <c r="H514">
        <v>1000</v>
      </c>
      <c r="J514" cm="1">
        <f t="array" ref="J514">_xlfn.SWITCH(B514,1,75,2,61,3,49,4,37,5,25,6,13,7,4,8,1)</f>
        <v>49</v>
      </c>
      <c r="K514" t="str" cm="1">
        <f t="array" ref="K514">IFERROR(_xlfn.SWITCH(L514,1,_xlfn.XLOOKUP(C514,[1]AttributeName!$C:$C,[1]AttributeName!$I:$I),2,_xlfn.XLOOKUP(C514,[1]ModifierDes!$B:$B,[1]ModifierDes!$C:$C),3,_xlfn.XLOOKUP(C514,[1]StuntDes!$B:$B,[1]StuntDes!$C:$C)),"")</f>
        <v>冰冷抗性增加{0}</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439</v>
      </c>
      <c r="D515" t="s">
        <v>32</v>
      </c>
      <c r="E515" t="s">
        <v>410</v>
      </c>
      <c r="F515"/>
      <c r="G515">
        <v>2</v>
      </c>
      <c r="H515">
        <v>1000</v>
      </c>
      <c r="J515" cm="1">
        <f t="array" ref="J515">_xlfn.SWITCH(B515,1,75,2,61,3,49,4,37,5,25,6,13,7,4,8,1)</f>
        <v>37</v>
      </c>
      <c r="K515" t="str" cm="1">
        <f t="array" ref="K515">IFERROR(_xlfn.SWITCH(L515,1,_xlfn.XLOOKUP(C515,[1]AttributeName!$C:$C,[1]AttributeName!$I:$I),2,_xlfn.XLOOKUP(C515,[1]ModifierDes!$B:$B,[1]ModifierDes!$C:$C),3,_xlfn.XLOOKUP(C515,[1]StuntDes!$B:$B,[1]StuntDes!$C:$C)),"")</f>
        <v>冰冷抗性增加{0}</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439</v>
      </c>
      <c r="D516" t="s">
        <v>32</v>
      </c>
      <c r="E516" t="s">
        <v>410</v>
      </c>
      <c r="F516"/>
      <c r="G516">
        <v>2</v>
      </c>
      <c r="H516">
        <v>1000</v>
      </c>
      <c r="J516" cm="1">
        <f t="array" ref="J516">_xlfn.SWITCH(B516,1,75,2,61,3,49,4,37,5,25,6,13,7,4,8,1)</f>
        <v>25</v>
      </c>
      <c r="K516" t="str" cm="1">
        <f t="array" ref="K516">IFERROR(_xlfn.SWITCH(L516,1,_xlfn.XLOOKUP(C516,[1]AttributeName!$C:$C,[1]AttributeName!$I:$I),2,_xlfn.XLOOKUP(C516,[1]ModifierDes!$B:$B,[1]ModifierDes!$C:$C),3,_xlfn.XLOOKUP(C516,[1]StuntDes!$B:$B,[1]StuntDes!$C:$C)),"")</f>
        <v>冰冷抗性增加{0}</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439</v>
      </c>
      <c r="D517" t="s">
        <v>32</v>
      </c>
      <c r="E517" t="s">
        <v>410</v>
      </c>
      <c r="F517"/>
      <c r="G517">
        <v>2</v>
      </c>
      <c r="H517">
        <v>1000</v>
      </c>
      <c r="J517" cm="1">
        <f t="array" ref="J517">_xlfn.SWITCH(B517,1,75,2,61,3,49,4,37,5,25,6,13,7,4,8,1)</f>
        <v>13</v>
      </c>
      <c r="K517" t="str" cm="1">
        <f t="array" ref="K517">IFERROR(_xlfn.SWITCH(L517,1,_xlfn.XLOOKUP(C517,[1]AttributeName!$C:$C,[1]AttributeName!$I:$I),2,_xlfn.XLOOKUP(C517,[1]ModifierDes!$B:$B,[1]ModifierDes!$C:$C),3,_xlfn.XLOOKUP(C517,[1]StuntDes!$B:$B,[1]StuntDes!$C:$C)),"")</f>
        <v>冰冷抗性增加{0}</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439</v>
      </c>
      <c r="D518" t="s">
        <v>32</v>
      </c>
      <c r="E518" t="s">
        <v>410</v>
      </c>
      <c r="F518"/>
      <c r="G518">
        <v>2</v>
      </c>
      <c r="H518">
        <v>1000</v>
      </c>
      <c r="J518" cm="1">
        <f t="array" ref="J518">_xlfn.SWITCH(B518,1,75,2,61,3,49,4,37,5,25,6,13,7,4,8,1)</f>
        <v>4</v>
      </c>
      <c r="K518" t="str" cm="1">
        <f t="array" ref="K518">IFERROR(_xlfn.SWITCH(L518,1,_xlfn.XLOOKUP(C518,[1]AttributeName!$C:$C,[1]AttributeName!$I:$I),2,_xlfn.XLOOKUP(C518,[1]ModifierDes!$B:$B,[1]ModifierDes!$C:$C),3,_xlfn.XLOOKUP(C518,[1]StuntDes!$B:$B,[1]StuntDes!$C:$C)),"")</f>
        <v>冰冷抗性增加{0}</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439</v>
      </c>
      <c r="D519" t="s">
        <v>32</v>
      </c>
      <c r="E519" t="s">
        <v>410</v>
      </c>
      <c r="F519"/>
      <c r="G519">
        <v>2</v>
      </c>
      <c r="H519">
        <v>1000</v>
      </c>
      <c r="J519" cm="1">
        <f t="array" ref="J519">_xlfn.SWITCH(B519,1,75,2,61,3,49,4,37,5,25,6,13,7,4,8,1)</f>
        <v>1</v>
      </c>
      <c r="K519" t="str" cm="1">
        <f t="array" ref="K519">IFERROR(_xlfn.SWITCH(L519,1,_xlfn.XLOOKUP(C519,[1]AttributeName!$C:$C,[1]AttributeName!$I:$I),2,_xlfn.XLOOKUP(C519,[1]ModifierDes!$B:$B,[1]ModifierDes!$C:$C),3,_xlfn.XLOOKUP(C519,[1]StuntDes!$B:$B,[1]StuntDes!$C:$C)),"")</f>
        <v>冰冷抗性增加{0}</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440</v>
      </c>
      <c r="D520" t="s">
        <v>32</v>
      </c>
      <c r="E520" t="s">
        <v>410</v>
      </c>
      <c r="F520"/>
      <c r="G520">
        <v>2</v>
      </c>
      <c r="H520">
        <v>1000</v>
      </c>
      <c r="J520" cm="1">
        <f t="array" ref="J520">_xlfn.SWITCH(B520,1,75,2,61,3,49,4,37,5,25,6,13,7,4,8,1)</f>
        <v>75</v>
      </c>
      <c r="K520" t="str" cm="1">
        <f t="array" ref="K520">IFERROR(_xlfn.SWITCH(L520,1,_xlfn.XLOOKUP(C520,[1]AttributeName!$C:$C,[1]AttributeName!$I:$I),2,_xlfn.XLOOKUP(C520,[1]ModifierDes!$B:$B,[1]ModifierDes!$C:$C),3,_xlfn.XLOOKUP(C520,[1]StuntDes!$B:$B,[1]StuntDes!$C:$C)),"")</f>
        <v>闪电抗性增加{0}</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440</v>
      </c>
      <c r="D521" t="s">
        <v>32</v>
      </c>
      <c r="E521" t="s">
        <v>410</v>
      </c>
      <c r="F521"/>
      <c r="G521">
        <v>2</v>
      </c>
      <c r="H521">
        <v>1000</v>
      </c>
      <c r="J521" cm="1">
        <f t="array" ref="J521">_xlfn.SWITCH(B521,1,75,2,61,3,49,4,37,5,25,6,13,7,4,8,1)</f>
        <v>61</v>
      </c>
      <c r="K521" t="str" cm="1">
        <f t="array" ref="K521">IFERROR(_xlfn.SWITCH(L521,1,_xlfn.XLOOKUP(C521,[1]AttributeName!$C:$C,[1]AttributeName!$I:$I),2,_xlfn.XLOOKUP(C521,[1]ModifierDes!$B:$B,[1]ModifierDes!$C:$C),3,_xlfn.XLOOKUP(C521,[1]StuntDes!$B:$B,[1]StuntDes!$C:$C)),"")</f>
        <v>闪电抗性增加{0}</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440</v>
      </c>
      <c r="D522" t="s">
        <v>32</v>
      </c>
      <c r="E522" t="s">
        <v>410</v>
      </c>
      <c r="F522"/>
      <c r="G522">
        <v>2</v>
      </c>
      <c r="H522">
        <v>1000</v>
      </c>
      <c r="J522" cm="1">
        <f t="array" ref="J522">_xlfn.SWITCH(B522,1,75,2,61,3,49,4,37,5,25,6,13,7,4,8,1)</f>
        <v>49</v>
      </c>
      <c r="K522" t="str" cm="1">
        <f t="array" ref="K522">IFERROR(_xlfn.SWITCH(L522,1,_xlfn.XLOOKUP(C522,[1]AttributeName!$C:$C,[1]AttributeName!$I:$I),2,_xlfn.XLOOKUP(C522,[1]ModifierDes!$B:$B,[1]ModifierDes!$C:$C),3,_xlfn.XLOOKUP(C522,[1]StuntDes!$B:$B,[1]StuntDes!$C:$C)),"")</f>
        <v>闪电抗性增加{0}</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440</v>
      </c>
      <c r="D523" t="s">
        <v>32</v>
      </c>
      <c r="E523" t="s">
        <v>410</v>
      </c>
      <c r="F523"/>
      <c r="G523">
        <v>2</v>
      </c>
      <c r="H523">
        <v>1000</v>
      </c>
      <c r="J523" cm="1">
        <f t="array" ref="J523">_xlfn.SWITCH(B523,1,75,2,61,3,49,4,37,5,25,6,13,7,4,8,1)</f>
        <v>37</v>
      </c>
      <c r="K523" t="str" cm="1">
        <f t="array" ref="K523">IFERROR(_xlfn.SWITCH(L523,1,_xlfn.XLOOKUP(C523,[1]AttributeName!$C:$C,[1]AttributeName!$I:$I),2,_xlfn.XLOOKUP(C523,[1]ModifierDes!$B:$B,[1]ModifierDes!$C:$C),3,_xlfn.XLOOKUP(C523,[1]StuntDes!$B:$B,[1]StuntDes!$C:$C)),"")</f>
        <v>闪电抗性增加{0}</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440</v>
      </c>
      <c r="D524" t="s">
        <v>32</v>
      </c>
      <c r="E524" t="s">
        <v>410</v>
      </c>
      <c r="F524"/>
      <c r="G524">
        <v>2</v>
      </c>
      <c r="H524">
        <v>1000</v>
      </c>
      <c r="J524" cm="1">
        <f t="array" ref="J524">_xlfn.SWITCH(B524,1,75,2,61,3,49,4,37,5,25,6,13,7,4,8,1)</f>
        <v>25</v>
      </c>
      <c r="K524" t="str" cm="1">
        <f t="array" ref="K524">IFERROR(_xlfn.SWITCH(L524,1,_xlfn.XLOOKUP(C524,[1]AttributeName!$C:$C,[1]AttributeName!$I:$I),2,_xlfn.XLOOKUP(C524,[1]ModifierDes!$B:$B,[1]ModifierDes!$C:$C),3,_xlfn.XLOOKUP(C524,[1]StuntDes!$B:$B,[1]StuntDes!$C:$C)),"")</f>
        <v>闪电抗性增加{0}</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440</v>
      </c>
      <c r="D525" t="s">
        <v>32</v>
      </c>
      <c r="E525" t="s">
        <v>410</v>
      </c>
      <c r="F525"/>
      <c r="G525">
        <v>2</v>
      </c>
      <c r="H525">
        <v>1000</v>
      </c>
      <c r="J525" cm="1">
        <f t="array" ref="J525">_xlfn.SWITCH(B525,1,75,2,61,3,49,4,37,5,25,6,13,7,4,8,1)</f>
        <v>13</v>
      </c>
      <c r="K525" t="str" cm="1">
        <f t="array" ref="K525">IFERROR(_xlfn.SWITCH(L525,1,_xlfn.XLOOKUP(C525,[1]AttributeName!$C:$C,[1]AttributeName!$I:$I),2,_xlfn.XLOOKUP(C525,[1]ModifierDes!$B:$B,[1]ModifierDes!$C:$C),3,_xlfn.XLOOKUP(C525,[1]StuntDes!$B:$B,[1]StuntDes!$C:$C)),"")</f>
        <v>闪电抗性增加{0}</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440</v>
      </c>
      <c r="D526" t="s">
        <v>32</v>
      </c>
      <c r="E526" t="s">
        <v>410</v>
      </c>
      <c r="F526"/>
      <c r="G526">
        <v>2</v>
      </c>
      <c r="H526">
        <v>1000</v>
      </c>
      <c r="J526" cm="1">
        <f t="array" ref="J526">_xlfn.SWITCH(B526,1,75,2,61,3,49,4,37,5,25,6,13,7,4,8,1)</f>
        <v>4</v>
      </c>
      <c r="K526" t="str" cm="1">
        <f t="array" ref="K526">IFERROR(_xlfn.SWITCH(L526,1,_xlfn.XLOOKUP(C526,[1]AttributeName!$C:$C,[1]AttributeName!$I:$I),2,_xlfn.XLOOKUP(C526,[1]ModifierDes!$B:$B,[1]ModifierDes!$C:$C),3,_xlfn.XLOOKUP(C526,[1]StuntDes!$B:$B,[1]StuntDes!$C:$C)),"")</f>
        <v>闪电抗性增加{0}</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440</v>
      </c>
      <c r="D527" t="s">
        <v>32</v>
      </c>
      <c r="E527" t="s">
        <v>410</v>
      </c>
      <c r="F527"/>
      <c r="G527">
        <v>2</v>
      </c>
      <c r="H527">
        <v>1000</v>
      </c>
      <c r="J527" cm="1">
        <f t="array" ref="J527">_xlfn.SWITCH(B527,1,75,2,61,3,49,4,37,5,25,6,13,7,4,8,1)</f>
        <v>1</v>
      </c>
      <c r="K527" t="str" cm="1">
        <f t="array" ref="K527">IFERROR(_xlfn.SWITCH(L527,1,_xlfn.XLOOKUP(C527,[1]AttributeName!$C:$C,[1]AttributeName!$I:$I),2,_xlfn.XLOOKUP(C527,[1]ModifierDes!$B:$B,[1]ModifierDes!$C:$C),3,_xlfn.XLOOKUP(C527,[1]StuntDes!$B:$B,[1]StuntDes!$C:$C)),"")</f>
        <v>闪电抗性增加{0}</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441</v>
      </c>
      <c r="D528" t="s">
        <v>32</v>
      </c>
      <c r="E528" t="s">
        <v>410</v>
      </c>
      <c r="F528"/>
      <c r="G528">
        <v>2</v>
      </c>
      <c r="H528">
        <v>250</v>
      </c>
      <c r="J528" cm="1">
        <f t="array" ref="J528">_xlfn.SWITCH(B528,1,75,2,61,3,49,4,37,5,25,6,13,7,4,8,1)</f>
        <v>75</v>
      </c>
      <c r="K528" t="str" cm="1">
        <f t="array" ref="K528">IFERROR(_xlfn.SWITCH(L528,1,_xlfn.XLOOKUP(C528,[1]AttributeName!$C:$C,[1]AttributeName!$I:$I),2,_xlfn.XLOOKUP(C528,[1]ModifierDes!$B:$B,[1]ModifierDes!$C:$C),3,_xlfn.XLOOKUP(C528,[1]StuntDes!$B:$B,[1]StuntDes!$C:$C)),"")</f>
        <v>混沌抗性增加{0}</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441</v>
      </c>
      <c r="D529" t="s">
        <v>32</v>
      </c>
      <c r="E529" t="s">
        <v>410</v>
      </c>
      <c r="F529"/>
      <c r="G529">
        <v>2</v>
      </c>
      <c r="H529">
        <v>250</v>
      </c>
      <c r="J529" cm="1">
        <f t="array" ref="J529">_xlfn.SWITCH(B529,1,75,2,61,3,49,4,37,5,25,6,13,7,4,8,1)</f>
        <v>61</v>
      </c>
      <c r="K529" t="str" cm="1">
        <f t="array" ref="K529">IFERROR(_xlfn.SWITCH(L529,1,_xlfn.XLOOKUP(C529,[1]AttributeName!$C:$C,[1]AttributeName!$I:$I),2,_xlfn.XLOOKUP(C529,[1]ModifierDes!$B:$B,[1]ModifierDes!$C:$C),3,_xlfn.XLOOKUP(C529,[1]StuntDes!$B:$B,[1]StuntDes!$C:$C)),"")</f>
        <v>混沌抗性增加{0}</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441</v>
      </c>
      <c r="D530" t="s">
        <v>32</v>
      </c>
      <c r="E530" t="s">
        <v>410</v>
      </c>
      <c r="F530"/>
      <c r="G530">
        <v>2</v>
      </c>
      <c r="H530">
        <v>250</v>
      </c>
      <c r="J530" cm="1">
        <f t="array" ref="J530">_xlfn.SWITCH(B530,1,75,2,61,3,49,4,37,5,25,6,13,7,4,8,1)</f>
        <v>49</v>
      </c>
      <c r="K530" t="str" cm="1">
        <f t="array" ref="K530">IFERROR(_xlfn.SWITCH(L530,1,_xlfn.XLOOKUP(C530,[1]AttributeName!$C:$C,[1]AttributeName!$I:$I),2,_xlfn.XLOOKUP(C530,[1]ModifierDes!$B:$B,[1]ModifierDes!$C:$C),3,_xlfn.XLOOKUP(C530,[1]StuntDes!$B:$B,[1]StuntDes!$C:$C)),"")</f>
        <v>混沌抗性增加{0}</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441</v>
      </c>
      <c r="D531" t="s">
        <v>32</v>
      </c>
      <c r="E531" t="s">
        <v>410</v>
      </c>
      <c r="F531"/>
      <c r="G531">
        <v>2</v>
      </c>
      <c r="H531">
        <v>250</v>
      </c>
      <c r="J531" cm="1">
        <f t="array" ref="J531">_xlfn.SWITCH(B531,1,75,2,61,3,49,4,37,5,25,6,13,7,4,8,1)</f>
        <v>37</v>
      </c>
      <c r="K531" t="str" cm="1">
        <f t="array" ref="K531">IFERROR(_xlfn.SWITCH(L531,1,_xlfn.XLOOKUP(C531,[1]AttributeName!$C:$C,[1]AttributeName!$I:$I),2,_xlfn.XLOOKUP(C531,[1]ModifierDes!$B:$B,[1]ModifierDes!$C:$C),3,_xlfn.XLOOKUP(C531,[1]StuntDes!$B:$B,[1]StuntDes!$C:$C)),"")</f>
        <v>混沌抗性增加{0}</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441</v>
      </c>
      <c r="D532" t="s">
        <v>32</v>
      </c>
      <c r="E532" t="s">
        <v>410</v>
      </c>
      <c r="F532"/>
      <c r="G532">
        <v>2</v>
      </c>
      <c r="H532">
        <v>250</v>
      </c>
      <c r="J532" cm="1">
        <f t="array" ref="J532">_xlfn.SWITCH(B532,1,75,2,61,3,49,4,37,5,25,6,13,7,4,8,1)</f>
        <v>25</v>
      </c>
      <c r="K532" t="str" cm="1">
        <f t="array" ref="K532">IFERROR(_xlfn.SWITCH(L532,1,_xlfn.XLOOKUP(C532,[1]AttributeName!$C:$C,[1]AttributeName!$I:$I),2,_xlfn.XLOOKUP(C532,[1]ModifierDes!$B:$B,[1]ModifierDes!$C:$C),3,_xlfn.XLOOKUP(C532,[1]StuntDes!$B:$B,[1]StuntDes!$C:$C)),"")</f>
        <v>混沌抗性增加{0}</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441</v>
      </c>
      <c r="D533" t="s">
        <v>32</v>
      </c>
      <c r="E533" t="s">
        <v>410</v>
      </c>
      <c r="F533"/>
      <c r="G533">
        <v>2</v>
      </c>
      <c r="H533">
        <v>250</v>
      </c>
      <c r="J533" cm="1">
        <f t="array" ref="J533">_xlfn.SWITCH(B533,1,75,2,61,3,49,4,37,5,25,6,13,7,4,8,1)</f>
        <v>13</v>
      </c>
      <c r="K533" t="str" cm="1">
        <f t="array" ref="K533">IFERROR(_xlfn.SWITCH(L533,1,_xlfn.XLOOKUP(C533,[1]AttributeName!$C:$C,[1]AttributeName!$I:$I),2,_xlfn.XLOOKUP(C533,[1]ModifierDes!$B:$B,[1]ModifierDes!$C:$C),3,_xlfn.XLOOKUP(C533,[1]StuntDes!$B:$B,[1]StuntDes!$C:$C)),"")</f>
        <v>混沌抗性增加{0}</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441</v>
      </c>
      <c r="D534" t="s">
        <v>32</v>
      </c>
      <c r="E534" t="s">
        <v>410</v>
      </c>
      <c r="F534"/>
      <c r="G534">
        <v>2</v>
      </c>
      <c r="H534">
        <v>250</v>
      </c>
      <c r="J534" cm="1">
        <f t="array" ref="J534">_xlfn.SWITCH(B534,1,75,2,61,3,49,4,37,5,25,6,13,7,4,8,1)</f>
        <v>4</v>
      </c>
      <c r="K534" t="str" cm="1">
        <f t="array" ref="K534">IFERROR(_xlfn.SWITCH(L534,1,_xlfn.XLOOKUP(C534,[1]AttributeName!$C:$C,[1]AttributeName!$I:$I),2,_xlfn.XLOOKUP(C534,[1]ModifierDes!$B:$B,[1]ModifierDes!$C:$C),3,_xlfn.XLOOKUP(C534,[1]StuntDes!$B:$B,[1]StuntDes!$C:$C)),"")</f>
        <v>混沌抗性增加{0}</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441</v>
      </c>
      <c r="D535" t="s">
        <v>32</v>
      </c>
      <c r="E535" t="s">
        <v>410</v>
      </c>
      <c r="F535"/>
      <c r="G535">
        <v>2</v>
      </c>
      <c r="H535">
        <v>1000</v>
      </c>
      <c r="J535" cm="1">
        <f t="array" ref="J535">_xlfn.SWITCH(B535,1,75,2,61,3,49,4,37,5,25,6,13,7,4,8,1)</f>
        <v>1</v>
      </c>
      <c r="K535" t="str" cm="1">
        <f t="array" ref="K535">IFERROR(_xlfn.SWITCH(L535,1,_xlfn.XLOOKUP(C535,[1]AttributeName!$C:$C,[1]AttributeName!$I:$I),2,_xlfn.XLOOKUP(C535,[1]ModifierDes!$B:$B,[1]ModifierDes!$C:$C),3,_xlfn.XLOOKUP(C535,[1]StuntDes!$B:$B,[1]StuntDes!$C:$C)),"")</f>
        <v>混沌抗性增加{0}</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416</v>
      </c>
      <c r="D536" t="s">
        <v>32</v>
      </c>
      <c r="E536" t="s">
        <v>410</v>
      </c>
      <c r="G536">
        <v>2</v>
      </c>
      <c r="H536">
        <v>100</v>
      </c>
      <c r="I536"/>
      <c r="J536" cm="1">
        <f t="array" ref="J536">_xlfn.SWITCH(B536,1,75,2,61,3,49,4,37,5,25,6,13,7,4,8,1)</f>
        <v>75</v>
      </c>
      <c r="K536" t="str" cm="1">
        <f t="array" ref="K536">IFERROR(_xlfn.SWITCH(L536,1,_xlfn.XLOOKUP(C536,[1]AttributeName!$C:$C,[1]AttributeName!$I:$I),2,_xlfn.XLOOKUP(C536,[1]ModifierDes!$B:$B,[1]ModifierDes!$C:$C),3,_xlfn.XLOOKUP(C536,[1]StuntDes!$B:$B,[1]StuntDes!$C:$C)),"")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416</v>
      </c>
      <c r="D537" t="s">
        <v>32</v>
      </c>
      <c r="E537" t="s">
        <v>410</v>
      </c>
      <c r="G537">
        <v>2</v>
      </c>
      <c r="H537">
        <v>200</v>
      </c>
      <c r="I537"/>
      <c r="J537" cm="1">
        <f t="array" ref="J537">_xlfn.SWITCH(B537,1,75,2,61,3,49,4,37,5,25,6,13,7,4,8,1)</f>
        <v>61</v>
      </c>
      <c r="K537" t="str" cm="1">
        <f t="array" ref="K537">IFERROR(_xlfn.SWITCH(L537,1,_xlfn.XLOOKUP(C537,[1]AttributeName!$C:$C,[1]AttributeName!$I:$I),2,_xlfn.XLOOKUP(C537,[1]ModifierDes!$B:$B,[1]ModifierDes!$C:$C),3,_xlfn.XLOOKUP(C537,[1]StuntDes!$B:$B,[1]StuntDes!$C:$C)),"")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416</v>
      </c>
      <c r="D538" t="s">
        <v>32</v>
      </c>
      <c r="E538" t="s">
        <v>410</v>
      </c>
      <c r="G538">
        <v>2</v>
      </c>
      <c r="H538">
        <v>400</v>
      </c>
      <c r="I538"/>
      <c r="J538" cm="1">
        <f t="array" ref="J538">_xlfn.SWITCH(B538,1,75,2,61,3,49,4,37,5,25,6,13,7,4,8,1)</f>
        <v>49</v>
      </c>
      <c r="K538" t="str" cm="1">
        <f t="array" ref="K538">IFERROR(_xlfn.SWITCH(L538,1,_xlfn.XLOOKUP(C538,[1]AttributeName!$C:$C,[1]AttributeName!$I:$I),2,_xlfn.XLOOKUP(C538,[1]ModifierDes!$B:$B,[1]ModifierDes!$C:$C),3,_xlfn.XLOOKUP(C538,[1]StuntDes!$B:$B,[1]StuntDes!$C:$C)),"")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416</v>
      </c>
      <c r="D539" t="s">
        <v>32</v>
      </c>
      <c r="E539" t="s">
        <v>410</v>
      </c>
      <c r="G539">
        <v>2</v>
      </c>
      <c r="H539">
        <v>600</v>
      </c>
      <c r="I539"/>
      <c r="J539" cm="1">
        <f t="array" ref="J539">_xlfn.SWITCH(B539,1,75,2,61,3,49,4,37,5,25,6,13,7,4,8,1)</f>
        <v>37</v>
      </c>
      <c r="K539" t="str" cm="1">
        <f t="array" ref="K539">IFERROR(_xlfn.SWITCH(L539,1,_xlfn.XLOOKUP(C539,[1]AttributeName!$C:$C,[1]AttributeName!$I:$I),2,_xlfn.XLOOKUP(C539,[1]ModifierDes!$B:$B,[1]ModifierDes!$C:$C),3,_xlfn.XLOOKUP(C539,[1]StuntDes!$B:$B,[1]StuntDes!$C:$C)),"")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416</v>
      </c>
      <c r="D540" t="s">
        <v>32</v>
      </c>
      <c r="E540" t="s">
        <v>410</v>
      </c>
      <c r="G540">
        <v>2</v>
      </c>
      <c r="H540">
        <v>800</v>
      </c>
      <c r="I540"/>
      <c r="J540" cm="1">
        <f t="array" ref="J540">_xlfn.SWITCH(B540,1,75,2,61,3,49,4,37,5,25,6,13,7,4,8,1)</f>
        <v>25</v>
      </c>
      <c r="K540" t="str" cm="1">
        <f t="array" ref="K540">IFERROR(_xlfn.SWITCH(L540,1,_xlfn.XLOOKUP(C540,[1]AttributeName!$C:$C,[1]AttributeName!$I:$I),2,_xlfn.XLOOKUP(C540,[1]ModifierDes!$B:$B,[1]ModifierDes!$C:$C),3,_xlfn.XLOOKUP(C540,[1]StuntDes!$B:$B,[1]StuntDes!$C:$C)),"")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416</v>
      </c>
      <c r="D541" t="s">
        <v>32</v>
      </c>
      <c r="E541" t="s">
        <v>410</v>
      </c>
      <c r="G541">
        <v>2</v>
      </c>
      <c r="H541">
        <v>1000</v>
      </c>
      <c r="I541"/>
      <c r="J541" cm="1">
        <f t="array" ref="J541">_xlfn.SWITCH(B541,1,75,2,61,3,49,4,37,5,25,6,13,7,4,8,1)</f>
        <v>13</v>
      </c>
      <c r="K541" t="str" cm="1">
        <f t="array" ref="K541">IFERROR(_xlfn.SWITCH(L541,1,_xlfn.XLOOKUP(C541,[1]AttributeName!$C:$C,[1]AttributeName!$I:$I),2,_xlfn.XLOOKUP(C541,[1]ModifierDes!$B:$B,[1]ModifierDes!$C:$C),3,_xlfn.XLOOKUP(C541,[1]StuntDes!$B:$B,[1]StuntDes!$C:$C)),"")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416</v>
      </c>
      <c r="D542" t="s">
        <v>32</v>
      </c>
      <c r="E542" t="s">
        <v>410</v>
      </c>
      <c r="G542">
        <v>2</v>
      </c>
      <c r="H542">
        <v>1000</v>
      </c>
      <c r="I542"/>
      <c r="J542" cm="1">
        <f t="array" ref="J542">_xlfn.SWITCH(B542,1,75,2,61,3,49,4,37,5,25,6,13,7,4,8,1)</f>
        <v>4</v>
      </c>
      <c r="K542" t="str" cm="1">
        <f t="array" ref="K542">IFERROR(_xlfn.SWITCH(L542,1,_xlfn.XLOOKUP(C542,[1]AttributeName!$C:$C,[1]AttributeName!$I:$I),2,_xlfn.XLOOKUP(C542,[1]ModifierDes!$B:$B,[1]ModifierDes!$C:$C),3,_xlfn.XLOOKUP(C542,[1]StuntDes!$B:$B,[1]StuntDes!$C:$C)),"")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416</v>
      </c>
      <c r="D543" t="s">
        <v>32</v>
      </c>
      <c r="E543" t="s">
        <v>410</v>
      </c>
      <c r="G543">
        <v>2</v>
      </c>
      <c r="H543">
        <v>1000</v>
      </c>
      <c r="I543"/>
      <c r="J543" cm="1">
        <f t="array" ref="J543">_xlfn.SWITCH(B543,1,75,2,61,3,49,4,37,5,25,6,13,7,4,8,1)</f>
        <v>1</v>
      </c>
      <c r="K543" t="str" cm="1">
        <f t="array" ref="K543">IFERROR(_xlfn.SWITCH(L543,1,_xlfn.XLOOKUP(C543,[1]AttributeName!$C:$C,[1]AttributeName!$I:$I),2,_xlfn.XLOOKUP(C543,[1]ModifierDes!$B:$B,[1]ModifierDes!$C:$C),3,_xlfn.XLOOKUP(C543,[1]StuntDes!$B:$B,[1]StuntDes!$C:$C)),"")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442</v>
      </c>
      <c r="D544" t="s">
        <v>32</v>
      </c>
      <c r="E544" t="s">
        <v>410</v>
      </c>
      <c r="G544">
        <v>2</v>
      </c>
      <c r="H544">
        <v>100</v>
      </c>
      <c r="I544"/>
      <c r="J544" cm="1">
        <f t="array" ref="J544">_xlfn.SWITCH(B544,1,75,2,61,3,49,4,37,5,25,6,13,7,4,8,1)</f>
        <v>75</v>
      </c>
      <c r="K544" t="str" cm="1">
        <f t="array" ref="K544">IFERROR(_xlfn.SWITCH(L544,1,_xlfn.XLOOKUP(C544,[1]AttributeName!$C:$C,[1]AttributeName!$I:$I),2,_xlfn.XLOOKUP(C544,[1]ModifierDes!$B:$B,[1]ModifierDes!$C:$C),3,_xlfn.XLOOKUP(C544,[1]StuntDes!$B:$B,[1]StuntDes!$C:$C)),"")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442</v>
      </c>
      <c r="D545" t="s">
        <v>32</v>
      </c>
      <c r="E545" t="s">
        <v>410</v>
      </c>
      <c r="G545">
        <v>2</v>
      </c>
      <c r="H545">
        <v>200</v>
      </c>
      <c r="I545"/>
      <c r="J545" cm="1">
        <f t="array" ref="J545">_xlfn.SWITCH(B545,1,75,2,61,3,49,4,37,5,25,6,13,7,4,8,1)</f>
        <v>61</v>
      </c>
      <c r="K545" t="str" cm="1">
        <f t="array" ref="K545">IFERROR(_xlfn.SWITCH(L545,1,_xlfn.XLOOKUP(C545,[1]AttributeName!$C:$C,[1]AttributeName!$I:$I),2,_xlfn.XLOOKUP(C545,[1]ModifierDes!$B:$B,[1]ModifierDes!$C:$C),3,_xlfn.XLOOKUP(C545,[1]StuntDes!$B:$B,[1]StuntDes!$C:$C)),"")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442</v>
      </c>
      <c r="D546" t="s">
        <v>32</v>
      </c>
      <c r="E546" t="s">
        <v>410</v>
      </c>
      <c r="G546">
        <v>2</v>
      </c>
      <c r="H546">
        <v>400</v>
      </c>
      <c r="I546"/>
      <c r="J546" cm="1">
        <f t="array" ref="J546">_xlfn.SWITCH(B546,1,75,2,61,3,49,4,37,5,25,6,13,7,4,8,1)</f>
        <v>49</v>
      </c>
      <c r="K546" t="str" cm="1">
        <f t="array" ref="K546">IFERROR(_xlfn.SWITCH(L546,1,_xlfn.XLOOKUP(C546,[1]AttributeName!$C:$C,[1]AttributeName!$I:$I),2,_xlfn.XLOOKUP(C546,[1]ModifierDes!$B:$B,[1]ModifierDes!$C:$C),3,_xlfn.XLOOKUP(C546,[1]StuntDes!$B:$B,[1]StuntDes!$C:$C)),"")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442</v>
      </c>
      <c r="D547" t="s">
        <v>32</v>
      </c>
      <c r="E547" t="s">
        <v>410</v>
      </c>
      <c r="G547">
        <v>2</v>
      </c>
      <c r="H547">
        <v>600</v>
      </c>
      <c r="I547"/>
      <c r="J547" cm="1">
        <f t="array" ref="J547">_xlfn.SWITCH(B547,1,75,2,61,3,49,4,37,5,25,6,13,7,4,8,1)</f>
        <v>37</v>
      </c>
      <c r="K547" t="str" cm="1">
        <f t="array" ref="K547">IFERROR(_xlfn.SWITCH(L547,1,_xlfn.XLOOKUP(C547,[1]AttributeName!$C:$C,[1]AttributeName!$I:$I),2,_xlfn.XLOOKUP(C547,[1]ModifierDes!$B:$B,[1]ModifierDes!$C:$C),3,_xlfn.XLOOKUP(C547,[1]StuntDes!$B:$B,[1]StuntDes!$C:$C)),"")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442</v>
      </c>
      <c r="D548" t="s">
        <v>32</v>
      </c>
      <c r="E548" t="s">
        <v>410</v>
      </c>
      <c r="G548">
        <v>2</v>
      </c>
      <c r="H548">
        <v>800</v>
      </c>
      <c r="I548"/>
      <c r="J548" cm="1">
        <f t="array" ref="J548">_xlfn.SWITCH(B548,1,75,2,61,3,49,4,37,5,25,6,13,7,4,8,1)</f>
        <v>25</v>
      </c>
      <c r="K548" t="str" cm="1">
        <f t="array" ref="K548">IFERROR(_xlfn.SWITCH(L548,1,_xlfn.XLOOKUP(C548,[1]AttributeName!$C:$C,[1]AttributeName!$I:$I),2,_xlfn.XLOOKUP(C548,[1]ModifierDes!$B:$B,[1]ModifierDes!$C:$C),3,_xlfn.XLOOKUP(C548,[1]StuntDes!$B:$B,[1]StuntDes!$C:$C)),"")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442</v>
      </c>
      <c r="D549" t="s">
        <v>32</v>
      </c>
      <c r="E549" t="s">
        <v>410</v>
      </c>
      <c r="G549">
        <v>2</v>
      </c>
      <c r="H549">
        <v>1000</v>
      </c>
      <c r="I549"/>
      <c r="J549" cm="1">
        <f t="array" ref="J549">_xlfn.SWITCH(B549,1,75,2,61,3,49,4,37,5,25,6,13,7,4,8,1)</f>
        <v>13</v>
      </c>
      <c r="K549" t="str" cm="1">
        <f t="array" ref="K549">IFERROR(_xlfn.SWITCH(L549,1,_xlfn.XLOOKUP(C549,[1]AttributeName!$C:$C,[1]AttributeName!$I:$I),2,_xlfn.XLOOKUP(C549,[1]ModifierDes!$B:$B,[1]ModifierDes!$C:$C),3,_xlfn.XLOOKUP(C549,[1]StuntDes!$B:$B,[1]StuntDes!$C:$C)),"")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442</v>
      </c>
      <c r="D550" t="s">
        <v>32</v>
      </c>
      <c r="E550" t="s">
        <v>410</v>
      </c>
      <c r="G550">
        <v>2</v>
      </c>
      <c r="H550">
        <v>1000</v>
      </c>
      <c r="I550"/>
      <c r="J550" cm="1">
        <f t="array" ref="J550">_xlfn.SWITCH(B550,1,75,2,61,3,49,4,37,5,25,6,13,7,4,8,1)</f>
        <v>4</v>
      </c>
      <c r="K550" t="str" cm="1">
        <f t="array" ref="K550">IFERROR(_xlfn.SWITCH(L550,1,_xlfn.XLOOKUP(C550,[1]AttributeName!$C:$C,[1]AttributeName!$I:$I),2,_xlfn.XLOOKUP(C550,[1]ModifierDes!$B:$B,[1]ModifierDes!$C:$C),3,_xlfn.XLOOKUP(C550,[1]StuntDes!$B:$B,[1]StuntDes!$C:$C)),"")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442</v>
      </c>
      <c r="D551" t="s">
        <v>32</v>
      </c>
      <c r="E551" t="s">
        <v>410</v>
      </c>
      <c r="G551">
        <v>2</v>
      </c>
      <c r="H551">
        <v>1000</v>
      </c>
      <c r="I551"/>
      <c r="J551" cm="1">
        <f t="array" ref="J551">_xlfn.SWITCH(B551,1,75,2,61,3,49,4,37,5,25,6,13,7,4,8,1)</f>
        <v>1</v>
      </c>
      <c r="K551" t="str" cm="1">
        <f t="array" ref="K551">IFERROR(_xlfn.SWITCH(L551,1,_xlfn.XLOOKUP(C551,[1]AttributeName!$C:$C,[1]AttributeName!$I:$I),2,_xlfn.XLOOKUP(C551,[1]ModifierDes!$B:$B,[1]ModifierDes!$C:$C),3,_xlfn.XLOOKUP(C551,[1]StuntDes!$B:$B,[1]StuntDes!$C:$C)),"")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417</v>
      </c>
      <c r="D552" t="s">
        <v>32</v>
      </c>
      <c r="E552" t="s">
        <v>410</v>
      </c>
      <c r="F552"/>
      <c r="G552">
        <v>2</v>
      </c>
      <c r="H552">
        <v>100</v>
      </c>
      <c r="I552"/>
      <c r="J552" cm="1">
        <f t="array" ref="J552">_xlfn.SWITCH(B552,1,75,2,61,3,49,4,37,5,25,6,13,7,4,8,1)</f>
        <v>75</v>
      </c>
      <c r="K552" t="str" cm="1">
        <f t="array" ref="K552">IFERROR(_xlfn.SWITCH(L552,1,_xlfn.XLOOKUP(C552,[1]AttributeName!$C:$C,[1]AttributeName!$I:$I),2,_xlfn.XLOOKUP(C552,[1]ModifierDes!$B:$B,[1]ModifierDes!$C:$C),3,_xlfn.XLOOKUP(C552,[1]StuntDes!$B:$B,[1]StuntDes!$C:$C)),"")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417</v>
      </c>
      <c r="D553" t="s">
        <v>32</v>
      </c>
      <c r="E553" t="s">
        <v>410</v>
      </c>
      <c r="F553"/>
      <c r="G553">
        <v>2</v>
      </c>
      <c r="H553">
        <v>200</v>
      </c>
      <c r="I553"/>
      <c r="J553" cm="1">
        <f t="array" ref="J553">_xlfn.SWITCH(B553,1,75,2,61,3,49,4,37,5,25,6,13,7,4,8,1)</f>
        <v>61</v>
      </c>
      <c r="K553" t="str" cm="1">
        <f t="array" ref="K553">IFERROR(_xlfn.SWITCH(L553,1,_xlfn.XLOOKUP(C553,[1]AttributeName!$C:$C,[1]AttributeName!$I:$I),2,_xlfn.XLOOKUP(C553,[1]ModifierDes!$B:$B,[1]ModifierDes!$C:$C),3,_xlfn.XLOOKUP(C553,[1]StuntDes!$B:$B,[1]StuntDes!$C:$C)),"")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417</v>
      </c>
      <c r="D554" t="s">
        <v>32</v>
      </c>
      <c r="E554" t="s">
        <v>410</v>
      </c>
      <c r="F554"/>
      <c r="G554">
        <v>2</v>
      </c>
      <c r="H554">
        <v>400</v>
      </c>
      <c r="I554"/>
      <c r="J554" cm="1">
        <f t="array" ref="J554">_xlfn.SWITCH(B554,1,75,2,61,3,49,4,37,5,25,6,13,7,4,8,1)</f>
        <v>49</v>
      </c>
      <c r="K554" t="str" cm="1">
        <f t="array" ref="K554">IFERROR(_xlfn.SWITCH(L554,1,_xlfn.XLOOKUP(C554,[1]AttributeName!$C:$C,[1]AttributeName!$I:$I),2,_xlfn.XLOOKUP(C554,[1]ModifierDes!$B:$B,[1]ModifierDes!$C:$C),3,_xlfn.XLOOKUP(C554,[1]StuntDes!$B:$B,[1]StuntDes!$C:$C)),"")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417</v>
      </c>
      <c r="D555" t="s">
        <v>32</v>
      </c>
      <c r="E555" t="s">
        <v>410</v>
      </c>
      <c r="F555"/>
      <c r="G555">
        <v>2</v>
      </c>
      <c r="H555">
        <v>600</v>
      </c>
      <c r="I555"/>
      <c r="J555" cm="1">
        <f t="array" ref="J555">_xlfn.SWITCH(B555,1,75,2,61,3,49,4,37,5,25,6,13,7,4,8,1)</f>
        <v>37</v>
      </c>
      <c r="K555" t="str" cm="1">
        <f t="array" ref="K555">IFERROR(_xlfn.SWITCH(L555,1,_xlfn.XLOOKUP(C555,[1]AttributeName!$C:$C,[1]AttributeName!$I:$I),2,_xlfn.XLOOKUP(C555,[1]ModifierDes!$B:$B,[1]ModifierDes!$C:$C),3,_xlfn.XLOOKUP(C555,[1]StuntDes!$B:$B,[1]StuntDes!$C:$C)),"")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417</v>
      </c>
      <c r="D556" t="s">
        <v>32</v>
      </c>
      <c r="E556" t="s">
        <v>410</v>
      </c>
      <c r="F556"/>
      <c r="G556">
        <v>2</v>
      </c>
      <c r="H556">
        <v>800</v>
      </c>
      <c r="I556"/>
      <c r="J556" cm="1">
        <f t="array" ref="J556">_xlfn.SWITCH(B556,1,75,2,61,3,49,4,37,5,25,6,13,7,4,8,1)</f>
        <v>25</v>
      </c>
      <c r="K556" t="str" cm="1">
        <f t="array" ref="K556">IFERROR(_xlfn.SWITCH(L556,1,_xlfn.XLOOKUP(C556,[1]AttributeName!$C:$C,[1]AttributeName!$I:$I),2,_xlfn.XLOOKUP(C556,[1]ModifierDes!$B:$B,[1]ModifierDes!$C:$C),3,_xlfn.XLOOKUP(C556,[1]StuntDes!$B:$B,[1]StuntDes!$C:$C)),"")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417</v>
      </c>
      <c r="D557" t="s">
        <v>32</v>
      </c>
      <c r="E557" t="s">
        <v>410</v>
      </c>
      <c r="F557"/>
      <c r="G557">
        <v>2</v>
      </c>
      <c r="H557">
        <v>1000</v>
      </c>
      <c r="I557"/>
      <c r="J557" cm="1">
        <f t="array" ref="J557">_xlfn.SWITCH(B557,1,75,2,61,3,49,4,37,5,25,6,13,7,4,8,1)</f>
        <v>13</v>
      </c>
      <c r="K557" t="str" cm="1">
        <f t="array" ref="K557">IFERROR(_xlfn.SWITCH(L557,1,_xlfn.XLOOKUP(C557,[1]AttributeName!$C:$C,[1]AttributeName!$I:$I),2,_xlfn.XLOOKUP(C557,[1]ModifierDes!$B:$B,[1]ModifierDes!$C:$C),3,_xlfn.XLOOKUP(C557,[1]StuntDes!$B:$B,[1]StuntDes!$C:$C)),"")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417</v>
      </c>
      <c r="D558" t="s">
        <v>32</v>
      </c>
      <c r="E558" t="s">
        <v>410</v>
      </c>
      <c r="F558"/>
      <c r="G558">
        <v>2</v>
      </c>
      <c r="H558">
        <v>1000</v>
      </c>
      <c r="I558"/>
      <c r="J558" cm="1">
        <f t="array" ref="J558">_xlfn.SWITCH(B558,1,75,2,61,3,49,4,37,5,25,6,13,7,4,8,1)</f>
        <v>4</v>
      </c>
      <c r="K558" t="str" cm="1">
        <f t="array" ref="K558">IFERROR(_xlfn.SWITCH(L558,1,_xlfn.XLOOKUP(C558,[1]AttributeName!$C:$C,[1]AttributeName!$I:$I),2,_xlfn.XLOOKUP(C558,[1]ModifierDes!$B:$B,[1]ModifierDes!$C:$C),3,_xlfn.XLOOKUP(C558,[1]StuntDes!$B:$B,[1]StuntDes!$C:$C)),"")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417</v>
      </c>
      <c r="D559" t="s">
        <v>32</v>
      </c>
      <c r="E559" t="s">
        <v>410</v>
      </c>
      <c r="F559"/>
      <c r="G559">
        <v>2</v>
      </c>
      <c r="H559">
        <v>1000</v>
      </c>
      <c r="I559"/>
      <c r="J559" cm="1">
        <f t="array" ref="J559">_xlfn.SWITCH(B559,1,75,2,61,3,49,4,37,5,25,6,13,7,4,8,1)</f>
        <v>1</v>
      </c>
      <c r="K559" t="str" cm="1">
        <f t="array" ref="K559">IFERROR(_xlfn.SWITCH(L559,1,_xlfn.XLOOKUP(C559,[1]AttributeName!$C:$C,[1]AttributeName!$I:$I),2,_xlfn.XLOOKUP(C559,[1]ModifierDes!$B:$B,[1]ModifierDes!$C:$C),3,_xlfn.XLOOKUP(C559,[1]StuntDes!$B:$B,[1]StuntDes!$C:$C)),"")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443</v>
      </c>
      <c r="D560" t="s">
        <v>32</v>
      </c>
      <c r="E560" t="s">
        <v>410</v>
      </c>
      <c r="F560"/>
      <c r="G560">
        <v>2</v>
      </c>
      <c r="H560">
        <v>100</v>
      </c>
      <c r="I560"/>
      <c r="J560" cm="1">
        <f t="array" ref="J560">_xlfn.SWITCH(B560,1,75,2,61,3,49,4,37,5,25,6,13,7,4,8,1)</f>
        <v>75</v>
      </c>
      <c r="K560" t="str" cm="1">
        <f t="array" ref="K560">IFERROR(_xlfn.SWITCH(L560,1,_xlfn.XLOOKUP(C560,[1]AttributeName!$C:$C,[1]AttributeName!$I:$I),2,_xlfn.XLOOKUP(C560,[1]ModifierDes!$B:$B,[1]ModifierDes!$C:$C),3,_xlfn.XLOOKUP(C560,[1]StuntDes!$B:$B,[1]StuntDes!$C:$C)),"")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443</v>
      </c>
      <c r="D561" t="s">
        <v>32</v>
      </c>
      <c r="E561" t="s">
        <v>410</v>
      </c>
      <c r="F561"/>
      <c r="G561">
        <v>2</v>
      </c>
      <c r="H561">
        <v>200</v>
      </c>
      <c r="I561"/>
      <c r="J561" cm="1">
        <f t="array" ref="J561">_xlfn.SWITCH(B561,1,75,2,61,3,49,4,37,5,25,6,13,7,4,8,1)</f>
        <v>61</v>
      </c>
      <c r="K561" t="str" cm="1">
        <f t="array" ref="K561">IFERROR(_xlfn.SWITCH(L561,1,_xlfn.XLOOKUP(C561,[1]AttributeName!$C:$C,[1]AttributeName!$I:$I),2,_xlfn.XLOOKUP(C561,[1]ModifierDes!$B:$B,[1]ModifierDes!$C:$C),3,_xlfn.XLOOKUP(C561,[1]StuntDes!$B:$B,[1]StuntDes!$C:$C)),"")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443</v>
      </c>
      <c r="D562" t="s">
        <v>32</v>
      </c>
      <c r="E562" t="s">
        <v>410</v>
      </c>
      <c r="F562"/>
      <c r="G562">
        <v>2</v>
      </c>
      <c r="H562">
        <v>400</v>
      </c>
      <c r="I562"/>
      <c r="J562" cm="1">
        <f t="array" ref="J562">_xlfn.SWITCH(B562,1,75,2,61,3,49,4,37,5,25,6,13,7,4,8,1)</f>
        <v>49</v>
      </c>
      <c r="K562" t="str" cm="1">
        <f t="array" ref="K562">IFERROR(_xlfn.SWITCH(L562,1,_xlfn.XLOOKUP(C562,[1]AttributeName!$C:$C,[1]AttributeName!$I:$I),2,_xlfn.XLOOKUP(C562,[1]ModifierDes!$B:$B,[1]ModifierDes!$C:$C),3,_xlfn.XLOOKUP(C562,[1]StuntDes!$B:$B,[1]StuntDes!$C:$C)),"")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443</v>
      </c>
      <c r="D563" t="s">
        <v>32</v>
      </c>
      <c r="E563" t="s">
        <v>410</v>
      </c>
      <c r="F563"/>
      <c r="G563">
        <v>2</v>
      </c>
      <c r="H563">
        <v>600</v>
      </c>
      <c r="I563"/>
      <c r="J563" cm="1">
        <f t="array" ref="J563">_xlfn.SWITCH(B563,1,75,2,61,3,49,4,37,5,25,6,13,7,4,8,1)</f>
        <v>37</v>
      </c>
      <c r="K563" t="str" cm="1">
        <f t="array" ref="K563">IFERROR(_xlfn.SWITCH(L563,1,_xlfn.XLOOKUP(C563,[1]AttributeName!$C:$C,[1]AttributeName!$I:$I),2,_xlfn.XLOOKUP(C563,[1]ModifierDes!$B:$B,[1]ModifierDes!$C:$C),3,_xlfn.XLOOKUP(C563,[1]StuntDes!$B:$B,[1]StuntDes!$C:$C)),"")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443</v>
      </c>
      <c r="D564" t="s">
        <v>32</v>
      </c>
      <c r="E564" t="s">
        <v>410</v>
      </c>
      <c r="F564"/>
      <c r="G564">
        <v>2</v>
      </c>
      <c r="H564">
        <v>800</v>
      </c>
      <c r="I564"/>
      <c r="J564" cm="1">
        <f t="array" ref="J564">_xlfn.SWITCH(B564,1,75,2,61,3,49,4,37,5,25,6,13,7,4,8,1)</f>
        <v>25</v>
      </c>
      <c r="K564" t="str" cm="1">
        <f t="array" ref="K564">IFERROR(_xlfn.SWITCH(L564,1,_xlfn.XLOOKUP(C564,[1]AttributeName!$C:$C,[1]AttributeName!$I:$I),2,_xlfn.XLOOKUP(C564,[1]ModifierDes!$B:$B,[1]ModifierDes!$C:$C),3,_xlfn.XLOOKUP(C564,[1]StuntDes!$B:$B,[1]StuntDes!$C:$C)),"")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443</v>
      </c>
      <c r="D565" t="s">
        <v>32</v>
      </c>
      <c r="E565" t="s">
        <v>410</v>
      </c>
      <c r="F565"/>
      <c r="G565">
        <v>2</v>
      </c>
      <c r="H565">
        <v>1000</v>
      </c>
      <c r="I565"/>
      <c r="J565" cm="1">
        <f t="array" ref="J565">_xlfn.SWITCH(B565,1,75,2,61,3,49,4,37,5,25,6,13,7,4,8,1)</f>
        <v>13</v>
      </c>
      <c r="K565" t="str" cm="1">
        <f t="array" ref="K565">IFERROR(_xlfn.SWITCH(L565,1,_xlfn.XLOOKUP(C565,[1]AttributeName!$C:$C,[1]AttributeName!$I:$I),2,_xlfn.XLOOKUP(C565,[1]ModifierDes!$B:$B,[1]ModifierDes!$C:$C),3,_xlfn.XLOOKUP(C565,[1]StuntDes!$B:$B,[1]StuntDes!$C:$C)),"")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443</v>
      </c>
      <c r="D566" t="s">
        <v>32</v>
      </c>
      <c r="E566" t="s">
        <v>410</v>
      </c>
      <c r="F566"/>
      <c r="G566">
        <v>2</v>
      </c>
      <c r="H566">
        <v>1000</v>
      </c>
      <c r="I566"/>
      <c r="J566" cm="1">
        <f t="array" ref="J566">_xlfn.SWITCH(B566,1,75,2,61,3,49,4,37,5,25,6,13,7,4,8,1)</f>
        <v>4</v>
      </c>
      <c r="K566" t="str" cm="1">
        <f t="array" ref="K566">IFERROR(_xlfn.SWITCH(L566,1,_xlfn.XLOOKUP(C566,[1]AttributeName!$C:$C,[1]AttributeName!$I:$I),2,_xlfn.XLOOKUP(C566,[1]ModifierDes!$B:$B,[1]ModifierDes!$C:$C),3,_xlfn.XLOOKUP(C566,[1]StuntDes!$B:$B,[1]StuntDes!$C:$C)),"")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443</v>
      </c>
      <c r="D567" t="s">
        <v>32</v>
      </c>
      <c r="E567" t="s">
        <v>410</v>
      </c>
      <c r="F567"/>
      <c r="G567">
        <v>2</v>
      </c>
      <c r="H567">
        <v>1000</v>
      </c>
      <c r="I567"/>
      <c r="J567" cm="1">
        <f t="array" ref="J567">_xlfn.SWITCH(B567,1,75,2,61,3,49,4,37,5,25,6,13,7,4,8,1)</f>
        <v>1</v>
      </c>
      <c r="K567" t="str" cm="1">
        <f t="array" ref="K567">IFERROR(_xlfn.SWITCH(L567,1,_xlfn.XLOOKUP(C567,[1]AttributeName!$C:$C,[1]AttributeName!$I:$I),2,_xlfn.XLOOKUP(C567,[1]ModifierDes!$B:$B,[1]ModifierDes!$C:$C),3,_xlfn.XLOOKUP(C567,[1]StuntDes!$B:$B,[1]StuntDes!$C:$C)),"")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403</v>
      </c>
      <c r="D568" t="s">
        <v>32</v>
      </c>
      <c r="E568" t="s">
        <v>410</v>
      </c>
      <c r="F568"/>
      <c r="G568">
        <v>2</v>
      </c>
      <c r="H568">
        <v>1000</v>
      </c>
      <c r="I568"/>
      <c r="J568" cm="1">
        <f t="array" ref="J568">_xlfn.SWITCH(B568,1,75,2,61,3,49,4,37,5,25,6,13,7,4,8,1)</f>
        <v>75</v>
      </c>
      <c r="K568" t="str" cm="1">
        <f t="array" ref="K568">IFERROR(_xlfn.SWITCH(L568,1,_xlfn.XLOOKUP(C568,[1]AttributeName!$C:$C,[1]AttributeName!$I:$I),2,_xlfn.XLOOKUP(C568,[1]ModifierDes!$B:$B,[1]ModifierDes!$C:$C),3,_xlfn.XLOOKUP(C568,[1]StuntDes!$B:$B,[1]StuntDes!$C:$C)),"")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403</v>
      </c>
      <c r="D569" t="s">
        <v>32</v>
      </c>
      <c r="E569" t="s">
        <v>410</v>
      </c>
      <c r="F569"/>
      <c r="G569">
        <v>2</v>
      </c>
      <c r="H569">
        <v>1000</v>
      </c>
      <c r="I569"/>
      <c r="J569" cm="1">
        <f t="array" ref="J569">_xlfn.SWITCH(B569,1,75,2,61,3,49,4,37,5,25,6,13,7,4,8,1)</f>
        <v>61</v>
      </c>
      <c r="K569" t="str" cm="1">
        <f t="array" ref="K569">IFERROR(_xlfn.SWITCH(L569,1,_xlfn.XLOOKUP(C569,[1]AttributeName!$C:$C,[1]AttributeName!$I:$I),2,_xlfn.XLOOKUP(C569,[1]ModifierDes!$B:$B,[1]ModifierDes!$C:$C),3,_xlfn.XLOOKUP(C569,[1]StuntDes!$B:$B,[1]StuntDes!$C:$C)),"")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403</v>
      </c>
      <c r="D570" t="s">
        <v>32</v>
      </c>
      <c r="E570" t="s">
        <v>410</v>
      </c>
      <c r="F570"/>
      <c r="G570">
        <v>2</v>
      </c>
      <c r="H570">
        <v>1000</v>
      </c>
      <c r="I570"/>
      <c r="J570" cm="1">
        <f t="array" ref="J570">_xlfn.SWITCH(B570,1,75,2,61,3,49,4,37,5,25,6,13,7,4,8,1)</f>
        <v>49</v>
      </c>
      <c r="K570" t="str" cm="1">
        <f t="array" ref="K570">IFERROR(_xlfn.SWITCH(L570,1,_xlfn.XLOOKUP(C570,[1]AttributeName!$C:$C,[1]AttributeName!$I:$I),2,_xlfn.XLOOKUP(C570,[1]ModifierDes!$B:$B,[1]ModifierDes!$C:$C),3,_xlfn.XLOOKUP(C570,[1]StuntDes!$B:$B,[1]StuntDes!$C:$C)),"")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403</v>
      </c>
      <c r="D571" t="s">
        <v>32</v>
      </c>
      <c r="E571" t="s">
        <v>410</v>
      </c>
      <c r="F571"/>
      <c r="G571">
        <v>2</v>
      </c>
      <c r="H571">
        <v>1000</v>
      </c>
      <c r="I571"/>
      <c r="J571" cm="1">
        <f t="array" ref="J571">_xlfn.SWITCH(B571,1,75,2,61,3,49,4,37,5,25,6,13,7,4,8,1)</f>
        <v>37</v>
      </c>
      <c r="K571" t="str" cm="1">
        <f t="array" ref="K571">IFERROR(_xlfn.SWITCH(L571,1,_xlfn.XLOOKUP(C571,[1]AttributeName!$C:$C,[1]AttributeName!$I:$I),2,_xlfn.XLOOKUP(C571,[1]ModifierDes!$B:$B,[1]ModifierDes!$C:$C),3,_xlfn.XLOOKUP(C571,[1]StuntDes!$B:$B,[1]StuntDes!$C:$C)),"")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403</v>
      </c>
      <c r="D572" t="s">
        <v>32</v>
      </c>
      <c r="E572" t="s">
        <v>410</v>
      </c>
      <c r="F572"/>
      <c r="G572">
        <v>2</v>
      </c>
      <c r="H572">
        <v>1000</v>
      </c>
      <c r="I572"/>
      <c r="J572" cm="1">
        <f t="array" ref="J572">_xlfn.SWITCH(B572,1,75,2,61,3,49,4,37,5,25,6,13,7,4,8,1)</f>
        <v>25</v>
      </c>
      <c r="K572" t="str" cm="1">
        <f t="array" ref="K572">IFERROR(_xlfn.SWITCH(L572,1,_xlfn.XLOOKUP(C572,[1]AttributeName!$C:$C,[1]AttributeName!$I:$I),2,_xlfn.XLOOKUP(C572,[1]ModifierDes!$B:$B,[1]ModifierDes!$C:$C),3,_xlfn.XLOOKUP(C572,[1]StuntDes!$B:$B,[1]StuntDes!$C:$C)),"")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403</v>
      </c>
      <c r="D573" t="s">
        <v>32</v>
      </c>
      <c r="E573" t="s">
        <v>410</v>
      </c>
      <c r="F573"/>
      <c r="G573">
        <v>2</v>
      </c>
      <c r="H573">
        <v>1000</v>
      </c>
      <c r="I573"/>
      <c r="J573" cm="1">
        <f t="array" ref="J573">_xlfn.SWITCH(B573,1,75,2,61,3,49,4,37,5,25,6,13,7,4,8,1)</f>
        <v>13</v>
      </c>
      <c r="K573" t="str" cm="1">
        <f t="array" ref="K573">IFERROR(_xlfn.SWITCH(L573,1,_xlfn.XLOOKUP(C573,[1]AttributeName!$C:$C,[1]AttributeName!$I:$I),2,_xlfn.XLOOKUP(C573,[1]ModifierDes!$B:$B,[1]ModifierDes!$C:$C),3,_xlfn.XLOOKUP(C573,[1]StuntDes!$B:$B,[1]StuntDes!$C:$C)),"")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403</v>
      </c>
      <c r="D574" t="s">
        <v>32</v>
      </c>
      <c r="E574" t="s">
        <v>410</v>
      </c>
      <c r="F574"/>
      <c r="G574">
        <v>2</v>
      </c>
      <c r="H574">
        <v>1000</v>
      </c>
      <c r="I574"/>
      <c r="J574" cm="1">
        <f t="array" ref="J574">_xlfn.SWITCH(B574,1,75,2,61,3,49,4,37,5,25,6,13,7,4,8,1)</f>
        <v>4</v>
      </c>
      <c r="K574" t="str" cm="1">
        <f t="array" ref="K574">IFERROR(_xlfn.SWITCH(L574,1,_xlfn.XLOOKUP(C574,[1]AttributeName!$C:$C,[1]AttributeName!$I:$I),2,_xlfn.XLOOKUP(C574,[1]ModifierDes!$B:$B,[1]ModifierDes!$C:$C),3,_xlfn.XLOOKUP(C574,[1]StuntDes!$B:$B,[1]StuntDes!$C:$C)),"")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403</v>
      </c>
      <c r="D575" t="s">
        <v>32</v>
      </c>
      <c r="E575" t="s">
        <v>410</v>
      </c>
      <c r="F575"/>
      <c r="G575">
        <v>2</v>
      </c>
      <c r="H575">
        <v>1000</v>
      </c>
      <c r="I575"/>
      <c r="J575" cm="1">
        <f t="array" ref="J575">_xlfn.SWITCH(B575,1,75,2,61,3,49,4,37,5,25,6,13,7,4,8,1)</f>
        <v>1</v>
      </c>
      <c r="K575" t="str" cm="1">
        <f t="array" ref="K575">IFERROR(_xlfn.SWITCH(L575,1,_xlfn.XLOOKUP(C575,[1]AttributeName!$C:$C,[1]AttributeName!$I:$I),2,_xlfn.XLOOKUP(C575,[1]ModifierDes!$B:$B,[1]ModifierDes!$C:$C),3,_xlfn.XLOOKUP(C575,[1]StuntDes!$B:$B,[1]StuntDes!$C:$C)),"")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444</v>
      </c>
      <c r="D576" t="s">
        <v>32</v>
      </c>
      <c r="E576" t="s">
        <v>410</v>
      </c>
      <c r="F576"/>
      <c r="G576">
        <v>2</v>
      </c>
      <c r="H576">
        <v>1000</v>
      </c>
      <c r="I576"/>
      <c r="J576" cm="1">
        <f t="array" ref="J576">_xlfn.SWITCH(B576,1,75,2,61,3,49,4,37,5,25,6,13,7,4,8,1)</f>
        <v>75</v>
      </c>
      <c r="K576" t="str" cm="1">
        <f t="array" ref="K576">IFERROR(_xlfn.SWITCH(L576,1,_xlfn.XLOOKUP(C576,[1]AttributeName!$C:$C,[1]AttributeName!$I:$I),2,_xlfn.XLOOKUP(C576,[1]ModifierDes!$B:$B,[1]ModifierDes!$C:$C),3,_xlfn.XLOOKUP(C576,[1]StuntDes!$B:$B,[1]StuntDes!$C:$C)),"")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444</v>
      </c>
      <c r="D577" t="s">
        <v>32</v>
      </c>
      <c r="E577" t="s">
        <v>410</v>
      </c>
      <c r="F577"/>
      <c r="G577">
        <v>2</v>
      </c>
      <c r="H577">
        <v>1000</v>
      </c>
      <c r="I577"/>
      <c r="J577" cm="1">
        <f t="array" ref="J577">_xlfn.SWITCH(B577,1,75,2,61,3,49,4,37,5,25,6,13,7,4,8,1)</f>
        <v>61</v>
      </c>
      <c r="K577" t="str" cm="1">
        <f t="array" ref="K577">IFERROR(_xlfn.SWITCH(L577,1,_xlfn.XLOOKUP(C577,[1]AttributeName!$C:$C,[1]AttributeName!$I:$I),2,_xlfn.XLOOKUP(C577,[1]ModifierDes!$B:$B,[1]ModifierDes!$C:$C),3,_xlfn.XLOOKUP(C577,[1]StuntDes!$B:$B,[1]StuntDes!$C:$C)),"")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444</v>
      </c>
      <c r="D578" t="s">
        <v>32</v>
      </c>
      <c r="E578" t="s">
        <v>410</v>
      </c>
      <c r="F578"/>
      <c r="G578">
        <v>2</v>
      </c>
      <c r="H578">
        <v>1000</v>
      </c>
      <c r="I578"/>
      <c r="J578" cm="1">
        <f t="array" ref="J578">_xlfn.SWITCH(B578,1,75,2,61,3,49,4,37,5,25,6,13,7,4,8,1)</f>
        <v>49</v>
      </c>
      <c r="K578" t="str" cm="1">
        <f t="array" ref="K578">IFERROR(_xlfn.SWITCH(L578,1,_xlfn.XLOOKUP(C578,[1]AttributeName!$C:$C,[1]AttributeName!$I:$I),2,_xlfn.XLOOKUP(C578,[1]ModifierDes!$B:$B,[1]ModifierDes!$C:$C),3,_xlfn.XLOOKUP(C578,[1]StuntDes!$B:$B,[1]StuntDes!$C:$C)),"")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444</v>
      </c>
      <c r="D579" t="s">
        <v>32</v>
      </c>
      <c r="E579" t="s">
        <v>410</v>
      </c>
      <c r="F579"/>
      <c r="G579">
        <v>2</v>
      </c>
      <c r="H579">
        <v>1000</v>
      </c>
      <c r="I579"/>
      <c r="J579" cm="1">
        <f t="array" ref="J579">_xlfn.SWITCH(B579,1,75,2,61,3,49,4,37,5,25,6,13,7,4,8,1)</f>
        <v>37</v>
      </c>
      <c r="K579" t="str" cm="1">
        <f t="array" ref="K579">IFERROR(_xlfn.SWITCH(L579,1,_xlfn.XLOOKUP(C579,[1]AttributeName!$C:$C,[1]AttributeName!$I:$I),2,_xlfn.XLOOKUP(C579,[1]ModifierDes!$B:$B,[1]ModifierDes!$C:$C),3,_xlfn.XLOOKUP(C579,[1]StuntDes!$B:$B,[1]StuntDes!$C:$C)),"")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444</v>
      </c>
      <c r="D580" t="s">
        <v>32</v>
      </c>
      <c r="E580" t="s">
        <v>410</v>
      </c>
      <c r="F580"/>
      <c r="G580">
        <v>2</v>
      </c>
      <c r="H580">
        <v>1000</v>
      </c>
      <c r="I580"/>
      <c r="J580" cm="1">
        <f t="array" ref="J580">_xlfn.SWITCH(B580,1,75,2,61,3,49,4,37,5,25,6,13,7,4,8,1)</f>
        <v>25</v>
      </c>
      <c r="K580" t="str" cm="1">
        <f t="array" ref="K580">IFERROR(_xlfn.SWITCH(L580,1,_xlfn.XLOOKUP(C580,[1]AttributeName!$C:$C,[1]AttributeName!$I:$I),2,_xlfn.XLOOKUP(C580,[1]ModifierDes!$B:$B,[1]ModifierDes!$C:$C),3,_xlfn.XLOOKUP(C580,[1]StuntDes!$B:$B,[1]StuntDes!$C:$C)),"")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444</v>
      </c>
      <c r="D581" t="s">
        <v>32</v>
      </c>
      <c r="E581" t="s">
        <v>410</v>
      </c>
      <c r="F581"/>
      <c r="G581">
        <v>2</v>
      </c>
      <c r="H581">
        <v>1000</v>
      </c>
      <c r="I581"/>
      <c r="J581" cm="1">
        <f t="array" ref="J581">_xlfn.SWITCH(B581,1,75,2,61,3,49,4,37,5,25,6,13,7,4,8,1)</f>
        <v>13</v>
      </c>
      <c r="K581" t="str" cm="1">
        <f t="array" ref="K581">IFERROR(_xlfn.SWITCH(L581,1,_xlfn.XLOOKUP(C581,[1]AttributeName!$C:$C,[1]AttributeName!$I:$I),2,_xlfn.XLOOKUP(C581,[1]ModifierDes!$B:$B,[1]ModifierDes!$C:$C),3,_xlfn.XLOOKUP(C581,[1]StuntDes!$B:$B,[1]StuntDes!$C:$C)),"")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444</v>
      </c>
      <c r="D582" t="s">
        <v>32</v>
      </c>
      <c r="E582" t="s">
        <v>410</v>
      </c>
      <c r="F582"/>
      <c r="G582">
        <v>2</v>
      </c>
      <c r="H582">
        <v>1000</v>
      </c>
      <c r="I582"/>
      <c r="J582" cm="1">
        <f t="array" ref="J582">_xlfn.SWITCH(B582,1,75,2,61,3,49,4,37,5,25,6,13,7,4,8,1)</f>
        <v>4</v>
      </c>
      <c r="K582" t="str" cm="1">
        <f t="array" ref="K582">IFERROR(_xlfn.SWITCH(L582,1,_xlfn.XLOOKUP(C582,[1]AttributeName!$C:$C,[1]AttributeName!$I:$I),2,_xlfn.XLOOKUP(C582,[1]ModifierDes!$B:$B,[1]ModifierDes!$C:$C),3,_xlfn.XLOOKUP(C582,[1]StuntDes!$B:$B,[1]StuntDes!$C:$C)),"")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444</v>
      </c>
      <c r="D583" t="s">
        <v>32</v>
      </c>
      <c r="E583" t="s">
        <v>410</v>
      </c>
      <c r="F583"/>
      <c r="G583">
        <v>2</v>
      </c>
      <c r="H583">
        <v>1000</v>
      </c>
      <c r="I583"/>
      <c r="J583" cm="1">
        <f t="array" ref="J583">_xlfn.SWITCH(B583,1,75,2,61,3,49,4,37,5,25,6,13,7,4,8,1)</f>
        <v>1</v>
      </c>
      <c r="K583" t="str" cm="1">
        <f t="array" ref="K583">IFERROR(_xlfn.SWITCH(L583,1,_xlfn.XLOOKUP(C583,[1]AttributeName!$C:$C,[1]AttributeName!$I:$I),2,_xlfn.XLOOKUP(C583,[1]ModifierDes!$B:$B,[1]ModifierDes!$C:$C),3,_xlfn.XLOOKUP(C583,[1]StuntDes!$B:$B,[1]StuntDes!$C:$C)),"")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424</v>
      </c>
      <c r="D584" t="s">
        <v>32</v>
      </c>
      <c r="E584" t="s">
        <v>410</v>
      </c>
      <c r="F584"/>
      <c r="G584">
        <v>2</v>
      </c>
      <c r="H584">
        <v>1000</v>
      </c>
      <c r="I584"/>
      <c r="J584" cm="1">
        <f t="array" ref="J584">_xlfn.SWITCH(B584,1,75,2,61,3,49,4,37,5,25,6,13,7,4,8,1)</f>
        <v>75</v>
      </c>
      <c r="K584" t="str" cm="1">
        <f t="array" ref="K584">IFERROR(_xlfn.SWITCH(L584,1,_xlfn.XLOOKUP(C584,[1]AttributeName!$C:$C,[1]AttributeName!$I:$I),2,_xlfn.XLOOKUP(C584,[1]ModifierDes!$B:$B,[1]ModifierDes!$C:$C),3,_xlfn.XLOOKUP(C584,[1]StuntDes!$B:$B,[1]StuntDes!$C:$C)),"")</f>
        <v>穿戴等级降低增加{0}</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424</v>
      </c>
      <c r="D585" t="s">
        <v>32</v>
      </c>
      <c r="E585" t="s">
        <v>410</v>
      </c>
      <c r="F585"/>
      <c r="G585">
        <v>2</v>
      </c>
      <c r="H585">
        <v>1000</v>
      </c>
      <c r="I585"/>
      <c r="J585" cm="1">
        <f t="array" ref="J585">_xlfn.SWITCH(B585,1,75,2,61,3,49,4,37,5,25,6,13,7,4,8,1)</f>
        <v>61</v>
      </c>
      <c r="K585" t="str" cm="1">
        <f t="array" ref="K585">IFERROR(_xlfn.SWITCH(L585,1,_xlfn.XLOOKUP(C585,[1]AttributeName!$C:$C,[1]AttributeName!$I:$I),2,_xlfn.XLOOKUP(C585,[1]ModifierDes!$B:$B,[1]ModifierDes!$C:$C),3,_xlfn.XLOOKUP(C585,[1]StuntDes!$B:$B,[1]StuntDes!$C:$C)),"")</f>
        <v>穿戴等级降低增加{0}</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424</v>
      </c>
      <c r="D586" t="s">
        <v>32</v>
      </c>
      <c r="E586" t="s">
        <v>410</v>
      </c>
      <c r="F586"/>
      <c r="G586">
        <v>2</v>
      </c>
      <c r="H586">
        <v>1000</v>
      </c>
      <c r="I586"/>
      <c r="J586" cm="1">
        <f t="array" ref="J586">_xlfn.SWITCH(B586,1,75,2,61,3,49,4,37,5,25,6,13,7,4,8,1)</f>
        <v>49</v>
      </c>
      <c r="K586" t="str" cm="1">
        <f t="array" ref="K586">IFERROR(_xlfn.SWITCH(L586,1,_xlfn.XLOOKUP(C586,[1]AttributeName!$C:$C,[1]AttributeName!$I:$I),2,_xlfn.XLOOKUP(C586,[1]ModifierDes!$B:$B,[1]ModifierDes!$C:$C),3,_xlfn.XLOOKUP(C586,[1]StuntDes!$B:$B,[1]StuntDes!$C:$C)),"")</f>
        <v>穿戴等级降低增加{0}</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424</v>
      </c>
      <c r="D587" t="s">
        <v>32</v>
      </c>
      <c r="E587" t="s">
        <v>410</v>
      </c>
      <c r="F587"/>
      <c r="G587">
        <v>2</v>
      </c>
      <c r="H587">
        <v>1000</v>
      </c>
      <c r="I587"/>
      <c r="J587" cm="1">
        <f t="array" ref="J587">_xlfn.SWITCH(B587,1,75,2,61,3,49,4,37,5,25,6,13,7,4,8,1)</f>
        <v>37</v>
      </c>
      <c r="K587" t="str" cm="1">
        <f t="array" ref="K587">IFERROR(_xlfn.SWITCH(L587,1,_xlfn.XLOOKUP(C587,[1]AttributeName!$C:$C,[1]AttributeName!$I:$I),2,_xlfn.XLOOKUP(C587,[1]ModifierDes!$B:$B,[1]ModifierDes!$C:$C),3,_xlfn.XLOOKUP(C587,[1]StuntDes!$B:$B,[1]StuntDes!$C:$C)),"")</f>
        <v>穿戴等级降低增加{0}</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424</v>
      </c>
      <c r="D588" t="s">
        <v>32</v>
      </c>
      <c r="E588" t="s">
        <v>410</v>
      </c>
      <c r="F588"/>
      <c r="G588">
        <v>2</v>
      </c>
      <c r="H588">
        <v>1000</v>
      </c>
      <c r="I588"/>
      <c r="J588" cm="1">
        <f t="array" ref="J588">_xlfn.SWITCH(B588,1,75,2,61,3,49,4,37,5,25,6,13,7,4,8,1)</f>
        <v>25</v>
      </c>
      <c r="K588" t="str" cm="1">
        <f t="array" ref="K588">IFERROR(_xlfn.SWITCH(L588,1,_xlfn.XLOOKUP(C588,[1]AttributeName!$C:$C,[1]AttributeName!$I:$I),2,_xlfn.XLOOKUP(C588,[1]ModifierDes!$B:$B,[1]ModifierDes!$C:$C),3,_xlfn.XLOOKUP(C588,[1]StuntDes!$B:$B,[1]StuntDes!$C:$C)),"")</f>
        <v>穿戴等级降低增加{0}</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424</v>
      </c>
      <c r="D589" t="s">
        <v>32</v>
      </c>
      <c r="E589" t="s">
        <v>410</v>
      </c>
      <c r="F589"/>
      <c r="G589">
        <v>2</v>
      </c>
      <c r="H589">
        <v>1000</v>
      </c>
      <c r="I589"/>
      <c r="J589" cm="1">
        <f t="array" ref="J589">_xlfn.SWITCH(B589,1,75,2,61,3,49,4,37,5,25,6,13,7,4,8,1)</f>
        <v>13</v>
      </c>
      <c r="K589" t="str" cm="1">
        <f t="array" ref="K589">IFERROR(_xlfn.SWITCH(L589,1,_xlfn.XLOOKUP(C589,[1]AttributeName!$C:$C,[1]AttributeName!$I:$I),2,_xlfn.XLOOKUP(C589,[1]ModifierDes!$B:$B,[1]ModifierDes!$C:$C),3,_xlfn.XLOOKUP(C589,[1]StuntDes!$B:$B,[1]StuntDes!$C:$C)),"")</f>
        <v>穿戴等级降低增加{0}</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424</v>
      </c>
      <c r="D590" t="s">
        <v>32</v>
      </c>
      <c r="E590" t="s">
        <v>410</v>
      </c>
      <c r="F590"/>
      <c r="G590">
        <v>2</v>
      </c>
      <c r="H590">
        <v>1000</v>
      </c>
      <c r="I590"/>
      <c r="J590" cm="1">
        <f t="array" ref="J590">_xlfn.SWITCH(B590,1,75,2,61,3,49,4,37,5,25,6,13,7,4,8,1)</f>
        <v>4</v>
      </c>
      <c r="K590" t="str" cm="1">
        <f t="array" ref="K590">IFERROR(_xlfn.SWITCH(L590,1,_xlfn.XLOOKUP(C590,[1]AttributeName!$C:$C,[1]AttributeName!$I:$I),2,_xlfn.XLOOKUP(C590,[1]ModifierDes!$B:$B,[1]ModifierDes!$C:$C),3,_xlfn.XLOOKUP(C590,[1]StuntDes!$B:$B,[1]StuntDes!$C:$C)),"")</f>
        <v>穿戴等级降低增加{0}</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424</v>
      </c>
      <c r="D591" t="s">
        <v>32</v>
      </c>
      <c r="E591" t="s">
        <v>410</v>
      </c>
      <c r="F591"/>
      <c r="G591">
        <v>2</v>
      </c>
      <c r="H591">
        <v>1000</v>
      </c>
      <c r="I591"/>
      <c r="J591" cm="1">
        <f t="array" ref="J591">_xlfn.SWITCH(B591,1,75,2,61,3,49,4,37,5,25,6,13,7,4,8,1)</f>
        <v>1</v>
      </c>
      <c r="K591" t="str" cm="1">
        <f t="array" ref="K591">IFERROR(_xlfn.SWITCH(L591,1,_xlfn.XLOOKUP(C591,[1]AttributeName!$C:$C,[1]AttributeName!$I:$I),2,_xlfn.XLOOKUP(C591,[1]ModifierDes!$B:$B,[1]ModifierDes!$C:$C),3,_xlfn.XLOOKUP(C591,[1]StuntDes!$B:$B,[1]StuntDes!$C:$C)),"")</f>
        <v>穿戴等级降低增加{0}</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445</v>
      </c>
      <c r="D592" t="s">
        <v>32</v>
      </c>
      <c r="E592" t="s">
        <v>410</v>
      </c>
      <c r="F592"/>
      <c r="G592">
        <v>2</v>
      </c>
      <c r="H592">
        <v>1000</v>
      </c>
      <c r="I592"/>
      <c r="J592" cm="1">
        <f t="array" ref="J592">_xlfn.SWITCH(B592,1,75,2,61,3,49,4,37,5,25,6,13,7,4,8,1)</f>
        <v>75</v>
      </c>
      <c r="K592" t="str" cm="1">
        <f t="array" ref="K592">IFERROR(_xlfn.SWITCH(L592,1,_xlfn.XLOOKUP(C592,[1]AttributeName!$C:$C,[1]AttributeName!$I:$I),2,_xlfn.XLOOKUP(C592,[1]ModifierDes!$B:$B,[1]ModifierDes!$C:$C),3,_xlfn.XLOOKUP(C592,[1]StuntDes!$B:$B,[1]StuntDes!$C:$C)),"")</f>
        <v>每秒生命恢复增加{0}</v>
      </c>
      <c r="L592">
        <f t="shared" si="48"/>
        <v>1</v>
      </c>
      <c r="M592" s="10" t="str">
        <f>IFERROR(_xlfn.XLOOKUP(C592,[1]StuntDes!$B:$B,[1]StuntDes!$A:$A),"")</f>
        <v/>
      </c>
      <c r="N592" s="10" t="str">
        <f>IFERROR(_xlfn.XLOOKUP(C592,[1]ModifierDes!$B:$B,[1]ModifierDes!$A:$A),"")</f>
        <v/>
      </c>
      <c r="O592" s="10">
        <f>IFERROR(_xlfn.XLOOKUP(C592,[1]AttributeName!$C:$C,[1]AttributeName!$B:$B),"")</f>
        <v>10003</v>
      </c>
      <c r="P592" s="10"/>
      <c r="Q592">
        <v>66</v>
      </c>
      <c r="R592">
        <v>99</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445</v>
      </c>
      <c r="D593" t="s">
        <v>32</v>
      </c>
      <c r="E593" t="s">
        <v>410</v>
      </c>
      <c r="F593"/>
      <c r="G593">
        <v>2</v>
      </c>
      <c r="H593">
        <v>1000</v>
      </c>
      <c r="I593"/>
      <c r="J593" cm="1">
        <f t="array" ref="J593">_xlfn.SWITCH(B593,1,75,2,61,3,49,4,37,5,25,6,13,7,4,8,1)</f>
        <v>61</v>
      </c>
      <c r="K593" t="str" cm="1">
        <f t="array" ref="K593">IFERROR(_xlfn.SWITCH(L593,1,_xlfn.XLOOKUP(C593,[1]AttributeName!$C:$C,[1]AttributeName!$I:$I),2,_xlfn.XLOOKUP(C593,[1]ModifierDes!$B:$B,[1]ModifierDes!$C:$C),3,_xlfn.XLOOKUP(C593,[1]StuntDes!$B:$B,[1]StuntDes!$C:$C)),"")</f>
        <v>每秒生命恢复增加{0}</v>
      </c>
      <c r="L593">
        <f t="shared" si="48"/>
        <v>1</v>
      </c>
      <c r="M593" s="10" t="str">
        <f>IFERROR(_xlfn.XLOOKUP(C593,[1]StuntDes!$B:$B,[1]StuntDes!$A:$A),"")</f>
        <v/>
      </c>
      <c r="N593" s="10" t="str">
        <f>IFERROR(_xlfn.XLOOKUP(C593,[1]ModifierDes!$B:$B,[1]ModifierDes!$A:$A),"")</f>
        <v/>
      </c>
      <c r="O593" s="10">
        <f>IFERROR(_xlfn.XLOOKUP(C593,[1]AttributeName!$C:$C,[1]AttributeName!$B:$B),"")</f>
        <v>10003</v>
      </c>
      <c r="P593" s="10"/>
      <c r="Q593">
        <v>55</v>
      </c>
      <c r="R593">
        <v>61</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445</v>
      </c>
      <c r="D594" t="s">
        <v>32</v>
      </c>
      <c r="E594" t="s">
        <v>410</v>
      </c>
      <c r="F594"/>
      <c r="G594">
        <v>2</v>
      </c>
      <c r="H594">
        <v>1000</v>
      </c>
      <c r="I594"/>
      <c r="J594" cm="1">
        <f t="array" ref="J594">_xlfn.SWITCH(B594,1,75,2,61,3,49,4,37,5,25,6,13,7,4,8,1)</f>
        <v>49</v>
      </c>
      <c r="K594" t="str" cm="1">
        <f t="array" ref="K594">IFERROR(_xlfn.SWITCH(L594,1,_xlfn.XLOOKUP(C594,[1]AttributeName!$C:$C,[1]AttributeName!$I:$I),2,_xlfn.XLOOKUP(C594,[1]ModifierDes!$B:$B,[1]ModifierDes!$C:$C),3,_xlfn.XLOOKUP(C594,[1]StuntDes!$B:$B,[1]StuntDes!$C:$C)),"")</f>
        <v>每秒生命恢复增加{0}</v>
      </c>
      <c r="L594">
        <f t="shared" si="48"/>
        <v>1</v>
      </c>
      <c r="M594" s="10" t="str">
        <f>IFERROR(_xlfn.XLOOKUP(C594,[1]StuntDes!$B:$B,[1]StuntDes!$A:$A),"")</f>
        <v/>
      </c>
      <c r="N594" s="10" t="str">
        <f>IFERROR(_xlfn.XLOOKUP(C594,[1]ModifierDes!$B:$B,[1]ModifierDes!$A:$A),"")</f>
        <v/>
      </c>
      <c r="O594" s="10">
        <f>IFERROR(_xlfn.XLOOKUP(C594,[1]AttributeName!$C:$C,[1]AttributeName!$B:$B),"")</f>
        <v>10003</v>
      </c>
      <c r="P594" s="10"/>
      <c r="Q594">
        <v>45</v>
      </c>
      <c r="R594">
        <v>51</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445</v>
      </c>
      <c r="D595" t="s">
        <v>32</v>
      </c>
      <c r="E595" t="s">
        <v>410</v>
      </c>
      <c r="F595"/>
      <c r="G595">
        <v>2</v>
      </c>
      <c r="H595">
        <v>1000</v>
      </c>
      <c r="I595"/>
      <c r="J595" cm="1">
        <f t="array" ref="J595">_xlfn.SWITCH(B595,1,75,2,61,3,49,4,37,5,25,6,13,7,4,8,1)</f>
        <v>37</v>
      </c>
      <c r="K595" t="str" cm="1">
        <f t="array" ref="K595">IFERROR(_xlfn.SWITCH(L595,1,_xlfn.XLOOKUP(C595,[1]AttributeName!$C:$C,[1]AttributeName!$I:$I),2,_xlfn.XLOOKUP(C595,[1]ModifierDes!$B:$B,[1]ModifierDes!$C:$C),3,_xlfn.XLOOKUP(C595,[1]StuntDes!$B:$B,[1]StuntDes!$C:$C)),"")</f>
        <v>每秒生命恢复增加{0}</v>
      </c>
      <c r="L595">
        <f t="shared" si="48"/>
        <v>1</v>
      </c>
      <c r="M595" s="10" t="str">
        <f>IFERROR(_xlfn.XLOOKUP(C595,[1]StuntDes!$B:$B,[1]StuntDes!$A:$A),"")</f>
        <v/>
      </c>
      <c r="N595" s="10" t="str">
        <f>IFERROR(_xlfn.XLOOKUP(C595,[1]ModifierDes!$B:$B,[1]ModifierDes!$A:$A),"")</f>
        <v/>
      </c>
      <c r="O595" s="10">
        <f>IFERROR(_xlfn.XLOOKUP(C595,[1]AttributeName!$C:$C,[1]AttributeName!$B:$B),"")</f>
        <v>10003</v>
      </c>
      <c r="P595" s="10"/>
      <c r="Q595">
        <v>36</v>
      </c>
      <c r="R595">
        <v>42</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445</v>
      </c>
      <c r="D596" t="s">
        <v>32</v>
      </c>
      <c r="E596" t="s">
        <v>410</v>
      </c>
      <c r="F596"/>
      <c r="G596">
        <v>2</v>
      </c>
      <c r="H596">
        <v>1000</v>
      </c>
      <c r="I596"/>
      <c r="J596" cm="1">
        <f t="array" ref="J596">_xlfn.SWITCH(B596,1,75,2,61,3,49,4,37,5,25,6,13,7,4,8,1)</f>
        <v>25</v>
      </c>
      <c r="K596" t="str" cm="1">
        <f t="array" ref="K596">IFERROR(_xlfn.SWITCH(L596,1,_xlfn.XLOOKUP(C596,[1]AttributeName!$C:$C,[1]AttributeName!$I:$I),2,_xlfn.XLOOKUP(C596,[1]ModifierDes!$B:$B,[1]ModifierDes!$C:$C),3,_xlfn.XLOOKUP(C596,[1]StuntDes!$B:$B,[1]StuntDes!$C:$C)),"")</f>
        <v>每秒生命恢复增加{0}</v>
      </c>
      <c r="L596">
        <f t="shared" si="48"/>
        <v>1</v>
      </c>
      <c r="M596" s="10" t="str">
        <f>IFERROR(_xlfn.XLOOKUP(C596,[1]StuntDes!$B:$B,[1]StuntDes!$A:$A),"")</f>
        <v/>
      </c>
      <c r="N596" s="10" t="str">
        <f>IFERROR(_xlfn.XLOOKUP(C596,[1]ModifierDes!$B:$B,[1]ModifierDes!$A:$A),"")</f>
        <v/>
      </c>
      <c r="O596" s="10">
        <f>IFERROR(_xlfn.XLOOKUP(C596,[1]AttributeName!$C:$C,[1]AttributeName!$B:$B),"")</f>
        <v>10003</v>
      </c>
      <c r="P596" s="10"/>
      <c r="Q596">
        <v>28</v>
      </c>
      <c r="R596">
        <v>33</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445</v>
      </c>
      <c r="D597" t="s">
        <v>32</v>
      </c>
      <c r="E597" t="s">
        <v>410</v>
      </c>
      <c r="F597"/>
      <c r="G597">
        <v>2</v>
      </c>
      <c r="H597">
        <v>1000</v>
      </c>
      <c r="I597"/>
      <c r="J597" cm="1">
        <f t="array" ref="J597">_xlfn.SWITCH(B597,1,75,2,61,3,49,4,37,5,25,6,13,7,4,8,1)</f>
        <v>13</v>
      </c>
      <c r="K597" t="str" cm="1">
        <f t="array" ref="K597">IFERROR(_xlfn.SWITCH(L597,1,_xlfn.XLOOKUP(C597,[1]AttributeName!$C:$C,[1]AttributeName!$I:$I),2,_xlfn.XLOOKUP(C597,[1]ModifierDes!$B:$B,[1]ModifierDes!$C:$C),3,_xlfn.XLOOKUP(C597,[1]StuntDes!$B:$B,[1]StuntDes!$C:$C)),"")</f>
        <v>每秒生命恢复增加{0}</v>
      </c>
      <c r="L597">
        <f t="shared" si="48"/>
        <v>1</v>
      </c>
      <c r="M597" s="10" t="str">
        <f>IFERROR(_xlfn.XLOOKUP(C597,[1]StuntDes!$B:$B,[1]StuntDes!$A:$A),"")</f>
        <v/>
      </c>
      <c r="N597" s="10" t="str">
        <f>IFERROR(_xlfn.XLOOKUP(C597,[1]ModifierDes!$B:$B,[1]ModifierDes!$A:$A),"")</f>
        <v/>
      </c>
      <c r="O597" s="10">
        <f>IFERROR(_xlfn.XLOOKUP(C597,[1]AttributeName!$C:$C,[1]AttributeName!$B:$B),"")</f>
        <v>10003</v>
      </c>
      <c r="P597" s="10"/>
      <c r="Q597">
        <v>21</v>
      </c>
      <c r="R597">
        <v>26</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445</v>
      </c>
      <c r="D598" t="s">
        <v>32</v>
      </c>
      <c r="E598" t="s">
        <v>410</v>
      </c>
      <c r="F598"/>
      <c r="G598">
        <v>2</v>
      </c>
      <c r="H598">
        <v>1000</v>
      </c>
      <c r="I598"/>
      <c r="J598" cm="1">
        <f t="array" ref="J598">_xlfn.SWITCH(B598,1,75,2,61,3,49,4,37,5,25,6,13,7,4,8,1)</f>
        <v>4</v>
      </c>
      <c r="K598" t="str" cm="1">
        <f t="array" ref="K598">IFERROR(_xlfn.SWITCH(L598,1,_xlfn.XLOOKUP(C598,[1]AttributeName!$C:$C,[1]AttributeName!$I:$I),2,_xlfn.XLOOKUP(C598,[1]ModifierDes!$B:$B,[1]ModifierDes!$C:$C),3,_xlfn.XLOOKUP(C598,[1]StuntDes!$B:$B,[1]StuntDes!$C:$C)),"")</f>
        <v>每秒生命恢复增加{0}</v>
      </c>
      <c r="L598">
        <f t="shared" si="48"/>
        <v>1</v>
      </c>
      <c r="M598" s="10" t="str">
        <f>IFERROR(_xlfn.XLOOKUP(C598,[1]StuntDes!$B:$B,[1]StuntDes!$A:$A),"")</f>
        <v/>
      </c>
      <c r="N598" s="10" t="str">
        <f>IFERROR(_xlfn.XLOOKUP(C598,[1]ModifierDes!$B:$B,[1]ModifierDes!$A:$A),"")</f>
        <v/>
      </c>
      <c r="O598" s="10">
        <f>IFERROR(_xlfn.XLOOKUP(C598,[1]AttributeName!$C:$C,[1]AttributeName!$B:$B),"")</f>
        <v>10003</v>
      </c>
      <c r="P598" s="10"/>
      <c r="Q598">
        <v>14</v>
      </c>
      <c r="R598">
        <v>18</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445</v>
      </c>
      <c r="D599" t="s">
        <v>32</v>
      </c>
      <c r="E599" t="s">
        <v>410</v>
      </c>
      <c r="F599"/>
      <c r="G599">
        <v>2</v>
      </c>
      <c r="H599">
        <v>1000</v>
      </c>
      <c r="I599"/>
      <c r="J599" cm="1">
        <f t="array" ref="J599">_xlfn.SWITCH(B599,1,75,2,61,3,49,4,37,5,25,6,13,7,4,8,1)</f>
        <v>1</v>
      </c>
      <c r="K599" t="str" cm="1">
        <f t="array" ref="K599">IFERROR(_xlfn.SWITCH(L599,1,_xlfn.XLOOKUP(C599,[1]AttributeName!$C:$C,[1]AttributeName!$I:$I),2,_xlfn.XLOOKUP(C599,[1]ModifierDes!$B:$B,[1]ModifierDes!$C:$C),3,_xlfn.XLOOKUP(C599,[1]StuntDes!$B:$B,[1]StuntDes!$C:$C)),"")</f>
        <v>每秒生命恢复增加{0}</v>
      </c>
      <c r="L599">
        <f t="shared" si="48"/>
        <v>1</v>
      </c>
      <c r="M599" s="10" t="str">
        <f>IFERROR(_xlfn.XLOOKUP(C599,[1]StuntDes!$B:$B,[1]StuntDes!$A:$A),"")</f>
        <v/>
      </c>
      <c r="N599" s="10" t="str">
        <f>IFERROR(_xlfn.XLOOKUP(C599,[1]ModifierDes!$B:$B,[1]ModifierDes!$A:$A),"")</f>
        <v/>
      </c>
      <c r="O599" s="10">
        <f>IFERROR(_xlfn.XLOOKUP(C599,[1]AttributeName!$C:$C,[1]AttributeName!$B:$B),"")</f>
        <v>10003</v>
      </c>
      <c r="P599" s="10"/>
      <c r="Q599">
        <v>8</v>
      </c>
      <c r="R599">
        <v>13</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446</v>
      </c>
      <c r="D600" t="s">
        <v>32</v>
      </c>
      <c r="E600" t="s">
        <v>410</v>
      </c>
      <c r="G600">
        <v>2</v>
      </c>
      <c r="H600">
        <v>1000</v>
      </c>
      <c r="J600" cm="1">
        <f t="array" ref="J600">_xlfn.SWITCH(B600,1,75,2,61,3,49,4,37,5,25,6,13,7,4,8,1)</f>
        <v>75</v>
      </c>
      <c r="K600" t="str" cm="1">
        <f t="array" ref="K600">IFERROR(_xlfn.SWITCH(L600,1,_xlfn.XLOOKUP(C600,[1]AttributeName!$C:$C,[1]AttributeName!$I:$I),2,_xlfn.XLOOKUP(C600,[1]ModifierDes!$B:$B,[1]ModifierDes!$C:$C),3,_xlfn.XLOOKUP(C600,[1]StuntDes!$B:$B,[1]StuntDes!$C:$C)),"")</f>
        <v>每秒魔力恢复增加{0}</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44</v>
      </c>
      <c r="R600">
        <v>66</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446</v>
      </c>
      <c r="D601" t="s">
        <v>32</v>
      </c>
      <c r="E601" t="s">
        <v>410</v>
      </c>
      <c r="G601">
        <v>2</v>
      </c>
      <c r="H601">
        <v>1000</v>
      </c>
      <c r="J601" cm="1">
        <f t="array" ref="J601">_xlfn.SWITCH(B601,1,75,2,61,3,49,4,37,5,25,6,13,7,4,8,1)</f>
        <v>61</v>
      </c>
      <c r="K601" t="str" cm="1">
        <f t="array" ref="K601">IFERROR(_xlfn.SWITCH(L601,1,_xlfn.XLOOKUP(C601,[1]AttributeName!$C:$C,[1]AttributeName!$I:$I),2,_xlfn.XLOOKUP(C601,[1]ModifierDes!$B:$B,[1]ModifierDes!$C:$C),3,_xlfn.XLOOKUP(C601,[1]StuntDes!$B:$B,[1]StuntDes!$C:$C)),"")</f>
        <v>每秒魔力恢复增加{0}</v>
      </c>
      <c r="L601">
        <f t="shared" si="51"/>
        <v>1</v>
      </c>
      <c r="M601" s="10" t="str">
        <f>IFERROR(_xlfn.XLOOKUP(C601,[1]StuntDes!$B:$B,[1]StuntDes!$A:$A),"")</f>
        <v/>
      </c>
      <c r="N601" s="10" t="str">
        <f>IFERROR(_xlfn.XLOOKUP(C601,[1]ModifierDes!$B:$B,[1]ModifierDes!$A:$A),"")</f>
        <v/>
      </c>
      <c r="O601" s="10">
        <f>IFERROR(_xlfn.XLOOKUP(C601,[1]AttributeName!$C:$C,[1]AttributeName!$B:$B),"")</f>
        <v>10005</v>
      </c>
      <c r="P601" s="10"/>
      <c r="Q601">
        <v>37</v>
      </c>
      <c r="R601">
        <v>40</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446</v>
      </c>
      <c r="D602" t="s">
        <v>32</v>
      </c>
      <c r="E602" t="s">
        <v>410</v>
      </c>
      <c r="G602">
        <v>2</v>
      </c>
      <c r="H602">
        <v>1000</v>
      </c>
      <c r="J602" cm="1">
        <f t="array" ref="J602">_xlfn.SWITCH(B602,1,75,2,61,3,49,4,37,5,25,6,13,7,4,8,1)</f>
        <v>49</v>
      </c>
      <c r="K602" t="str" cm="1">
        <f t="array" ref="K602">IFERROR(_xlfn.SWITCH(L602,1,_xlfn.XLOOKUP(C602,[1]AttributeName!$C:$C,[1]AttributeName!$I:$I),2,_xlfn.XLOOKUP(C602,[1]ModifierDes!$B:$B,[1]ModifierDes!$C:$C),3,_xlfn.XLOOKUP(C602,[1]StuntDes!$B:$B,[1]StuntDes!$C:$C)),"")</f>
        <v>每秒魔力恢复增加{0}</v>
      </c>
      <c r="L602">
        <f t="shared" si="51"/>
        <v>1</v>
      </c>
      <c r="M602" s="10" t="str">
        <f>IFERROR(_xlfn.XLOOKUP(C602,[1]StuntDes!$B:$B,[1]StuntDes!$A:$A),"")</f>
        <v/>
      </c>
      <c r="N602" s="10" t="str">
        <f>IFERROR(_xlfn.XLOOKUP(C602,[1]ModifierDes!$B:$B,[1]ModifierDes!$A:$A),"")</f>
        <v/>
      </c>
      <c r="O602" s="10">
        <f>IFERROR(_xlfn.XLOOKUP(C602,[1]AttributeName!$C:$C,[1]AttributeName!$B:$B),"")</f>
        <v>10005</v>
      </c>
      <c r="P602" s="10"/>
      <c r="Q602">
        <v>30</v>
      </c>
      <c r="R602">
        <v>34</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446</v>
      </c>
      <c r="D603" t="s">
        <v>32</v>
      </c>
      <c r="E603" t="s">
        <v>410</v>
      </c>
      <c r="G603">
        <v>2</v>
      </c>
      <c r="H603">
        <v>1000</v>
      </c>
      <c r="J603" cm="1">
        <f t="array" ref="J603">_xlfn.SWITCH(B603,1,75,2,61,3,49,4,37,5,25,6,13,7,4,8,1)</f>
        <v>37</v>
      </c>
      <c r="K603" t="str" cm="1">
        <f t="array" ref="K603">IFERROR(_xlfn.SWITCH(L603,1,_xlfn.XLOOKUP(C603,[1]AttributeName!$C:$C,[1]AttributeName!$I:$I),2,_xlfn.XLOOKUP(C603,[1]ModifierDes!$B:$B,[1]ModifierDes!$C:$C),3,_xlfn.XLOOKUP(C603,[1]StuntDes!$B:$B,[1]StuntDes!$C:$C)),"")</f>
        <v>每秒魔力恢复增加{0}</v>
      </c>
      <c r="L603">
        <f t="shared" si="51"/>
        <v>1</v>
      </c>
      <c r="M603" s="10" t="str">
        <f>IFERROR(_xlfn.XLOOKUP(C603,[1]StuntDes!$B:$B,[1]StuntDes!$A:$A),"")</f>
        <v/>
      </c>
      <c r="N603" s="10" t="str">
        <f>IFERROR(_xlfn.XLOOKUP(C603,[1]ModifierDes!$B:$B,[1]ModifierDes!$A:$A),"")</f>
        <v/>
      </c>
      <c r="O603" s="10">
        <f>IFERROR(_xlfn.XLOOKUP(C603,[1]AttributeName!$C:$C,[1]AttributeName!$B:$B),"")</f>
        <v>10005</v>
      </c>
      <c r="P603" s="10"/>
      <c r="Q603">
        <v>24</v>
      </c>
      <c r="R603">
        <v>28</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446</v>
      </c>
      <c r="D604" t="s">
        <v>32</v>
      </c>
      <c r="E604" t="s">
        <v>410</v>
      </c>
      <c r="G604">
        <v>2</v>
      </c>
      <c r="H604">
        <v>1000</v>
      </c>
      <c r="J604" cm="1">
        <f t="array" ref="J604">_xlfn.SWITCH(B604,1,75,2,61,3,49,4,37,5,25,6,13,7,4,8,1)</f>
        <v>25</v>
      </c>
      <c r="K604" t="str" cm="1">
        <f t="array" ref="K604">IFERROR(_xlfn.SWITCH(L604,1,_xlfn.XLOOKUP(C604,[1]AttributeName!$C:$C,[1]AttributeName!$I:$I),2,_xlfn.XLOOKUP(C604,[1]ModifierDes!$B:$B,[1]ModifierDes!$C:$C),3,_xlfn.XLOOKUP(C604,[1]StuntDes!$B:$B,[1]StuntDes!$C:$C)),"")</f>
        <v>每秒魔力恢复增加{0}</v>
      </c>
      <c r="L604">
        <f t="shared" si="51"/>
        <v>1</v>
      </c>
      <c r="M604" s="10" t="str">
        <f>IFERROR(_xlfn.XLOOKUP(C604,[1]StuntDes!$B:$B,[1]StuntDes!$A:$A),"")</f>
        <v/>
      </c>
      <c r="N604" s="10" t="str">
        <f>IFERROR(_xlfn.XLOOKUP(C604,[1]ModifierDes!$B:$B,[1]ModifierDes!$A:$A),"")</f>
        <v/>
      </c>
      <c r="O604" s="10">
        <f>IFERROR(_xlfn.XLOOKUP(C604,[1]AttributeName!$C:$C,[1]AttributeName!$B:$B),"")</f>
        <v>10005</v>
      </c>
      <c r="P604" s="10"/>
      <c r="Q604">
        <v>19</v>
      </c>
      <c r="R604">
        <v>22</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446</v>
      </c>
      <c r="D605" t="s">
        <v>32</v>
      </c>
      <c r="E605" t="s">
        <v>410</v>
      </c>
      <c r="G605">
        <v>2</v>
      </c>
      <c r="H605">
        <v>1000</v>
      </c>
      <c r="J605" cm="1">
        <f t="array" ref="J605">_xlfn.SWITCH(B605,1,75,2,61,3,49,4,37,5,25,6,13,7,4,8,1)</f>
        <v>13</v>
      </c>
      <c r="K605" t="str" cm="1">
        <f t="array" ref="K605">IFERROR(_xlfn.SWITCH(L605,1,_xlfn.XLOOKUP(C605,[1]AttributeName!$C:$C,[1]AttributeName!$I:$I),2,_xlfn.XLOOKUP(C605,[1]ModifierDes!$B:$B,[1]ModifierDes!$C:$C),3,_xlfn.XLOOKUP(C605,[1]StuntDes!$B:$B,[1]StuntDes!$C:$C)),"")</f>
        <v>每秒魔力恢复增加{0}</v>
      </c>
      <c r="L605">
        <f t="shared" si="51"/>
        <v>1</v>
      </c>
      <c r="M605" s="10" t="str">
        <f>IFERROR(_xlfn.XLOOKUP(C605,[1]StuntDes!$B:$B,[1]StuntDes!$A:$A),"")</f>
        <v/>
      </c>
      <c r="N605" s="10" t="str">
        <f>IFERROR(_xlfn.XLOOKUP(C605,[1]ModifierDes!$B:$B,[1]ModifierDes!$A:$A),"")</f>
        <v/>
      </c>
      <c r="O605" s="10">
        <f>IFERROR(_xlfn.XLOOKUP(C605,[1]AttributeName!$C:$C,[1]AttributeName!$B:$B),"")</f>
        <v>10005</v>
      </c>
      <c r="P605" s="10"/>
      <c r="Q605">
        <v>14</v>
      </c>
      <c r="R605">
        <v>17</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446</v>
      </c>
      <c r="D606" t="s">
        <v>32</v>
      </c>
      <c r="E606" t="s">
        <v>410</v>
      </c>
      <c r="G606">
        <v>2</v>
      </c>
      <c r="H606">
        <v>1000</v>
      </c>
      <c r="J606" cm="1">
        <f t="array" ref="J606">_xlfn.SWITCH(B606,1,75,2,61,3,49,4,37,5,25,6,13,7,4,8,1)</f>
        <v>4</v>
      </c>
      <c r="K606" t="str" cm="1">
        <f t="array" ref="K606">IFERROR(_xlfn.SWITCH(L606,1,_xlfn.XLOOKUP(C606,[1]AttributeName!$C:$C,[1]AttributeName!$I:$I),2,_xlfn.XLOOKUP(C606,[1]ModifierDes!$B:$B,[1]ModifierDes!$C:$C),3,_xlfn.XLOOKUP(C606,[1]StuntDes!$B:$B,[1]StuntDes!$C:$C)),"")</f>
        <v>每秒魔力恢复增加{0}</v>
      </c>
      <c r="L606">
        <f t="shared" si="51"/>
        <v>1</v>
      </c>
      <c r="M606" s="10" t="str">
        <f>IFERROR(_xlfn.XLOOKUP(C606,[1]StuntDes!$B:$B,[1]StuntDes!$A:$A),"")</f>
        <v/>
      </c>
      <c r="N606" s="10" t="str">
        <f>IFERROR(_xlfn.XLOOKUP(C606,[1]ModifierDes!$B:$B,[1]ModifierDes!$A:$A),"")</f>
        <v/>
      </c>
      <c r="O606" s="10">
        <f>IFERROR(_xlfn.XLOOKUP(C606,[1]AttributeName!$C:$C,[1]AttributeName!$B:$B),"")</f>
        <v>10005</v>
      </c>
      <c r="P606" s="10"/>
      <c r="Q606">
        <v>9</v>
      </c>
      <c r="R606">
        <v>12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446</v>
      </c>
      <c r="D607" t="s">
        <v>32</v>
      </c>
      <c r="E607" t="s">
        <v>410</v>
      </c>
      <c r="G607">
        <v>2</v>
      </c>
      <c r="H607">
        <v>1000</v>
      </c>
      <c r="J607" cm="1">
        <f t="array" ref="J607">_xlfn.SWITCH(B607,1,75,2,61,3,49,4,37,5,25,6,13,7,4,8,1)</f>
        <v>1</v>
      </c>
      <c r="K607" t="str" cm="1">
        <f t="array" ref="K607">IFERROR(_xlfn.SWITCH(L607,1,_xlfn.XLOOKUP(C607,[1]AttributeName!$C:$C,[1]AttributeName!$I:$I),2,_xlfn.XLOOKUP(C607,[1]ModifierDes!$B:$B,[1]ModifierDes!$C:$C),3,_xlfn.XLOOKUP(C607,[1]StuntDes!$B:$B,[1]StuntDes!$C:$C)),"")</f>
        <v>每秒魔力恢复增加{0}</v>
      </c>
      <c r="L607">
        <f t="shared" si="51"/>
        <v>1</v>
      </c>
      <c r="M607" s="10" t="str">
        <f>IFERROR(_xlfn.XLOOKUP(C607,[1]StuntDes!$B:$B,[1]StuntDes!$A:$A),"")</f>
        <v/>
      </c>
      <c r="N607" s="10" t="str">
        <f>IFERROR(_xlfn.XLOOKUP(C607,[1]ModifierDes!$B:$B,[1]ModifierDes!$A:$A),"")</f>
        <v/>
      </c>
      <c r="O607" s="10">
        <f>IFERROR(_xlfn.XLOOKUP(C607,[1]AttributeName!$C:$C,[1]AttributeName!$B:$B),"")</f>
        <v>10005</v>
      </c>
      <c r="P607" s="10"/>
      <c r="Q607">
        <v>5</v>
      </c>
      <c r="R607">
        <v>8</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407</v>
      </c>
      <c r="D608" t="s">
        <v>33</v>
      </c>
      <c r="E608" t="s">
        <v>393</v>
      </c>
      <c r="F608"/>
      <c r="G608">
        <v>1</v>
      </c>
      <c r="H608">
        <v>1000</v>
      </c>
      <c r="J608" cm="1">
        <f t="array" ref="J608">_xlfn.SWITCH(B608,1,75,2,61,3,49,4,37,5,25,6,13,7,4,8,1)</f>
        <v>75</v>
      </c>
      <c r="K608" t="str" cm="1">
        <f t="array" ref="K608">IFERROR(_xlfn.SWITCH(L608,1,_xlfn.XLOOKUP(C608,[1]AttributeName!$C:$C,[1]AttributeName!$I:$I),2,_xlfn.XLOOKUP(C608,[1]ModifierDes!$B:$B,[1]ModifierDes!$C:$C),3,_xlfn.XLOOKUP(C608,[1]StuntDes!$B:$B,[1]StuntDes!$C:$C)),"")</f>
        <v>基础生命增加{0}</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407</v>
      </c>
      <c r="D609" t="s">
        <v>33</v>
      </c>
      <c r="E609" t="s">
        <v>393</v>
      </c>
      <c r="F609"/>
      <c r="G609">
        <v>1</v>
      </c>
      <c r="H609">
        <v>1000</v>
      </c>
      <c r="J609" cm="1">
        <f t="array" ref="J609">_xlfn.SWITCH(B609,1,75,2,61,3,49,4,37,5,25,6,13,7,4,8,1)</f>
        <v>61</v>
      </c>
      <c r="K609" t="str" cm="1">
        <f t="array" ref="K609">IFERROR(_xlfn.SWITCH(L609,1,_xlfn.XLOOKUP(C609,[1]AttributeName!$C:$C,[1]AttributeName!$I:$I),2,_xlfn.XLOOKUP(C609,[1]ModifierDes!$B:$B,[1]ModifierDes!$C:$C),3,_xlfn.XLOOKUP(C609,[1]StuntDes!$B:$B,[1]StuntDes!$C:$C)),"")</f>
        <v>基础生命增加{0}</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407</v>
      </c>
      <c r="D610" t="s">
        <v>33</v>
      </c>
      <c r="E610" t="s">
        <v>393</v>
      </c>
      <c r="F610"/>
      <c r="G610">
        <v>1</v>
      </c>
      <c r="H610">
        <v>1000</v>
      </c>
      <c r="J610" cm="1">
        <f t="array" ref="J610">_xlfn.SWITCH(B610,1,75,2,61,3,49,4,37,5,25,6,13,7,4,8,1)</f>
        <v>49</v>
      </c>
      <c r="K610" t="str" cm="1">
        <f t="array" ref="K610">IFERROR(_xlfn.SWITCH(L610,1,_xlfn.XLOOKUP(C610,[1]AttributeName!$C:$C,[1]AttributeName!$I:$I),2,_xlfn.XLOOKUP(C610,[1]ModifierDes!$B:$B,[1]ModifierDes!$C:$C),3,_xlfn.XLOOKUP(C610,[1]StuntDes!$B:$B,[1]StuntDes!$C:$C)),"")</f>
        <v>基础生命增加{0}</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407</v>
      </c>
      <c r="D611" t="s">
        <v>33</v>
      </c>
      <c r="E611" t="s">
        <v>393</v>
      </c>
      <c r="F611"/>
      <c r="G611">
        <v>1</v>
      </c>
      <c r="H611">
        <v>1000</v>
      </c>
      <c r="J611" cm="1">
        <f t="array" ref="J611">_xlfn.SWITCH(B611,1,75,2,61,3,49,4,37,5,25,6,13,7,4,8,1)</f>
        <v>37</v>
      </c>
      <c r="K611" t="str" cm="1">
        <f t="array" ref="K611">IFERROR(_xlfn.SWITCH(L611,1,_xlfn.XLOOKUP(C611,[1]AttributeName!$C:$C,[1]AttributeName!$I:$I),2,_xlfn.XLOOKUP(C611,[1]ModifierDes!$B:$B,[1]ModifierDes!$C:$C),3,_xlfn.XLOOKUP(C611,[1]StuntDes!$B:$B,[1]StuntDes!$C:$C)),"")</f>
        <v>基础生命增加{0}</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407</v>
      </c>
      <c r="D612" t="s">
        <v>33</v>
      </c>
      <c r="E612" t="s">
        <v>393</v>
      </c>
      <c r="F612"/>
      <c r="G612">
        <v>1</v>
      </c>
      <c r="H612">
        <v>1000</v>
      </c>
      <c r="J612" cm="1">
        <f t="array" ref="J612">_xlfn.SWITCH(B612,1,75,2,61,3,49,4,37,5,25,6,13,7,4,8,1)</f>
        <v>25</v>
      </c>
      <c r="K612" t="str" cm="1">
        <f t="array" ref="K612">IFERROR(_xlfn.SWITCH(L612,1,_xlfn.XLOOKUP(C612,[1]AttributeName!$C:$C,[1]AttributeName!$I:$I),2,_xlfn.XLOOKUP(C612,[1]ModifierDes!$B:$B,[1]ModifierDes!$C:$C),3,_xlfn.XLOOKUP(C612,[1]StuntDes!$B:$B,[1]StuntDes!$C:$C)),"")</f>
        <v>基础生命增加{0}</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407</v>
      </c>
      <c r="D613" t="s">
        <v>33</v>
      </c>
      <c r="E613" t="s">
        <v>393</v>
      </c>
      <c r="F613"/>
      <c r="G613">
        <v>1</v>
      </c>
      <c r="H613">
        <v>1000</v>
      </c>
      <c r="J613" cm="1">
        <f t="array" ref="J613">_xlfn.SWITCH(B613,1,75,2,61,3,49,4,37,5,25,6,13,7,4,8,1)</f>
        <v>13</v>
      </c>
      <c r="K613" t="str" cm="1">
        <f t="array" ref="K613">IFERROR(_xlfn.SWITCH(L613,1,_xlfn.XLOOKUP(C613,[1]AttributeName!$C:$C,[1]AttributeName!$I:$I),2,_xlfn.XLOOKUP(C613,[1]ModifierDes!$B:$B,[1]ModifierDes!$C:$C),3,_xlfn.XLOOKUP(C613,[1]StuntDes!$B:$B,[1]StuntDes!$C:$C)),"")</f>
        <v>基础生命增加{0}</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407</v>
      </c>
      <c r="D614" t="s">
        <v>33</v>
      </c>
      <c r="E614" t="s">
        <v>393</v>
      </c>
      <c r="F614"/>
      <c r="G614">
        <v>1</v>
      </c>
      <c r="H614">
        <v>1000</v>
      </c>
      <c r="J614" cm="1">
        <f t="array" ref="J614">_xlfn.SWITCH(B614,1,75,2,61,3,49,4,37,5,25,6,13,7,4,8,1)</f>
        <v>4</v>
      </c>
      <c r="K614" t="str" cm="1">
        <f t="array" ref="K614">IFERROR(_xlfn.SWITCH(L614,1,_xlfn.XLOOKUP(C614,[1]AttributeName!$C:$C,[1]AttributeName!$I:$I),2,_xlfn.XLOOKUP(C614,[1]ModifierDes!$B:$B,[1]ModifierDes!$C:$C),3,_xlfn.XLOOKUP(C614,[1]StuntDes!$B:$B,[1]StuntDes!$C:$C)),"")</f>
        <v>基础生命增加{0}</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407</v>
      </c>
      <c r="D615" t="s">
        <v>33</v>
      </c>
      <c r="E615" t="s">
        <v>393</v>
      </c>
      <c r="F615"/>
      <c r="G615">
        <v>1</v>
      </c>
      <c r="H615">
        <v>1000</v>
      </c>
      <c r="J615" cm="1">
        <f t="array" ref="J615">_xlfn.SWITCH(B615,1,75,2,61,3,49,4,37,5,25,6,13,7,4,8,1)</f>
        <v>1</v>
      </c>
      <c r="K615" t="str" cm="1">
        <f t="array" ref="K615">IFERROR(_xlfn.SWITCH(L615,1,_xlfn.XLOOKUP(C615,[1]AttributeName!$C:$C,[1]AttributeName!$I:$I),2,_xlfn.XLOOKUP(C615,[1]ModifierDes!$B:$B,[1]ModifierDes!$C:$C),3,_xlfn.XLOOKUP(C615,[1]StuntDes!$B:$B,[1]StuntDes!$C:$C)),"")</f>
        <v>基础生命增加{0}</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408</v>
      </c>
      <c r="D616" t="s">
        <v>33</v>
      </c>
      <c r="E616" t="s">
        <v>393</v>
      </c>
      <c r="F616"/>
      <c r="G616">
        <v>1</v>
      </c>
      <c r="H616">
        <v>1000</v>
      </c>
      <c r="J616" cm="1">
        <f t="array" ref="J616">_xlfn.SWITCH(B616,1,75,2,61,3,49,4,37,5,25,6,13,7,4,8,1)</f>
        <v>75</v>
      </c>
      <c r="K616" t="str" cm="1">
        <f t="array" ref="K616">IFERROR(_xlfn.SWITCH(L616,1,_xlfn.XLOOKUP(C616,[1]AttributeName!$C:$C,[1]AttributeName!$I:$I),2,_xlfn.XLOOKUP(C616,[1]ModifierDes!$B:$B,[1]ModifierDes!$C:$C),3,_xlfn.XLOOKUP(C616,[1]StuntDes!$B:$B,[1]StuntDes!$C:$C)),"")</f>
        <v>基础魔力增加{0}</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408</v>
      </c>
      <c r="D617" t="s">
        <v>33</v>
      </c>
      <c r="E617" t="s">
        <v>393</v>
      </c>
      <c r="F617"/>
      <c r="G617">
        <v>1</v>
      </c>
      <c r="H617">
        <v>1000</v>
      </c>
      <c r="J617" cm="1">
        <f t="array" ref="J617">_xlfn.SWITCH(B617,1,75,2,61,3,49,4,37,5,25,6,13,7,4,8,1)</f>
        <v>61</v>
      </c>
      <c r="K617" t="str" cm="1">
        <f t="array" ref="K617">IFERROR(_xlfn.SWITCH(L617,1,_xlfn.XLOOKUP(C617,[1]AttributeName!$C:$C,[1]AttributeName!$I:$I),2,_xlfn.XLOOKUP(C617,[1]ModifierDes!$B:$B,[1]ModifierDes!$C:$C),3,_xlfn.XLOOKUP(C617,[1]StuntDes!$B:$B,[1]StuntDes!$C:$C)),"")</f>
        <v>基础魔力增加{0}</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408</v>
      </c>
      <c r="D618" t="s">
        <v>33</v>
      </c>
      <c r="E618" t="s">
        <v>393</v>
      </c>
      <c r="F618"/>
      <c r="G618">
        <v>1</v>
      </c>
      <c r="H618">
        <v>1000</v>
      </c>
      <c r="J618" cm="1">
        <f t="array" ref="J618">_xlfn.SWITCH(B618,1,75,2,61,3,49,4,37,5,25,6,13,7,4,8,1)</f>
        <v>49</v>
      </c>
      <c r="K618" t="str" cm="1">
        <f t="array" ref="K618">IFERROR(_xlfn.SWITCH(L618,1,_xlfn.XLOOKUP(C618,[1]AttributeName!$C:$C,[1]AttributeName!$I:$I),2,_xlfn.XLOOKUP(C618,[1]ModifierDes!$B:$B,[1]ModifierDes!$C:$C),3,_xlfn.XLOOKUP(C618,[1]StuntDes!$B:$B,[1]StuntDes!$C:$C)),"")</f>
        <v>基础魔力增加{0}</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408</v>
      </c>
      <c r="D619" t="s">
        <v>33</v>
      </c>
      <c r="E619" t="s">
        <v>393</v>
      </c>
      <c r="F619"/>
      <c r="G619">
        <v>1</v>
      </c>
      <c r="H619">
        <v>1000</v>
      </c>
      <c r="J619" cm="1">
        <f t="array" ref="J619">_xlfn.SWITCH(B619,1,75,2,61,3,49,4,37,5,25,6,13,7,4,8,1)</f>
        <v>37</v>
      </c>
      <c r="K619" t="str" cm="1">
        <f t="array" ref="K619">IFERROR(_xlfn.SWITCH(L619,1,_xlfn.XLOOKUP(C619,[1]AttributeName!$C:$C,[1]AttributeName!$I:$I),2,_xlfn.XLOOKUP(C619,[1]ModifierDes!$B:$B,[1]ModifierDes!$C:$C),3,_xlfn.XLOOKUP(C619,[1]StuntDes!$B:$B,[1]StuntDes!$C:$C)),"")</f>
        <v>基础魔力增加{0}</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408</v>
      </c>
      <c r="D620" t="s">
        <v>33</v>
      </c>
      <c r="E620" t="s">
        <v>393</v>
      </c>
      <c r="F620"/>
      <c r="G620">
        <v>1</v>
      </c>
      <c r="H620">
        <v>1000</v>
      </c>
      <c r="J620" cm="1">
        <f t="array" ref="J620">_xlfn.SWITCH(B620,1,75,2,61,3,49,4,37,5,25,6,13,7,4,8,1)</f>
        <v>25</v>
      </c>
      <c r="K620" t="str" cm="1">
        <f t="array" ref="K620">IFERROR(_xlfn.SWITCH(L620,1,_xlfn.XLOOKUP(C620,[1]AttributeName!$C:$C,[1]AttributeName!$I:$I),2,_xlfn.XLOOKUP(C620,[1]ModifierDes!$B:$B,[1]ModifierDes!$C:$C),3,_xlfn.XLOOKUP(C620,[1]StuntDes!$B:$B,[1]StuntDes!$C:$C)),"")</f>
        <v>基础魔力增加{0}</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408</v>
      </c>
      <c r="D621" t="s">
        <v>33</v>
      </c>
      <c r="E621" t="s">
        <v>393</v>
      </c>
      <c r="F621"/>
      <c r="G621">
        <v>1</v>
      </c>
      <c r="H621">
        <v>1000</v>
      </c>
      <c r="J621" cm="1">
        <f t="array" ref="J621">_xlfn.SWITCH(B621,1,75,2,61,3,49,4,37,5,25,6,13,7,4,8,1)</f>
        <v>13</v>
      </c>
      <c r="K621" t="str" cm="1">
        <f t="array" ref="K621">IFERROR(_xlfn.SWITCH(L621,1,_xlfn.XLOOKUP(C621,[1]AttributeName!$C:$C,[1]AttributeName!$I:$I),2,_xlfn.XLOOKUP(C621,[1]ModifierDes!$B:$B,[1]ModifierDes!$C:$C),3,_xlfn.XLOOKUP(C621,[1]StuntDes!$B:$B,[1]StuntDes!$C:$C)),"")</f>
        <v>基础魔力增加{0}</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408</v>
      </c>
      <c r="D622" t="s">
        <v>33</v>
      </c>
      <c r="E622" t="s">
        <v>393</v>
      </c>
      <c r="F622"/>
      <c r="G622">
        <v>1</v>
      </c>
      <c r="H622">
        <v>1000</v>
      </c>
      <c r="J622" cm="1">
        <f t="array" ref="J622">_xlfn.SWITCH(B622,1,75,2,61,3,49,4,37,5,25,6,13,7,4,8,1)</f>
        <v>4</v>
      </c>
      <c r="K622" t="str" cm="1">
        <f t="array" ref="K622">IFERROR(_xlfn.SWITCH(L622,1,_xlfn.XLOOKUP(C622,[1]AttributeName!$C:$C,[1]AttributeName!$I:$I),2,_xlfn.XLOOKUP(C622,[1]ModifierDes!$B:$B,[1]ModifierDes!$C:$C),3,_xlfn.XLOOKUP(C622,[1]StuntDes!$B:$B,[1]StuntDes!$C:$C)),"")</f>
        <v>基础魔力增加{0}</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408</v>
      </c>
      <c r="D623" t="s">
        <v>33</v>
      </c>
      <c r="E623" t="s">
        <v>393</v>
      </c>
      <c r="F623"/>
      <c r="G623">
        <v>1</v>
      </c>
      <c r="H623">
        <v>1000</v>
      </c>
      <c r="J623" cm="1">
        <f t="array" ref="J623">_xlfn.SWITCH(B623,1,75,2,61,3,49,4,37,5,25,6,13,7,4,8,1)</f>
        <v>1</v>
      </c>
      <c r="K623" t="str" cm="1">
        <f t="array" ref="K623">IFERROR(_xlfn.SWITCH(L623,1,_xlfn.XLOOKUP(C623,[1]AttributeName!$C:$C,[1]AttributeName!$I:$I),2,_xlfn.XLOOKUP(C623,[1]ModifierDes!$B:$B,[1]ModifierDes!$C:$C),3,_xlfn.XLOOKUP(C623,[1]StuntDes!$B:$B,[1]StuntDes!$C:$C)),"")</f>
        <v>基础魔力增加{0}</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428</v>
      </c>
      <c r="D624" t="s">
        <v>33</v>
      </c>
      <c r="E624" t="s">
        <v>393</v>
      </c>
      <c r="F624"/>
      <c r="G624">
        <v>1</v>
      </c>
      <c r="H624">
        <v>1000</v>
      </c>
      <c r="J624" cm="1">
        <f t="array" ref="J624">_xlfn.SWITCH(B624,1,75,2,61,3,49,4,37,5,25,6,13,7,4,8,1)</f>
        <v>75</v>
      </c>
      <c r="K624" t="str" cm="1">
        <f t="array" ref="K624">IFERROR(_xlfn.SWITCH(L624,1,_xlfn.XLOOKUP(C624,[1]AttributeName!$C:$C,[1]AttributeName!$I:$I),2,_xlfn.XLOOKUP(C624,[1]ModifierDes!$B:$B,[1]ModifierDes!$C:$C),3,_xlfn.XLOOKUP(C624,[1]StuntDes!$B:$B,[1]StuntDes!$C:$C)),"")</f>
        <v>防御力增加{0}</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428</v>
      </c>
      <c r="D625" t="s">
        <v>33</v>
      </c>
      <c r="E625" t="s">
        <v>393</v>
      </c>
      <c r="F625"/>
      <c r="G625">
        <v>1</v>
      </c>
      <c r="H625">
        <v>1000</v>
      </c>
      <c r="J625" cm="1">
        <f t="array" ref="J625">_xlfn.SWITCH(B625,1,75,2,61,3,49,4,37,5,25,6,13,7,4,8,1)</f>
        <v>61</v>
      </c>
      <c r="K625" t="str" cm="1">
        <f t="array" ref="K625">IFERROR(_xlfn.SWITCH(L625,1,_xlfn.XLOOKUP(C625,[1]AttributeName!$C:$C,[1]AttributeName!$I:$I),2,_xlfn.XLOOKUP(C625,[1]ModifierDes!$B:$B,[1]ModifierDes!$C:$C),3,_xlfn.XLOOKUP(C625,[1]StuntDes!$B:$B,[1]StuntDes!$C:$C)),"")</f>
        <v>防御力增加{0}</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428</v>
      </c>
      <c r="D626" t="s">
        <v>33</v>
      </c>
      <c r="E626" t="s">
        <v>393</v>
      </c>
      <c r="F626"/>
      <c r="G626">
        <v>1</v>
      </c>
      <c r="H626">
        <v>1000</v>
      </c>
      <c r="J626" cm="1">
        <f t="array" ref="J626">_xlfn.SWITCH(B626,1,75,2,61,3,49,4,37,5,25,6,13,7,4,8,1)</f>
        <v>49</v>
      </c>
      <c r="K626" t="str" cm="1">
        <f t="array" ref="K626">IFERROR(_xlfn.SWITCH(L626,1,_xlfn.XLOOKUP(C626,[1]AttributeName!$C:$C,[1]AttributeName!$I:$I),2,_xlfn.XLOOKUP(C626,[1]ModifierDes!$B:$B,[1]ModifierDes!$C:$C),3,_xlfn.XLOOKUP(C626,[1]StuntDes!$B:$B,[1]StuntDes!$C:$C)),"")</f>
        <v>防御力增加{0}</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428</v>
      </c>
      <c r="D627" t="s">
        <v>33</v>
      </c>
      <c r="E627" t="s">
        <v>393</v>
      </c>
      <c r="F627"/>
      <c r="G627">
        <v>1</v>
      </c>
      <c r="H627">
        <v>1000</v>
      </c>
      <c r="J627" cm="1">
        <f t="array" ref="J627">_xlfn.SWITCH(B627,1,75,2,61,3,49,4,37,5,25,6,13,7,4,8,1)</f>
        <v>37</v>
      </c>
      <c r="K627" t="str" cm="1">
        <f t="array" ref="K627">IFERROR(_xlfn.SWITCH(L627,1,_xlfn.XLOOKUP(C627,[1]AttributeName!$C:$C,[1]AttributeName!$I:$I),2,_xlfn.XLOOKUP(C627,[1]ModifierDes!$B:$B,[1]ModifierDes!$C:$C),3,_xlfn.XLOOKUP(C627,[1]StuntDes!$B:$B,[1]StuntDes!$C:$C)),"")</f>
        <v>防御力增加{0}</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428</v>
      </c>
      <c r="D628" t="s">
        <v>33</v>
      </c>
      <c r="E628" t="s">
        <v>393</v>
      </c>
      <c r="F628"/>
      <c r="G628">
        <v>1</v>
      </c>
      <c r="H628">
        <v>1000</v>
      </c>
      <c r="J628" cm="1">
        <f t="array" ref="J628">_xlfn.SWITCH(B628,1,75,2,61,3,49,4,37,5,25,6,13,7,4,8,1)</f>
        <v>25</v>
      </c>
      <c r="K628" t="str" cm="1">
        <f t="array" ref="K628">IFERROR(_xlfn.SWITCH(L628,1,_xlfn.XLOOKUP(C628,[1]AttributeName!$C:$C,[1]AttributeName!$I:$I),2,_xlfn.XLOOKUP(C628,[1]ModifierDes!$B:$B,[1]ModifierDes!$C:$C),3,_xlfn.XLOOKUP(C628,[1]StuntDes!$B:$B,[1]StuntDes!$C:$C)),"")</f>
        <v>防御力增加{0}</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428</v>
      </c>
      <c r="D629" t="s">
        <v>33</v>
      </c>
      <c r="E629" t="s">
        <v>393</v>
      </c>
      <c r="F629"/>
      <c r="G629">
        <v>1</v>
      </c>
      <c r="H629">
        <v>1000</v>
      </c>
      <c r="J629" cm="1">
        <f t="array" ref="J629">_xlfn.SWITCH(B629,1,75,2,61,3,49,4,37,5,25,6,13,7,4,8,1)</f>
        <v>13</v>
      </c>
      <c r="K629" t="str" cm="1">
        <f t="array" ref="K629">IFERROR(_xlfn.SWITCH(L629,1,_xlfn.XLOOKUP(C629,[1]AttributeName!$C:$C,[1]AttributeName!$I:$I),2,_xlfn.XLOOKUP(C629,[1]ModifierDes!$B:$B,[1]ModifierDes!$C:$C),3,_xlfn.XLOOKUP(C629,[1]StuntDes!$B:$B,[1]StuntDes!$C:$C)),"")</f>
        <v>防御力增加{0}</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428</v>
      </c>
      <c r="D630" t="s">
        <v>33</v>
      </c>
      <c r="E630" t="s">
        <v>393</v>
      </c>
      <c r="F630"/>
      <c r="G630">
        <v>1</v>
      </c>
      <c r="H630">
        <v>1000</v>
      </c>
      <c r="J630" cm="1">
        <f t="array" ref="J630">_xlfn.SWITCH(B630,1,75,2,61,3,49,4,37,5,25,6,13,7,4,8,1)</f>
        <v>4</v>
      </c>
      <c r="K630" t="str" cm="1">
        <f t="array" ref="K630">IFERROR(_xlfn.SWITCH(L630,1,_xlfn.XLOOKUP(C630,[1]AttributeName!$C:$C,[1]AttributeName!$I:$I),2,_xlfn.XLOOKUP(C630,[1]ModifierDes!$B:$B,[1]ModifierDes!$C:$C),3,_xlfn.XLOOKUP(C630,[1]StuntDes!$B:$B,[1]StuntDes!$C:$C)),"")</f>
        <v>防御力增加{0}</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428</v>
      </c>
      <c r="D631" t="s">
        <v>33</v>
      </c>
      <c r="E631" t="s">
        <v>393</v>
      </c>
      <c r="F631"/>
      <c r="G631">
        <v>1</v>
      </c>
      <c r="H631">
        <v>1000</v>
      </c>
      <c r="J631" cm="1">
        <f t="array" ref="J631">_xlfn.SWITCH(B631,1,75,2,61,3,49,4,37,5,25,6,13,7,4,8,1)</f>
        <v>1</v>
      </c>
      <c r="K631" t="str" cm="1">
        <f t="array" ref="K631">IFERROR(_xlfn.SWITCH(L631,1,_xlfn.XLOOKUP(C631,[1]AttributeName!$C:$C,[1]AttributeName!$I:$I),2,_xlfn.XLOOKUP(C631,[1]ModifierDes!$B:$B,[1]ModifierDes!$C:$C),3,_xlfn.XLOOKUP(C631,[1]StuntDes!$B:$B,[1]StuntDes!$C:$C)),"")</f>
        <v>防御力增加{0}</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429</v>
      </c>
      <c r="D632" t="s">
        <v>33</v>
      </c>
      <c r="E632" t="s">
        <v>393</v>
      </c>
      <c r="G632">
        <v>1</v>
      </c>
      <c r="H632">
        <v>250</v>
      </c>
      <c r="J632" cm="1">
        <f t="array" ref="J632">_xlfn.SWITCH(B632,1,75,2,61,3,49,4,37,5,25,6,13,7,4,8,1)</f>
        <v>75</v>
      </c>
      <c r="K632" t="str" cm="1">
        <f t="array" ref="K632">IFERROR(_xlfn.SWITCH(L632,1,_xlfn.XLOOKUP(C632,[1]AttributeName!$C:$C,[1]AttributeName!$I:$I),2,_xlfn.XLOOKUP(C632,[1]ModifierDes!$B:$B,[1]ModifierDes!$C:$C),3,_xlfn.XLOOKUP(C632,[1]StuntDes!$B:$B,[1]StuntDes!$C:$C)),"")</f>
        <v>攻击格挡率增加{0}</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429</v>
      </c>
      <c r="D633" t="s">
        <v>33</v>
      </c>
      <c r="E633" t="s">
        <v>393</v>
      </c>
      <c r="G633">
        <v>1</v>
      </c>
      <c r="H633">
        <v>500</v>
      </c>
      <c r="J633" cm="1">
        <f t="array" ref="J633">_xlfn.SWITCH(B633,1,75,2,61,3,49,4,37,5,25,6,13,7,4,8,1)</f>
        <v>61</v>
      </c>
      <c r="K633" t="str" cm="1">
        <f t="array" ref="K633">IFERROR(_xlfn.SWITCH(L633,1,_xlfn.XLOOKUP(C633,[1]AttributeName!$C:$C,[1]AttributeName!$I:$I),2,_xlfn.XLOOKUP(C633,[1]ModifierDes!$B:$B,[1]ModifierDes!$C:$C),3,_xlfn.XLOOKUP(C633,[1]StuntDes!$B:$B,[1]StuntDes!$C:$C)),"")</f>
        <v>攻击格挡率增加{0}</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429</v>
      </c>
      <c r="D634" t="s">
        <v>33</v>
      </c>
      <c r="E634" t="s">
        <v>393</v>
      </c>
      <c r="G634">
        <v>1</v>
      </c>
      <c r="H634">
        <v>1000</v>
      </c>
      <c r="J634" cm="1">
        <f t="array" ref="J634">_xlfn.SWITCH(B634,1,75,2,61,3,49,4,37,5,25,6,13,7,4,8,1)</f>
        <v>49</v>
      </c>
      <c r="K634" t="str" cm="1">
        <f t="array" ref="K634">IFERROR(_xlfn.SWITCH(L634,1,_xlfn.XLOOKUP(C634,[1]AttributeName!$C:$C,[1]AttributeName!$I:$I),2,_xlfn.XLOOKUP(C634,[1]ModifierDes!$B:$B,[1]ModifierDes!$C:$C),3,_xlfn.XLOOKUP(C634,[1]StuntDes!$B:$B,[1]StuntDes!$C:$C)),"")</f>
        <v>攻击格挡率增加{0}</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429</v>
      </c>
      <c r="D635" t="s">
        <v>33</v>
      </c>
      <c r="E635" t="s">
        <v>393</v>
      </c>
      <c r="G635">
        <v>1</v>
      </c>
      <c r="H635">
        <v>1000</v>
      </c>
      <c r="J635" cm="1">
        <f t="array" ref="J635">_xlfn.SWITCH(B635,1,75,2,61,3,49,4,37,5,25,6,13,7,4,8,1)</f>
        <v>37</v>
      </c>
      <c r="K635" t="str" cm="1">
        <f t="array" ref="K635">IFERROR(_xlfn.SWITCH(L635,1,_xlfn.XLOOKUP(C635,[1]AttributeName!$C:$C,[1]AttributeName!$I:$I),2,_xlfn.XLOOKUP(C635,[1]ModifierDes!$B:$B,[1]ModifierDes!$C:$C),3,_xlfn.XLOOKUP(C635,[1]StuntDes!$B:$B,[1]StuntDes!$C:$C)),"")</f>
        <v>攻击格挡率增加{0}</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429</v>
      </c>
      <c r="D636" t="s">
        <v>33</v>
      </c>
      <c r="E636" t="s">
        <v>393</v>
      </c>
      <c r="G636">
        <v>1</v>
      </c>
      <c r="H636">
        <v>1000</v>
      </c>
      <c r="J636" cm="1">
        <f t="array" ref="J636">_xlfn.SWITCH(B636,1,75,2,61,3,49,4,37,5,25,6,13,7,4,8,1)</f>
        <v>25</v>
      </c>
      <c r="K636" t="str" cm="1">
        <f t="array" ref="K636">IFERROR(_xlfn.SWITCH(L636,1,_xlfn.XLOOKUP(C636,[1]AttributeName!$C:$C,[1]AttributeName!$I:$I),2,_xlfn.XLOOKUP(C636,[1]ModifierDes!$B:$B,[1]ModifierDes!$C:$C),3,_xlfn.XLOOKUP(C636,[1]StuntDes!$B:$B,[1]StuntDes!$C:$C)),"")</f>
        <v>攻击格挡率增加{0}</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429</v>
      </c>
      <c r="D637" t="s">
        <v>33</v>
      </c>
      <c r="E637" t="s">
        <v>393</v>
      </c>
      <c r="G637">
        <v>1</v>
      </c>
      <c r="H637">
        <v>1000</v>
      </c>
      <c r="J637" cm="1">
        <f t="array" ref="J637">_xlfn.SWITCH(B637,1,75,2,61,3,49,4,37,5,25,6,13,7,4,8,1)</f>
        <v>13</v>
      </c>
      <c r="K637" t="str" cm="1">
        <f t="array" ref="K637">IFERROR(_xlfn.SWITCH(L637,1,_xlfn.XLOOKUP(C637,[1]AttributeName!$C:$C,[1]AttributeName!$I:$I),2,_xlfn.XLOOKUP(C637,[1]ModifierDes!$B:$B,[1]ModifierDes!$C:$C),3,_xlfn.XLOOKUP(C637,[1]StuntDes!$B:$B,[1]StuntDes!$C:$C)),"")</f>
        <v>攻击格挡率增加{0}</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429</v>
      </c>
      <c r="D638" t="s">
        <v>33</v>
      </c>
      <c r="E638" t="s">
        <v>393</v>
      </c>
      <c r="G638">
        <v>1</v>
      </c>
      <c r="H638">
        <v>1000</v>
      </c>
      <c r="J638" cm="1">
        <f t="array" ref="J638">_xlfn.SWITCH(B638,1,75,2,61,3,49,4,37,5,25,6,13,7,4,8,1)</f>
        <v>4</v>
      </c>
      <c r="K638" t="str" cm="1">
        <f t="array" ref="K638">IFERROR(_xlfn.SWITCH(L638,1,_xlfn.XLOOKUP(C638,[1]AttributeName!$C:$C,[1]AttributeName!$I:$I),2,_xlfn.XLOOKUP(C638,[1]ModifierDes!$B:$B,[1]ModifierDes!$C:$C),3,_xlfn.XLOOKUP(C638,[1]StuntDes!$B:$B,[1]StuntDes!$C:$C)),"")</f>
        <v>攻击格挡率增加{0}</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429</v>
      </c>
      <c r="D639" t="s">
        <v>33</v>
      </c>
      <c r="E639" t="s">
        <v>393</v>
      </c>
      <c r="G639">
        <v>1</v>
      </c>
      <c r="H639">
        <v>1000</v>
      </c>
      <c r="J639" cm="1">
        <f t="array" ref="J639">_xlfn.SWITCH(B639,1,75,2,61,3,49,4,37,5,25,6,13,7,4,8,1)</f>
        <v>1</v>
      </c>
      <c r="K639" t="str" cm="1">
        <f t="array" ref="K639">IFERROR(_xlfn.SWITCH(L639,1,_xlfn.XLOOKUP(C639,[1]AttributeName!$C:$C,[1]AttributeName!$I:$I),2,_xlfn.XLOOKUP(C639,[1]ModifierDes!$B:$B,[1]ModifierDes!$C:$C),3,_xlfn.XLOOKUP(C639,[1]StuntDes!$B:$B,[1]StuntDes!$C:$C)),"")</f>
        <v>攻击格挡率增加{0}</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430</v>
      </c>
      <c r="D640" t="s">
        <v>33</v>
      </c>
      <c r="E640" t="s">
        <v>393</v>
      </c>
      <c r="G640">
        <v>1</v>
      </c>
      <c r="H640">
        <v>250</v>
      </c>
      <c r="J640" cm="1">
        <f t="array" ref="J640">_xlfn.SWITCH(B640,1,75,2,61,3,49,4,37,5,25,6,13,7,4,8,1)</f>
        <v>75</v>
      </c>
      <c r="K640" t="str" cm="1">
        <f t="array" ref="K640">IFERROR(_xlfn.SWITCH(L640,1,_xlfn.XLOOKUP(C640,[1]AttributeName!$C:$C,[1]AttributeName!$I:$I),2,_xlfn.XLOOKUP(C640,[1]ModifierDes!$B:$B,[1]ModifierDes!$C:$C),3,_xlfn.XLOOKUP(C640,[1]StuntDes!$B:$B,[1]StuntDes!$C:$C)),"")</f>
        <v>法术格挡率增加{0}</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430</v>
      </c>
      <c r="D641" t="s">
        <v>33</v>
      </c>
      <c r="E641" t="s">
        <v>393</v>
      </c>
      <c r="G641">
        <v>1</v>
      </c>
      <c r="H641">
        <v>500</v>
      </c>
      <c r="J641" cm="1">
        <f t="array" ref="J641">_xlfn.SWITCH(B641,1,75,2,61,3,49,4,37,5,25,6,13,7,4,8,1)</f>
        <v>61</v>
      </c>
      <c r="K641" t="str" cm="1">
        <f t="array" ref="K641">IFERROR(_xlfn.SWITCH(L641,1,_xlfn.XLOOKUP(C641,[1]AttributeName!$C:$C,[1]AttributeName!$I:$I),2,_xlfn.XLOOKUP(C641,[1]ModifierDes!$B:$B,[1]ModifierDes!$C:$C),3,_xlfn.XLOOKUP(C641,[1]StuntDes!$B:$B,[1]StuntDes!$C:$C)),"")</f>
        <v>法术格挡率增加{0}</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430</v>
      </c>
      <c r="D642" t="s">
        <v>33</v>
      </c>
      <c r="E642" t="s">
        <v>393</v>
      </c>
      <c r="G642">
        <v>1</v>
      </c>
      <c r="H642">
        <v>1000</v>
      </c>
      <c r="J642" cm="1">
        <f t="array" ref="J642">_xlfn.SWITCH(B642,1,75,2,61,3,49,4,37,5,25,6,13,7,4,8,1)</f>
        <v>49</v>
      </c>
      <c r="K642" t="str" cm="1">
        <f t="array" ref="K642">IFERROR(_xlfn.SWITCH(L642,1,_xlfn.XLOOKUP(C642,[1]AttributeName!$C:$C,[1]AttributeName!$I:$I),2,_xlfn.XLOOKUP(C642,[1]ModifierDes!$B:$B,[1]ModifierDes!$C:$C),3,_xlfn.XLOOKUP(C642,[1]StuntDes!$B:$B,[1]StuntDes!$C:$C)),"")</f>
        <v>法术格挡率增加{0}</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430</v>
      </c>
      <c r="D643" t="s">
        <v>33</v>
      </c>
      <c r="E643" t="s">
        <v>393</v>
      </c>
      <c r="G643">
        <v>1</v>
      </c>
      <c r="H643">
        <v>1000</v>
      </c>
      <c r="J643" cm="1">
        <f t="array" ref="J643">_xlfn.SWITCH(B643,1,75,2,61,3,49,4,37,5,25,6,13,7,4,8,1)</f>
        <v>37</v>
      </c>
      <c r="K643" t="str" cm="1">
        <f t="array" ref="K643">IFERROR(_xlfn.SWITCH(L643,1,_xlfn.XLOOKUP(C643,[1]AttributeName!$C:$C,[1]AttributeName!$I:$I),2,_xlfn.XLOOKUP(C643,[1]ModifierDes!$B:$B,[1]ModifierDes!$C:$C),3,_xlfn.XLOOKUP(C643,[1]StuntDes!$B:$B,[1]StuntDes!$C:$C)),"")</f>
        <v>法术格挡率增加{0}</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430</v>
      </c>
      <c r="D644" t="s">
        <v>33</v>
      </c>
      <c r="E644" t="s">
        <v>393</v>
      </c>
      <c r="G644">
        <v>1</v>
      </c>
      <c r="H644">
        <v>1000</v>
      </c>
      <c r="J644" cm="1">
        <f t="array" ref="J644">_xlfn.SWITCH(B644,1,75,2,61,3,49,4,37,5,25,6,13,7,4,8,1)</f>
        <v>25</v>
      </c>
      <c r="K644" t="str" cm="1">
        <f t="array" ref="K644">IFERROR(_xlfn.SWITCH(L644,1,_xlfn.XLOOKUP(C644,[1]AttributeName!$C:$C,[1]AttributeName!$I:$I),2,_xlfn.XLOOKUP(C644,[1]ModifierDes!$B:$B,[1]ModifierDes!$C:$C),3,_xlfn.XLOOKUP(C644,[1]StuntDes!$B:$B,[1]StuntDes!$C:$C)),"")</f>
        <v>法术格挡率增加{0}</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430</v>
      </c>
      <c r="D645" t="s">
        <v>33</v>
      </c>
      <c r="E645" t="s">
        <v>393</v>
      </c>
      <c r="G645">
        <v>1</v>
      </c>
      <c r="H645">
        <v>1000</v>
      </c>
      <c r="J645" cm="1">
        <f t="array" ref="J645">_xlfn.SWITCH(B645,1,75,2,61,3,49,4,37,5,25,6,13,7,4,8,1)</f>
        <v>13</v>
      </c>
      <c r="K645" t="str" cm="1">
        <f t="array" ref="K645">IFERROR(_xlfn.SWITCH(L645,1,_xlfn.XLOOKUP(C645,[1]AttributeName!$C:$C,[1]AttributeName!$I:$I),2,_xlfn.XLOOKUP(C645,[1]ModifierDes!$B:$B,[1]ModifierDes!$C:$C),3,_xlfn.XLOOKUP(C645,[1]StuntDes!$B:$B,[1]StuntDes!$C:$C)),"")</f>
        <v>法术格挡率增加{0}</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430</v>
      </c>
      <c r="D646" t="s">
        <v>33</v>
      </c>
      <c r="E646" t="s">
        <v>393</v>
      </c>
      <c r="G646">
        <v>1</v>
      </c>
      <c r="H646">
        <v>1000</v>
      </c>
      <c r="J646" cm="1">
        <f t="array" ref="J646">_xlfn.SWITCH(B646,1,75,2,61,3,49,4,37,5,25,6,13,7,4,8,1)</f>
        <v>4</v>
      </c>
      <c r="K646" t="str" cm="1">
        <f t="array" ref="K646">IFERROR(_xlfn.SWITCH(L646,1,_xlfn.XLOOKUP(C646,[1]AttributeName!$C:$C,[1]AttributeName!$I:$I),2,_xlfn.XLOOKUP(C646,[1]ModifierDes!$B:$B,[1]ModifierDes!$C:$C),3,_xlfn.XLOOKUP(C646,[1]StuntDes!$B:$B,[1]StuntDes!$C:$C)),"")</f>
        <v>法术格挡率增加{0}</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430</v>
      </c>
      <c r="D647" t="s">
        <v>33</v>
      </c>
      <c r="E647" t="s">
        <v>393</v>
      </c>
      <c r="G647">
        <v>1</v>
      </c>
      <c r="H647">
        <v>1000</v>
      </c>
      <c r="J647" cm="1">
        <f t="array" ref="J647">_xlfn.SWITCH(B647,1,75,2,61,3,49,4,37,5,25,6,13,7,4,8,1)</f>
        <v>1</v>
      </c>
      <c r="K647" t="str" cm="1">
        <f t="array" ref="K647">IFERROR(_xlfn.SWITCH(L647,1,_xlfn.XLOOKUP(C647,[1]AttributeName!$C:$C,[1]AttributeName!$I:$I),2,_xlfn.XLOOKUP(C647,[1]ModifierDes!$B:$B,[1]ModifierDes!$C:$C),3,_xlfn.XLOOKUP(C647,[1]StuntDes!$B:$B,[1]StuntDes!$C:$C)),"")</f>
        <v>法术格挡率增加{0}</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94</v>
      </c>
      <c r="D648" t="s">
        <v>33</v>
      </c>
      <c r="E648" t="s">
        <v>393</v>
      </c>
      <c r="G648">
        <v>1</v>
      </c>
      <c r="H648">
        <v>1000</v>
      </c>
      <c r="J648" cm="1">
        <f t="array" ref="J648">_xlfn.SWITCH(B648,1,75,2,61,3,49,4,37,5,25,6,13,7,4,8,1)</f>
        <v>75</v>
      </c>
      <c r="K648" t="str" cm="1">
        <f t="array" ref="K648">IFERROR(_xlfn.SWITCH(L648,1,_xlfn.XLOOKUP(C648,[1]AttributeName!$C:$C,[1]AttributeName!$I:$I),2,_xlfn.XLOOKUP(C648,[1]ModifierDes!$B:$B,[1]ModifierDes!$C:$C),3,_xlfn.XLOOKUP(C648,[1]StuntDes!$B:$B,[1]StuntDes!$C:$C)),"")</f>
        <v>装备稀有度增加{0}</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94</v>
      </c>
      <c r="D649" t="s">
        <v>33</v>
      </c>
      <c r="E649" t="s">
        <v>393</v>
      </c>
      <c r="G649">
        <v>1</v>
      </c>
      <c r="H649">
        <v>1000</v>
      </c>
      <c r="J649" cm="1">
        <f t="array" ref="J649">_xlfn.SWITCH(B649,1,75,2,61,3,49,4,37,5,25,6,13,7,4,8,1)</f>
        <v>61</v>
      </c>
      <c r="K649" t="str" cm="1">
        <f t="array" ref="K649">IFERROR(_xlfn.SWITCH(L649,1,_xlfn.XLOOKUP(C649,[1]AttributeName!$C:$C,[1]AttributeName!$I:$I),2,_xlfn.XLOOKUP(C649,[1]ModifierDes!$B:$B,[1]ModifierDes!$C:$C),3,_xlfn.XLOOKUP(C649,[1]StuntDes!$B:$B,[1]StuntDes!$C:$C)),"")</f>
        <v>装备稀有度增加{0}</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94</v>
      </c>
      <c r="D650" t="s">
        <v>33</v>
      </c>
      <c r="E650" t="s">
        <v>393</v>
      </c>
      <c r="G650">
        <v>1</v>
      </c>
      <c r="H650">
        <v>1000</v>
      </c>
      <c r="J650" cm="1">
        <f t="array" ref="J650">_xlfn.SWITCH(B650,1,75,2,61,3,49,4,37,5,25,6,13,7,4,8,1)</f>
        <v>49</v>
      </c>
      <c r="K650" t="str" cm="1">
        <f t="array" ref="K650">IFERROR(_xlfn.SWITCH(L650,1,_xlfn.XLOOKUP(C650,[1]AttributeName!$C:$C,[1]AttributeName!$I:$I),2,_xlfn.XLOOKUP(C650,[1]ModifierDes!$B:$B,[1]ModifierDes!$C:$C),3,_xlfn.XLOOKUP(C650,[1]StuntDes!$B:$B,[1]StuntDes!$C:$C)),"")</f>
        <v>装备稀有度增加{0}</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94</v>
      </c>
      <c r="D651" t="s">
        <v>33</v>
      </c>
      <c r="E651" t="s">
        <v>393</v>
      </c>
      <c r="G651">
        <v>1</v>
      </c>
      <c r="H651">
        <v>1000</v>
      </c>
      <c r="J651" cm="1">
        <f t="array" ref="J651">_xlfn.SWITCH(B651,1,75,2,61,3,49,4,37,5,25,6,13,7,4,8,1)</f>
        <v>37</v>
      </c>
      <c r="K651" t="str" cm="1">
        <f t="array" ref="K651">IFERROR(_xlfn.SWITCH(L651,1,_xlfn.XLOOKUP(C651,[1]AttributeName!$C:$C,[1]AttributeName!$I:$I),2,_xlfn.XLOOKUP(C651,[1]ModifierDes!$B:$B,[1]ModifierDes!$C:$C),3,_xlfn.XLOOKUP(C651,[1]StuntDes!$B:$B,[1]StuntDes!$C:$C)),"")</f>
        <v>装备稀有度增加{0}</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94</v>
      </c>
      <c r="D652" t="s">
        <v>33</v>
      </c>
      <c r="E652" t="s">
        <v>393</v>
      </c>
      <c r="G652">
        <v>1</v>
      </c>
      <c r="H652">
        <v>1000</v>
      </c>
      <c r="J652" cm="1">
        <f t="array" ref="J652">_xlfn.SWITCH(B652,1,75,2,61,3,49,4,37,5,25,6,13,7,4,8,1)</f>
        <v>25</v>
      </c>
      <c r="K652" t="str" cm="1">
        <f t="array" ref="K652">IFERROR(_xlfn.SWITCH(L652,1,_xlfn.XLOOKUP(C652,[1]AttributeName!$C:$C,[1]AttributeName!$I:$I),2,_xlfn.XLOOKUP(C652,[1]ModifierDes!$B:$B,[1]ModifierDes!$C:$C),3,_xlfn.XLOOKUP(C652,[1]StuntDes!$B:$B,[1]StuntDes!$C:$C)),"")</f>
        <v>装备稀有度增加{0}</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94</v>
      </c>
      <c r="D653" t="s">
        <v>33</v>
      </c>
      <c r="E653" t="s">
        <v>393</v>
      </c>
      <c r="G653">
        <v>1</v>
      </c>
      <c r="H653">
        <v>1000</v>
      </c>
      <c r="J653" cm="1">
        <f t="array" ref="J653">_xlfn.SWITCH(B653,1,75,2,61,3,49,4,37,5,25,6,13,7,4,8,1)</f>
        <v>13</v>
      </c>
      <c r="K653" t="str" cm="1">
        <f t="array" ref="K653">IFERROR(_xlfn.SWITCH(L653,1,_xlfn.XLOOKUP(C653,[1]AttributeName!$C:$C,[1]AttributeName!$I:$I),2,_xlfn.XLOOKUP(C653,[1]ModifierDes!$B:$B,[1]ModifierDes!$C:$C),3,_xlfn.XLOOKUP(C653,[1]StuntDes!$B:$B,[1]StuntDes!$C:$C)),"")</f>
        <v>装备稀有度增加{0}</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94</v>
      </c>
      <c r="D654" t="s">
        <v>33</v>
      </c>
      <c r="E654" t="s">
        <v>393</v>
      </c>
      <c r="G654">
        <v>1</v>
      </c>
      <c r="H654">
        <v>1000</v>
      </c>
      <c r="J654" cm="1">
        <f t="array" ref="J654">_xlfn.SWITCH(B654,1,75,2,61,3,49,4,37,5,25,6,13,7,4,8,1)</f>
        <v>4</v>
      </c>
      <c r="K654" t="str" cm="1">
        <f t="array" ref="K654">IFERROR(_xlfn.SWITCH(L654,1,_xlfn.XLOOKUP(C654,[1]AttributeName!$C:$C,[1]AttributeName!$I:$I),2,_xlfn.XLOOKUP(C654,[1]ModifierDes!$B:$B,[1]ModifierDes!$C:$C),3,_xlfn.XLOOKUP(C654,[1]StuntDes!$B:$B,[1]StuntDes!$C:$C)),"")</f>
        <v>装备稀有度增加{0}</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94</v>
      </c>
      <c r="D655" t="s">
        <v>33</v>
      </c>
      <c r="E655" t="s">
        <v>393</v>
      </c>
      <c r="G655">
        <v>1</v>
      </c>
      <c r="H655">
        <v>1000</v>
      </c>
      <c r="J655" cm="1">
        <f t="array" ref="J655">_xlfn.SWITCH(B655,1,75,2,61,3,49,4,37,5,25,6,13,7,4,8,1)</f>
        <v>1</v>
      </c>
      <c r="K655" t="str" cm="1">
        <f t="array" ref="K655">IFERROR(_xlfn.SWITCH(L655,1,_xlfn.XLOOKUP(C655,[1]AttributeName!$C:$C,[1]AttributeName!$I:$I),2,_xlfn.XLOOKUP(C655,[1]ModifierDes!$B:$B,[1]ModifierDes!$C:$C),3,_xlfn.XLOOKUP(C655,[1]StuntDes!$B:$B,[1]StuntDes!$C:$C)),"")</f>
        <v>装备稀有度增加{0}</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431</v>
      </c>
      <c r="D656" t="s">
        <v>33</v>
      </c>
      <c r="E656" t="s">
        <v>393</v>
      </c>
      <c r="F656"/>
      <c r="G656">
        <v>1</v>
      </c>
      <c r="H656">
        <v>50</v>
      </c>
      <c r="I656">
        <v>3</v>
      </c>
      <c r="J656" cm="1">
        <f t="array" ref="J656">_xlfn.SWITCH(B656,1,75,2,61,3,49,4,37,5,25,6,13,7,4,8,1)</f>
        <v>75</v>
      </c>
      <c r="K656" t="str" cm="1">
        <f t="array" ref="K656">IFERROR(_xlfn.SWITCH(L656,1,_xlfn.XLOOKUP(C656,[1]AttributeName!$C:$C,[1]AttributeName!$I:$I),2,_xlfn.XLOOKUP(C656,[1]ModifierDes!$B:$B,[1]ModifierDes!$C:$C),3,_xlfn.XLOOKUP(C656,[1]StuntDes!$B:$B,[1]StuntDes!$C:$C)),"")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0.12</v>
      </c>
      <c r="R656">
        <v>0.16</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432</v>
      </c>
      <c r="D657" t="s">
        <v>33</v>
      </c>
      <c r="E657" t="s">
        <v>393</v>
      </c>
      <c r="F657"/>
      <c r="G657">
        <v>1</v>
      </c>
      <c r="H657">
        <v>50</v>
      </c>
      <c r="I657">
        <v>3</v>
      </c>
      <c r="J657" cm="1">
        <f t="array" ref="J657">_xlfn.SWITCH(B657,1,75,2,61,3,49,4,37,5,25,6,13,7,4,8,1)</f>
        <v>75</v>
      </c>
      <c r="K657" t="str" cm="1">
        <f t="array" ref="K657">IFERROR(_xlfn.SWITCH(L657,1,_xlfn.XLOOKUP(C657,[1]AttributeName!$C:$C,[1]AttributeName!$I:$I),2,_xlfn.XLOOKUP(C657,[1]ModifierDes!$B:$B,[1]ModifierDes!$C:$C),3,_xlfn.XLOOKUP(C657,[1]StuntDes!$B:$B,[1]StuntDes!$C:$C)),"")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0.24</v>
      </c>
      <c r="R657">
        <v>0.32</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433</v>
      </c>
      <c r="D658" t="s">
        <v>33</v>
      </c>
      <c r="E658" t="s">
        <v>393</v>
      </c>
      <c r="F658"/>
      <c r="G658">
        <v>1</v>
      </c>
      <c r="H658">
        <v>50</v>
      </c>
      <c r="I658">
        <v>3</v>
      </c>
      <c r="J658" cm="1">
        <f t="array" ref="J658">_xlfn.SWITCH(B658,1,75,2,61,3,49,4,37,5,25,6,13,7,4,8,1)</f>
        <v>75</v>
      </c>
      <c r="K658" t="str" cm="1">
        <f t="array" ref="K658">IFERROR(_xlfn.SWITCH(L658,1,_xlfn.XLOOKUP(C658,[1]AttributeName!$C:$C,[1]AttributeName!$I:$I),2,_xlfn.XLOOKUP(C658,[1]ModifierDes!$B:$B,[1]ModifierDes!$C:$C),3,_xlfn.XLOOKUP(C658,[1]StuntDes!$B:$B,[1]StuntDes!$C:$C)),"")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0.24</v>
      </c>
      <c r="R658">
        <v>0.32</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434</v>
      </c>
      <c r="D659" t="s">
        <v>33</v>
      </c>
      <c r="E659" t="s">
        <v>393</v>
      </c>
      <c r="F659"/>
      <c r="G659">
        <v>1</v>
      </c>
      <c r="H659">
        <v>50</v>
      </c>
      <c r="I659">
        <v>3</v>
      </c>
      <c r="J659" cm="1">
        <f t="array" ref="J659">_xlfn.SWITCH(B659,1,75,2,61,3,49,4,37,5,25,6,13,7,4,8,1)</f>
        <v>75</v>
      </c>
      <c r="K659" t="str" cm="1">
        <f t="array" ref="K659">IFERROR(_xlfn.SWITCH(L659,1,_xlfn.XLOOKUP(C659,[1]AttributeName!$C:$C,[1]AttributeName!$I:$I),2,_xlfn.XLOOKUP(C659,[1]ModifierDes!$B:$B,[1]ModifierDes!$C:$C),3,_xlfn.XLOOKUP(C659,[1]StuntDes!$B:$B,[1]StuntDes!$C:$C)),"")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0.06</v>
      </c>
      <c r="R659">
        <v>0.08</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435</v>
      </c>
      <c r="D660" t="s">
        <v>33</v>
      </c>
      <c r="E660" t="s">
        <v>393</v>
      </c>
      <c r="F660"/>
      <c r="G660">
        <v>1</v>
      </c>
      <c r="H660">
        <v>1000</v>
      </c>
      <c r="I660"/>
      <c r="J660" cm="1">
        <f t="array" ref="J660">_xlfn.SWITCH(B660,1,75,2,61,3,49,4,37,5,25,6,13,7,4,8,1)</f>
        <v>75</v>
      </c>
      <c r="K660" t="str" cm="1">
        <f t="array" ref="K660">IFERROR(_xlfn.SWITCH(L660,1,_xlfn.XLOOKUP(C660,[1]AttributeName!$C:$C,[1]AttributeName!$I:$I),2,_xlfn.XLOOKUP(C660,[1]ModifierDes!$B:$B,[1]ModifierDes!$C:$C),3,_xlfn.XLOOKUP(C660,[1]StuntDes!$B:$B,[1]StuntDes!$C:$C)),"")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435</v>
      </c>
      <c r="D661" t="s">
        <v>33</v>
      </c>
      <c r="E661" t="s">
        <v>393</v>
      </c>
      <c r="F661"/>
      <c r="G661">
        <v>1</v>
      </c>
      <c r="H661">
        <v>1000</v>
      </c>
      <c r="I661"/>
      <c r="J661" cm="1">
        <f t="array" ref="J661">_xlfn.SWITCH(B661,1,75,2,61,3,49,4,37,5,25,6,13,7,4,8,1)</f>
        <v>61</v>
      </c>
      <c r="K661" t="str" cm="1">
        <f t="array" ref="K661">IFERROR(_xlfn.SWITCH(L661,1,_xlfn.XLOOKUP(C661,[1]AttributeName!$C:$C,[1]AttributeName!$I:$I),2,_xlfn.XLOOKUP(C661,[1]ModifierDes!$B:$B,[1]ModifierDes!$C:$C),3,_xlfn.XLOOKUP(C661,[1]StuntDes!$B:$B,[1]StuntDes!$C:$C)),"")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435</v>
      </c>
      <c r="D662" t="s">
        <v>33</v>
      </c>
      <c r="E662" t="s">
        <v>393</v>
      </c>
      <c r="F662"/>
      <c r="G662">
        <v>1</v>
      </c>
      <c r="H662">
        <v>1000</v>
      </c>
      <c r="I662"/>
      <c r="J662" cm="1">
        <f t="array" ref="J662">_xlfn.SWITCH(B662,1,75,2,61,3,49,4,37,5,25,6,13,7,4,8,1)</f>
        <v>49</v>
      </c>
      <c r="K662" t="str" cm="1">
        <f t="array" ref="K662">IFERROR(_xlfn.SWITCH(L662,1,_xlfn.XLOOKUP(C662,[1]AttributeName!$C:$C,[1]AttributeName!$I:$I),2,_xlfn.XLOOKUP(C662,[1]ModifierDes!$B:$B,[1]ModifierDes!$C:$C),3,_xlfn.XLOOKUP(C662,[1]StuntDes!$B:$B,[1]StuntDes!$C:$C)),"")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435</v>
      </c>
      <c r="D663" t="s">
        <v>33</v>
      </c>
      <c r="E663" t="s">
        <v>393</v>
      </c>
      <c r="F663"/>
      <c r="G663">
        <v>1</v>
      </c>
      <c r="H663">
        <v>1000</v>
      </c>
      <c r="I663"/>
      <c r="J663" cm="1">
        <f t="array" ref="J663">_xlfn.SWITCH(B663,1,75,2,61,3,49,4,37,5,25,6,13,7,4,8,1)</f>
        <v>37</v>
      </c>
      <c r="K663" t="str" cm="1">
        <f t="array" ref="K663">IFERROR(_xlfn.SWITCH(L663,1,_xlfn.XLOOKUP(C663,[1]AttributeName!$C:$C,[1]AttributeName!$I:$I),2,_xlfn.XLOOKUP(C663,[1]ModifierDes!$B:$B,[1]ModifierDes!$C:$C),3,_xlfn.XLOOKUP(C663,[1]StuntDes!$B:$B,[1]StuntDes!$C:$C)),"")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435</v>
      </c>
      <c r="D664" t="s">
        <v>33</v>
      </c>
      <c r="E664" t="s">
        <v>393</v>
      </c>
      <c r="F664"/>
      <c r="G664">
        <v>1</v>
      </c>
      <c r="H664">
        <v>1000</v>
      </c>
      <c r="I664"/>
      <c r="J664" cm="1">
        <f t="array" ref="J664">_xlfn.SWITCH(B664,1,75,2,61,3,49,4,37,5,25,6,13,7,4,8,1)</f>
        <v>25</v>
      </c>
      <c r="K664" t="str" cm="1">
        <f t="array" ref="K664">IFERROR(_xlfn.SWITCH(L664,1,_xlfn.XLOOKUP(C664,[1]AttributeName!$C:$C,[1]AttributeName!$I:$I),2,_xlfn.XLOOKUP(C664,[1]ModifierDes!$B:$B,[1]ModifierDes!$C:$C),3,_xlfn.XLOOKUP(C664,[1]StuntDes!$B:$B,[1]StuntDes!$C:$C)),"")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435</v>
      </c>
      <c r="D665" t="s">
        <v>33</v>
      </c>
      <c r="E665" t="s">
        <v>393</v>
      </c>
      <c r="F665"/>
      <c r="G665">
        <v>1</v>
      </c>
      <c r="H665">
        <v>1000</v>
      </c>
      <c r="I665"/>
      <c r="J665" cm="1">
        <f t="array" ref="J665">_xlfn.SWITCH(B665,1,75,2,61,3,49,4,37,5,25,6,13,7,4,8,1)</f>
        <v>13</v>
      </c>
      <c r="K665" t="str" cm="1">
        <f t="array" ref="K665">IFERROR(_xlfn.SWITCH(L665,1,_xlfn.XLOOKUP(C665,[1]AttributeName!$C:$C,[1]AttributeName!$I:$I),2,_xlfn.XLOOKUP(C665,[1]ModifierDes!$B:$B,[1]ModifierDes!$C:$C),3,_xlfn.XLOOKUP(C665,[1]StuntDes!$B:$B,[1]StuntDes!$C:$C)),"")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435</v>
      </c>
      <c r="D666" t="s">
        <v>33</v>
      </c>
      <c r="E666" t="s">
        <v>393</v>
      </c>
      <c r="F666"/>
      <c r="G666">
        <v>1</v>
      </c>
      <c r="H666">
        <v>1000</v>
      </c>
      <c r="I666"/>
      <c r="J666" cm="1">
        <f t="array" ref="J666">_xlfn.SWITCH(B666,1,75,2,61,3,49,4,37,5,25,6,13,7,4,8,1)</f>
        <v>4</v>
      </c>
      <c r="K666" t="str" cm="1">
        <f t="array" ref="K666">IFERROR(_xlfn.SWITCH(L666,1,_xlfn.XLOOKUP(C666,[1]AttributeName!$C:$C,[1]AttributeName!$I:$I),2,_xlfn.XLOOKUP(C666,[1]ModifierDes!$B:$B,[1]ModifierDes!$C:$C),3,_xlfn.XLOOKUP(C666,[1]StuntDes!$B:$B,[1]StuntDes!$C:$C)),"")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435</v>
      </c>
      <c r="D667" t="s">
        <v>33</v>
      </c>
      <c r="E667" t="s">
        <v>393</v>
      </c>
      <c r="F667"/>
      <c r="G667">
        <v>1</v>
      </c>
      <c r="H667">
        <v>1000</v>
      </c>
      <c r="I667"/>
      <c r="J667" cm="1">
        <f t="array" ref="J667">_xlfn.SWITCH(B667,1,75,2,61,3,49,4,37,5,25,6,13,7,4,8,1)</f>
        <v>1</v>
      </c>
      <c r="K667" t="str" cm="1">
        <f t="array" ref="K667">IFERROR(_xlfn.SWITCH(L667,1,_xlfn.XLOOKUP(C667,[1]AttributeName!$C:$C,[1]AttributeName!$I:$I),2,_xlfn.XLOOKUP(C667,[1]ModifierDes!$B:$B,[1]ModifierDes!$C:$C),3,_xlfn.XLOOKUP(C667,[1]StuntDes!$B:$B,[1]StuntDes!$C:$C)),"")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436</v>
      </c>
      <c r="D668" t="s">
        <v>33</v>
      </c>
      <c r="E668" t="s">
        <v>393</v>
      </c>
      <c r="F668"/>
      <c r="G668">
        <v>1</v>
      </c>
      <c r="H668">
        <v>1000</v>
      </c>
      <c r="I668"/>
      <c r="J668" cm="1">
        <f t="array" ref="J668">_xlfn.SWITCH(B668,1,75,2,61,3,49,4,37,5,25,6,13,7,4,8,1)</f>
        <v>75</v>
      </c>
      <c r="K668" t="str" cm="1">
        <f t="array" ref="K668">IFERROR(_xlfn.SWITCH(L668,1,_xlfn.XLOOKUP(C668,[1]AttributeName!$C:$C,[1]AttributeName!$I:$I),2,_xlfn.XLOOKUP(C668,[1]ModifierDes!$B:$B,[1]ModifierDes!$C:$C),3,_xlfn.XLOOKUP(C668,[1]StuntDes!$B:$B,[1]StuntDes!$C:$C)),"")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436</v>
      </c>
      <c r="D669" t="s">
        <v>33</v>
      </c>
      <c r="E669" t="s">
        <v>393</v>
      </c>
      <c r="F669"/>
      <c r="G669">
        <v>1</v>
      </c>
      <c r="H669">
        <v>1000</v>
      </c>
      <c r="I669"/>
      <c r="J669" cm="1">
        <f t="array" ref="J669">_xlfn.SWITCH(B669,1,75,2,61,3,49,4,37,5,25,6,13,7,4,8,1)</f>
        <v>61</v>
      </c>
      <c r="K669" t="str" cm="1">
        <f t="array" ref="K669">IFERROR(_xlfn.SWITCH(L669,1,_xlfn.XLOOKUP(C669,[1]AttributeName!$C:$C,[1]AttributeName!$I:$I),2,_xlfn.XLOOKUP(C669,[1]ModifierDes!$B:$B,[1]ModifierDes!$C:$C),3,_xlfn.XLOOKUP(C669,[1]StuntDes!$B:$B,[1]StuntDes!$C:$C)),"")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436</v>
      </c>
      <c r="D670" t="s">
        <v>33</v>
      </c>
      <c r="E670" t="s">
        <v>393</v>
      </c>
      <c r="F670"/>
      <c r="G670">
        <v>1</v>
      </c>
      <c r="H670">
        <v>1000</v>
      </c>
      <c r="I670"/>
      <c r="J670" cm="1">
        <f t="array" ref="J670">_xlfn.SWITCH(B670,1,75,2,61,3,49,4,37,5,25,6,13,7,4,8,1)</f>
        <v>49</v>
      </c>
      <c r="K670" t="str" cm="1">
        <f t="array" ref="K670">IFERROR(_xlfn.SWITCH(L670,1,_xlfn.XLOOKUP(C670,[1]AttributeName!$C:$C,[1]AttributeName!$I:$I),2,_xlfn.XLOOKUP(C670,[1]ModifierDes!$B:$B,[1]ModifierDes!$C:$C),3,_xlfn.XLOOKUP(C670,[1]StuntDes!$B:$B,[1]StuntDes!$C:$C)),"")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436</v>
      </c>
      <c r="D671" t="s">
        <v>33</v>
      </c>
      <c r="E671" t="s">
        <v>393</v>
      </c>
      <c r="F671"/>
      <c r="G671">
        <v>1</v>
      </c>
      <c r="H671">
        <v>1000</v>
      </c>
      <c r="I671"/>
      <c r="J671" cm="1">
        <f t="array" ref="J671">_xlfn.SWITCH(B671,1,75,2,61,3,49,4,37,5,25,6,13,7,4,8,1)</f>
        <v>37</v>
      </c>
      <c r="K671" t="str" cm="1">
        <f t="array" ref="K671">IFERROR(_xlfn.SWITCH(L671,1,_xlfn.XLOOKUP(C671,[1]AttributeName!$C:$C,[1]AttributeName!$I:$I),2,_xlfn.XLOOKUP(C671,[1]ModifierDes!$B:$B,[1]ModifierDes!$C:$C),3,_xlfn.XLOOKUP(C671,[1]StuntDes!$B:$B,[1]StuntDes!$C:$C)),"")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436</v>
      </c>
      <c r="D672" t="s">
        <v>33</v>
      </c>
      <c r="E672" t="s">
        <v>393</v>
      </c>
      <c r="F672"/>
      <c r="G672">
        <v>1</v>
      </c>
      <c r="H672">
        <v>1000</v>
      </c>
      <c r="I672"/>
      <c r="J672" cm="1">
        <f t="array" ref="J672">_xlfn.SWITCH(B672,1,75,2,61,3,49,4,37,5,25,6,13,7,4,8,1)</f>
        <v>25</v>
      </c>
      <c r="K672" t="str" cm="1">
        <f t="array" ref="K672">IFERROR(_xlfn.SWITCH(L672,1,_xlfn.XLOOKUP(C672,[1]AttributeName!$C:$C,[1]AttributeName!$I:$I),2,_xlfn.XLOOKUP(C672,[1]ModifierDes!$B:$B,[1]ModifierDes!$C:$C),3,_xlfn.XLOOKUP(C672,[1]StuntDes!$B:$B,[1]StuntDes!$C:$C)),"")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436</v>
      </c>
      <c r="D673" t="s">
        <v>33</v>
      </c>
      <c r="E673" t="s">
        <v>393</v>
      </c>
      <c r="F673"/>
      <c r="G673">
        <v>1</v>
      </c>
      <c r="H673">
        <v>1000</v>
      </c>
      <c r="I673"/>
      <c r="J673" cm="1">
        <f t="array" ref="J673">_xlfn.SWITCH(B673,1,75,2,61,3,49,4,37,5,25,6,13,7,4,8,1)</f>
        <v>13</v>
      </c>
      <c r="K673" t="str" cm="1">
        <f t="array" ref="K673">IFERROR(_xlfn.SWITCH(L673,1,_xlfn.XLOOKUP(C673,[1]AttributeName!$C:$C,[1]AttributeName!$I:$I),2,_xlfn.XLOOKUP(C673,[1]ModifierDes!$B:$B,[1]ModifierDes!$C:$C),3,_xlfn.XLOOKUP(C673,[1]StuntDes!$B:$B,[1]StuntDes!$C:$C)),"")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436</v>
      </c>
      <c r="D674" t="s">
        <v>33</v>
      </c>
      <c r="E674" t="s">
        <v>393</v>
      </c>
      <c r="F674"/>
      <c r="G674">
        <v>1</v>
      </c>
      <c r="H674">
        <v>1000</v>
      </c>
      <c r="I674"/>
      <c r="J674" cm="1">
        <f t="array" ref="J674">_xlfn.SWITCH(B674,1,75,2,61,3,49,4,37,5,25,6,13,7,4,8,1)</f>
        <v>4</v>
      </c>
      <c r="K674" t="str" cm="1">
        <f t="array" ref="K674">IFERROR(_xlfn.SWITCH(L674,1,_xlfn.XLOOKUP(C674,[1]AttributeName!$C:$C,[1]AttributeName!$I:$I),2,_xlfn.XLOOKUP(C674,[1]ModifierDes!$B:$B,[1]ModifierDes!$C:$C),3,_xlfn.XLOOKUP(C674,[1]StuntDes!$B:$B,[1]StuntDes!$C:$C)),"")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436</v>
      </c>
      <c r="D675" t="s">
        <v>33</v>
      </c>
      <c r="E675" t="s">
        <v>393</v>
      </c>
      <c r="F675"/>
      <c r="G675">
        <v>1</v>
      </c>
      <c r="H675">
        <v>1000</v>
      </c>
      <c r="I675"/>
      <c r="J675" cm="1">
        <f t="array" ref="J675">_xlfn.SWITCH(B675,1,75,2,61,3,49,4,37,5,25,6,13,7,4,8,1)</f>
        <v>1</v>
      </c>
      <c r="K675" t="str" cm="1">
        <f t="array" ref="K675">IFERROR(_xlfn.SWITCH(L675,1,_xlfn.XLOOKUP(C675,[1]AttributeName!$C:$C,[1]AttributeName!$I:$I),2,_xlfn.XLOOKUP(C675,[1]ModifierDes!$B:$B,[1]ModifierDes!$C:$C),3,_xlfn.XLOOKUP(C675,[1]StuntDes!$B:$B,[1]StuntDes!$C:$C)),"")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437</v>
      </c>
      <c r="D676" t="s">
        <v>33</v>
      </c>
      <c r="E676" t="s">
        <v>410</v>
      </c>
      <c r="F676"/>
      <c r="G676">
        <v>2</v>
      </c>
      <c r="H676">
        <v>1000</v>
      </c>
      <c r="J676" cm="1">
        <f t="array" ref="J676">_xlfn.SWITCH(B676,1,75,2,61,3,49,4,37,5,25,6,13,7,4,8,1)</f>
        <v>75</v>
      </c>
      <c r="K676" t="str" cm="1">
        <f t="array" ref="K676">IFERROR(_xlfn.SWITCH(L676,1,_xlfn.XLOOKUP(C676,[1]AttributeName!$C:$C,[1]AttributeName!$I:$I),2,_xlfn.XLOOKUP(C676,[1]ModifierDes!$B:$B,[1]ModifierDes!$C:$C),3,_xlfn.XLOOKUP(C676,[1]StuntDes!$B:$B,[1]StuntDes!$C:$C)),"")</f>
        <v>物理抗性增加{0}</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437</v>
      </c>
      <c r="D677" t="s">
        <v>33</v>
      </c>
      <c r="E677" t="s">
        <v>410</v>
      </c>
      <c r="F677"/>
      <c r="G677">
        <v>2</v>
      </c>
      <c r="H677">
        <v>1000</v>
      </c>
      <c r="J677" cm="1">
        <f t="array" ref="J677">_xlfn.SWITCH(B677,1,75,2,61,3,49,4,37,5,25,6,13,7,4,8,1)</f>
        <v>61</v>
      </c>
      <c r="K677" t="str" cm="1">
        <f t="array" ref="K677">IFERROR(_xlfn.SWITCH(L677,1,_xlfn.XLOOKUP(C677,[1]AttributeName!$C:$C,[1]AttributeName!$I:$I),2,_xlfn.XLOOKUP(C677,[1]ModifierDes!$B:$B,[1]ModifierDes!$C:$C),3,_xlfn.XLOOKUP(C677,[1]StuntDes!$B:$B,[1]StuntDes!$C:$C)),"")</f>
        <v>物理抗性增加{0}</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437</v>
      </c>
      <c r="D678" t="s">
        <v>33</v>
      </c>
      <c r="E678" t="s">
        <v>410</v>
      </c>
      <c r="F678"/>
      <c r="G678">
        <v>2</v>
      </c>
      <c r="H678">
        <v>1000</v>
      </c>
      <c r="J678" cm="1">
        <f t="array" ref="J678">_xlfn.SWITCH(B678,1,75,2,61,3,49,4,37,5,25,6,13,7,4,8,1)</f>
        <v>49</v>
      </c>
      <c r="K678" t="str" cm="1">
        <f t="array" ref="K678">IFERROR(_xlfn.SWITCH(L678,1,_xlfn.XLOOKUP(C678,[1]AttributeName!$C:$C,[1]AttributeName!$I:$I),2,_xlfn.XLOOKUP(C678,[1]ModifierDes!$B:$B,[1]ModifierDes!$C:$C),3,_xlfn.XLOOKUP(C678,[1]StuntDes!$B:$B,[1]StuntDes!$C:$C)),"")</f>
        <v>物理抗性增加{0}</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437</v>
      </c>
      <c r="D679" t="s">
        <v>33</v>
      </c>
      <c r="E679" t="s">
        <v>410</v>
      </c>
      <c r="F679"/>
      <c r="G679">
        <v>2</v>
      </c>
      <c r="H679">
        <v>1000</v>
      </c>
      <c r="J679" cm="1">
        <f t="array" ref="J679">_xlfn.SWITCH(B679,1,75,2,61,3,49,4,37,5,25,6,13,7,4,8,1)</f>
        <v>37</v>
      </c>
      <c r="K679" t="str" cm="1">
        <f t="array" ref="K679">IFERROR(_xlfn.SWITCH(L679,1,_xlfn.XLOOKUP(C679,[1]AttributeName!$C:$C,[1]AttributeName!$I:$I),2,_xlfn.XLOOKUP(C679,[1]ModifierDes!$B:$B,[1]ModifierDes!$C:$C),3,_xlfn.XLOOKUP(C679,[1]StuntDes!$B:$B,[1]StuntDes!$C:$C)),"")</f>
        <v>物理抗性增加{0}</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437</v>
      </c>
      <c r="D680" t="s">
        <v>33</v>
      </c>
      <c r="E680" t="s">
        <v>410</v>
      </c>
      <c r="F680"/>
      <c r="G680">
        <v>2</v>
      </c>
      <c r="H680">
        <v>1000</v>
      </c>
      <c r="J680" cm="1">
        <f t="array" ref="J680">_xlfn.SWITCH(B680,1,75,2,61,3,49,4,37,5,25,6,13,7,4,8,1)</f>
        <v>25</v>
      </c>
      <c r="K680" t="str" cm="1">
        <f t="array" ref="K680">IFERROR(_xlfn.SWITCH(L680,1,_xlfn.XLOOKUP(C680,[1]AttributeName!$C:$C,[1]AttributeName!$I:$I),2,_xlfn.XLOOKUP(C680,[1]ModifierDes!$B:$B,[1]ModifierDes!$C:$C),3,_xlfn.XLOOKUP(C680,[1]StuntDes!$B:$B,[1]StuntDes!$C:$C)),"")</f>
        <v>物理抗性增加{0}</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437</v>
      </c>
      <c r="D681" t="s">
        <v>33</v>
      </c>
      <c r="E681" t="s">
        <v>410</v>
      </c>
      <c r="F681"/>
      <c r="G681">
        <v>2</v>
      </c>
      <c r="H681">
        <v>1000</v>
      </c>
      <c r="J681" cm="1">
        <f t="array" ref="J681">_xlfn.SWITCH(B681,1,75,2,61,3,49,4,37,5,25,6,13,7,4,8,1)</f>
        <v>13</v>
      </c>
      <c r="K681" t="str" cm="1">
        <f t="array" ref="K681">IFERROR(_xlfn.SWITCH(L681,1,_xlfn.XLOOKUP(C681,[1]AttributeName!$C:$C,[1]AttributeName!$I:$I),2,_xlfn.XLOOKUP(C681,[1]ModifierDes!$B:$B,[1]ModifierDes!$C:$C),3,_xlfn.XLOOKUP(C681,[1]StuntDes!$B:$B,[1]StuntDes!$C:$C)),"")</f>
        <v>物理抗性增加{0}</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437</v>
      </c>
      <c r="D682" t="s">
        <v>33</v>
      </c>
      <c r="E682" t="s">
        <v>410</v>
      </c>
      <c r="F682"/>
      <c r="G682">
        <v>2</v>
      </c>
      <c r="H682">
        <v>1000</v>
      </c>
      <c r="J682" cm="1">
        <f t="array" ref="J682">_xlfn.SWITCH(B682,1,75,2,61,3,49,4,37,5,25,6,13,7,4,8,1)</f>
        <v>4</v>
      </c>
      <c r="K682" t="str" cm="1">
        <f t="array" ref="K682">IFERROR(_xlfn.SWITCH(L682,1,_xlfn.XLOOKUP(C682,[1]AttributeName!$C:$C,[1]AttributeName!$I:$I),2,_xlfn.XLOOKUP(C682,[1]ModifierDes!$B:$B,[1]ModifierDes!$C:$C),3,_xlfn.XLOOKUP(C682,[1]StuntDes!$B:$B,[1]StuntDes!$C:$C)),"")</f>
        <v>物理抗性增加{0}</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437</v>
      </c>
      <c r="D683" t="s">
        <v>33</v>
      </c>
      <c r="E683" t="s">
        <v>410</v>
      </c>
      <c r="F683"/>
      <c r="G683">
        <v>2</v>
      </c>
      <c r="H683">
        <v>1000</v>
      </c>
      <c r="J683" cm="1">
        <f t="array" ref="J683">_xlfn.SWITCH(B683,1,75,2,61,3,49,4,37,5,25,6,13,7,4,8,1)</f>
        <v>1</v>
      </c>
      <c r="K683" t="str" cm="1">
        <f t="array" ref="K683">IFERROR(_xlfn.SWITCH(L683,1,_xlfn.XLOOKUP(C683,[1]AttributeName!$C:$C,[1]AttributeName!$I:$I),2,_xlfn.XLOOKUP(C683,[1]ModifierDes!$B:$B,[1]ModifierDes!$C:$C),3,_xlfn.XLOOKUP(C683,[1]StuntDes!$B:$B,[1]StuntDes!$C:$C)),"")</f>
        <v>物理抗性增加{0}</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438</v>
      </c>
      <c r="D684" t="s">
        <v>33</v>
      </c>
      <c r="E684" t="s">
        <v>410</v>
      </c>
      <c r="F684"/>
      <c r="G684">
        <v>2</v>
      </c>
      <c r="H684">
        <v>1000</v>
      </c>
      <c r="J684" cm="1">
        <f t="array" ref="J684">_xlfn.SWITCH(B684,1,75,2,61,3,49,4,37,5,25,6,13,7,4,8,1)</f>
        <v>75</v>
      </c>
      <c r="K684" t="str" cm="1">
        <f t="array" ref="K684">IFERROR(_xlfn.SWITCH(L684,1,_xlfn.XLOOKUP(C684,[1]AttributeName!$C:$C,[1]AttributeName!$I:$I),2,_xlfn.XLOOKUP(C684,[1]ModifierDes!$B:$B,[1]ModifierDes!$C:$C),3,_xlfn.XLOOKUP(C684,[1]StuntDes!$B:$B,[1]StuntDes!$C:$C)),"")</f>
        <v>火焰抗性增加{0}</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438</v>
      </c>
      <c r="D685" t="s">
        <v>33</v>
      </c>
      <c r="E685" t="s">
        <v>410</v>
      </c>
      <c r="F685"/>
      <c r="G685">
        <v>2</v>
      </c>
      <c r="H685">
        <v>1000</v>
      </c>
      <c r="J685" cm="1">
        <f t="array" ref="J685">_xlfn.SWITCH(B685,1,75,2,61,3,49,4,37,5,25,6,13,7,4,8,1)</f>
        <v>61</v>
      </c>
      <c r="K685" t="str" cm="1">
        <f t="array" ref="K685">IFERROR(_xlfn.SWITCH(L685,1,_xlfn.XLOOKUP(C685,[1]AttributeName!$C:$C,[1]AttributeName!$I:$I),2,_xlfn.XLOOKUP(C685,[1]ModifierDes!$B:$B,[1]ModifierDes!$C:$C),3,_xlfn.XLOOKUP(C685,[1]StuntDes!$B:$B,[1]StuntDes!$C:$C)),"")</f>
        <v>火焰抗性增加{0}</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438</v>
      </c>
      <c r="D686" t="s">
        <v>33</v>
      </c>
      <c r="E686" t="s">
        <v>410</v>
      </c>
      <c r="F686"/>
      <c r="G686">
        <v>2</v>
      </c>
      <c r="H686">
        <v>1000</v>
      </c>
      <c r="J686" cm="1">
        <f t="array" ref="J686">_xlfn.SWITCH(B686,1,75,2,61,3,49,4,37,5,25,6,13,7,4,8,1)</f>
        <v>49</v>
      </c>
      <c r="K686" t="str" cm="1">
        <f t="array" ref="K686">IFERROR(_xlfn.SWITCH(L686,1,_xlfn.XLOOKUP(C686,[1]AttributeName!$C:$C,[1]AttributeName!$I:$I),2,_xlfn.XLOOKUP(C686,[1]ModifierDes!$B:$B,[1]ModifierDes!$C:$C),3,_xlfn.XLOOKUP(C686,[1]StuntDes!$B:$B,[1]StuntDes!$C:$C)),"")</f>
        <v>火焰抗性增加{0}</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438</v>
      </c>
      <c r="D687" t="s">
        <v>33</v>
      </c>
      <c r="E687" t="s">
        <v>410</v>
      </c>
      <c r="F687"/>
      <c r="G687">
        <v>2</v>
      </c>
      <c r="H687">
        <v>1000</v>
      </c>
      <c r="J687" cm="1">
        <f t="array" ref="J687">_xlfn.SWITCH(B687,1,75,2,61,3,49,4,37,5,25,6,13,7,4,8,1)</f>
        <v>37</v>
      </c>
      <c r="K687" t="str" cm="1">
        <f t="array" ref="K687">IFERROR(_xlfn.SWITCH(L687,1,_xlfn.XLOOKUP(C687,[1]AttributeName!$C:$C,[1]AttributeName!$I:$I),2,_xlfn.XLOOKUP(C687,[1]ModifierDes!$B:$B,[1]ModifierDes!$C:$C),3,_xlfn.XLOOKUP(C687,[1]StuntDes!$B:$B,[1]StuntDes!$C:$C)),"")</f>
        <v>火焰抗性增加{0}</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438</v>
      </c>
      <c r="D688" t="s">
        <v>33</v>
      </c>
      <c r="E688" t="s">
        <v>410</v>
      </c>
      <c r="F688"/>
      <c r="G688">
        <v>2</v>
      </c>
      <c r="H688">
        <v>1000</v>
      </c>
      <c r="J688" cm="1">
        <f t="array" ref="J688">_xlfn.SWITCH(B688,1,75,2,61,3,49,4,37,5,25,6,13,7,4,8,1)</f>
        <v>25</v>
      </c>
      <c r="K688" t="str" cm="1">
        <f t="array" ref="K688">IFERROR(_xlfn.SWITCH(L688,1,_xlfn.XLOOKUP(C688,[1]AttributeName!$C:$C,[1]AttributeName!$I:$I),2,_xlfn.XLOOKUP(C688,[1]ModifierDes!$B:$B,[1]ModifierDes!$C:$C),3,_xlfn.XLOOKUP(C688,[1]StuntDes!$B:$B,[1]StuntDes!$C:$C)),"")</f>
        <v>火焰抗性增加{0}</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438</v>
      </c>
      <c r="D689" t="s">
        <v>33</v>
      </c>
      <c r="E689" t="s">
        <v>410</v>
      </c>
      <c r="F689"/>
      <c r="G689">
        <v>2</v>
      </c>
      <c r="H689">
        <v>1000</v>
      </c>
      <c r="J689" cm="1">
        <f t="array" ref="J689">_xlfn.SWITCH(B689,1,75,2,61,3,49,4,37,5,25,6,13,7,4,8,1)</f>
        <v>13</v>
      </c>
      <c r="K689" t="str" cm="1">
        <f t="array" ref="K689">IFERROR(_xlfn.SWITCH(L689,1,_xlfn.XLOOKUP(C689,[1]AttributeName!$C:$C,[1]AttributeName!$I:$I),2,_xlfn.XLOOKUP(C689,[1]ModifierDes!$B:$B,[1]ModifierDes!$C:$C),3,_xlfn.XLOOKUP(C689,[1]StuntDes!$B:$B,[1]StuntDes!$C:$C)),"")</f>
        <v>火焰抗性增加{0}</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438</v>
      </c>
      <c r="D690" t="s">
        <v>33</v>
      </c>
      <c r="E690" t="s">
        <v>410</v>
      </c>
      <c r="F690"/>
      <c r="G690">
        <v>2</v>
      </c>
      <c r="H690">
        <v>1000</v>
      </c>
      <c r="J690" cm="1">
        <f t="array" ref="J690">_xlfn.SWITCH(B690,1,75,2,61,3,49,4,37,5,25,6,13,7,4,8,1)</f>
        <v>4</v>
      </c>
      <c r="K690" t="str" cm="1">
        <f t="array" ref="K690">IFERROR(_xlfn.SWITCH(L690,1,_xlfn.XLOOKUP(C690,[1]AttributeName!$C:$C,[1]AttributeName!$I:$I),2,_xlfn.XLOOKUP(C690,[1]ModifierDes!$B:$B,[1]ModifierDes!$C:$C),3,_xlfn.XLOOKUP(C690,[1]StuntDes!$B:$B,[1]StuntDes!$C:$C)),"")</f>
        <v>火焰抗性增加{0}</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438</v>
      </c>
      <c r="D691" t="s">
        <v>33</v>
      </c>
      <c r="E691" t="s">
        <v>410</v>
      </c>
      <c r="F691"/>
      <c r="G691">
        <v>2</v>
      </c>
      <c r="H691">
        <v>1000</v>
      </c>
      <c r="J691" cm="1">
        <f t="array" ref="J691">_xlfn.SWITCH(B691,1,75,2,61,3,49,4,37,5,25,6,13,7,4,8,1)</f>
        <v>1</v>
      </c>
      <c r="K691" t="str" cm="1">
        <f t="array" ref="K691">IFERROR(_xlfn.SWITCH(L691,1,_xlfn.XLOOKUP(C691,[1]AttributeName!$C:$C,[1]AttributeName!$I:$I),2,_xlfn.XLOOKUP(C691,[1]ModifierDes!$B:$B,[1]ModifierDes!$C:$C),3,_xlfn.XLOOKUP(C691,[1]StuntDes!$B:$B,[1]StuntDes!$C:$C)),"")</f>
        <v>火焰抗性增加{0}</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439</v>
      </c>
      <c r="D692" t="s">
        <v>33</v>
      </c>
      <c r="E692" t="s">
        <v>410</v>
      </c>
      <c r="F692"/>
      <c r="G692">
        <v>2</v>
      </c>
      <c r="H692">
        <v>1000</v>
      </c>
      <c r="J692" cm="1">
        <f t="array" ref="J692">_xlfn.SWITCH(B692,1,75,2,61,3,49,4,37,5,25,6,13,7,4,8,1)</f>
        <v>75</v>
      </c>
      <c r="K692" t="str" cm="1">
        <f t="array" ref="K692">IFERROR(_xlfn.SWITCH(L692,1,_xlfn.XLOOKUP(C692,[1]AttributeName!$C:$C,[1]AttributeName!$I:$I),2,_xlfn.XLOOKUP(C692,[1]ModifierDes!$B:$B,[1]ModifierDes!$C:$C),3,_xlfn.XLOOKUP(C692,[1]StuntDes!$B:$B,[1]StuntDes!$C:$C)),"")</f>
        <v>冰冷抗性增加{0}</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439</v>
      </c>
      <c r="D693" t="s">
        <v>33</v>
      </c>
      <c r="E693" t="s">
        <v>410</v>
      </c>
      <c r="F693"/>
      <c r="G693">
        <v>2</v>
      </c>
      <c r="H693">
        <v>1000</v>
      </c>
      <c r="J693" cm="1">
        <f t="array" ref="J693">_xlfn.SWITCH(B693,1,75,2,61,3,49,4,37,5,25,6,13,7,4,8,1)</f>
        <v>61</v>
      </c>
      <c r="K693" t="str" cm="1">
        <f t="array" ref="K693">IFERROR(_xlfn.SWITCH(L693,1,_xlfn.XLOOKUP(C693,[1]AttributeName!$C:$C,[1]AttributeName!$I:$I),2,_xlfn.XLOOKUP(C693,[1]ModifierDes!$B:$B,[1]ModifierDes!$C:$C),3,_xlfn.XLOOKUP(C693,[1]StuntDes!$B:$B,[1]StuntDes!$C:$C)),"")</f>
        <v>冰冷抗性增加{0}</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439</v>
      </c>
      <c r="D694" t="s">
        <v>33</v>
      </c>
      <c r="E694" t="s">
        <v>410</v>
      </c>
      <c r="F694"/>
      <c r="G694">
        <v>2</v>
      </c>
      <c r="H694">
        <v>1000</v>
      </c>
      <c r="J694" cm="1">
        <f t="array" ref="J694">_xlfn.SWITCH(B694,1,75,2,61,3,49,4,37,5,25,6,13,7,4,8,1)</f>
        <v>49</v>
      </c>
      <c r="K694" t="str" cm="1">
        <f t="array" ref="K694">IFERROR(_xlfn.SWITCH(L694,1,_xlfn.XLOOKUP(C694,[1]AttributeName!$C:$C,[1]AttributeName!$I:$I),2,_xlfn.XLOOKUP(C694,[1]ModifierDes!$B:$B,[1]ModifierDes!$C:$C),3,_xlfn.XLOOKUP(C694,[1]StuntDes!$B:$B,[1]StuntDes!$C:$C)),"")</f>
        <v>冰冷抗性增加{0}</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439</v>
      </c>
      <c r="D695" t="s">
        <v>33</v>
      </c>
      <c r="E695" t="s">
        <v>410</v>
      </c>
      <c r="F695"/>
      <c r="G695">
        <v>2</v>
      </c>
      <c r="H695">
        <v>1000</v>
      </c>
      <c r="J695" cm="1">
        <f t="array" ref="J695">_xlfn.SWITCH(B695,1,75,2,61,3,49,4,37,5,25,6,13,7,4,8,1)</f>
        <v>37</v>
      </c>
      <c r="K695" t="str" cm="1">
        <f t="array" ref="K695">IFERROR(_xlfn.SWITCH(L695,1,_xlfn.XLOOKUP(C695,[1]AttributeName!$C:$C,[1]AttributeName!$I:$I),2,_xlfn.XLOOKUP(C695,[1]ModifierDes!$B:$B,[1]ModifierDes!$C:$C),3,_xlfn.XLOOKUP(C695,[1]StuntDes!$B:$B,[1]StuntDes!$C:$C)),"")</f>
        <v>冰冷抗性增加{0}</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439</v>
      </c>
      <c r="D696" t="s">
        <v>33</v>
      </c>
      <c r="E696" t="s">
        <v>410</v>
      </c>
      <c r="F696"/>
      <c r="G696">
        <v>2</v>
      </c>
      <c r="H696">
        <v>1000</v>
      </c>
      <c r="J696" cm="1">
        <f t="array" ref="J696">_xlfn.SWITCH(B696,1,75,2,61,3,49,4,37,5,25,6,13,7,4,8,1)</f>
        <v>25</v>
      </c>
      <c r="K696" t="str" cm="1">
        <f t="array" ref="K696">IFERROR(_xlfn.SWITCH(L696,1,_xlfn.XLOOKUP(C696,[1]AttributeName!$C:$C,[1]AttributeName!$I:$I),2,_xlfn.XLOOKUP(C696,[1]ModifierDes!$B:$B,[1]ModifierDes!$C:$C),3,_xlfn.XLOOKUP(C696,[1]StuntDes!$B:$B,[1]StuntDes!$C:$C)),"")</f>
        <v>冰冷抗性增加{0}</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439</v>
      </c>
      <c r="D697" t="s">
        <v>33</v>
      </c>
      <c r="E697" t="s">
        <v>410</v>
      </c>
      <c r="F697"/>
      <c r="G697">
        <v>2</v>
      </c>
      <c r="H697">
        <v>1000</v>
      </c>
      <c r="J697" cm="1">
        <f t="array" ref="J697">_xlfn.SWITCH(B697,1,75,2,61,3,49,4,37,5,25,6,13,7,4,8,1)</f>
        <v>13</v>
      </c>
      <c r="K697" t="str" cm="1">
        <f t="array" ref="K697">IFERROR(_xlfn.SWITCH(L697,1,_xlfn.XLOOKUP(C697,[1]AttributeName!$C:$C,[1]AttributeName!$I:$I),2,_xlfn.XLOOKUP(C697,[1]ModifierDes!$B:$B,[1]ModifierDes!$C:$C),3,_xlfn.XLOOKUP(C697,[1]StuntDes!$B:$B,[1]StuntDes!$C:$C)),"")</f>
        <v>冰冷抗性增加{0}</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439</v>
      </c>
      <c r="D698" t="s">
        <v>33</v>
      </c>
      <c r="E698" t="s">
        <v>410</v>
      </c>
      <c r="F698"/>
      <c r="G698">
        <v>2</v>
      </c>
      <c r="H698">
        <v>1000</v>
      </c>
      <c r="J698" cm="1">
        <f t="array" ref="J698">_xlfn.SWITCH(B698,1,75,2,61,3,49,4,37,5,25,6,13,7,4,8,1)</f>
        <v>4</v>
      </c>
      <c r="K698" t="str" cm="1">
        <f t="array" ref="K698">IFERROR(_xlfn.SWITCH(L698,1,_xlfn.XLOOKUP(C698,[1]AttributeName!$C:$C,[1]AttributeName!$I:$I),2,_xlfn.XLOOKUP(C698,[1]ModifierDes!$B:$B,[1]ModifierDes!$C:$C),3,_xlfn.XLOOKUP(C698,[1]StuntDes!$B:$B,[1]StuntDes!$C:$C)),"")</f>
        <v>冰冷抗性增加{0}</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439</v>
      </c>
      <c r="D699" t="s">
        <v>33</v>
      </c>
      <c r="E699" t="s">
        <v>410</v>
      </c>
      <c r="F699"/>
      <c r="G699">
        <v>2</v>
      </c>
      <c r="H699">
        <v>1000</v>
      </c>
      <c r="J699" cm="1">
        <f t="array" ref="J699">_xlfn.SWITCH(B699,1,75,2,61,3,49,4,37,5,25,6,13,7,4,8,1)</f>
        <v>1</v>
      </c>
      <c r="K699" t="str" cm="1">
        <f t="array" ref="K699">IFERROR(_xlfn.SWITCH(L699,1,_xlfn.XLOOKUP(C699,[1]AttributeName!$C:$C,[1]AttributeName!$I:$I),2,_xlfn.XLOOKUP(C699,[1]ModifierDes!$B:$B,[1]ModifierDes!$C:$C),3,_xlfn.XLOOKUP(C699,[1]StuntDes!$B:$B,[1]StuntDes!$C:$C)),"")</f>
        <v>冰冷抗性增加{0}</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440</v>
      </c>
      <c r="D700" t="s">
        <v>33</v>
      </c>
      <c r="E700" t="s">
        <v>410</v>
      </c>
      <c r="F700"/>
      <c r="G700">
        <v>2</v>
      </c>
      <c r="H700">
        <v>1000</v>
      </c>
      <c r="J700" cm="1">
        <f t="array" ref="J700">_xlfn.SWITCH(B700,1,75,2,61,3,49,4,37,5,25,6,13,7,4,8,1)</f>
        <v>75</v>
      </c>
      <c r="K700" t="str" cm="1">
        <f t="array" ref="K700">IFERROR(_xlfn.SWITCH(L700,1,_xlfn.XLOOKUP(C700,[1]AttributeName!$C:$C,[1]AttributeName!$I:$I),2,_xlfn.XLOOKUP(C700,[1]ModifierDes!$B:$B,[1]ModifierDes!$C:$C),3,_xlfn.XLOOKUP(C700,[1]StuntDes!$B:$B,[1]StuntDes!$C:$C)),"")</f>
        <v>闪电抗性增加{0}</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440</v>
      </c>
      <c r="D701" t="s">
        <v>33</v>
      </c>
      <c r="E701" t="s">
        <v>410</v>
      </c>
      <c r="F701"/>
      <c r="G701">
        <v>2</v>
      </c>
      <c r="H701">
        <v>1000</v>
      </c>
      <c r="J701" cm="1">
        <f t="array" ref="J701">_xlfn.SWITCH(B701,1,75,2,61,3,49,4,37,5,25,6,13,7,4,8,1)</f>
        <v>61</v>
      </c>
      <c r="K701" t="str" cm="1">
        <f t="array" ref="K701">IFERROR(_xlfn.SWITCH(L701,1,_xlfn.XLOOKUP(C701,[1]AttributeName!$C:$C,[1]AttributeName!$I:$I),2,_xlfn.XLOOKUP(C701,[1]ModifierDes!$B:$B,[1]ModifierDes!$C:$C),3,_xlfn.XLOOKUP(C701,[1]StuntDes!$B:$B,[1]StuntDes!$C:$C)),"")</f>
        <v>闪电抗性增加{0}</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440</v>
      </c>
      <c r="D702" t="s">
        <v>33</v>
      </c>
      <c r="E702" t="s">
        <v>410</v>
      </c>
      <c r="F702"/>
      <c r="G702">
        <v>2</v>
      </c>
      <c r="H702">
        <v>1000</v>
      </c>
      <c r="J702" cm="1">
        <f t="array" ref="J702">_xlfn.SWITCH(B702,1,75,2,61,3,49,4,37,5,25,6,13,7,4,8,1)</f>
        <v>49</v>
      </c>
      <c r="K702" t="str" cm="1">
        <f t="array" ref="K702">IFERROR(_xlfn.SWITCH(L702,1,_xlfn.XLOOKUP(C702,[1]AttributeName!$C:$C,[1]AttributeName!$I:$I),2,_xlfn.XLOOKUP(C702,[1]ModifierDes!$B:$B,[1]ModifierDes!$C:$C),3,_xlfn.XLOOKUP(C702,[1]StuntDes!$B:$B,[1]StuntDes!$C:$C)),"")</f>
        <v>闪电抗性增加{0}</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440</v>
      </c>
      <c r="D703" t="s">
        <v>33</v>
      </c>
      <c r="E703" t="s">
        <v>410</v>
      </c>
      <c r="F703"/>
      <c r="G703">
        <v>2</v>
      </c>
      <c r="H703">
        <v>1000</v>
      </c>
      <c r="J703" cm="1">
        <f t="array" ref="J703">_xlfn.SWITCH(B703,1,75,2,61,3,49,4,37,5,25,6,13,7,4,8,1)</f>
        <v>37</v>
      </c>
      <c r="K703" t="str" cm="1">
        <f t="array" ref="K703">IFERROR(_xlfn.SWITCH(L703,1,_xlfn.XLOOKUP(C703,[1]AttributeName!$C:$C,[1]AttributeName!$I:$I),2,_xlfn.XLOOKUP(C703,[1]ModifierDes!$B:$B,[1]ModifierDes!$C:$C),3,_xlfn.XLOOKUP(C703,[1]StuntDes!$B:$B,[1]StuntDes!$C:$C)),"")</f>
        <v>闪电抗性增加{0}</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440</v>
      </c>
      <c r="D704" t="s">
        <v>33</v>
      </c>
      <c r="E704" t="s">
        <v>410</v>
      </c>
      <c r="F704"/>
      <c r="G704">
        <v>2</v>
      </c>
      <c r="H704">
        <v>1000</v>
      </c>
      <c r="J704" cm="1">
        <f t="array" ref="J704">_xlfn.SWITCH(B704,1,75,2,61,3,49,4,37,5,25,6,13,7,4,8,1)</f>
        <v>25</v>
      </c>
      <c r="K704" t="str" cm="1">
        <f t="array" ref="K704">IFERROR(_xlfn.SWITCH(L704,1,_xlfn.XLOOKUP(C704,[1]AttributeName!$C:$C,[1]AttributeName!$I:$I),2,_xlfn.XLOOKUP(C704,[1]ModifierDes!$B:$B,[1]ModifierDes!$C:$C),3,_xlfn.XLOOKUP(C704,[1]StuntDes!$B:$B,[1]StuntDes!$C:$C)),"")</f>
        <v>闪电抗性增加{0}</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440</v>
      </c>
      <c r="D705" t="s">
        <v>33</v>
      </c>
      <c r="E705" t="s">
        <v>410</v>
      </c>
      <c r="F705"/>
      <c r="G705">
        <v>2</v>
      </c>
      <c r="H705">
        <v>1000</v>
      </c>
      <c r="J705" cm="1">
        <f t="array" ref="J705">_xlfn.SWITCH(B705,1,75,2,61,3,49,4,37,5,25,6,13,7,4,8,1)</f>
        <v>13</v>
      </c>
      <c r="K705" t="str" cm="1">
        <f t="array" ref="K705">IFERROR(_xlfn.SWITCH(L705,1,_xlfn.XLOOKUP(C705,[1]AttributeName!$C:$C,[1]AttributeName!$I:$I),2,_xlfn.XLOOKUP(C705,[1]ModifierDes!$B:$B,[1]ModifierDes!$C:$C),3,_xlfn.XLOOKUP(C705,[1]StuntDes!$B:$B,[1]StuntDes!$C:$C)),"")</f>
        <v>闪电抗性增加{0}</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440</v>
      </c>
      <c r="D706" t="s">
        <v>33</v>
      </c>
      <c r="E706" t="s">
        <v>410</v>
      </c>
      <c r="F706"/>
      <c r="G706">
        <v>2</v>
      </c>
      <c r="H706">
        <v>1000</v>
      </c>
      <c r="J706" cm="1">
        <f t="array" ref="J706">_xlfn.SWITCH(B706,1,75,2,61,3,49,4,37,5,25,6,13,7,4,8,1)</f>
        <v>4</v>
      </c>
      <c r="K706" t="str" cm="1">
        <f t="array" ref="K706">IFERROR(_xlfn.SWITCH(L706,1,_xlfn.XLOOKUP(C706,[1]AttributeName!$C:$C,[1]AttributeName!$I:$I),2,_xlfn.XLOOKUP(C706,[1]ModifierDes!$B:$B,[1]ModifierDes!$C:$C),3,_xlfn.XLOOKUP(C706,[1]StuntDes!$B:$B,[1]StuntDes!$C:$C)),"")</f>
        <v>闪电抗性增加{0}</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440</v>
      </c>
      <c r="D707" t="s">
        <v>33</v>
      </c>
      <c r="E707" t="s">
        <v>410</v>
      </c>
      <c r="F707"/>
      <c r="G707">
        <v>2</v>
      </c>
      <c r="H707">
        <v>1000</v>
      </c>
      <c r="J707" cm="1">
        <f t="array" ref="J707">_xlfn.SWITCH(B707,1,75,2,61,3,49,4,37,5,25,6,13,7,4,8,1)</f>
        <v>1</v>
      </c>
      <c r="K707" t="str" cm="1">
        <f t="array" ref="K707">IFERROR(_xlfn.SWITCH(L707,1,_xlfn.XLOOKUP(C707,[1]AttributeName!$C:$C,[1]AttributeName!$I:$I),2,_xlfn.XLOOKUP(C707,[1]ModifierDes!$B:$B,[1]ModifierDes!$C:$C),3,_xlfn.XLOOKUP(C707,[1]StuntDes!$B:$B,[1]StuntDes!$C:$C)),"")</f>
        <v>闪电抗性增加{0}</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441</v>
      </c>
      <c r="D708" t="s">
        <v>33</v>
      </c>
      <c r="E708" t="s">
        <v>410</v>
      </c>
      <c r="F708"/>
      <c r="G708">
        <v>2</v>
      </c>
      <c r="H708">
        <v>250</v>
      </c>
      <c r="J708" cm="1">
        <f t="array" ref="J708">_xlfn.SWITCH(B708,1,75,2,61,3,49,4,37,5,25,6,13,7,4,8,1)</f>
        <v>75</v>
      </c>
      <c r="K708" t="str" cm="1">
        <f t="array" ref="K708">IFERROR(_xlfn.SWITCH(L708,1,_xlfn.XLOOKUP(C708,[1]AttributeName!$C:$C,[1]AttributeName!$I:$I),2,_xlfn.XLOOKUP(C708,[1]ModifierDes!$B:$B,[1]ModifierDes!$C:$C),3,_xlfn.XLOOKUP(C708,[1]StuntDes!$B:$B,[1]StuntDes!$C:$C)),"")</f>
        <v>混沌抗性增加{0}</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441</v>
      </c>
      <c r="D709" t="s">
        <v>33</v>
      </c>
      <c r="E709" t="s">
        <v>410</v>
      </c>
      <c r="F709"/>
      <c r="G709">
        <v>2</v>
      </c>
      <c r="H709">
        <v>250</v>
      </c>
      <c r="J709" cm="1">
        <f t="array" ref="J709">_xlfn.SWITCH(B709,1,75,2,61,3,49,4,37,5,25,6,13,7,4,8,1)</f>
        <v>61</v>
      </c>
      <c r="K709" t="str" cm="1">
        <f t="array" ref="K709">IFERROR(_xlfn.SWITCH(L709,1,_xlfn.XLOOKUP(C709,[1]AttributeName!$C:$C,[1]AttributeName!$I:$I),2,_xlfn.XLOOKUP(C709,[1]ModifierDes!$B:$B,[1]ModifierDes!$C:$C),3,_xlfn.XLOOKUP(C709,[1]StuntDes!$B:$B,[1]StuntDes!$C:$C)),"")</f>
        <v>混沌抗性增加{0}</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441</v>
      </c>
      <c r="D710" t="s">
        <v>33</v>
      </c>
      <c r="E710" t="s">
        <v>410</v>
      </c>
      <c r="F710"/>
      <c r="G710">
        <v>2</v>
      </c>
      <c r="H710">
        <v>250</v>
      </c>
      <c r="J710" cm="1">
        <f t="array" ref="J710">_xlfn.SWITCH(B710,1,75,2,61,3,49,4,37,5,25,6,13,7,4,8,1)</f>
        <v>49</v>
      </c>
      <c r="K710" t="str" cm="1">
        <f t="array" ref="K710">IFERROR(_xlfn.SWITCH(L710,1,_xlfn.XLOOKUP(C710,[1]AttributeName!$C:$C,[1]AttributeName!$I:$I),2,_xlfn.XLOOKUP(C710,[1]ModifierDes!$B:$B,[1]ModifierDes!$C:$C),3,_xlfn.XLOOKUP(C710,[1]StuntDes!$B:$B,[1]StuntDes!$C:$C)),"")</f>
        <v>混沌抗性增加{0}</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441</v>
      </c>
      <c r="D711" t="s">
        <v>33</v>
      </c>
      <c r="E711" t="s">
        <v>410</v>
      </c>
      <c r="F711"/>
      <c r="G711">
        <v>2</v>
      </c>
      <c r="H711">
        <v>250</v>
      </c>
      <c r="J711" cm="1">
        <f t="array" ref="J711">_xlfn.SWITCH(B711,1,75,2,61,3,49,4,37,5,25,6,13,7,4,8,1)</f>
        <v>37</v>
      </c>
      <c r="K711" t="str" cm="1">
        <f t="array" ref="K711">IFERROR(_xlfn.SWITCH(L711,1,_xlfn.XLOOKUP(C711,[1]AttributeName!$C:$C,[1]AttributeName!$I:$I),2,_xlfn.XLOOKUP(C711,[1]ModifierDes!$B:$B,[1]ModifierDes!$C:$C),3,_xlfn.XLOOKUP(C711,[1]StuntDes!$B:$B,[1]StuntDes!$C:$C)),"")</f>
        <v>混沌抗性增加{0}</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441</v>
      </c>
      <c r="D712" t="s">
        <v>33</v>
      </c>
      <c r="E712" t="s">
        <v>410</v>
      </c>
      <c r="F712"/>
      <c r="G712">
        <v>2</v>
      </c>
      <c r="H712">
        <v>250</v>
      </c>
      <c r="J712" cm="1">
        <f t="array" ref="J712">_xlfn.SWITCH(B712,1,75,2,61,3,49,4,37,5,25,6,13,7,4,8,1)</f>
        <v>25</v>
      </c>
      <c r="K712" t="str" cm="1">
        <f t="array" ref="K712">IFERROR(_xlfn.SWITCH(L712,1,_xlfn.XLOOKUP(C712,[1]AttributeName!$C:$C,[1]AttributeName!$I:$I),2,_xlfn.XLOOKUP(C712,[1]ModifierDes!$B:$B,[1]ModifierDes!$C:$C),3,_xlfn.XLOOKUP(C712,[1]StuntDes!$B:$B,[1]StuntDes!$C:$C)),"")</f>
        <v>混沌抗性增加{0}</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441</v>
      </c>
      <c r="D713" t="s">
        <v>33</v>
      </c>
      <c r="E713" t="s">
        <v>410</v>
      </c>
      <c r="F713"/>
      <c r="G713">
        <v>2</v>
      </c>
      <c r="H713">
        <v>250</v>
      </c>
      <c r="J713" cm="1">
        <f t="array" ref="J713">_xlfn.SWITCH(B713,1,75,2,61,3,49,4,37,5,25,6,13,7,4,8,1)</f>
        <v>13</v>
      </c>
      <c r="K713" t="str" cm="1">
        <f t="array" ref="K713">IFERROR(_xlfn.SWITCH(L713,1,_xlfn.XLOOKUP(C713,[1]AttributeName!$C:$C,[1]AttributeName!$I:$I),2,_xlfn.XLOOKUP(C713,[1]ModifierDes!$B:$B,[1]ModifierDes!$C:$C),3,_xlfn.XLOOKUP(C713,[1]StuntDes!$B:$B,[1]StuntDes!$C:$C)),"")</f>
        <v>混沌抗性增加{0}</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441</v>
      </c>
      <c r="D714" t="s">
        <v>33</v>
      </c>
      <c r="E714" t="s">
        <v>410</v>
      </c>
      <c r="F714"/>
      <c r="G714">
        <v>2</v>
      </c>
      <c r="H714">
        <v>250</v>
      </c>
      <c r="J714" cm="1">
        <f t="array" ref="J714">_xlfn.SWITCH(B714,1,75,2,61,3,49,4,37,5,25,6,13,7,4,8,1)</f>
        <v>4</v>
      </c>
      <c r="K714" t="str" cm="1">
        <f t="array" ref="K714">IFERROR(_xlfn.SWITCH(L714,1,_xlfn.XLOOKUP(C714,[1]AttributeName!$C:$C,[1]AttributeName!$I:$I),2,_xlfn.XLOOKUP(C714,[1]ModifierDes!$B:$B,[1]ModifierDes!$C:$C),3,_xlfn.XLOOKUP(C714,[1]StuntDes!$B:$B,[1]StuntDes!$C:$C)),"")</f>
        <v>混沌抗性增加{0}</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441</v>
      </c>
      <c r="D715" t="s">
        <v>33</v>
      </c>
      <c r="E715" t="s">
        <v>410</v>
      </c>
      <c r="F715"/>
      <c r="G715">
        <v>2</v>
      </c>
      <c r="H715">
        <v>250</v>
      </c>
      <c r="J715" cm="1">
        <f t="array" ref="J715">_xlfn.SWITCH(B715,1,75,2,61,3,49,4,37,5,25,6,13,7,4,8,1)</f>
        <v>1</v>
      </c>
      <c r="K715" t="str" cm="1">
        <f t="array" ref="K715">IFERROR(_xlfn.SWITCH(L715,1,_xlfn.XLOOKUP(C715,[1]AttributeName!$C:$C,[1]AttributeName!$I:$I),2,_xlfn.XLOOKUP(C715,[1]ModifierDes!$B:$B,[1]ModifierDes!$C:$C),3,_xlfn.XLOOKUP(C715,[1]StuntDes!$B:$B,[1]StuntDes!$C:$C)),"")</f>
        <v>混沌抗性增加{0}</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416</v>
      </c>
      <c r="D716" t="s">
        <v>33</v>
      </c>
      <c r="E716" t="s">
        <v>410</v>
      </c>
      <c r="F716"/>
      <c r="G716">
        <v>2</v>
      </c>
      <c r="H716">
        <v>100</v>
      </c>
      <c r="I716"/>
      <c r="J716" cm="1">
        <f t="array" ref="J716">_xlfn.SWITCH(B716,1,75,2,61,3,49,4,37,5,25,6,13,7,4,8,1)</f>
        <v>75</v>
      </c>
      <c r="K716" t="str" cm="1">
        <f t="array" ref="K716">IFERROR(_xlfn.SWITCH(L716,1,_xlfn.XLOOKUP(C716,[1]AttributeName!$C:$C,[1]AttributeName!$I:$I),2,_xlfn.XLOOKUP(C716,[1]ModifierDes!$B:$B,[1]ModifierDes!$C:$C),3,_xlfn.XLOOKUP(C716,[1]StuntDes!$B:$B,[1]StuntDes!$C:$C)),"")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416</v>
      </c>
      <c r="D717" t="s">
        <v>33</v>
      </c>
      <c r="E717" t="s">
        <v>410</v>
      </c>
      <c r="F717"/>
      <c r="G717">
        <v>2</v>
      </c>
      <c r="H717">
        <v>200</v>
      </c>
      <c r="I717"/>
      <c r="J717" cm="1">
        <f t="array" ref="J717">_xlfn.SWITCH(B717,1,75,2,61,3,49,4,37,5,25,6,13,7,4,8,1)</f>
        <v>61</v>
      </c>
      <c r="K717" t="str" cm="1">
        <f t="array" ref="K717">IFERROR(_xlfn.SWITCH(L717,1,_xlfn.XLOOKUP(C717,[1]AttributeName!$C:$C,[1]AttributeName!$I:$I),2,_xlfn.XLOOKUP(C717,[1]ModifierDes!$B:$B,[1]ModifierDes!$C:$C),3,_xlfn.XLOOKUP(C717,[1]StuntDes!$B:$B,[1]StuntDes!$C:$C)),"")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416</v>
      </c>
      <c r="D718" t="s">
        <v>33</v>
      </c>
      <c r="E718" t="s">
        <v>410</v>
      </c>
      <c r="F718"/>
      <c r="G718">
        <v>2</v>
      </c>
      <c r="H718">
        <v>400</v>
      </c>
      <c r="I718"/>
      <c r="J718" cm="1">
        <f t="array" ref="J718">_xlfn.SWITCH(B718,1,75,2,61,3,49,4,37,5,25,6,13,7,4,8,1)</f>
        <v>49</v>
      </c>
      <c r="K718" t="str" cm="1">
        <f t="array" ref="K718">IFERROR(_xlfn.SWITCH(L718,1,_xlfn.XLOOKUP(C718,[1]AttributeName!$C:$C,[1]AttributeName!$I:$I),2,_xlfn.XLOOKUP(C718,[1]ModifierDes!$B:$B,[1]ModifierDes!$C:$C),3,_xlfn.XLOOKUP(C718,[1]StuntDes!$B:$B,[1]StuntDes!$C:$C)),"")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416</v>
      </c>
      <c r="D719" t="s">
        <v>33</v>
      </c>
      <c r="E719" t="s">
        <v>410</v>
      </c>
      <c r="F719"/>
      <c r="G719">
        <v>2</v>
      </c>
      <c r="H719">
        <v>600</v>
      </c>
      <c r="I719"/>
      <c r="J719" cm="1">
        <f t="array" ref="J719">_xlfn.SWITCH(B719,1,75,2,61,3,49,4,37,5,25,6,13,7,4,8,1)</f>
        <v>37</v>
      </c>
      <c r="K719" t="str" cm="1">
        <f t="array" ref="K719">IFERROR(_xlfn.SWITCH(L719,1,_xlfn.XLOOKUP(C719,[1]AttributeName!$C:$C,[1]AttributeName!$I:$I),2,_xlfn.XLOOKUP(C719,[1]ModifierDes!$B:$B,[1]ModifierDes!$C:$C),3,_xlfn.XLOOKUP(C719,[1]StuntDes!$B:$B,[1]StuntDes!$C:$C)),"")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416</v>
      </c>
      <c r="D720" t="s">
        <v>33</v>
      </c>
      <c r="E720" t="s">
        <v>410</v>
      </c>
      <c r="F720"/>
      <c r="G720">
        <v>2</v>
      </c>
      <c r="H720">
        <v>800</v>
      </c>
      <c r="I720"/>
      <c r="J720" cm="1">
        <f t="array" ref="J720">_xlfn.SWITCH(B720,1,75,2,61,3,49,4,37,5,25,6,13,7,4,8,1)</f>
        <v>25</v>
      </c>
      <c r="K720" t="str" cm="1">
        <f t="array" ref="K720">IFERROR(_xlfn.SWITCH(L720,1,_xlfn.XLOOKUP(C720,[1]AttributeName!$C:$C,[1]AttributeName!$I:$I),2,_xlfn.XLOOKUP(C720,[1]ModifierDes!$B:$B,[1]ModifierDes!$C:$C),3,_xlfn.XLOOKUP(C720,[1]StuntDes!$B:$B,[1]StuntDes!$C:$C)),"")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416</v>
      </c>
      <c r="D721" t="s">
        <v>33</v>
      </c>
      <c r="E721" t="s">
        <v>410</v>
      </c>
      <c r="F721"/>
      <c r="G721">
        <v>2</v>
      </c>
      <c r="H721">
        <v>1000</v>
      </c>
      <c r="I721"/>
      <c r="J721" cm="1">
        <f t="array" ref="J721">_xlfn.SWITCH(B721,1,75,2,61,3,49,4,37,5,25,6,13,7,4,8,1)</f>
        <v>13</v>
      </c>
      <c r="K721" t="str" cm="1">
        <f t="array" ref="K721">IFERROR(_xlfn.SWITCH(L721,1,_xlfn.XLOOKUP(C721,[1]AttributeName!$C:$C,[1]AttributeName!$I:$I),2,_xlfn.XLOOKUP(C721,[1]ModifierDes!$B:$B,[1]ModifierDes!$C:$C),3,_xlfn.XLOOKUP(C721,[1]StuntDes!$B:$B,[1]StuntDes!$C:$C)),"")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416</v>
      </c>
      <c r="D722" t="s">
        <v>33</v>
      </c>
      <c r="E722" t="s">
        <v>410</v>
      </c>
      <c r="F722"/>
      <c r="G722">
        <v>2</v>
      </c>
      <c r="H722">
        <v>1000</v>
      </c>
      <c r="I722"/>
      <c r="J722" cm="1">
        <f t="array" ref="J722">_xlfn.SWITCH(B722,1,75,2,61,3,49,4,37,5,25,6,13,7,4,8,1)</f>
        <v>4</v>
      </c>
      <c r="K722" t="str" cm="1">
        <f t="array" ref="K722">IFERROR(_xlfn.SWITCH(L722,1,_xlfn.XLOOKUP(C722,[1]AttributeName!$C:$C,[1]AttributeName!$I:$I),2,_xlfn.XLOOKUP(C722,[1]ModifierDes!$B:$B,[1]ModifierDes!$C:$C),3,_xlfn.XLOOKUP(C722,[1]StuntDes!$B:$B,[1]StuntDes!$C:$C)),"")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416</v>
      </c>
      <c r="D723" t="s">
        <v>33</v>
      </c>
      <c r="E723" t="s">
        <v>410</v>
      </c>
      <c r="F723"/>
      <c r="G723">
        <v>2</v>
      </c>
      <c r="H723">
        <v>1000</v>
      </c>
      <c r="I723"/>
      <c r="J723" cm="1">
        <f t="array" ref="J723">_xlfn.SWITCH(B723,1,75,2,61,3,49,4,37,5,25,6,13,7,4,8,1)</f>
        <v>1</v>
      </c>
      <c r="K723" t="str" cm="1">
        <f t="array" ref="K723">IFERROR(_xlfn.SWITCH(L723,1,_xlfn.XLOOKUP(C723,[1]AttributeName!$C:$C,[1]AttributeName!$I:$I),2,_xlfn.XLOOKUP(C723,[1]ModifierDes!$B:$B,[1]ModifierDes!$C:$C),3,_xlfn.XLOOKUP(C723,[1]StuntDes!$B:$B,[1]StuntDes!$C:$C)),"")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442</v>
      </c>
      <c r="D724" t="s">
        <v>33</v>
      </c>
      <c r="E724" t="s">
        <v>410</v>
      </c>
      <c r="F724"/>
      <c r="G724">
        <v>2</v>
      </c>
      <c r="H724">
        <v>100</v>
      </c>
      <c r="I724"/>
      <c r="J724" cm="1">
        <f t="array" ref="J724">_xlfn.SWITCH(B724,1,75,2,61,3,49,4,37,5,25,6,13,7,4,8,1)</f>
        <v>75</v>
      </c>
      <c r="K724" t="str" cm="1">
        <f t="array" ref="K724">IFERROR(_xlfn.SWITCH(L724,1,_xlfn.XLOOKUP(C724,[1]AttributeName!$C:$C,[1]AttributeName!$I:$I),2,_xlfn.XLOOKUP(C724,[1]ModifierDes!$B:$B,[1]ModifierDes!$C:$C),3,_xlfn.XLOOKUP(C724,[1]StuntDes!$B:$B,[1]StuntDes!$C:$C)),"")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442</v>
      </c>
      <c r="D725" t="s">
        <v>33</v>
      </c>
      <c r="E725" t="s">
        <v>410</v>
      </c>
      <c r="F725"/>
      <c r="G725">
        <v>2</v>
      </c>
      <c r="H725">
        <v>200</v>
      </c>
      <c r="I725"/>
      <c r="J725" cm="1">
        <f t="array" ref="J725">_xlfn.SWITCH(B725,1,75,2,61,3,49,4,37,5,25,6,13,7,4,8,1)</f>
        <v>61</v>
      </c>
      <c r="K725" t="str" cm="1">
        <f t="array" ref="K725">IFERROR(_xlfn.SWITCH(L725,1,_xlfn.XLOOKUP(C725,[1]AttributeName!$C:$C,[1]AttributeName!$I:$I),2,_xlfn.XLOOKUP(C725,[1]ModifierDes!$B:$B,[1]ModifierDes!$C:$C),3,_xlfn.XLOOKUP(C725,[1]StuntDes!$B:$B,[1]StuntDes!$C:$C)),"")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442</v>
      </c>
      <c r="D726" t="s">
        <v>33</v>
      </c>
      <c r="E726" t="s">
        <v>410</v>
      </c>
      <c r="F726"/>
      <c r="G726">
        <v>2</v>
      </c>
      <c r="H726">
        <v>400</v>
      </c>
      <c r="I726"/>
      <c r="J726" cm="1">
        <f t="array" ref="J726">_xlfn.SWITCH(B726,1,75,2,61,3,49,4,37,5,25,6,13,7,4,8,1)</f>
        <v>49</v>
      </c>
      <c r="K726" t="str" cm="1">
        <f t="array" ref="K726">IFERROR(_xlfn.SWITCH(L726,1,_xlfn.XLOOKUP(C726,[1]AttributeName!$C:$C,[1]AttributeName!$I:$I),2,_xlfn.XLOOKUP(C726,[1]ModifierDes!$B:$B,[1]ModifierDes!$C:$C),3,_xlfn.XLOOKUP(C726,[1]StuntDes!$B:$B,[1]StuntDes!$C:$C)),"")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442</v>
      </c>
      <c r="D727" t="s">
        <v>33</v>
      </c>
      <c r="E727" t="s">
        <v>410</v>
      </c>
      <c r="F727"/>
      <c r="G727">
        <v>2</v>
      </c>
      <c r="H727">
        <v>600</v>
      </c>
      <c r="I727"/>
      <c r="J727" cm="1">
        <f t="array" ref="J727">_xlfn.SWITCH(B727,1,75,2,61,3,49,4,37,5,25,6,13,7,4,8,1)</f>
        <v>37</v>
      </c>
      <c r="K727" t="str" cm="1">
        <f t="array" ref="K727">IFERROR(_xlfn.SWITCH(L727,1,_xlfn.XLOOKUP(C727,[1]AttributeName!$C:$C,[1]AttributeName!$I:$I),2,_xlfn.XLOOKUP(C727,[1]ModifierDes!$B:$B,[1]ModifierDes!$C:$C),3,_xlfn.XLOOKUP(C727,[1]StuntDes!$B:$B,[1]StuntDes!$C:$C)),"")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442</v>
      </c>
      <c r="D728" t="s">
        <v>33</v>
      </c>
      <c r="E728" t="s">
        <v>410</v>
      </c>
      <c r="F728"/>
      <c r="G728">
        <v>2</v>
      </c>
      <c r="H728">
        <v>800</v>
      </c>
      <c r="I728"/>
      <c r="J728" cm="1">
        <f t="array" ref="J728">_xlfn.SWITCH(B728,1,75,2,61,3,49,4,37,5,25,6,13,7,4,8,1)</f>
        <v>25</v>
      </c>
      <c r="K728" t="str" cm="1">
        <f t="array" ref="K728">IFERROR(_xlfn.SWITCH(L728,1,_xlfn.XLOOKUP(C728,[1]AttributeName!$C:$C,[1]AttributeName!$I:$I),2,_xlfn.XLOOKUP(C728,[1]ModifierDes!$B:$B,[1]ModifierDes!$C:$C),3,_xlfn.XLOOKUP(C728,[1]StuntDes!$B:$B,[1]StuntDes!$C:$C)),"")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442</v>
      </c>
      <c r="D729" t="s">
        <v>33</v>
      </c>
      <c r="E729" t="s">
        <v>410</v>
      </c>
      <c r="F729"/>
      <c r="G729">
        <v>2</v>
      </c>
      <c r="H729">
        <v>1000</v>
      </c>
      <c r="I729"/>
      <c r="J729" cm="1">
        <f t="array" ref="J729">_xlfn.SWITCH(B729,1,75,2,61,3,49,4,37,5,25,6,13,7,4,8,1)</f>
        <v>13</v>
      </c>
      <c r="K729" t="str" cm="1">
        <f t="array" ref="K729">IFERROR(_xlfn.SWITCH(L729,1,_xlfn.XLOOKUP(C729,[1]AttributeName!$C:$C,[1]AttributeName!$I:$I),2,_xlfn.XLOOKUP(C729,[1]ModifierDes!$B:$B,[1]ModifierDes!$C:$C),3,_xlfn.XLOOKUP(C729,[1]StuntDes!$B:$B,[1]StuntDes!$C:$C)),"")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442</v>
      </c>
      <c r="D730" t="s">
        <v>33</v>
      </c>
      <c r="E730" t="s">
        <v>410</v>
      </c>
      <c r="F730"/>
      <c r="G730">
        <v>2</v>
      </c>
      <c r="H730">
        <v>1000</v>
      </c>
      <c r="I730"/>
      <c r="J730" cm="1">
        <f t="array" ref="J730">_xlfn.SWITCH(B730,1,75,2,61,3,49,4,37,5,25,6,13,7,4,8,1)</f>
        <v>4</v>
      </c>
      <c r="K730" t="str" cm="1">
        <f t="array" ref="K730">IFERROR(_xlfn.SWITCH(L730,1,_xlfn.XLOOKUP(C730,[1]AttributeName!$C:$C,[1]AttributeName!$I:$I),2,_xlfn.XLOOKUP(C730,[1]ModifierDes!$B:$B,[1]ModifierDes!$C:$C),3,_xlfn.XLOOKUP(C730,[1]StuntDes!$B:$B,[1]StuntDes!$C:$C)),"")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442</v>
      </c>
      <c r="D731" t="s">
        <v>33</v>
      </c>
      <c r="E731" t="s">
        <v>410</v>
      </c>
      <c r="F731"/>
      <c r="G731">
        <v>2</v>
      </c>
      <c r="H731">
        <v>1000</v>
      </c>
      <c r="I731"/>
      <c r="J731" cm="1">
        <f t="array" ref="J731">_xlfn.SWITCH(B731,1,75,2,61,3,49,4,37,5,25,6,13,7,4,8,1)</f>
        <v>1</v>
      </c>
      <c r="K731" t="str" cm="1">
        <f t="array" ref="K731">IFERROR(_xlfn.SWITCH(L731,1,_xlfn.XLOOKUP(C731,[1]AttributeName!$C:$C,[1]AttributeName!$I:$I),2,_xlfn.XLOOKUP(C731,[1]ModifierDes!$B:$B,[1]ModifierDes!$C:$C),3,_xlfn.XLOOKUP(C731,[1]StuntDes!$B:$B,[1]StuntDes!$C:$C)),"")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417</v>
      </c>
      <c r="D732" t="s">
        <v>33</v>
      </c>
      <c r="E732" t="s">
        <v>410</v>
      </c>
      <c r="F732"/>
      <c r="G732">
        <v>2</v>
      </c>
      <c r="H732">
        <v>100</v>
      </c>
      <c r="I732"/>
      <c r="J732" cm="1">
        <f t="array" ref="J732">_xlfn.SWITCH(B732,1,75,2,61,3,49,4,37,5,25,6,13,7,4,8,1)</f>
        <v>75</v>
      </c>
      <c r="K732" t="str" cm="1">
        <f t="array" ref="K732">IFERROR(_xlfn.SWITCH(L732,1,_xlfn.XLOOKUP(C732,[1]AttributeName!$C:$C,[1]AttributeName!$I:$I),2,_xlfn.XLOOKUP(C732,[1]ModifierDes!$B:$B,[1]ModifierDes!$C:$C),3,_xlfn.XLOOKUP(C732,[1]StuntDes!$B:$B,[1]StuntDes!$C:$C)),"")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417</v>
      </c>
      <c r="D733" t="s">
        <v>33</v>
      </c>
      <c r="E733" t="s">
        <v>410</v>
      </c>
      <c r="F733"/>
      <c r="G733">
        <v>2</v>
      </c>
      <c r="H733">
        <v>200</v>
      </c>
      <c r="I733"/>
      <c r="J733" cm="1">
        <f t="array" ref="J733">_xlfn.SWITCH(B733,1,75,2,61,3,49,4,37,5,25,6,13,7,4,8,1)</f>
        <v>61</v>
      </c>
      <c r="K733" t="str" cm="1">
        <f t="array" ref="K733">IFERROR(_xlfn.SWITCH(L733,1,_xlfn.XLOOKUP(C733,[1]AttributeName!$C:$C,[1]AttributeName!$I:$I),2,_xlfn.XLOOKUP(C733,[1]ModifierDes!$B:$B,[1]ModifierDes!$C:$C),3,_xlfn.XLOOKUP(C733,[1]StuntDes!$B:$B,[1]StuntDes!$C:$C)),"")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417</v>
      </c>
      <c r="D734" t="s">
        <v>33</v>
      </c>
      <c r="E734" t="s">
        <v>410</v>
      </c>
      <c r="F734"/>
      <c r="G734">
        <v>2</v>
      </c>
      <c r="H734">
        <v>400</v>
      </c>
      <c r="I734"/>
      <c r="J734" cm="1">
        <f t="array" ref="J734">_xlfn.SWITCH(B734,1,75,2,61,3,49,4,37,5,25,6,13,7,4,8,1)</f>
        <v>49</v>
      </c>
      <c r="K734" t="str" cm="1">
        <f t="array" ref="K734">IFERROR(_xlfn.SWITCH(L734,1,_xlfn.XLOOKUP(C734,[1]AttributeName!$C:$C,[1]AttributeName!$I:$I),2,_xlfn.XLOOKUP(C734,[1]ModifierDes!$B:$B,[1]ModifierDes!$C:$C),3,_xlfn.XLOOKUP(C734,[1]StuntDes!$B:$B,[1]StuntDes!$C:$C)),"")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417</v>
      </c>
      <c r="D735" t="s">
        <v>33</v>
      </c>
      <c r="E735" t="s">
        <v>410</v>
      </c>
      <c r="F735"/>
      <c r="G735">
        <v>2</v>
      </c>
      <c r="H735">
        <v>600</v>
      </c>
      <c r="I735"/>
      <c r="J735" cm="1">
        <f t="array" ref="J735">_xlfn.SWITCH(B735,1,75,2,61,3,49,4,37,5,25,6,13,7,4,8,1)</f>
        <v>37</v>
      </c>
      <c r="K735" t="str" cm="1">
        <f t="array" ref="K735">IFERROR(_xlfn.SWITCH(L735,1,_xlfn.XLOOKUP(C735,[1]AttributeName!$C:$C,[1]AttributeName!$I:$I),2,_xlfn.XLOOKUP(C735,[1]ModifierDes!$B:$B,[1]ModifierDes!$C:$C),3,_xlfn.XLOOKUP(C735,[1]StuntDes!$B:$B,[1]StuntDes!$C:$C)),"")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417</v>
      </c>
      <c r="D736" t="s">
        <v>33</v>
      </c>
      <c r="E736" t="s">
        <v>410</v>
      </c>
      <c r="F736"/>
      <c r="G736">
        <v>2</v>
      </c>
      <c r="H736">
        <v>800</v>
      </c>
      <c r="I736"/>
      <c r="J736" cm="1">
        <f t="array" ref="J736">_xlfn.SWITCH(B736,1,75,2,61,3,49,4,37,5,25,6,13,7,4,8,1)</f>
        <v>25</v>
      </c>
      <c r="K736" t="str" cm="1">
        <f t="array" ref="K736">IFERROR(_xlfn.SWITCH(L736,1,_xlfn.XLOOKUP(C736,[1]AttributeName!$C:$C,[1]AttributeName!$I:$I),2,_xlfn.XLOOKUP(C736,[1]ModifierDes!$B:$B,[1]ModifierDes!$C:$C),3,_xlfn.XLOOKUP(C736,[1]StuntDes!$B:$B,[1]StuntDes!$C:$C)),"")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417</v>
      </c>
      <c r="D737" t="s">
        <v>33</v>
      </c>
      <c r="E737" t="s">
        <v>410</v>
      </c>
      <c r="F737"/>
      <c r="G737">
        <v>2</v>
      </c>
      <c r="H737">
        <v>1000</v>
      </c>
      <c r="I737"/>
      <c r="J737" cm="1">
        <f t="array" ref="J737">_xlfn.SWITCH(B737,1,75,2,61,3,49,4,37,5,25,6,13,7,4,8,1)</f>
        <v>13</v>
      </c>
      <c r="K737" t="str" cm="1">
        <f t="array" ref="K737">IFERROR(_xlfn.SWITCH(L737,1,_xlfn.XLOOKUP(C737,[1]AttributeName!$C:$C,[1]AttributeName!$I:$I),2,_xlfn.XLOOKUP(C737,[1]ModifierDes!$B:$B,[1]ModifierDes!$C:$C),3,_xlfn.XLOOKUP(C737,[1]StuntDes!$B:$B,[1]StuntDes!$C:$C)),"")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417</v>
      </c>
      <c r="D738" t="s">
        <v>33</v>
      </c>
      <c r="E738" t="s">
        <v>410</v>
      </c>
      <c r="F738"/>
      <c r="G738">
        <v>2</v>
      </c>
      <c r="H738">
        <v>1000</v>
      </c>
      <c r="I738"/>
      <c r="J738" cm="1">
        <f t="array" ref="J738">_xlfn.SWITCH(B738,1,75,2,61,3,49,4,37,5,25,6,13,7,4,8,1)</f>
        <v>4</v>
      </c>
      <c r="K738" t="str" cm="1">
        <f t="array" ref="K738">IFERROR(_xlfn.SWITCH(L738,1,_xlfn.XLOOKUP(C738,[1]AttributeName!$C:$C,[1]AttributeName!$I:$I),2,_xlfn.XLOOKUP(C738,[1]ModifierDes!$B:$B,[1]ModifierDes!$C:$C),3,_xlfn.XLOOKUP(C738,[1]StuntDes!$B:$B,[1]StuntDes!$C:$C)),"")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417</v>
      </c>
      <c r="D739" t="s">
        <v>33</v>
      </c>
      <c r="E739" t="s">
        <v>410</v>
      </c>
      <c r="F739"/>
      <c r="G739">
        <v>2</v>
      </c>
      <c r="H739">
        <v>1000</v>
      </c>
      <c r="I739"/>
      <c r="J739" cm="1">
        <f t="array" ref="J739">_xlfn.SWITCH(B739,1,75,2,61,3,49,4,37,5,25,6,13,7,4,8,1)</f>
        <v>1</v>
      </c>
      <c r="K739" t="str" cm="1">
        <f t="array" ref="K739">IFERROR(_xlfn.SWITCH(L739,1,_xlfn.XLOOKUP(C739,[1]AttributeName!$C:$C,[1]AttributeName!$I:$I),2,_xlfn.XLOOKUP(C739,[1]ModifierDes!$B:$B,[1]ModifierDes!$C:$C),3,_xlfn.XLOOKUP(C739,[1]StuntDes!$B:$B,[1]StuntDes!$C:$C)),"")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443</v>
      </c>
      <c r="D740" t="s">
        <v>33</v>
      </c>
      <c r="E740" t="s">
        <v>410</v>
      </c>
      <c r="F740"/>
      <c r="G740">
        <v>2</v>
      </c>
      <c r="H740">
        <v>100</v>
      </c>
      <c r="I740"/>
      <c r="J740" cm="1">
        <f t="array" ref="J740">_xlfn.SWITCH(B740,1,75,2,61,3,49,4,37,5,25,6,13,7,4,8,1)</f>
        <v>75</v>
      </c>
      <c r="K740" t="str" cm="1">
        <f t="array" ref="K740">IFERROR(_xlfn.SWITCH(L740,1,_xlfn.XLOOKUP(C740,[1]AttributeName!$C:$C,[1]AttributeName!$I:$I),2,_xlfn.XLOOKUP(C740,[1]ModifierDes!$B:$B,[1]ModifierDes!$C:$C),3,_xlfn.XLOOKUP(C740,[1]StuntDes!$B:$B,[1]StuntDes!$C:$C)),"")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443</v>
      </c>
      <c r="D741" t="s">
        <v>33</v>
      </c>
      <c r="E741" t="s">
        <v>410</v>
      </c>
      <c r="F741"/>
      <c r="G741">
        <v>2</v>
      </c>
      <c r="H741">
        <v>200</v>
      </c>
      <c r="I741"/>
      <c r="J741" cm="1">
        <f t="array" ref="J741">_xlfn.SWITCH(B741,1,75,2,61,3,49,4,37,5,25,6,13,7,4,8,1)</f>
        <v>61</v>
      </c>
      <c r="K741" t="str" cm="1">
        <f t="array" ref="K741">IFERROR(_xlfn.SWITCH(L741,1,_xlfn.XLOOKUP(C741,[1]AttributeName!$C:$C,[1]AttributeName!$I:$I),2,_xlfn.XLOOKUP(C741,[1]ModifierDes!$B:$B,[1]ModifierDes!$C:$C),3,_xlfn.XLOOKUP(C741,[1]StuntDes!$B:$B,[1]StuntDes!$C:$C)),"")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443</v>
      </c>
      <c r="D742" t="s">
        <v>33</v>
      </c>
      <c r="E742" t="s">
        <v>410</v>
      </c>
      <c r="F742"/>
      <c r="G742">
        <v>2</v>
      </c>
      <c r="H742">
        <v>400</v>
      </c>
      <c r="I742"/>
      <c r="J742" cm="1">
        <f t="array" ref="J742">_xlfn.SWITCH(B742,1,75,2,61,3,49,4,37,5,25,6,13,7,4,8,1)</f>
        <v>49</v>
      </c>
      <c r="K742" t="str" cm="1">
        <f t="array" ref="K742">IFERROR(_xlfn.SWITCH(L742,1,_xlfn.XLOOKUP(C742,[1]AttributeName!$C:$C,[1]AttributeName!$I:$I),2,_xlfn.XLOOKUP(C742,[1]ModifierDes!$B:$B,[1]ModifierDes!$C:$C),3,_xlfn.XLOOKUP(C742,[1]StuntDes!$B:$B,[1]StuntDes!$C:$C)),"")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443</v>
      </c>
      <c r="D743" t="s">
        <v>33</v>
      </c>
      <c r="E743" t="s">
        <v>410</v>
      </c>
      <c r="F743"/>
      <c r="G743">
        <v>2</v>
      </c>
      <c r="H743">
        <v>600</v>
      </c>
      <c r="I743"/>
      <c r="J743" cm="1">
        <f t="array" ref="J743">_xlfn.SWITCH(B743,1,75,2,61,3,49,4,37,5,25,6,13,7,4,8,1)</f>
        <v>37</v>
      </c>
      <c r="K743" t="str" cm="1">
        <f t="array" ref="K743">IFERROR(_xlfn.SWITCH(L743,1,_xlfn.XLOOKUP(C743,[1]AttributeName!$C:$C,[1]AttributeName!$I:$I),2,_xlfn.XLOOKUP(C743,[1]ModifierDes!$B:$B,[1]ModifierDes!$C:$C),3,_xlfn.XLOOKUP(C743,[1]StuntDes!$B:$B,[1]StuntDes!$C:$C)),"")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443</v>
      </c>
      <c r="D744" t="s">
        <v>33</v>
      </c>
      <c r="E744" t="s">
        <v>410</v>
      </c>
      <c r="F744"/>
      <c r="G744">
        <v>2</v>
      </c>
      <c r="H744">
        <v>800</v>
      </c>
      <c r="I744"/>
      <c r="J744" cm="1">
        <f t="array" ref="J744">_xlfn.SWITCH(B744,1,75,2,61,3,49,4,37,5,25,6,13,7,4,8,1)</f>
        <v>25</v>
      </c>
      <c r="K744" t="str" cm="1">
        <f t="array" ref="K744">IFERROR(_xlfn.SWITCH(L744,1,_xlfn.XLOOKUP(C744,[1]AttributeName!$C:$C,[1]AttributeName!$I:$I),2,_xlfn.XLOOKUP(C744,[1]ModifierDes!$B:$B,[1]ModifierDes!$C:$C),3,_xlfn.XLOOKUP(C744,[1]StuntDes!$B:$B,[1]StuntDes!$C:$C)),"")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443</v>
      </c>
      <c r="D745" t="s">
        <v>33</v>
      </c>
      <c r="E745" t="s">
        <v>410</v>
      </c>
      <c r="F745"/>
      <c r="G745">
        <v>2</v>
      </c>
      <c r="H745">
        <v>1000</v>
      </c>
      <c r="I745"/>
      <c r="J745" cm="1">
        <f t="array" ref="J745">_xlfn.SWITCH(B745,1,75,2,61,3,49,4,37,5,25,6,13,7,4,8,1)</f>
        <v>13</v>
      </c>
      <c r="K745" t="str" cm="1">
        <f t="array" ref="K745">IFERROR(_xlfn.SWITCH(L745,1,_xlfn.XLOOKUP(C745,[1]AttributeName!$C:$C,[1]AttributeName!$I:$I),2,_xlfn.XLOOKUP(C745,[1]ModifierDes!$B:$B,[1]ModifierDes!$C:$C),3,_xlfn.XLOOKUP(C745,[1]StuntDes!$B:$B,[1]StuntDes!$C:$C)),"")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443</v>
      </c>
      <c r="D746" t="s">
        <v>33</v>
      </c>
      <c r="E746" t="s">
        <v>410</v>
      </c>
      <c r="F746"/>
      <c r="G746">
        <v>2</v>
      </c>
      <c r="H746">
        <v>1000</v>
      </c>
      <c r="I746"/>
      <c r="J746" cm="1">
        <f t="array" ref="J746">_xlfn.SWITCH(B746,1,75,2,61,3,49,4,37,5,25,6,13,7,4,8,1)</f>
        <v>4</v>
      </c>
      <c r="K746" t="str" cm="1">
        <f t="array" ref="K746">IFERROR(_xlfn.SWITCH(L746,1,_xlfn.XLOOKUP(C746,[1]AttributeName!$C:$C,[1]AttributeName!$I:$I),2,_xlfn.XLOOKUP(C746,[1]ModifierDes!$B:$B,[1]ModifierDes!$C:$C),3,_xlfn.XLOOKUP(C746,[1]StuntDes!$B:$B,[1]StuntDes!$C:$C)),"")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443</v>
      </c>
      <c r="D747" t="s">
        <v>33</v>
      </c>
      <c r="E747" t="s">
        <v>410</v>
      </c>
      <c r="F747"/>
      <c r="G747">
        <v>2</v>
      </c>
      <c r="H747">
        <v>1000</v>
      </c>
      <c r="I747"/>
      <c r="J747" cm="1">
        <f t="array" ref="J747">_xlfn.SWITCH(B747,1,75,2,61,3,49,4,37,5,25,6,13,7,4,8,1)</f>
        <v>1</v>
      </c>
      <c r="K747" t="str" cm="1">
        <f t="array" ref="K747">IFERROR(_xlfn.SWITCH(L747,1,_xlfn.XLOOKUP(C747,[1]AttributeName!$C:$C,[1]AttributeName!$I:$I),2,_xlfn.XLOOKUP(C747,[1]ModifierDes!$B:$B,[1]ModifierDes!$C:$C),3,_xlfn.XLOOKUP(C747,[1]StuntDes!$B:$B,[1]StuntDes!$C:$C)),"")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403</v>
      </c>
      <c r="D748" t="s">
        <v>33</v>
      </c>
      <c r="E748" t="s">
        <v>410</v>
      </c>
      <c r="F748"/>
      <c r="G748">
        <v>2</v>
      </c>
      <c r="H748">
        <v>1000</v>
      </c>
      <c r="I748"/>
      <c r="J748" cm="1">
        <f t="array" ref="J748">_xlfn.SWITCH(B748,1,75,2,61,3,49,4,37,5,25,6,13,7,4,8,1)</f>
        <v>75</v>
      </c>
      <c r="K748" t="str" cm="1">
        <f t="array" ref="K748">IFERROR(_xlfn.SWITCH(L748,1,_xlfn.XLOOKUP(C748,[1]AttributeName!$C:$C,[1]AttributeName!$I:$I),2,_xlfn.XLOOKUP(C748,[1]ModifierDes!$B:$B,[1]ModifierDes!$C:$C),3,_xlfn.XLOOKUP(C748,[1]StuntDes!$B:$B,[1]StuntDes!$C:$C)),"")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403</v>
      </c>
      <c r="D749" t="s">
        <v>33</v>
      </c>
      <c r="E749" t="s">
        <v>410</v>
      </c>
      <c r="F749"/>
      <c r="G749">
        <v>2</v>
      </c>
      <c r="H749">
        <v>1000</v>
      </c>
      <c r="I749"/>
      <c r="J749" cm="1">
        <f t="array" ref="J749">_xlfn.SWITCH(B749,1,75,2,61,3,49,4,37,5,25,6,13,7,4,8,1)</f>
        <v>61</v>
      </c>
      <c r="K749" t="str" cm="1">
        <f t="array" ref="K749">IFERROR(_xlfn.SWITCH(L749,1,_xlfn.XLOOKUP(C749,[1]AttributeName!$C:$C,[1]AttributeName!$I:$I),2,_xlfn.XLOOKUP(C749,[1]ModifierDes!$B:$B,[1]ModifierDes!$C:$C),3,_xlfn.XLOOKUP(C749,[1]StuntDes!$B:$B,[1]StuntDes!$C:$C)),"")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403</v>
      </c>
      <c r="D750" t="s">
        <v>33</v>
      </c>
      <c r="E750" t="s">
        <v>410</v>
      </c>
      <c r="F750"/>
      <c r="G750">
        <v>2</v>
      </c>
      <c r="H750">
        <v>1000</v>
      </c>
      <c r="I750"/>
      <c r="J750" cm="1">
        <f t="array" ref="J750">_xlfn.SWITCH(B750,1,75,2,61,3,49,4,37,5,25,6,13,7,4,8,1)</f>
        <v>49</v>
      </c>
      <c r="K750" t="str" cm="1">
        <f t="array" ref="K750">IFERROR(_xlfn.SWITCH(L750,1,_xlfn.XLOOKUP(C750,[1]AttributeName!$C:$C,[1]AttributeName!$I:$I),2,_xlfn.XLOOKUP(C750,[1]ModifierDes!$B:$B,[1]ModifierDes!$C:$C),3,_xlfn.XLOOKUP(C750,[1]StuntDes!$B:$B,[1]StuntDes!$C:$C)),"")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403</v>
      </c>
      <c r="D751" t="s">
        <v>33</v>
      </c>
      <c r="E751" t="s">
        <v>410</v>
      </c>
      <c r="F751"/>
      <c r="G751">
        <v>2</v>
      </c>
      <c r="H751">
        <v>1000</v>
      </c>
      <c r="I751"/>
      <c r="J751" cm="1">
        <f t="array" ref="J751">_xlfn.SWITCH(B751,1,75,2,61,3,49,4,37,5,25,6,13,7,4,8,1)</f>
        <v>37</v>
      </c>
      <c r="K751" t="str" cm="1">
        <f t="array" ref="K751">IFERROR(_xlfn.SWITCH(L751,1,_xlfn.XLOOKUP(C751,[1]AttributeName!$C:$C,[1]AttributeName!$I:$I),2,_xlfn.XLOOKUP(C751,[1]ModifierDes!$B:$B,[1]ModifierDes!$C:$C),3,_xlfn.XLOOKUP(C751,[1]StuntDes!$B:$B,[1]StuntDes!$C:$C)),"")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403</v>
      </c>
      <c r="D752" t="s">
        <v>33</v>
      </c>
      <c r="E752" t="s">
        <v>410</v>
      </c>
      <c r="F752"/>
      <c r="G752">
        <v>2</v>
      </c>
      <c r="H752">
        <v>1000</v>
      </c>
      <c r="I752"/>
      <c r="J752" cm="1">
        <f t="array" ref="J752">_xlfn.SWITCH(B752,1,75,2,61,3,49,4,37,5,25,6,13,7,4,8,1)</f>
        <v>25</v>
      </c>
      <c r="K752" t="str" cm="1">
        <f t="array" ref="K752">IFERROR(_xlfn.SWITCH(L752,1,_xlfn.XLOOKUP(C752,[1]AttributeName!$C:$C,[1]AttributeName!$I:$I),2,_xlfn.XLOOKUP(C752,[1]ModifierDes!$B:$B,[1]ModifierDes!$C:$C),3,_xlfn.XLOOKUP(C752,[1]StuntDes!$B:$B,[1]StuntDes!$C:$C)),"")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403</v>
      </c>
      <c r="D753" t="s">
        <v>33</v>
      </c>
      <c r="E753" t="s">
        <v>410</v>
      </c>
      <c r="F753"/>
      <c r="G753">
        <v>2</v>
      </c>
      <c r="H753">
        <v>1000</v>
      </c>
      <c r="I753"/>
      <c r="J753" cm="1">
        <f t="array" ref="J753">_xlfn.SWITCH(B753,1,75,2,61,3,49,4,37,5,25,6,13,7,4,8,1)</f>
        <v>13</v>
      </c>
      <c r="K753" t="str" cm="1">
        <f t="array" ref="K753">IFERROR(_xlfn.SWITCH(L753,1,_xlfn.XLOOKUP(C753,[1]AttributeName!$C:$C,[1]AttributeName!$I:$I),2,_xlfn.XLOOKUP(C753,[1]ModifierDes!$B:$B,[1]ModifierDes!$C:$C),3,_xlfn.XLOOKUP(C753,[1]StuntDes!$B:$B,[1]StuntDes!$C:$C)),"")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403</v>
      </c>
      <c r="D754" t="s">
        <v>33</v>
      </c>
      <c r="E754" t="s">
        <v>410</v>
      </c>
      <c r="F754"/>
      <c r="G754">
        <v>2</v>
      </c>
      <c r="H754">
        <v>1000</v>
      </c>
      <c r="I754"/>
      <c r="J754" cm="1">
        <f t="array" ref="J754">_xlfn.SWITCH(B754,1,75,2,61,3,49,4,37,5,25,6,13,7,4,8,1)</f>
        <v>4</v>
      </c>
      <c r="K754" t="str" cm="1">
        <f t="array" ref="K754">IFERROR(_xlfn.SWITCH(L754,1,_xlfn.XLOOKUP(C754,[1]AttributeName!$C:$C,[1]AttributeName!$I:$I),2,_xlfn.XLOOKUP(C754,[1]ModifierDes!$B:$B,[1]ModifierDes!$C:$C),3,_xlfn.XLOOKUP(C754,[1]StuntDes!$B:$B,[1]StuntDes!$C:$C)),"")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403</v>
      </c>
      <c r="D755" t="s">
        <v>33</v>
      </c>
      <c r="E755" t="s">
        <v>410</v>
      </c>
      <c r="F755"/>
      <c r="G755">
        <v>2</v>
      </c>
      <c r="H755">
        <v>1000</v>
      </c>
      <c r="I755"/>
      <c r="J755" cm="1">
        <f t="array" ref="J755">_xlfn.SWITCH(B755,1,75,2,61,3,49,4,37,5,25,6,13,7,4,8,1)</f>
        <v>1</v>
      </c>
      <c r="K755" t="str" cm="1">
        <f t="array" ref="K755">IFERROR(_xlfn.SWITCH(L755,1,_xlfn.XLOOKUP(C755,[1]AttributeName!$C:$C,[1]AttributeName!$I:$I),2,_xlfn.XLOOKUP(C755,[1]ModifierDes!$B:$B,[1]ModifierDes!$C:$C),3,_xlfn.XLOOKUP(C755,[1]StuntDes!$B:$B,[1]StuntDes!$C:$C)),"")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444</v>
      </c>
      <c r="D756" t="s">
        <v>33</v>
      </c>
      <c r="E756" t="s">
        <v>410</v>
      </c>
      <c r="G756">
        <v>2</v>
      </c>
      <c r="H756">
        <v>1000</v>
      </c>
      <c r="J756" cm="1">
        <f t="array" ref="J756">_xlfn.SWITCH(B756,1,75,2,61,3,49,4,37,5,25,6,13,7,4,8,1)</f>
        <v>75</v>
      </c>
      <c r="K756" t="str" cm="1">
        <f t="array" ref="K756">IFERROR(_xlfn.SWITCH(L756,1,_xlfn.XLOOKUP(C756,[1]AttributeName!$C:$C,[1]AttributeName!$I:$I),2,_xlfn.XLOOKUP(C756,[1]ModifierDes!$B:$B,[1]ModifierDes!$C:$C),3,_xlfn.XLOOKUP(C756,[1]StuntDes!$B:$B,[1]StuntDes!$C:$C)),"")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444</v>
      </c>
      <c r="D757" t="s">
        <v>33</v>
      </c>
      <c r="E757" t="s">
        <v>410</v>
      </c>
      <c r="G757">
        <v>2</v>
      </c>
      <c r="H757">
        <v>1000</v>
      </c>
      <c r="J757" cm="1">
        <f t="array" ref="J757">_xlfn.SWITCH(B757,1,75,2,61,3,49,4,37,5,25,6,13,7,4,8,1)</f>
        <v>61</v>
      </c>
      <c r="K757" t="str" cm="1">
        <f t="array" ref="K757">IFERROR(_xlfn.SWITCH(L757,1,_xlfn.XLOOKUP(C757,[1]AttributeName!$C:$C,[1]AttributeName!$I:$I),2,_xlfn.XLOOKUP(C757,[1]ModifierDes!$B:$B,[1]ModifierDes!$C:$C),3,_xlfn.XLOOKUP(C757,[1]StuntDes!$B:$B,[1]StuntDes!$C:$C)),"")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444</v>
      </c>
      <c r="D758" t="s">
        <v>33</v>
      </c>
      <c r="E758" t="s">
        <v>410</v>
      </c>
      <c r="G758">
        <v>2</v>
      </c>
      <c r="H758">
        <v>1000</v>
      </c>
      <c r="J758" cm="1">
        <f t="array" ref="J758">_xlfn.SWITCH(B758,1,75,2,61,3,49,4,37,5,25,6,13,7,4,8,1)</f>
        <v>49</v>
      </c>
      <c r="K758" t="str" cm="1">
        <f t="array" ref="K758">IFERROR(_xlfn.SWITCH(L758,1,_xlfn.XLOOKUP(C758,[1]AttributeName!$C:$C,[1]AttributeName!$I:$I),2,_xlfn.XLOOKUP(C758,[1]ModifierDes!$B:$B,[1]ModifierDes!$C:$C),3,_xlfn.XLOOKUP(C758,[1]StuntDes!$B:$B,[1]StuntDes!$C:$C)),"")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444</v>
      </c>
      <c r="D759" t="s">
        <v>33</v>
      </c>
      <c r="E759" t="s">
        <v>410</v>
      </c>
      <c r="G759">
        <v>2</v>
      </c>
      <c r="H759">
        <v>1000</v>
      </c>
      <c r="J759" cm="1">
        <f t="array" ref="J759">_xlfn.SWITCH(B759,1,75,2,61,3,49,4,37,5,25,6,13,7,4,8,1)</f>
        <v>37</v>
      </c>
      <c r="K759" t="str" cm="1">
        <f t="array" ref="K759">IFERROR(_xlfn.SWITCH(L759,1,_xlfn.XLOOKUP(C759,[1]AttributeName!$C:$C,[1]AttributeName!$I:$I),2,_xlfn.XLOOKUP(C759,[1]ModifierDes!$B:$B,[1]ModifierDes!$C:$C),3,_xlfn.XLOOKUP(C759,[1]StuntDes!$B:$B,[1]StuntDes!$C:$C)),"")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444</v>
      </c>
      <c r="D760" t="s">
        <v>33</v>
      </c>
      <c r="E760" t="s">
        <v>410</v>
      </c>
      <c r="G760">
        <v>2</v>
      </c>
      <c r="H760">
        <v>1000</v>
      </c>
      <c r="J760" cm="1">
        <f t="array" ref="J760">_xlfn.SWITCH(B760,1,75,2,61,3,49,4,37,5,25,6,13,7,4,8,1)</f>
        <v>25</v>
      </c>
      <c r="K760" t="str" cm="1">
        <f t="array" ref="K760">IFERROR(_xlfn.SWITCH(L760,1,_xlfn.XLOOKUP(C760,[1]AttributeName!$C:$C,[1]AttributeName!$I:$I),2,_xlfn.XLOOKUP(C760,[1]ModifierDes!$B:$B,[1]ModifierDes!$C:$C),3,_xlfn.XLOOKUP(C760,[1]StuntDes!$B:$B,[1]StuntDes!$C:$C)),"")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444</v>
      </c>
      <c r="D761" t="s">
        <v>33</v>
      </c>
      <c r="E761" t="s">
        <v>410</v>
      </c>
      <c r="G761">
        <v>2</v>
      </c>
      <c r="H761">
        <v>1000</v>
      </c>
      <c r="J761" cm="1">
        <f t="array" ref="J761">_xlfn.SWITCH(B761,1,75,2,61,3,49,4,37,5,25,6,13,7,4,8,1)</f>
        <v>13</v>
      </c>
      <c r="K761" t="str" cm="1">
        <f t="array" ref="K761">IFERROR(_xlfn.SWITCH(L761,1,_xlfn.XLOOKUP(C761,[1]AttributeName!$C:$C,[1]AttributeName!$I:$I),2,_xlfn.XLOOKUP(C761,[1]ModifierDes!$B:$B,[1]ModifierDes!$C:$C),3,_xlfn.XLOOKUP(C761,[1]StuntDes!$B:$B,[1]StuntDes!$C:$C)),"")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444</v>
      </c>
      <c r="D762" t="s">
        <v>33</v>
      </c>
      <c r="E762" t="s">
        <v>410</v>
      </c>
      <c r="G762">
        <v>2</v>
      </c>
      <c r="H762">
        <v>1000</v>
      </c>
      <c r="J762" cm="1">
        <f t="array" ref="J762">_xlfn.SWITCH(B762,1,75,2,61,3,49,4,37,5,25,6,13,7,4,8,1)</f>
        <v>4</v>
      </c>
      <c r="K762" t="str" cm="1">
        <f t="array" ref="K762">IFERROR(_xlfn.SWITCH(L762,1,_xlfn.XLOOKUP(C762,[1]AttributeName!$C:$C,[1]AttributeName!$I:$I),2,_xlfn.XLOOKUP(C762,[1]ModifierDes!$B:$B,[1]ModifierDes!$C:$C),3,_xlfn.XLOOKUP(C762,[1]StuntDes!$B:$B,[1]StuntDes!$C:$C)),"")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444</v>
      </c>
      <c r="D763" t="s">
        <v>33</v>
      </c>
      <c r="E763" t="s">
        <v>410</v>
      </c>
      <c r="G763">
        <v>2</v>
      </c>
      <c r="H763">
        <v>1000</v>
      </c>
      <c r="J763" cm="1">
        <f t="array" ref="J763">_xlfn.SWITCH(B763,1,75,2,61,3,49,4,37,5,25,6,13,7,4,8,1)</f>
        <v>1</v>
      </c>
      <c r="K763" t="str" cm="1">
        <f t="array" ref="K763">IFERROR(_xlfn.SWITCH(L763,1,_xlfn.XLOOKUP(C763,[1]AttributeName!$C:$C,[1]AttributeName!$I:$I),2,_xlfn.XLOOKUP(C763,[1]ModifierDes!$B:$B,[1]ModifierDes!$C:$C),3,_xlfn.XLOOKUP(C763,[1]StuntDes!$B:$B,[1]StuntDes!$C:$C)),"")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424</v>
      </c>
      <c r="D764" t="s">
        <v>33</v>
      </c>
      <c r="E764" t="s">
        <v>410</v>
      </c>
      <c r="F764"/>
      <c r="G764">
        <v>2</v>
      </c>
      <c r="H764">
        <v>1000</v>
      </c>
      <c r="I764"/>
      <c r="J764" cm="1">
        <f t="array" ref="J764">_xlfn.SWITCH(B764,1,75,2,61,3,49,4,37,5,25,6,13,7,4,8,1)</f>
        <v>75</v>
      </c>
      <c r="K764" t="str" cm="1">
        <f t="array" ref="K764">IFERROR(_xlfn.SWITCH(L764,1,_xlfn.XLOOKUP(C764,[1]AttributeName!$C:$C,[1]AttributeName!$I:$I),2,_xlfn.XLOOKUP(C764,[1]ModifierDes!$B:$B,[1]ModifierDes!$C:$C),3,_xlfn.XLOOKUP(C764,[1]StuntDes!$B:$B,[1]StuntDes!$C:$C)),"")</f>
        <v>穿戴等级降低增加{0}</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424</v>
      </c>
      <c r="D765" t="s">
        <v>33</v>
      </c>
      <c r="E765" t="s">
        <v>410</v>
      </c>
      <c r="F765"/>
      <c r="G765">
        <v>2</v>
      </c>
      <c r="H765">
        <v>1000</v>
      </c>
      <c r="I765"/>
      <c r="J765" cm="1">
        <f t="array" ref="J765">_xlfn.SWITCH(B765,1,75,2,61,3,49,4,37,5,25,6,13,7,4,8,1)</f>
        <v>61</v>
      </c>
      <c r="K765" t="str" cm="1">
        <f t="array" ref="K765">IFERROR(_xlfn.SWITCH(L765,1,_xlfn.XLOOKUP(C765,[1]AttributeName!$C:$C,[1]AttributeName!$I:$I),2,_xlfn.XLOOKUP(C765,[1]ModifierDes!$B:$B,[1]ModifierDes!$C:$C),3,_xlfn.XLOOKUP(C765,[1]StuntDes!$B:$B,[1]StuntDes!$C:$C)),"")</f>
        <v>穿戴等级降低增加{0}</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424</v>
      </c>
      <c r="D766" t="s">
        <v>33</v>
      </c>
      <c r="E766" t="s">
        <v>410</v>
      </c>
      <c r="F766"/>
      <c r="G766">
        <v>2</v>
      </c>
      <c r="H766">
        <v>1000</v>
      </c>
      <c r="I766"/>
      <c r="J766" cm="1">
        <f t="array" ref="J766">_xlfn.SWITCH(B766,1,75,2,61,3,49,4,37,5,25,6,13,7,4,8,1)</f>
        <v>49</v>
      </c>
      <c r="K766" t="str" cm="1">
        <f t="array" ref="K766">IFERROR(_xlfn.SWITCH(L766,1,_xlfn.XLOOKUP(C766,[1]AttributeName!$C:$C,[1]AttributeName!$I:$I),2,_xlfn.XLOOKUP(C766,[1]ModifierDes!$B:$B,[1]ModifierDes!$C:$C),3,_xlfn.XLOOKUP(C766,[1]StuntDes!$B:$B,[1]StuntDes!$C:$C)),"")</f>
        <v>穿戴等级降低增加{0}</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424</v>
      </c>
      <c r="D767" t="s">
        <v>33</v>
      </c>
      <c r="E767" t="s">
        <v>410</v>
      </c>
      <c r="F767"/>
      <c r="G767">
        <v>2</v>
      </c>
      <c r="H767">
        <v>1000</v>
      </c>
      <c r="I767"/>
      <c r="J767" cm="1">
        <f t="array" ref="J767">_xlfn.SWITCH(B767,1,75,2,61,3,49,4,37,5,25,6,13,7,4,8,1)</f>
        <v>37</v>
      </c>
      <c r="K767" t="str" cm="1">
        <f t="array" ref="K767">IFERROR(_xlfn.SWITCH(L767,1,_xlfn.XLOOKUP(C767,[1]AttributeName!$C:$C,[1]AttributeName!$I:$I),2,_xlfn.XLOOKUP(C767,[1]ModifierDes!$B:$B,[1]ModifierDes!$C:$C),3,_xlfn.XLOOKUP(C767,[1]StuntDes!$B:$B,[1]StuntDes!$C:$C)),"")</f>
        <v>穿戴等级降低增加{0}</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424</v>
      </c>
      <c r="D768" t="s">
        <v>33</v>
      </c>
      <c r="E768" t="s">
        <v>410</v>
      </c>
      <c r="F768"/>
      <c r="G768">
        <v>2</v>
      </c>
      <c r="H768">
        <v>1000</v>
      </c>
      <c r="I768"/>
      <c r="J768" cm="1">
        <f t="array" ref="J768">_xlfn.SWITCH(B768,1,75,2,61,3,49,4,37,5,25,6,13,7,4,8,1)</f>
        <v>25</v>
      </c>
      <c r="K768" t="str" cm="1">
        <f t="array" ref="K768">IFERROR(_xlfn.SWITCH(L768,1,_xlfn.XLOOKUP(C768,[1]AttributeName!$C:$C,[1]AttributeName!$I:$I),2,_xlfn.XLOOKUP(C768,[1]ModifierDes!$B:$B,[1]ModifierDes!$C:$C),3,_xlfn.XLOOKUP(C768,[1]StuntDes!$B:$B,[1]StuntDes!$C:$C)),"")</f>
        <v>穿戴等级降低增加{0}</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424</v>
      </c>
      <c r="D769" t="s">
        <v>33</v>
      </c>
      <c r="E769" t="s">
        <v>410</v>
      </c>
      <c r="F769"/>
      <c r="G769">
        <v>2</v>
      </c>
      <c r="H769">
        <v>1000</v>
      </c>
      <c r="I769"/>
      <c r="J769" cm="1">
        <f t="array" ref="J769">_xlfn.SWITCH(B769,1,75,2,61,3,49,4,37,5,25,6,13,7,4,8,1)</f>
        <v>13</v>
      </c>
      <c r="K769" t="str" cm="1">
        <f t="array" ref="K769">IFERROR(_xlfn.SWITCH(L769,1,_xlfn.XLOOKUP(C769,[1]AttributeName!$C:$C,[1]AttributeName!$I:$I),2,_xlfn.XLOOKUP(C769,[1]ModifierDes!$B:$B,[1]ModifierDes!$C:$C),3,_xlfn.XLOOKUP(C769,[1]StuntDes!$B:$B,[1]StuntDes!$C:$C)),"")</f>
        <v>穿戴等级降低增加{0}</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424</v>
      </c>
      <c r="D770" t="s">
        <v>33</v>
      </c>
      <c r="E770" t="s">
        <v>410</v>
      </c>
      <c r="F770"/>
      <c r="G770">
        <v>2</v>
      </c>
      <c r="H770">
        <v>1000</v>
      </c>
      <c r="I770"/>
      <c r="J770" cm="1">
        <f t="array" ref="J770">_xlfn.SWITCH(B770,1,75,2,61,3,49,4,37,5,25,6,13,7,4,8,1)</f>
        <v>4</v>
      </c>
      <c r="K770" t="str" cm="1">
        <f t="array" ref="K770">IFERROR(_xlfn.SWITCH(L770,1,_xlfn.XLOOKUP(C770,[1]AttributeName!$C:$C,[1]AttributeName!$I:$I),2,_xlfn.XLOOKUP(C770,[1]ModifierDes!$B:$B,[1]ModifierDes!$C:$C),3,_xlfn.XLOOKUP(C770,[1]StuntDes!$B:$B,[1]StuntDes!$C:$C)),"")</f>
        <v>穿戴等级降低增加{0}</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424</v>
      </c>
      <c r="D771" t="s">
        <v>33</v>
      </c>
      <c r="E771" t="s">
        <v>410</v>
      </c>
      <c r="F771"/>
      <c r="G771">
        <v>2</v>
      </c>
      <c r="H771">
        <v>1000</v>
      </c>
      <c r="I771"/>
      <c r="J771" cm="1">
        <f t="array" ref="J771">_xlfn.SWITCH(B771,1,75,2,61,3,49,4,37,5,25,6,13,7,4,8,1)</f>
        <v>1</v>
      </c>
      <c r="K771" t="str" cm="1">
        <f t="array" ref="K771">IFERROR(_xlfn.SWITCH(L771,1,_xlfn.XLOOKUP(C771,[1]AttributeName!$C:$C,[1]AttributeName!$I:$I),2,_xlfn.XLOOKUP(C771,[1]ModifierDes!$B:$B,[1]ModifierDes!$C:$C),3,_xlfn.XLOOKUP(C771,[1]StuntDes!$B:$B,[1]StuntDes!$C:$C)),"")</f>
        <v>穿戴等级降低增加{0}</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445</v>
      </c>
      <c r="D772" t="s">
        <v>33</v>
      </c>
      <c r="E772" t="s">
        <v>410</v>
      </c>
      <c r="F772"/>
      <c r="G772">
        <v>2</v>
      </c>
      <c r="H772">
        <v>1000</v>
      </c>
      <c r="I772"/>
      <c r="J772" cm="1">
        <f t="array" ref="J772">_xlfn.SWITCH(B772,1,75,2,61,3,49,4,37,5,25,6,13,7,4,8,1)</f>
        <v>75</v>
      </c>
      <c r="K772" t="str" cm="1">
        <f t="array" ref="K772">IFERROR(_xlfn.SWITCH(L772,1,_xlfn.XLOOKUP(C772,[1]AttributeName!$C:$C,[1]AttributeName!$I:$I),2,_xlfn.XLOOKUP(C772,[1]ModifierDes!$B:$B,[1]ModifierDes!$C:$C),3,_xlfn.XLOOKUP(C772,[1]StuntDes!$B:$B,[1]StuntDes!$C:$C)),"")</f>
        <v>每秒生命恢复增加{0}</v>
      </c>
      <c r="L772">
        <f t="shared" si="66"/>
        <v>1</v>
      </c>
      <c r="M772" s="10" t="str">
        <f>IFERROR(_xlfn.XLOOKUP(C772,[1]StuntDes!$B:$B,[1]StuntDes!$A:$A),"")</f>
        <v/>
      </c>
      <c r="N772" s="10" t="str">
        <f>IFERROR(_xlfn.XLOOKUP(C772,[1]ModifierDes!$B:$B,[1]ModifierDes!$A:$A),"")</f>
        <v/>
      </c>
      <c r="O772" s="10">
        <f>IFERROR(_xlfn.XLOOKUP(C772,[1]AttributeName!$C:$C,[1]AttributeName!$B:$B),"")</f>
        <v>10003</v>
      </c>
      <c r="P772" s="10"/>
      <c r="Q772">
        <v>66</v>
      </c>
      <c r="R772">
        <v>99</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445</v>
      </c>
      <c r="D773" t="s">
        <v>33</v>
      </c>
      <c r="E773" t="s">
        <v>410</v>
      </c>
      <c r="F773"/>
      <c r="G773">
        <v>2</v>
      </c>
      <c r="H773">
        <v>1000</v>
      </c>
      <c r="I773"/>
      <c r="J773" cm="1">
        <f t="array" ref="J773">_xlfn.SWITCH(B773,1,75,2,61,3,49,4,37,5,25,6,13,7,4,8,1)</f>
        <v>61</v>
      </c>
      <c r="K773" t="str" cm="1">
        <f t="array" ref="K773">IFERROR(_xlfn.SWITCH(L773,1,_xlfn.XLOOKUP(C773,[1]AttributeName!$C:$C,[1]AttributeName!$I:$I),2,_xlfn.XLOOKUP(C773,[1]ModifierDes!$B:$B,[1]ModifierDes!$C:$C),3,_xlfn.XLOOKUP(C773,[1]StuntDes!$B:$B,[1]StuntDes!$C:$C)),"")</f>
        <v>每秒生命恢复增加{0}</v>
      </c>
      <c r="L773">
        <f t="shared" si="66"/>
        <v>1</v>
      </c>
      <c r="M773" s="10" t="str">
        <f>IFERROR(_xlfn.XLOOKUP(C773,[1]StuntDes!$B:$B,[1]StuntDes!$A:$A),"")</f>
        <v/>
      </c>
      <c r="N773" s="10" t="str">
        <f>IFERROR(_xlfn.XLOOKUP(C773,[1]ModifierDes!$B:$B,[1]ModifierDes!$A:$A),"")</f>
        <v/>
      </c>
      <c r="O773" s="10">
        <f>IFERROR(_xlfn.XLOOKUP(C773,[1]AttributeName!$C:$C,[1]AttributeName!$B:$B),"")</f>
        <v>10003</v>
      </c>
      <c r="P773" s="10"/>
      <c r="Q773">
        <v>55</v>
      </c>
      <c r="R773">
        <v>61</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445</v>
      </c>
      <c r="D774" t="s">
        <v>33</v>
      </c>
      <c r="E774" t="s">
        <v>410</v>
      </c>
      <c r="F774"/>
      <c r="G774">
        <v>2</v>
      </c>
      <c r="H774">
        <v>1000</v>
      </c>
      <c r="I774"/>
      <c r="J774" cm="1">
        <f t="array" ref="J774">_xlfn.SWITCH(B774,1,75,2,61,3,49,4,37,5,25,6,13,7,4,8,1)</f>
        <v>49</v>
      </c>
      <c r="K774" t="str" cm="1">
        <f t="array" ref="K774">IFERROR(_xlfn.SWITCH(L774,1,_xlfn.XLOOKUP(C774,[1]AttributeName!$C:$C,[1]AttributeName!$I:$I),2,_xlfn.XLOOKUP(C774,[1]ModifierDes!$B:$B,[1]ModifierDes!$C:$C),3,_xlfn.XLOOKUP(C774,[1]StuntDes!$B:$B,[1]StuntDes!$C:$C)),"")</f>
        <v>每秒生命恢复增加{0}</v>
      </c>
      <c r="L774">
        <f t="shared" si="66"/>
        <v>1</v>
      </c>
      <c r="M774" s="10" t="str">
        <f>IFERROR(_xlfn.XLOOKUP(C774,[1]StuntDes!$B:$B,[1]StuntDes!$A:$A),"")</f>
        <v/>
      </c>
      <c r="N774" s="10" t="str">
        <f>IFERROR(_xlfn.XLOOKUP(C774,[1]ModifierDes!$B:$B,[1]ModifierDes!$A:$A),"")</f>
        <v/>
      </c>
      <c r="O774" s="10">
        <f>IFERROR(_xlfn.XLOOKUP(C774,[1]AttributeName!$C:$C,[1]AttributeName!$B:$B),"")</f>
        <v>10003</v>
      </c>
      <c r="P774" s="10"/>
      <c r="Q774">
        <v>45</v>
      </c>
      <c r="R774">
        <v>51</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445</v>
      </c>
      <c r="D775" t="s">
        <v>33</v>
      </c>
      <c r="E775" t="s">
        <v>410</v>
      </c>
      <c r="F775"/>
      <c r="G775">
        <v>2</v>
      </c>
      <c r="H775">
        <v>1000</v>
      </c>
      <c r="I775"/>
      <c r="J775" cm="1">
        <f t="array" ref="J775">_xlfn.SWITCH(B775,1,75,2,61,3,49,4,37,5,25,6,13,7,4,8,1)</f>
        <v>37</v>
      </c>
      <c r="K775" t="str" cm="1">
        <f t="array" ref="K775">IFERROR(_xlfn.SWITCH(L775,1,_xlfn.XLOOKUP(C775,[1]AttributeName!$C:$C,[1]AttributeName!$I:$I),2,_xlfn.XLOOKUP(C775,[1]ModifierDes!$B:$B,[1]ModifierDes!$C:$C),3,_xlfn.XLOOKUP(C775,[1]StuntDes!$B:$B,[1]StuntDes!$C:$C)),"")</f>
        <v>每秒生命恢复增加{0}</v>
      </c>
      <c r="L775">
        <f t="shared" si="66"/>
        <v>1</v>
      </c>
      <c r="M775" s="10" t="str">
        <f>IFERROR(_xlfn.XLOOKUP(C775,[1]StuntDes!$B:$B,[1]StuntDes!$A:$A),"")</f>
        <v/>
      </c>
      <c r="N775" s="10" t="str">
        <f>IFERROR(_xlfn.XLOOKUP(C775,[1]ModifierDes!$B:$B,[1]ModifierDes!$A:$A),"")</f>
        <v/>
      </c>
      <c r="O775" s="10">
        <f>IFERROR(_xlfn.XLOOKUP(C775,[1]AttributeName!$C:$C,[1]AttributeName!$B:$B),"")</f>
        <v>10003</v>
      </c>
      <c r="P775" s="10"/>
      <c r="Q775">
        <v>36</v>
      </c>
      <c r="R775">
        <v>42</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445</v>
      </c>
      <c r="D776" t="s">
        <v>33</v>
      </c>
      <c r="E776" t="s">
        <v>410</v>
      </c>
      <c r="F776"/>
      <c r="G776">
        <v>2</v>
      </c>
      <c r="H776">
        <v>1000</v>
      </c>
      <c r="I776"/>
      <c r="J776" cm="1">
        <f t="array" ref="J776">_xlfn.SWITCH(B776,1,75,2,61,3,49,4,37,5,25,6,13,7,4,8,1)</f>
        <v>25</v>
      </c>
      <c r="K776" t="str" cm="1">
        <f t="array" ref="K776">IFERROR(_xlfn.SWITCH(L776,1,_xlfn.XLOOKUP(C776,[1]AttributeName!$C:$C,[1]AttributeName!$I:$I),2,_xlfn.XLOOKUP(C776,[1]ModifierDes!$B:$B,[1]ModifierDes!$C:$C),3,_xlfn.XLOOKUP(C776,[1]StuntDes!$B:$B,[1]StuntDes!$C:$C)),"")</f>
        <v>每秒生命恢复增加{0}</v>
      </c>
      <c r="L776">
        <f t="shared" si="66"/>
        <v>1</v>
      </c>
      <c r="M776" s="10" t="str">
        <f>IFERROR(_xlfn.XLOOKUP(C776,[1]StuntDes!$B:$B,[1]StuntDes!$A:$A),"")</f>
        <v/>
      </c>
      <c r="N776" s="10" t="str">
        <f>IFERROR(_xlfn.XLOOKUP(C776,[1]ModifierDes!$B:$B,[1]ModifierDes!$A:$A),"")</f>
        <v/>
      </c>
      <c r="O776" s="10">
        <f>IFERROR(_xlfn.XLOOKUP(C776,[1]AttributeName!$C:$C,[1]AttributeName!$B:$B),"")</f>
        <v>10003</v>
      </c>
      <c r="P776" s="10"/>
      <c r="Q776">
        <v>28</v>
      </c>
      <c r="R776">
        <v>33</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445</v>
      </c>
      <c r="D777" t="s">
        <v>33</v>
      </c>
      <c r="E777" t="s">
        <v>410</v>
      </c>
      <c r="F777"/>
      <c r="G777">
        <v>2</v>
      </c>
      <c r="H777">
        <v>1000</v>
      </c>
      <c r="I777"/>
      <c r="J777" cm="1">
        <f t="array" ref="J777">_xlfn.SWITCH(B777,1,75,2,61,3,49,4,37,5,25,6,13,7,4,8,1)</f>
        <v>13</v>
      </c>
      <c r="K777" t="str" cm="1">
        <f t="array" ref="K777">IFERROR(_xlfn.SWITCH(L777,1,_xlfn.XLOOKUP(C777,[1]AttributeName!$C:$C,[1]AttributeName!$I:$I),2,_xlfn.XLOOKUP(C777,[1]ModifierDes!$B:$B,[1]ModifierDes!$C:$C),3,_xlfn.XLOOKUP(C777,[1]StuntDes!$B:$B,[1]StuntDes!$C:$C)),"")</f>
        <v>每秒生命恢复增加{0}</v>
      </c>
      <c r="L777">
        <f t="shared" si="66"/>
        <v>1</v>
      </c>
      <c r="M777" s="10" t="str">
        <f>IFERROR(_xlfn.XLOOKUP(C777,[1]StuntDes!$B:$B,[1]StuntDes!$A:$A),"")</f>
        <v/>
      </c>
      <c r="N777" s="10" t="str">
        <f>IFERROR(_xlfn.XLOOKUP(C777,[1]ModifierDes!$B:$B,[1]ModifierDes!$A:$A),"")</f>
        <v/>
      </c>
      <c r="O777" s="10">
        <f>IFERROR(_xlfn.XLOOKUP(C777,[1]AttributeName!$C:$C,[1]AttributeName!$B:$B),"")</f>
        <v>10003</v>
      </c>
      <c r="P777" s="10"/>
      <c r="Q777">
        <v>21</v>
      </c>
      <c r="R777">
        <v>26</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445</v>
      </c>
      <c r="D778" t="s">
        <v>33</v>
      </c>
      <c r="E778" t="s">
        <v>410</v>
      </c>
      <c r="F778"/>
      <c r="G778">
        <v>2</v>
      </c>
      <c r="H778">
        <v>1000</v>
      </c>
      <c r="I778"/>
      <c r="J778" cm="1">
        <f t="array" ref="J778">_xlfn.SWITCH(B778,1,75,2,61,3,49,4,37,5,25,6,13,7,4,8,1)</f>
        <v>4</v>
      </c>
      <c r="K778" t="str" cm="1">
        <f t="array" ref="K778">IFERROR(_xlfn.SWITCH(L778,1,_xlfn.XLOOKUP(C778,[1]AttributeName!$C:$C,[1]AttributeName!$I:$I),2,_xlfn.XLOOKUP(C778,[1]ModifierDes!$B:$B,[1]ModifierDes!$C:$C),3,_xlfn.XLOOKUP(C778,[1]StuntDes!$B:$B,[1]StuntDes!$C:$C)),"")</f>
        <v>每秒生命恢复增加{0}</v>
      </c>
      <c r="L778">
        <f t="shared" si="66"/>
        <v>1</v>
      </c>
      <c r="M778" s="10" t="str">
        <f>IFERROR(_xlfn.XLOOKUP(C778,[1]StuntDes!$B:$B,[1]StuntDes!$A:$A),"")</f>
        <v/>
      </c>
      <c r="N778" s="10" t="str">
        <f>IFERROR(_xlfn.XLOOKUP(C778,[1]ModifierDes!$B:$B,[1]ModifierDes!$A:$A),"")</f>
        <v/>
      </c>
      <c r="O778" s="10">
        <f>IFERROR(_xlfn.XLOOKUP(C778,[1]AttributeName!$C:$C,[1]AttributeName!$B:$B),"")</f>
        <v>10003</v>
      </c>
      <c r="P778" s="10"/>
      <c r="Q778">
        <v>14</v>
      </c>
      <c r="R778">
        <v>18</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445</v>
      </c>
      <c r="D779" t="s">
        <v>33</v>
      </c>
      <c r="E779" t="s">
        <v>410</v>
      </c>
      <c r="F779"/>
      <c r="G779">
        <v>2</v>
      </c>
      <c r="H779">
        <v>1000</v>
      </c>
      <c r="I779"/>
      <c r="J779" cm="1">
        <f t="array" ref="J779">_xlfn.SWITCH(B779,1,75,2,61,3,49,4,37,5,25,6,13,7,4,8,1)</f>
        <v>1</v>
      </c>
      <c r="K779" t="str" cm="1">
        <f t="array" ref="K779">IFERROR(_xlfn.SWITCH(L779,1,_xlfn.XLOOKUP(C779,[1]AttributeName!$C:$C,[1]AttributeName!$I:$I),2,_xlfn.XLOOKUP(C779,[1]ModifierDes!$B:$B,[1]ModifierDes!$C:$C),3,_xlfn.XLOOKUP(C779,[1]StuntDes!$B:$B,[1]StuntDes!$C:$C)),"")</f>
        <v>每秒生命恢复增加{0}</v>
      </c>
      <c r="L779">
        <f t="shared" si="66"/>
        <v>1</v>
      </c>
      <c r="M779" s="10" t="str">
        <f>IFERROR(_xlfn.XLOOKUP(C779,[1]StuntDes!$B:$B,[1]StuntDes!$A:$A),"")</f>
        <v/>
      </c>
      <c r="N779" s="10" t="str">
        <f>IFERROR(_xlfn.XLOOKUP(C779,[1]ModifierDes!$B:$B,[1]ModifierDes!$A:$A),"")</f>
        <v/>
      </c>
      <c r="O779" s="10">
        <f>IFERROR(_xlfn.XLOOKUP(C779,[1]AttributeName!$C:$C,[1]AttributeName!$B:$B),"")</f>
        <v>10003</v>
      </c>
      <c r="P779" s="10"/>
      <c r="Q779">
        <v>8</v>
      </c>
      <c r="R779">
        <v>13</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446</v>
      </c>
      <c r="D780" t="s">
        <v>33</v>
      </c>
      <c r="E780" t="s">
        <v>410</v>
      </c>
      <c r="G780">
        <v>2</v>
      </c>
      <c r="H780">
        <v>1000</v>
      </c>
      <c r="J780" cm="1">
        <f t="array" ref="J780">_xlfn.SWITCH(B780,1,75,2,61,3,49,4,37,5,25,6,13,7,4,8,1)</f>
        <v>75</v>
      </c>
      <c r="K780" t="str" cm="1">
        <f t="array" ref="K780">IFERROR(_xlfn.SWITCH(L780,1,_xlfn.XLOOKUP(C780,[1]AttributeName!$C:$C,[1]AttributeName!$I:$I),2,_xlfn.XLOOKUP(C780,[1]ModifierDes!$B:$B,[1]ModifierDes!$C:$C),3,_xlfn.XLOOKUP(C780,[1]StuntDes!$B:$B,[1]StuntDes!$C:$C)),"")</f>
        <v>每秒魔力恢复增加{0}</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44</v>
      </c>
      <c r="R780">
        <v>66</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446</v>
      </c>
      <c r="D781" t="s">
        <v>33</v>
      </c>
      <c r="E781" t="s">
        <v>410</v>
      </c>
      <c r="G781">
        <v>2</v>
      </c>
      <c r="H781">
        <v>1000</v>
      </c>
      <c r="J781" cm="1">
        <f t="array" ref="J781">_xlfn.SWITCH(B781,1,75,2,61,3,49,4,37,5,25,6,13,7,4,8,1)</f>
        <v>61</v>
      </c>
      <c r="K781" t="str" cm="1">
        <f t="array" ref="K781">IFERROR(_xlfn.SWITCH(L781,1,_xlfn.XLOOKUP(C781,[1]AttributeName!$C:$C,[1]AttributeName!$I:$I),2,_xlfn.XLOOKUP(C781,[1]ModifierDes!$B:$B,[1]ModifierDes!$C:$C),3,_xlfn.XLOOKUP(C781,[1]StuntDes!$B:$B,[1]StuntDes!$C:$C)),"")</f>
        <v>每秒魔力恢复增加{0}</v>
      </c>
      <c r="L781">
        <f t="shared" si="67"/>
        <v>1</v>
      </c>
      <c r="M781" s="10" t="str">
        <f>IFERROR(_xlfn.XLOOKUP(C781,[1]StuntDes!$B:$B,[1]StuntDes!$A:$A),"")</f>
        <v/>
      </c>
      <c r="N781" s="10" t="str">
        <f>IFERROR(_xlfn.XLOOKUP(C781,[1]ModifierDes!$B:$B,[1]ModifierDes!$A:$A),"")</f>
        <v/>
      </c>
      <c r="O781" s="10">
        <f>IFERROR(_xlfn.XLOOKUP(C781,[1]AttributeName!$C:$C,[1]AttributeName!$B:$B),"")</f>
        <v>10005</v>
      </c>
      <c r="P781" s="10"/>
      <c r="Q781">
        <v>37</v>
      </c>
      <c r="R781">
        <v>40</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446</v>
      </c>
      <c r="D782" t="s">
        <v>33</v>
      </c>
      <c r="E782" t="s">
        <v>410</v>
      </c>
      <c r="G782">
        <v>2</v>
      </c>
      <c r="H782">
        <v>1000</v>
      </c>
      <c r="J782" cm="1">
        <f t="array" ref="J782">_xlfn.SWITCH(B782,1,75,2,61,3,49,4,37,5,25,6,13,7,4,8,1)</f>
        <v>49</v>
      </c>
      <c r="K782" t="str" cm="1">
        <f t="array" ref="K782">IFERROR(_xlfn.SWITCH(L782,1,_xlfn.XLOOKUP(C782,[1]AttributeName!$C:$C,[1]AttributeName!$I:$I),2,_xlfn.XLOOKUP(C782,[1]ModifierDes!$B:$B,[1]ModifierDes!$C:$C),3,_xlfn.XLOOKUP(C782,[1]StuntDes!$B:$B,[1]StuntDes!$C:$C)),"")</f>
        <v>每秒魔力恢复增加{0}</v>
      </c>
      <c r="L782">
        <f t="shared" si="67"/>
        <v>1</v>
      </c>
      <c r="M782" s="10" t="str">
        <f>IFERROR(_xlfn.XLOOKUP(C782,[1]StuntDes!$B:$B,[1]StuntDes!$A:$A),"")</f>
        <v/>
      </c>
      <c r="N782" s="10" t="str">
        <f>IFERROR(_xlfn.XLOOKUP(C782,[1]ModifierDes!$B:$B,[1]ModifierDes!$A:$A),"")</f>
        <v/>
      </c>
      <c r="O782" s="10">
        <f>IFERROR(_xlfn.XLOOKUP(C782,[1]AttributeName!$C:$C,[1]AttributeName!$B:$B),"")</f>
        <v>10005</v>
      </c>
      <c r="P782" s="10"/>
      <c r="Q782">
        <v>30</v>
      </c>
      <c r="R782">
        <v>34</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446</v>
      </c>
      <c r="D783" t="s">
        <v>33</v>
      </c>
      <c r="E783" t="s">
        <v>410</v>
      </c>
      <c r="G783">
        <v>2</v>
      </c>
      <c r="H783">
        <v>1000</v>
      </c>
      <c r="J783" cm="1">
        <f t="array" ref="J783">_xlfn.SWITCH(B783,1,75,2,61,3,49,4,37,5,25,6,13,7,4,8,1)</f>
        <v>37</v>
      </c>
      <c r="K783" t="str" cm="1">
        <f t="array" ref="K783">IFERROR(_xlfn.SWITCH(L783,1,_xlfn.XLOOKUP(C783,[1]AttributeName!$C:$C,[1]AttributeName!$I:$I),2,_xlfn.XLOOKUP(C783,[1]ModifierDes!$B:$B,[1]ModifierDes!$C:$C),3,_xlfn.XLOOKUP(C783,[1]StuntDes!$B:$B,[1]StuntDes!$C:$C)),"")</f>
        <v>每秒魔力恢复增加{0}</v>
      </c>
      <c r="L783">
        <f t="shared" si="67"/>
        <v>1</v>
      </c>
      <c r="M783" s="10" t="str">
        <f>IFERROR(_xlfn.XLOOKUP(C783,[1]StuntDes!$B:$B,[1]StuntDes!$A:$A),"")</f>
        <v/>
      </c>
      <c r="N783" s="10" t="str">
        <f>IFERROR(_xlfn.XLOOKUP(C783,[1]ModifierDes!$B:$B,[1]ModifierDes!$A:$A),"")</f>
        <v/>
      </c>
      <c r="O783" s="10">
        <f>IFERROR(_xlfn.XLOOKUP(C783,[1]AttributeName!$C:$C,[1]AttributeName!$B:$B),"")</f>
        <v>10005</v>
      </c>
      <c r="P783" s="10"/>
      <c r="Q783">
        <v>24</v>
      </c>
      <c r="R783">
        <v>28</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446</v>
      </c>
      <c r="D784" t="s">
        <v>33</v>
      </c>
      <c r="E784" t="s">
        <v>410</v>
      </c>
      <c r="G784">
        <v>2</v>
      </c>
      <c r="H784">
        <v>1000</v>
      </c>
      <c r="J784" cm="1">
        <f t="array" ref="J784">_xlfn.SWITCH(B784,1,75,2,61,3,49,4,37,5,25,6,13,7,4,8,1)</f>
        <v>25</v>
      </c>
      <c r="K784" t="str" cm="1">
        <f t="array" ref="K784">IFERROR(_xlfn.SWITCH(L784,1,_xlfn.XLOOKUP(C784,[1]AttributeName!$C:$C,[1]AttributeName!$I:$I),2,_xlfn.XLOOKUP(C784,[1]ModifierDes!$B:$B,[1]ModifierDes!$C:$C),3,_xlfn.XLOOKUP(C784,[1]StuntDes!$B:$B,[1]StuntDes!$C:$C)),"")</f>
        <v>每秒魔力恢复增加{0}</v>
      </c>
      <c r="L784">
        <f t="shared" si="67"/>
        <v>1</v>
      </c>
      <c r="M784" s="10" t="str">
        <f>IFERROR(_xlfn.XLOOKUP(C784,[1]StuntDes!$B:$B,[1]StuntDes!$A:$A),"")</f>
        <v/>
      </c>
      <c r="N784" s="10" t="str">
        <f>IFERROR(_xlfn.XLOOKUP(C784,[1]ModifierDes!$B:$B,[1]ModifierDes!$A:$A),"")</f>
        <v/>
      </c>
      <c r="O784" s="10">
        <f>IFERROR(_xlfn.XLOOKUP(C784,[1]AttributeName!$C:$C,[1]AttributeName!$B:$B),"")</f>
        <v>10005</v>
      </c>
      <c r="P784" s="10"/>
      <c r="Q784">
        <v>19</v>
      </c>
      <c r="R784">
        <v>22</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446</v>
      </c>
      <c r="D785" t="s">
        <v>33</v>
      </c>
      <c r="E785" t="s">
        <v>410</v>
      </c>
      <c r="G785">
        <v>2</v>
      </c>
      <c r="H785">
        <v>1000</v>
      </c>
      <c r="J785" cm="1">
        <f t="array" ref="J785">_xlfn.SWITCH(B785,1,75,2,61,3,49,4,37,5,25,6,13,7,4,8,1)</f>
        <v>13</v>
      </c>
      <c r="K785" t="str" cm="1">
        <f t="array" ref="K785">IFERROR(_xlfn.SWITCH(L785,1,_xlfn.XLOOKUP(C785,[1]AttributeName!$C:$C,[1]AttributeName!$I:$I),2,_xlfn.XLOOKUP(C785,[1]ModifierDes!$B:$B,[1]ModifierDes!$C:$C),3,_xlfn.XLOOKUP(C785,[1]StuntDes!$B:$B,[1]StuntDes!$C:$C)),"")</f>
        <v>每秒魔力恢复增加{0}</v>
      </c>
      <c r="L785">
        <f t="shared" si="67"/>
        <v>1</v>
      </c>
      <c r="M785" s="10" t="str">
        <f>IFERROR(_xlfn.XLOOKUP(C785,[1]StuntDes!$B:$B,[1]StuntDes!$A:$A),"")</f>
        <v/>
      </c>
      <c r="N785" s="10" t="str">
        <f>IFERROR(_xlfn.XLOOKUP(C785,[1]ModifierDes!$B:$B,[1]ModifierDes!$A:$A),"")</f>
        <v/>
      </c>
      <c r="O785" s="10">
        <f>IFERROR(_xlfn.XLOOKUP(C785,[1]AttributeName!$C:$C,[1]AttributeName!$B:$B),"")</f>
        <v>10005</v>
      </c>
      <c r="P785" s="10"/>
      <c r="Q785">
        <v>14</v>
      </c>
      <c r="R785">
        <v>17</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446</v>
      </c>
      <c r="D786" t="s">
        <v>33</v>
      </c>
      <c r="E786" t="s">
        <v>410</v>
      </c>
      <c r="G786">
        <v>2</v>
      </c>
      <c r="H786">
        <v>1000</v>
      </c>
      <c r="J786" cm="1">
        <f t="array" ref="J786">_xlfn.SWITCH(B786,1,75,2,61,3,49,4,37,5,25,6,13,7,4,8,1)</f>
        <v>4</v>
      </c>
      <c r="K786" t="str" cm="1">
        <f t="array" ref="K786">IFERROR(_xlfn.SWITCH(L786,1,_xlfn.XLOOKUP(C786,[1]AttributeName!$C:$C,[1]AttributeName!$I:$I),2,_xlfn.XLOOKUP(C786,[1]ModifierDes!$B:$B,[1]ModifierDes!$C:$C),3,_xlfn.XLOOKUP(C786,[1]StuntDes!$B:$B,[1]StuntDes!$C:$C)),"")</f>
        <v>每秒魔力恢复增加{0}</v>
      </c>
      <c r="L786">
        <f t="shared" si="67"/>
        <v>1</v>
      </c>
      <c r="M786" s="10" t="str">
        <f>IFERROR(_xlfn.XLOOKUP(C786,[1]StuntDes!$B:$B,[1]StuntDes!$A:$A),"")</f>
        <v/>
      </c>
      <c r="N786" s="10" t="str">
        <f>IFERROR(_xlfn.XLOOKUP(C786,[1]ModifierDes!$B:$B,[1]ModifierDes!$A:$A),"")</f>
        <v/>
      </c>
      <c r="O786" s="10">
        <f>IFERROR(_xlfn.XLOOKUP(C786,[1]AttributeName!$C:$C,[1]AttributeName!$B:$B),"")</f>
        <v>10005</v>
      </c>
      <c r="P786" s="10"/>
      <c r="Q786">
        <v>9</v>
      </c>
      <c r="R786">
        <v>12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446</v>
      </c>
      <c r="D787" t="s">
        <v>33</v>
      </c>
      <c r="E787" t="s">
        <v>410</v>
      </c>
      <c r="G787">
        <v>2</v>
      </c>
      <c r="H787">
        <v>1000</v>
      </c>
      <c r="J787" cm="1">
        <f t="array" ref="J787">_xlfn.SWITCH(B787,1,75,2,61,3,49,4,37,5,25,6,13,7,4,8,1)</f>
        <v>1</v>
      </c>
      <c r="K787" t="str" cm="1">
        <f t="array" ref="K787">IFERROR(_xlfn.SWITCH(L787,1,_xlfn.XLOOKUP(C787,[1]AttributeName!$C:$C,[1]AttributeName!$I:$I),2,_xlfn.XLOOKUP(C787,[1]ModifierDes!$B:$B,[1]ModifierDes!$C:$C),3,_xlfn.XLOOKUP(C787,[1]StuntDes!$B:$B,[1]StuntDes!$C:$C)),"")</f>
        <v>每秒魔力恢复增加{0}</v>
      </c>
      <c r="L787">
        <f t="shared" si="67"/>
        <v>1</v>
      </c>
      <c r="M787" s="10" t="str">
        <f>IFERROR(_xlfn.XLOOKUP(C787,[1]StuntDes!$B:$B,[1]StuntDes!$A:$A),"")</f>
        <v/>
      </c>
      <c r="N787" s="10" t="str">
        <f>IFERROR(_xlfn.XLOOKUP(C787,[1]ModifierDes!$B:$B,[1]ModifierDes!$A:$A),"")</f>
        <v/>
      </c>
      <c r="O787" s="10">
        <f>IFERROR(_xlfn.XLOOKUP(C787,[1]AttributeName!$C:$C,[1]AttributeName!$B:$B),"")</f>
        <v>10005</v>
      </c>
      <c r="P787" s="10"/>
      <c r="Q787">
        <v>5</v>
      </c>
      <c r="R787">
        <v>8</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407</v>
      </c>
      <c r="D788" t="s">
        <v>34</v>
      </c>
      <c r="E788" t="s">
        <v>393</v>
      </c>
      <c r="F788"/>
      <c r="G788">
        <v>1</v>
      </c>
      <c r="H788">
        <v>1000</v>
      </c>
      <c r="J788" cm="1">
        <f t="array" ref="J788">_xlfn.SWITCH(B788,1,75,2,61,3,49,4,37,5,25,6,13,7,4,8,1)</f>
        <v>75</v>
      </c>
      <c r="K788" t="str" cm="1">
        <f t="array" ref="K788">IFERROR(_xlfn.SWITCH(L788,1,_xlfn.XLOOKUP(C788,[1]AttributeName!$C:$C,[1]AttributeName!$I:$I),2,_xlfn.XLOOKUP(C788,[1]ModifierDes!$B:$B,[1]ModifierDes!$C:$C),3,_xlfn.XLOOKUP(C788,[1]StuntDes!$B:$B,[1]StuntDes!$C:$C)),"")</f>
        <v>基础生命增加{0}</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407</v>
      </c>
      <c r="D789" t="s">
        <v>34</v>
      </c>
      <c r="E789" t="s">
        <v>393</v>
      </c>
      <c r="F789"/>
      <c r="G789">
        <v>1</v>
      </c>
      <c r="H789">
        <v>1000</v>
      </c>
      <c r="J789" cm="1">
        <f t="array" ref="J789">_xlfn.SWITCH(B789,1,75,2,61,3,49,4,37,5,25,6,13,7,4,8,1)</f>
        <v>61</v>
      </c>
      <c r="K789" t="str" cm="1">
        <f t="array" ref="K789">IFERROR(_xlfn.SWITCH(L789,1,_xlfn.XLOOKUP(C789,[1]AttributeName!$C:$C,[1]AttributeName!$I:$I),2,_xlfn.XLOOKUP(C789,[1]ModifierDes!$B:$B,[1]ModifierDes!$C:$C),3,_xlfn.XLOOKUP(C789,[1]StuntDes!$B:$B,[1]StuntDes!$C:$C)),"")</f>
        <v>基础生命增加{0}</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407</v>
      </c>
      <c r="D790" t="s">
        <v>34</v>
      </c>
      <c r="E790" t="s">
        <v>393</v>
      </c>
      <c r="F790"/>
      <c r="G790">
        <v>1</v>
      </c>
      <c r="H790">
        <v>1000</v>
      </c>
      <c r="J790" cm="1">
        <f t="array" ref="J790">_xlfn.SWITCH(B790,1,75,2,61,3,49,4,37,5,25,6,13,7,4,8,1)</f>
        <v>49</v>
      </c>
      <c r="K790" t="str" cm="1">
        <f t="array" ref="K790">IFERROR(_xlfn.SWITCH(L790,1,_xlfn.XLOOKUP(C790,[1]AttributeName!$C:$C,[1]AttributeName!$I:$I),2,_xlfn.XLOOKUP(C790,[1]ModifierDes!$B:$B,[1]ModifierDes!$C:$C),3,_xlfn.XLOOKUP(C790,[1]StuntDes!$B:$B,[1]StuntDes!$C:$C)),"")</f>
        <v>基础生命增加{0}</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407</v>
      </c>
      <c r="D791" t="s">
        <v>34</v>
      </c>
      <c r="E791" t="s">
        <v>393</v>
      </c>
      <c r="F791"/>
      <c r="G791">
        <v>1</v>
      </c>
      <c r="H791">
        <v>1000</v>
      </c>
      <c r="J791" cm="1">
        <f t="array" ref="J791">_xlfn.SWITCH(B791,1,75,2,61,3,49,4,37,5,25,6,13,7,4,8,1)</f>
        <v>37</v>
      </c>
      <c r="K791" t="str" cm="1">
        <f t="array" ref="K791">IFERROR(_xlfn.SWITCH(L791,1,_xlfn.XLOOKUP(C791,[1]AttributeName!$C:$C,[1]AttributeName!$I:$I),2,_xlfn.XLOOKUP(C791,[1]ModifierDes!$B:$B,[1]ModifierDes!$C:$C),3,_xlfn.XLOOKUP(C791,[1]StuntDes!$B:$B,[1]StuntDes!$C:$C)),"")</f>
        <v>基础生命增加{0}</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407</v>
      </c>
      <c r="D792" t="s">
        <v>34</v>
      </c>
      <c r="E792" t="s">
        <v>393</v>
      </c>
      <c r="F792"/>
      <c r="G792">
        <v>1</v>
      </c>
      <c r="H792">
        <v>1000</v>
      </c>
      <c r="J792" cm="1">
        <f t="array" ref="J792">_xlfn.SWITCH(B792,1,75,2,61,3,49,4,37,5,25,6,13,7,4,8,1)</f>
        <v>25</v>
      </c>
      <c r="K792" t="str" cm="1">
        <f t="array" ref="K792">IFERROR(_xlfn.SWITCH(L792,1,_xlfn.XLOOKUP(C792,[1]AttributeName!$C:$C,[1]AttributeName!$I:$I),2,_xlfn.XLOOKUP(C792,[1]ModifierDes!$B:$B,[1]ModifierDes!$C:$C),3,_xlfn.XLOOKUP(C792,[1]StuntDes!$B:$B,[1]StuntDes!$C:$C)),"")</f>
        <v>基础生命增加{0}</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407</v>
      </c>
      <c r="D793" t="s">
        <v>34</v>
      </c>
      <c r="E793" t="s">
        <v>393</v>
      </c>
      <c r="F793"/>
      <c r="G793">
        <v>1</v>
      </c>
      <c r="H793">
        <v>1000</v>
      </c>
      <c r="J793" cm="1">
        <f t="array" ref="J793">_xlfn.SWITCH(B793,1,75,2,61,3,49,4,37,5,25,6,13,7,4,8,1)</f>
        <v>13</v>
      </c>
      <c r="K793" t="str" cm="1">
        <f t="array" ref="K793">IFERROR(_xlfn.SWITCH(L793,1,_xlfn.XLOOKUP(C793,[1]AttributeName!$C:$C,[1]AttributeName!$I:$I),2,_xlfn.XLOOKUP(C793,[1]ModifierDes!$B:$B,[1]ModifierDes!$C:$C),3,_xlfn.XLOOKUP(C793,[1]StuntDes!$B:$B,[1]StuntDes!$C:$C)),"")</f>
        <v>基础生命增加{0}</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407</v>
      </c>
      <c r="D794" t="s">
        <v>34</v>
      </c>
      <c r="E794" t="s">
        <v>393</v>
      </c>
      <c r="F794"/>
      <c r="G794">
        <v>1</v>
      </c>
      <c r="H794">
        <v>1000</v>
      </c>
      <c r="J794" cm="1">
        <f t="array" ref="J794">_xlfn.SWITCH(B794,1,75,2,61,3,49,4,37,5,25,6,13,7,4,8,1)</f>
        <v>4</v>
      </c>
      <c r="K794" t="str" cm="1">
        <f t="array" ref="K794">IFERROR(_xlfn.SWITCH(L794,1,_xlfn.XLOOKUP(C794,[1]AttributeName!$C:$C,[1]AttributeName!$I:$I),2,_xlfn.XLOOKUP(C794,[1]ModifierDes!$B:$B,[1]ModifierDes!$C:$C),3,_xlfn.XLOOKUP(C794,[1]StuntDes!$B:$B,[1]StuntDes!$C:$C)),"")</f>
        <v>基础生命增加{0}</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407</v>
      </c>
      <c r="D795" t="s">
        <v>34</v>
      </c>
      <c r="E795" t="s">
        <v>393</v>
      </c>
      <c r="F795"/>
      <c r="G795">
        <v>1</v>
      </c>
      <c r="H795">
        <v>1000</v>
      </c>
      <c r="J795" cm="1">
        <f t="array" ref="J795">_xlfn.SWITCH(B795,1,75,2,61,3,49,4,37,5,25,6,13,7,4,8,1)</f>
        <v>1</v>
      </c>
      <c r="K795" t="str" cm="1">
        <f t="array" ref="K795">IFERROR(_xlfn.SWITCH(L795,1,_xlfn.XLOOKUP(C795,[1]AttributeName!$C:$C,[1]AttributeName!$I:$I),2,_xlfn.XLOOKUP(C795,[1]ModifierDes!$B:$B,[1]ModifierDes!$C:$C),3,_xlfn.XLOOKUP(C795,[1]StuntDes!$B:$B,[1]StuntDes!$C:$C)),"")</f>
        <v>基础生命增加{0}</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408</v>
      </c>
      <c r="D796" t="s">
        <v>34</v>
      </c>
      <c r="E796" t="s">
        <v>393</v>
      </c>
      <c r="F796"/>
      <c r="G796">
        <v>1</v>
      </c>
      <c r="H796">
        <v>1000</v>
      </c>
      <c r="J796" cm="1">
        <f t="array" ref="J796">_xlfn.SWITCH(B796,1,75,2,61,3,49,4,37,5,25,6,13,7,4,8,1)</f>
        <v>75</v>
      </c>
      <c r="K796" t="str" cm="1">
        <f t="array" ref="K796">IFERROR(_xlfn.SWITCH(L796,1,_xlfn.XLOOKUP(C796,[1]AttributeName!$C:$C,[1]AttributeName!$I:$I),2,_xlfn.XLOOKUP(C796,[1]ModifierDes!$B:$B,[1]ModifierDes!$C:$C),3,_xlfn.XLOOKUP(C796,[1]StuntDes!$B:$B,[1]StuntDes!$C:$C)),"")</f>
        <v>基础魔力增加{0}</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408</v>
      </c>
      <c r="D797" t="s">
        <v>34</v>
      </c>
      <c r="E797" t="s">
        <v>393</v>
      </c>
      <c r="F797"/>
      <c r="G797">
        <v>1</v>
      </c>
      <c r="H797">
        <v>1000</v>
      </c>
      <c r="J797" cm="1">
        <f t="array" ref="J797">_xlfn.SWITCH(B797,1,75,2,61,3,49,4,37,5,25,6,13,7,4,8,1)</f>
        <v>61</v>
      </c>
      <c r="K797" t="str" cm="1">
        <f t="array" ref="K797">IFERROR(_xlfn.SWITCH(L797,1,_xlfn.XLOOKUP(C797,[1]AttributeName!$C:$C,[1]AttributeName!$I:$I),2,_xlfn.XLOOKUP(C797,[1]ModifierDes!$B:$B,[1]ModifierDes!$C:$C),3,_xlfn.XLOOKUP(C797,[1]StuntDes!$B:$B,[1]StuntDes!$C:$C)),"")</f>
        <v>基础魔力增加{0}</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408</v>
      </c>
      <c r="D798" t="s">
        <v>34</v>
      </c>
      <c r="E798" t="s">
        <v>393</v>
      </c>
      <c r="F798"/>
      <c r="G798">
        <v>1</v>
      </c>
      <c r="H798">
        <v>1000</v>
      </c>
      <c r="J798" cm="1">
        <f t="array" ref="J798">_xlfn.SWITCH(B798,1,75,2,61,3,49,4,37,5,25,6,13,7,4,8,1)</f>
        <v>49</v>
      </c>
      <c r="K798" t="str" cm="1">
        <f t="array" ref="K798">IFERROR(_xlfn.SWITCH(L798,1,_xlfn.XLOOKUP(C798,[1]AttributeName!$C:$C,[1]AttributeName!$I:$I),2,_xlfn.XLOOKUP(C798,[1]ModifierDes!$B:$B,[1]ModifierDes!$C:$C),3,_xlfn.XLOOKUP(C798,[1]StuntDes!$B:$B,[1]StuntDes!$C:$C)),"")</f>
        <v>基础魔力增加{0}</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408</v>
      </c>
      <c r="D799" t="s">
        <v>34</v>
      </c>
      <c r="E799" t="s">
        <v>393</v>
      </c>
      <c r="F799"/>
      <c r="G799">
        <v>1</v>
      </c>
      <c r="H799">
        <v>1000</v>
      </c>
      <c r="J799" cm="1">
        <f t="array" ref="J799">_xlfn.SWITCH(B799,1,75,2,61,3,49,4,37,5,25,6,13,7,4,8,1)</f>
        <v>37</v>
      </c>
      <c r="K799" t="str" cm="1">
        <f t="array" ref="K799">IFERROR(_xlfn.SWITCH(L799,1,_xlfn.XLOOKUP(C799,[1]AttributeName!$C:$C,[1]AttributeName!$I:$I),2,_xlfn.XLOOKUP(C799,[1]ModifierDes!$B:$B,[1]ModifierDes!$C:$C),3,_xlfn.XLOOKUP(C799,[1]StuntDes!$B:$B,[1]StuntDes!$C:$C)),"")</f>
        <v>基础魔力增加{0}</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408</v>
      </c>
      <c r="D800" t="s">
        <v>34</v>
      </c>
      <c r="E800" t="s">
        <v>393</v>
      </c>
      <c r="F800"/>
      <c r="G800">
        <v>1</v>
      </c>
      <c r="H800">
        <v>1000</v>
      </c>
      <c r="J800" cm="1">
        <f t="array" ref="J800">_xlfn.SWITCH(B800,1,75,2,61,3,49,4,37,5,25,6,13,7,4,8,1)</f>
        <v>25</v>
      </c>
      <c r="K800" t="str" cm="1">
        <f t="array" ref="K800">IFERROR(_xlfn.SWITCH(L800,1,_xlfn.XLOOKUP(C800,[1]AttributeName!$C:$C,[1]AttributeName!$I:$I),2,_xlfn.XLOOKUP(C800,[1]ModifierDes!$B:$B,[1]ModifierDes!$C:$C),3,_xlfn.XLOOKUP(C800,[1]StuntDes!$B:$B,[1]StuntDes!$C:$C)),"")</f>
        <v>基础魔力增加{0}</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408</v>
      </c>
      <c r="D801" t="s">
        <v>34</v>
      </c>
      <c r="E801" t="s">
        <v>393</v>
      </c>
      <c r="F801"/>
      <c r="G801">
        <v>1</v>
      </c>
      <c r="H801">
        <v>1000</v>
      </c>
      <c r="J801" cm="1">
        <f t="array" ref="J801">_xlfn.SWITCH(B801,1,75,2,61,3,49,4,37,5,25,6,13,7,4,8,1)</f>
        <v>13</v>
      </c>
      <c r="K801" t="str" cm="1">
        <f t="array" ref="K801">IFERROR(_xlfn.SWITCH(L801,1,_xlfn.XLOOKUP(C801,[1]AttributeName!$C:$C,[1]AttributeName!$I:$I),2,_xlfn.XLOOKUP(C801,[1]ModifierDes!$B:$B,[1]ModifierDes!$C:$C),3,_xlfn.XLOOKUP(C801,[1]StuntDes!$B:$B,[1]StuntDes!$C:$C)),"")</f>
        <v>基础魔力增加{0}</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408</v>
      </c>
      <c r="D802" t="s">
        <v>34</v>
      </c>
      <c r="E802" t="s">
        <v>393</v>
      </c>
      <c r="F802"/>
      <c r="G802">
        <v>1</v>
      </c>
      <c r="H802">
        <v>1000</v>
      </c>
      <c r="J802" cm="1">
        <f t="array" ref="J802">_xlfn.SWITCH(B802,1,75,2,61,3,49,4,37,5,25,6,13,7,4,8,1)</f>
        <v>4</v>
      </c>
      <c r="K802" t="str" cm="1">
        <f t="array" ref="K802">IFERROR(_xlfn.SWITCH(L802,1,_xlfn.XLOOKUP(C802,[1]AttributeName!$C:$C,[1]AttributeName!$I:$I),2,_xlfn.XLOOKUP(C802,[1]ModifierDes!$B:$B,[1]ModifierDes!$C:$C),3,_xlfn.XLOOKUP(C802,[1]StuntDes!$B:$B,[1]StuntDes!$C:$C)),"")</f>
        <v>基础魔力增加{0}</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408</v>
      </c>
      <c r="D803" t="s">
        <v>34</v>
      </c>
      <c r="E803" t="s">
        <v>393</v>
      </c>
      <c r="F803"/>
      <c r="G803">
        <v>1</v>
      </c>
      <c r="H803">
        <v>1000</v>
      </c>
      <c r="J803" cm="1">
        <f t="array" ref="J803">_xlfn.SWITCH(B803,1,75,2,61,3,49,4,37,5,25,6,13,7,4,8,1)</f>
        <v>1</v>
      </c>
      <c r="K803" t="str" cm="1">
        <f t="array" ref="K803">IFERROR(_xlfn.SWITCH(L803,1,_xlfn.XLOOKUP(C803,[1]AttributeName!$C:$C,[1]AttributeName!$I:$I),2,_xlfn.XLOOKUP(C803,[1]ModifierDes!$B:$B,[1]ModifierDes!$C:$C),3,_xlfn.XLOOKUP(C803,[1]StuntDes!$B:$B,[1]StuntDes!$C:$C)),"")</f>
        <v>基础魔力增加{0}</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428</v>
      </c>
      <c r="D804" t="s">
        <v>34</v>
      </c>
      <c r="E804" t="s">
        <v>393</v>
      </c>
      <c r="G804">
        <v>1</v>
      </c>
      <c r="H804">
        <v>1000</v>
      </c>
      <c r="J804" cm="1">
        <f t="array" ref="J804">_xlfn.SWITCH(B804,1,75,2,61,3,49,4,37,5,25,6,13,7,4,8,1)</f>
        <v>75</v>
      </c>
      <c r="K804" t="str" cm="1">
        <f t="array" ref="K804">IFERROR(_xlfn.SWITCH(L804,1,_xlfn.XLOOKUP(C804,[1]AttributeName!$C:$C,[1]AttributeName!$I:$I),2,_xlfn.XLOOKUP(C804,[1]ModifierDes!$B:$B,[1]ModifierDes!$C:$C),3,_xlfn.XLOOKUP(C804,[1]StuntDes!$B:$B,[1]StuntDes!$C:$C)),"")</f>
        <v>防御力增加{0}</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428</v>
      </c>
      <c r="D805" t="s">
        <v>34</v>
      </c>
      <c r="E805" t="s">
        <v>393</v>
      </c>
      <c r="G805">
        <v>1</v>
      </c>
      <c r="H805">
        <v>1000</v>
      </c>
      <c r="J805" cm="1">
        <f t="array" ref="J805">_xlfn.SWITCH(B805,1,75,2,61,3,49,4,37,5,25,6,13,7,4,8,1)</f>
        <v>61</v>
      </c>
      <c r="K805" t="str" cm="1">
        <f t="array" ref="K805">IFERROR(_xlfn.SWITCH(L805,1,_xlfn.XLOOKUP(C805,[1]AttributeName!$C:$C,[1]AttributeName!$I:$I),2,_xlfn.XLOOKUP(C805,[1]ModifierDes!$B:$B,[1]ModifierDes!$C:$C),3,_xlfn.XLOOKUP(C805,[1]StuntDes!$B:$B,[1]StuntDes!$C:$C)),"")</f>
        <v>防御力增加{0}</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428</v>
      </c>
      <c r="D806" t="s">
        <v>34</v>
      </c>
      <c r="E806" t="s">
        <v>393</v>
      </c>
      <c r="G806">
        <v>1</v>
      </c>
      <c r="H806">
        <v>1000</v>
      </c>
      <c r="J806" cm="1">
        <f t="array" ref="J806">_xlfn.SWITCH(B806,1,75,2,61,3,49,4,37,5,25,6,13,7,4,8,1)</f>
        <v>49</v>
      </c>
      <c r="K806" t="str" cm="1">
        <f t="array" ref="K806">IFERROR(_xlfn.SWITCH(L806,1,_xlfn.XLOOKUP(C806,[1]AttributeName!$C:$C,[1]AttributeName!$I:$I),2,_xlfn.XLOOKUP(C806,[1]ModifierDes!$B:$B,[1]ModifierDes!$C:$C),3,_xlfn.XLOOKUP(C806,[1]StuntDes!$B:$B,[1]StuntDes!$C:$C)),"")</f>
        <v>防御力增加{0}</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428</v>
      </c>
      <c r="D807" t="s">
        <v>34</v>
      </c>
      <c r="E807" t="s">
        <v>393</v>
      </c>
      <c r="G807">
        <v>1</v>
      </c>
      <c r="H807">
        <v>1000</v>
      </c>
      <c r="J807" cm="1">
        <f t="array" ref="J807">_xlfn.SWITCH(B807,1,75,2,61,3,49,4,37,5,25,6,13,7,4,8,1)</f>
        <v>37</v>
      </c>
      <c r="K807" t="str" cm="1">
        <f t="array" ref="K807">IFERROR(_xlfn.SWITCH(L807,1,_xlfn.XLOOKUP(C807,[1]AttributeName!$C:$C,[1]AttributeName!$I:$I),2,_xlfn.XLOOKUP(C807,[1]ModifierDes!$B:$B,[1]ModifierDes!$C:$C),3,_xlfn.XLOOKUP(C807,[1]StuntDes!$B:$B,[1]StuntDes!$C:$C)),"")</f>
        <v>防御力增加{0}</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428</v>
      </c>
      <c r="D808" t="s">
        <v>34</v>
      </c>
      <c r="E808" t="s">
        <v>393</v>
      </c>
      <c r="G808">
        <v>1</v>
      </c>
      <c r="H808">
        <v>1000</v>
      </c>
      <c r="J808" cm="1">
        <f t="array" ref="J808">_xlfn.SWITCH(B808,1,75,2,61,3,49,4,37,5,25,6,13,7,4,8,1)</f>
        <v>25</v>
      </c>
      <c r="K808" t="str" cm="1">
        <f t="array" ref="K808">IFERROR(_xlfn.SWITCH(L808,1,_xlfn.XLOOKUP(C808,[1]AttributeName!$C:$C,[1]AttributeName!$I:$I),2,_xlfn.XLOOKUP(C808,[1]ModifierDes!$B:$B,[1]ModifierDes!$C:$C),3,_xlfn.XLOOKUP(C808,[1]StuntDes!$B:$B,[1]StuntDes!$C:$C)),"")</f>
        <v>防御力增加{0}</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428</v>
      </c>
      <c r="D809" t="s">
        <v>34</v>
      </c>
      <c r="E809" t="s">
        <v>393</v>
      </c>
      <c r="G809">
        <v>1</v>
      </c>
      <c r="H809">
        <v>1000</v>
      </c>
      <c r="J809" cm="1">
        <f t="array" ref="J809">_xlfn.SWITCH(B809,1,75,2,61,3,49,4,37,5,25,6,13,7,4,8,1)</f>
        <v>13</v>
      </c>
      <c r="K809" t="str" cm="1">
        <f t="array" ref="K809">IFERROR(_xlfn.SWITCH(L809,1,_xlfn.XLOOKUP(C809,[1]AttributeName!$C:$C,[1]AttributeName!$I:$I),2,_xlfn.XLOOKUP(C809,[1]ModifierDes!$B:$B,[1]ModifierDes!$C:$C),3,_xlfn.XLOOKUP(C809,[1]StuntDes!$B:$B,[1]StuntDes!$C:$C)),"")</f>
        <v>防御力增加{0}</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428</v>
      </c>
      <c r="D810" t="s">
        <v>34</v>
      </c>
      <c r="E810" t="s">
        <v>393</v>
      </c>
      <c r="G810">
        <v>1</v>
      </c>
      <c r="H810">
        <v>1000</v>
      </c>
      <c r="J810" cm="1">
        <f t="array" ref="J810">_xlfn.SWITCH(B810,1,75,2,61,3,49,4,37,5,25,6,13,7,4,8,1)</f>
        <v>4</v>
      </c>
      <c r="K810" t="str" cm="1">
        <f t="array" ref="K810">IFERROR(_xlfn.SWITCH(L810,1,_xlfn.XLOOKUP(C810,[1]AttributeName!$C:$C,[1]AttributeName!$I:$I),2,_xlfn.XLOOKUP(C810,[1]ModifierDes!$B:$B,[1]ModifierDes!$C:$C),3,_xlfn.XLOOKUP(C810,[1]StuntDes!$B:$B,[1]StuntDes!$C:$C)),"")</f>
        <v>防御力增加{0}</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428</v>
      </c>
      <c r="D811" t="s">
        <v>34</v>
      </c>
      <c r="E811" t="s">
        <v>393</v>
      </c>
      <c r="G811">
        <v>1</v>
      </c>
      <c r="H811">
        <v>1000</v>
      </c>
      <c r="J811" cm="1">
        <f t="array" ref="J811">_xlfn.SWITCH(B811,1,75,2,61,3,49,4,37,5,25,6,13,7,4,8,1)</f>
        <v>1</v>
      </c>
      <c r="K811" t="str" cm="1">
        <f t="array" ref="K811">IFERROR(_xlfn.SWITCH(L811,1,_xlfn.XLOOKUP(C811,[1]AttributeName!$C:$C,[1]AttributeName!$I:$I),2,_xlfn.XLOOKUP(C811,[1]ModifierDes!$B:$B,[1]ModifierDes!$C:$C),3,_xlfn.XLOOKUP(C811,[1]StuntDes!$B:$B,[1]StuntDes!$C:$C)),"")</f>
        <v>防御力增加{0}</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429</v>
      </c>
      <c r="D812" t="s">
        <v>34</v>
      </c>
      <c r="E812" t="s">
        <v>393</v>
      </c>
      <c r="G812">
        <v>1</v>
      </c>
      <c r="H812">
        <v>250</v>
      </c>
      <c r="J812" cm="1">
        <f t="array" ref="J812">_xlfn.SWITCH(B812,1,75,2,61,3,49,4,37,5,25,6,13,7,4,8,1)</f>
        <v>75</v>
      </c>
      <c r="K812" t="str" cm="1">
        <f t="array" ref="K812">IFERROR(_xlfn.SWITCH(L812,1,_xlfn.XLOOKUP(C812,[1]AttributeName!$C:$C,[1]AttributeName!$I:$I),2,_xlfn.XLOOKUP(C812,[1]ModifierDes!$B:$B,[1]ModifierDes!$C:$C),3,_xlfn.XLOOKUP(C812,[1]StuntDes!$B:$B,[1]StuntDes!$C:$C)),"")</f>
        <v>攻击格挡率增加{0}</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429</v>
      </c>
      <c r="D813" t="s">
        <v>34</v>
      </c>
      <c r="E813" t="s">
        <v>393</v>
      </c>
      <c r="G813">
        <v>1</v>
      </c>
      <c r="H813">
        <v>250</v>
      </c>
      <c r="J813" cm="1">
        <f t="array" ref="J813">_xlfn.SWITCH(B813,1,75,2,61,3,49,4,37,5,25,6,13,7,4,8,1)</f>
        <v>61</v>
      </c>
      <c r="K813" t="str" cm="1">
        <f t="array" ref="K813">IFERROR(_xlfn.SWITCH(L813,1,_xlfn.XLOOKUP(C813,[1]AttributeName!$C:$C,[1]AttributeName!$I:$I),2,_xlfn.XLOOKUP(C813,[1]ModifierDes!$B:$B,[1]ModifierDes!$C:$C),3,_xlfn.XLOOKUP(C813,[1]StuntDes!$B:$B,[1]StuntDes!$C:$C)),"")</f>
        <v>攻击格挡率增加{0}</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429</v>
      </c>
      <c r="D814" t="s">
        <v>34</v>
      </c>
      <c r="E814" t="s">
        <v>393</v>
      </c>
      <c r="G814">
        <v>1</v>
      </c>
      <c r="H814">
        <v>250</v>
      </c>
      <c r="J814" cm="1">
        <f t="array" ref="J814">_xlfn.SWITCH(B814,1,75,2,61,3,49,4,37,5,25,6,13,7,4,8,1)</f>
        <v>49</v>
      </c>
      <c r="K814" t="str" cm="1">
        <f t="array" ref="K814">IFERROR(_xlfn.SWITCH(L814,1,_xlfn.XLOOKUP(C814,[1]AttributeName!$C:$C,[1]AttributeName!$I:$I),2,_xlfn.XLOOKUP(C814,[1]ModifierDes!$B:$B,[1]ModifierDes!$C:$C),3,_xlfn.XLOOKUP(C814,[1]StuntDes!$B:$B,[1]StuntDes!$C:$C)),"")</f>
        <v>攻击格挡率增加{0}</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429</v>
      </c>
      <c r="D815" t="s">
        <v>34</v>
      </c>
      <c r="E815" t="s">
        <v>393</v>
      </c>
      <c r="G815">
        <v>1</v>
      </c>
      <c r="H815">
        <v>250</v>
      </c>
      <c r="J815" cm="1">
        <f t="array" ref="J815">_xlfn.SWITCH(B815,1,75,2,61,3,49,4,37,5,25,6,13,7,4,8,1)</f>
        <v>37</v>
      </c>
      <c r="K815" t="str" cm="1">
        <f t="array" ref="K815">IFERROR(_xlfn.SWITCH(L815,1,_xlfn.XLOOKUP(C815,[1]AttributeName!$C:$C,[1]AttributeName!$I:$I),2,_xlfn.XLOOKUP(C815,[1]ModifierDes!$B:$B,[1]ModifierDes!$C:$C),3,_xlfn.XLOOKUP(C815,[1]StuntDes!$B:$B,[1]StuntDes!$C:$C)),"")</f>
        <v>攻击格挡率增加{0}</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429</v>
      </c>
      <c r="D816" t="s">
        <v>34</v>
      </c>
      <c r="E816" t="s">
        <v>393</v>
      </c>
      <c r="G816">
        <v>1</v>
      </c>
      <c r="H816">
        <v>250</v>
      </c>
      <c r="J816" cm="1">
        <f t="array" ref="J816">_xlfn.SWITCH(B816,1,75,2,61,3,49,4,37,5,25,6,13,7,4,8,1)</f>
        <v>25</v>
      </c>
      <c r="K816" t="str" cm="1">
        <f t="array" ref="K816">IFERROR(_xlfn.SWITCH(L816,1,_xlfn.XLOOKUP(C816,[1]AttributeName!$C:$C,[1]AttributeName!$I:$I),2,_xlfn.XLOOKUP(C816,[1]ModifierDes!$B:$B,[1]ModifierDes!$C:$C),3,_xlfn.XLOOKUP(C816,[1]StuntDes!$B:$B,[1]StuntDes!$C:$C)),"")</f>
        <v>攻击格挡率增加{0}</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429</v>
      </c>
      <c r="D817" t="s">
        <v>34</v>
      </c>
      <c r="E817" t="s">
        <v>393</v>
      </c>
      <c r="G817">
        <v>1</v>
      </c>
      <c r="H817">
        <v>250</v>
      </c>
      <c r="J817" cm="1">
        <f t="array" ref="J817">_xlfn.SWITCH(B817,1,75,2,61,3,49,4,37,5,25,6,13,7,4,8,1)</f>
        <v>13</v>
      </c>
      <c r="K817" t="str" cm="1">
        <f t="array" ref="K817">IFERROR(_xlfn.SWITCH(L817,1,_xlfn.XLOOKUP(C817,[1]AttributeName!$C:$C,[1]AttributeName!$I:$I),2,_xlfn.XLOOKUP(C817,[1]ModifierDes!$B:$B,[1]ModifierDes!$C:$C),3,_xlfn.XLOOKUP(C817,[1]StuntDes!$B:$B,[1]StuntDes!$C:$C)),"")</f>
        <v>攻击格挡率增加{0}</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429</v>
      </c>
      <c r="D818" t="s">
        <v>34</v>
      </c>
      <c r="E818" t="s">
        <v>393</v>
      </c>
      <c r="G818">
        <v>1</v>
      </c>
      <c r="H818">
        <v>250</v>
      </c>
      <c r="J818" cm="1">
        <f t="array" ref="J818">_xlfn.SWITCH(B818,1,75,2,61,3,49,4,37,5,25,6,13,7,4,8,1)</f>
        <v>4</v>
      </c>
      <c r="K818" t="str" cm="1">
        <f t="array" ref="K818">IFERROR(_xlfn.SWITCH(L818,1,_xlfn.XLOOKUP(C818,[1]AttributeName!$C:$C,[1]AttributeName!$I:$I),2,_xlfn.XLOOKUP(C818,[1]ModifierDes!$B:$B,[1]ModifierDes!$C:$C),3,_xlfn.XLOOKUP(C818,[1]StuntDes!$B:$B,[1]StuntDes!$C:$C)),"")</f>
        <v>攻击格挡率增加{0}</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429</v>
      </c>
      <c r="D819" t="s">
        <v>34</v>
      </c>
      <c r="E819" t="s">
        <v>393</v>
      </c>
      <c r="G819">
        <v>1</v>
      </c>
      <c r="H819">
        <v>250</v>
      </c>
      <c r="J819" cm="1">
        <f t="array" ref="J819">_xlfn.SWITCH(B819,1,75,2,61,3,49,4,37,5,25,6,13,7,4,8,1)</f>
        <v>1</v>
      </c>
      <c r="K819" t="str" cm="1">
        <f t="array" ref="K819">IFERROR(_xlfn.SWITCH(L819,1,_xlfn.XLOOKUP(C819,[1]AttributeName!$C:$C,[1]AttributeName!$I:$I),2,_xlfn.XLOOKUP(C819,[1]ModifierDes!$B:$B,[1]ModifierDes!$C:$C),3,_xlfn.XLOOKUP(C819,[1]StuntDes!$B:$B,[1]StuntDes!$C:$C)),"")</f>
        <v>攻击格挡率增加{0}</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430</v>
      </c>
      <c r="D820" t="s">
        <v>34</v>
      </c>
      <c r="E820" t="s">
        <v>393</v>
      </c>
      <c r="G820">
        <v>1</v>
      </c>
      <c r="H820">
        <v>250</v>
      </c>
      <c r="J820" cm="1">
        <f t="array" ref="J820">_xlfn.SWITCH(B820,1,75,2,61,3,49,4,37,5,25,6,13,7,4,8,1)</f>
        <v>75</v>
      </c>
      <c r="K820" t="str" cm="1">
        <f t="array" ref="K820">IFERROR(_xlfn.SWITCH(L820,1,_xlfn.XLOOKUP(C820,[1]AttributeName!$C:$C,[1]AttributeName!$I:$I),2,_xlfn.XLOOKUP(C820,[1]ModifierDes!$B:$B,[1]ModifierDes!$C:$C),3,_xlfn.XLOOKUP(C820,[1]StuntDes!$B:$B,[1]StuntDes!$C:$C)),"")</f>
        <v>法术格挡率增加{0}</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430</v>
      </c>
      <c r="D821" t="s">
        <v>34</v>
      </c>
      <c r="E821" t="s">
        <v>393</v>
      </c>
      <c r="G821">
        <v>1</v>
      </c>
      <c r="H821">
        <v>250</v>
      </c>
      <c r="J821" cm="1">
        <f t="array" ref="J821">_xlfn.SWITCH(B821,1,75,2,61,3,49,4,37,5,25,6,13,7,4,8,1)</f>
        <v>61</v>
      </c>
      <c r="K821" t="str" cm="1">
        <f t="array" ref="K821">IFERROR(_xlfn.SWITCH(L821,1,_xlfn.XLOOKUP(C821,[1]AttributeName!$C:$C,[1]AttributeName!$I:$I),2,_xlfn.XLOOKUP(C821,[1]ModifierDes!$B:$B,[1]ModifierDes!$C:$C),3,_xlfn.XLOOKUP(C821,[1]StuntDes!$B:$B,[1]StuntDes!$C:$C)),"")</f>
        <v>法术格挡率增加{0}</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430</v>
      </c>
      <c r="D822" t="s">
        <v>34</v>
      </c>
      <c r="E822" t="s">
        <v>393</v>
      </c>
      <c r="G822">
        <v>1</v>
      </c>
      <c r="H822">
        <v>250</v>
      </c>
      <c r="J822" cm="1">
        <f t="array" ref="J822">_xlfn.SWITCH(B822,1,75,2,61,3,49,4,37,5,25,6,13,7,4,8,1)</f>
        <v>49</v>
      </c>
      <c r="K822" t="str" cm="1">
        <f t="array" ref="K822">IFERROR(_xlfn.SWITCH(L822,1,_xlfn.XLOOKUP(C822,[1]AttributeName!$C:$C,[1]AttributeName!$I:$I),2,_xlfn.XLOOKUP(C822,[1]ModifierDes!$B:$B,[1]ModifierDes!$C:$C),3,_xlfn.XLOOKUP(C822,[1]StuntDes!$B:$B,[1]StuntDes!$C:$C)),"")</f>
        <v>法术格挡率增加{0}</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430</v>
      </c>
      <c r="D823" t="s">
        <v>34</v>
      </c>
      <c r="E823" t="s">
        <v>393</v>
      </c>
      <c r="G823">
        <v>1</v>
      </c>
      <c r="H823">
        <v>250</v>
      </c>
      <c r="J823" cm="1">
        <f t="array" ref="J823">_xlfn.SWITCH(B823,1,75,2,61,3,49,4,37,5,25,6,13,7,4,8,1)</f>
        <v>37</v>
      </c>
      <c r="K823" t="str" cm="1">
        <f t="array" ref="K823">IFERROR(_xlfn.SWITCH(L823,1,_xlfn.XLOOKUP(C823,[1]AttributeName!$C:$C,[1]AttributeName!$I:$I),2,_xlfn.XLOOKUP(C823,[1]ModifierDes!$B:$B,[1]ModifierDes!$C:$C),3,_xlfn.XLOOKUP(C823,[1]StuntDes!$B:$B,[1]StuntDes!$C:$C)),"")</f>
        <v>法术格挡率增加{0}</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430</v>
      </c>
      <c r="D824" t="s">
        <v>34</v>
      </c>
      <c r="E824" t="s">
        <v>393</v>
      </c>
      <c r="G824">
        <v>1</v>
      </c>
      <c r="H824">
        <v>250</v>
      </c>
      <c r="J824" cm="1">
        <f t="array" ref="J824">_xlfn.SWITCH(B824,1,75,2,61,3,49,4,37,5,25,6,13,7,4,8,1)</f>
        <v>25</v>
      </c>
      <c r="K824" t="str" cm="1">
        <f t="array" ref="K824">IFERROR(_xlfn.SWITCH(L824,1,_xlfn.XLOOKUP(C824,[1]AttributeName!$C:$C,[1]AttributeName!$I:$I),2,_xlfn.XLOOKUP(C824,[1]ModifierDes!$B:$B,[1]ModifierDes!$C:$C),3,_xlfn.XLOOKUP(C824,[1]StuntDes!$B:$B,[1]StuntDes!$C:$C)),"")</f>
        <v>法术格挡率增加{0}</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430</v>
      </c>
      <c r="D825" t="s">
        <v>34</v>
      </c>
      <c r="E825" t="s">
        <v>393</v>
      </c>
      <c r="G825">
        <v>1</v>
      </c>
      <c r="H825">
        <v>250</v>
      </c>
      <c r="J825" cm="1">
        <f t="array" ref="J825">_xlfn.SWITCH(B825,1,75,2,61,3,49,4,37,5,25,6,13,7,4,8,1)</f>
        <v>13</v>
      </c>
      <c r="K825" t="str" cm="1">
        <f t="array" ref="K825">IFERROR(_xlfn.SWITCH(L825,1,_xlfn.XLOOKUP(C825,[1]AttributeName!$C:$C,[1]AttributeName!$I:$I),2,_xlfn.XLOOKUP(C825,[1]ModifierDes!$B:$B,[1]ModifierDes!$C:$C),3,_xlfn.XLOOKUP(C825,[1]StuntDes!$B:$B,[1]StuntDes!$C:$C)),"")</f>
        <v>法术格挡率增加{0}</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430</v>
      </c>
      <c r="D826" t="s">
        <v>34</v>
      </c>
      <c r="E826" t="s">
        <v>393</v>
      </c>
      <c r="G826">
        <v>1</v>
      </c>
      <c r="H826">
        <v>250</v>
      </c>
      <c r="J826" cm="1">
        <f t="array" ref="J826">_xlfn.SWITCH(B826,1,75,2,61,3,49,4,37,5,25,6,13,7,4,8,1)</f>
        <v>4</v>
      </c>
      <c r="K826" t="str" cm="1">
        <f t="array" ref="K826">IFERROR(_xlfn.SWITCH(L826,1,_xlfn.XLOOKUP(C826,[1]AttributeName!$C:$C,[1]AttributeName!$I:$I),2,_xlfn.XLOOKUP(C826,[1]ModifierDes!$B:$B,[1]ModifierDes!$C:$C),3,_xlfn.XLOOKUP(C826,[1]StuntDes!$B:$B,[1]StuntDes!$C:$C)),"")</f>
        <v>法术格挡率增加{0}</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430</v>
      </c>
      <c r="D827" t="s">
        <v>34</v>
      </c>
      <c r="E827" t="s">
        <v>393</v>
      </c>
      <c r="G827">
        <v>1</v>
      </c>
      <c r="H827">
        <v>250</v>
      </c>
      <c r="J827" cm="1">
        <f t="array" ref="J827">_xlfn.SWITCH(B827,1,75,2,61,3,49,4,37,5,25,6,13,7,4,8,1)</f>
        <v>1</v>
      </c>
      <c r="K827" t="str" cm="1">
        <f t="array" ref="K827">IFERROR(_xlfn.SWITCH(L827,1,_xlfn.XLOOKUP(C827,[1]AttributeName!$C:$C,[1]AttributeName!$I:$I),2,_xlfn.XLOOKUP(C827,[1]ModifierDes!$B:$B,[1]ModifierDes!$C:$C),3,_xlfn.XLOOKUP(C827,[1]StuntDes!$B:$B,[1]StuntDes!$C:$C)),"")</f>
        <v>法术格挡率增加{0}</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94</v>
      </c>
      <c r="D828" t="s">
        <v>34</v>
      </c>
      <c r="E828" t="s">
        <v>393</v>
      </c>
      <c r="F828"/>
      <c r="G828">
        <v>1</v>
      </c>
      <c r="H828">
        <v>1000</v>
      </c>
      <c r="J828" cm="1">
        <f t="array" ref="J828">_xlfn.SWITCH(B828,1,75,2,61,3,49,4,37,5,25,6,13,7,4,8,1)</f>
        <v>75</v>
      </c>
      <c r="K828" t="str" cm="1">
        <f t="array" ref="K828">IFERROR(_xlfn.SWITCH(L828,1,_xlfn.XLOOKUP(C828,[1]AttributeName!$C:$C,[1]AttributeName!$I:$I),2,_xlfn.XLOOKUP(C828,[1]ModifierDes!$B:$B,[1]ModifierDes!$C:$C),3,_xlfn.XLOOKUP(C828,[1]StuntDes!$B:$B,[1]StuntDes!$C:$C)),"")</f>
        <v>装备稀有度增加{0}</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94</v>
      </c>
      <c r="D829" t="s">
        <v>34</v>
      </c>
      <c r="E829" t="s">
        <v>393</v>
      </c>
      <c r="F829"/>
      <c r="G829">
        <v>1</v>
      </c>
      <c r="H829">
        <v>1000</v>
      </c>
      <c r="J829" cm="1">
        <f t="array" ref="J829">_xlfn.SWITCH(B829,1,75,2,61,3,49,4,37,5,25,6,13,7,4,8,1)</f>
        <v>61</v>
      </c>
      <c r="K829" t="str" cm="1">
        <f t="array" ref="K829">IFERROR(_xlfn.SWITCH(L829,1,_xlfn.XLOOKUP(C829,[1]AttributeName!$C:$C,[1]AttributeName!$I:$I),2,_xlfn.XLOOKUP(C829,[1]ModifierDes!$B:$B,[1]ModifierDes!$C:$C),3,_xlfn.XLOOKUP(C829,[1]StuntDes!$B:$B,[1]StuntDes!$C:$C)),"")</f>
        <v>装备稀有度增加{0}</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94</v>
      </c>
      <c r="D830" t="s">
        <v>34</v>
      </c>
      <c r="E830" t="s">
        <v>393</v>
      </c>
      <c r="F830"/>
      <c r="G830">
        <v>1</v>
      </c>
      <c r="H830">
        <v>1000</v>
      </c>
      <c r="J830" cm="1">
        <f t="array" ref="J830">_xlfn.SWITCH(B830,1,75,2,61,3,49,4,37,5,25,6,13,7,4,8,1)</f>
        <v>49</v>
      </c>
      <c r="K830" t="str" cm="1">
        <f t="array" ref="K830">IFERROR(_xlfn.SWITCH(L830,1,_xlfn.XLOOKUP(C830,[1]AttributeName!$C:$C,[1]AttributeName!$I:$I),2,_xlfn.XLOOKUP(C830,[1]ModifierDes!$B:$B,[1]ModifierDes!$C:$C),3,_xlfn.XLOOKUP(C830,[1]StuntDes!$B:$B,[1]StuntDes!$C:$C)),"")</f>
        <v>装备稀有度增加{0}</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94</v>
      </c>
      <c r="D831" t="s">
        <v>34</v>
      </c>
      <c r="E831" t="s">
        <v>393</v>
      </c>
      <c r="F831"/>
      <c r="G831">
        <v>1</v>
      </c>
      <c r="H831">
        <v>1000</v>
      </c>
      <c r="J831" cm="1">
        <f t="array" ref="J831">_xlfn.SWITCH(B831,1,75,2,61,3,49,4,37,5,25,6,13,7,4,8,1)</f>
        <v>37</v>
      </c>
      <c r="K831" t="str" cm="1">
        <f t="array" ref="K831">IFERROR(_xlfn.SWITCH(L831,1,_xlfn.XLOOKUP(C831,[1]AttributeName!$C:$C,[1]AttributeName!$I:$I),2,_xlfn.XLOOKUP(C831,[1]ModifierDes!$B:$B,[1]ModifierDes!$C:$C),3,_xlfn.XLOOKUP(C831,[1]StuntDes!$B:$B,[1]StuntDes!$C:$C)),"")</f>
        <v>装备稀有度增加{0}</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94</v>
      </c>
      <c r="D832" t="s">
        <v>34</v>
      </c>
      <c r="E832" t="s">
        <v>393</v>
      </c>
      <c r="F832"/>
      <c r="G832">
        <v>1</v>
      </c>
      <c r="H832">
        <v>1000</v>
      </c>
      <c r="J832" cm="1">
        <f t="array" ref="J832">_xlfn.SWITCH(B832,1,75,2,61,3,49,4,37,5,25,6,13,7,4,8,1)</f>
        <v>25</v>
      </c>
      <c r="K832" t="str" cm="1">
        <f t="array" ref="K832">IFERROR(_xlfn.SWITCH(L832,1,_xlfn.XLOOKUP(C832,[1]AttributeName!$C:$C,[1]AttributeName!$I:$I),2,_xlfn.XLOOKUP(C832,[1]ModifierDes!$B:$B,[1]ModifierDes!$C:$C),3,_xlfn.XLOOKUP(C832,[1]StuntDes!$B:$B,[1]StuntDes!$C:$C)),"")</f>
        <v>装备稀有度增加{0}</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94</v>
      </c>
      <c r="D833" t="s">
        <v>34</v>
      </c>
      <c r="E833" t="s">
        <v>393</v>
      </c>
      <c r="F833"/>
      <c r="G833">
        <v>1</v>
      </c>
      <c r="H833">
        <v>1000</v>
      </c>
      <c r="J833" cm="1">
        <f t="array" ref="J833">_xlfn.SWITCH(B833,1,75,2,61,3,49,4,37,5,25,6,13,7,4,8,1)</f>
        <v>13</v>
      </c>
      <c r="K833" t="str" cm="1">
        <f t="array" ref="K833">IFERROR(_xlfn.SWITCH(L833,1,_xlfn.XLOOKUP(C833,[1]AttributeName!$C:$C,[1]AttributeName!$I:$I),2,_xlfn.XLOOKUP(C833,[1]ModifierDes!$B:$B,[1]ModifierDes!$C:$C),3,_xlfn.XLOOKUP(C833,[1]StuntDes!$B:$B,[1]StuntDes!$C:$C)),"")</f>
        <v>装备稀有度增加{0}</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94</v>
      </c>
      <c r="D834" t="s">
        <v>34</v>
      </c>
      <c r="E834" t="s">
        <v>393</v>
      </c>
      <c r="F834"/>
      <c r="G834">
        <v>1</v>
      </c>
      <c r="H834">
        <v>1000</v>
      </c>
      <c r="J834" cm="1">
        <f t="array" ref="J834">_xlfn.SWITCH(B834,1,75,2,61,3,49,4,37,5,25,6,13,7,4,8,1)</f>
        <v>4</v>
      </c>
      <c r="K834" t="str" cm="1">
        <f t="array" ref="K834">IFERROR(_xlfn.SWITCH(L834,1,_xlfn.XLOOKUP(C834,[1]AttributeName!$C:$C,[1]AttributeName!$I:$I),2,_xlfn.XLOOKUP(C834,[1]ModifierDes!$B:$B,[1]ModifierDes!$C:$C),3,_xlfn.XLOOKUP(C834,[1]StuntDes!$B:$B,[1]StuntDes!$C:$C)),"")</f>
        <v>装备稀有度增加{0}</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94</v>
      </c>
      <c r="D835" t="s">
        <v>34</v>
      </c>
      <c r="E835" t="s">
        <v>393</v>
      </c>
      <c r="F835"/>
      <c r="G835">
        <v>1</v>
      </c>
      <c r="H835">
        <v>1000</v>
      </c>
      <c r="J835" cm="1">
        <f t="array" ref="J835">_xlfn.SWITCH(B835,1,75,2,61,3,49,4,37,5,25,6,13,7,4,8,1)</f>
        <v>1</v>
      </c>
      <c r="K835" t="str" cm="1">
        <f t="array" ref="K835">IFERROR(_xlfn.SWITCH(L835,1,_xlfn.XLOOKUP(C835,[1]AttributeName!$C:$C,[1]AttributeName!$I:$I),2,_xlfn.XLOOKUP(C835,[1]ModifierDes!$B:$B,[1]ModifierDes!$C:$C),3,_xlfn.XLOOKUP(C835,[1]StuntDes!$B:$B,[1]StuntDes!$C:$C)),"")</f>
        <v>装备稀有度增加{0}</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447</v>
      </c>
      <c r="D836" t="s">
        <v>34</v>
      </c>
      <c r="E836" t="s">
        <v>393</v>
      </c>
      <c r="F836"/>
      <c r="G836">
        <v>1</v>
      </c>
      <c r="H836">
        <v>1000</v>
      </c>
      <c r="I836"/>
      <c r="J836" cm="1">
        <f t="array" ref="J836">_xlfn.SWITCH(B836,1,75,2,61,3,49,4,37,5,25,6,13,7,4,8,1)</f>
        <v>75</v>
      </c>
      <c r="K836" t="str" cm="1">
        <f t="array" ref="K836">IFERROR(_xlfn.SWITCH(L836,1,_xlfn.XLOOKUP(C836,[1]AttributeName!$C:$C,[1]AttributeName!$I:$I),2,_xlfn.XLOOKUP(C836,[1]ModifierDes!$B:$B,[1]ModifierDes!$C:$C),3,_xlfn.XLOOKUP(C836,[1]StuntDes!$B:$B,[1]StuntDes!$C:$C)),"")</f>
        <v>移速提高增加{0}</v>
      </c>
      <c r="L836">
        <f t="shared" si="72"/>
        <v>1</v>
      </c>
      <c r="M836" s="10" t="str">
        <f>IFERROR(_xlfn.XLOOKUP(C836,[1]StuntDes!$B:$B,[1]StuntDes!$A:$A),"")</f>
        <v/>
      </c>
      <c r="N836" s="10" t="str">
        <f>IFERROR(_xlfn.XLOOKUP(C836,[1]ModifierDes!$B:$B,[1]ModifierDes!$A:$A),"")</f>
        <v/>
      </c>
      <c r="O836" s="10">
        <f>IFERROR(_xlfn.XLOOKUP(C836,[1]AttributeName!$C:$C,[1]AttributeName!$B:$B),"")</f>
        <v>10007</v>
      </c>
      <c r="P836" s="10"/>
      <c r="Q836">
        <v>0.21</v>
      </c>
      <c r="R836">
        <v>0.3</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f t="shared" si="73"/>
        <v>407</v>
      </c>
      <c r="B837">
        <v>2</v>
      </c>
      <c r="C837" t="s">
        <v>447</v>
      </c>
      <c r="D837" t="s">
        <v>34</v>
      </c>
      <c r="E837" t="s">
        <v>393</v>
      </c>
      <c r="F837"/>
      <c r="G837">
        <v>1</v>
      </c>
      <c r="H837">
        <v>1000</v>
      </c>
      <c r="I837"/>
      <c r="J837" cm="1">
        <f t="array" ref="J837">_xlfn.SWITCH(B837,1,75,2,61,3,49,4,37,5,25,6,13,7,4,8,1)</f>
        <v>61</v>
      </c>
      <c r="K837" t="str" cm="1">
        <f t="array" ref="K837">IFERROR(_xlfn.SWITCH(L837,1,_xlfn.XLOOKUP(C837,[1]AttributeName!$C:$C,[1]AttributeName!$I:$I),2,_xlfn.XLOOKUP(C837,[1]ModifierDes!$B:$B,[1]ModifierDes!$C:$C),3,_xlfn.XLOOKUP(C837,[1]StuntDes!$B:$B,[1]StuntDes!$C:$C)),"")</f>
        <v>移速提高增加{0}</v>
      </c>
      <c r="L837">
        <f t="shared" si="72"/>
        <v>1</v>
      </c>
      <c r="M837" s="10" t="str">
        <f>IFERROR(_xlfn.XLOOKUP(C837,[1]StuntDes!$B:$B,[1]StuntDes!$A:$A),"")</f>
        <v/>
      </c>
      <c r="N837" s="10" t="str">
        <f>IFERROR(_xlfn.XLOOKUP(C837,[1]ModifierDes!$B:$B,[1]ModifierDes!$A:$A),"")</f>
        <v/>
      </c>
      <c r="O837" s="10">
        <f>IFERROR(_xlfn.XLOOKUP(C837,[1]AttributeName!$C:$C,[1]AttributeName!$B:$B),"")</f>
        <v>10007</v>
      </c>
      <c r="P837" s="10"/>
      <c r="Q837">
        <v>0.2</v>
      </c>
      <c r="R837">
        <v>0.2</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f t="shared" si="73"/>
        <v>407</v>
      </c>
      <c r="B838">
        <v>3</v>
      </c>
      <c r="C838" t="s">
        <v>447</v>
      </c>
      <c r="D838" t="s">
        <v>34</v>
      </c>
      <c r="E838" t="s">
        <v>393</v>
      </c>
      <c r="F838"/>
      <c r="G838">
        <v>1</v>
      </c>
      <c r="H838">
        <v>1000</v>
      </c>
      <c r="I838"/>
      <c r="J838" cm="1">
        <f t="array" ref="J838">_xlfn.SWITCH(B838,1,75,2,61,3,49,4,37,5,25,6,13,7,4,8,1)</f>
        <v>49</v>
      </c>
      <c r="K838" t="str" cm="1">
        <f t="array" ref="K838">IFERROR(_xlfn.SWITCH(L838,1,_xlfn.XLOOKUP(C838,[1]AttributeName!$C:$C,[1]AttributeName!$I:$I),2,_xlfn.XLOOKUP(C838,[1]ModifierDes!$B:$B,[1]ModifierDes!$C:$C),3,_xlfn.XLOOKUP(C838,[1]StuntDes!$B:$B,[1]StuntDes!$C:$C)),"")</f>
        <v>移速提高增加{0}</v>
      </c>
      <c r="L838">
        <f t="shared" si="72"/>
        <v>1</v>
      </c>
      <c r="M838" s="10" t="str">
        <f>IFERROR(_xlfn.XLOOKUP(C838,[1]StuntDes!$B:$B,[1]StuntDes!$A:$A),"")</f>
        <v/>
      </c>
      <c r="N838" s="10" t="str">
        <f>IFERROR(_xlfn.XLOOKUP(C838,[1]ModifierDes!$B:$B,[1]ModifierDes!$A:$A),"")</f>
        <v/>
      </c>
      <c r="O838" s="10">
        <f>IFERROR(_xlfn.XLOOKUP(C838,[1]AttributeName!$C:$C,[1]AttributeName!$B:$B),"")</f>
        <v>10007</v>
      </c>
      <c r="P838" s="10"/>
      <c r="Q838">
        <v>0.17</v>
      </c>
      <c r="R838">
        <v>0.17</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f t="shared" si="73"/>
        <v>407</v>
      </c>
      <c r="B839">
        <v>4</v>
      </c>
      <c r="C839" t="s">
        <v>447</v>
      </c>
      <c r="D839" t="s">
        <v>34</v>
      </c>
      <c r="E839" t="s">
        <v>393</v>
      </c>
      <c r="F839"/>
      <c r="G839">
        <v>1</v>
      </c>
      <c r="H839">
        <v>1000</v>
      </c>
      <c r="I839"/>
      <c r="J839" cm="1">
        <f t="array" ref="J839">_xlfn.SWITCH(B839,1,75,2,61,3,49,4,37,5,25,6,13,7,4,8,1)</f>
        <v>37</v>
      </c>
      <c r="K839" t="str" cm="1">
        <f t="array" ref="K839">IFERROR(_xlfn.SWITCH(L839,1,_xlfn.XLOOKUP(C839,[1]AttributeName!$C:$C,[1]AttributeName!$I:$I),2,_xlfn.XLOOKUP(C839,[1]ModifierDes!$B:$B,[1]ModifierDes!$C:$C),3,_xlfn.XLOOKUP(C839,[1]StuntDes!$B:$B,[1]StuntDes!$C:$C)),"")</f>
        <v>移速提高增加{0}</v>
      </c>
      <c r="L839">
        <f t="shared" si="72"/>
        <v>1</v>
      </c>
      <c r="M839" s="10" t="str">
        <f>IFERROR(_xlfn.XLOOKUP(C839,[1]StuntDes!$B:$B,[1]StuntDes!$A:$A),"")</f>
        <v/>
      </c>
      <c r="N839" s="10" t="str">
        <f>IFERROR(_xlfn.XLOOKUP(C839,[1]ModifierDes!$B:$B,[1]ModifierDes!$A:$A),"")</f>
        <v/>
      </c>
      <c r="O839" s="10">
        <f>IFERROR(_xlfn.XLOOKUP(C839,[1]AttributeName!$C:$C,[1]AttributeName!$B:$B),"")</f>
        <v>10007</v>
      </c>
      <c r="P839" s="10"/>
      <c r="Q839">
        <v>0.14</v>
      </c>
      <c r="R839">
        <v>0.14</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f t="shared" si="73"/>
        <v>407</v>
      </c>
      <c r="B840">
        <v>5</v>
      </c>
      <c r="C840" t="s">
        <v>447</v>
      </c>
      <c r="D840" t="s">
        <v>34</v>
      </c>
      <c r="E840" t="s">
        <v>393</v>
      </c>
      <c r="F840"/>
      <c r="G840">
        <v>1</v>
      </c>
      <c r="H840">
        <v>1000</v>
      </c>
      <c r="I840"/>
      <c r="J840" cm="1">
        <f t="array" ref="J840">_xlfn.SWITCH(B840,1,75,2,61,3,49,4,37,5,25,6,13,7,4,8,1)</f>
        <v>25</v>
      </c>
      <c r="K840" t="str" cm="1">
        <f t="array" ref="K840">IFERROR(_xlfn.SWITCH(L840,1,_xlfn.XLOOKUP(C840,[1]AttributeName!$C:$C,[1]AttributeName!$I:$I),2,_xlfn.XLOOKUP(C840,[1]ModifierDes!$B:$B,[1]ModifierDes!$C:$C),3,_xlfn.XLOOKUP(C840,[1]StuntDes!$B:$B,[1]StuntDes!$C:$C)),"")</f>
        <v>移速提高增加{0}</v>
      </c>
      <c r="L840">
        <f t="shared" si="72"/>
        <v>1</v>
      </c>
      <c r="M840" s="10" t="str">
        <f>IFERROR(_xlfn.XLOOKUP(C840,[1]StuntDes!$B:$B,[1]StuntDes!$A:$A),"")</f>
        <v/>
      </c>
      <c r="N840" s="10" t="str">
        <f>IFERROR(_xlfn.XLOOKUP(C840,[1]ModifierDes!$B:$B,[1]ModifierDes!$A:$A),"")</f>
        <v/>
      </c>
      <c r="O840" s="10">
        <f>IFERROR(_xlfn.XLOOKUP(C840,[1]AttributeName!$C:$C,[1]AttributeName!$B:$B),"")</f>
        <v>10007</v>
      </c>
      <c r="P840" s="10"/>
      <c r="Q840">
        <v>0.11</v>
      </c>
      <c r="R840">
        <v>0.11</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f t="shared" si="73"/>
        <v>407</v>
      </c>
      <c r="B841">
        <v>6</v>
      </c>
      <c r="C841" t="s">
        <v>447</v>
      </c>
      <c r="D841" t="s">
        <v>34</v>
      </c>
      <c r="E841" t="s">
        <v>393</v>
      </c>
      <c r="F841"/>
      <c r="G841">
        <v>1</v>
      </c>
      <c r="H841">
        <v>1000</v>
      </c>
      <c r="I841"/>
      <c r="J841" cm="1">
        <f t="array" ref="J841">_xlfn.SWITCH(B841,1,75,2,61,3,49,4,37,5,25,6,13,7,4,8,1)</f>
        <v>13</v>
      </c>
      <c r="K841" t="str" cm="1">
        <f t="array" ref="K841">IFERROR(_xlfn.SWITCH(L841,1,_xlfn.XLOOKUP(C841,[1]AttributeName!$C:$C,[1]AttributeName!$I:$I),2,_xlfn.XLOOKUP(C841,[1]ModifierDes!$B:$B,[1]ModifierDes!$C:$C),3,_xlfn.XLOOKUP(C841,[1]StuntDes!$B:$B,[1]StuntDes!$C:$C)),"")</f>
        <v>移速提高增加{0}</v>
      </c>
      <c r="L841">
        <f t="shared" si="72"/>
        <v>1</v>
      </c>
      <c r="M841" s="10" t="str">
        <f>IFERROR(_xlfn.XLOOKUP(C841,[1]StuntDes!$B:$B,[1]StuntDes!$A:$A),"")</f>
        <v/>
      </c>
      <c r="N841" s="10" t="str">
        <f>IFERROR(_xlfn.XLOOKUP(C841,[1]ModifierDes!$B:$B,[1]ModifierDes!$A:$A),"")</f>
        <v/>
      </c>
      <c r="O841" s="10">
        <f>IFERROR(_xlfn.XLOOKUP(C841,[1]AttributeName!$C:$C,[1]AttributeName!$B:$B),"")</f>
        <v>10007</v>
      </c>
      <c r="P841" s="10"/>
      <c r="Q841">
        <v>0.08</v>
      </c>
      <c r="R841">
        <v>0.08</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f t="shared" si="73"/>
        <v>407</v>
      </c>
      <c r="B842">
        <v>7</v>
      </c>
      <c r="C842" t="s">
        <v>447</v>
      </c>
      <c r="D842" t="s">
        <v>34</v>
      </c>
      <c r="E842" t="s">
        <v>393</v>
      </c>
      <c r="F842"/>
      <c r="G842">
        <v>1</v>
      </c>
      <c r="H842">
        <v>1000</v>
      </c>
      <c r="I842"/>
      <c r="J842" cm="1">
        <f t="array" ref="J842">_xlfn.SWITCH(B842,1,75,2,61,3,49,4,37,5,25,6,13,7,4,8,1)</f>
        <v>4</v>
      </c>
      <c r="K842" t="str" cm="1">
        <f t="array" ref="K842">IFERROR(_xlfn.SWITCH(L842,1,_xlfn.XLOOKUP(C842,[1]AttributeName!$C:$C,[1]AttributeName!$I:$I),2,_xlfn.XLOOKUP(C842,[1]ModifierDes!$B:$B,[1]ModifierDes!$C:$C),3,_xlfn.XLOOKUP(C842,[1]StuntDes!$B:$B,[1]StuntDes!$C:$C)),"")</f>
        <v>移速提高增加{0}</v>
      </c>
      <c r="L842">
        <f t="shared" si="72"/>
        <v>1</v>
      </c>
      <c r="M842" s="10" t="str">
        <f>IFERROR(_xlfn.XLOOKUP(C842,[1]StuntDes!$B:$B,[1]StuntDes!$A:$A),"")</f>
        <v/>
      </c>
      <c r="N842" s="10" t="str">
        <f>IFERROR(_xlfn.XLOOKUP(C842,[1]ModifierDes!$B:$B,[1]ModifierDes!$A:$A),"")</f>
        <v/>
      </c>
      <c r="O842" s="10">
        <f>IFERROR(_xlfn.XLOOKUP(C842,[1]AttributeName!$C:$C,[1]AttributeName!$B:$B),"")</f>
        <v>10007</v>
      </c>
      <c r="P842" s="10"/>
      <c r="Q842">
        <v>0.05</v>
      </c>
      <c r="R842">
        <v>0.05</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f t="shared" si="73"/>
        <v>407</v>
      </c>
      <c r="B843">
        <v>8</v>
      </c>
      <c r="C843" t="s">
        <v>447</v>
      </c>
      <c r="D843" t="s">
        <v>34</v>
      </c>
      <c r="E843" t="s">
        <v>393</v>
      </c>
      <c r="F843"/>
      <c r="G843">
        <v>1</v>
      </c>
      <c r="H843">
        <v>1000</v>
      </c>
      <c r="I843"/>
      <c r="J843" cm="1">
        <f t="array" ref="J843">_xlfn.SWITCH(B843,1,75,2,61,3,49,4,37,5,25,6,13,7,4,8,1)</f>
        <v>1</v>
      </c>
      <c r="K843" t="str" cm="1">
        <f t="array" ref="K843">IFERROR(_xlfn.SWITCH(L843,1,_xlfn.XLOOKUP(C843,[1]AttributeName!$C:$C,[1]AttributeName!$I:$I),2,_xlfn.XLOOKUP(C843,[1]ModifierDes!$B:$B,[1]ModifierDes!$C:$C),3,_xlfn.XLOOKUP(C843,[1]StuntDes!$B:$B,[1]StuntDes!$C:$C)),"")</f>
        <v>移速提高增加{0}</v>
      </c>
      <c r="L843">
        <f t="shared" si="72"/>
        <v>1</v>
      </c>
      <c r="M843" s="10" t="str">
        <f>IFERROR(_xlfn.XLOOKUP(C843,[1]StuntDes!$B:$B,[1]StuntDes!$A:$A),"")</f>
        <v/>
      </c>
      <c r="N843" s="10" t="str">
        <f>IFERROR(_xlfn.XLOOKUP(C843,[1]ModifierDes!$B:$B,[1]ModifierDes!$A:$A),"")</f>
        <v/>
      </c>
      <c r="O843" s="10">
        <f>IFERROR(_xlfn.XLOOKUP(C843,[1]AttributeName!$C:$C,[1]AttributeName!$B:$B),"")</f>
        <v>10007</v>
      </c>
      <c r="P843" s="10"/>
      <c r="Q843">
        <v>0.02</v>
      </c>
      <c r="R843">
        <v>0.02</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v>451</v>
      </c>
      <c r="B844">
        <v>1</v>
      </c>
      <c r="C844" t="s">
        <v>437</v>
      </c>
      <c r="D844" t="s">
        <v>34</v>
      </c>
      <c r="E844" t="s">
        <v>410</v>
      </c>
      <c r="F844"/>
      <c r="G844">
        <v>2</v>
      </c>
      <c r="H844">
        <v>1000</v>
      </c>
      <c r="J844" cm="1">
        <f t="array" ref="J844">_xlfn.SWITCH(B844,1,75,2,61,3,49,4,37,5,25,6,13,7,4,8,1)</f>
        <v>75</v>
      </c>
      <c r="K844" t="str" cm="1">
        <f t="array" ref="K844">IFERROR(_xlfn.SWITCH(L844,1,_xlfn.XLOOKUP(C844,[1]AttributeName!$C:$C,[1]AttributeName!$I:$I),2,_xlfn.XLOOKUP(C844,[1]ModifierDes!$B:$B,[1]ModifierDes!$C:$C),3,_xlfn.XLOOKUP(C844,[1]StuntDes!$B:$B,[1]StuntDes!$C:$C)),"")</f>
        <v>物理抗性增加{0}</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437</v>
      </c>
      <c r="D845" t="s">
        <v>34</v>
      </c>
      <c r="E845" t="s">
        <v>410</v>
      </c>
      <c r="F845"/>
      <c r="G845">
        <v>2</v>
      </c>
      <c r="H845">
        <v>1000</v>
      </c>
      <c r="J845" cm="1">
        <f t="array" ref="J845">_xlfn.SWITCH(B845,1,75,2,61,3,49,4,37,5,25,6,13,7,4,8,1)</f>
        <v>61</v>
      </c>
      <c r="K845" t="str" cm="1">
        <f t="array" ref="K845">IFERROR(_xlfn.SWITCH(L845,1,_xlfn.XLOOKUP(C845,[1]AttributeName!$C:$C,[1]AttributeName!$I:$I),2,_xlfn.XLOOKUP(C845,[1]ModifierDes!$B:$B,[1]ModifierDes!$C:$C),3,_xlfn.XLOOKUP(C845,[1]StuntDes!$B:$B,[1]StuntDes!$C:$C)),"")</f>
        <v>物理抗性增加{0}</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437</v>
      </c>
      <c r="D846" t="s">
        <v>34</v>
      </c>
      <c r="E846" t="s">
        <v>410</v>
      </c>
      <c r="F846"/>
      <c r="G846">
        <v>2</v>
      </c>
      <c r="H846">
        <v>1000</v>
      </c>
      <c r="J846" cm="1">
        <f t="array" ref="J846">_xlfn.SWITCH(B846,1,75,2,61,3,49,4,37,5,25,6,13,7,4,8,1)</f>
        <v>49</v>
      </c>
      <c r="K846" t="str" cm="1">
        <f t="array" ref="K846">IFERROR(_xlfn.SWITCH(L846,1,_xlfn.XLOOKUP(C846,[1]AttributeName!$C:$C,[1]AttributeName!$I:$I),2,_xlfn.XLOOKUP(C846,[1]ModifierDes!$B:$B,[1]ModifierDes!$C:$C),3,_xlfn.XLOOKUP(C846,[1]StuntDes!$B:$B,[1]StuntDes!$C:$C)),"")</f>
        <v>物理抗性增加{0}</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437</v>
      </c>
      <c r="D847" t="s">
        <v>34</v>
      </c>
      <c r="E847" t="s">
        <v>410</v>
      </c>
      <c r="F847"/>
      <c r="G847">
        <v>2</v>
      </c>
      <c r="H847">
        <v>1000</v>
      </c>
      <c r="J847" cm="1">
        <f t="array" ref="J847">_xlfn.SWITCH(B847,1,75,2,61,3,49,4,37,5,25,6,13,7,4,8,1)</f>
        <v>37</v>
      </c>
      <c r="K847" t="str" cm="1">
        <f t="array" ref="K847">IFERROR(_xlfn.SWITCH(L847,1,_xlfn.XLOOKUP(C847,[1]AttributeName!$C:$C,[1]AttributeName!$I:$I),2,_xlfn.XLOOKUP(C847,[1]ModifierDes!$B:$B,[1]ModifierDes!$C:$C),3,_xlfn.XLOOKUP(C847,[1]StuntDes!$B:$B,[1]StuntDes!$C:$C)),"")</f>
        <v>物理抗性增加{0}</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437</v>
      </c>
      <c r="D848" t="s">
        <v>34</v>
      </c>
      <c r="E848" t="s">
        <v>410</v>
      </c>
      <c r="F848"/>
      <c r="G848">
        <v>2</v>
      </c>
      <c r="H848">
        <v>1000</v>
      </c>
      <c r="J848" cm="1">
        <f t="array" ref="J848">_xlfn.SWITCH(B848,1,75,2,61,3,49,4,37,5,25,6,13,7,4,8,1)</f>
        <v>25</v>
      </c>
      <c r="K848" t="str" cm="1">
        <f t="array" ref="K848">IFERROR(_xlfn.SWITCH(L848,1,_xlfn.XLOOKUP(C848,[1]AttributeName!$C:$C,[1]AttributeName!$I:$I),2,_xlfn.XLOOKUP(C848,[1]ModifierDes!$B:$B,[1]ModifierDes!$C:$C),3,_xlfn.XLOOKUP(C848,[1]StuntDes!$B:$B,[1]StuntDes!$C:$C)),"")</f>
        <v>物理抗性增加{0}</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437</v>
      </c>
      <c r="D849" t="s">
        <v>34</v>
      </c>
      <c r="E849" t="s">
        <v>410</v>
      </c>
      <c r="F849"/>
      <c r="G849">
        <v>2</v>
      </c>
      <c r="H849">
        <v>1000</v>
      </c>
      <c r="J849" cm="1">
        <f t="array" ref="J849">_xlfn.SWITCH(B849,1,75,2,61,3,49,4,37,5,25,6,13,7,4,8,1)</f>
        <v>13</v>
      </c>
      <c r="K849" t="str" cm="1">
        <f t="array" ref="K849">IFERROR(_xlfn.SWITCH(L849,1,_xlfn.XLOOKUP(C849,[1]AttributeName!$C:$C,[1]AttributeName!$I:$I),2,_xlfn.XLOOKUP(C849,[1]ModifierDes!$B:$B,[1]ModifierDes!$C:$C),3,_xlfn.XLOOKUP(C849,[1]StuntDes!$B:$B,[1]StuntDes!$C:$C)),"")</f>
        <v>物理抗性增加{0}</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437</v>
      </c>
      <c r="D850" t="s">
        <v>34</v>
      </c>
      <c r="E850" t="s">
        <v>410</v>
      </c>
      <c r="F850"/>
      <c r="G850">
        <v>2</v>
      </c>
      <c r="H850">
        <v>1000</v>
      </c>
      <c r="J850" cm="1">
        <f t="array" ref="J850">_xlfn.SWITCH(B850,1,75,2,61,3,49,4,37,5,25,6,13,7,4,8,1)</f>
        <v>4</v>
      </c>
      <c r="K850" t="str" cm="1">
        <f t="array" ref="K850">IFERROR(_xlfn.SWITCH(L850,1,_xlfn.XLOOKUP(C850,[1]AttributeName!$C:$C,[1]AttributeName!$I:$I),2,_xlfn.XLOOKUP(C850,[1]ModifierDes!$B:$B,[1]ModifierDes!$C:$C),3,_xlfn.XLOOKUP(C850,[1]StuntDes!$B:$B,[1]StuntDes!$C:$C)),"")</f>
        <v>物理抗性增加{0}</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437</v>
      </c>
      <c r="D851" t="s">
        <v>34</v>
      </c>
      <c r="E851" t="s">
        <v>410</v>
      </c>
      <c r="F851"/>
      <c r="G851">
        <v>2</v>
      </c>
      <c r="H851">
        <v>1000</v>
      </c>
      <c r="J851" cm="1">
        <f t="array" ref="J851">_xlfn.SWITCH(B851,1,75,2,61,3,49,4,37,5,25,6,13,7,4,8,1)</f>
        <v>1</v>
      </c>
      <c r="K851" t="str" cm="1">
        <f t="array" ref="K851">IFERROR(_xlfn.SWITCH(L851,1,_xlfn.XLOOKUP(C851,[1]AttributeName!$C:$C,[1]AttributeName!$I:$I),2,_xlfn.XLOOKUP(C851,[1]ModifierDes!$B:$B,[1]ModifierDes!$C:$C),3,_xlfn.XLOOKUP(C851,[1]StuntDes!$B:$B,[1]StuntDes!$C:$C)),"")</f>
        <v>物理抗性增加{0}</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438</v>
      </c>
      <c r="D852" t="s">
        <v>34</v>
      </c>
      <c r="E852" t="s">
        <v>410</v>
      </c>
      <c r="F852"/>
      <c r="G852">
        <v>2</v>
      </c>
      <c r="H852">
        <v>1000</v>
      </c>
      <c r="J852" cm="1">
        <f t="array" ref="J852">_xlfn.SWITCH(B852,1,75,2,61,3,49,4,37,5,25,6,13,7,4,8,1)</f>
        <v>75</v>
      </c>
      <c r="K852" t="str" cm="1">
        <f t="array" ref="K852">IFERROR(_xlfn.SWITCH(L852,1,_xlfn.XLOOKUP(C852,[1]AttributeName!$C:$C,[1]AttributeName!$I:$I),2,_xlfn.XLOOKUP(C852,[1]ModifierDes!$B:$B,[1]ModifierDes!$C:$C),3,_xlfn.XLOOKUP(C852,[1]StuntDes!$B:$B,[1]StuntDes!$C:$C)),"")</f>
        <v>火焰抗性增加{0}</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438</v>
      </c>
      <c r="D853" t="s">
        <v>34</v>
      </c>
      <c r="E853" t="s">
        <v>410</v>
      </c>
      <c r="F853"/>
      <c r="G853">
        <v>2</v>
      </c>
      <c r="H853">
        <v>1000</v>
      </c>
      <c r="J853" cm="1">
        <f t="array" ref="J853">_xlfn.SWITCH(B853,1,75,2,61,3,49,4,37,5,25,6,13,7,4,8,1)</f>
        <v>61</v>
      </c>
      <c r="K853" t="str" cm="1">
        <f t="array" ref="K853">IFERROR(_xlfn.SWITCH(L853,1,_xlfn.XLOOKUP(C853,[1]AttributeName!$C:$C,[1]AttributeName!$I:$I),2,_xlfn.XLOOKUP(C853,[1]ModifierDes!$B:$B,[1]ModifierDes!$C:$C),3,_xlfn.XLOOKUP(C853,[1]StuntDes!$B:$B,[1]StuntDes!$C:$C)),"")</f>
        <v>火焰抗性增加{0}</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438</v>
      </c>
      <c r="D854" t="s">
        <v>34</v>
      </c>
      <c r="E854" t="s">
        <v>410</v>
      </c>
      <c r="F854"/>
      <c r="G854">
        <v>2</v>
      </c>
      <c r="H854">
        <v>1000</v>
      </c>
      <c r="J854" cm="1">
        <f t="array" ref="J854">_xlfn.SWITCH(B854,1,75,2,61,3,49,4,37,5,25,6,13,7,4,8,1)</f>
        <v>49</v>
      </c>
      <c r="K854" t="str" cm="1">
        <f t="array" ref="K854">IFERROR(_xlfn.SWITCH(L854,1,_xlfn.XLOOKUP(C854,[1]AttributeName!$C:$C,[1]AttributeName!$I:$I),2,_xlfn.XLOOKUP(C854,[1]ModifierDes!$B:$B,[1]ModifierDes!$C:$C),3,_xlfn.XLOOKUP(C854,[1]StuntDes!$B:$B,[1]StuntDes!$C:$C)),"")</f>
        <v>火焰抗性增加{0}</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438</v>
      </c>
      <c r="D855" t="s">
        <v>34</v>
      </c>
      <c r="E855" t="s">
        <v>410</v>
      </c>
      <c r="F855"/>
      <c r="G855">
        <v>2</v>
      </c>
      <c r="H855">
        <v>1000</v>
      </c>
      <c r="J855" cm="1">
        <f t="array" ref="J855">_xlfn.SWITCH(B855,1,75,2,61,3,49,4,37,5,25,6,13,7,4,8,1)</f>
        <v>37</v>
      </c>
      <c r="K855" t="str" cm="1">
        <f t="array" ref="K855">IFERROR(_xlfn.SWITCH(L855,1,_xlfn.XLOOKUP(C855,[1]AttributeName!$C:$C,[1]AttributeName!$I:$I),2,_xlfn.XLOOKUP(C855,[1]ModifierDes!$B:$B,[1]ModifierDes!$C:$C),3,_xlfn.XLOOKUP(C855,[1]StuntDes!$B:$B,[1]StuntDes!$C:$C)),"")</f>
        <v>火焰抗性增加{0}</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438</v>
      </c>
      <c r="D856" t="s">
        <v>34</v>
      </c>
      <c r="E856" t="s">
        <v>410</v>
      </c>
      <c r="F856"/>
      <c r="G856">
        <v>2</v>
      </c>
      <c r="H856">
        <v>1000</v>
      </c>
      <c r="J856" cm="1">
        <f t="array" ref="J856">_xlfn.SWITCH(B856,1,75,2,61,3,49,4,37,5,25,6,13,7,4,8,1)</f>
        <v>25</v>
      </c>
      <c r="K856" t="str" cm="1">
        <f t="array" ref="K856">IFERROR(_xlfn.SWITCH(L856,1,_xlfn.XLOOKUP(C856,[1]AttributeName!$C:$C,[1]AttributeName!$I:$I),2,_xlfn.XLOOKUP(C856,[1]ModifierDes!$B:$B,[1]ModifierDes!$C:$C),3,_xlfn.XLOOKUP(C856,[1]StuntDes!$B:$B,[1]StuntDes!$C:$C)),"")</f>
        <v>火焰抗性增加{0}</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438</v>
      </c>
      <c r="D857" t="s">
        <v>34</v>
      </c>
      <c r="E857" t="s">
        <v>410</v>
      </c>
      <c r="F857"/>
      <c r="G857">
        <v>2</v>
      </c>
      <c r="H857">
        <v>1000</v>
      </c>
      <c r="J857" cm="1">
        <f t="array" ref="J857">_xlfn.SWITCH(B857,1,75,2,61,3,49,4,37,5,25,6,13,7,4,8,1)</f>
        <v>13</v>
      </c>
      <c r="K857" t="str" cm="1">
        <f t="array" ref="K857">IFERROR(_xlfn.SWITCH(L857,1,_xlfn.XLOOKUP(C857,[1]AttributeName!$C:$C,[1]AttributeName!$I:$I),2,_xlfn.XLOOKUP(C857,[1]ModifierDes!$B:$B,[1]ModifierDes!$C:$C),3,_xlfn.XLOOKUP(C857,[1]StuntDes!$B:$B,[1]StuntDes!$C:$C)),"")</f>
        <v>火焰抗性增加{0}</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438</v>
      </c>
      <c r="D858" t="s">
        <v>34</v>
      </c>
      <c r="E858" t="s">
        <v>410</v>
      </c>
      <c r="F858"/>
      <c r="G858">
        <v>2</v>
      </c>
      <c r="H858">
        <v>1000</v>
      </c>
      <c r="J858" cm="1">
        <f t="array" ref="J858">_xlfn.SWITCH(B858,1,75,2,61,3,49,4,37,5,25,6,13,7,4,8,1)</f>
        <v>4</v>
      </c>
      <c r="K858" t="str" cm="1">
        <f t="array" ref="K858">IFERROR(_xlfn.SWITCH(L858,1,_xlfn.XLOOKUP(C858,[1]AttributeName!$C:$C,[1]AttributeName!$I:$I),2,_xlfn.XLOOKUP(C858,[1]ModifierDes!$B:$B,[1]ModifierDes!$C:$C),3,_xlfn.XLOOKUP(C858,[1]StuntDes!$B:$B,[1]StuntDes!$C:$C)),"")</f>
        <v>火焰抗性增加{0}</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438</v>
      </c>
      <c r="D859" t="s">
        <v>34</v>
      </c>
      <c r="E859" t="s">
        <v>410</v>
      </c>
      <c r="F859"/>
      <c r="G859">
        <v>2</v>
      </c>
      <c r="H859">
        <v>1000</v>
      </c>
      <c r="J859" cm="1">
        <f t="array" ref="J859">_xlfn.SWITCH(B859,1,75,2,61,3,49,4,37,5,25,6,13,7,4,8,1)</f>
        <v>1</v>
      </c>
      <c r="K859" t="str" cm="1">
        <f t="array" ref="K859">IFERROR(_xlfn.SWITCH(L859,1,_xlfn.XLOOKUP(C859,[1]AttributeName!$C:$C,[1]AttributeName!$I:$I),2,_xlfn.XLOOKUP(C859,[1]ModifierDes!$B:$B,[1]ModifierDes!$C:$C),3,_xlfn.XLOOKUP(C859,[1]StuntDes!$B:$B,[1]StuntDes!$C:$C)),"")</f>
        <v>火焰抗性增加{0}</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439</v>
      </c>
      <c r="D860" t="s">
        <v>34</v>
      </c>
      <c r="E860" t="s">
        <v>410</v>
      </c>
      <c r="F860"/>
      <c r="G860">
        <v>2</v>
      </c>
      <c r="H860">
        <v>1000</v>
      </c>
      <c r="J860" cm="1">
        <f t="array" ref="J860">_xlfn.SWITCH(B860,1,75,2,61,3,49,4,37,5,25,6,13,7,4,8,1)</f>
        <v>75</v>
      </c>
      <c r="K860" t="str" cm="1">
        <f t="array" ref="K860">IFERROR(_xlfn.SWITCH(L860,1,_xlfn.XLOOKUP(C860,[1]AttributeName!$C:$C,[1]AttributeName!$I:$I),2,_xlfn.XLOOKUP(C860,[1]ModifierDes!$B:$B,[1]ModifierDes!$C:$C),3,_xlfn.XLOOKUP(C860,[1]StuntDes!$B:$B,[1]StuntDes!$C:$C)),"")</f>
        <v>冰冷抗性增加{0}</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439</v>
      </c>
      <c r="D861" t="s">
        <v>34</v>
      </c>
      <c r="E861" t="s">
        <v>410</v>
      </c>
      <c r="F861"/>
      <c r="G861">
        <v>2</v>
      </c>
      <c r="H861">
        <v>1000</v>
      </c>
      <c r="J861" cm="1">
        <f t="array" ref="J861">_xlfn.SWITCH(B861,1,75,2,61,3,49,4,37,5,25,6,13,7,4,8,1)</f>
        <v>61</v>
      </c>
      <c r="K861" t="str" cm="1">
        <f t="array" ref="K861">IFERROR(_xlfn.SWITCH(L861,1,_xlfn.XLOOKUP(C861,[1]AttributeName!$C:$C,[1]AttributeName!$I:$I),2,_xlfn.XLOOKUP(C861,[1]ModifierDes!$B:$B,[1]ModifierDes!$C:$C),3,_xlfn.XLOOKUP(C861,[1]StuntDes!$B:$B,[1]StuntDes!$C:$C)),"")</f>
        <v>冰冷抗性增加{0}</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439</v>
      </c>
      <c r="D862" t="s">
        <v>34</v>
      </c>
      <c r="E862" t="s">
        <v>410</v>
      </c>
      <c r="F862"/>
      <c r="G862">
        <v>2</v>
      </c>
      <c r="H862">
        <v>1000</v>
      </c>
      <c r="J862" cm="1">
        <f t="array" ref="J862">_xlfn.SWITCH(B862,1,75,2,61,3,49,4,37,5,25,6,13,7,4,8,1)</f>
        <v>49</v>
      </c>
      <c r="K862" t="str" cm="1">
        <f t="array" ref="K862">IFERROR(_xlfn.SWITCH(L862,1,_xlfn.XLOOKUP(C862,[1]AttributeName!$C:$C,[1]AttributeName!$I:$I),2,_xlfn.XLOOKUP(C862,[1]ModifierDes!$B:$B,[1]ModifierDes!$C:$C),3,_xlfn.XLOOKUP(C862,[1]StuntDes!$B:$B,[1]StuntDes!$C:$C)),"")</f>
        <v>冰冷抗性增加{0}</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439</v>
      </c>
      <c r="D863" t="s">
        <v>34</v>
      </c>
      <c r="E863" t="s">
        <v>410</v>
      </c>
      <c r="F863"/>
      <c r="G863">
        <v>2</v>
      </c>
      <c r="H863">
        <v>1000</v>
      </c>
      <c r="J863" cm="1">
        <f t="array" ref="J863">_xlfn.SWITCH(B863,1,75,2,61,3,49,4,37,5,25,6,13,7,4,8,1)</f>
        <v>37</v>
      </c>
      <c r="K863" t="str" cm="1">
        <f t="array" ref="K863">IFERROR(_xlfn.SWITCH(L863,1,_xlfn.XLOOKUP(C863,[1]AttributeName!$C:$C,[1]AttributeName!$I:$I),2,_xlfn.XLOOKUP(C863,[1]ModifierDes!$B:$B,[1]ModifierDes!$C:$C),3,_xlfn.XLOOKUP(C863,[1]StuntDes!$B:$B,[1]StuntDes!$C:$C)),"")</f>
        <v>冰冷抗性增加{0}</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439</v>
      </c>
      <c r="D864" t="s">
        <v>34</v>
      </c>
      <c r="E864" t="s">
        <v>410</v>
      </c>
      <c r="F864"/>
      <c r="G864">
        <v>2</v>
      </c>
      <c r="H864">
        <v>1000</v>
      </c>
      <c r="J864" cm="1">
        <f t="array" ref="J864">_xlfn.SWITCH(B864,1,75,2,61,3,49,4,37,5,25,6,13,7,4,8,1)</f>
        <v>25</v>
      </c>
      <c r="K864" t="str" cm="1">
        <f t="array" ref="K864">IFERROR(_xlfn.SWITCH(L864,1,_xlfn.XLOOKUP(C864,[1]AttributeName!$C:$C,[1]AttributeName!$I:$I),2,_xlfn.XLOOKUP(C864,[1]ModifierDes!$B:$B,[1]ModifierDes!$C:$C),3,_xlfn.XLOOKUP(C864,[1]StuntDes!$B:$B,[1]StuntDes!$C:$C)),"")</f>
        <v>冰冷抗性增加{0}</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439</v>
      </c>
      <c r="D865" t="s">
        <v>34</v>
      </c>
      <c r="E865" t="s">
        <v>410</v>
      </c>
      <c r="F865"/>
      <c r="G865">
        <v>2</v>
      </c>
      <c r="H865">
        <v>1000</v>
      </c>
      <c r="J865" cm="1">
        <f t="array" ref="J865">_xlfn.SWITCH(B865,1,75,2,61,3,49,4,37,5,25,6,13,7,4,8,1)</f>
        <v>13</v>
      </c>
      <c r="K865" t="str" cm="1">
        <f t="array" ref="K865">IFERROR(_xlfn.SWITCH(L865,1,_xlfn.XLOOKUP(C865,[1]AttributeName!$C:$C,[1]AttributeName!$I:$I),2,_xlfn.XLOOKUP(C865,[1]ModifierDes!$B:$B,[1]ModifierDes!$C:$C),3,_xlfn.XLOOKUP(C865,[1]StuntDes!$B:$B,[1]StuntDes!$C:$C)),"")</f>
        <v>冰冷抗性增加{0}</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439</v>
      </c>
      <c r="D866" t="s">
        <v>34</v>
      </c>
      <c r="E866" t="s">
        <v>410</v>
      </c>
      <c r="F866"/>
      <c r="G866">
        <v>2</v>
      </c>
      <c r="H866">
        <v>1000</v>
      </c>
      <c r="J866" cm="1">
        <f t="array" ref="J866">_xlfn.SWITCH(B866,1,75,2,61,3,49,4,37,5,25,6,13,7,4,8,1)</f>
        <v>4</v>
      </c>
      <c r="K866" t="str" cm="1">
        <f t="array" ref="K866">IFERROR(_xlfn.SWITCH(L866,1,_xlfn.XLOOKUP(C866,[1]AttributeName!$C:$C,[1]AttributeName!$I:$I),2,_xlfn.XLOOKUP(C866,[1]ModifierDes!$B:$B,[1]ModifierDes!$C:$C),3,_xlfn.XLOOKUP(C866,[1]StuntDes!$B:$B,[1]StuntDes!$C:$C)),"")</f>
        <v>冰冷抗性增加{0}</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439</v>
      </c>
      <c r="D867" t="s">
        <v>34</v>
      </c>
      <c r="E867" t="s">
        <v>410</v>
      </c>
      <c r="F867"/>
      <c r="G867">
        <v>2</v>
      </c>
      <c r="H867">
        <v>1000</v>
      </c>
      <c r="J867" cm="1">
        <f t="array" ref="J867">_xlfn.SWITCH(B867,1,75,2,61,3,49,4,37,5,25,6,13,7,4,8,1)</f>
        <v>1</v>
      </c>
      <c r="K867" t="str" cm="1">
        <f t="array" ref="K867">IFERROR(_xlfn.SWITCH(L867,1,_xlfn.XLOOKUP(C867,[1]AttributeName!$C:$C,[1]AttributeName!$I:$I),2,_xlfn.XLOOKUP(C867,[1]ModifierDes!$B:$B,[1]ModifierDes!$C:$C),3,_xlfn.XLOOKUP(C867,[1]StuntDes!$B:$B,[1]StuntDes!$C:$C)),"")</f>
        <v>冰冷抗性增加{0}</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440</v>
      </c>
      <c r="D868" t="s">
        <v>34</v>
      </c>
      <c r="E868" t="s">
        <v>410</v>
      </c>
      <c r="F868"/>
      <c r="G868">
        <v>2</v>
      </c>
      <c r="H868">
        <v>1000</v>
      </c>
      <c r="J868" cm="1">
        <f t="array" ref="J868">_xlfn.SWITCH(B868,1,75,2,61,3,49,4,37,5,25,6,13,7,4,8,1)</f>
        <v>75</v>
      </c>
      <c r="K868" t="str" cm="1">
        <f t="array" ref="K868">IFERROR(_xlfn.SWITCH(L868,1,_xlfn.XLOOKUP(C868,[1]AttributeName!$C:$C,[1]AttributeName!$I:$I),2,_xlfn.XLOOKUP(C868,[1]ModifierDes!$B:$B,[1]ModifierDes!$C:$C),3,_xlfn.XLOOKUP(C868,[1]StuntDes!$B:$B,[1]StuntDes!$C:$C)),"")</f>
        <v>闪电抗性增加{0}</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440</v>
      </c>
      <c r="D869" t="s">
        <v>34</v>
      </c>
      <c r="E869" t="s">
        <v>410</v>
      </c>
      <c r="F869"/>
      <c r="G869">
        <v>2</v>
      </c>
      <c r="H869">
        <v>1000</v>
      </c>
      <c r="J869" cm="1">
        <f t="array" ref="J869">_xlfn.SWITCH(B869,1,75,2,61,3,49,4,37,5,25,6,13,7,4,8,1)</f>
        <v>61</v>
      </c>
      <c r="K869" t="str" cm="1">
        <f t="array" ref="K869">IFERROR(_xlfn.SWITCH(L869,1,_xlfn.XLOOKUP(C869,[1]AttributeName!$C:$C,[1]AttributeName!$I:$I),2,_xlfn.XLOOKUP(C869,[1]ModifierDes!$B:$B,[1]ModifierDes!$C:$C),3,_xlfn.XLOOKUP(C869,[1]StuntDes!$B:$B,[1]StuntDes!$C:$C)),"")</f>
        <v>闪电抗性增加{0}</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440</v>
      </c>
      <c r="D870" t="s">
        <v>34</v>
      </c>
      <c r="E870" t="s">
        <v>410</v>
      </c>
      <c r="F870"/>
      <c r="G870">
        <v>2</v>
      </c>
      <c r="H870">
        <v>1000</v>
      </c>
      <c r="J870" cm="1">
        <f t="array" ref="J870">_xlfn.SWITCH(B870,1,75,2,61,3,49,4,37,5,25,6,13,7,4,8,1)</f>
        <v>49</v>
      </c>
      <c r="K870" t="str" cm="1">
        <f t="array" ref="K870">IFERROR(_xlfn.SWITCH(L870,1,_xlfn.XLOOKUP(C870,[1]AttributeName!$C:$C,[1]AttributeName!$I:$I),2,_xlfn.XLOOKUP(C870,[1]ModifierDes!$B:$B,[1]ModifierDes!$C:$C),3,_xlfn.XLOOKUP(C870,[1]StuntDes!$B:$B,[1]StuntDes!$C:$C)),"")</f>
        <v>闪电抗性增加{0}</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440</v>
      </c>
      <c r="D871" t="s">
        <v>34</v>
      </c>
      <c r="E871" t="s">
        <v>410</v>
      </c>
      <c r="F871"/>
      <c r="G871">
        <v>2</v>
      </c>
      <c r="H871">
        <v>1000</v>
      </c>
      <c r="J871" cm="1">
        <f t="array" ref="J871">_xlfn.SWITCH(B871,1,75,2,61,3,49,4,37,5,25,6,13,7,4,8,1)</f>
        <v>37</v>
      </c>
      <c r="K871" t="str" cm="1">
        <f t="array" ref="K871">IFERROR(_xlfn.SWITCH(L871,1,_xlfn.XLOOKUP(C871,[1]AttributeName!$C:$C,[1]AttributeName!$I:$I),2,_xlfn.XLOOKUP(C871,[1]ModifierDes!$B:$B,[1]ModifierDes!$C:$C),3,_xlfn.XLOOKUP(C871,[1]StuntDes!$B:$B,[1]StuntDes!$C:$C)),"")</f>
        <v>闪电抗性增加{0}</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440</v>
      </c>
      <c r="D872" t="s">
        <v>34</v>
      </c>
      <c r="E872" t="s">
        <v>410</v>
      </c>
      <c r="F872"/>
      <c r="G872">
        <v>2</v>
      </c>
      <c r="H872">
        <v>1000</v>
      </c>
      <c r="J872" cm="1">
        <f t="array" ref="J872">_xlfn.SWITCH(B872,1,75,2,61,3,49,4,37,5,25,6,13,7,4,8,1)</f>
        <v>25</v>
      </c>
      <c r="K872" t="str" cm="1">
        <f t="array" ref="K872">IFERROR(_xlfn.SWITCH(L872,1,_xlfn.XLOOKUP(C872,[1]AttributeName!$C:$C,[1]AttributeName!$I:$I),2,_xlfn.XLOOKUP(C872,[1]ModifierDes!$B:$B,[1]ModifierDes!$C:$C),3,_xlfn.XLOOKUP(C872,[1]StuntDes!$B:$B,[1]StuntDes!$C:$C)),"")</f>
        <v>闪电抗性增加{0}</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440</v>
      </c>
      <c r="D873" t="s">
        <v>34</v>
      </c>
      <c r="E873" t="s">
        <v>410</v>
      </c>
      <c r="F873"/>
      <c r="G873">
        <v>2</v>
      </c>
      <c r="H873">
        <v>1000</v>
      </c>
      <c r="J873" cm="1">
        <f t="array" ref="J873">_xlfn.SWITCH(B873,1,75,2,61,3,49,4,37,5,25,6,13,7,4,8,1)</f>
        <v>13</v>
      </c>
      <c r="K873" t="str" cm="1">
        <f t="array" ref="K873">IFERROR(_xlfn.SWITCH(L873,1,_xlfn.XLOOKUP(C873,[1]AttributeName!$C:$C,[1]AttributeName!$I:$I),2,_xlfn.XLOOKUP(C873,[1]ModifierDes!$B:$B,[1]ModifierDes!$C:$C),3,_xlfn.XLOOKUP(C873,[1]StuntDes!$B:$B,[1]StuntDes!$C:$C)),"")</f>
        <v>闪电抗性增加{0}</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440</v>
      </c>
      <c r="D874" t="s">
        <v>34</v>
      </c>
      <c r="E874" t="s">
        <v>410</v>
      </c>
      <c r="F874"/>
      <c r="G874">
        <v>2</v>
      </c>
      <c r="H874">
        <v>1000</v>
      </c>
      <c r="J874" cm="1">
        <f t="array" ref="J874">_xlfn.SWITCH(B874,1,75,2,61,3,49,4,37,5,25,6,13,7,4,8,1)</f>
        <v>4</v>
      </c>
      <c r="K874" t="str" cm="1">
        <f t="array" ref="K874">IFERROR(_xlfn.SWITCH(L874,1,_xlfn.XLOOKUP(C874,[1]AttributeName!$C:$C,[1]AttributeName!$I:$I),2,_xlfn.XLOOKUP(C874,[1]ModifierDes!$B:$B,[1]ModifierDes!$C:$C),3,_xlfn.XLOOKUP(C874,[1]StuntDes!$B:$B,[1]StuntDes!$C:$C)),"")</f>
        <v>闪电抗性增加{0}</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440</v>
      </c>
      <c r="D875" t="s">
        <v>34</v>
      </c>
      <c r="E875" t="s">
        <v>410</v>
      </c>
      <c r="F875"/>
      <c r="G875">
        <v>2</v>
      </c>
      <c r="H875">
        <v>1000</v>
      </c>
      <c r="J875" cm="1">
        <f t="array" ref="J875">_xlfn.SWITCH(B875,1,75,2,61,3,49,4,37,5,25,6,13,7,4,8,1)</f>
        <v>1</v>
      </c>
      <c r="K875" t="str" cm="1">
        <f t="array" ref="K875">IFERROR(_xlfn.SWITCH(L875,1,_xlfn.XLOOKUP(C875,[1]AttributeName!$C:$C,[1]AttributeName!$I:$I),2,_xlfn.XLOOKUP(C875,[1]ModifierDes!$B:$B,[1]ModifierDes!$C:$C),3,_xlfn.XLOOKUP(C875,[1]StuntDes!$B:$B,[1]StuntDes!$C:$C)),"")</f>
        <v>闪电抗性增加{0}</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441</v>
      </c>
      <c r="D876" t="s">
        <v>34</v>
      </c>
      <c r="E876" t="s">
        <v>410</v>
      </c>
      <c r="F876"/>
      <c r="G876">
        <v>2</v>
      </c>
      <c r="H876">
        <v>250</v>
      </c>
      <c r="J876" cm="1">
        <f t="array" ref="J876">_xlfn.SWITCH(B876,1,75,2,61,3,49,4,37,5,25,6,13,7,4,8,1)</f>
        <v>75</v>
      </c>
      <c r="K876" t="str" cm="1">
        <f t="array" ref="K876">IFERROR(_xlfn.SWITCH(L876,1,_xlfn.XLOOKUP(C876,[1]AttributeName!$C:$C,[1]AttributeName!$I:$I),2,_xlfn.XLOOKUP(C876,[1]ModifierDes!$B:$B,[1]ModifierDes!$C:$C),3,_xlfn.XLOOKUP(C876,[1]StuntDes!$B:$B,[1]StuntDes!$C:$C)),"")</f>
        <v>混沌抗性增加{0}</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441</v>
      </c>
      <c r="D877" t="s">
        <v>34</v>
      </c>
      <c r="E877" t="s">
        <v>410</v>
      </c>
      <c r="F877"/>
      <c r="G877">
        <v>2</v>
      </c>
      <c r="H877">
        <v>250</v>
      </c>
      <c r="J877" cm="1">
        <f t="array" ref="J877">_xlfn.SWITCH(B877,1,75,2,61,3,49,4,37,5,25,6,13,7,4,8,1)</f>
        <v>61</v>
      </c>
      <c r="K877" t="str" cm="1">
        <f t="array" ref="K877">IFERROR(_xlfn.SWITCH(L877,1,_xlfn.XLOOKUP(C877,[1]AttributeName!$C:$C,[1]AttributeName!$I:$I),2,_xlfn.XLOOKUP(C877,[1]ModifierDes!$B:$B,[1]ModifierDes!$C:$C),3,_xlfn.XLOOKUP(C877,[1]StuntDes!$B:$B,[1]StuntDes!$C:$C)),"")</f>
        <v>混沌抗性增加{0}</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441</v>
      </c>
      <c r="D878" t="s">
        <v>34</v>
      </c>
      <c r="E878" t="s">
        <v>410</v>
      </c>
      <c r="F878"/>
      <c r="G878">
        <v>2</v>
      </c>
      <c r="H878">
        <v>250</v>
      </c>
      <c r="J878" cm="1">
        <f t="array" ref="J878">_xlfn.SWITCH(B878,1,75,2,61,3,49,4,37,5,25,6,13,7,4,8,1)</f>
        <v>49</v>
      </c>
      <c r="K878" t="str" cm="1">
        <f t="array" ref="K878">IFERROR(_xlfn.SWITCH(L878,1,_xlfn.XLOOKUP(C878,[1]AttributeName!$C:$C,[1]AttributeName!$I:$I),2,_xlfn.XLOOKUP(C878,[1]ModifierDes!$B:$B,[1]ModifierDes!$C:$C),3,_xlfn.XLOOKUP(C878,[1]StuntDes!$B:$B,[1]StuntDes!$C:$C)),"")</f>
        <v>混沌抗性增加{0}</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441</v>
      </c>
      <c r="D879" t="s">
        <v>34</v>
      </c>
      <c r="E879" t="s">
        <v>410</v>
      </c>
      <c r="F879"/>
      <c r="G879">
        <v>2</v>
      </c>
      <c r="H879">
        <v>250</v>
      </c>
      <c r="J879" cm="1">
        <f t="array" ref="J879">_xlfn.SWITCH(B879,1,75,2,61,3,49,4,37,5,25,6,13,7,4,8,1)</f>
        <v>37</v>
      </c>
      <c r="K879" t="str" cm="1">
        <f t="array" ref="K879">IFERROR(_xlfn.SWITCH(L879,1,_xlfn.XLOOKUP(C879,[1]AttributeName!$C:$C,[1]AttributeName!$I:$I),2,_xlfn.XLOOKUP(C879,[1]ModifierDes!$B:$B,[1]ModifierDes!$C:$C),3,_xlfn.XLOOKUP(C879,[1]StuntDes!$B:$B,[1]StuntDes!$C:$C)),"")</f>
        <v>混沌抗性增加{0}</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441</v>
      </c>
      <c r="D880" t="s">
        <v>34</v>
      </c>
      <c r="E880" t="s">
        <v>410</v>
      </c>
      <c r="F880"/>
      <c r="G880">
        <v>2</v>
      </c>
      <c r="H880">
        <v>250</v>
      </c>
      <c r="J880" cm="1">
        <f t="array" ref="J880">_xlfn.SWITCH(B880,1,75,2,61,3,49,4,37,5,25,6,13,7,4,8,1)</f>
        <v>25</v>
      </c>
      <c r="K880" t="str" cm="1">
        <f t="array" ref="K880">IFERROR(_xlfn.SWITCH(L880,1,_xlfn.XLOOKUP(C880,[1]AttributeName!$C:$C,[1]AttributeName!$I:$I),2,_xlfn.XLOOKUP(C880,[1]ModifierDes!$B:$B,[1]ModifierDes!$C:$C),3,_xlfn.XLOOKUP(C880,[1]StuntDes!$B:$B,[1]StuntDes!$C:$C)),"")</f>
        <v>混沌抗性增加{0}</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441</v>
      </c>
      <c r="D881" t="s">
        <v>34</v>
      </c>
      <c r="E881" t="s">
        <v>410</v>
      </c>
      <c r="F881"/>
      <c r="G881">
        <v>2</v>
      </c>
      <c r="H881">
        <v>250</v>
      </c>
      <c r="J881" cm="1">
        <f t="array" ref="J881">_xlfn.SWITCH(B881,1,75,2,61,3,49,4,37,5,25,6,13,7,4,8,1)</f>
        <v>13</v>
      </c>
      <c r="K881" t="str" cm="1">
        <f t="array" ref="K881">IFERROR(_xlfn.SWITCH(L881,1,_xlfn.XLOOKUP(C881,[1]AttributeName!$C:$C,[1]AttributeName!$I:$I),2,_xlfn.XLOOKUP(C881,[1]ModifierDes!$B:$B,[1]ModifierDes!$C:$C),3,_xlfn.XLOOKUP(C881,[1]StuntDes!$B:$B,[1]StuntDes!$C:$C)),"")</f>
        <v>混沌抗性增加{0}</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441</v>
      </c>
      <c r="D882" t="s">
        <v>34</v>
      </c>
      <c r="E882" t="s">
        <v>410</v>
      </c>
      <c r="F882"/>
      <c r="G882">
        <v>2</v>
      </c>
      <c r="H882">
        <v>250</v>
      </c>
      <c r="J882" cm="1">
        <f t="array" ref="J882">_xlfn.SWITCH(B882,1,75,2,61,3,49,4,37,5,25,6,13,7,4,8,1)</f>
        <v>4</v>
      </c>
      <c r="K882" t="str" cm="1">
        <f t="array" ref="K882">IFERROR(_xlfn.SWITCH(L882,1,_xlfn.XLOOKUP(C882,[1]AttributeName!$C:$C,[1]AttributeName!$I:$I),2,_xlfn.XLOOKUP(C882,[1]ModifierDes!$B:$B,[1]ModifierDes!$C:$C),3,_xlfn.XLOOKUP(C882,[1]StuntDes!$B:$B,[1]StuntDes!$C:$C)),"")</f>
        <v>混沌抗性增加{0}</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441</v>
      </c>
      <c r="D883" t="s">
        <v>34</v>
      </c>
      <c r="E883" t="s">
        <v>410</v>
      </c>
      <c r="F883"/>
      <c r="G883">
        <v>2</v>
      </c>
      <c r="H883">
        <v>250</v>
      </c>
      <c r="J883" cm="1">
        <f t="array" ref="J883">_xlfn.SWITCH(B883,1,75,2,61,3,49,4,37,5,25,6,13,7,4,8,1)</f>
        <v>1</v>
      </c>
      <c r="K883" t="str" cm="1">
        <f t="array" ref="K883">IFERROR(_xlfn.SWITCH(L883,1,_xlfn.XLOOKUP(C883,[1]AttributeName!$C:$C,[1]AttributeName!$I:$I),2,_xlfn.XLOOKUP(C883,[1]ModifierDes!$B:$B,[1]ModifierDes!$C:$C),3,_xlfn.XLOOKUP(C883,[1]StuntDes!$B:$B,[1]StuntDes!$C:$C)),"")</f>
        <v>混沌抗性增加{0}</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416</v>
      </c>
      <c r="D884" t="s">
        <v>34</v>
      </c>
      <c r="E884" t="s">
        <v>410</v>
      </c>
      <c r="F884"/>
      <c r="G884">
        <v>2</v>
      </c>
      <c r="H884">
        <v>100</v>
      </c>
      <c r="I884">
        <v>3</v>
      </c>
      <c r="J884" cm="1">
        <f t="array" ref="J884">_xlfn.SWITCH(B884,1,75,2,61,3,49,4,37,5,25,6,13,7,4,8,1)</f>
        <v>75</v>
      </c>
      <c r="K884" t="str" cm="1">
        <f t="array" ref="K884">IFERROR(_xlfn.SWITCH(L884,1,_xlfn.XLOOKUP(C884,[1]AttributeName!$C:$C,[1]AttributeName!$I:$I),2,_xlfn.XLOOKUP(C884,[1]ModifierDes!$B:$B,[1]ModifierDes!$C:$C),3,_xlfn.XLOOKUP(C884,[1]StuntDes!$B:$B,[1]StuntDes!$C:$C)),"")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416</v>
      </c>
      <c r="D885" t="s">
        <v>34</v>
      </c>
      <c r="E885" t="s">
        <v>410</v>
      </c>
      <c r="F885"/>
      <c r="G885">
        <v>2</v>
      </c>
      <c r="H885">
        <v>200</v>
      </c>
      <c r="I885">
        <v>3</v>
      </c>
      <c r="J885" cm="1">
        <f t="array" ref="J885">_xlfn.SWITCH(B885,1,75,2,61,3,49,4,37,5,25,6,13,7,4,8,1)</f>
        <v>61</v>
      </c>
      <c r="K885" t="str" cm="1">
        <f t="array" ref="K885">IFERROR(_xlfn.SWITCH(L885,1,_xlfn.XLOOKUP(C885,[1]AttributeName!$C:$C,[1]AttributeName!$I:$I),2,_xlfn.XLOOKUP(C885,[1]ModifierDes!$B:$B,[1]ModifierDes!$C:$C),3,_xlfn.XLOOKUP(C885,[1]StuntDes!$B:$B,[1]StuntDes!$C:$C)),"")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416</v>
      </c>
      <c r="D886" t="s">
        <v>34</v>
      </c>
      <c r="E886" t="s">
        <v>410</v>
      </c>
      <c r="F886"/>
      <c r="G886">
        <v>2</v>
      </c>
      <c r="H886">
        <v>400</v>
      </c>
      <c r="I886">
        <v>3</v>
      </c>
      <c r="J886" cm="1">
        <f t="array" ref="J886">_xlfn.SWITCH(B886,1,75,2,61,3,49,4,37,5,25,6,13,7,4,8,1)</f>
        <v>49</v>
      </c>
      <c r="K886" t="str" cm="1">
        <f t="array" ref="K886">IFERROR(_xlfn.SWITCH(L886,1,_xlfn.XLOOKUP(C886,[1]AttributeName!$C:$C,[1]AttributeName!$I:$I),2,_xlfn.XLOOKUP(C886,[1]ModifierDes!$B:$B,[1]ModifierDes!$C:$C),3,_xlfn.XLOOKUP(C886,[1]StuntDes!$B:$B,[1]StuntDes!$C:$C)),"")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416</v>
      </c>
      <c r="D887" t="s">
        <v>34</v>
      </c>
      <c r="E887" t="s">
        <v>410</v>
      </c>
      <c r="F887"/>
      <c r="G887">
        <v>2</v>
      </c>
      <c r="H887">
        <v>600</v>
      </c>
      <c r="I887">
        <v>3</v>
      </c>
      <c r="J887" cm="1">
        <f t="array" ref="J887">_xlfn.SWITCH(B887,1,75,2,61,3,49,4,37,5,25,6,13,7,4,8,1)</f>
        <v>37</v>
      </c>
      <c r="K887" t="str" cm="1">
        <f t="array" ref="K887">IFERROR(_xlfn.SWITCH(L887,1,_xlfn.XLOOKUP(C887,[1]AttributeName!$C:$C,[1]AttributeName!$I:$I),2,_xlfn.XLOOKUP(C887,[1]ModifierDes!$B:$B,[1]ModifierDes!$C:$C),3,_xlfn.XLOOKUP(C887,[1]StuntDes!$B:$B,[1]StuntDes!$C:$C)),"")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416</v>
      </c>
      <c r="D888" t="s">
        <v>34</v>
      </c>
      <c r="E888" t="s">
        <v>410</v>
      </c>
      <c r="F888"/>
      <c r="G888">
        <v>2</v>
      </c>
      <c r="H888">
        <v>800</v>
      </c>
      <c r="I888">
        <v>3</v>
      </c>
      <c r="J888" cm="1">
        <f t="array" ref="J888">_xlfn.SWITCH(B888,1,75,2,61,3,49,4,37,5,25,6,13,7,4,8,1)</f>
        <v>25</v>
      </c>
      <c r="K888" t="str" cm="1">
        <f t="array" ref="K888">IFERROR(_xlfn.SWITCH(L888,1,_xlfn.XLOOKUP(C888,[1]AttributeName!$C:$C,[1]AttributeName!$I:$I),2,_xlfn.XLOOKUP(C888,[1]ModifierDes!$B:$B,[1]ModifierDes!$C:$C),3,_xlfn.XLOOKUP(C888,[1]StuntDes!$B:$B,[1]StuntDes!$C:$C)),"")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416</v>
      </c>
      <c r="D889" t="s">
        <v>34</v>
      </c>
      <c r="E889" t="s">
        <v>410</v>
      </c>
      <c r="F889"/>
      <c r="G889">
        <v>2</v>
      </c>
      <c r="H889">
        <v>1000</v>
      </c>
      <c r="I889">
        <v>3</v>
      </c>
      <c r="J889" cm="1">
        <f t="array" ref="J889">_xlfn.SWITCH(B889,1,75,2,61,3,49,4,37,5,25,6,13,7,4,8,1)</f>
        <v>13</v>
      </c>
      <c r="K889" t="str" cm="1">
        <f t="array" ref="K889">IFERROR(_xlfn.SWITCH(L889,1,_xlfn.XLOOKUP(C889,[1]AttributeName!$C:$C,[1]AttributeName!$I:$I),2,_xlfn.XLOOKUP(C889,[1]ModifierDes!$B:$B,[1]ModifierDes!$C:$C),3,_xlfn.XLOOKUP(C889,[1]StuntDes!$B:$B,[1]StuntDes!$C:$C)),"")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416</v>
      </c>
      <c r="D890" t="s">
        <v>34</v>
      </c>
      <c r="E890" t="s">
        <v>410</v>
      </c>
      <c r="F890"/>
      <c r="G890">
        <v>2</v>
      </c>
      <c r="H890">
        <v>1000</v>
      </c>
      <c r="I890">
        <v>3</v>
      </c>
      <c r="J890" cm="1">
        <f t="array" ref="J890">_xlfn.SWITCH(B890,1,75,2,61,3,49,4,37,5,25,6,13,7,4,8,1)</f>
        <v>4</v>
      </c>
      <c r="K890" t="str" cm="1">
        <f t="array" ref="K890">IFERROR(_xlfn.SWITCH(L890,1,_xlfn.XLOOKUP(C890,[1]AttributeName!$C:$C,[1]AttributeName!$I:$I),2,_xlfn.XLOOKUP(C890,[1]ModifierDes!$B:$B,[1]ModifierDes!$C:$C),3,_xlfn.XLOOKUP(C890,[1]StuntDes!$B:$B,[1]StuntDes!$C:$C)),"")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416</v>
      </c>
      <c r="D891" t="s">
        <v>34</v>
      </c>
      <c r="E891" t="s">
        <v>410</v>
      </c>
      <c r="F891"/>
      <c r="G891">
        <v>2</v>
      </c>
      <c r="H891">
        <v>1000</v>
      </c>
      <c r="I891">
        <v>3</v>
      </c>
      <c r="J891" cm="1">
        <f t="array" ref="J891">_xlfn.SWITCH(B891,1,75,2,61,3,49,4,37,5,25,6,13,7,4,8,1)</f>
        <v>1</v>
      </c>
      <c r="K891" t="str" cm="1">
        <f t="array" ref="K891">IFERROR(_xlfn.SWITCH(L891,1,_xlfn.XLOOKUP(C891,[1]AttributeName!$C:$C,[1]AttributeName!$I:$I),2,_xlfn.XLOOKUP(C891,[1]ModifierDes!$B:$B,[1]ModifierDes!$C:$C),3,_xlfn.XLOOKUP(C891,[1]StuntDes!$B:$B,[1]StuntDes!$C:$C)),"")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442</v>
      </c>
      <c r="D892" t="s">
        <v>34</v>
      </c>
      <c r="E892" t="s">
        <v>410</v>
      </c>
      <c r="F892"/>
      <c r="G892">
        <v>2</v>
      </c>
      <c r="H892">
        <v>100</v>
      </c>
      <c r="I892">
        <v>3</v>
      </c>
      <c r="J892" cm="1">
        <f t="array" ref="J892">_xlfn.SWITCH(B892,1,75,2,61,3,49,4,37,5,25,6,13,7,4,8,1)</f>
        <v>75</v>
      </c>
      <c r="K892" t="str" cm="1">
        <f t="array" ref="K892">IFERROR(_xlfn.SWITCH(L892,1,_xlfn.XLOOKUP(C892,[1]AttributeName!$C:$C,[1]AttributeName!$I:$I),2,_xlfn.XLOOKUP(C892,[1]ModifierDes!$B:$B,[1]ModifierDes!$C:$C),3,_xlfn.XLOOKUP(C892,[1]StuntDes!$B:$B,[1]StuntDes!$C:$C)),"")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442</v>
      </c>
      <c r="D893" t="s">
        <v>34</v>
      </c>
      <c r="E893" t="s">
        <v>410</v>
      </c>
      <c r="F893"/>
      <c r="G893">
        <v>2</v>
      </c>
      <c r="H893">
        <v>200</v>
      </c>
      <c r="I893">
        <v>3</v>
      </c>
      <c r="J893" cm="1">
        <f t="array" ref="J893">_xlfn.SWITCH(B893,1,75,2,61,3,49,4,37,5,25,6,13,7,4,8,1)</f>
        <v>61</v>
      </c>
      <c r="K893" t="str" cm="1">
        <f t="array" ref="K893">IFERROR(_xlfn.SWITCH(L893,1,_xlfn.XLOOKUP(C893,[1]AttributeName!$C:$C,[1]AttributeName!$I:$I),2,_xlfn.XLOOKUP(C893,[1]ModifierDes!$B:$B,[1]ModifierDes!$C:$C),3,_xlfn.XLOOKUP(C893,[1]StuntDes!$B:$B,[1]StuntDes!$C:$C)),"")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442</v>
      </c>
      <c r="D894" t="s">
        <v>34</v>
      </c>
      <c r="E894" t="s">
        <v>410</v>
      </c>
      <c r="F894"/>
      <c r="G894">
        <v>2</v>
      </c>
      <c r="H894">
        <v>400</v>
      </c>
      <c r="I894">
        <v>3</v>
      </c>
      <c r="J894" cm="1">
        <f t="array" ref="J894">_xlfn.SWITCH(B894,1,75,2,61,3,49,4,37,5,25,6,13,7,4,8,1)</f>
        <v>49</v>
      </c>
      <c r="K894" t="str" cm="1">
        <f t="array" ref="K894">IFERROR(_xlfn.SWITCH(L894,1,_xlfn.XLOOKUP(C894,[1]AttributeName!$C:$C,[1]AttributeName!$I:$I),2,_xlfn.XLOOKUP(C894,[1]ModifierDes!$B:$B,[1]ModifierDes!$C:$C),3,_xlfn.XLOOKUP(C894,[1]StuntDes!$B:$B,[1]StuntDes!$C:$C)),"")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442</v>
      </c>
      <c r="D895" t="s">
        <v>34</v>
      </c>
      <c r="E895" t="s">
        <v>410</v>
      </c>
      <c r="F895"/>
      <c r="G895">
        <v>2</v>
      </c>
      <c r="H895">
        <v>600</v>
      </c>
      <c r="I895">
        <v>3</v>
      </c>
      <c r="J895" cm="1">
        <f t="array" ref="J895">_xlfn.SWITCH(B895,1,75,2,61,3,49,4,37,5,25,6,13,7,4,8,1)</f>
        <v>37</v>
      </c>
      <c r="K895" t="str" cm="1">
        <f t="array" ref="K895">IFERROR(_xlfn.SWITCH(L895,1,_xlfn.XLOOKUP(C895,[1]AttributeName!$C:$C,[1]AttributeName!$I:$I),2,_xlfn.XLOOKUP(C895,[1]ModifierDes!$B:$B,[1]ModifierDes!$C:$C),3,_xlfn.XLOOKUP(C895,[1]StuntDes!$B:$B,[1]StuntDes!$C:$C)),"")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442</v>
      </c>
      <c r="D896" t="s">
        <v>34</v>
      </c>
      <c r="E896" t="s">
        <v>410</v>
      </c>
      <c r="F896"/>
      <c r="G896">
        <v>2</v>
      </c>
      <c r="H896">
        <v>800</v>
      </c>
      <c r="I896">
        <v>3</v>
      </c>
      <c r="J896" cm="1">
        <f t="array" ref="J896">_xlfn.SWITCH(B896,1,75,2,61,3,49,4,37,5,25,6,13,7,4,8,1)</f>
        <v>25</v>
      </c>
      <c r="K896" t="str" cm="1">
        <f t="array" ref="K896">IFERROR(_xlfn.SWITCH(L896,1,_xlfn.XLOOKUP(C896,[1]AttributeName!$C:$C,[1]AttributeName!$I:$I),2,_xlfn.XLOOKUP(C896,[1]ModifierDes!$B:$B,[1]ModifierDes!$C:$C),3,_xlfn.XLOOKUP(C896,[1]StuntDes!$B:$B,[1]StuntDes!$C:$C)),"")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442</v>
      </c>
      <c r="D897" t="s">
        <v>34</v>
      </c>
      <c r="E897" t="s">
        <v>410</v>
      </c>
      <c r="F897"/>
      <c r="G897">
        <v>2</v>
      </c>
      <c r="H897">
        <v>1000</v>
      </c>
      <c r="I897">
        <v>3</v>
      </c>
      <c r="J897" cm="1">
        <f t="array" ref="J897">_xlfn.SWITCH(B897,1,75,2,61,3,49,4,37,5,25,6,13,7,4,8,1)</f>
        <v>13</v>
      </c>
      <c r="K897" t="str" cm="1">
        <f t="array" ref="K897">IFERROR(_xlfn.SWITCH(L897,1,_xlfn.XLOOKUP(C897,[1]AttributeName!$C:$C,[1]AttributeName!$I:$I),2,_xlfn.XLOOKUP(C897,[1]ModifierDes!$B:$B,[1]ModifierDes!$C:$C),3,_xlfn.XLOOKUP(C897,[1]StuntDes!$B:$B,[1]StuntDes!$C:$C)),"")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442</v>
      </c>
      <c r="D898" t="s">
        <v>34</v>
      </c>
      <c r="E898" t="s">
        <v>410</v>
      </c>
      <c r="F898"/>
      <c r="G898">
        <v>2</v>
      </c>
      <c r="H898">
        <v>1000</v>
      </c>
      <c r="I898">
        <v>3</v>
      </c>
      <c r="J898" cm="1">
        <f t="array" ref="J898">_xlfn.SWITCH(B898,1,75,2,61,3,49,4,37,5,25,6,13,7,4,8,1)</f>
        <v>4</v>
      </c>
      <c r="K898" t="str" cm="1">
        <f t="array" ref="K898">IFERROR(_xlfn.SWITCH(L898,1,_xlfn.XLOOKUP(C898,[1]AttributeName!$C:$C,[1]AttributeName!$I:$I),2,_xlfn.XLOOKUP(C898,[1]ModifierDes!$B:$B,[1]ModifierDes!$C:$C),3,_xlfn.XLOOKUP(C898,[1]StuntDes!$B:$B,[1]StuntDes!$C:$C)),"")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442</v>
      </c>
      <c r="D899" t="s">
        <v>34</v>
      </c>
      <c r="E899" t="s">
        <v>410</v>
      </c>
      <c r="F899"/>
      <c r="G899">
        <v>2</v>
      </c>
      <c r="H899">
        <v>1000</v>
      </c>
      <c r="I899">
        <v>3</v>
      </c>
      <c r="J899" cm="1">
        <f t="array" ref="J899">_xlfn.SWITCH(B899,1,75,2,61,3,49,4,37,5,25,6,13,7,4,8,1)</f>
        <v>1</v>
      </c>
      <c r="K899" t="str" cm="1">
        <f t="array" ref="K899">IFERROR(_xlfn.SWITCH(L899,1,_xlfn.XLOOKUP(C899,[1]AttributeName!$C:$C,[1]AttributeName!$I:$I),2,_xlfn.XLOOKUP(C899,[1]ModifierDes!$B:$B,[1]ModifierDes!$C:$C),3,_xlfn.XLOOKUP(C899,[1]StuntDes!$B:$B,[1]StuntDes!$C:$C)),"")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417</v>
      </c>
      <c r="D900" t="s">
        <v>34</v>
      </c>
      <c r="E900" t="s">
        <v>410</v>
      </c>
      <c r="G900">
        <v>2</v>
      </c>
      <c r="H900">
        <v>100</v>
      </c>
      <c r="I900">
        <v>3</v>
      </c>
      <c r="J900" cm="1">
        <f t="array" ref="J900">_xlfn.SWITCH(B900,1,75,2,61,3,49,4,37,5,25,6,13,7,4,8,1)</f>
        <v>75</v>
      </c>
      <c r="K900" t="str" cm="1">
        <f t="array" ref="K900">IFERROR(_xlfn.SWITCH(L900,1,_xlfn.XLOOKUP(C900,[1]AttributeName!$C:$C,[1]AttributeName!$I:$I),2,_xlfn.XLOOKUP(C900,[1]ModifierDes!$B:$B,[1]ModifierDes!$C:$C),3,_xlfn.XLOOKUP(C900,[1]StuntDes!$B:$B,[1]StuntDes!$C:$C)),"")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417</v>
      </c>
      <c r="D901" t="s">
        <v>34</v>
      </c>
      <c r="E901" t="s">
        <v>410</v>
      </c>
      <c r="G901">
        <v>2</v>
      </c>
      <c r="H901">
        <v>200</v>
      </c>
      <c r="I901">
        <v>3</v>
      </c>
      <c r="J901" cm="1">
        <f t="array" ref="J901">_xlfn.SWITCH(B901,1,75,2,61,3,49,4,37,5,25,6,13,7,4,8,1)</f>
        <v>61</v>
      </c>
      <c r="K901" t="str" cm="1">
        <f t="array" ref="K901">IFERROR(_xlfn.SWITCH(L901,1,_xlfn.XLOOKUP(C901,[1]AttributeName!$C:$C,[1]AttributeName!$I:$I),2,_xlfn.XLOOKUP(C901,[1]ModifierDes!$B:$B,[1]ModifierDes!$C:$C),3,_xlfn.XLOOKUP(C901,[1]StuntDes!$B:$B,[1]StuntDes!$C:$C)),"")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417</v>
      </c>
      <c r="D902" t="s">
        <v>34</v>
      </c>
      <c r="E902" t="s">
        <v>410</v>
      </c>
      <c r="G902">
        <v>2</v>
      </c>
      <c r="H902">
        <v>400</v>
      </c>
      <c r="I902">
        <v>3</v>
      </c>
      <c r="J902" cm="1">
        <f t="array" ref="J902">_xlfn.SWITCH(B902,1,75,2,61,3,49,4,37,5,25,6,13,7,4,8,1)</f>
        <v>49</v>
      </c>
      <c r="K902" t="str" cm="1">
        <f t="array" ref="K902">IFERROR(_xlfn.SWITCH(L902,1,_xlfn.XLOOKUP(C902,[1]AttributeName!$C:$C,[1]AttributeName!$I:$I),2,_xlfn.XLOOKUP(C902,[1]ModifierDes!$B:$B,[1]ModifierDes!$C:$C),3,_xlfn.XLOOKUP(C902,[1]StuntDes!$B:$B,[1]StuntDes!$C:$C)),"")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417</v>
      </c>
      <c r="D903" t="s">
        <v>34</v>
      </c>
      <c r="E903" t="s">
        <v>410</v>
      </c>
      <c r="G903">
        <v>2</v>
      </c>
      <c r="H903">
        <v>600</v>
      </c>
      <c r="I903">
        <v>3</v>
      </c>
      <c r="J903" cm="1">
        <f t="array" ref="J903">_xlfn.SWITCH(B903,1,75,2,61,3,49,4,37,5,25,6,13,7,4,8,1)</f>
        <v>37</v>
      </c>
      <c r="K903" t="str" cm="1">
        <f t="array" ref="K903">IFERROR(_xlfn.SWITCH(L903,1,_xlfn.XLOOKUP(C903,[1]AttributeName!$C:$C,[1]AttributeName!$I:$I),2,_xlfn.XLOOKUP(C903,[1]ModifierDes!$B:$B,[1]ModifierDes!$C:$C),3,_xlfn.XLOOKUP(C903,[1]StuntDes!$B:$B,[1]StuntDes!$C:$C)),"")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417</v>
      </c>
      <c r="D904" t="s">
        <v>34</v>
      </c>
      <c r="E904" t="s">
        <v>410</v>
      </c>
      <c r="G904">
        <v>2</v>
      </c>
      <c r="H904">
        <v>800</v>
      </c>
      <c r="I904">
        <v>3</v>
      </c>
      <c r="J904" cm="1">
        <f t="array" ref="J904">_xlfn.SWITCH(B904,1,75,2,61,3,49,4,37,5,25,6,13,7,4,8,1)</f>
        <v>25</v>
      </c>
      <c r="K904" t="str" cm="1">
        <f t="array" ref="K904">IFERROR(_xlfn.SWITCH(L904,1,_xlfn.XLOOKUP(C904,[1]AttributeName!$C:$C,[1]AttributeName!$I:$I),2,_xlfn.XLOOKUP(C904,[1]ModifierDes!$B:$B,[1]ModifierDes!$C:$C),3,_xlfn.XLOOKUP(C904,[1]StuntDes!$B:$B,[1]StuntDes!$C:$C)),"")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417</v>
      </c>
      <c r="D905" t="s">
        <v>34</v>
      </c>
      <c r="E905" t="s">
        <v>410</v>
      </c>
      <c r="G905">
        <v>2</v>
      </c>
      <c r="H905">
        <v>1000</v>
      </c>
      <c r="I905">
        <v>3</v>
      </c>
      <c r="J905" cm="1">
        <f t="array" ref="J905">_xlfn.SWITCH(B905,1,75,2,61,3,49,4,37,5,25,6,13,7,4,8,1)</f>
        <v>13</v>
      </c>
      <c r="K905" t="str" cm="1">
        <f t="array" ref="K905">IFERROR(_xlfn.SWITCH(L905,1,_xlfn.XLOOKUP(C905,[1]AttributeName!$C:$C,[1]AttributeName!$I:$I),2,_xlfn.XLOOKUP(C905,[1]ModifierDes!$B:$B,[1]ModifierDes!$C:$C),3,_xlfn.XLOOKUP(C905,[1]StuntDes!$B:$B,[1]StuntDes!$C:$C)),"")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417</v>
      </c>
      <c r="D906" t="s">
        <v>34</v>
      </c>
      <c r="E906" t="s">
        <v>410</v>
      </c>
      <c r="G906">
        <v>2</v>
      </c>
      <c r="H906">
        <v>1000</v>
      </c>
      <c r="I906">
        <v>3</v>
      </c>
      <c r="J906" cm="1">
        <f t="array" ref="J906">_xlfn.SWITCH(B906,1,75,2,61,3,49,4,37,5,25,6,13,7,4,8,1)</f>
        <v>4</v>
      </c>
      <c r="K906" t="str" cm="1">
        <f t="array" ref="K906">IFERROR(_xlfn.SWITCH(L906,1,_xlfn.XLOOKUP(C906,[1]AttributeName!$C:$C,[1]AttributeName!$I:$I),2,_xlfn.XLOOKUP(C906,[1]ModifierDes!$B:$B,[1]ModifierDes!$C:$C),3,_xlfn.XLOOKUP(C906,[1]StuntDes!$B:$B,[1]StuntDes!$C:$C)),"")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417</v>
      </c>
      <c r="D907" t="s">
        <v>34</v>
      </c>
      <c r="E907" t="s">
        <v>410</v>
      </c>
      <c r="G907">
        <v>2</v>
      </c>
      <c r="H907">
        <v>1000</v>
      </c>
      <c r="I907">
        <v>3</v>
      </c>
      <c r="J907" cm="1">
        <f t="array" ref="J907">_xlfn.SWITCH(B907,1,75,2,61,3,49,4,37,5,25,6,13,7,4,8,1)</f>
        <v>1</v>
      </c>
      <c r="K907" t="str" cm="1">
        <f t="array" ref="K907">IFERROR(_xlfn.SWITCH(L907,1,_xlfn.XLOOKUP(C907,[1]AttributeName!$C:$C,[1]AttributeName!$I:$I),2,_xlfn.XLOOKUP(C907,[1]ModifierDes!$B:$B,[1]ModifierDes!$C:$C),3,_xlfn.XLOOKUP(C907,[1]StuntDes!$B:$B,[1]StuntDes!$C:$C)),"")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443</v>
      </c>
      <c r="D908" t="s">
        <v>34</v>
      </c>
      <c r="E908" t="s">
        <v>410</v>
      </c>
      <c r="G908">
        <v>2</v>
      </c>
      <c r="H908">
        <v>100</v>
      </c>
      <c r="I908">
        <v>3</v>
      </c>
      <c r="J908" cm="1">
        <f t="array" ref="J908">_xlfn.SWITCH(B908,1,75,2,61,3,49,4,37,5,25,6,13,7,4,8,1)</f>
        <v>75</v>
      </c>
      <c r="K908" t="str" cm="1">
        <f t="array" ref="K908">IFERROR(_xlfn.SWITCH(L908,1,_xlfn.XLOOKUP(C908,[1]AttributeName!$C:$C,[1]AttributeName!$I:$I),2,_xlfn.XLOOKUP(C908,[1]ModifierDes!$B:$B,[1]ModifierDes!$C:$C),3,_xlfn.XLOOKUP(C908,[1]StuntDes!$B:$B,[1]StuntDes!$C:$C)),"")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443</v>
      </c>
      <c r="D909" t="s">
        <v>34</v>
      </c>
      <c r="E909" t="s">
        <v>410</v>
      </c>
      <c r="G909">
        <v>2</v>
      </c>
      <c r="H909">
        <v>200</v>
      </c>
      <c r="I909">
        <v>3</v>
      </c>
      <c r="J909" cm="1">
        <f t="array" ref="J909">_xlfn.SWITCH(B909,1,75,2,61,3,49,4,37,5,25,6,13,7,4,8,1)</f>
        <v>61</v>
      </c>
      <c r="K909" t="str" cm="1">
        <f t="array" ref="K909">IFERROR(_xlfn.SWITCH(L909,1,_xlfn.XLOOKUP(C909,[1]AttributeName!$C:$C,[1]AttributeName!$I:$I),2,_xlfn.XLOOKUP(C909,[1]ModifierDes!$B:$B,[1]ModifierDes!$C:$C),3,_xlfn.XLOOKUP(C909,[1]StuntDes!$B:$B,[1]StuntDes!$C:$C)),"")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443</v>
      </c>
      <c r="D910" t="s">
        <v>34</v>
      </c>
      <c r="E910" t="s">
        <v>410</v>
      </c>
      <c r="G910">
        <v>2</v>
      </c>
      <c r="H910">
        <v>400</v>
      </c>
      <c r="I910">
        <v>3</v>
      </c>
      <c r="J910" cm="1">
        <f t="array" ref="J910">_xlfn.SWITCH(B910,1,75,2,61,3,49,4,37,5,25,6,13,7,4,8,1)</f>
        <v>49</v>
      </c>
      <c r="K910" t="str" cm="1">
        <f t="array" ref="K910">IFERROR(_xlfn.SWITCH(L910,1,_xlfn.XLOOKUP(C910,[1]AttributeName!$C:$C,[1]AttributeName!$I:$I),2,_xlfn.XLOOKUP(C910,[1]ModifierDes!$B:$B,[1]ModifierDes!$C:$C),3,_xlfn.XLOOKUP(C910,[1]StuntDes!$B:$B,[1]StuntDes!$C:$C)),"")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443</v>
      </c>
      <c r="D911" t="s">
        <v>34</v>
      </c>
      <c r="E911" t="s">
        <v>410</v>
      </c>
      <c r="G911">
        <v>2</v>
      </c>
      <c r="H911">
        <v>600</v>
      </c>
      <c r="I911">
        <v>3</v>
      </c>
      <c r="J911" cm="1">
        <f t="array" ref="J911">_xlfn.SWITCH(B911,1,75,2,61,3,49,4,37,5,25,6,13,7,4,8,1)</f>
        <v>37</v>
      </c>
      <c r="K911" t="str" cm="1">
        <f t="array" ref="K911">IFERROR(_xlfn.SWITCH(L911,1,_xlfn.XLOOKUP(C911,[1]AttributeName!$C:$C,[1]AttributeName!$I:$I),2,_xlfn.XLOOKUP(C911,[1]ModifierDes!$B:$B,[1]ModifierDes!$C:$C),3,_xlfn.XLOOKUP(C911,[1]StuntDes!$B:$B,[1]StuntDes!$C:$C)),"")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443</v>
      </c>
      <c r="D912" t="s">
        <v>34</v>
      </c>
      <c r="E912" t="s">
        <v>410</v>
      </c>
      <c r="G912">
        <v>2</v>
      </c>
      <c r="H912">
        <v>800</v>
      </c>
      <c r="I912">
        <v>3</v>
      </c>
      <c r="J912" cm="1">
        <f t="array" ref="J912">_xlfn.SWITCH(B912,1,75,2,61,3,49,4,37,5,25,6,13,7,4,8,1)</f>
        <v>25</v>
      </c>
      <c r="K912" t="str" cm="1">
        <f t="array" ref="K912">IFERROR(_xlfn.SWITCH(L912,1,_xlfn.XLOOKUP(C912,[1]AttributeName!$C:$C,[1]AttributeName!$I:$I),2,_xlfn.XLOOKUP(C912,[1]ModifierDes!$B:$B,[1]ModifierDes!$C:$C),3,_xlfn.XLOOKUP(C912,[1]StuntDes!$B:$B,[1]StuntDes!$C:$C)),"")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443</v>
      </c>
      <c r="D913" t="s">
        <v>34</v>
      </c>
      <c r="E913" t="s">
        <v>410</v>
      </c>
      <c r="G913">
        <v>2</v>
      </c>
      <c r="H913">
        <v>1000</v>
      </c>
      <c r="I913">
        <v>3</v>
      </c>
      <c r="J913" cm="1">
        <f t="array" ref="J913">_xlfn.SWITCH(B913,1,75,2,61,3,49,4,37,5,25,6,13,7,4,8,1)</f>
        <v>13</v>
      </c>
      <c r="K913" t="str" cm="1">
        <f t="array" ref="K913">IFERROR(_xlfn.SWITCH(L913,1,_xlfn.XLOOKUP(C913,[1]AttributeName!$C:$C,[1]AttributeName!$I:$I),2,_xlfn.XLOOKUP(C913,[1]ModifierDes!$B:$B,[1]ModifierDes!$C:$C),3,_xlfn.XLOOKUP(C913,[1]StuntDes!$B:$B,[1]StuntDes!$C:$C)),"")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443</v>
      </c>
      <c r="D914" t="s">
        <v>34</v>
      </c>
      <c r="E914" t="s">
        <v>410</v>
      </c>
      <c r="G914">
        <v>2</v>
      </c>
      <c r="H914">
        <v>1000</v>
      </c>
      <c r="I914">
        <v>3</v>
      </c>
      <c r="J914" cm="1">
        <f t="array" ref="J914">_xlfn.SWITCH(B914,1,75,2,61,3,49,4,37,5,25,6,13,7,4,8,1)</f>
        <v>4</v>
      </c>
      <c r="K914" t="str" cm="1">
        <f t="array" ref="K914">IFERROR(_xlfn.SWITCH(L914,1,_xlfn.XLOOKUP(C914,[1]AttributeName!$C:$C,[1]AttributeName!$I:$I),2,_xlfn.XLOOKUP(C914,[1]ModifierDes!$B:$B,[1]ModifierDes!$C:$C),3,_xlfn.XLOOKUP(C914,[1]StuntDes!$B:$B,[1]StuntDes!$C:$C)),"")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443</v>
      </c>
      <c r="D915" t="s">
        <v>34</v>
      </c>
      <c r="E915" t="s">
        <v>410</v>
      </c>
      <c r="G915">
        <v>2</v>
      </c>
      <c r="H915">
        <v>1000</v>
      </c>
      <c r="I915">
        <v>3</v>
      </c>
      <c r="J915" cm="1">
        <f t="array" ref="J915">_xlfn.SWITCH(B915,1,75,2,61,3,49,4,37,5,25,6,13,7,4,8,1)</f>
        <v>1</v>
      </c>
      <c r="K915" t="str" cm="1">
        <f t="array" ref="K915">IFERROR(_xlfn.SWITCH(L915,1,_xlfn.XLOOKUP(C915,[1]AttributeName!$C:$C,[1]AttributeName!$I:$I),2,_xlfn.XLOOKUP(C915,[1]ModifierDes!$B:$B,[1]ModifierDes!$C:$C),3,_xlfn.XLOOKUP(C915,[1]StuntDes!$B:$B,[1]StuntDes!$C:$C)),"")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403</v>
      </c>
      <c r="D916" t="s">
        <v>33</v>
      </c>
      <c r="E916" t="s">
        <v>410</v>
      </c>
      <c r="G916">
        <v>2</v>
      </c>
      <c r="H916">
        <v>1000</v>
      </c>
      <c r="J916" cm="1">
        <f t="array" ref="J916">_xlfn.SWITCH(B916,1,75,2,61,3,49,4,37,5,25,6,13,7,4,8,1)</f>
        <v>75</v>
      </c>
      <c r="K916" t="str" cm="1">
        <f t="array" ref="K916">IFERROR(_xlfn.SWITCH(L916,1,_xlfn.XLOOKUP(C916,[1]AttributeName!$C:$C,[1]AttributeName!$I:$I),2,_xlfn.XLOOKUP(C916,[1]ModifierDes!$B:$B,[1]ModifierDes!$C:$C),3,_xlfn.XLOOKUP(C916,[1]StuntDes!$B:$B,[1]StuntDes!$C:$C)),"")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403</v>
      </c>
      <c r="D917" t="s">
        <v>33</v>
      </c>
      <c r="E917" t="s">
        <v>410</v>
      </c>
      <c r="G917">
        <v>2</v>
      </c>
      <c r="H917">
        <v>1000</v>
      </c>
      <c r="J917" cm="1">
        <f t="array" ref="J917">_xlfn.SWITCH(B917,1,75,2,61,3,49,4,37,5,25,6,13,7,4,8,1)</f>
        <v>61</v>
      </c>
      <c r="K917" t="str" cm="1">
        <f t="array" ref="K917">IFERROR(_xlfn.SWITCH(L917,1,_xlfn.XLOOKUP(C917,[1]AttributeName!$C:$C,[1]AttributeName!$I:$I),2,_xlfn.XLOOKUP(C917,[1]ModifierDes!$B:$B,[1]ModifierDes!$C:$C),3,_xlfn.XLOOKUP(C917,[1]StuntDes!$B:$B,[1]StuntDes!$C:$C)),"")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403</v>
      </c>
      <c r="D918" t="s">
        <v>33</v>
      </c>
      <c r="E918" t="s">
        <v>410</v>
      </c>
      <c r="G918">
        <v>2</v>
      </c>
      <c r="H918">
        <v>1000</v>
      </c>
      <c r="J918" cm="1">
        <f t="array" ref="J918">_xlfn.SWITCH(B918,1,75,2,61,3,49,4,37,5,25,6,13,7,4,8,1)</f>
        <v>49</v>
      </c>
      <c r="K918" t="str" cm="1">
        <f t="array" ref="K918">IFERROR(_xlfn.SWITCH(L918,1,_xlfn.XLOOKUP(C918,[1]AttributeName!$C:$C,[1]AttributeName!$I:$I),2,_xlfn.XLOOKUP(C918,[1]ModifierDes!$B:$B,[1]ModifierDes!$C:$C),3,_xlfn.XLOOKUP(C918,[1]StuntDes!$B:$B,[1]StuntDes!$C:$C)),"")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403</v>
      </c>
      <c r="D919" t="s">
        <v>33</v>
      </c>
      <c r="E919" t="s">
        <v>410</v>
      </c>
      <c r="G919">
        <v>2</v>
      </c>
      <c r="H919">
        <v>1000</v>
      </c>
      <c r="J919" cm="1">
        <f t="array" ref="J919">_xlfn.SWITCH(B919,1,75,2,61,3,49,4,37,5,25,6,13,7,4,8,1)</f>
        <v>37</v>
      </c>
      <c r="K919" t="str" cm="1">
        <f t="array" ref="K919">IFERROR(_xlfn.SWITCH(L919,1,_xlfn.XLOOKUP(C919,[1]AttributeName!$C:$C,[1]AttributeName!$I:$I),2,_xlfn.XLOOKUP(C919,[1]ModifierDes!$B:$B,[1]ModifierDes!$C:$C),3,_xlfn.XLOOKUP(C919,[1]StuntDes!$B:$B,[1]StuntDes!$C:$C)),"")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403</v>
      </c>
      <c r="D920" t="s">
        <v>33</v>
      </c>
      <c r="E920" t="s">
        <v>410</v>
      </c>
      <c r="G920">
        <v>2</v>
      </c>
      <c r="H920">
        <v>1000</v>
      </c>
      <c r="J920" cm="1">
        <f t="array" ref="J920">_xlfn.SWITCH(B920,1,75,2,61,3,49,4,37,5,25,6,13,7,4,8,1)</f>
        <v>25</v>
      </c>
      <c r="K920" t="str" cm="1">
        <f t="array" ref="K920">IFERROR(_xlfn.SWITCH(L920,1,_xlfn.XLOOKUP(C920,[1]AttributeName!$C:$C,[1]AttributeName!$I:$I),2,_xlfn.XLOOKUP(C920,[1]ModifierDes!$B:$B,[1]ModifierDes!$C:$C),3,_xlfn.XLOOKUP(C920,[1]StuntDes!$B:$B,[1]StuntDes!$C:$C)),"")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403</v>
      </c>
      <c r="D921" t="s">
        <v>33</v>
      </c>
      <c r="E921" t="s">
        <v>410</v>
      </c>
      <c r="G921">
        <v>2</v>
      </c>
      <c r="H921">
        <v>1000</v>
      </c>
      <c r="J921" cm="1">
        <f t="array" ref="J921">_xlfn.SWITCH(B921,1,75,2,61,3,49,4,37,5,25,6,13,7,4,8,1)</f>
        <v>13</v>
      </c>
      <c r="K921" t="str" cm="1">
        <f t="array" ref="K921">IFERROR(_xlfn.SWITCH(L921,1,_xlfn.XLOOKUP(C921,[1]AttributeName!$C:$C,[1]AttributeName!$I:$I),2,_xlfn.XLOOKUP(C921,[1]ModifierDes!$B:$B,[1]ModifierDes!$C:$C),3,_xlfn.XLOOKUP(C921,[1]StuntDes!$B:$B,[1]StuntDes!$C:$C)),"")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403</v>
      </c>
      <c r="D922" t="s">
        <v>33</v>
      </c>
      <c r="E922" t="s">
        <v>410</v>
      </c>
      <c r="G922">
        <v>2</v>
      </c>
      <c r="H922">
        <v>1000</v>
      </c>
      <c r="J922" cm="1">
        <f t="array" ref="J922">_xlfn.SWITCH(B922,1,75,2,61,3,49,4,37,5,25,6,13,7,4,8,1)</f>
        <v>4</v>
      </c>
      <c r="K922" t="str" cm="1">
        <f t="array" ref="K922">IFERROR(_xlfn.SWITCH(L922,1,_xlfn.XLOOKUP(C922,[1]AttributeName!$C:$C,[1]AttributeName!$I:$I),2,_xlfn.XLOOKUP(C922,[1]ModifierDes!$B:$B,[1]ModifierDes!$C:$C),3,_xlfn.XLOOKUP(C922,[1]StuntDes!$B:$B,[1]StuntDes!$C:$C)),"")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403</v>
      </c>
      <c r="D923" t="s">
        <v>33</v>
      </c>
      <c r="E923" t="s">
        <v>410</v>
      </c>
      <c r="G923">
        <v>2</v>
      </c>
      <c r="H923">
        <v>1000</v>
      </c>
      <c r="J923" cm="1">
        <f t="array" ref="J923">_xlfn.SWITCH(B923,1,75,2,61,3,49,4,37,5,25,6,13,7,4,8,1)</f>
        <v>1</v>
      </c>
      <c r="K923" t="str" cm="1">
        <f t="array" ref="K923">IFERROR(_xlfn.SWITCH(L923,1,_xlfn.XLOOKUP(C923,[1]AttributeName!$C:$C,[1]AttributeName!$I:$I),2,_xlfn.XLOOKUP(C923,[1]ModifierDes!$B:$B,[1]ModifierDes!$C:$C),3,_xlfn.XLOOKUP(C923,[1]StuntDes!$B:$B,[1]StuntDes!$C:$C)),"")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444</v>
      </c>
      <c r="D924" t="s">
        <v>33</v>
      </c>
      <c r="E924" t="s">
        <v>410</v>
      </c>
      <c r="G924">
        <v>2</v>
      </c>
      <c r="H924">
        <v>1000</v>
      </c>
      <c r="J924" cm="1">
        <f t="array" ref="J924">_xlfn.SWITCH(B924,1,75,2,61,3,49,4,37,5,25,6,13,7,4,8,1)</f>
        <v>75</v>
      </c>
      <c r="K924" t="str" cm="1">
        <f t="array" ref="K924">IFERROR(_xlfn.SWITCH(L924,1,_xlfn.XLOOKUP(C924,[1]AttributeName!$C:$C,[1]AttributeName!$I:$I),2,_xlfn.XLOOKUP(C924,[1]ModifierDes!$B:$B,[1]ModifierDes!$C:$C),3,_xlfn.XLOOKUP(C924,[1]StuntDes!$B:$B,[1]StuntDes!$C:$C)),"")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444</v>
      </c>
      <c r="D925" t="s">
        <v>33</v>
      </c>
      <c r="E925" t="s">
        <v>410</v>
      </c>
      <c r="G925">
        <v>2</v>
      </c>
      <c r="H925">
        <v>1000</v>
      </c>
      <c r="J925" cm="1">
        <f t="array" ref="J925">_xlfn.SWITCH(B925,1,75,2,61,3,49,4,37,5,25,6,13,7,4,8,1)</f>
        <v>61</v>
      </c>
      <c r="K925" t="str" cm="1">
        <f t="array" ref="K925">IFERROR(_xlfn.SWITCH(L925,1,_xlfn.XLOOKUP(C925,[1]AttributeName!$C:$C,[1]AttributeName!$I:$I),2,_xlfn.XLOOKUP(C925,[1]ModifierDes!$B:$B,[1]ModifierDes!$C:$C),3,_xlfn.XLOOKUP(C925,[1]StuntDes!$B:$B,[1]StuntDes!$C:$C)),"")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444</v>
      </c>
      <c r="D926" t="s">
        <v>33</v>
      </c>
      <c r="E926" t="s">
        <v>410</v>
      </c>
      <c r="G926">
        <v>2</v>
      </c>
      <c r="H926">
        <v>1000</v>
      </c>
      <c r="J926" cm="1">
        <f t="array" ref="J926">_xlfn.SWITCH(B926,1,75,2,61,3,49,4,37,5,25,6,13,7,4,8,1)</f>
        <v>49</v>
      </c>
      <c r="K926" t="str" cm="1">
        <f t="array" ref="K926">IFERROR(_xlfn.SWITCH(L926,1,_xlfn.XLOOKUP(C926,[1]AttributeName!$C:$C,[1]AttributeName!$I:$I),2,_xlfn.XLOOKUP(C926,[1]ModifierDes!$B:$B,[1]ModifierDes!$C:$C),3,_xlfn.XLOOKUP(C926,[1]StuntDes!$B:$B,[1]StuntDes!$C:$C)),"")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444</v>
      </c>
      <c r="D927" t="s">
        <v>33</v>
      </c>
      <c r="E927" t="s">
        <v>410</v>
      </c>
      <c r="G927">
        <v>2</v>
      </c>
      <c r="H927">
        <v>1000</v>
      </c>
      <c r="J927" cm="1">
        <f t="array" ref="J927">_xlfn.SWITCH(B927,1,75,2,61,3,49,4,37,5,25,6,13,7,4,8,1)</f>
        <v>37</v>
      </c>
      <c r="K927" t="str" cm="1">
        <f t="array" ref="K927">IFERROR(_xlfn.SWITCH(L927,1,_xlfn.XLOOKUP(C927,[1]AttributeName!$C:$C,[1]AttributeName!$I:$I),2,_xlfn.XLOOKUP(C927,[1]ModifierDes!$B:$B,[1]ModifierDes!$C:$C),3,_xlfn.XLOOKUP(C927,[1]StuntDes!$B:$B,[1]StuntDes!$C:$C)),"")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444</v>
      </c>
      <c r="D928" t="s">
        <v>33</v>
      </c>
      <c r="E928" t="s">
        <v>410</v>
      </c>
      <c r="G928">
        <v>2</v>
      </c>
      <c r="H928">
        <v>1000</v>
      </c>
      <c r="J928" cm="1">
        <f t="array" ref="J928">_xlfn.SWITCH(B928,1,75,2,61,3,49,4,37,5,25,6,13,7,4,8,1)</f>
        <v>25</v>
      </c>
      <c r="K928" t="str" cm="1">
        <f t="array" ref="K928">IFERROR(_xlfn.SWITCH(L928,1,_xlfn.XLOOKUP(C928,[1]AttributeName!$C:$C,[1]AttributeName!$I:$I),2,_xlfn.XLOOKUP(C928,[1]ModifierDes!$B:$B,[1]ModifierDes!$C:$C),3,_xlfn.XLOOKUP(C928,[1]StuntDes!$B:$B,[1]StuntDes!$C:$C)),"")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444</v>
      </c>
      <c r="D929" t="s">
        <v>33</v>
      </c>
      <c r="E929" t="s">
        <v>410</v>
      </c>
      <c r="G929">
        <v>2</v>
      </c>
      <c r="H929">
        <v>1000</v>
      </c>
      <c r="J929" cm="1">
        <f t="array" ref="J929">_xlfn.SWITCH(B929,1,75,2,61,3,49,4,37,5,25,6,13,7,4,8,1)</f>
        <v>13</v>
      </c>
      <c r="K929" t="str" cm="1">
        <f t="array" ref="K929">IFERROR(_xlfn.SWITCH(L929,1,_xlfn.XLOOKUP(C929,[1]AttributeName!$C:$C,[1]AttributeName!$I:$I),2,_xlfn.XLOOKUP(C929,[1]ModifierDes!$B:$B,[1]ModifierDes!$C:$C),3,_xlfn.XLOOKUP(C929,[1]StuntDes!$B:$B,[1]StuntDes!$C:$C)),"")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444</v>
      </c>
      <c r="D930" t="s">
        <v>33</v>
      </c>
      <c r="E930" t="s">
        <v>410</v>
      </c>
      <c r="G930">
        <v>2</v>
      </c>
      <c r="H930">
        <v>1000</v>
      </c>
      <c r="J930" cm="1">
        <f t="array" ref="J930">_xlfn.SWITCH(B930,1,75,2,61,3,49,4,37,5,25,6,13,7,4,8,1)</f>
        <v>4</v>
      </c>
      <c r="K930" t="str" cm="1">
        <f t="array" ref="K930">IFERROR(_xlfn.SWITCH(L930,1,_xlfn.XLOOKUP(C930,[1]AttributeName!$C:$C,[1]AttributeName!$I:$I),2,_xlfn.XLOOKUP(C930,[1]ModifierDes!$B:$B,[1]ModifierDes!$C:$C),3,_xlfn.XLOOKUP(C930,[1]StuntDes!$B:$B,[1]StuntDes!$C:$C)),"")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444</v>
      </c>
      <c r="D931" t="s">
        <v>33</v>
      </c>
      <c r="E931" t="s">
        <v>410</v>
      </c>
      <c r="G931">
        <v>2</v>
      </c>
      <c r="H931">
        <v>1000</v>
      </c>
      <c r="J931" cm="1">
        <f t="array" ref="J931">_xlfn.SWITCH(B931,1,75,2,61,3,49,4,37,5,25,6,13,7,4,8,1)</f>
        <v>1</v>
      </c>
      <c r="K931" t="str" cm="1">
        <f t="array" ref="K931">IFERROR(_xlfn.SWITCH(L931,1,_xlfn.XLOOKUP(C931,[1]AttributeName!$C:$C,[1]AttributeName!$I:$I),2,_xlfn.XLOOKUP(C931,[1]ModifierDes!$B:$B,[1]ModifierDes!$C:$C),3,_xlfn.XLOOKUP(C931,[1]StuntDes!$B:$B,[1]StuntDes!$C:$C)),"")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424</v>
      </c>
      <c r="D932" t="s">
        <v>34</v>
      </c>
      <c r="E932" t="s">
        <v>410</v>
      </c>
      <c r="F932"/>
      <c r="G932">
        <v>2</v>
      </c>
      <c r="H932">
        <v>1000</v>
      </c>
      <c r="I932"/>
      <c r="J932" cm="1">
        <f t="array" ref="J932">_xlfn.SWITCH(B932,1,75,2,61,3,49,4,37,5,25,6,13,7,4,8,1)</f>
        <v>75</v>
      </c>
      <c r="K932" t="str" cm="1">
        <f t="array" ref="K932">IFERROR(_xlfn.SWITCH(L932,1,_xlfn.XLOOKUP(C932,[1]AttributeName!$C:$C,[1]AttributeName!$I:$I),2,_xlfn.XLOOKUP(C932,[1]ModifierDes!$B:$B,[1]ModifierDes!$C:$C),3,_xlfn.XLOOKUP(C932,[1]StuntDes!$B:$B,[1]StuntDes!$C:$C)),"")</f>
        <v>穿戴等级降低增加{0}</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424</v>
      </c>
      <c r="D933" t="s">
        <v>34</v>
      </c>
      <c r="E933" t="s">
        <v>410</v>
      </c>
      <c r="F933"/>
      <c r="G933">
        <v>2</v>
      </c>
      <c r="H933">
        <v>1000</v>
      </c>
      <c r="I933"/>
      <c r="J933" cm="1">
        <f t="array" ref="J933">_xlfn.SWITCH(B933,1,75,2,61,3,49,4,37,5,25,6,13,7,4,8,1)</f>
        <v>61</v>
      </c>
      <c r="K933" t="str" cm="1">
        <f t="array" ref="K933">IFERROR(_xlfn.SWITCH(L933,1,_xlfn.XLOOKUP(C933,[1]AttributeName!$C:$C,[1]AttributeName!$I:$I),2,_xlfn.XLOOKUP(C933,[1]ModifierDes!$B:$B,[1]ModifierDes!$C:$C),3,_xlfn.XLOOKUP(C933,[1]StuntDes!$B:$B,[1]StuntDes!$C:$C)),"")</f>
        <v>穿戴等级降低增加{0}</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424</v>
      </c>
      <c r="D934" t="s">
        <v>34</v>
      </c>
      <c r="E934" t="s">
        <v>410</v>
      </c>
      <c r="F934"/>
      <c r="G934">
        <v>2</v>
      </c>
      <c r="H934">
        <v>1000</v>
      </c>
      <c r="I934"/>
      <c r="J934" cm="1">
        <f t="array" ref="J934">_xlfn.SWITCH(B934,1,75,2,61,3,49,4,37,5,25,6,13,7,4,8,1)</f>
        <v>49</v>
      </c>
      <c r="K934" t="str" cm="1">
        <f t="array" ref="K934">IFERROR(_xlfn.SWITCH(L934,1,_xlfn.XLOOKUP(C934,[1]AttributeName!$C:$C,[1]AttributeName!$I:$I),2,_xlfn.XLOOKUP(C934,[1]ModifierDes!$B:$B,[1]ModifierDes!$C:$C),3,_xlfn.XLOOKUP(C934,[1]StuntDes!$B:$B,[1]StuntDes!$C:$C)),"")</f>
        <v>穿戴等级降低增加{0}</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424</v>
      </c>
      <c r="D935" t="s">
        <v>34</v>
      </c>
      <c r="E935" t="s">
        <v>410</v>
      </c>
      <c r="F935"/>
      <c r="G935">
        <v>2</v>
      </c>
      <c r="H935">
        <v>1000</v>
      </c>
      <c r="I935"/>
      <c r="J935" cm="1">
        <f t="array" ref="J935">_xlfn.SWITCH(B935,1,75,2,61,3,49,4,37,5,25,6,13,7,4,8,1)</f>
        <v>37</v>
      </c>
      <c r="K935" t="str" cm="1">
        <f t="array" ref="K935">IFERROR(_xlfn.SWITCH(L935,1,_xlfn.XLOOKUP(C935,[1]AttributeName!$C:$C,[1]AttributeName!$I:$I),2,_xlfn.XLOOKUP(C935,[1]ModifierDes!$B:$B,[1]ModifierDes!$C:$C),3,_xlfn.XLOOKUP(C935,[1]StuntDes!$B:$B,[1]StuntDes!$C:$C)),"")</f>
        <v>穿戴等级降低增加{0}</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424</v>
      </c>
      <c r="D936" t="s">
        <v>34</v>
      </c>
      <c r="E936" t="s">
        <v>410</v>
      </c>
      <c r="F936"/>
      <c r="G936">
        <v>2</v>
      </c>
      <c r="H936">
        <v>1000</v>
      </c>
      <c r="I936"/>
      <c r="J936" cm="1">
        <f t="array" ref="J936">_xlfn.SWITCH(B936,1,75,2,61,3,49,4,37,5,25,6,13,7,4,8,1)</f>
        <v>25</v>
      </c>
      <c r="K936" t="str" cm="1">
        <f t="array" ref="K936">IFERROR(_xlfn.SWITCH(L936,1,_xlfn.XLOOKUP(C936,[1]AttributeName!$C:$C,[1]AttributeName!$I:$I),2,_xlfn.XLOOKUP(C936,[1]ModifierDes!$B:$B,[1]ModifierDes!$C:$C),3,_xlfn.XLOOKUP(C936,[1]StuntDes!$B:$B,[1]StuntDes!$C:$C)),"")</f>
        <v>穿戴等级降低增加{0}</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424</v>
      </c>
      <c r="D937" t="s">
        <v>34</v>
      </c>
      <c r="E937" t="s">
        <v>410</v>
      </c>
      <c r="F937"/>
      <c r="G937">
        <v>2</v>
      </c>
      <c r="H937">
        <v>1000</v>
      </c>
      <c r="I937"/>
      <c r="J937" cm="1">
        <f t="array" ref="J937">_xlfn.SWITCH(B937,1,75,2,61,3,49,4,37,5,25,6,13,7,4,8,1)</f>
        <v>13</v>
      </c>
      <c r="K937" t="str" cm="1">
        <f t="array" ref="K937">IFERROR(_xlfn.SWITCH(L937,1,_xlfn.XLOOKUP(C937,[1]AttributeName!$C:$C,[1]AttributeName!$I:$I),2,_xlfn.XLOOKUP(C937,[1]ModifierDes!$B:$B,[1]ModifierDes!$C:$C),3,_xlfn.XLOOKUP(C937,[1]StuntDes!$B:$B,[1]StuntDes!$C:$C)),"")</f>
        <v>穿戴等级降低增加{0}</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424</v>
      </c>
      <c r="D938" t="s">
        <v>34</v>
      </c>
      <c r="E938" t="s">
        <v>410</v>
      </c>
      <c r="F938"/>
      <c r="G938">
        <v>2</v>
      </c>
      <c r="H938">
        <v>1000</v>
      </c>
      <c r="I938"/>
      <c r="J938" cm="1">
        <f t="array" ref="J938">_xlfn.SWITCH(B938,1,75,2,61,3,49,4,37,5,25,6,13,7,4,8,1)</f>
        <v>4</v>
      </c>
      <c r="K938" t="str" cm="1">
        <f t="array" ref="K938">IFERROR(_xlfn.SWITCH(L938,1,_xlfn.XLOOKUP(C938,[1]AttributeName!$C:$C,[1]AttributeName!$I:$I),2,_xlfn.XLOOKUP(C938,[1]ModifierDes!$B:$B,[1]ModifierDes!$C:$C),3,_xlfn.XLOOKUP(C938,[1]StuntDes!$B:$B,[1]StuntDes!$C:$C)),"")</f>
        <v>穿戴等级降低增加{0}</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424</v>
      </c>
      <c r="D939" t="s">
        <v>34</v>
      </c>
      <c r="E939" t="s">
        <v>410</v>
      </c>
      <c r="F939"/>
      <c r="G939">
        <v>2</v>
      </c>
      <c r="H939">
        <v>1000</v>
      </c>
      <c r="I939"/>
      <c r="J939" cm="1">
        <f t="array" ref="J939">_xlfn.SWITCH(B939,1,75,2,61,3,49,4,37,5,25,6,13,7,4,8,1)</f>
        <v>1</v>
      </c>
      <c r="K939" t="str" cm="1">
        <f t="array" ref="K939">IFERROR(_xlfn.SWITCH(L939,1,_xlfn.XLOOKUP(C939,[1]AttributeName!$C:$C,[1]AttributeName!$I:$I),2,_xlfn.XLOOKUP(C939,[1]ModifierDes!$B:$B,[1]ModifierDes!$C:$C),3,_xlfn.XLOOKUP(C939,[1]StuntDes!$B:$B,[1]StuntDes!$C:$C)),"")</f>
        <v>穿戴等级降低增加{0}</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445</v>
      </c>
      <c r="D940" t="s">
        <v>34</v>
      </c>
      <c r="E940" t="s">
        <v>410</v>
      </c>
      <c r="F940"/>
      <c r="G940">
        <v>2</v>
      </c>
      <c r="H940">
        <v>1000</v>
      </c>
      <c r="I940"/>
      <c r="J940" cm="1">
        <f t="array" ref="J940">_xlfn.SWITCH(B940,1,75,2,61,3,49,4,37,5,25,6,13,7,4,8,1)</f>
        <v>75</v>
      </c>
      <c r="K940" t="str" cm="1">
        <f t="array" ref="K940">IFERROR(_xlfn.SWITCH(L940,1,_xlfn.XLOOKUP(C940,[1]AttributeName!$C:$C,[1]AttributeName!$I:$I),2,_xlfn.XLOOKUP(C940,[1]ModifierDes!$B:$B,[1]ModifierDes!$C:$C),3,_xlfn.XLOOKUP(C940,[1]StuntDes!$B:$B,[1]StuntDes!$C:$C)),"")</f>
        <v>每秒生命恢复增加{0}</v>
      </c>
      <c r="L940">
        <f t="shared" si="80"/>
        <v>1</v>
      </c>
      <c r="M940" s="10" t="str">
        <f>IFERROR(_xlfn.XLOOKUP(C940,[1]StuntDes!$B:$B,[1]StuntDes!$A:$A),"")</f>
        <v/>
      </c>
      <c r="N940" s="10" t="str">
        <f>IFERROR(_xlfn.XLOOKUP(C940,[1]ModifierDes!$B:$B,[1]ModifierDes!$A:$A),"")</f>
        <v/>
      </c>
      <c r="O940" s="10">
        <f>IFERROR(_xlfn.XLOOKUP(C940,[1]AttributeName!$C:$C,[1]AttributeName!$B:$B),"")</f>
        <v>10003</v>
      </c>
      <c r="P940" s="10"/>
      <c r="Q940">
        <v>66</v>
      </c>
      <c r="R940">
        <v>99</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445</v>
      </c>
      <c r="D941" t="s">
        <v>34</v>
      </c>
      <c r="E941" t="s">
        <v>410</v>
      </c>
      <c r="F941"/>
      <c r="G941">
        <v>2</v>
      </c>
      <c r="H941">
        <v>1000</v>
      </c>
      <c r="I941"/>
      <c r="J941" cm="1">
        <f t="array" ref="J941">_xlfn.SWITCH(B941,1,75,2,61,3,49,4,37,5,25,6,13,7,4,8,1)</f>
        <v>61</v>
      </c>
      <c r="K941" t="str" cm="1">
        <f t="array" ref="K941">IFERROR(_xlfn.SWITCH(L941,1,_xlfn.XLOOKUP(C941,[1]AttributeName!$C:$C,[1]AttributeName!$I:$I),2,_xlfn.XLOOKUP(C941,[1]ModifierDes!$B:$B,[1]ModifierDes!$C:$C),3,_xlfn.XLOOKUP(C941,[1]StuntDes!$B:$B,[1]StuntDes!$C:$C)),"")</f>
        <v>每秒生命恢复增加{0}</v>
      </c>
      <c r="L941">
        <f t="shared" si="80"/>
        <v>1</v>
      </c>
      <c r="M941" s="10" t="str">
        <f>IFERROR(_xlfn.XLOOKUP(C941,[1]StuntDes!$B:$B,[1]StuntDes!$A:$A),"")</f>
        <v/>
      </c>
      <c r="N941" s="10" t="str">
        <f>IFERROR(_xlfn.XLOOKUP(C941,[1]ModifierDes!$B:$B,[1]ModifierDes!$A:$A),"")</f>
        <v/>
      </c>
      <c r="O941" s="10">
        <f>IFERROR(_xlfn.XLOOKUP(C941,[1]AttributeName!$C:$C,[1]AttributeName!$B:$B),"")</f>
        <v>10003</v>
      </c>
      <c r="P941" s="10"/>
      <c r="Q941">
        <v>55</v>
      </c>
      <c r="R941">
        <v>61</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445</v>
      </c>
      <c r="D942" t="s">
        <v>34</v>
      </c>
      <c r="E942" t="s">
        <v>410</v>
      </c>
      <c r="F942"/>
      <c r="G942">
        <v>2</v>
      </c>
      <c r="H942">
        <v>1000</v>
      </c>
      <c r="I942"/>
      <c r="J942" cm="1">
        <f t="array" ref="J942">_xlfn.SWITCH(B942,1,75,2,61,3,49,4,37,5,25,6,13,7,4,8,1)</f>
        <v>49</v>
      </c>
      <c r="K942" t="str" cm="1">
        <f t="array" ref="K942">IFERROR(_xlfn.SWITCH(L942,1,_xlfn.XLOOKUP(C942,[1]AttributeName!$C:$C,[1]AttributeName!$I:$I),2,_xlfn.XLOOKUP(C942,[1]ModifierDes!$B:$B,[1]ModifierDes!$C:$C),3,_xlfn.XLOOKUP(C942,[1]StuntDes!$B:$B,[1]StuntDes!$C:$C)),"")</f>
        <v>每秒生命恢复增加{0}</v>
      </c>
      <c r="L942">
        <f t="shared" si="80"/>
        <v>1</v>
      </c>
      <c r="M942" s="10" t="str">
        <f>IFERROR(_xlfn.XLOOKUP(C942,[1]StuntDes!$B:$B,[1]StuntDes!$A:$A),"")</f>
        <v/>
      </c>
      <c r="N942" s="10" t="str">
        <f>IFERROR(_xlfn.XLOOKUP(C942,[1]ModifierDes!$B:$B,[1]ModifierDes!$A:$A),"")</f>
        <v/>
      </c>
      <c r="O942" s="10">
        <f>IFERROR(_xlfn.XLOOKUP(C942,[1]AttributeName!$C:$C,[1]AttributeName!$B:$B),"")</f>
        <v>10003</v>
      </c>
      <c r="P942" s="10"/>
      <c r="Q942">
        <v>45</v>
      </c>
      <c r="R942">
        <v>51</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445</v>
      </c>
      <c r="D943" t="s">
        <v>34</v>
      </c>
      <c r="E943" t="s">
        <v>410</v>
      </c>
      <c r="F943"/>
      <c r="G943">
        <v>2</v>
      </c>
      <c r="H943">
        <v>1000</v>
      </c>
      <c r="I943"/>
      <c r="J943" cm="1">
        <f t="array" ref="J943">_xlfn.SWITCH(B943,1,75,2,61,3,49,4,37,5,25,6,13,7,4,8,1)</f>
        <v>37</v>
      </c>
      <c r="K943" t="str" cm="1">
        <f t="array" ref="K943">IFERROR(_xlfn.SWITCH(L943,1,_xlfn.XLOOKUP(C943,[1]AttributeName!$C:$C,[1]AttributeName!$I:$I),2,_xlfn.XLOOKUP(C943,[1]ModifierDes!$B:$B,[1]ModifierDes!$C:$C),3,_xlfn.XLOOKUP(C943,[1]StuntDes!$B:$B,[1]StuntDes!$C:$C)),"")</f>
        <v>每秒生命恢复增加{0}</v>
      </c>
      <c r="L943">
        <f t="shared" si="80"/>
        <v>1</v>
      </c>
      <c r="M943" s="10" t="str">
        <f>IFERROR(_xlfn.XLOOKUP(C943,[1]StuntDes!$B:$B,[1]StuntDes!$A:$A),"")</f>
        <v/>
      </c>
      <c r="N943" s="10" t="str">
        <f>IFERROR(_xlfn.XLOOKUP(C943,[1]ModifierDes!$B:$B,[1]ModifierDes!$A:$A),"")</f>
        <v/>
      </c>
      <c r="O943" s="10">
        <f>IFERROR(_xlfn.XLOOKUP(C943,[1]AttributeName!$C:$C,[1]AttributeName!$B:$B),"")</f>
        <v>10003</v>
      </c>
      <c r="P943" s="10"/>
      <c r="Q943">
        <v>36</v>
      </c>
      <c r="R943">
        <v>42</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445</v>
      </c>
      <c r="D944" t="s">
        <v>34</v>
      </c>
      <c r="E944" t="s">
        <v>410</v>
      </c>
      <c r="F944"/>
      <c r="G944">
        <v>2</v>
      </c>
      <c r="H944">
        <v>1000</v>
      </c>
      <c r="I944"/>
      <c r="J944" cm="1">
        <f t="array" ref="J944">_xlfn.SWITCH(B944,1,75,2,61,3,49,4,37,5,25,6,13,7,4,8,1)</f>
        <v>25</v>
      </c>
      <c r="K944" t="str" cm="1">
        <f t="array" ref="K944">IFERROR(_xlfn.SWITCH(L944,1,_xlfn.XLOOKUP(C944,[1]AttributeName!$C:$C,[1]AttributeName!$I:$I),2,_xlfn.XLOOKUP(C944,[1]ModifierDes!$B:$B,[1]ModifierDes!$C:$C),3,_xlfn.XLOOKUP(C944,[1]StuntDes!$B:$B,[1]StuntDes!$C:$C)),"")</f>
        <v>每秒生命恢复增加{0}</v>
      </c>
      <c r="L944">
        <f t="shared" si="80"/>
        <v>1</v>
      </c>
      <c r="M944" s="10" t="str">
        <f>IFERROR(_xlfn.XLOOKUP(C944,[1]StuntDes!$B:$B,[1]StuntDes!$A:$A),"")</f>
        <v/>
      </c>
      <c r="N944" s="10" t="str">
        <f>IFERROR(_xlfn.XLOOKUP(C944,[1]ModifierDes!$B:$B,[1]ModifierDes!$A:$A),"")</f>
        <v/>
      </c>
      <c r="O944" s="10">
        <f>IFERROR(_xlfn.XLOOKUP(C944,[1]AttributeName!$C:$C,[1]AttributeName!$B:$B),"")</f>
        <v>10003</v>
      </c>
      <c r="P944" s="10"/>
      <c r="Q944">
        <v>28</v>
      </c>
      <c r="R944">
        <v>33</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445</v>
      </c>
      <c r="D945" t="s">
        <v>34</v>
      </c>
      <c r="E945" t="s">
        <v>410</v>
      </c>
      <c r="F945"/>
      <c r="G945">
        <v>2</v>
      </c>
      <c r="H945">
        <v>1000</v>
      </c>
      <c r="I945"/>
      <c r="J945" cm="1">
        <f t="array" ref="J945">_xlfn.SWITCH(B945,1,75,2,61,3,49,4,37,5,25,6,13,7,4,8,1)</f>
        <v>13</v>
      </c>
      <c r="K945" t="str" cm="1">
        <f t="array" ref="K945">IFERROR(_xlfn.SWITCH(L945,1,_xlfn.XLOOKUP(C945,[1]AttributeName!$C:$C,[1]AttributeName!$I:$I),2,_xlfn.XLOOKUP(C945,[1]ModifierDes!$B:$B,[1]ModifierDes!$C:$C),3,_xlfn.XLOOKUP(C945,[1]StuntDes!$B:$B,[1]StuntDes!$C:$C)),"")</f>
        <v>每秒生命恢复增加{0}</v>
      </c>
      <c r="L945">
        <f t="shared" si="80"/>
        <v>1</v>
      </c>
      <c r="M945" s="10" t="str">
        <f>IFERROR(_xlfn.XLOOKUP(C945,[1]StuntDes!$B:$B,[1]StuntDes!$A:$A),"")</f>
        <v/>
      </c>
      <c r="N945" s="10" t="str">
        <f>IFERROR(_xlfn.XLOOKUP(C945,[1]ModifierDes!$B:$B,[1]ModifierDes!$A:$A),"")</f>
        <v/>
      </c>
      <c r="O945" s="10">
        <f>IFERROR(_xlfn.XLOOKUP(C945,[1]AttributeName!$C:$C,[1]AttributeName!$B:$B),"")</f>
        <v>10003</v>
      </c>
      <c r="P945" s="10"/>
      <c r="Q945">
        <v>21</v>
      </c>
      <c r="R945">
        <v>26</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445</v>
      </c>
      <c r="D946" t="s">
        <v>34</v>
      </c>
      <c r="E946" t="s">
        <v>410</v>
      </c>
      <c r="F946"/>
      <c r="G946">
        <v>2</v>
      </c>
      <c r="H946">
        <v>1000</v>
      </c>
      <c r="I946"/>
      <c r="J946" cm="1">
        <f t="array" ref="J946">_xlfn.SWITCH(B946,1,75,2,61,3,49,4,37,5,25,6,13,7,4,8,1)</f>
        <v>4</v>
      </c>
      <c r="K946" t="str" cm="1">
        <f t="array" ref="K946">IFERROR(_xlfn.SWITCH(L946,1,_xlfn.XLOOKUP(C946,[1]AttributeName!$C:$C,[1]AttributeName!$I:$I),2,_xlfn.XLOOKUP(C946,[1]ModifierDes!$B:$B,[1]ModifierDes!$C:$C),3,_xlfn.XLOOKUP(C946,[1]StuntDes!$B:$B,[1]StuntDes!$C:$C)),"")</f>
        <v>每秒生命恢复增加{0}</v>
      </c>
      <c r="L946">
        <f t="shared" si="80"/>
        <v>1</v>
      </c>
      <c r="M946" s="10" t="str">
        <f>IFERROR(_xlfn.XLOOKUP(C946,[1]StuntDes!$B:$B,[1]StuntDes!$A:$A),"")</f>
        <v/>
      </c>
      <c r="N946" s="10" t="str">
        <f>IFERROR(_xlfn.XLOOKUP(C946,[1]ModifierDes!$B:$B,[1]ModifierDes!$A:$A),"")</f>
        <v/>
      </c>
      <c r="O946" s="10">
        <f>IFERROR(_xlfn.XLOOKUP(C946,[1]AttributeName!$C:$C,[1]AttributeName!$B:$B),"")</f>
        <v>10003</v>
      </c>
      <c r="P946" s="10"/>
      <c r="Q946">
        <v>14</v>
      </c>
      <c r="R946">
        <v>18</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445</v>
      </c>
      <c r="D947" t="s">
        <v>34</v>
      </c>
      <c r="E947" t="s">
        <v>410</v>
      </c>
      <c r="F947"/>
      <c r="G947">
        <v>2</v>
      </c>
      <c r="H947">
        <v>1000</v>
      </c>
      <c r="I947"/>
      <c r="J947" cm="1">
        <f t="array" ref="J947">_xlfn.SWITCH(B947,1,75,2,61,3,49,4,37,5,25,6,13,7,4,8,1)</f>
        <v>1</v>
      </c>
      <c r="K947" t="str" cm="1">
        <f t="array" ref="K947">IFERROR(_xlfn.SWITCH(L947,1,_xlfn.XLOOKUP(C947,[1]AttributeName!$C:$C,[1]AttributeName!$I:$I),2,_xlfn.XLOOKUP(C947,[1]ModifierDes!$B:$B,[1]ModifierDes!$C:$C),3,_xlfn.XLOOKUP(C947,[1]StuntDes!$B:$B,[1]StuntDes!$C:$C)),"")</f>
        <v>每秒生命恢复增加{0}</v>
      </c>
      <c r="L947">
        <f t="shared" si="80"/>
        <v>1</v>
      </c>
      <c r="M947" s="10" t="str">
        <f>IFERROR(_xlfn.XLOOKUP(C947,[1]StuntDes!$B:$B,[1]StuntDes!$A:$A),"")</f>
        <v/>
      </c>
      <c r="N947" s="10" t="str">
        <f>IFERROR(_xlfn.XLOOKUP(C947,[1]ModifierDes!$B:$B,[1]ModifierDes!$A:$A),"")</f>
        <v/>
      </c>
      <c r="O947" s="10">
        <f>IFERROR(_xlfn.XLOOKUP(C947,[1]AttributeName!$C:$C,[1]AttributeName!$B:$B),"")</f>
        <v>10003</v>
      </c>
      <c r="P947" s="10"/>
      <c r="Q947">
        <v>8</v>
      </c>
      <c r="R947">
        <v>13</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446</v>
      </c>
      <c r="D948" t="s">
        <v>34</v>
      </c>
      <c r="E948" t="s">
        <v>410</v>
      </c>
      <c r="G948">
        <v>2</v>
      </c>
      <c r="H948">
        <v>1000</v>
      </c>
      <c r="J948" cm="1">
        <f t="array" ref="J948">_xlfn.SWITCH(B948,1,75,2,61,3,49,4,37,5,25,6,13,7,4,8,1)</f>
        <v>75</v>
      </c>
      <c r="K948" t="str" cm="1">
        <f t="array" ref="K948">IFERROR(_xlfn.SWITCH(L948,1,_xlfn.XLOOKUP(C948,[1]AttributeName!$C:$C,[1]AttributeName!$I:$I),2,_xlfn.XLOOKUP(C948,[1]ModifierDes!$B:$B,[1]ModifierDes!$C:$C),3,_xlfn.XLOOKUP(C948,[1]StuntDes!$B:$B,[1]StuntDes!$C:$C)),"")</f>
        <v>每秒魔力恢复增加{0}</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44</v>
      </c>
      <c r="R948">
        <v>66</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446</v>
      </c>
      <c r="D949" t="s">
        <v>34</v>
      </c>
      <c r="E949" t="s">
        <v>410</v>
      </c>
      <c r="G949">
        <v>2</v>
      </c>
      <c r="H949">
        <v>1000</v>
      </c>
      <c r="J949" cm="1">
        <f t="array" ref="J949">_xlfn.SWITCH(B949,1,75,2,61,3,49,4,37,5,25,6,13,7,4,8,1)</f>
        <v>61</v>
      </c>
      <c r="K949" t="str" cm="1">
        <f t="array" ref="K949">IFERROR(_xlfn.SWITCH(L949,1,_xlfn.XLOOKUP(C949,[1]AttributeName!$C:$C,[1]AttributeName!$I:$I),2,_xlfn.XLOOKUP(C949,[1]ModifierDes!$B:$B,[1]ModifierDes!$C:$C),3,_xlfn.XLOOKUP(C949,[1]StuntDes!$B:$B,[1]StuntDes!$C:$C)),"")</f>
        <v>每秒魔力恢复增加{0}</v>
      </c>
      <c r="L949">
        <f t="shared" si="82"/>
        <v>1</v>
      </c>
      <c r="M949" s="10" t="str">
        <f>IFERROR(_xlfn.XLOOKUP(C949,[1]StuntDes!$B:$B,[1]StuntDes!$A:$A),"")</f>
        <v/>
      </c>
      <c r="N949" s="10" t="str">
        <f>IFERROR(_xlfn.XLOOKUP(C949,[1]ModifierDes!$B:$B,[1]ModifierDes!$A:$A),"")</f>
        <v/>
      </c>
      <c r="O949" s="10">
        <f>IFERROR(_xlfn.XLOOKUP(C949,[1]AttributeName!$C:$C,[1]AttributeName!$B:$B),"")</f>
        <v>10005</v>
      </c>
      <c r="P949" s="10"/>
      <c r="Q949">
        <v>37</v>
      </c>
      <c r="R949">
        <v>40</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446</v>
      </c>
      <c r="D950" t="s">
        <v>34</v>
      </c>
      <c r="E950" t="s">
        <v>410</v>
      </c>
      <c r="G950">
        <v>2</v>
      </c>
      <c r="H950">
        <v>1000</v>
      </c>
      <c r="J950" cm="1">
        <f t="array" ref="J950">_xlfn.SWITCH(B950,1,75,2,61,3,49,4,37,5,25,6,13,7,4,8,1)</f>
        <v>49</v>
      </c>
      <c r="K950" t="str" cm="1">
        <f t="array" ref="K950">IFERROR(_xlfn.SWITCH(L950,1,_xlfn.XLOOKUP(C950,[1]AttributeName!$C:$C,[1]AttributeName!$I:$I),2,_xlfn.XLOOKUP(C950,[1]ModifierDes!$B:$B,[1]ModifierDes!$C:$C),3,_xlfn.XLOOKUP(C950,[1]StuntDes!$B:$B,[1]StuntDes!$C:$C)),"")</f>
        <v>每秒魔力恢复增加{0}</v>
      </c>
      <c r="L950">
        <f t="shared" si="82"/>
        <v>1</v>
      </c>
      <c r="M950" s="10" t="str">
        <f>IFERROR(_xlfn.XLOOKUP(C950,[1]StuntDes!$B:$B,[1]StuntDes!$A:$A),"")</f>
        <v/>
      </c>
      <c r="N950" s="10" t="str">
        <f>IFERROR(_xlfn.XLOOKUP(C950,[1]ModifierDes!$B:$B,[1]ModifierDes!$A:$A),"")</f>
        <v/>
      </c>
      <c r="O950" s="10">
        <f>IFERROR(_xlfn.XLOOKUP(C950,[1]AttributeName!$C:$C,[1]AttributeName!$B:$B),"")</f>
        <v>10005</v>
      </c>
      <c r="P950" s="10"/>
      <c r="Q950">
        <v>30</v>
      </c>
      <c r="R950">
        <v>34</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446</v>
      </c>
      <c r="D951" t="s">
        <v>34</v>
      </c>
      <c r="E951" t="s">
        <v>410</v>
      </c>
      <c r="G951">
        <v>2</v>
      </c>
      <c r="H951">
        <v>1000</v>
      </c>
      <c r="J951" cm="1">
        <f t="array" ref="J951">_xlfn.SWITCH(B951,1,75,2,61,3,49,4,37,5,25,6,13,7,4,8,1)</f>
        <v>37</v>
      </c>
      <c r="K951" t="str" cm="1">
        <f t="array" ref="K951">IFERROR(_xlfn.SWITCH(L951,1,_xlfn.XLOOKUP(C951,[1]AttributeName!$C:$C,[1]AttributeName!$I:$I),2,_xlfn.XLOOKUP(C951,[1]ModifierDes!$B:$B,[1]ModifierDes!$C:$C),3,_xlfn.XLOOKUP(C951,[1]StuntDes!$B:$B,[1]StuntDes!$C:$C)),"")</f>
        <v>每秒魔力恢复增加{0}</v>
      </c>
      <c r="L951">
        <f t="shared" si="82"/>
        <v>1</v>
      </c>
      <c r="M951" s="10" t="str">
        <f>IFERROR(_xlfn.XLOOKUP(C951,[1]StuntDes!$B:$B,[1]StuntDes!$A:$A),"")</f>
        <v/>
      </c>
      <c r="N951" s="10" t="str">
        <f>IFERROR(_xlfn.XLOOKUP(C951,[1]ModifierDes!$B:$B,[1]ModifierDes!$A:$A),"")</f>
        <v/>
      </c>
      <c r="O951" s="10">
        <f>IFERROR(_xlfn.XLOOKUP(C951,[1]AttributeName!$C:$C,[1]AttributeName!$B:$B),"")</f>
        <v>10005</v>
      </c>
      <c r="P951" s="10"/>
      <c r="Q951">
        <v>24</v>
      </c>
      <c r="R951">
        <v>28</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446</v>
      </c>
      <c r="D952" t="s">
        <v>34</v>
      </c>
      <c r="E952" t="s">
        <v>410</v>
      </c>
      <c r="G952">
        <v>2</v>
      </c>
      <c r="H952">
        <v>1000</v>
      </c>
      <c r="J952" cm="1">
        <f t="array" ref="J952">_xlfn.SWITCH(B952,1,75,2,61,3,49,4,37,5,25,6,13,7,4,8,1)</f>
        <v>25</v>
      </c>
      <c r="K952" t="str" cm="1">
        <f t="array" ref="K952">IFERROR(_xlfn.SWITCH(L952,1,_xlfn.XLOOKUP(C952,[1]AttributeName!$C:$C,[1]AttributeName!$I:$I),2,_xlfn.XLOOKUP(C952,[1]ModifierDes!$B:$B,[1]ModifierDes!$C:$C),3,_xlfn.XLOOKUP(C952,[1]StuntDes!$B:$B,[1]StuntDes!$C:$C)),"")</f>
        <v>每秒魔力恢复增加{0}</v>
      </c>
      <c r="L952">
        <f t="shared" si="82"/>
        <v>1</v>
      </c>
      <c r="M952" s="10" t="str">
        <f>IFERROR(_xlfn.XLOOKUP(C952,[1]StuntDes!$B:$B,[1]StuntDes!$A:$A),"")</f>
        <v/>
      </c>
      <c r="N952" s="10" t="str">
        <f>IFERROR(_xlfn.XLOOKUP(C952,[1]ModifierDes!$B:$B,[1]ModifierDes!$A:$A),"")</f>
        <v/>
      </c>
      <c r="O952" s="10">
        <f>IFERROR(_xlfn.XLOOKUP(C952,[1]AttributeName!$C:$C,[1]AttributeName!$B:$B),"")</f>
        <v>10005</v>
      </c>
      <c r="P952" s="10"/>
      <c r="Q952">
        <v>19</v>
      </c>
      <c r="R952">
        <v>22</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446</v>
      </c>
      <c r="D953" t="s">
        <v>34</v>
      </c>
      <c r="E953" t="s">
        <v>410</v>
      </c>
      <c r="G953">
        <v>2</v>
      </c>
      <c r="H953">
        <v>1000</v>
      </c>
      <c r="J953" cm="1">
        <f t="array" ref="J953">_xlfn.SWITCH(B953,1,75,2,61,3,49,4,37,5,25,6,13,7,4,8,1)</f>
        <v>13</v>
      </c>
      <c r="K953" t="str" cm="1">
        <f t="array" ref="K953">IFERROR(_xlfn.SWITCH(L953,1,_xlfn.XLOOKUP(C953,[1]AttributeName!$C:$C,[1]AttributeName!$I:$I),2,_xlfn.XLOOKUP(C953,[1]ModifierDes!$B:$B,[1]ModifierDes!$C:$C),3,_xlfn.XLOOKUP(C953,[1]StuntDes!$B:$B,[1]StuntDes!$C:$C)),"")</f>
        <v>每秒魔力恢复增加{0}</v>
      </c>
      <c r="L953">
        <f t="shared" si="82"/>
        <v>1</v>
      </c>
      <c r="M953" s="10" t="str">
        <f>IFERROR(_xlfn.XLOOKUP(C953,[1]StuntDes!$B:$B,[1]StuntDes!$A:$A),"")</f>
        <v/>
      </c>
      <c r="N953" s="10" t="str">
        <f>IFERROR(_xlfn.XLOOKUP(C953,[1]ModifierDes!$B:$B,[1]ModifierDes!$A:$A),"")</f>
        <v/>
      </c>
      <c r="O953" s="10">
        <f>IFERROR(_xlfn.XLOOKUP(C953,[1]AttributeName!$C:$C,[1]AttributeName!$B:$B),"")</f>
        <v>10005</v>
      </c>
      <c r="P953" s="10"/>
      <c r="Q953">
        <v>14</v>
      </c>
      <c r="R953">
        <v>17</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446</v>
      </c>
      <c r="D954" t="s">
        <v>34</v>
      </c>
      <c r="E954" t="s">
        <v>410</v>
      </c>
      <c r="G954">
        <v>2</v>
      </c>
      <c r="H954">
        <v>1000</v>
      </c>
      <c r="J954" cm="1">
        <f t="array" ref="J954">_xlfn.SWITCH(B954,1,75,2,61,3,49,4,37,5,25,6,13,7,4,8,1)</f>
        <v>4</v>
      </c>
      <c r="K954" t="str" cm="1">
        <f t="array" ref="K954">IFERROR(_xlfn.SWITCH(L954,1,_xlfn.XLOOKUP(C954,[1]AttributeName!$C:$C,[1]AttributeName!$I:$I),2,_xlfn.XLOOKUP(C954,[1]ModifierDes!$B:$B,[1]ModifierDes!$C:$C),3,_xlfn.XLOOKUP(C954,[1]StuntDes!$B:$B,[1]StuntDes!$C:$C)),"")</f>
        <v>每秒魔力恢复增加{0}</v>
      </c>
      <c r="L954">
        <f t="shared" si="82"/>
        <v>1</v>
      </c>
      <c r="M954" s="10" t="str">
        <f>IFERROR(_xlfn.XLOOKUP(C954,[1]StuntDes!$B:$B,[1]StuntDes!$A:$A),"")</f>
        <v/>
      </c>
      <c r="N954" s="10" t="str">
        <f>IFERROR(_xlfn.XLOOKUP(C954,[1]ModifierDes!$B:$B,[1]ModifierDes!$A:$A),"")</f>
        <v/>
      </c>
      <c r="O954" s="10">
        <f>IFERROR(_xlfn.XLOOKUP(C954,[1]AttributeName!$C:$C,[1]AttributeName!$B:$B),"")</f>
        <v>10005</v>
      </c>
      <c r="P954" s="10"/>
      <c r="Q954">
        <v>9</v>
      </c>
      <c r="R954">
        <v>12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446</v>
      </c>
      <c r="D955" t="s">
        <v>34</v>
      </c>
      <c r="E955" t="s">
        <v>410</v>
      </c>
      <c r="G955">
        <v>2</v>
      </c>
      <c r="H955">
        <v>1000</v>
      </c>
      <c r="J955" cm="1">
        <f t="array" ref="J955">_xlfn.SWITCH(B955,1,75,2,61,3,49,4,37,5,25,6,13,7,4,8,1)</f>
        <v>1</v>
      </c>
      <c r="K955" t="str" cm="1">
        <f t="array" ref="K955">IFERROR(_xlfn.SWITCH(L955,1,_xlfn.XLOOKUP(C955,[1]AttributeName!$C:$C,[1]AttributeName!$I:$I),2,_xlfn.XLOOKUP(C955,[1]ModifierDes!$B:$B,[1]ModifierDes!$C:$C),3,_xlfn.XLOOKUP(C955,[1]StuntDes!$B:$B,[1]StuntDes!$C:$C)),"")</f>
        <v>每秒魔力恢复增加{0}</v>
      </c>
      <c r="L955">
        <f t="shared" si="82"/>
        <v>1</v>
      </c>
      <c r="M955" s="10" t="str">
        <f>IFERROR(_xlfn.XLOOKUP(C955,[1]StuntDes!$B:$B,[1]StuntDes!$A:$A),"")</f>
        <v/>
      </c>
      <c r="N955" s="10" t="str">
        <f>IFERROR(_xlfn.XLOOKUP(C955,[1]ModifierDes!$B:$B,[1]ModifierDes!$A:$A),"")</f>
        <v/>
      </c>
      <c r="O955" s="10">
        <f>IFERROR(_xlfn.XLOOKUP(C955,[1]AttributeName!$C:$C,[1]AttributeName!$B:$B),"")</f>
        <v>10005</v>
      </c>
      <c r="P955" s="10"/>
      <c r="Q955">
        <v>5</v>
      </c>
      <c r="R955">
        <v>8</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407</v>
      </c>
      <c r="D956" t="s">
        <v>35</v>
      </c>
      <c r="E956" t="s">
        <v>393</v>
      </c>
      <c r="F956"/>
      <c r="G956">
        <v>1</v>
      </c>
      <c r="H956">
        <v>1000</v>
      </c>
      <c r="I956"/>
      <c r="J956" cm="1">
        <f t="array" ref="J956">_xlfn.SWITCH(B956,1,75,2,61,3,49,4,37,5,25,6,13,7,4,8,1)</f>
        <v>75</v>
      </c>
      <c r="K956" t="str" cm="1">
        <f t="array" ref="K956">IFERROR(_xlfn.SWITCH(L956,1,_xlfn.XLOOKUP(C956,[1]AttributeName!$C:$C,[1]AttributeName!$I:$I),2,_xlfn.XLOOKUP(C956,[1]ModifierDes!$B:$B,[1]ModifierDes!$C:$C),3,_xlfn.XLOOKUP(C956,[1]StuntDes!$B:$B,[1]StuntDes!$C:$C)),"")</f>
        <v>基础生命增加{0}</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407</v>
      </c>
      <c r="D957" t="s">
        <v>35</v>
      </c>
      <c r="E957" t="s">
        <v>393</v>
      </c>
      <c r="F957"/>
      <c r="G957">
        <v>1</v>
      </c>
      <c r="H957">
        <v>1000</v>
      </c>
      <c r="I957"/>
      <c r="J957" cm="1">
        <f t="array" ref="J957">_xlfn.SWITCH(B957,1,75,2,61,3,49,4,37,5,25,6,13,7,4,8,1)</f>
        <v>61</v>
      </c>
      <c r="K957" t="str" cm="1">
        <f t="array" ref="K957">IFERROR(_xlfn.SWITCH(L957,1,_xlfn.XLOOKUP(C957,[1]AttributeName!$C:$C,[1]AttributeName!$I:$I),2,_xlfn.XLOOKUP(C957,[1]ModifierDes!$B:$B,[1]ModifierDes!$C:$C),3,_xlfn.XLOOKUP(C957,[1]StuntDes!$B:$B,[1]StuntDes!$C:$C)),"")</f>
        <v>基础生命增加{0}</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407</v>
      </c>
      <c r="D958" t="s">
        <v>35</v>
      </c>
      <c r="E958" t="s">
        <v>393</v>
      </c>
      <c r="F958"/>
      <c r="G958">
        <v>1</v>
      </c>
      <c r="H958">
        <v>1000</v>
      </c>
      <c r="I958"/>
      <c r="J958" cm="1">
        <f t="array" ref="J958">_xlfn.SWITCH(B958,1,75,2,61,3,49,4,37,5,25,6,13,7,4,8,1)</f>
        <v>49</v>
      </c>
      <c r="K958" t="str" cm="1">
        <f t="array" ref="K958">IFERROR(_xlfn.SWITCH(L958,1,_xlfn.XLOOKUP(C958,[1]AttributeName!$C:$C,[1]AttributeName!$I:$I),2,_xlfn.XLOOKUP(C958,[1]ModifierDes!$B:$B,[1]ModifierDes!$C:$C),3,_xlfn.XLOOKUP(C958,[1]StuntDes!$B:$B,[1]StuntDes!$C:$C)),"")</f>
        <v>基础生命增加{0}</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407</v>
      </c>
      <c r="D959" t="s">
        <v>35</v>
      </c>
      <c r="E959" t="s">
        <v>393</v>
      </c>
      <c r="F959"/>
      <c r="G959">
        <v>1</v>
      </c>
      <c r="H959">
        <v>1000</v>
      </c>
      <c r="I959"/>
      <c r="J959" cm="1">
        <f t="array" ref="J959">_xlfn.SWITCH(B959,1,75,2,61,3,49,4,37,5,25,6,13,7,4,8,1)</f>
        <v>37</v>
      </c>
      <c r="K959" t="str" cm="1">
        <f t="array" ref="K959">IFERROR(_xlfn.SWITCH(L959,1,_xlfn.XLOOKUP(C959,[1]AttributeName!$C:$C,[1]AttributeName!$I:$I),2,_xlfn.XLOOKUP(C959,[1]ModifierDes!$B:$B,[1]ModifierDes!$C:$C),3,_xlfn.XLOOKUP(C959,[1]StuntDes!$B:$B,[1]StuntDes!$C:$C)),"")</f>
        <v>基础生命增加{0}</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407</v>
      </c>
      <c r="D960" t="s">
        <v>35</v>
      </c>
      <c r="E960" t="s">
        <v>393</v>
      </c>
      <c r="F960"/>
      <c r="G960">
        <v>1</v>
      </c>
      <c r="H960">
        <v>1000</v>
      </c>
      <c r="I960"/>
      <c r="J960" cm="1">
        <f t="array" ref="J960">_xlfn.SWITCH(B960,1,75,2,61,3,49,4,37,5,25,6,13,7,4,8,1)</f>
        <v>25</v>
      </c>
      <c r="K960" t="str" cm="1">
        <f t="array" ref="K960">IFERROR(_xlfn.SWITCH(L960,1,_xlfn.XLOOKUP(C960,[1]AttributeName!$C:$C,[1]AttributeName!$I:$I),2,_xlfn.XLOOKUP(C960,[1]ModifierDes!$B:$B,[1]ModifierDes!$C:$C),3,_xlfn.XLOOKUP(C960,[1]StuntDes!$B:$B,[1]StuntDes!$C:$C)),"")</f>
        <v>基础生命增加{0}</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407</v>
      </c>
      <c r="D961" t="s">
        <v>35</v>
      </c>
      <c r="E961" t="s">
        <v>393</v>
      </c>
      <c r="F961"/>
      <c r="G961">
        <v>1</v>
      </c>
      <c r="H961">
        <v>1000</v>
      </c>
      <c r="I961"/>
      <c r="J961" cm="1">
        <f t="array" ref="J961">_xlfn.SWITCH(B961,1,75,2,61,3,49,4,37,5,25,6,13,7,4,8,1)</f>
        <v>13</v>
      </c>
      <c r="K961" t="str" cm="1">
        <f t="array" ref="K961">IFERROR(_xlfn.SWITCH(L961,1,_xlfn.XLOOKUP(C961,[1]AttributeName!$C:$C,[1]AttributeName!$I:$I),2,_xlfn.XLOOKUP(C961,[1]ModifierDes!$B:$B,[1]ModifierDes!$C:$C),3,_xlfn.XLOOKUP(C961,[1]StuntDes!$B:$B,[1]StuntDes!$C:$C)),"")</f>
        <v>基础生命增加{0}</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407</v>
      </c>
      <c r="D962" t="s">
        <v>35</v>
      </c>
      <c r="E962" t="s">
        <v>393</v>
      </c>
      <c r="F962"/>
      <c r="G962">
        <v>1</v>
      </c>
      <c r="H962">
        <v>1000</v>
      </c>
      <c r="I962"/>
      <c r="J962" cm="1">
        <f t="array" ref="J962">_xlfn.SWITCH(B962,1,75,2,61,3,49,4,37,5,25,6,13,7,4,8,1)</f>
        <v>4</v>
      </c>
      <c r="K962" t="str" cm="1">
        <f t="array" ref="K962">IFERROR(_xlfn.SWITCH(L962,1,_xlfn.XLOOKUP(C962,[1]AttributeName!$C:$C,[1]AttributeName!$I:$I),2,_xlfn.XLOOKUP(C962,[1]ModifierDes!$B:$B,[1]ModifierDes!$C:$C),3,_xlfn.XLOOKUP(C962,[1]StuntDes!$B:$B,[1]StuntDes!$C:$C)),"")</f>
        <v>基础生命增加{0}</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407</v>
      </c>
      <c r="D963" t="s">
        <v>35</v>
      </c>
      <c r="E963" t="s">
        <v>393</v>
      </c>
      <c r="F963"/>
      <c r="G963">
        <v>1</v>
      </c>
      <c r="H963">
        <v>1000</v>
      </c>
      <c r="I963"/>
      <c r="J963" cm="1">
        <f t="array" ref="J963">_xlfn.SWITCH(B963,1,75,2,61,3,49,4,37,5,25,6,13,7,4,8,1)</f>
        <v>1</v>
      </c>
      <c r="K963" t="str" cm="1">
        <f t="array" ref="K963">IFERROR(_xlfn.SWITCH(L963,1,_xlfn.XLOOKUP(C963,[1]AttributeName!$C:$C,[1]AttributeName!$I:$I),2,_xlfn.XLOOKUP(C963,[1]ModifierDes!$B:$B,[1]ModifierDes!$C:$C),3,_xlfn.XLOOKUP(C963,[1]StuntDes!$B:$B,[1]StuntDes!$C:$C)),"")</f>
        <v>基础生命增加{0}</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408</v>
      </c>
      <c r="D964" t="s">
        <v>35</v>
      </c>
      <c r="E964" t="s">
        <v>393</v>
      </c>
      <c r="F964"/>
      <c r="G964">
        <v>1</v>
      </c>
      <c r="H964">
        <v>1000</v>
      </c>
      <c r="I964"/>
      <c r="J964" cm="1">
        <f t="array" ref="J964">_xlfn.SWITCH(B964,1,75,2,61,3,49,4,37,5,25,6,13,7,4,8,1)</f>
        <v>75</v>
      </c>
      <c r="K964" t="str" cm="1">
        <f t="array" ref="K964">IFERROR(_xlfn.SWITCH(L964,1,_xlfn.XLOOKUP(C964,[1]AttributeName!$C:$C,[1]AttributeName!$I:$I),2,_xlfn.XLOOKUP(C964,[1]ModifierDes!$B:$B,[1]ModifierDes!$C:$C),3,_xlfn.XLOOKUP(C964,[1]StuntDes!$B:$B,[1]StuntDes!$C:$C)),"")</f>
        <v>基础魔力增加{0}</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408</v>
      </c>
      <c r="D965" t="s">
        <v>35</v>
      </c>
      <c r="E965" t="s">
        <v>393</v>
      </c>
      <c r="F965"/>
      <c r="G965">
        <v>1</v>
      </c>
      <c r="H965">
        <v>1000</v>
      </c>
      <c r="I965"/>
      <c r="J965" cm="1">
        <f t="array" ref="J965">_xlfn.SWITCH(B965,1,75,2,61,3,49,4,37,5,25,6,13,7,4,8,1)</f>
        <v>61</v>
      </c>
      <c r="K965" t="str" cm="1">
        <f t="array" ref="K965">IFERROR(_xlfn.SWITCH(L965,1,_xlfn.XLOOKUP(C965,[1]AttributeName!$C:$C,[1]AttributeName!$I:$I),2,_xlfn.XLOOKUP(C965,[1]ModifierDes!$B:$B,[1]ModifierDes!$C:$C),3,_xlfn.XLOOKUP(C965,[1]StuntDes!$B:$B,[1]StuntDes!$C:$C)),"")</f>
        <v>基础魔力增加{0}</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408</v>
      </c>
      <c r="D966" t="s">
        <v>35</v>
      </c>
      <c r="E966" t="s">
        <v>393</v>
      </c>
      <c r="F966"/>
      <c r="G966">
        <v>1</v>
      </c>
      <c r="H966">
        <v>1000</v>
      </c>
      <c r="I966"/>
      <c r="J966" cm="1">
        <f t="array" ref="J966">_xlfn.SWITCH(B966,1,75,2,61,3,49,4,37,5,25,6,13,7,4,8,1)</f>
        <v>49</v>
      </c>
      <c r="K966" t="str" cm="1">
        <f t="array" ref="K966">IFERROR(_xlfn.SWITCH(L966,1,_xlfn.XLOOKUP(C966,[1]AttributeName!$C:$C,[1]AttributeName!$I:$I),2,_xlfn.XLOOKUP(C966,[1]ModifierDes!$B:$B,[1]ModifierDes!$C:$C),3,_xlfn.XLOOKUP(C966,[1]StuntDes!$B:$B,[1]StuntDes!$C:$C)),"")</f>
        <v>基础魔力增加{0}</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408</v>
      </c>
      <c r="D967" t="s">
        <v>35</v>
      </c>
      <c r="E967" t="s">
        <v>393</v>
      </c>
      <c r="F967"/>
      <c r="G967">
        <v>1</v>
      </c>
      <c r="H967">
        <v>1000</v>
      </c>
      <c r="I967"/>
      <c r="J967" cm="1">
        <f t="array" ref="J967">_xlfn.SWITCH(B967,1,75,2,61,3,49,4,37,5,25,6,13,7,4,8,1)</f>
        <v>37</v>
      </c>
      <c r="K967" t="str" cm="1">
        <f t="array" ref="K967">IFERROR(_xlfn.SWITCH(L967,1,_xlfn.XLOOKUP(C967,[1]AttributeName!$C:$C,[1]AttributeName!$I:$I),2,_xlfn.XLOOKUP(C967,[1]ModifierDes!$B:$B,[1]ModifierDes!$C:$C),3,_xlfn.XLOOKUP(C967,[1]StuntDes!$B:$B,[1]StuntDes!$C:$C)),"")</f>
        <v>基础魔力增加{0}</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408</v>
      </c>
      <c r="D968" t="s">
        <v>35</v>
      </c>
      <c r="E968" t="s">
        <v>393</v>
      </c>
      <c r="F968"/>
      <c r="G968">
        <v>1</v>
      </c>
      <c r="H968">
        <v>1000</v>
      </c>
      <c r="I968"/>
      <c r="J968" cm="1">
        <f t="array" ref="J968">_xlfn.SWITCH(B968,1,75,2,61,3,49,4,37,5,25,6,13,7,4,8,1)</f>
        <v>25</v>
      </c>
      <c r="K968" t="str" cm="1">
        <f t="array" ref="K968">IFERROR(_xlfn.SWITCH(L968,1,_xlfn.XLOOKUP(C968,[1]AttributeName!$C:$C,[1]AttributeName!$I:$I),2,_xlfn.XLOOKUP(C968,[1]ModifierDes!$B:$B,[1]ModifierDes!$C:$C),3,_xlfn.XLOOKUP(C968,[1]StuntDes!$B:$B,[1]StuntDes!$C:$C)),"")</f>
        <v>基础魔力增加{0}</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408</v>
      </c>
      <c r="D969" t="s">
        <v>35</v>
      </c>
      <c r="E969" t="s">
        <v>393</v>
      </c>
      <c r="F969"/>
      <c r="G969">
        <v>1</v>
      </c>
      <c r="H969">
        <v>1000</v>
      </c>
      <c r="I969"/>
      <c r="J969" cm="1">
        <f t="array" ref="J969">_xlfn.SWITCH(B969,1,75,2,61,3,49,4,37,5,25,6,13,7,4,8,1)</f>
        <v>13</v>
      </c>
      <c r="K969" t="str" cm="1">
        <f t="array" ref="K969">IFERROR(_xlfn.SWITCH(L969,1,_xlfn.XLOOKUP(C969,[1]AttributeName!$C:$C,[1]AttributeName!$I:$I),2,_xlfn.XLOOKUP(C969,[1]ModifierDes!$B:$B,[1]ModifierDes!$C:$C),3,_xlfn.XLOOKUP(C969,[1]StuntDes!$B:$B,[1]StuntDes!$C:$C)),"")</f>
        <v>基础魔力增加{0}</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408</v>
      </c>
      <c r="D970" t="s">
        <v>35</v>
      </c>
      <c r="E970" t="s">
        <v>393</v>
      </c>
      <c r="F970"/>
      <c r="G970">
        <v>1</v>
      </c>
      <c r="H970">
        <v>1000</v>
      </c>
      <c r="I970"/>
      <c r="J970" cm="1">
        <f t="array" ref="J970">_xlfn.SWITCH(B970,1,75,2,61,3,49,4,37,5,25,6,13,7,4,8,1)</f>
        <v>4</v>
      </c>
      <c r="K970" t="str" cm="1">
        <f t="array" ref="K970">IFERROR(_xlfn.SWITCH(L970,1,_xlfn.XLOOKUP(C970,[1]AttributeName!$C:$C,[1]AttributeName!$I:$I),2,_xlfn.XLOOKUP(C970,[1]ModifierDes!$B:$B,[1]ModifierDes!$C:$C),3,_xlfn.XLOOKUP(C970,[1]StuntDes!$B:$B,[1]StuntDes!$C:$C)),"")</f>
        <v>基础魔力增加{0}</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408</v>
      </c>
      <c r="D971" t="s">
        <v>35</v>
      </c>
      <c r="E971" t="s">
        <v>393</v>
      </c>
      <c r="F971"/>
      <c r="G971">
        <v>1</v>
      </c>
      <c r="H971">
        <v>1000</v>
      </c>
      <c r="I971"/>
      <c r="J971" cm="1">
        <f t="array" ref="J971">_xlfn.SWITCH(B971,1,75,2,61,3,49,4,37,5,25,6,13,7,4,8,1)</f>
        <v>1</v>
      </c>
      <c r="K971" t="str" cm="1">
        <f t="array" ref="K971">IFERROR(_xlfn.SWITCH(L971,1,_xlfn.XLOOKUP(C971,[1]AttributeName!$C:$C,[1]AttributeName!$I:$I),2,_xlfn.XLOOKUP(C971,[1]ModifierDes!$B:$B,[1]ModifierDes!$C:$C),3,_xlfn.XLOOKUP(C971,[1]StuntDes!$B:$B,[1]StuntDes!$C:$C)),"")</f>
        <v>基础魔力增加{0}</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428</v>
      </c>
      <c r="D972" t="s">
        <v>35</v>
      </c>
      <c r="E972" t="s">
        <v>393</v>
      </c>
      <c r="F972"/>
      <c r="G972">
        <v>1</v>
      </c>
      <c r="H972">
        <v>1000</v>
      </c>
      <c r="I972"/>
      <c r="J972" cm="1">
        <f t="array" ref="J972">_xlfn.SWITCH(B972,1,75,2,61,3,49,4,37,5,25,6,13,7,4,8,1)</f>
        <v>75</v>
      </c>
      <c r="K972" t="str" cm="1">
        <f t="array" ref="K972">IFERROR(_xlfn.SWITCH(L972,1,_xlfn.XLOOKUP(C972,[1]AttributeName!$C:$C,[1]AttributeName!$I:$I),2,_xlfn.XLOOKUP(C972,[1]ModifierDes!$B:$B,[1]ModifierDes!$C:$C),3,_xlfn.XLOOKUP(C972,[1]StuntDes!$B:$B,[1]StuntDes!$C:$C)),"")</f>
        <v>防御力增加{0}</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428</v>
      </c>
      <c r="D973" t="s">
        <v>35</v>
      </c>
      <c r="E973" t="s">
        <v>393</v>
      </c>
      <c r="F973"/>
      <c r="G973">
        <v>1</v>
      </c>
      <c r="H973">
        <v>1000</v>
      </c>
      <c r="I973"/>
      <c r="J973" cm="1">
        <f t="array" ref="J973">_xlfn.SWITCH(B973,1,75,2,61,3,49,4,37,5,25,6,13,7,4,8,1)</f>
        <v>61</v>
      </c>
      <c r="K973" t="str" cm="1">
        <f t="array" ref="K973">IFERROR(_xlfn.SWITCH(L973,1,_xlfn.XLOOKUP(C973,[1]AttributeName!$C:$C,[1]AttributeName!$I:$I),2,_xlfn.XLOOKUP(C973,[1]ModifierDes!$B:$B,[1]ModifierDes!$C:$C),3,_xlfn.XLOOKUP(C973,[1]StuntDes!$B:$B,[1]StuntDes!$C:$C)),"")</f>
        <v>防御力增加{0}</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428</v>
      </c>
      <c r="D974" t="s">
        <v>35</v>
      </c>
      <c r="E974" t="s">
        <v>393</v>
      </c>
      <c r="F974"/>
      <c r="G974">
        <v>1</v>
      </c>
      <c r="H974">
        <v>1000</v>
      </c>
      <c r="I974"/>
      <c r="J974" cm="1">
        <f t="array" ref="J974">_xlfn.SWITCH(B974,1,75,2,61,3,49,4,37,5,25,6,13,7,4,8,1)</f>
        <v>49</v>
      </c>
      <c r="K974" t="str" cm="1">
        <f t="array" ref="K974">IFERROR(_xlfn.SWITCH(L974,1,_xlfn.XLOOKUP(C974,[1]AttributeName!$C:$C,[1]AttributeName!$I:$I),2,_xlfn.XLOOKUP(C974,[1]ModifierDes!$B:$B,[1]ModifierDes!$C:$C),3,_xlfn.XLOOKUP(C974,[1]StuntDes!$B:$B,[1]StuntDes!$C:$C)),"")</f>
        <v>防御力增加{0}</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428</v>
      </c>
      <c r="D975" t="s">
        <v>35</v>
      </c>
      <c r="E975" t="s">
        <v>393</v>
      </c>
      <c r="F975"/>
      <c r="G975">
        <v>1</v>
      </c>
      <c r="H975">
        <v>1000</v>
      </c>
      <c r="I975"/>
      <c r="J975" cm="1">
        <f t="array" ref="J975">_xlfn.SWITCH(B975,1,75,2,61,3,49,4,37,5,25,6,13,7,4,8,1)</f>
        <v>37</v>
      </c>
      <c r="K975" t="str" cm="1">
        <f t="array" ref="K975">IFERROR(_xlfn.SWITCH(L975,1,_xlfn.XLOOKUP(C975,[1]AttributeName!$C:$C,[1]AttributeName!$I:$I),2,_xlfn.XLOOKUP(C975,[1]ModifierDes!$B:$B,[1]ModifierDes!$C:$C),3,_xlfn.XLOOKUP(C975,[1]StuntDes!$B:$B,[1]StuntDes!$C:$C)),"")</f>
        <v>防御力增加{0}</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428</v>
      </c>
      <c r="D976" t="s">
        <v>35</v>
      </c>
      <c r="E976" t="s">
        <v>393</v>
      </c>
      <c r="F976"/>
      <c r="G976">
        <v>1</v>
      </c>
      <c r="H976">
        <v>1000</v>
      </c>
      <c r="I976"/>
      <c r="J976" cm="1">
        <f t="array" ref="J976">_xlfn.SWITCH(B976,1,75,2,61,3,49,4,37,5,25,6,13,7,4,8,1)</f>
        <v>25</v>
      </c>
      <c r="K976" t="str" cm="1">
        <f t="array" ref="K976">IFERROR(_xlfn.SWITCH(L976,1,_xlfn.XLOOKUP(C976,[1]AttributeName!$C:$C,[1]AttributeName!$I:$I),2,_xlfn.XLOOKUP(C976,[1]ModifierDes!$B:$B,[1]ModifierDes!$C:$C),3,_xlfn.XLOOKUP(C976,[1]StuntDes!$B:$B,[1]StuntDes!$C:$C)),"")</f>
        <v>防御力增加{0}</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428</v>
      </c>
      <c r="D977" t="s">
        <v>35</v>
      </c>
      <c r="E977" t="s">
        <v>393</v>
      </c>
      <c r="F977"/>
      <c r="G977">
        <v>1</v>
      </c>
      <c r="H977">
        <v>1000</v>
      </c>
      <c r="I977"/>
      <c r="J977" cm="1">
        <f t="array" ref="J977">_xlfn.SWITCH(B977,1,75,2,61,3,49,4,37,5,25,6,13,7,4,8,1)</f>
        <v>13</v>
      </c>
      <c r="K977" t="str" cm="1">
        <f t="array" ref="K977">IFERROR(_xlfn.SWITCH(L977,1,_xlfn.XLOOKUP(C977,[1]AttributeName!$C:$C,[1]AttributeName!$I:$I),2,_xlfn.XLOOKUP(C977,[1]ModifierDes!$B:$B,[1]ModifierDes!$C:$C),3,_xlfn.XLOOKUP(C977,[1]StuntDes!$B:$B,[1]StuntDes!$C:$C)),"")</f>
        <v>防御力增加{0}</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428</v>
      </c>
      <c r="D978" t="s">
        <v>35</v>
      </c>
      <c r="E978" t="s">
        <v>393</v>
      </c>
      <c r="F978"/>
      <c r="G978">
        <v>1</v>
      </c>
      <c r="H978">
        <v>1000</v>
      </c>
      <c r="I978"/>
      <c r="J978" cm="1">
        <f t="array" ref="J978">_xlfn.SWITCH(B978,1,75,2,61,3,49,4,37,5,25,6,13,7,4,8,1)</f>
        <v>4</v>
      </c>
      <c r="K978" t="str" cm="1">
        <f t="array" ref="K978">IFERROR(_xlfn.SWITCH(L978,1,_xlfn.XLOOKUP(C978,[1]AttributeName!$C:$C,[1]AttributeName!$I:$I),2,_xlfn.XLOOKUP(C978,[1]ModifierDes!$B:$B,[1]ModifierDes!$C:$C),3,_xlfn.XLOOKUP(C978,[1]StuntDes!$B:$B,[1]StuntDes!$C:$C)),"")</f>
        <v>防御力增加{0}</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428</v>
      </c>
      <c r="D979" t="s">
        <v>35</v>
      </c>
      <c r="E979" t="s">
        <v>393</v>
      </c>
      <c r="F979"/>
      <c r="G979">
        <v>1</v>
      </c>
      <c r="H979">
        <v>1000</v>
      </c>
      <c r="I979"/>
      <c r="J979" cm="1">
        <f t="array" ref="J979">_xlfn.SWITCH(B979,1,75,2,61,3,49,4,37,5,25,6,13,7,4,8,1)</f>
        <v>1</v>
      </c>
      <c r="K979" t="str" cm="1">
        <f t="array" ref="K979">IFERROR(_xlfn.SWITCH(L979,1,_xlfn.XLOOKUP(C979,[1]AttributeName!$C:$C,[1]AttributeName!$I:$I),2,_xlfn.XLOOKUP(C979,[1]ModifierDes!$B:$B,[1]ModifierDes!$C:$C),3,_xlfn.XLOOKUP(C979,[1]StuntDes!$B:$B,[1]StuntDes!$C:$C)),"")</f>
        <v>防御力增加{0}</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429</v>
      </c>
      <c r="D980" t="s">
        <v>35</v>
      </c>
      <c r="E980" t="s">
        <v>393</v>
      </c>
      <c r="F980"/>
      <c r="G980">
        <v>1</v>
      </c>
      <c r="H980">
        <v>250</v>
      </c>
      <c r="I980"/>
      <c r="J980" cm="1">
        <f t="array" ref="J980">_xlfn.SWITCH(B980,1,75,2,61,3,49,4,37,5,25,6,13,7,4,8,1)</f>
        <v>75</v>
      </c>
      <c r="K980" t="str" cm="1">
        <f t="array" ref="K980">IFERROR(_xlfn.SWITCH(L980,1,_xlfn.XLOOKUP(C980,[1]AttributeName!$C:$C,[1]AttributeName!$I:$I),2,_xlfn.XLOOKUP(C980,[1]ModifierDes!$B:$B,[1]ModifierDes!$C:$C),3,_xlfn.XLOOKUP(C980,[1]StuntDes!$B:$B,[1]StuntDes!$C:$C)),"")</f>
        <v>攻击格挡率增加{0}</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429</v>
      </c>
      <c r="D981" t="s">
        <v>35</v>
      </c>
      <c r="E981" t="s">
        <v>393</v>
      </c>
      <c r="F981"/>
      <c r="G981">
        <v>1</v>
      </c>
      <c r="H981">
        <v>250</v>
      </c>
      <c r="I981"/>
      <c r="J981" cm="1">
        <f t="array" ref="J981">_xlfn.SWITCH(B981,1,75,2,61,3,49,4,37,5,25,6,13,7,4,8,1)</f>
        <v>61</v>
      </c>
      <c r="K981" t="str" cm="1">
        <f t="array" ref="K981">IFERROR(_xlfn.SWITCH(L981,1,_xlfn.XLOOKUP(C981,[1]AttributeName!$C:$C,[1]AttributeName!$I:$I),2,_xlfn.XLOOKUP(C981,[1]ModifierDes!$B:$B,[1]ModifierDes!$C:$C),3,_xlfn.XLOOKUP(C981,[1]StuntDes!$B:$B,[1]StuntDes!$C:$C)),"")</f>
        <v>攻击格挡率增加{0}</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429</v>
      </c>
      <c r="D982" t="s">
        <v>35</v>
      </c>
      <c r="E982" t="s">
        <v>393</v>
      </c>
      <c r="F982"/>
      <c r="G982">
        <v>1</v>
      </c>
      <c r="H982">
        <v>250</v>
      </c>
      <c r="I982"/>
      <c r="J982" cm="1">
        <f t="array" ref="J982">_xlfn.SWITCH(B982,1,75,2,61,3,49,4,37,5,25,6,13,7,4,8,1)</f>
        <v>49</v>
      </c>
      <c r="K982" t="str" cm="1">
        <f t="array" ref="K982">IFERROR(_xlfn.SWITCH(L982,1,_xlfn.XLOOKUP(C982,[1]AttributeName!$C:$C,[1]AttributeName!$I:$I),2,_xlfn.XLOOKUP(C982,[1]ModifierDes!$B:$B,[1]ModifierDes!$C:$C),3,_xlfn.XLOOKUP(C982,[1]StuntDes!$B:$B,[1]StuntDes!$C:$C)),"")</f>
        <v>攻击格挡率增加{0}</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429</v>
      </c>
      <c r="D983" t="s">
        <v>35</v>
      </c>
      <c r="E983" t="s">
        <v>393</v>
      </c>
      <c r="F983"/>
      <c r="G983">
        <v>1</v>
      </c>
      <c r="H983">
        <v>250</v>
      </c>
      <c r="I983"/>
      <c r="J983" cm="1">
        <f t="array" ref="J983">_xlfn.SWITCH(B983,1,75,2,61,3,49,4,37,5,25,6,13,7,4,8,1)</f>
        <v>37</v>
      </c>
      <c r="K983" t="str" cm="1">
        <f t="array" ref="K983">IFERROR(_xlfn.SWITCH(L983,1,_xlfn.XLOOKUP(C983,[1]AttributeName!$C:$C,[1]AttributeName!$I:$I),2,_xlfn.XLOOKUP(C983,[1]ModifierDes!$B:$B,[1]ModifierDes!$C:$C),3,_xlfn.XLOOKUP(C983,[1]StuntDes!$B:$B,[1]StuntDes!$C:$C)),"")</f>
        <v>攻击格挡率增加{0}</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429</v>
      </c>
      <c r="D984" t="s">
        <v>35</v>
      </c>
      <c r="E984" t="s">
        <v>393</v>
      </c>
      <c r="F984"/>
      <c r="G984">
        <v>1</v>
      </c>
      <c r="H984">
        <v>250</v>
      </c>
      <c r="I984"/>
      <c r="J984" cm="1">
        <f t="array" ref="J984">_xlfn.SWITCH(B984,1,75,2,61,3,49,4,37,5,25,6,13,7,4,8,1)</f>
        <v>25</v>
      </c>
      <c r="K984" t="str" cm="1">
        <f t="array" ref="K984">IFERROR(_xlfn.SWITCH(L984,1,_xlfn.XLOOKUP(C984,[1]AttributeName!$C:$C,[1]AttributeName!$I:$I),2,_xlfn.XLOOKUP(C984,[1]ModifierDes!$B:$B,[1]ModifierDes!$C:$C),3,_xlfn.XLOOKUP(C984,[1]StuntDes!$B:$B,[1]StuntDes!$C:$C)),"")</f>
        <v>攻击格挡率增加{0}</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429</v>
      </c>
      <c r="D985" t="s">
        <v>35</v>
      </c>
      <c r="E985" t="s">
        <v>393</v>
      </c>
      <c r="F985"/>
      <c r="G985">
        <v>1</v>
      </c>
      <c r="H985">
        <v>250</v>
      </c>
      <c r="I985"/>
      <c r="J985" cm="1">
        <f t="array" ref="J985">_xlfn.SWITCH(B985,1,75,2,61,3,49,4,37,5,25,6,13,7,4,8,1)</f>
        <v>13</v>
      </c>
      <c r="K985" t="str" cm="1">
        <f t="array" ref="K985">IFERROR(_xlfn.SWITCH(L985,1,_xlfn.XLOOKUP(C985,[1]AttributeName!$C:$C,[1]AttributeName!$I:$I),2,_xlfn.XLOOKUP(C985,[1]ModifierDes!$B:$B,[1]ModifierDes!$C:$C),3,_xlfn.XLOOKUP(C985,[1]StuntDes!$B:$B,[1]StuntDes!$C:$C)),"")</f>
        <v>攻击格挡率增加{0}</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429</v>
      </c>
      <c r="D986" t="s">
        <v>35</v>
      </c>
      <c r="E986" t="s">
        <v>393</v>
      </c>
      <c r="F986"/>
      <c r="G986">
        <v>1</v>
      </c>
      <c r="H986">
        <v>250</v>
      </c>
      <c r="I986"/>
      <c r="J986" cm="1">
        <f t="array" ref="J986">_xlfn.SWITCH(B986,1,75,2,61,3,49,4,37,5,25,6,13,7,4,8,1)</f>
        <v>4</v>
      </c>
      <c r="K986" t="str" cm="1">
        <f t="array" ref="K986">IFERROR(_xlfn.SWITCH(L986,1,_xlfn.XLOOKUP(C986,[1]AttributeName!$C:$C,[1]AttributeName!$I:$I),2,_xlfn.XLOOKUP(C986,[1]ModifierDes!$B:$B,[1]ModifierDes!$C:$C),3,_xlfn.XLOOKUP(C986,[1]StuntDes!$B:$B,[1]StuntDes!$C:$C)),"")</f>
        <v>攻击格挡率增加{0}</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429</v>
      </c>
      <c r="D987" t="s">
        <v>35</v>
      </c>
      <c r="E987" t="s">
        <v>393</v>
      </c>
      <c r="F987"/>
      <c r="G987">
        <v>1</v>
      </c>
      <c r="H987">
        <v>250</v>
      </c>
      <c r="I987"/>
      <c r="J987" cm="1">
        <f t="array" ref="J987">_xlfn.SWITCH(B987,1,75,2,61,3,49,4,37,5,25,6,13,7,4,8,1)</f>
        <v>1</v>
      </c>
      <c r="K987" t="str" cm="1">
        <f t="array" ref="K987">IFERROR(_xlfn.SWITCH(L987,1,_xlfn.XLOOKUP(C987,[1]AttributeName!$C:$C,[1]AttributeName!$I:$I),2,_xlfn.XLOOKUP(C987,[1]ModifierDes!$B:$B,[1]ModifierDes!$C:$C),3,_xlfn.XLOOKUP(C987,[1]StuntDes!$B:$B,[1]StuntDes!$C:$C)),"")</f>
        <v>攻击格挡率增加{0}</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430</v>
      </c>
      <c r="D988" t="s">
        <v>35</v>
      </c>
      <c r="E988" t="s">
        <v>393</v>
      </c>
      <c r="G988">
        <v>1</v>
      </c>
      <c r="H988">
        <v>250</v>
      </c>
      <c r="J988" cm="1">
        <f t="array" ref="J988">_xlfn.SWITCH(B988,1,75,2,61,3,49,4,37,5,25,6,13,7,4,8,1)</f>
        <v>75</v>
      </c>
      <c r="K988" t="str" cm="1">
        <f t="array" ref="K988">IFERROR(_xlfn.SWITCH(L988,1,_xlfn.XLOOKUP(C988,[1]AttributeName!$C:$C,[1]AttributeName!$I:$I),2,_xlfn.XLOOKUP(C988,[1]ModifierDes!$B:$B,[1]ModifierDes!$C:$C),3,_xlfn.XLOOKUP(C988,[1]StuntDes!$B:$B,[1]StuntDes!$C:$C)),"")</f>
        <v>法术格挡率增加{0}</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430</v>
      </c>
      <c r="D989" t="s">
        <v>35</v>
      </c>
      <c r="E989" t="s">
        <v>393</v>
      </c>
      <c r="G989">
        <v>1</v>
      </c>
      <c r="H989">
        <v>250</v>
      </c>
      <c r="J989" cm="1">
        <f t="array" ref="J989">_xlfn.SWITCH(B989,1,75,2,61,3,49,4,37,5,25,6,13,7,4,8,1)</f>
        <v>61</v>
      </c>
      <c r="K989" t="str" cm="1">
        <f t="array" ref="K989">IFERROR(_xlfn.SWITCH(L989,1,_xlfn.XLOOKUP(C989,[1]AttributeName!$C:$C,[1]AttributeName!$I:$I),2,_xlfn.XLOOKUP(C989,[1]ModifierDes!$B:$B,[1]ModifierDes!$C:$C),3,_xlfn.XLOOKUP(C989,[1]StuntDes!$B:$B,[1]StuntDes!$C:$C)),"")</f>
        <v>法术格挡率增加{0}</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430</v>
      </c>
      <c r="D990" t="s">
        <v>35</v>
      </c>
      <c r="E990" t="s">
        <v>393</v>
      </c>
      <c r="G990">
        <v>1</v>
      </c>
      <c r="H990">
        <v>250</v>
      </c>
      <c r="J990" cm="1">
        <f t="array" ref="J990">_xlfn.SWITCH(B990,1,75,2,61,3,49,4,37,5,25,6,13,7,4,8,1)</f>
        <v>49</v>
      </c>
      <c r="K990" t="str" cm="1">
        <f t="array" ref="K990">IFERROR(_xlfn.SWITCH(L990,1,_xlfn.XLOOKUP(C990,[1]AttributeName!$C:$C,[1]AttributeName!$I:$I),2,_xlfn.XLOOKUP(C990,[1]ModifierDes!$B:$B,[1]ModifierDes!$C:$C),3,_xlfn.XLOOKUP(C990,[1]StuntDes!$B:$B,[1]StuntDes!$C:$C)),"")</f>
        <v>法术格挡率增加{0}</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430</v>
      </c>
      <c r="D991" t="s">
        <v>35</v>
      </c>
      <c r="E991" t="s">
        <v>393</v>
      </c>
      <c r="G991">
        <v>1</v>
      </c>
      <c r="H991">
        <v>250</v>
      </c>
      <c r="J991" cm="1">
        <f t="array" ref="J991">_xlfn.SWITCH(B991,1,75,2,61,3,49,4,37,5,25,6,13,7,4,8,1)</f>
        <v>37</v>
      </c>
      <c r="K991" t="str" cm="1">
        <f t="array" ref="K991">IFERROR(_xlfn.SWITCH(L991,1,_xlfn.XLOOKUP(C991,[1]AttributeName!$C:$C,[1]AttributeName!$I:$I),2,_xlfn.XLOOKUP(C991,[1]ModifierDes!$B:$B,[1]ModifierDes!$C:$C),3,_xlfn.XLOOKUP(C991,[1]StuntDes!$B:$B,[1]StuntDes!$C:$C)),"")</f>
        <v>法术格挡率增加{0}</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430</v>
      </c>
      <c r="D992" t="s">
        <v>35</v>
      </c>
      <c r="E992" t="s">
        <v>393</v>
      </c>
      <c r="G992">
        <v>1</v>
      </c>
      <c r="H992">
        <v>250</v>
      </c>
      <c r="J992" cm="1">
        <f t="array" ref="J992">_xlfn.SWITCH(B992,1,75,2,61,3,49,4,37,5,25,6,13,7,4,8,1)</f>
        <v>25</v>
      </c>
      <c r="K992" t="str" cm="1">
        <f t="array" ref="K992">IFERROR(_xlfn.SWITCH(L992,1,_xlfn.XLOOKUP(C992,[1]AttributeName!$C:$C,[1]AttributeName!$I:$I),2,_xlfn.XLOOKUP(C992,[1]ModifierDes!$B:$B,[1]ModifierDes!$C:$C),3,_xlfn.XLOOKUP(C992,[1]StuntDes!$B:$B,[1]StuntDes!$C:$C)),"")</f>
        <v>法术格挡率增加{0}</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430</v>
      </c>
      <c r="D993" t="s">
        <v>35</v>
      </c>
      <c r="E993" t="s">
        <v>393</v>
      </c>
      <c r="G993">
        <v>1</v>
      </c>
      <c r="H993">
        <v>250</v>
      </c>
      <c r="J993" cm="1">
        <f t="array" ref="J993">_xlfn.SWITCH(B993,1,75,2,61,3,49,4,37,5,25,6,13,7,4,8,1)</f>
        <v>13</v>
      </c>
      <c r="K993" t="str" cm="1">
        <f t="array" ref="K993">IFERROR(_xlfn.SWITCH(L993,1,_xlfn.XLOOKUP(C993,[1]AttributeName!$C:$C,[1]AttributeName!$I:$I),2,_xlfn.XLOOKUP(C993,[1]ModifierDes!$B:$B,[1]ModifierDes!$C:$C),3,_xlfn.XLOOKUP(C993,[1]StuntDes!$B:$B,[1]StuntDes!$C:$C)),"")</f>
        <v>法术格挡率增加{0}</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430</v>
      </c>
      <c r="D994" t="s">
        <v>35</v>
      </c>
      <c r="E994" t="s">
        <v>393</v>
      </c>
      <c r="G994">
        <v>1</v>
      </c>
      <c r="H994">
        <v>250</v>
      </c>
      <c r="J994" cm="1">
        <f t="array" ref="J994">_xlfn.SWITCH(B994,1,75,2,61,3,49,4,37,5,25,6,13,7,4,8,1)</f>
        <v>4</v>
      </c>
      <c r="K994" t="str" cm="1">
        <f t="array" ref="K994">IFERROR(_xlfn.SWITCH(L994,1,_xlfn.XLOOKUP(C994,[1]AttributeName!$C:$C,[1]AttributeName!$I:$I),2,_xlfn.XLOOKUP(C994,[1]ModifierDes!$B:$B,[1]ModifierDes!$C:$C),3,_xlfn.XLOOKUP(C994,[1]StuntDes!$B:$B,[1]StuntDes!$C:$C)),"")</f>
        <v>法术格挡率增加{0}</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430</v>
      </c>
      <c r="D995" t="s">
        <v>35</v>
      </c>
      <c r="E995" t="s">
        <v>393</v>
      </c>
      <c r="G995">
        <v>1</v>
      </c>
      <c r="H995">
        <v>250</v>
      </c>
      <c r="J995" cm="1">
        <f t="array" ref="J995">_xlfn.SWITCH(B995,1,75,2,61,3,49,4,37,5,25,6,13,7,4,8,1)</f>
        <v>1</v>
      </c>
      <c r="K995" t="str" cm="1">
        <f t="array" ref="K995">IFERROR(_xlfn.SWITCH(L995,1,_xlfn.XLOOKUP(C995,[1]AttributeName!$C:$C,[1]AttributeName!$I:$I),2,_xlfn.XLOOKUP(C995,[1]ModifierDes!$B:$B,[1]ModifierDes!$C:$C),3,_xlfn.XLOOKUP(C995,[1]StuntDes!$B:$B,[1]StuntDes!$C:$C)),"")</f>
        <v>法术格挡率增加{0}</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94</v>
      </c>
      <c r="D996" t="s">
        <v>35</v>
      </c>
      <c r="E996" t="s">
        <v>393</v>
      </c>
      <c r="F996"/>
      <c r="G996">
        <v>1</v>
      </c>
      <c r="H996">
        <v>1000</v>
      </c>
      <c r="I996"/>
      <c r="J996" cm="1">
        <f t="array" ref="J996">_xlfn.SWITCH(B996,1,75,2,61,3,49,4,37,5,25,6,13,7,4,8,1)</f>
        <v>75</v>
      </c>
      <c r="K996" t="str" cm="1">
        <f t="array" ref="K996">IFERROR(_xlfn.SWITCH(L996,1,_xlfn.XLOOKUP(C996,[1]AttributeName!$C:$C,[1]AttributeName!$I:$I),2,_xlfn.XLOOKUP(C996,[1]ModifierDes!$B:$B,[1]ModifierDes!$C:$C),3,_xlfn.XLOOKUP(C996,[1]StuntDes!$B:$B,[1]StuntDes!$C:$C)),"")</f>
        <v>装备稀有度增加{0}</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94</v>
      </c>
      <c r="D997" t="s">
        <v>35</v>
      </c>
      <c r="E997" t="s">
        <v>393</v>
      </c>
      <c r="F997"/>
      <c r="G997">
        <v>1</v>
      </c>
      <c r="H997">
        <v>1000</v>
      </c>
      <c r="I997"/>
      <c r="J997" cm="1">
        <f t="array" ref="J997">_xlfn.SWITCH(B997,1,75,2,61,3,49,4,37,5,25,6,13,7,4,8,1)</f>
        <v>61</v>
      </c>
      <c r="K997" t="str" cm="1">
        <f t="array" ref="K997">IFERROR(_xlfn.SWITCH(L997,1,_xlfn.XLOOKUP(C997,[1]AttributeName!$C:$C,[1]AttributeName!$I:$I),2,_xlfn.XLOOKUP(C997,[1]ModifierDes!$B:$B,[1]ModifierDes!$C:$C),3,_xlfn.XLOOKUP(C997,[1]StuntDes!$B:$B,[1]StuntDes!$C:$C)),"")</f>
        <v>装备稀有度增加{0}</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94</v>
      </c>
      <c r="D998" t="s">
        <v>35</v>
      </c>
      <c r="E998" t="s">
        <v>393</v>
      </c>
      <c r="F998"/>
      <c r="G998">
        <v>1</v>
      </c>
      <c r="H998">
        <v>1000</v>
      </c>
      <c r="I998"/>
      <c r="J998" cm="1">
        <f t="array" ref="J998">_xlfn.SWITCH(B998,1,75,2,61,3,49,4,37,5,25,6,13,7,4,8,1)</f>
        <v>49</v>
      </c>
      <c r="K998" t="str" cm="1">
        <f t="array" ref="K998">IFERROR(_xlfn.SWITCH(L998,1,_xlfn.XLOOKUP(C998,[1]AttributeName!$C:$C,[1]AttributeName!$I:$I),2,_xlfn.XLOOKUP(C998,[1]ModifierDes!$B:$B,[1]ModifierDes!$C:$C),3,_xlfn.XLOOKUP(C998,[1]StuntDes!$B:$B,[1]StuntDes!$C:$C)),"")</f>
        <v>装备稀有度增加{0}</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94</v>
      </c>
      <c r="D999" t="s">
        <v>35</v>
      </c>
      <c r="E999" t="s">
        <v>393</v>
      </c>
      <c r="F999"/>
      <c r="G999">
        <v>1</v>
      </c>
      <c r="H999">
        <v>1000</v>
      </c>
      <c r="I999"/>
      <c r="J999" cm="1">
        <f t="array" ref="J999">_xlfn.SWITCH(B999,1,75,2,61,3,49,4,37,5,25,6,13,7,4,8,1)</f>
        <v>37</v>
      </c>
      <c r="K999" t="str" cm="1">
        <f t="array" ref="K999">IFERROR(_xlfn.SWITCH(L999,1,_xlfn.XLOOKUP(C999,[1]AttributeName!$C:$C,[1]AttributeName!$I:$I),2,_xlfn.XLOOKUP(C999,[1]ModifierDes!$B:$B,[1]ModifierDes!$C:$C),3,_xlfn.XLOOKUP(C999,[1]StuntDes!$B:$B,[1]StuntDes!$C:$C)),"")</f>
        <v>装备稀有度增加{0}</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94</v>
      </c>
      <c r="D1000" t="s">
        <v>35</v>
      </c>
      <c r="E1000" t="s">
        <v>393</v>
      </c>
      <c r="F1000"/>
      <c r="G1000">
        <v>1</v>
      </c>
      <c r="H1000">
        <v>1000</v>
      </c>
      <c r="I1000"/>
      <c r="J1000" cm="1">
        <f t="array" ref="J1000">_xlfn.SWITCH(B1000,1,75,2,61,3,49,4,37,5,25,6,13,7,4,8,1)</f>
        <v>25</v>
      </c>
      <c r="K1000" t="str" cm="1">
        <f t="array" ref="K1000">IFERROR(_xlfn.SWITCH(L1000,1,_xlfn.XLOOKUP(C1000,[1]AttributeName!$C:$C,[1]AttributeName!$I:$I),2,_xlfn.XLOOKUP(C1000,[1]ModifierDes!$B:$B,[1]ModifierDes!$C:$C),3,_xlfn.XLOOKUP(C1000,[1]StuntDes!$B:$B,[1]StuntDes!$C:$C)),"")</f>
        <v>装备稀有度增加{0}</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94</v>
      </c>
      <c r="D1001" t="s">
        <v>35</v>
      </c>
      <c r="E1001" t="s">
        <v>393</v>
      </c>
      <c r="F1001"/>
      <c r="G1001">
        <v>1</v>
      </c>
      <c r="H1001">
        <v>1000</v>
      </c>
      <c r="I1001"/>
      <c r="J1001" cm="1">
        <f t="array" ref="J1001">_xlfn.SWITCH(B1001,1,75,2,61,3,49,4,37,5,25,6,13,7,4,8,1)</f>
        <v>13</v>
      </c>
      <c r="K1001" t="str" cm="1">
        <f t="array" ref="K1001">IFERROR(_xlfn.SWITCH(L1001,1,_xlfn.XLOOKUP(C1001,[1]AttributeName!$C:$C,[1]AttributeName!$I:$I),2,_xlfn.XLOOKUP(C1001,[1]ModifierDes!$B:$B,[1]ModifierDes!$C:$C),3,_xlfn.XLOOKUP(C1001,[1]StuntDes!$B:$B,[1]StuntDes!$C:$C)),"")</f>
        <v>装备稀有度增加{0}</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94</v>
      </c>
      <c r="D1002" t="s">
        <v>35</v>
      </c>
      <c r="E1002" t="s">
        <v>393</v>
      </c>
      <c r="F1002"/>
      <c r="G1002">
        <v>1</v>
      </c>
      <c r="H1002">
        <v>1000</v>
      </c>
      <c r="I1002"/>
      <c r="J1002" cm="1">
        <f t="array" ref="J1002">_xlfn.SWITCH(B1002,1,75,2,61,3,49,4,37,5,25,6,13,7,4,8,1)</f>
        <v>4</v>
      </c>
      <c r="K1002" t="str" cm="1">
        <f t="array" ref="K1002">IFERROR(_xlfn.SWITCH(L1002,1,_xlfn.XLOOKUP(C1002,[1]AttributeName!$C:$C,[1]AttributeName!$I:$I),2,_xlfn.XLOOKUP(C1002,[1]ModifierDes!$B:$B,[1]ModifierDes!$C:$C),3,_xlfn.XLOOKUP(C1002,[1]StuntDes!$B:$B,[1]StuntDes!$C:$C)),"")</f>
        <v>装备稀有度增加{0}</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94</v>
      </c>
      <c r="D1003" t="s">
        <v>35</v>
      </c>
      <c r="E1003" t="s">
        <v>393</v>
      </c>
      <c r="F1003"/>
      <c r="G1003">
        <v>1</v>
      </c>
      <c r="H1003">
        <v>1000</v>
      </c>
      <c r="I1003"/>
      <c r="J1003" cm="1">
        <f t="array" ref="J1003">_xlfn.SWITCH(B1003,1,75,2,61,3,49,4,37,5,25,6,13,7,4,8,1)</f>
        <v>1</v>
      </c>
      <c r="K1003" t="str" cm="1">
        <f t="array" ref="K1003">IFERROR(_xlfn.SWITCH(L1003,1,_xlfn.XLOOKUP(C1003,[1]AttributeName!$C:$C,[1]AttributeName!$I:$I),2,_xlfn.XLOOKUP(C1003,[1]ModifierDes!$B:$B,[1]ModifierDes!$C:$C),3,_xlfn.XLOOKUP(C1003,[1]StuntDes!$B:$B,[1]StuntDes!$C:$C)),"")</f>
        <v>装备稀有度增加{0}</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398</v>
      </c>
      <c r="D1004" t="s">
        <v>35</v>
      </c>
      <c r="E1004" t="s">
        <v>393</v>
      </c>
      <c r="F1004"/>
      <c r="G1004">
        <v>1</v>
      </c>
      <c r="H1004">
        <v>100</v>
      </c>
      <c r="I1004"/>
      <c r="J1004" cm="1">
        <f t="array" ref="J1004">_xlfn.SWITCH(B1004,1,75,2,61,3,49,4,37,5,25,6,13,7,4,8,1)</f>
        <v>75</v>
      </c>
      <c r="K1004" t="str" cm="1">
        <f t="array" ref="K1004">IFERROR(_xlfn.SWITCH(L1004,1,_xlfn.XLOOKUP(C1004,[1]AttributeName!$C:$C,[1]AttributeName!$I:$I),2,_xlfn.XLOOKUP(C1004,[1]ModifierDes!$B:$B,[1]ModifierDes!$C:$C),3,_xlfn.XLOOKUP(C1004,[1]StuntDes!$B:$B,[1]StuntDes!$C:$C)),"")</f>
        <v>获得物理伤害{0}</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398</v>
      </c>
      <c r="D1005" t="s">
        <v>35</v>
      </c>
      <c r="E1005" t="s">
        <v>393</v>
      </c>
      <c r="F1005"/>
      <c r="G1005">
        <v>1</v>
      </c>
      <c r="H1005">
        <v>200</v>
      </c>
      <c r="I1005"/>
      <c r="J1005" cm="1">
        <f t="array" ref="J1005">_xlfn.SWITCH(B1005,1,75,2,61,3,49,4,37,5,25,6,13,7,4,8,1)</f>
        <v>61</v>
      </c>
      <c r="K1005" t="str" cm="1">
        <f t="array" ref="K1005">IFERROR(_xlfn.SWITCH(L1005,1,_xlfn.XLOOKUP(C1005,[1]AttributeName!$C:$C,[1]AttributeName!$I:$I),2,_xlfn.XLOOKUP(C1005,[1]ModifierDes!$B:$B,[1]ModifierDes!$C:$C),3,_xlfn.XLOOKUP(C1005,[1]StuntDes!$B:$B,[1]StuntDes!$C:$C)),"")</f>
        <v>获得物理伤害{0}</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398</v>
      </c>
      <c r="D1006" t="s">
        <v>35</v>
      </c>
      <c r="E1006" t="s">
        <v>393</v>
      </c>
      <c r="F1006"/>
      <c r="G1006">
        <v>1</v>
      </c>
      <c r="H1006">
        <v>400</v>
      </c>
      <c r="I1006"/>
      <c r="J1006" cm="1">
        <f t="array" ref="J1006">_xlfn.SWITCH(B1006,1,75,2,61,3,49,4,37,5,25,6,13,7,4,8,1)</f>
        <v>49</v>
      </c>
      <c r="K1006" t="str" cm="1">
        <f t="array" ref="K1006">IFERROR(_xlfn.SWITCH(L1006,1,_xlfn.XLOOKUP(C1006,[1]AttributeName!$C:$C,[1]AttributeName!$I:$I),2,_xlfn.XLOOKUP(C1006,[1]ModifierDes!$B:$B,[1]ModifierDes!$C:$C),3,_xlfn.XLOOKUP(C1006,[1]StuntDes!$B:$B,[1]StuntDes!$C:$C)),"")</f>
        <v>获得物理伤害{0}</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398</v>
      </c>
      <c r="D1007" t="s">
        <v>35</v>
      </c>
      <c r="E1007" t="s">
        <v>393</v>
      </c>
      <c r="F1007"/>
      <c r="G1007">
        <v>1</v>
      </c>
      <c r="H1007">
        <v>600</v>
      </c>
      <c r="I1007"/>
      <c r="J1007" cm="1">
        <f t="array" ref="J1007">_xlfn.SWITCH(B1007,1,75,2,61,3,49,4,37,5,25,6,13,7,4,8,1)</f>
        <v>37</v>
      </c>
      <c r="K1007" t="str" cm="1">
        <f t="array" ref="K1007">IFERROR(_xlfn.SWITCH(L1007,1,_xlfn.XLOOKUP(C1007,[1]AttributeName!$C:$C,[1]AttributeName!$I:$I),2,_xlfn.XLOOKUP(C1007,[1]ModifierDes!$B:$B,[1]ModifierDes!$C:$C),3,_xlfn.XLOOKUP(C1007,[1]StuntDes!$B:$B,[1]StuntDes!$C:$C)),"")</f>
        <v>获得物理伤害{0}</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398</v>
      </c>
      <c r="D1008" t="s">
        <v>35</v>
      </c>
      <c r="E1008" t="s">
        <v>393</v>
      </c>
      <c r="F1008"/>
      <c r="G1008">
        <v>1</v>
      </c>
      <c r="H1008">
        <v>800</v>
      </c>
      <c r="I1008"/>
      <c r="J1008" cm="1">
        <f t="array" ref="J1008">_xlfn.SWITCH(B1008,1,75,2,61,3,49,4,37,5,25,6,13,7,4,8,1)</f>
        <v>25</v>
      </c>
      <c r="K1008" t="str" cm="1">
        <f t="array" ref="K1008">IFERROR(_xlfn.SWITCH(L1008,1,_xlfn.XLOOKUP(C1008,[1]AttributeName!$C:$C,[1]AttributeName!$I:$I),2,_xlfn.XLOOKUP(C1008,[1]ModifierDes!$B:$B,[1]ModifierDes!$C:$C),3,_xlfn.XLOOKUP(C1008,[1]StuntDes!$B:$B,[1]StuntDes!$C:$C)),"")</f>
        <v>获得物理伤害{0}</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398</v>
      </c>
      <c r="D1009" t="s">
        <v>35</v>
      </c>
      <c r="E1009" t="s">
        <v>393</v>
      </c>
      <c r="F1009"/>
      <c r="G1009">
        <v>1</v>
      </c>
      <c r="H1009">
        <v>1000</v>
      </c>
      <c r="I1009"/>
      <c r="J1009" cm="1">
        <f t="array" ref="J1009">_xlfn.SWITCH(B1009,1,75,2,61,3,49,4,37,5,25,6,13,7,4,8,1)</f>
        <v>13</v>
      </c>
      <c r="K1009" t="str" cm="1">
        <f t="array" ref="K1009">IFERROR(_xlfn.SWITCH(L1009,1,_xlfn.XLOOKUP(C1009,[1]AttributeName!$C:$C,[1]AttributeName!$I:$I),2,_xlfn.XLOOKUP(C1009,[1]ModifierDes!$B:$B,[1]ModifierDes!$C:$C),3,_xlfn.XLOOKUP(C1009,[1]StuntDes!$B:$B,[1]StuntDes!$C:$C)),"")</f>
        <v>获得物理伤害{0}</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398</v>
      </c>
      <c r="D1010" t="s">
        <v>35</v>
      </c>
      <c r="E1010" t="s">
        <v>393</v>
      </c>
      <c r="F1010"/>
      <c r="G1010">
        <v>1</v>
      </c>
      <c r="H1010">
        <v>1000</v>
      </c>
      <c r="I1010"/>
      <c r="J1010" cm="1">
        <f t="array" ref="J1010">_xlfn.SWITCH(B1010,1,75,2,61,3,49,4,37,5,25,6,13,7,4,8,1)</f>
        <v>4</v>
      </c>
      <c r="K1010" t="str" cm="1">
        <f t="array" ref="K1010">IFERROR(_xlfn.SWITCH(L1010,1,_xlfn.XLOOKUP(C1010,[1]AttributeName!$C:$C,[1]AttributeName!$I:$I),2,_xlfn.XLOOKUP(C1010,[1]ModifierDes!$B:$B,[1]ModifierDes!$C:$C),3,_xlfn.XLOOKUP(C1010,[1]StuntDes!$B:$B,[1]StuntDes!$C:$C)),"")</f>
        <v>获得物理伤害{0}</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398</v>
      </c>
      <c r="D1011" t="s">
        <v>35</v>
      </c>
      <c r="E1011" t="s">
        <v>393</v>
      </c>
      <c r="F1011"/>
      <c r="G1011">
        <v>1</v>
      </c>
      <c r="H1011">
        <v>1000</v>
      </c>
      <c r="I1011"/>
      <c r="J1011" cm="1">
        <f t="array" ref="J1011">_xlfn.SWITCH(B1011,1,75,2,61,3,49,4,37,5,25,6,13,7,4,8,1)</f>
        <v>1</v>
      </c>
      <c r="K1011" t="str" cm="1">
        <f t="array" ref="K1011">IFERROR(_xlfn.SWITCH(L1011,1,_xlfn.XLOOKUP(C1011,[1]AttributeName!$C:$C,[1]AttributeName!$I:$I),2,_xlfn.XLOOKUP(C1011,[1]ModifierDes!$B:$B,[1]ModifierDes!$C:$C),3,_xlfn.XLOOKUP(C1011,[1]StuntDes!$B:$B,[1]StuntDes!$C:$C)),"")</f>
        <v>获得物理伤害{0}</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399</v>
      </c>
      <c r="D1012" t="s">
        <v>35</v>
      </c>
      <c r="E1012" t="s">
        <v>393</v>
      </c>
      <c r="F1012"/>
      <c r="G1012">
        <v>1</v>
      </c>
      <c r="H1012">
        <v>100</v>
      </c>
      <c r="I1012"/>
      <c r="J1012" cm="1">
        <f t="array" ref="J1012">_xlfn.SWITCH(B1012,1,75,2,61,3,49,4,37,5,25,6,13,7,4,8,1)</f>
        <v>75</v>
      </c>
      <c r="K1012" t="str" cm="1">
        <f t="array" ref="K1012">IFERROR(_xlfn.SWITCH(L1012,1,_xlfn.XLOOKUP(C1012,[1]AttributeName!$C:$C,[1]AttributeName!$I:$I),2,_xlfn.XLOOKUP(C1012,[1]ModifierDes!$B:$B,[1]ModifierDes!$C:$C),3,_xlfn.XLOOKUP(C1012,[1]StuntDes!$B:$B,[1]StuntDes!$C:$C)),"")</f>
        <v>获得火焰伤害{0}</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399</v>
      </c>
      <c r="D1013" t="s">
        <v>35</v>
      </c>
      <c r="E1013" t="s">
        <v>393</v>
      </c>
      <c r="F1013"/>
      <c r="G1013">
        <v>1</v>
      </c>
      <c r="H1013">
        <v>200</v>
      </c>
      <c r="I1013"/>
      <c r="J1013" cm="1">
        <f t="array" ref="J1013">_xlfn.SWITCH(B1013,1,75,2,61,3,49,4,37,5,25,6,13,7,4,8,1)</f>
        <v>61</v>
      </c>
      <c r="K1013" t="str" cm="1">
        <f t="array" ref="K1013">IFERROR(_xlfn.SWITCH(L1013,1,_xlfn.XLOOKUP(C1013,[1]AttributeName!$C:$C,[1]AttributeName!$I:$I),2,_xlfn.XLOOKUP(C1013,[1]ModifierDes!$B:$B,[1]ModifierDes!$C:$C),3,_xlfn.XLOOKUP(C1013,[1]StuntDes!$B:$B,[1]StuntDes!$C:$C)),"")</f>
        <v>获得火焰伤害{0}</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399</v>
      </c>
      <c r="D1014" t="s">
        <v>35</v>
      </c>
      <c r="E1014" t="s">
        <v>393</v>
      </c>
      <c r="F1014"/>
      <c r="G1014">
        <v>1</v>
      </c>
      <c r="H1014">
        <v>400</v>
      </c>
      <c r="I1014"/>
      <c r="J1014" cm="1">
        <f t="array" ref="J1014">_xlfn.SWITCH(B1014,1,75,2,61,3,49,4,37,5,25,6,13,7,4,8,1)</f>
        <v>49</v>
      </c>
      <c r="K1014" t="str" cm="1">
        <f t="array" ref="K1014">IFERROR(_xlfn.SWITCH(L1014,1,_xlfn.XLOOKUP(C1014,[1]AttributeName!$C:$C,[1]AttributeName!$I:$I),2,_xlfn.XLOOKUP(C1014,[1]ModifierDes!$B:$B,[1]ModifierDes!$C:$C),3,_xlfn.XLOOKUP(C1014,[1]StuntDes!$B:$B,[1]StuntDes!$C:$C)),"")</f>
        <v>获得火焰伤害{0}</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399</v>
      </c>
      <c r="D1015" t="s">
        <v>35</v>
      </c>
      <c r="E1015" t="s">
        <v>393</v>
      </c>
      <c r="F1015"/>
      <c r="G1015">
        <v>1</v>
      </c>
      <c r="H1015">
        <v>600</v>
      </c>
      <c r="I1015"/>
      <c r="J1015" cm="1">
        <f t="array" ref="J1015">_xlfn.SWITCH(B1015,1,75,2,61,3,49,4,37,5,25,6,13,7,4,8,1)</f>
        <v>37</v>
      </c>
      <c r="K1015" t="str" cm="1">
        <f t="array" ref="K1015">IFERROR(_xlfn.SWITCH(L1015,1,_xlfn.XLOOKUP(C1015,[1]AttributeName!$C:$C,[1]AttributeName!$I:$I),2,_xlfn.XLOOKUP(C1015,[1]ModifierDes!$B:$B,[1]ModifierDes!$C:$C),3,_xlfn.XLOOKUP(C1015,[1]StuntDes!$B:$B,[1]StuntDes!$C:$C)),"")</f>
        <v>获得火焰伤害{0}</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399</v>
      </c>
      <c r="D1016" t="s">
        <v>35</v>
      </c>
      <c r="E1016" t="s">
        <v>393</v>
      </c>
      <c r="F1016"/>
      <c r="G1016">
        <v>1</v>
      </c>
      <c r="H1016">
        <v>800</v>
      </c>
      <c r="I1016"/>
      <c r="J1016" cm="1">
        <f t="array" ref="J1016">_xlfn.SWITCH(B1016,1,75,2,61,3,49,4,37,5,25,6,13,7,4,8,1)</f>
        <v>25</v>
      </c>
      <c r="K1016" t="str" cm="1">
        <f t="array" ref="K1016">IFERROR(_xlfn.SWITCH(L1016,1,_xlfn.XLOOKUP(C1016,[1]AttributeName!$C:$C,[1]AttributeName!$I:$I),2,_xlfn.XLOOKUP(C1016,[1]ModifierDes!$B:$B,[1]ModifierDes!$C:$C),3,_xlfn.XLOOKUP(C1016,[1]StuntDes!$B:$B,[1]StuntDes!$C:$C)),"")</f>
        <v>获得火焰伤害{0}</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399</v>
      </c>
      <c r="D1017" t="s">
        <v>35</v>
      </c>
      <c r="E1017" t="s">
        <v>393</v>
      </c>
      <c r="F1017"/>
      <c r="G1017">
        <v>1</v>
      </c>
      <c r="H1017">
        <v>1000</v>
      </c>
      <c r="I1017"/>
      <c r="J1017" cm="1">
        <f t="array" ref="J1017">_xlfn.SWITCH(B1017,1,75,2,61,3,49,4,37,5,25,6,13,7,4,8,1)</f>
        <v>13</v>
      </c>
      <c r="K1017" t="str" cm="1">
        <f t="array" ref="K1017">IFERROR(_xlfn.SWITCH(L1017,1,_xlfn.XLOOKUP(C1017,[1]AttributeName!$C:$C,[1]AttributeName!$I:$I),2,_xlfn.XLOOKUP(C1017,[1]ModifierDes!$B:$B,[1]ModifierDes!$C:$C),3,_xlfn.XLOOKUP(C1017,[1]StuntDes!$B:$B,[1]StuntDes!$C:$C)),"")</f>
        <v>获得火焰伤害{0}</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399</v>
      </c>
      <c r="D1018" t="s">
        <v>35</v>
      </c>
      <c r="E1018" t="s">
        <v>393</v>
      </c>
      <c r="F1018"/>
      <c r="G1018">
        <v>1</v>
      </c>
      <c r="H1018">
        <v>1000</v>
      </c>
      <c r="I1018"/>
      <c r="J1018" cm="1">
        <f t="array" ref="J1018">_xlfn.SWITCH(B1018,1,75,2,61,3,49,4,37,5,25,6,13,7,4,8,1)</f>
        <v>4</v>
      </c>
      <c r="K1018" t="str" cm="1">
        <f t="array" ref="K1018">IFERROR(_xlfn.SWITCH(L1018,1,_xlfn.XLOOKUP(C1018,[1]AttributeName!$C:$C,[1]AttributeName!$I:$I),2,_xlfn.XLOOKUP(C1018,[1]ModifierDes!$B:$B,[1]ModifierDes!$C:$C),3,_xlfn.XLOOKUP(C1018,[1]StuntDes!$B:$B,[1]StuntDes!$C:$C)),"")</f>
        <v>获得火焰伤害{0}</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399</v>
      </c>
      <c r="D1019" t="s">
        <v>35</v>
      </c>
      <c r="E1019" t="s">
        <v>393</v>
      </c>
      <c r="F1019"/>
      <c r="G1019">
        <v>1</v>
      </c>
      <c r="H1019">
        <v>1000</v>
      </c>
      <c r="I1019"/>
      <c r="J1019" cm="1">
        <f t="array" ref="J1019">_xlfn.SWITCH(B1019,1,75,2,61,3,49,4,37,5,25,6,13,7,4,8,1)</f>
        <v>1</v>
      </c>
      <c r="K1019" t="str" cm="1">
        <f t="array" ref="K1019">IFERROR(_xlfn.SWITCH(L1019,1,_xlfn.XLOOKUP(C1019,[1]AttributeName!$C:$C,[1]AttributeName!$I:$I),2,_xlfn.XLOOKUP(C1019,[1]ModifierDes!$B:$B,[1]ModifierDes!$C:$C),3,_xlfn.XLOOKUP(C1019,[1]StuntDes!$B:$B,[1]StuntDes!$C:$C)),"")</f>
        <v>获得火焰伤害{0}</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400</v>
      </c>
      <c r="D1020" t="s">
        <v>35</v>
      </c>
      <c r="E1020" t="s">
        <v>393</v>
      </c>
      <c r="F1020"/>
      <c r="G1020">
        <v>1</v>
      </c>
      <c r="H1020">
        <v>100</v>
      </c>
      <c r="I1020"/>
      <c r="J1020" cm="1">
        <f t="array" ref="J1020">_xlfn.SWITCH(B1020,1,75,2,61,3,49,4,37,5,25,6,13,7,4,8,1)</f>
        <v>75</v>
      </c>
      <c r="K1020" t="str" cm="1">
        <f t="array" ref="K1020">IFERROR(_xlfn.SWITCH(L1020,1,_xlfn.XLOOKUP(C1020,[1]AttributeName!$C:$C,[1]AttributeName!$I:$I),2,_xlfn.XLOOKUP(C1020,[1]ModifierDes!$B:$B,[1]ModifierDes!$C:$C),3,_xlfn.XLOOKUP(C1020,[1]StuntDes!$B:$B,[1]StuntDes!$C:$C)),"")</f>
        <v>获得冰冷伤害{0}</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400</v>
      </c>
      <c r="D1021" t="s">
        <v>35</v>
      </c>
      <c r="E1021" t="s">
        <v>393</v>
      </c>
      <c r="F1021"/>
      <c r="G1021">
        <v>1</v>
      </c>
      <c r="H1021">
        <v>200</v>
      </c>
      <c r="I1021"/>
      <c r="J1021" cm="1">
        <f t="array" ref="J1021">_xlfn.SWITCH(B1021,1,75,2,61,3,49,4,37,5,25,6,13,7,4,8,1)</f>
        <v>61</v>
      </c>
      <c r="K1021" t="str" cm="1">
        <f t="array" ref="K1021">IFERROR(_xlfn.SWITCH(L1021,1,_xlfn.XLOOKUP(C1021,[1]AttributeName!$C:$C,[1]AttributeName!$I:$I),2,_xlfn.XLOOKUP(C1021,[1]ModifierDes!$B:$B,[1]ModifierDes!$C:$C),3,_xlfn.XLOOKUP(C1021,[1]StuntDes!$B:$B,[1]StuntDes!$C:$C)),"")</f>
        <v>获得冰冷伤害{0}</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400</v>
      </c>
      <c r="D1022" t="s">
        <v>35</v>
      </c>
      <c r="E1022" t="s">
        <v>393</v>
      </c>
      <c r="F1022"/>
      <c r="G1022">
        <v>1</v>
      </c>
      <c r="H1022">
        <v>400</v>
      </c>
      <c r="I1022"/>
      <c r="J1022" cm="1">
        <f t="array" ref="J1022">_xlfn.SWITCH(B1022,1,75,2,61,3,49,4,37,5,25,6,13,7,4,8,1)</f>
        <v>49</v>
      </c>
      <c r="K1022" t="str" cm="1">
        <f t="array" ref="K1022">IFERROR(_xlfn.SWITCH(L1022,1,_xlfn.XLOOKUP(C1022,[1]AttributeName!$C:$C,[1]AttributeName!$I:$I),2,_xlfn.XLOOKUP(C1022,[1]ModifierDes!$B:$B,[1]ModifierDes!$C:$C),3,_xlfn.XLOOKUP(C1022,[1]StuntDes!$B:$B,[1]StuntDes!$C:$C)),"")</f>
        <v>获得冰冷伤害{0}</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400</v>
      </c>
      <c r="D1023" t="s">
        <v>35</v>
      </c>
      <c r="E1023" t="s">
        <v>393</v>
      </c>
      <c r="F1023"/>
      <c r="G1023">
        <v>1</v>
      </c>
      <c r="H1023">
        <v>600</v>
      </c>
      <c r="I1023"/>
      <c r="J1023" cm="1">
        <f t="array" ref="J1023">_xlfn.SWITCH(B1023,1,75,2,61,3,49,4,37,5,25,6,13,7,4,8,1)</f>
        <v>37</v>
      </c>
      <c r="K1023" t="str" cm="1">
        <f t="array" ref="K1023">IFERROR(_xlfn.SWITCH(L1023,1,_xlfn.XLOOKUP(C1023,[1]AttributeName!$C:$C,[1]AttributeName!$I:$I),2,_xlfn.XLOOKUP(C1023,[1]ModifierDes!$B:$B,[1]ModifierDes!$C:$C),3,_xlfn.XLOOKUP(C1023,[1]StuntDes!$B:$B,[1]StuntDes!$C:$C)),"")</f>
        <v>获得冰冷伤害{0}</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400</v>
      </c>
      <c r="D1024" t="s">
        <v>35</v>
      </c>
      <c r="E1024" t="s">
        <v>393</v>
      </c>
      <c r="F1024"/>
      <c r="G1024">
        <v>1</v>
      </c>
      <c r="H1024">
        <v>800</v>
      </c>
      <c r="I1024"/>
      <c r="J1024" cm="1">
        <f t="array" ref="J1024">_xlfn.SWITCH(B1024,1,75,2,61,3,49,4,37,5,25,6,13,7,4,8,1)</f>
        <v>25</v>
      </c>
      <c r="K1024" t="str" cm="1">
        <f t="array" ref="K1024">IFERROR(_xlfn.SWITCH(L1024,1,_xlfn.XLOOKUP(C1024,[1]AttributeName!$C:$C,[1]AttributeName!$I:$I),2,_xlfn.XLOOKUP(C1024,[1]ModifierDes!$B:$B,[1]ModifierDes!$C:$C),3,_xlfn.XLOOKUP(C1024,[1]StuntDes!$B:$B,[1]StuntDes!$C:$C)),"")</f>
        <v>获得冰冷伤害{0}</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400</v>
      </c>
      <c r="D1025" t="s">
        <v>35</v>
      </c>
      <c r="E1025" t="s">
        <v>393</v>
      </c>
      <c r="F1025"/>
      <c r="G1025">
        <v>1</v>
      </c>
      <c r="H1025">
        <v>1000</v>
      </c>
      <c r="I1025"/>
      <c r="J1025" cm="1">
        <f t="array" ref="J1025">_xlfn.SWITCH(B1025,1,75,2,61,3,49,4,37,5,25,6,13,7,4,8,1)</f>
        <v>13</v>
      </c>
      <c r="K1025" t="str" cm="1">
        <f t="array" ref="K1025">IFERROR(_xlfn.SWITCH(L1025,1,_xlfn.XLOOKUP(C1025,[1]AttributeName!$C:$C,[1]AttributeName!$I:$I),2,_xlfn.XLOOKUP(C1025,[1]ModifierDes!$B:$B,[1]ModifierDes!$C:$C),3,_xlfn.XLOOKUP(C1025,[1]StuntDes!$B:$B,[1]StuntDes!$C:$C)),"")</f>
        <v>获得冰冷伤害{0}</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400</v>
      </c>
      <c r="D1026" t="s">
        <v>35</v>
      </c>
      <c r="E1026" t="s">
        <v>393</v>
      </c>
      <c r="F1026"/>
      <c r="G1026">
        <v>1</v>
      </c>
      <c r="H1026">
        <v>1000</v>
      </c>
      <c r="I1026"/>
      <c r="J1026" cm="1">
        <f t="array" ref="J1026">_xlfn.SWITCH(B1026,1,75,2,61,3,49,4,37,5,25,6,13,7,4,8,1)</f>
        <v>4</v>
      </c>
      <c r="K1026" t="str" cm="1">
        <f t="array" ref="K1026">IFERROR(_xlfn.SWITCH(L1026,1,_xlfn.XLOOKUP(C1026,[1]AttributeName!$C:$C,[1]AttributeName!$I:$I),2,_xlfn.XLOOKUP(C1026,[1]ModifierDes!$B:$B,[1]ModifierDes!$C:$C),3,_xlfn.XLOOKUP(C1026,[1]StuntDes!$B:$B,[1]StuntDes!$C:$C)),"")</f>
        <v>获得冰冷伤害{0}</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400</v>
      </c>
      <c r="D1027" t="s">
        <v>35</v>
      </c>
      <c r="E1027" t="s">
        <v>393</v>
      </c>
      <c r="F1027"/>
      <c r="G1027">
        <v>1</v>
      </c>
      <c r="H1027">
        <v>1000</v>
      </c>
      <c r="I1027"/>
      <c r="J1027" cm="1">
        <f t="array" ref="J1027">_xlfn.SWITCH(B1027,1,75,2,61,3,49,4,37,5,25,6,13,7,4,8,1)</f>
        <v>1</v>
      </c>
      <c r="K1027" t="str" cm="1">
        <f t="array" ref="K1027">IFERROR(_xlfn.SWITCH(L1027,1,_xlfn.XLOOKUP(C1027,[1]AttributeName!$C:$C,[1]AttributeName!$I:$I),2,_xlfn.XLOOKUP(C1027,[1]ModifierDes!$B:$B,[1]ModifierDes!$C:$C),3,_xlfn.XLOOKUP(C1027,[1]StuntDes!$B:$B,[1]StuntDes!$C:$C)),"")</f>
        <v>获得冰冷伤害{0}</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401</v>
      </c>
      <c r="D1028" t="s">
        <v>35</v>
      </c>
      <c r="E1028" t="s">
        <v>393</v>
      </c>
      <c r="F1028"/>
      <c r="G1028">
        <v>1</v>
      </c>
      <c r="H1028">
        <v>100</v>
      </c>
      <c r="I1028"/>
      <c r="J1028" cm="1">
        <f t="array" ref="J1028">_xlfn.SWITCH(B1028,1,75,2,61,3,49,4,37,5,25,6,13,7,4,8,1)</f>
        <v>75</v>
      </c>
      <c r="K1028" t="str" cm="1">
        <f t="array" ref="K1028">IFERROR(_xlfn.SWITCH(L1028,1,_xlfn.XLOOKUP(C1028,[1]AttributeName!$C:$C,[1]AttributeName!$I:$I),2,_xlfn.XLOOKUP(C1028,[1]ModifierDes!$B:$B,[1]ModifierDes!$C:$C),3,_xlfn.XLOOKUP(C1028,[1]StuntDes!$B:$B,[1]StuntDes!$C:$C)),"")</f>
        <v>获得闪电伤害{0}</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401</v>
      </c>
      <c r="D1029" t="s">
        <v>35</v>
      </c>
      <c r="E1029" t="s">
        <v>393</v>
      </c>
      <c r="F1029"/>
      <c r="G1029">
        <v>1</v>
      </c>
      <c r="H1029">
        <v>200</v>
      </c>
      <c r="I1029"/>
      <c r="J1029" cm="1">
        <f t="array" ref="J1029">_xlfn.SWITCH(B1029,1,75,2,61,3,49,4,37,5,25,6,13,7,4,8,1)</f>
        <v>61</v>
      </c>
      <c r="K1029" t="str" cm="1">
        <f t="array" ref="K1029">IFERROR(_xlfn.SWITCH(L1029,1,_xlfn.XLOOKUP(C1029,[1]AttributeName!$C:$C,[1]AttributeName!$I:$I),2,_xlfn.XLOOKUP(C1029,[1]ModifierDes!$B:$B,[1]ModifierDes!$C:$C),3,_xlfn.XLOOKUP(C1029,[1]StuntDes!$B:$B,[1]StuntDes!$C:$C)),"")</f>
        <v>获得闪电伤害{0}</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401</v>
      </c>
      <c r="D1030" t="s">
        <v>35</v>
      </c>
      <c r="E1030" t="s">
        <v>393</v>
      </c>
      <c r="F1030"/>
      <c r="G1030">
        <v>1</v>
      </c>
      <c r="H1030">
        <v>400</v>
      </c>
      <c r="I1030"/>
      <c r="J1030" cm="1">
        <f t="array" ref="J1030">_xlfn.SWITCH(B1030,1,75,2,61,3,49,4,37,5,25,6,13,7,4,8,1)</f>
        <v>49</v>
      </c>
      <c r="K1030" t="str" cm="1">
        <f t="array" ref="K1030">IFERROR(_xlfn.SWITCH(L1030,1,_xlfn.XLOOKUP(C1030,[1]AttributeName!$C:$C,[1]AttributeName!$I:$I),2,_xlfn.XLOOKUP(C1030,[1]ModifierDes!$B:$B,[1]ModifierDes!$C:$C),3,_xlfn.XLOOKUP(C1030,[1]StuntDes!$B:$B,[1]StuntDes!$C:$C)),"")</f>
        <v>获得闪电伤害{0}</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401</v>
      </c>
      <c r="D1031" t="s">
        <v>35</v>
      </c>
      <c r="E1031" t="s">
        <v>393</v>
      </c>
      <c r="F1031"/>
      <c r="G1031">
        <v>1</v>
      </c>
      <c r="H1031">
        <v>600</v>
      </c>
      <c r="I1031"/>
      <c r="J1031" cm="1">
        <f t="array" ref="J1031">_xlfn.SWITCH(B1031,1,75,2,61,3,49,4,37,5,25,6,13,7,4,8,1)</f>
        <v>37</v>
      </c>
      <c r="K1031" t="str" cm="1">
        <f t="array" ref="K1031">IFERROR(_xlfn.SWITCH(L1031,1,_xlfn.XLOOKUP(C1031,[1]AttributeName!$C:$C,[1]AttributeName!$I:$I),2,_xlfn.XLOOKUP(C1031,[1]ModifierDes!$B:$B,[1]ModifierDes!$C:$C),3,_xlfn.XLOOKUP(C1031,[1]StuntDes!$B:$B,[1]StuntDes!$C:$C)),"")</f>
        <v>获得闪电伤害{0}</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401</v>
      </c>
      <c r="D1032" t="s">
        <v>35</v>
      </c>
      <c r="E1032" t="s">
        <v>393</v>
      </c>
      <c r="F1032"/>
      <c r="G1032">
        <v>1</v>
      </c>
      <c r="H1032">
        <v>800</v>
      </c>
      <c r="I1032"/>
      <c r="J1032" cm="1">
        <f t="array" ref="J1032">_xlfn.SWITCH(B1032,1,75,2,61,3,49,4,37,5,25,6,13,7,4,8,1)</f>
        <v>25</v>
      </c>
      <c r="K1032" t="str" cm="1">
        <f t="array" ref="K1032">IFERROR(_xlfn.SWITCH(L1032,1,_xlfn.XLOOKUP(C1032,[1]AttributeName!$C:$C,[1]AttributeName!$I:$I),2,_xlfn.XLOOKUP(C1032,[1]ModifierDes!$B:$B,[1]ModifierDes!$C:$C),3,_xlfn.XLOOKUP(C1032,[1]StuntDes!$B:$B,[1]StuntDes!$C:$C)),"")</f>
        <v>获得闪电伤害{0}</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401</v>
      </c>
      <c r="D1033" t="s">
        <v>35</v>
      </c>
      <c r="E1033" t="s">
        <v>393</v>
      </c>
      <c r="F1033"/>
      <c r="G1033">
        <v>1</v>
      </c>
      <c r="H1033">
        <v>1000</v>
      </c>
      <c r="I1033"/>
      <c r="J1033" cm="1">
        <f t="array" ref="J1033">_xlfn.SWITCH(B1033,1,75,2,61,3,49,4,37,5,25,6,13,7,4,8,1)</f>
        <v>13</v>
      </c>
      <c r="K1033" t="str" cm="1">
        <f t="array" ref="K1033">IFERROR(_xlfn.SWITCH(L1033,1,_xlfn.XLOOKUP(C1033,[1]AttributeName!$C:$C,[1]AttributeName!$I:$I),2,_xlfn.XLOOKUP(C1033,[1]ModifierDes!$B:$B,[1]ModifierDes!$C:$C),3,_xlfn.XLOOKUP(C1033,[1]StuntDes!$B:$B,[1]StuntDes!$C:$C)),"")</f>
        <v>获得闪电伤害{0}</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401</v>
      </c>
      <c r="D1034" t="s">
        <v>35</v>
      </c>
      <c r="E1034" t="s">
        <v>393</v>
      </c>
      <c r="F1034"/>
      <c r="G1034">
        <v>1</v>
      </c>
      <c r="H1034">
        <v>1000</v>
      </c>
      <c r="I1034"/>
      <c r="J1034" cm="1">
        <f t="array" ref="J1034">_xlfn.SWITCH(B1034,1,75,2,61,3,49,4,37,5,25,6,13,7,4,8,1)</f>
        <v>4</v>
      </c>
      <c r="K1034" t="str" cm="1">
        <f t="array" ref="K1034">IFERROR(_xlfn.SWITCH(L1034,1,_xlfn.XLOOKUP(C1034,[1]AttributeName!$C:$C,[1]AttributeName!$I:$I),2,_xlfn.XLOOKUP(C1034,[1]ModifierDes!$B:$B,[1]ModifierDes!$C:$C),3,_xlfn.XLOOKUP(C1034,[1]StuntDes!$B:$B,[1]StuntDes!$C:$C)),"")</f>
        <v>获得闪电伤害{0}</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401</v>
      </c>
      <c r="D1035" t="s">
        <v>35</v>
      </c>
      <c r="E1035" t="s">
        <v>393</v>
      </c>
      <c r="F1035"/>
      <c r="G1035">
        <v>1</v>
      </c>
      <c r="H1035">
        <v>1000</v>
      </c>
      <c r="I1035"/>
      <c r="J1035" cm="1">
        <f t="array" ref="J1035">_xlfn.SWITCH(B1035,1,75,2,61,3,49,4,37,5,25,6,13,7,4,8,1)</f>
        <v>1</v>
      </c>
      <c r="K1035" t="str" cm="1">
        <f t="array" ref="K1035">IFERROR(_xlfn.SWITCH(L1035,1,_xlfn.XLOOKUP(C1035,[1]AttributeName!$C:$C,[1]AttributeName!$I:$I),2,_xlfn.XLOOKUP(C1035,[1]ModifierDes!$B:$B,[1]ModifierDes!$C:$C),3,_xlfn.XLOOKUP(C1035,[1]StuntDes!$B:$B,[1]StuntDes!$C:$C)),"")</f>
        <v>获得闪电伤害{0}</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402</v>
      </c>
      <c r="D1036" t="s">
        <v>35</v>
      </c>
      <c r="E1036" t="s">
        <v>393</v>
      </c>
      <c r="F1036"/>
      <c r="G1036">
        <v>1</v>
      </c>
      <c r="H1036">
        <v>100</v>
      </c>
      <c r="I1036"/>
      <c r="J1036" cm="1">
        <f t="array" ref="J1036">_xlfn.SWITCH(B1036,1,75,2,61,3,49,4,37,5,25,6,13,7,4,8,1)</f>
        <v>75</v>
      </c>
      <c r="K1036" t="str" cm="1">
        <f t="array" ref="K1036">IFERROR(_xlfn.SWITCH(L1036,1,_xlfn.XLOOKUP(C1036,[1]AttributeName!$C:$C,[1]AttributeName!$I:$I),2,_xlfn.XLOOKUP(C1036,[1]ModifierDes!$B:$B,[1]ModifierDes!$C:$C),3,_xlfn.XLOOKUP(C1036,[1]StuntDes!$B:$B,[1]StuntDes!$C:$C)),"")</f>
        <v>获得混沌伤害{0}</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402</v>
      </c>
      <c r="D1037" t="s">
        <v>35</v>
      </c>
      <c r="E1037" t="s">
        <v>393</v>
      </c>
      <c r="F1037"/>
      <c r="G1037">
        <v>1</v>
      </c>
      <c r="H1037">
        <v>200</v>
      </c>
      <c r="I1037"/>
      <c r="J1037" cm="1">
        <f t="array" ref="J1037">_xlfn.SWITCH(B1037,1,75,2,61,3,49,4,37,5,25,6,13,7,4,8,1)</f>
        <v>61</v>
      </c>
      <c r="K1037" t="str" cm="1">
        <f t="array" ref="K1037">IFERROR(_xlfn.SWITCH(L1037,1,_xlfn.XLOOKUP(C1037,[1]AttributeName!$C:$C,[1]AttributeName!$I:$I),2,_xlfn.XLOOKUP(C1037,[1]ModifierDes!$B:$B,[1]ModifierDes!$C:$C),3,_xlfn.XLOOKUP(C1037,[1]StuntDes!$B:$B,[1]StuntDes!$C:$C)),"")</f>
        <v>获得混沌伤害{0}</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402</v>
      </c>
      <c r="D1038" t="s">
        <v>35</v>
      </c>
      <c r="E1038" t="s">
        <v>393</v>
      </c>
      <c r="F1038"/>
      <c r="G1038">
        <v>1</v>
      </c>
      <c r="H1038">
        <v>400</v>
      </c>
      <c r="I1038"/>
      <c r="J1038" cm="1">
        <f t="array" ref="J1038">_xlfn.SWITCH(B1038,1,75,2,61,3,49,4,37,5,25,6,13,7,4,8,1)</f>
        <v>49</v>
      </c>
      <c r="K1038" t="str" cm="1">
        <f t="array" ref="K1038">IFERROR(_xlfn.SWITCH(L1038,1,_xlfn.XLOOKUP(C1038,[1]AttributeName!$C:$C,[1]AttributeName!$I:$I),2,_xlfn.XLOOKUP(C1038,[1]ModifierDes!$B:$B,[1]ModifierDes!$C:$C),3,_xlfn.XLOOKUP(C1038,[1]StuntDes!$B:$B,[1]StuntDes!$C:$C)),"")</f>
        <v>获得混沌伤害{0}</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402</v>
      </c>
      <c r="D1039" t="s">
        <v>35</v>
      </c>
      <c r="E1039" t="s">
        <v>393</v>
      </c>
      <c r="F1039"/>
      <c r="G1039">
        <v>1</v>
      </c>
      <c r="H1039">
        <v>600</v>
      </c>
      <c r="I1039"/>
      <c r="J1039" cm="1">
        <f t="array" ref="J1039">_xlfn.SWITCH(B1039,1,75,2,61,3,49,4,37,5,25,6,13,7,4,8,1)</f>
        <v>37</v>
      </c>
      <c r="K1039" t="str" cm="1">
        <f t="array" ref="K1039">IFERROR(_xlfn.SWITCH(L1039,1,_xlfn.XLOOKUP(C1039,[1]AttributeName!$C:$C,[1]AttributeName!$I:$I),2,_xlfn.XLOOKUP(C1039,[1]ModifierDes!$B:$B,[1]ModifierDes!$C:$C),3,_xlfn.XLOOKUP(C1039,[1]StuntDes!$B:$B,[1]StuntDes!$C:$C)),"")</f>
        <v>获得混沌伤害{0}</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402</v>
      </c>
      <c r="D1040" t="s">
        <v>35</v>
      </c>
      <c r="E1040" t="s">
        <v>393</v>
      </c>
      <c r="F1040"/>
      <c r="G1040">
        <v>1</v>
      </c>
      <c r="H1040">
        <v>800</v>
      </c>
      <c r="I1040"/>
      <c r="J1040" cm="1">
        <f t="array" ref="J1040">_xlfn.SWITCH(B1040,1,75,2,61,3,49,4,37,5,25,6,13,7,4,8,1)</f>
        <v>25</v>
      </c>
      <c r="K1040" t="str" cm="1">
        <f t="array" ref="K1040">IFERROR(_xlfn.SWITCH(L1040,1,_xlfn.XLOOKUP(C1040,[1]AttributeName!$C:$C,[1]AttributeName!$I:$I),2,_xlfn.XLOOKUP(C1040,[1]ModifierDes!$B:$B,[1]ModifierDes!$C:$C),3,_xlfn.XLOOKUP(C1040,[1]StuntDes!$B:$B,[1]StuntDes!$C:$C)),"")</f>
        <v>获得混沌伤害{0}</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402</v>
      </c>
      <c r="D1041" t="s">
        <v>35</v>
      </c>
      <c r="E1041" t="s">
        <v>393</v>
      </c>
      <c r="F1041"/>
      <c r="G1041">
        <v>1</v>
      </c>
      <c r="H1041">
        <v>1000</v>
      </c>
      <c r="I1041"/>
      <c r="J1041" cm="1">
        <f t="array" ref="J1041">_xlfn.SWITCH(B1041,1,75,2,61,3,49,4,37,5,25,6,13,7,4,8,1)</f>
        <v>13</v>
      </c>
      <c r="K1041" t="str" cm="1">
        <f t="array" ref="K1041">IFERROR(_xlfn.SWITCH(L1041,1,_xlfn.XLOOKUP(C1041,[1]AttributeName!$C:$C,[1]AttributeName!$I:$I),2,_xlfn.XLOOKUP(C1041,[1]ModifierDes!$B:$B,[1]ModifierDes!$C:$C),3,_xlfn.XLOOKUP(C1041,[1]StuntDes!$B:$B,[1]StuntDes!$C:$C)),"")</f>
        <v>获得混沌伤害{0}</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402</v>
      </c>
      <c r="D1042" t="s">
        <v>35</v>
      </c>
      <c r="E1042" t="s">
        <v>393</v>
      </c>
      <c r="F1042"/>
      <c r="G1042">
        <v>1</v>
      </c>
      <c r="H1042">
        <v>1000</v>
      </c>
      <c r="I1042"/>
      <c r="J1042" cm="1">
        <f t="array" ref="J1042">_xlfn.SWITCH(B1042,1,75,2,61,3,49,4,37,5,25,6,13,7,4,8,1)</f>
        <v>4</v>
      </c>
      <c r="K1042" t="str" cm="1">
        <f t="array" ref="K1042">IFERROR(_xlfn.SWITCH(L1042,1,_xlfn.XLOOKUP(C1042,[1]AttributeName!$C:$C,[1]AttributeName!$I:$I),2,_xlfn.XLOOKUP(C1042,[1]ModifierDes!$B:$B,[1]ModifierDes!$C:$C),3,_xlfn.XLOOKUP(C1042,[1]StuntDes!$B:$B,[1]StuntDes!$C:$C)),"")</f>
        <v>获得混沌伤害{0}</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402</v>
      </c>
      <c r="D1043" t="s">
        <v>35</v>
      </c>
      <c r="E1043" t="s">
        <v>393</v>
      </c>
      <c r="F1043"/>
      <c r="G1043">
        <v>1</v>
      </c>
      <c r="H1043">
        <v>1000</v>
      </c>
      <c r="I1043"/>
      <c r="J1043" cm="1">
        <f t="array" ref="J1043">_xlfn.SWITCH(B1043,1,75,2,61,3,49,4,37,5,25,6,13,7,4,8,1)</f>
        <v>1</v>
      </c>
      <c r="K1043" t="str" cm="1">
        <f t="array" ref="K1043">IFERROR(_xlfn.SWITCH(L1043,1,_xlfn.XLOOKUP(C1043,[1]AttributeName!$C:$C,[1]AttributeName!$I:$I),2,_xlfn.XLOOKUP(C1043,[1]ModifierDes!$B:$B,[1]ModifierDes!$C:$C),3,_xlfn.XLOOKUP(C1043,[1]StuntDes!$B:$B,[1]StuntDes!$C:$C)),"")</f>
        <v>获得混沌伤害{0}</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437</v>
      </c>
      <c r="D1044" t="s">
        <v>35</v>
      </c>
      <c r="E1044" s="13" t="s">
        <v>410</v>
      </c>
      <c r="F1044"/>
      <c r="G1044">
        <v>2</v>
      </c>
      <c r="H1044">
        <v>1000</v>
      </c>
      <c r="J1044" cm="1">
        <f t="array" ref="J1044">_xlfn.SWITCH(B1044,1,75,2,61,3,49,4,37,5,25,6,13,7,4,8,1)</f>
        <v>75</v>
      </c>
      <c r="K1044" t="str" cm="1">
        <f t="array" ref="K1044">IFERROR(_xlfn.SWITCH(L1044,1,_xlfn.XLOOKUP(C1044,[1]AttributeName!$C:$C,[1]AttributeName!$I:$I),2,_xlfn.XLOOKUP(C1044,[1]ModifierDes!$B:$B,[1]ModifierDes!$C:$C),3,_xlfn.XLOOKUP(C1044,[1]StuntDes!$B:$B,[1]StuntDes!$C:$C)),"")</f>
        <v>物理抗性增加{0}</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437</v>
      </c>
      <c r="D1045" t="s">
        <v>35</v>
      </c>
      <c r="E1045" s="13" t="s">
        <v>410</v>
      </c>
      <c r="F1045"/>
      <c r="G1045">
        <v>2</v>
      </c>
      <c r="H1045">
        <v>1000</v>
      </c>
      <c r="J1045" cm="1">
        <f t="array" ref="J1045">_xlfn.SWITCH(B1045,1,75,2,61,3,49,4,37,5,25,6,13,7,4,8,1)</f>
        <v>61</v>
      </c>
      <c r="K1045" t="str" cm="1">
        <f t="array" ref="K1045">IFERROR(_xlfn.SWITCH(L1045,1,_xlfn.XLOOKUP(C1045,[1]AttributeName!$C:$C,[1]AttributeName!$I:$I),2,_xlfn.XLOOKUP(C1045,[1]ModifierDes!$B:$B,[1]ModifierDes!$C:$C),3,_xlfn.XLOOKUP(C1045,[1]StuntDes!$B:$B,[1]StuntDes!$C:$C)),"")</f>
        <v>物理抗性增加{0}</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437</v>
      </c>
      <c r="D1046" t="s">
        <v>35</v>
      </c>
      <c r="E1046" s="13" t="s">
        <v>410</v>
      </c>
      <c r="F1046"/>
      <c r="G1046">
        <v>2</v>
      </c>
      <c r="H1046">
        <v>1000</v>
      </c>
      <c r="J1046" cm="1">
        <f t="array" ref="J1046">_xlfn.SWITCH(B1046,1,75,2,61,3,49,4,37,5,25,6,13,7,4,8,1)</f>
        <v>49</v>
      </c>
      <c r="K1046" t="str" cm="1">
        <f t="array" ref="K1046">IFERROR(_xlfn.SWITCH(L1046,1,_xlfn.XLOOKUP(C1046,[1]AttributeName!$C:$C,[1]AttributeName!$I:$I),2,_xlfn.XLOOKUP(C1046,[1]ModifierDes!$B:$B,[1]ModifierDes!$C:$C),3,_xlfn.XLOOKUP(C1046,[1]StuntDes!$B:$B,[1]StuntDes!$C:$C)),"")</f>
        <v>物理抗性增加{0}</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437</v>
      </c>
      <c r="D1047" t="s">
        <v>35</v>
      </c>
      <c r="E1047" s="13" t="s">
        <v>410</v>
      </c>
      <c r="F1047"/>
      <c r="G1047">
        <v>2</v>
      </c>
      <c r="H1047">
        <v>1000</v>
      </c>
      <c r="J1047" cm="1">
        <f t="array" ref="J1047">_xlfn.SWITCH(B1047,1,75,2,61,3,49,4,37,5,25,6,13,7,4,8,1)</f>
        <v>37</v>
      </c>
      <c r="K1047" t="str" cm="1">
        <f t="array" ref="K1047">IFERROR(_xlfn.SWITCH(L1047,1,_xlfn.XLOOKUP(C1047,[1]AttributeName!$C:$C,[1]AttributeName!$I:$I),2,_xlfn.XLOOKUP(C1047,[1]ModifierDes!$B:$B,[1]ModifierDes!$C:$C),3,_xlfn.XLOOKUP(C1047,[1]StuntDes!$B:$B,[1]StuntDes!$C:$C)),"")</f>
        <v>物理抗性增加{0}</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437</v>
      </c>
      <c r="D1048" t="s">
        <v>35</v>
      </c>
      <c r="E1048" s="13" t="s">
        <v>410</v>
      </c>
      <c r="F1048"/>
      <c r="G1048">
        <v>2</v>
      </c>
      <c r="H1048">
        <v>1000</v>
      </c>
      <c r="J1048" cm="1">
        <f t="array" ref="J1048">_xlfn.SWITCH(B1048,1,75,2,61,3,49,4,37,5,25,6,13,7,4,8,1)</f>
        <v>25</v>
      </c>
      <c r="K1048" t="str" cm="1">
        <f t="array" ref="K1048">IFERROR(_xlfn.SWITCH(L1048,1,_xlfn.XLOOKUP(C1048,[1]AttributeName!$C:$C,[1]AttributeName!$I:$I),2,_xlfn.XLOOKUP(C1048,[1]ModifierDes!$B:$B,[1]ModifierDes!$C:$C),3,_xlfn.XLOOKUP(C1048,[1]StuntDes!$B:$B,[1]StuntDes!$C:$C)),"")</f>
        <v>物理抗性增加{0}</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437</v>
      </c>
      <c r="D1049" t="s">
        <v>35</v>
      </c>
      <c r="E1049" s="13" t="s">
        <v>410</v>
      </c>
      <c r="F1049"/>
      <c r="G1049">
        <v>2</v>
      </c>
      <c r="H1049">
        <v>1000</v>
      </c>
      <c r="J1049" cm="1">
        <f t="array" ref="J1049">_xlfn.SWITCH(B1049,1,75,2,61,3,49,4,37,5,25,6,13,7,4,8,1)</f>
        <v>13</v>
      </c>
      <c r="K1049" t="str" cm="1">
        <f t="array" ref="K1049">IFERROR(_xlfn.SWITCH(L1049,1,_xlfn.XLOOKUP(C1049,[1]AttributeName!$C:$C,[1]AttributeName!$I:$I),2,_xlfn.XLOOKUP(C1049,[1]ModifierDes!$B:$B,[1]ModifierDes!$C:$C),3,_xlfn.XLOOKUP(C1049,[1]StuntDes!$B:$B,[1]StuntDes!$C:$C)),"")</f>
        <v>物理抗性增加{0}</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437</v>
      </c>
      <c r="D1050" t="s">
        <v>35</v>
      </c>
      <c r="E1050" s="13" t="s">
        <v>410</v>
      </c>
      <c r="F1050"/>
      <c r="G1050">
        <v>2</v>
      </c>
      <c r="H1050">
        <v>1000</v>
      </c>
      <c r="J1050" cm="1">
        <f t="array" ref="J1050">_xlfn.SWITCH(B1050,1,75,2,61,3,49,4,37,5,25,6,13,7,4,8,1)</f>
        <v>4</v>
      </c>
      <c r="K1050" t="str" cm="1">
        <f t="array" ref="K1050">IFERROR(_xlfn.SWITCH(L1050,1,_xlfn.XLOOKUP(C1050,[1]AttributeName!$C:$C,[1]AttributeName!$I:$I),2,_xlfn.XLOOKUP(C1050,[1]ModifierDes!$B:$B,[1]ModifierDes!$C:$C),3,_xlfn.XLOOKUP(C1050,[1]StuntDes!$B:$B,[1]StuntDes!$C:$C)),"")</f>
        <v>物理抗性增加{0}</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437</v>
      </c>
      <c r="D1051" t="s">
        <v>35</v>
      </c>
      <c r="E1051" s="13" t="s">
        <v>410</v>
      </c>
      <c r="F1051"/>
      <c r="G1051">
        <v>2</v>
      </c>
      <c r="H1051">
        <v>1000</v>
      </c>
      <c r="J1051" cm="1">
        <f t="array" ref="J1051">_xlfn.SWITCH(B1051,1,75,2,61,3,49,4,37,5,25,6,13,7,4,8,1)</f>
        <v>1</v>
      </c>
      <c r="K1051" t="str" cm="1">
        <f t="array" ref="K1051">IFERROR(_xlfn.SWITCH(L1051,1,_xlfn.XLOOKUP(C1051,[1]AttributeName!$C:$C,[1]AttributeName!$I:$I),2,_xlfn.XLOOKUP(C1051,[1]ModifierDes!$B:$B,[1]ModifierDes!$C:$C),3,_xlfn.XLOOKUP(C1051,[1]StuntDes!$B:$B,[1]StuntDes!$C:$C)),"")</f>
        <v>物理抗性增加{0}</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438</v>
      </c>
      <c r="D1052" t="s">
        <v>35</v>
      </c>
      <c r="E1052" s="13" t="s">
        <v>410</v>
      </c>
      <c r="F1052"/>
      <c r="G1052">
        <v>2</v>
      </c>
      <c r="H1052">
        <v>1000</v>
      </c>
      <c r="J1052" cm="1">
        <f t="array" ref="J1052">_xlfn.SWITCH(B1052,1,75,2,61,3,49,4,37,5,25,6,13,7,4,8,1)</f>
        <v>75</v>
      </c>
      <c r="K1052" t="str" cm="1">
        <f t="array" ref="K1052">IFERROR(_xlfn.SWITCH(L1052,1,_xlfn.XLOOKUP(C1052,[1]AttributeName!$C:$C,[1]AttributeName!$I:$I),2,_xlfn.XLOOKUP(C1052,[1]ModifierDes!$B:$B,[1]ModifierDes!$C:$C),3,_xlfn.XLOOKUP(C1052,[1]StuntDes!$B:$B,[1]StuntDes!$C:$C)),"")</f>
        <v>火焰抗性增加{0}</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438</v>
      </c>
      <c r="D1053" t="s">
        <v>35</v>
      </c>
      <c r="E1053" s="13" t="s">
        <v>410</v>
      </c>
      <c r="F1053"/>
      <c r="G1053">
        <v>2</v>
      </c>
      <c r="H1053">
        <v>1000</v>
      </c>
      <c r="J1053" cm="1">
        <f t="array" ref="J1053">_xlfn.SWITCH(B1053,1,75,2,61,3,49,4,37,5,25,6,13,7,4,8,1)</f>
        <v>61</v>
      </c>
      <c r="K1053" t="str" cm="1">
        <f t="array" ref="K1053">IFERROR(_xlfn.SWITCH(L1053,1,_xlfn.XLOOKUP(C1053,[1]AttributeName!$C:$C,[1]AttributeName!$I:$I),2,_xlfn.XLOOKUP(C1053,[1]ModifierDes!$B:$B,[1]ModifierDes!$C:$C),3,_xlfn.XLOOKUP(C1053,[1]StuntDes!$B:$B,[1]StuntDes!$C:$C)),"")</f>
        <v>火焰抗性增加{0}</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438</v>
      </c>
      <c r="D1054" t="s">
        <v>35</v>
      </c>
      <c r="E1054" s="13" t="s">
        <v>410</v>
      </c>
      <c r="F1054"/>
      <c r="G1054">
        <v>2</v>
      </c>
      <c r="H1054">
        <v>1000</v>
      </c>
      <c r="J1054" cm="1">
        <f t="array" ref="J1054">_xlfn.SWITCH(B1054,1,75,2,61,3,49,4,37,5,25,6,13,7,4,8,1)</f>
        <v>49</v>
      </c>
      <c r="K1054" t="str" cm="1">
        <f t="array" ref="K1054">IFERROR(_xlfn.SWITCH(L1054,1,_xlfn.XLOOKUP(C1054,[1]AttributeName!$C:$C,[1]AttributeName!$I:$I),2,_xlfn.XLOOKUP(C1054,[1]ModifierDes!$B:$B,[1]ModifierDes!$C:$C),3,_xlfn.XLOOKUP(C1054,[1]StuntDes!$B:$B,[1]StuntDes!$C:$C)),"")</f>
        <v>火焰抗性增加{0}</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438</v>
      </c>
      <c r="D1055" t="s">
        <v>35</v>
      </c>
      <c r="E1055" s="13" t="s">
        <v>410</v>
      </c>
      <c r="F1055"/>
      <c r="G1055">
        <v>2</v>
      </c>
      <c r="H1055">
        <v>1000</v>
      </c>
      <c r="J1055" cm="1">
        <f t="array" ref="J1055">_xlfn.SWITCH(B1055,1,75,2,61,3,49,4,37,5,25,6,13,7,4,8,1)</f>
        <v>37</v>
      </c>
      <c r="K1055" t="str" cm="1">
        <f t="array" ref="K1055">IFERROR(_xlfn.SWITCH(L1055,1,_xlfn.XLOOKUP(C1055,[1]AttributeName!$C:$C,[1]AttributeName!$I:$I),2,_xlfn.XLOOKUP(C1055,[1]ModifierDes!$B:$B,[1]ModifierDes!$C:$C),3,_xlfn.XLOOKUP(C1055,[1]StuntDes!$B:$B,[1]StuntDes!$C:$C)),"")</f>
        <v>火焰抗性增加{0}</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438</v>
      </c>
      <c r="D1056" t="s">
        <v>35</v>
      </c>
      <c r="E1056" s="13" t="s">
        <v>410</v>
      </c>
      <c r="F1056"/>
      <c r="G1056">
        <v>2</v>
      </c>
      <c r="H1056">
        <v>1000</v>
      </c>
      <c r="J1056" cm="1">
        <f t="array" ref="J1056">_xlfn.SWITCH(B1056,1,75,2,61,3,49,4,37,5,25,6,13,7,4,8,1)</f>
        <v>25</v>
      </c>
      <c r="K1056" t="str" cm="1">
        <f t="array" ref="K1056">IFERROR(_xlfn.SWITCH(L1056,1,_xlfn.XLOOKUP(C1056,[1]AttributeName!$C:$C,[1]AttributeName!$I:$I),2,_xlfn.XLOOKUP(C1056,[1]ModifierDes!$B:$B,[1]ModifierDes!$C:$C),3,_xlfn.XLOOKUP(C1056,[1]StuntDes!$B:$B,[1]StuntDes!$C:$C)),"")</f>
        <v>火焰抗性增加{0}</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438</v>
      </c>
      <c r="D1057" t="s">
        <v>35</v>
      </c>
      <c r="E1057" s="13" t="s">
        <v>410</v>
      </c>
      <c r="F1057"/>
      <c r="G1057">
        <v>2</v>
      </c>
      <c r="H1057">
        <v>1000</v>
      </c>
      <c r="J1057" cm="1">
        <f t="array" ref="J1057">_xlfn.SWITCH(B1057,1,75,2,61,3,49,4,37,5,25,6,13,7,4,8,1)</f>
        <v>13</v>
      </c>
      <c r="K1057" t="str" cm="1">
        <f t="array" ref="K1057">IFERROR(_xlfn.SWITCH(L1057,1,_xlfn.XLOOKUP(C1057,[1]AttributeName!$C:$C,[1]AttributeName!$I:$I),2,_xlfn.XLOOKUP(C1057,[1]ModifierDes!$B:$B,[1]ModifierDes!$C:$C),3,_xlfn.XLOOKUP(C1057,[1]StuntDes!$B:$B,[1]StuntDes!$C:$C)),"")</f>
        <v>火焰抗性增加{0}</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438</v>
      </c>
      <c r="D1058" t="s">
        <v>35</v>
      </c>
      <c r="E1058" s="13" t="s">
        <v>410</v>
      </c>
      <c r="F1058"/>
      <c r="G1058">
        <v>2</v>
      </c>
      <c r="H1058">
        <v>1000</v>
      </c>
      <c r="J1058" cm="1">
        <f t="array" ref="J1058">_xlfn.SWITCH(B1058,1,75,2,61,3,49,4,37,5,25,6,13,7,4,8,1)</f>
        <v>4</v>
      </c>
      <c r="K1058" t="str" cm="1">
        <f t="array" ref="K1058">IFERROR(_xlfn.SWITCH(L1058,1,_xlfn.XLOOKUP(C1058,[1]AttributeName!$C:$C,[1]AttributeName!$I:$I),2,_xlfn.XLOOKUP(C1058,[1]ModifierDes!$B:$B,[1]ModifierDes!$C:$C),3,_xlfn.XLOOKUP(C1058,[1]StuntDes!$B:$B,[1]StuntDes!$C:$C)),"")</f>
        <v>火焰抗性增加{0}</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438</v>
      </c>
      <c r="D1059" t="s">
        <v>35</v>
      </c>
      <c r="E1059" s="13" t="s">
        <v>410</v>
      </c>
      <c r="F1059"/>
      <c r="G1059">
        <v>2</v>
      </c>
      <c r="H1059">
        <v>1000</v>
      </c>
      <c r="J1059" cm="1">
        <f t="array" ref="J1059">_xlfn.SWITCH(B1059,1,75,2,61,3,49,4,37,5,25,6,13,7,4,8,1)</f>
        <v>1</v>
      </c>
      <c r="K1059" t="str" cm="1">
        <f t="array" ref="K1059">IFERROR(_xlfn.SWITCH(L1059,1,_xlfn.XLOOKUP(C1059,[1]AttributeName!$C:$C,[1]AttributeName!$I:$I),2,_xlfn.XLOOKUP(C1059,[1]ModifierDes!$B:$B,[1]ModifierDes!$C:$C),3,_xlfn.XLOOKUP(C1059,[1]StuntDes!$B:$B,[1]StuntDes!$C:$C)),"")</f>
        <v>火焰抗性增加{0}</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439</v>
      </c>
      <c r="D1060" t="s">
        <v>35</v>
      </c>
      <c r="E1060" s="13" t="s">
        <v>410</v>
      </c>
      <c r="F1060"/>
      <c r="G1060">
        <v>2</v>
      </c>
      <c r="H1060">
        <v>1000</v>
      </c>
      <c r="J1060" cm="1">
        <f t="array" ref="J1060">_xlfn.SWITCH(B1060,1,75,2,61,3,49,4,37,5,25,6,13,7,4,8,1)</f>
        <v>75</v>
      </c>
      <c r="K1060" t="str" cm="1">
        <f t="array" ref="K1060">IFERROR(_xlfn.SWITCH(L1060,1,_xlfn.XLOOKUP(C1060,[1]AttributeName!$C:$C,[1]AttributeName!$I:$I),2,_xlfn.XLOOKUP(C1060,[1]ModifierDes!$B:$B,[1]ModifierDes!$C:$C),3,_xlfn.XLOOKUP(C1060,[1]StuntDes!$B:$B,[1]StuntDes!$C:$C)),"")</f>
        <v>冰冷抗性增加{0}</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439</v>
      </c>
      <c r="D1061" t="s">
        <v>35</v>
      </c>
      <c r="E1061" s="13" t="s">
        <v>410</v>
      </c>
      <c r="F1061"/>
      <c r="G1061">
        <v>2</v>
      </c>
      <c r="H1061">
        <v>1000</v>
      </c>
      <c r="J1061" cm="1">
        <f t="array" ref="J1061">_xlfn.SWITCH(B1061,1,75,2,61,3,49,4,37,5,25,6,13,7,4,8,1)</f>
        <v>61</v>
      </c>
      <c r="K1061" t="str" cm="1">
        <f t="array" ref="K1061">IFERROR(_xlfn.SWITCH(L1061,1,_xlfn.XLOOKUP(C1061,[1]AttributeName!$C:$C,[1]AttributeName!$I:$I),2,_xlfn.XLOOKUP(C1061,[1]ModifierDes!$B:$B,[1]ModifierDes!$C:$C),3,_xlfn.XLOOKUP(C1061,[1]StuntDes!$B:$B,[1]StuntDes!$C:$C)),"")</f>
        <v>冰冷抗性增加{0}</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439</v>
      </c>
      <c r="D1062" t="s">
        <v>35</v>
      </c>
      <c r="E1062" s="13" t="s">
        <v>410</v>
      </c>
      <c r="F1062"/>
      <c r="G1062">
        <v>2</v>
      </c>
      <c r="H1062">
        <v>1000</v>
      </c>
      <c r="J1062" cm="1">
        <f t="array" ref="J1062">_xlfn.SWITCH(B1062,1,75,2,61,3,49,4,37,5,25,6,13,7,4,8,1)</f>
        <v>49</v>
      </c>
      <c r="K1062" t="str" cm="1">
        <f t="array" ref="K1062">IFERROR(_xlfn.SWITCH(L1062,1,_xlfn.XLOOKUP(C1062,[1]AttributeName!$C:$C,[1]AttributeName!$I:$I),2,_xlfn.XLOOKUP(C1062,[1]ModifierDes!$B:$B,[1]ModifierDes!$C:$C),3,_xlfn.XLOOKUP(C1062,[1]StuntDes!$B:$B,[1]StuntDes!$C:$C)),"")</f>
        <v>冰冷抗性增加{0}</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439</v>
      </c>
      <c r="D1063" t="s">
        <v>35</v>
      </c>
      <c r="E1063" s="13" t="s">
        <v>410</v>
      </c>
      <c r="F1063"/>
      <c r="G1063">
        <v>2</v>
      </c>
      <c r="H1063">
        <v>1000</v>
      </c>
      <c r="J1063" cm="1">
        <f t="array" ref="J1063">_xlfn.SWITCH(B1063,1,75,2,61,3,49,4,37,5,25,6,13,7,4,8,1)</f>
        <v>37</v>
      </c>
      <c r="K1063" t="str" cm="1">
        <f t="array" ref="K1063">IFERROR(_xlfn.SWITCH(L1063,1,_xlfn.XLOOKUP(C1063,[1]AttributeName!$C:$C,[1]AttributeName!$I:$I),2,_xlfn.XLOOKUP(C1063,[1]ModifierDes!$B:$B,[1]ModifierDes!$C:$C),3,_xlfn.XLOOKUP(C1063,[1]StuntDes!$B:$B,[1]StuntDes!$C:$C)),"")</f>
        <v>冰冷抗性增加{0}</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439</v>
      </c>
      <c r="D1064" t="s">
        <v>35</v>
      </c>
      <c r="E1064" s="13" t="s">
        <v>410</v>
      </c>
      <c r="F1064"/>
      <c r="G1064">
        <v>2</v>
      </c>
      <c r="H1064">
        <v>1000</v>
      </c>
      <c r="J1064" cm="1">
        <f t="array" ref="J1064">_xlfn.SWITCH(B1064,1,75,2,61,3,49,4,37,5,25,6,13,7,4,8,1)</f>
        <v>25</v>
      </c>
      <c r="K1064" t="str" cm="1">
        <f t="array" ref="K1064">IFERROR(_xlfn.SWITCH(L1064,1,_xlfn.XLOOKUP(C1064,[1]AttributeName!$C:$C,[1]AttributeName!$I:$I),2,_xlfn.XLOOKUP(C1064,[1]ModifierDes!$B:$B,[1]ModifierDes!$C:$C),3,_xlfn.XLOOKUP(C1064,[1]StuntDes!$B:$B,[1]StuntDes!$C:$C)),"")</f>
        <v>冰冷抗性增加{0}</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439</v>
      </c>
      <c r="D1065" t="s">
        <v>35</v>
      </c>
      <c r="E1065" s="13" t="s">
        <v>410</v>
      </c>
      <c r="F1065"/>
      <c r="G1065">
        <v>2</v>
      </c>
      <c r="H1065">
        <v>1000</v>
      </c>
      <c r="J1065" cm="1">
        <f t="array" ref="J1065">_xlfn.SWITCH(B1065,1,75,2,61,3,49,4,37,5,25,6,13,7,4,8,1)</f>
        <v>13</v>
      </c>
      <c r="K1065" t="str" cm="1">
        <f t="array" ref="K1065">IFERROR(_xlfn.SWITCH(L1065,1,_xlfn.XLOOKUP(C1065,[1]AttributeName!$C:$C,[1]AttributeName!$I:$I),2,_xlfn.XLOOKUP(C1065,[1]ModifierDes!$B:$B,[1]ModifierDes!$C:$C),3,_xlfn.XLOOKUP(C1065,[1]StuntDes!$B:$B,[1]StuntDes!$C:$C)),"")</f>
        <v>冰冷抗性增加{0}</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439</v>
      </c>
      <c r="D1066" t="s">
        <v>35</v>
      </c>
      <c r="E1066" s="13" t="s">
        <v>410</v>
      </c>
      <c r="F1066"/>
      <c r="G1066">
        <v>2</v>
      </c>
      <c r="H1066">
        <v>1000</v>
      </c>
      <c r="J1066" cm="1">
        <f t="array" ref="J1066">_xlfn.SWITCH(B1066,1,75,2,61,3,49,4,37,5,25,6,13,7,4,8,1)</f>
        <v>4</v>
      </c>
      <c r="K1066" t="str" cm="1">
        <f t="array" ref="K1066">IFERROR(_xlfn.SWITCH(L1066,1,_xlfn.XLOOKUP(C1066,[1]AttributeName!$C:$C,[1]AttributeName!$I:$I),2,_xlfn.XLOOKUP(C1066,[1]ModifierDes!$B:$B,[1]ModifierDes!$C:$C),3,_xlfn.XLOOKUP(C1066,[1]StuntDes!$B:$B,[1]StuntDes!$C:$C)),"")</f>
        <v>冰冷抗性增加{0}</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439</v>
      </c>
      <c r="D1067" t="s">
        <v>35</v>
      </c>
      <c r="E1067" s="13" t="s">
        <v>410</v>
      </c>
      <c r="F1067"/>
      <c r="G1067">
        <v>2</v>
      </c>
      <c r="H1067">
        <v>1000</v>
      </c>
      <c r="J1067" cm="1">
        <f t="array" ref="J1067">_xlfn.SWITCH(B1067,1,75,2,61,3,49,4,37,5,25,6,13,7,4,8,1)</f>
        <v>1</v>
      </c>
      <c r="K1067" t="str" cm="1">
        <f t="array" ref="K1067">IFERROR(_xlfn.SWITCH(L1067,1,_xlfn.XLOOKUP(C1067,[1]AttributeName!$C:$C,[1]AttributeName!$I:$I),2,_xlfn.XLOOKUP(C1067,[1]ModifierDes!$B:$B,[1]ModifierDes!$C:$C),3,_xlfn.XLOOKUP(C1067,[1]StuntDes!$B:$B,[1]StuntDes!$C:$C)),"")</f>
        <v>冰冷抗性增加{0}</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440</v>
      </c>
      <c r="D1068" t="s">
        <v>35</v>
      </c>
      <c r="E1068" s="13" t="s">
        <v>410</v>
      </c>
      <c r="F1068"/>
      <c r="G1068">
        <v>2</v>
      </c>
      <c r="H1068">
        <v>1000</v>
      </c>
      <c r="J1068" cm="1">
        <f t="array" ref="J1068">_xlfn.SWITCH(B1068,1,75,2,61,3,49,4,37,5,25,6,13,7,4,8,1)</f>
        <v>75</v>
      </c>
      <c r="K1068" t="str" cm="1">
        <f t="array" ref="K1068">IFERROR(_xlfn.SWITCH(L1068,1,_xlfn.XLOOKUP(C1068,[1]AttributeName!$C:$C,[1]AttributeName!$I:$I),2,_xlfn.XLOOKUP(C1068,[1]ModifierDes!$B:$B,[1]ModifierDes!$C:$C),3,_xlfn.XLOOKUP(C1068,[1]StuntDes!$B:$B,[1]StuntDes!$C:$C)),"")</f>
        <v>闪电抗性增加{0}</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440</v>
      </c>
      <c r="D1069" t="s">
        <v>35</v>
      </c>
      <c r="E1069" s="13" t="s">
        <v>410</v>
      </c>
      <c r="F1069"/>
      <c r="G1069">
        <v>2</v>
      </c>
      <c r="H1069">
        <v>1000</v>
      </c>
      <c r="J1069" cm="1">
        <f t="array" ref="J1069">_xlfn.SWITCH(B1069,1,75,2,61,3,49,4,37,5,25,6,13,7,4,8,1)</f>
        <v>61</v>
      </c>
      <c r="K1069" t="str" cm="1">
        <f t="array" ref="K1069">IFERROR(_xlfn.SWITCH(L1069,1,_xlfn.XLOOKUP(C1069,[1]AttributeName!$C:$C,[1]AttributeName!$I:$I),2,_xlfn.XLOOKUP(C1069,[1]ModifierDes!$B:$B,[1]ModifierDes!$C:$C),3,_xlfn.XLOOKUP(C1069,[1]StuntDes!$B:$B,[1]StuntDes!$C:$C)),"")</f>
        <v>闪电抗性增加{0}</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440</v>
      </c>
      <c r="D1070" t="s">
        <v>35</v>
      </c>
      <c r="E1070" s="13" t="s">
        <v>410</v>
      </c>
      <c r="F1070"/>
      <c r="G1070">
        <v>2</v>
      </c>
      <c r="H1070">
        <v>1000</v>
      </c>
      <c r="J1070" cm="1">
        <f t="array" ref="J1070">_xlfn.SWITCH(B1070,1,75,2,61,3,49,4,37,5,25,6,13,7,4,8,1)</f>
        <v>49</v>
      </c>
      <c r="K1070" t="str" cm="1">
        <f t="array" ref="K1070">IFERROR(_xlfn.SWITCH(L1070,1,_xlfn.XLOOKUP(C1070,[1]AttributeName!$C:$C,[1]AttributeName!$I:$I),2,_xlfn.XLOOKUP(C1070,[1]ModifierDes!$B:$B,[1]ModifierDes!$C:$C),3,_xlfn.XLOOKUP(C1070,[1]StuntDes!$B:$B,[1]StuntDes!$C:$C)),"")</f>
        <v>闪电抗性增加{0}</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440</v>
      </c>
      <c r="D1071" t="s">
        <v>35</v>
      </c>
      <c r="E1071" s="13" t="s">
        <v>410</v>
      </c>
      <c r="F1071"/>
      <c r="G1071">
        <v>2</v>
      </c>
      <c r="H1071">
        <v>1000</v>
      </c>
      <c r="J1071" cm="1">
        <f t="array" ref="J1071">_xlfn.SWITCH(B1071,1,75,2,61,3,49,4,37,5,25,6,13,7,4,8,1)</f>
        <v>37</v>
      </c>
      <c r="K1071" t="str" cm="1">
        <f t="array" ref="K1071">IFERROR(_xlfn.SWITCH(L1071,1,_xlfn.XLOOKUP(C1071,[1]AttributeName!$C:$C,[1]AttributeName!$I:$I),2,_xlfn.XLOOKUP(C1071,[1]ModifierDes!$B:$B,[1]ModifierDes!$C:$C),3,_xlfn.XLOOKUP(C1071,[1]StuntDes!$B:$B,[1]StuntDes!$C:$C)),"")</f>
        <v>闪电抗性增加{0}</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440</v>
      </c>
      <c r="D1072" t="s">
        <v>35</v>
      </c>
      <c r="E1072" s="13" t="s">
        <v>410</v>
      </c>
      <c r="F1072"/>
      <c r="G1072">
        <v>2</v>
      </c>
      <c r="H1072">
        <v>1000</v>
      </c>
      <c r="J1072" cm="1">
        <f t="array" ref="J1072">_xlfn.SWITCH(B1072,1,75,2,61,3,49,4,37,5,25,6,13,7,4,8,1)</f>
        <v>25</v>
      </c>
      <c r="K1072" t="str" cm="1">
        <f t="array" ref="K1072">IFERROR(_xlfn.SWITCH(L1072,1,_xlfn.XLOOKUP(C1072,[1]AttributeName!$C:$C,[1]AttributeName!$I:$I),2,_xlfn.XLOOKUP(C1072,[1]ModifierDes!$B:$B,[1]ModifierDes!$C:$C),3,_xlfn.XLOOKUP(C1072,[1]StuntDes!$B:$B,[1]StuntDes!$C:$C)),"")</f>
        <v>闪电抗性增加{0}</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440</v>
      </c>
      <c r="D1073" t="s">
        <v>35</v>
      </c>
      <c r="E1073" s="13" t="s">
        <v>410</v>
      </c>
      <c r="F1073"/>
      <c r="G1073">
        <v>2</v>
      </c>
      <c r="H1073">
        <v>1000</v>
      </c>
      <c r="J1073" cm="1">
        <f t="array" ref="J1073">_xlfn.SWITCH(B1073,1,75,2,61,3,49,4,37,5,25,6,13,7,4,8,1)</f>
        <v>13</v>
      </c>
      <c r="K1073" t="str" cm="1">
        <f t="array" ref="K1073">IFERROR(_xlfn.SWITCH(L1073,1,_xlfn.XLOOKUP(C1073,[1]AttributeName!$C:$C,[1]AttributeName!$I:$I),2,_xlfn.XLOOKUP(C1073,[1]ModifierDes!$B:$B,[1]ModifierDes!$C:$C),3,_xlfn.XLOOKUP(C1073,[1]StuntDes!$B:$B,[1]StuntDes!$C:$C)),"")</f>
        <v>闪电抗性增加{0}</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440</v>
      </c>
      <c r="D1074" t="s">
        <v>35</v>
      </c>
      <c r="E1074" s="13" t="s">
        <v>410</v>
      </c>
      <c r="F1074"/>
      <c r="G1074">
        <v>2</v>
      </c>
      <c r="H1074">
        <v>1000</v>
      </c>
      <c r="J1074" cm="1">
        <f t="array" ref="J1074">_xlfn.SWITCH(B1074,1,75,2,61,3,49,4,37,5,25,6,13,7,4,8,1)</f>
        <v>4</v>
      </c>
      <c r="K1074" t="str" cm="1">
        <f t="array" ref="K1074">IFERROR(_xlfn.SWITCH(L1074,1,_xlfn.XLOOKUP(C1074,[1]AttributeName!$C:$C,[1]AttributeName!$I:$I),2,_xlfn.XLOOKUP(C1074,[1]ModifierDes!$B:$B,[1]ModifierDes!$C:$C),3,_xlfn.XLOOKUP(C1074,[1]StuntDes!$B:$B,[1]StuntDes!$C:$C)),"")</f>
        <v>闪电抗性增加{0}</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440</v>
      </c>
      <c r="D1075" t="s">
        <v>35</v>
      </c>
      <c r="E1075" s="13" t="s">
        <v>410</v>
      </c>
      <c r="F1075"/>
      <c r="G1075">
        <v>2</v>
      </c>
      <c r="H1075">
        <v>1000</v>
      </c>
      <c r="J1075" cm="1">
        <f t="array" ref="J1075">_xlfn.SWITCH(B1075,1,75,2,61,3,49,4,37,5,25,6,13,7,4,8,1)</f>
        <v>1</v>
      </c>
      <c r="K1075" t="str" cm="1">
        <f t="array" ref="K1075">IFERROR(_xlfn.SWITCH(L1075,1,_xlfn.XLOOKUP(C1075,[1]AttributeName!$C:$C,[1]AttributeName!$I:$I),2,_xlfn.XLOOKUP(C1075,[1]ModifierDes!$B:$B,[1]ModifierDes!$C:$C),3,_xlfn.XLOOKUP(C1075,[1]StuntDes!$B:$B,[1]StuntDes!$C:$C)),"")</f>
        <v>闪电抗性增加{0}</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441</v>
      </c>
      <c r="D1076" t="s">
        <v>35</v>
      </c>
      <c r="E1076" s="13" t="s">
        <v>410</v>
      </c>
      <c r="F1076"/>
      <c r="G1076">
        <v>2</v>
      </c>
      <c r="H1076">
        <v>250</v>
      </c>
      <c r="J1076" cm="1">
        <f t="array" ref="J1076">_xlfn.SWITCH(B1076,1,75,2,61,3,49,4,37,5,25,6,13,7,4,8,1)</f>
        <v>75</v>
      </c>
      <c r="K1076" t="str" cm="1">
        <f t="array" ref="K1076">IFERROR(_xlfn.SWITCH(L1076,1,_xlfn.XLOOKUP(C1076,[1]AttributeName!$C:$C,[1]AttributeName!$I:$I),2,_xlfn.XLOOKUP(C1076,[1]ModifierDes!$B:$B,[1]ModifierDes!$C:$C),3,_xlfn.XLOOKUP(C1076,[1]StuntDes!$B:$B,[1]StuntDes!$C:$C)),"")</f>
        <v>混沌抗性增加{0}</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441</v>
      </c>
      <c r="D1077" t="s">
        <v>35</v>
      </c>
      <c r="E1077" s="13" t="s">
        <v>410</v>
      </c>
      <c r="F1077"/>
      <c r="G1077">
        <v>2</v>
      </c>
      <c r="H1077">
        <v>250</v>
      </c>
      <c r="J1077" cm="1">
        <f t="array" ref="J1077">_xlfn.SWITCH(B1077,1,75,2,61,3,49,4,37,5,25,6,13,7,4,8,1)</f>
        <v>61</v>
      </c>
      <c r="K1077" t="str" cm="1">
        <f t="array" ref="K1077">IFERROR(_xlfn.SWITCH(L1077,1,_xlfn.XLOOKUP(C1077,[1]AttributeName!$C:$C,[1]AttributeName!$I:$I),2,_xlfn.XLOOKUP(C1077,[1]ModifierDes!$B:$B,[1]ModifierDes!$C:$C),3,_xlfn.XLOOKUP(C1077,[1]StuntDes!$B:$B,[1]StuntDes!$C:$C)),"")</f>
        <v>混沌抗性增加{0}</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441</v>
      </c>
      <c r="D1078" t="s">
        <v>35</v>
      </c>
      <c r="E1078" s="13" t="s">
        <v>410</v>
      </c>
      <c r="F1078"/>
      <c r="G1078">
        <v>2</v>
      </c>
      <c r="H1078">
        <v>250</v>
      </c>
      <c r="J1078" cm="1">
        <f t="array" ref="J1078">_xlfn.SWITCH(B1078,1,75,2,61,3,49,4,37,5,25,6,13,7,4,8,1)</f>
        <v>49</v>
      </c>
      <c r="K1078" t="str" cm="1">
        <f t="array" ref="K1078">IFERROR(_xlfn.SWITCH(L1078,1,_xlfn.XLOOKUP(C1078,[1]AttributeName!$C:$C,[1]AttributeName!$I:$I),2,_xlfn.XLOOKUP(C1078,[1]ModifierDes!$B:$B,[1]ModifierDes!$C:$C),3,_xlfn.XLOOKUP(C1078,[1]StuntDes!$B:$B,[1]StuntDes!$C:$C)),"")</f>
        <v>混沌抗性增加{0}</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441</v>
      </c>
      <c r="D1079" t="s">
        <v>35</v>
      </c>
      <c r="E1079" s="13" t="s">
        <v>410</v>
      </c>
      <c r="F1079"/>
      <c r="G1079">
        <v>2</v>
      </c>
      <c r="H1079">
        <v>250</v>
      </c>
      <c r="J1079" cm="1">
        <f t="array" ref="J1079">_xlfn.SWITCH(B1079,1,75,2,61,3,49,4,37,5,25,6,13,7,4,8,1)</f>
        <v>37</v>
      </c>
      <c r="K1079" t="str" cm="1">
        <f t="array" ref="K1079">IFERROR(_xlfn.SWITCH(L1079,1,_xlfn.XLOOKUP(C1079,[1]AttributeName!$C:$C,[1]AttributeName!$I:$I),2,_xlfn.XLOOKUP(C1079,[1]ModifierDes!$B:$B,[1]ModifierDes!$C:$C),3,_xlfn.XLOOKUP(C1079,[1]StuntDes!$B:$B,[1]StuntDes!$C:$C)),"")</f>
        <v>混沌抗性增加{0}</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441</v>
      </c>
      <c r="D1080" t="s">
        <v>35</v>
      </c>
      <c r="E1080" s="13" t="s">
        <v>410</v>
      </c>
      <c r="F1080"/>
      <c r="G1080">
        <v>2</v>
      </c>
      <c r="H1080">
        <v>250</v>
      </c>
      <c r="J1080" cm="1">
        <f t="array" ref="J1080">_xlfn.SWITCH(B1080,1,75,2,61,3,49,4,37,5,25,6,13,7,4,8,1)</f>
        <v>25</v>
      </c>
      <c r="K1080" t="str" cm="1">
        <f t="array" ref="K1080">IFERROR(_xlfn.SWITCH(L1080,1,_xlfn.XLOOKUP(C1080,[1]AttributeName!$C:$C,[1]AttributeName!$I:$I),2,_xlfn.XLOOKUP(C1080,[1]ModifierDes!$B:$B,[1]ModifierDes!$C:$C),3,_xlfn.XLOOKUP(C1080,[1]StuntDes!$B:$B,[1]StuntDes!$C:$C)),"")</f>
        <v>混沌抗性增加{0}</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441</v>
      </c>
      <c r="D1081" t="s">
        <v>35</v>
      </c>
      <c r="E1081" s="13" t="s">
        <v>410</v>
      </c>
      <c r="F1081"/>
      <c r="G1081">
        <v>2</v>
      </c>
      <c r="H1081">
        <v>250</v>
      </c>
      <c r="J1081" cm="1">
        <f t="array" ref="J1081">_xlfn.SWITCH(B1081,1,75,2,61,3,49,4,37,5,25,6,13,7,4,8,1)</f>
        <v>13</v>
      </c>
      <c r="K1081" t="str" cm="1">
        <f t="array" ref="K1081">IFERROR(_xlfn.SWITCH(L1081,1,_xlfn.XLOOKUP(C1081,[1]AttributeName!$C:$C,[1]AttributeName!$I:$I),2,_xlfn.XLOOKUP(C1081,[1]ModifierDes!$B:$B,[1]ModifierDes!$C:$C),3,_xlfn.XLOOKUP(C1081,[1]StuntDes!$B:$B,[1]StuntDes!$C:$C)),"")</f>
        <v>混沌抗性增加{0}</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441</v>
      </c>
      <c r="D1082" t="s">
        <v>35</v>
      </c>
      <c r="E1082" s="13" t="s">
        <v>410</v>
      </c>
      <c r="F1082"/>
      <c r="G1082">
        <v>2</v>
      </c>
      <c r="H1082">
        <v>250</v>
      </c>
      <c r="J1082" cm="1">
        <f t="array" ref="J1082">_xlfn.SWITCH(B1082,1,75,2,61,3,49,4,37,5,25,6,13,7,4,8,1)</f>
        <v>4</v>
      </c>
      <c r="K1082" t="str" cm="1">
        <f t="array" ref="K1082">IFERROR(_xlfn.SWITCH(L1082,1,_xlfn.XLOOKUP(C1082,[1]AttributeName!$C:$C,[1]AttributeName!$I:$I),2,_xlfn.XLOOKUP(C1082,[1]ModifierDes!$B:$B,[1]ModifierDes!$C:$C),3,_xlfn.XLOOKUP(C1082,[1]StuntDes!$B:$B,[1]StuntDes!$C:$C)),"")</f>
        <v>混沌抗性增加{0}</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441</v>
      </c>
      <c r="D1083" t="s">
        <v>35</v>
      </c>
      <c r="E1083" s="13" t="s">
        <v>410</v>
      </c>
      <c r="F1083"/>
      <c r="G1083">
        <v>2</v>
      </c>
      <c r="H1083">
        <v>250</v>
      </c>
      <c r="J1083" cm="1">
        <f t="array" ref="J1083">_xlfn.SWITCH(B1083,1,75,2,61,3,49,4,37,5,25,6,13,7,4,8,1)</f>
        <v>1</v>
      </c>
      <c r="K1083" t="str" cm="1">
        <f t="array" ref="K1083">IFERROR(_xlfn.SWITCH(L1083,1,_xlfn.XLOOKUP(C1083,[1]AttributeName!$C:$C,[1]AttributeName!$I:$I),2,_xlfn.XLOOKUP(C1083,[1]ModifierDes!$B:$B,[1]ModifierDes!$C:$C),3,_xlfn.XLOOKUP(C1083,[1]StuntDes!$B:$B,[1]StuntDes!$C:$C)),"")</f>
        <v>混沌抗性增加{0}</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416</v>
      </c>
      <c r="D1084" t="s">
        <v>35</v>
      </c>
      <c r="E1084" s="13" t="s">
        <v>410</v>
      </c>
      <c r="F1084"/>
      <c r="G1084">
        <v>2</v>
      </c>
      <c r="H1084">
        <v>100</v>
      </c>
      <c r="J1084" cm="1">
        <f t="array" ref="J1084">_xlfn.SWITCH(B1084,1,75,2,61,3,49,4,37,5,25,6,13,7,4,8,1)</f>
        <v>75</v>
      </c>
      <c r="K1084" t="str" cm="1">
        <f t="array" ref="K1084">IFERROR(_xlfn.SWITCH(L1084,1,_xlfn.XLOOKUP(C1084,[1]AttributeName!$C:$C,[1]AttributeName!$I:$I),2,_xlfn.XLOOKUP(C1084,[1]ModifierDes!$B:$B,[1]ModifierDes!$C:$C),3,_xlfn.XLOOKUP(C1084,[1]StuntDes!$B:$B,[1]StuntDes!$C:$C)),"")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416</v>
      </c>
      <c r="D1085" t="s">
        <v>35</v>
      </c>
      <c r="E1085" s="13" t="s">
        <v>410</v>
      </c>
      <c r="F1085"/>
      <c r="G1085">
        <v>2</v>
      </c>
      <c r="H1085">
        <v>200</v>
      </c>
      <c r="J1085" cm="1">
        <f t="array" ref="J1085">_xlfn.SWITCH(B1085,1,75,2,61,3,49,4,37,5,25,6,13,7,4,8,1)</f>
        <v>61</v>
      </c>
      <c r="K1085" t="str" cm="1">
        <f t="array" ref="K1085">IFERROR(_xlfn.SWITCH(L1085,1,_xlfn.XLOOKUP(C1085,[1]AttributeName!$C:$C,[1]AttributeName!$I:$I),2,_xlfn.XLOOKUP(C1085,[1]ModifierDes!$B:$B,[1]ModifierDes!$C:$C),3,_xlfn.XLOOKUP(C1085,[1]StuntDes!$B:$B,[1]StuntDes!$C:$C)),"")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416</v>
      </c>
      <c r="D1086" t="s">
        <v>35</v>
      </c>
      <c r="E1086" s="13" t="s">
        <v>410</v>
      </c>
      <c r="F1086"/>
      <c r="G1086">
        <v>2</v>
      </c>
      <c r="H1086">
        <v>400</v>
      </c>
      <c r="J1086" cm="1">
        <f t="array" ref="J1086">_xlfn.SWITCH(B1086,1,75,2,61,3,49,4,37,5,25,6,13,7,4,8,1)</f>
        <v>49</v>
      </c>
      <c r="K1086" t="str" cm="1">
        <f t="array" ref="K1086">IFERROR(_xlfn.SWITCH(L1086,1,_xlfn.XLOOKUP(C1086,[1]AttributeName!$C:$C,[1]AttributeName!$I:$I),2,_xlfn.XLOOKUP(C1086,[1]ModifierDes!$B:$B,[1]ModifierDes!$C:$C),3,_xlfn.XLOOKUP(C1086,[1]StuntDes!$B:$B,[1]StuntDes!$C:$C)),"")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416</v>
      </c>
      <c r="D1087" t="s">
        <v>35</v>
      </c>
      <c r="E1087" s="13" t="s">
        <v>410</v>
      </c>
      <c r="F1087"/>
      <c r="G1087">
        <v>2</v>
      </c>
      <c r="H1087">
        <v>600</v>
      </c>
      <c r="J1087" cm="1">
        <f t="array" ref="J1087">_xlfn.SWITCH(B1087,1,75,2,61,3,49,4,37,5,25,6,13,7,4,8,1)</f>
        <v>37</v>
      </c>
      <c r="K1087" t="str" cm="1">
        <f t="array" ref="K1087">IFERROR(_xlfn.SWITCH(L1087,1,_xlfn.XLOOKUP(C1087,[1]AttributeName!$C:$C,[1]AttributeName!$I:$I),2,_xlfn.XLOOKUP(C1087,[1]ModifierDes!$B:$B,[1]ModifierDes!$C:$C),3,_xlfn.XLOOKUP(C1087,[1]StuntDes!$B:$B,[1]StuntDes!$C:$C)),"")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416</v>
      </c>
      <c r="D1088" t="s">
        <v>35</v>
      </c>
      <c r="E1088" s="13" t="s">
        <v>410</v>
      </c>
      <c r="F1088"/>
      <c r="G1088">
        <v>2</v>
      </c>
      <c r="H1088">
        <v>800</v>
      </c>
      <c r="J1088" cm="1">
        <f t="array" ref="J1088">_xlfn.SWITCH(B1088,1,75,2,61,3,49,4,37,5,25,6,13,7,4,8,1)</f>
        <v>25</v>
      </c>
      <c r="K1088" t="str" cm="1">
        <f t="array" ref="K1088">IFERROR(_xlfn.SWITCH(L1088,1,_xlfn.XLOOKUP(C1088,[1]AttributeName!$C:$C,[1]AttributeName!$I:$I),2,_xlfn.XLOOKUP(C1088,[1]ModifierDes!$B:$B,[1]ModifierDes!$C:$C),3,_xlfn.XLOOKUP(C1088,[1]StuntDes!$B:$B,[1]StuntDes!$C:$C)),"")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416</v>
      </c>
      <c r="D1089" t="s">
        <v>35</v>
      </c>
      <c r="E1089" s="13" t="s">
        <v>410</v>
      </c>
      <c r="F1089"/>
      <c r="G1089">
        <v>2</v>
      </c>
      <c r="H1089">
        <v>1000</v>
      </c>
      <c r="J1089" cm="1">
        <f t="array" ref="J1089">_xlfn.SWITCH(B1089,1,75,2,61,3,49,4,37,5,25,6,13,7,4,8,1)</f>
        <v>13</v>
      </c>
      <c r="K1089" t="str" cm="1">
        <f t="array" ref="K1089">IFERROR(_xlfn.SWITCH(L1089,1,_xlfn.XLOOKUP(C1089,[1]AttributeName!$C:$C,[1]AttributeName!$I:$I),2,_xlfn.XLOOKUP(C1089,[1]ModifierDes!$B:$B,[1]ModifierDes!$C:$C),3,_xlfn.XLOOKUP(C1089,[1]StuntDes!$B:$B,[1]StuntDes!$C:$C)),"")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416</v>
      </c>
      <c r="D1090" t="s">
        <v>35</v>
      </c>
      <c r="E1090" s="13" t="s">
        <v>410</v>
      </c>
      <c r="F1090"/>
      <c r="G1090">
        <v>2</v>
      </c>
      <c r="H1090">
        <v>1000</v>
      </c>
      <c r="J1090" cm="1">
        <f t="array" ref="J1090">_xlfn.SWITCH(B1090,1,75,2,61,3,49,4,37,5,25,6,13,7,4,8,1)</f>
        <v>4</v>
      </c>
      <c r="K1090" t="str" cm="1">
        <f t="array" ref="K1090">IFERROR(_xlfn.SWITCH(L1090,1,_xlfn.XLOOKUP(C1090,[1]AttributeName!$C:$C,[1]AttributeName!$I:$I),2,_xlfn.XLOOKUP(C1090,[1]ModifierDes!$B:$B,[1]ModifierDes!$C:$C),3,_xlfn.XLOOKUP(C1090,[1]StuntDes!$B:$B,[1]StuntDes!$C:$C)),"")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416</v>
      </c>
      <c r="D1091" t="s">
        <v>35</v>
      </c>
      <c r="E1091" s="13" t="s">
        <v>410</v>
      </c>
      <c r="F1091"/>
      <c r="G1091">
        <v>2</v>
      </c>
      <c r="H1091">
        <v>1000</v>
      </c>
      <c r="J1091" cm="1">
        <f t="array" ref="J1091">_xlfn.SWITCH(B1091,1,75,2,61,3,49,4,37,5,25,6,13,7,4,8,1)</f>
        <v>1</v>
      </c>
      <c r="K1091" t="str" cm="1">
        <f t="array" ref="K1091">IFERROR(_xlfn.SWITCH(L1091,1,_xlfn.XLOOKUP(C1091,[1]AttributeName!$C:$C,[1]AttributeName!$I:$I),2,_xlfn.XLOOKUP(C1091,[1]ModifierDes!$B:$B,[1]ModifierDes!$C:$C),3,_xlfn.XLOOKUP(C1091,[1]StuntDes!$B:$B,[1]StuntDes!$C:$C)),"")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442</v>
      </c>
      <c r="D1092" t="s">
        <v>35</v>
      </c>
      <c r="E1092" s="13" t="s">
        <v>410</v>
      </c>
      <c r="F1092"/>
      <c r="G1092">
        <v>2</v>
      </c>
      <c r="H1092">
        <v>100</v>
      </c>
      <c r="J1092" cm="1">
        <f t="array" ref="J1092">_xlfn.SWITCH(B1092,1,75,2,61,3,49,4,37,5,25,6,13,7,4,8,1)</f>
        <v>75</v>
      </c>
      <c r="K1092" t="str" cm="1">
        <f t="array" ref="K1092">IFERROR(_xlfn.SWITCH(L1092,1,_xlfn.XLOOKUP(C1092,[1]AttributeName!$C:$C,[1]AttributeName!$I:$I),2,_xlfn.XLOOKUP(C1092,[1]ModifierDes!$B:$B,[1]ModifierDes!$C:$C),3,_xlfn.XLOOKUP(C1092,[1]StuntDes!$B:$B,[1]StuntDes!$C:$C)),"")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442</v>
      </c>
      <c r="D1093" t="s">
        <v>35</v>
      </c>
      <c r="E1093" s="13" t="s">
        <v>410</v>
      </c>
      <c r="F1093"/>
      <c r="G1093">
        <v>2</v>
      </c>
      <c r="H1093">
        <v>200</v>
      </c>
      <c r="J1093" cm="1">
        <f t="array" ref="J1093">_xlfn.SWITCH(B1093,1,75,2,61,3,49,4,37,5,25,6,13,7,4,8,1)</f>
        <v>61</v>
      </c>
      <c r="K1093" t="str" cm="1">
        <f t="array" ref="K1093">IFERROR(_xlfn.SWITCH(L1093,1,_xlfn.XLOOKUP(C1093,[1]AttributeName!$C:$C,[1]AttributeName!$I:$I),2,_xlfn.XLOOKUP(C1093,[1]ModifierDes!$B:$B,[1]ModifierDes!$C:$C),3,_xlfn.XLOOKUP(C1093,[1]StuntDes!$B:$B,[1]StuntDes!$C:$C)),"")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442</v>
      </c>
      <c r="D1094" t="s">
        <v>35</v>
      </c>
      <c r="E1094" s="13" t="s">
        <v>410</v>
      </c>
      <c r="F1094"/>
      <c r="G1094">
        <v>2</v>
      </c>
      <c r="H1094">
        <v>400</v>
      </c>
      <c r="J1094" cm="1">
        <f t="array" ref="J1094">_xlfn.SWITCH(B1094,1,75,2,61,3,49,4,37,5,25,6,13,7,4,8,1)</f>
        <v>49</v>
      </c>
      <c r="K1094" t="str" cm="1">
        <f t="array" ref="K1094">IFERROR(_xlfn.SWITCH(L1094,1,_xlfn.XLOOKUP(C1094,[1]AttributeName!$C:$C,[1]AttributeName!$I:$I),2,_xlfn.XLOOKUP(C1094,[1]ModifierDes!$B:$B,[1]ModifierDes!$C:$C),3,_xlfn.XLOOKUP(C1094,[1]StuntDes!$B:$B,[1]StuntDes!$C:$C)),"")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442</v>
      </c>
      <c r="D1095" t="s">
        <v>35</v>
      </c>
      <c r="E1095" s="13" t="s">
        <v>410</v>
      </c>
      <c r="F1095"/>
      <c r="G1095">
        <v>2</v>
      </c>
      <c r="H1095">
        <v>600</v>
      </c>
      <c r="J1095" cm="1">
        <f t="array" ref="J1095">_xlfn.SWITCH(B1095,1,75,2,61,3,49,4,37,5,25,6,13,7,4,8,1)</f>
        <v>37</v>
      </c>
      <c r="K1095" t="str" cm="1">
        <f t="array" ref="K1095">IFERROR(_xlfn.SWITCH(L1095,1,_xlfn.XLOOKUP(C1095,[1]AttributeName!$C:$C,[1]AttributeName!$I:$I),2,_xlfn.XLOOKUP(C1095,[1]ModifierDes!$B:$B,[1]ModifierDes!$C:$C),3,_xlfn.XLOOKUP(C1095,[1]StuntDes!$B:$B,[1]StuntDes!$C:$C)),"")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442</v>
      </c>
      <c r="D1096" t="s">
        <v>35</v>
      </c>
      <c r="E1096" s="13" t="s">
        <v>410</v>
      </c>
      <c r="F1096"/>
      <c r="G1096">
        <v>2</v>
      </c>
      <c r="H1096">
        <v>800</v>
      </c>
      <c r="J1096" cm="1">
        <f t="array" ref="J1096">_xlfn.SWITCH(B1096,1,75,2,61,3,49,4,37,5,25,6,13,7,4,8,1)</f>
        <v>25</v>
      </c>
      <c r="K1096" t="str" cm="1">
        <f t="array" ref="K1096">IFERROR(_xlfn.SWITCH(L1096,1,_xlfn.XLOOKUP(C1096,[1]AttributeName!$C:$C,[1]AttributeName!$I:$I),2,_xlfn.XLOOKUP(C1096,[1]ModifierDes!$B:$B,[1]ModifierDes!$C:$C),3,_xlfn.XLOOKUP(C1096,[1]StuntDes!$B:$B,[1]StuntDes!$C:$C)),"")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442</v>
      </c>
      <c r="D1097" t="s">
        <v>35</v>
      </c>
      <c r="E1097" s="13" t="s">
        <v>410</v>
      </c>
      <c r="F1097"/>
      <c r="G1097">
        <v>2</v>
      </c>
      <c r="H1097">
        <v>1000</v>
      </c>
      <c r="J1097" cm="1">
        <f t="array" ref="J1097">_xlfn.SWITCH(B1097,1,75,2,61,3,49,4,37,5,25,6,13,7,4,8,1)</f>
        <v>13</v>
      </c>
      <c r="K1097" t="str" cm="1">
        <f t="array" ref="K1097">IFERROR(_xlfn.SWITCH(L1097,1,_xlfn.XLOOKUP(C1097,[1]AttributeName!$C:$C,[1]AttributeName!$I:$I),2,_xlfn.XLOOKUP(C1097,[1]ModifierDes!$B:$B,[1]ModifierDes!$C:$C),3,_xlfn.XLOOKUP(C1097,[1]StuntDes!$B:$B,[1]StuntDes!$C:$C)),"")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442</v>
      </c>
      <c r="D1098" t="s">
        <v>35</v>
      </c>
      <c r="E1098" s="13" t="s">
        <v>410</v>
      </c>
      <c r="F1098"/>
      <c r="G1098">
        <v>2</v>
      </c>
      <c r="H1098">
        <v>1000</v>
      </c>
      <c r="J1098" cm="1">
        <f t="array" ref="J1098">_xlfn.SWITCH(B1098,1,75,2,61,3,49,4,37,5,25,6,13,7,4,8,1)</f>
        <v>4</v>
      </c>
      <c r="K1098" t="str" cm="1">
        <f t="array" ref="K1098">IFERROR(_xlfn.SWITCH(L1098,1,_xlfn.XLOOKUP(C1098,[1]AttributeName!$C:$C,[1]AttributeName!$I:$I),2,_xlfn.XLOOKUP(C1098,[1]ModifierDes!$B:$B,[1]ModifierDes!$C:$C),3,_xlfn.XLOOKUP(C1098,[1]StuntDes!$B:$B,[1]StuntDes!$C:$C)),"")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442</v>
      </c>
      <c r="D1099" t="s">
        <v>35</v>
      </c>
      <c r="E1099" s="13" t="s">
        <v>410</v>
      </c>
      <c r="F1099"/>
      <c r="G1099">
        <v>2</v>
      </c>
      <c r="H1099">
        <v>1000</v>
      </c>
      <c r="J1099" cm="1">
        <f t="array" ref="J1099">_xlfn.SWITCH(B1099,1,75,2,61,3,49,4,37,5,25,6,13,7,4,8,1)</f>
        <v>1</v>
      </c>
      <c r="K1099" t="str" cm="1">
        <f t="array" ref="K1099">IFERROR(_xlfn.SWITCH(L1099,1,_xlfn.XLOOKUP(C1099,[1]AttributeName!$C:$C,[1]AttributeName!$I:$I),2,_xlfn.XLOOKUP(C1099,[1]ModifierDes!$B:$B,[1]ModifierDes!$C:$C),3,_xlfn.XLOOKUP(C1099,[1]StuntDes!$B:$B,[1]StuntDes!$C:$C)),"")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417</v>
      </c>
      <c r="D1100" t="s">
        <v>35</v>
      </c>
      <c r="E1100" s="13" t="s">
        <v>410</v>
      </c>
      <c r="G1100">
        <v>2</v>
      </c>
      <c r="H1100">
        <v>100</v>
      </c>
      <c r="J1100" cm="1">
        <f t="array" ref="J1100">_xlfn.SWITCH(B1100,1,75,2,61,3,49,4,37,5,25,6,13,7,4,8,1)</f>
        <v>75</v>
      </c>
      <c r="K1100" t="str" cm="1">
        <f t="array" ref="K1100">IFERROR(_xlfn.SWITCH(L1100,1,_xlfn.XLOOKUP(C1100,[1]AttributeName!$C:$C,[1]AttributeName!$I:$I),2,_xlfn.XLOOKUP(C1100,[1]ModifierDes!$B:$B,[1]ModifierDes!$C:$C),3,_xlfn.XLOOKUP(C1100,[1]StuntDes!$B:$B,[1]StuntDes!$C:$C)),"")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417</v>
      </c>
      <c r="D1101" t="s">
        <v>35</v>
      </c>
      <c r="E1101" s="13" t="s">
        <v>410</v>
      </c>
      <c r="G1101">
        <v>2</v>
      </c>
      <c r="H1101">
        <v>200</v>
      </c>
      <c r="J1101" cm="1">
        <f t="array" ref="J1101">_xlfn.SWITCH(B1101,1,75,2,61,3,49,4,37,5,25,6,13,7,4,8,1)</f>
        <v>61</v>
      </c>
      <c r="K1101" t="str" cm="1">
        <f t="array" ref="K1101">IFERROR(_xlfn.SWITCH(L1101,1,_xlfn.XLOOKUP(C1101,[1]AttributeName!$C:$C,[1]AttributeName!$I:$I),2,_xlfn.XLOOKUP(C1101,[1]ModifierDes!$B:$B,[1]ModifierDes!$C:$C),3,_xlfn.XLOOKUP(C1101,[1]StuntDes!$B:$B,[1]StuntDes!$C:$C)),"")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417</v>
      </c>
      <c r="D1102" t="s">
        <v>35</v>
      </c>
      <c r="E1102" s="13" t="s">
        <v>410</v>
      </c>
      <c r="G1102">
        <v>2</v>
      </c>
      <c r="H1102">
        <v>400</v>
      </c>
      <c r="J1102" cm="1">
        <f t="array" ref="J1102">_xlfn.SWITCH(B1102,1,75,2,61,3,49,4,37,5,25,6,13,7,4,8,1)</f>
        <v>49</v>
      </c>
      <c r="K1102" t="str" cm="1">
        <f t="array" ref="K1102">IFERROR(_xlfn.SWITCH(L1102,1,_xlfn.XLOOKUP(C1102,[1]AttributeName!$C:$C,[1]AttributeName!$I:$I),2,_xlfn.XLOOKUP(C1102,[1]ModifierDes!$B:$B,[1]ModifierDes!$C:$C),3,_xlfn.XLOOKUP(C1102,[1]StuntDes!$B:$B,[1]StuntDes!$C:$C)),"")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417</v>
      </c>
      <c r="D1103" t="s">
        <v>35</v>
      </c>
      <c r="E1103" s="13" t="s">
        <v>410</v>
      </c>
      <c r="G1103">
        <v>2</v>
      </c>
      <c r="H1103">
        <v>600</v>
      </c>
      <c r="J1103" cm="1">
        <f t="array" ref="J1103">_xlfn.SWITCH(B1103,1,75,2,61,3,49,4,37,5,25,6,13,7,4,8,1)</f>
        <v>37</v>
      </c>
      <c r="K1103" t="str" cm="1">
        <f t="array" ref="K1103">IFERROR(_xlfn.SWITCH(L1103,1,_xlfn.XLOOKUP(C1103,[1]AttributeName!$C:$C,[1]AttributeName!$I:$I),2,_xlfn.XLOOKUP(C1103,[1]ModifierDes!$B:$B,[1]ModifierDes!$C:$C),3,_xlfn.XLOOKUP(C1103,[1]StuntDes!$B:$B,[1]StuntDes!$C:$C)),"")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417</v>
      </c>
      <c r="D1104" t="s">
        <v>35</v>
      </c>
      <c r="E1104" s="13" t="s">
        <v>410</v>
      </c>
      <c r="G1104">
        <v>2</v>
      </c>
      <c r="H1104">
        <v>800</v>
      </c>
      <c r="J1104" cm="1">
        <f t="array" ref="J1104">_xlfn.SWITCH(B1104,1,75,2,61,3,49,4,37,5,25,6,13,7,4,8,1)</f>
        <v>25</v>
      </c>
      <c r="K1104" t="str" cm="1">
        <f t="array" ref="K1104">IFERROR(_xlfn.SWITCH(L1104,1,_xlfn.XLOOKUP(C1104,[1]AttributeName!$C:$C,[1]AttributeName!$I:$I),2,_xlfn.XLOOKUP(C1104,[1]ModifierDes!$B:$B,[1]ModifierDes!$C:$C),3,_xlfn.XLOOKUP(C1104,[1]StuntDes!$B:$B,[1]StuntDes!$C:$C)),"")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417</v>
      </c>
      <c r="D1105" t="s">
        <v>35</v>
      </c>
      <c r="E1105" s="13" t="s">
        <v>410</v>
      </c>
      <c r="G1105">
        <v>2</v>
      </c>
      <c r="H1105">
        <v>1000</v>
      </c>
      <c r="J1105" cm="1">
        <f t="array" ref="J1105">_xlfn.SWITCH(B1105,1,75,2,61,3,49,4,37,5,25,6,13,7,4,8,1)</f>
        <v>13</v>
      </c>
      <c r="K1105" t="str" cm="1">
        <f t="array" ref="K1105">IFERROR(_xlfn.SWITCH(L1105,1,_xlfn.XLOOKUP(C1105,[1]AttributeName!$C:$C,[1]AttributeName!$I:$I),2,_xlfn.XLOOKUP(C1105,[1]ModifierDes!$B:$B,[1]ModifierDes!$C:$C),3,_xlfn.XLOOKUP(C1105,[1]StuntDes!$B:$B,[1]StuntDes!$C:$C)),"")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417</v>
      </c>
      <c r="D1106" t="s">
        <v>35</v>
      </c>
      <c r="E1106" s="13" t="s">
        <v>410</v>
      </c>
      <c r="G1106">
        <v>2</v>
      </c>
      <c r="H1106">
        <v>1000</v>
      </c>
      <c r="J1106" cm="1">
        <f t="array" ref="J1106">_xlfn.SWITCH(B1106,1,75,2,61,3,49,4,37,5,25,6,13,7,4,8,1)</f>
        <v>4</v>
      </c>
      <c r="K1106" t="str" cm="1">
        <f t="array" ref="K1106">IFERROR(_xlfn.SWITCH(L1106,1,_xlfn.XLOOKUP(C1106,[1]AttributeName!$C:$C,[1]AttributeName!$I:$I),2,_xlfn.XLOOKUP(C1106,[1]ModifierDes!$B:$B,[1]ModifierDes!$C:$C),3,_xlfn.XLOOKUP(C1106,[1]StuntDes!$B:$B,[1]StuntDes!$C:$C)),"")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417</v>
      </c>
      <c r="D1107" t="s">
        <v>35</v>
      </c>
      <c r="E1107" s="13" t="s">
        <v>410</v>
      </c>
      <c r="G1107">
        <v>2</v>
      </c>
      <c r="H1107">
        <v>1000</v>
      </c>
      <c r="J1107" cm="1">
        <f t="array" ref="J1107">_xlfn.SWITCH(B1107,1,75,2,61,3,49,4,37,5,25,6,13,7,4,8,1)</f>
        <v>1</v>
      </c>
      <c r="K1107" t="str" cm="1">
        <f t="array" ref="K1107">IFERROR(_xlfn.SWITCH(L1107,1,_xlfn.XLOOKUP(C1107,[1]AttributeName!$C:$C,[1]AttributeName!$I:$I),2,_xlfn.XLOOKUP(C1107,[1]ModifierDes!$B:$B,[1]ModifierDes!$C:$C),3,_xlfn.XLOOKUP(C1107,[1]StuntDes!$B:$B,[1]StuntDes!$C:$C)),"")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443</v>
      </c>
      <c r="D1108" t="s">
        <v>35</v>
      </c>
      <c r="E1108" s="13" t="s">
        <v>410</v>
      </c>
      <c r="G1108">
        <v>2</v>
      </c>
      <c r="H1108">
        <v>100</v>
      </c>
      <c r="J1108" cm="1">
        <f t="array" ref="J1108">_xlfn.SWITCH(B1108,1,75,2,61,3,49,4,37,5,25,6,13,7,4,8,1)</f>
        <v>75</v>
      </c>
      <c r="K1108" t="str" cm="1">
        <f t="array" ref="K1108">IFERROR(_xlfn.SWITCH(L1108,1,_xlfn.XLOOKUP(C1108,[1]AttributeName!$C:$C,[1]AttributeName!$I:$I),2,_xlfn.XLOOKUP(C1108,[1]ModifierDes!$B:$B,[1]ModifierDes!$C:$C),3,_xlfn.XLOOKUP(C1108,[1]StuntDes!$B:$B,[1]StuntDes!$C:$C)),"")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443</v>
      </c>
      <c r="D1109" t="s">
        <v>35</v>
      </c>
      <c r="E1109" s="13" t="s">
        <v>410</v>
      </c>
      <c r="G1109">
        <v>2</v>
      </c>
      <c r="H1109">
        <v>200</v>
      </c>
      <c r="J1109" cm="1">
        <f t="array" ref="J1109">_xlfn.SWITCH(B1109,1,75,2,61,3,49,4,37,5,25,6,13,7,4,8,1)</f>
        <v>61</v>
      </c>
      <c r="K1109" t="str" cm="1">
        <f t="array" ref="K1109">IFERROR(_xlfn.SWITCH(L1109,1,_xlfn.XLOOKUP(C1109,[1]AttributeName!$C:$C,[1]AttributeName!$I:$I),2,_xlfn.XLOOKUP(C1109,[1]ModifierDes!$B:$B,[1]ModifierDes!$C:$C),3,_xlfn.XLOOKUP(C1109,[1]StuntDes!$B:$B,[1]StuntDes!$C:$C)),"")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443</v>
      </c>
      <c r="D1110" t="s">
        <v>35</v>
      </c>
      <c r="E1110" s="13" t="s">
        <v>410</v>
      </c>
      <c r="G1110">
        <v>2</v>
      </c>
      <c r="H1110">
        <v>400</v>
      </c>
      <c r="J1110" cm="1">
        <f t="array" ref="J1110">_xlfn.SWITCH(B1110,1,75,2,61,3,49,4,37,5,25,6,13,7,4,8,1)</f>
        <v>49</v>
      </c>
      <c r="K1110" t="str" cm="1">
        <f t="array" ref="K1110">IFERROR(_xlfn.SWITCH(L1110,1,_xlfn.XLOOKUP(C1110,[1]AttributeName!$C:$C,[1]AttributeName!$I:$I),2,_xlfn.XLOOKUP(C1110,[1]ModifierDes!$B:$B,[1]ModifierDes!$C:$C),3,_xlfn.XLOOKUP(C1110,[1]StuntDes!$B:$B,[1]StuntDes!$C:$C)),"")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443</v>
      </c>
      <c r="D1111" t="s">
        <v>35</v>
      </c>
      <c r="E1111" s="13" t="s">
        <v>410</v>
      </c>
      <c r="G1111">
        <v>2</v>
      </c>
      <c r="H1111">
        <v>600</v>
      </c>
      <c r="J1111" cm="1">
        <f t="array" ref="J1111">_xlfn.SWITCH(B1111,1,75,2,61,3,49,4,37,5,25,6,13,7,4,8,1)</f>
        <v>37</v>
      </c>
      <c r="K1111" t="str" cm="1">
        <f t="array" ref="K1111">IFERROR(_xlfn.SWITCH(L1111,1,_xlfn.XLOOKUP(C1111,[1]AttributeName!$C:$C,[1]AttributeName!$I:$I),2,_xlfn.XLOOKUP(C1111,[1]ModifierDes!$B:$B,[1]ModifierDes!$C:$C),3,_xlfn.XLOOKUP(C1111,[1]StuntDes!$B:$B,[1]StuntDes!$C:$C)),"")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443</v>
      </c>
      <c r="D1112" t="s">
        <v>35</v>
      </c>
      <c r="E1112" s="13" t="s">
        <v>410</v>
      </c>
      <c r="G1112">
        <v>2</v>
      </c>
      <c r="H1112">
        <v>800</v>
      </c>
      <c r="J1112" cm="1">
        <f t="array" ref="J1112">_xlfn.SWITCH(B1112,1,75,2,61,3,49,4,37,5,25,6,13,7,4,8,1)</f>
        <v>25</v>
      </c>
      <c r="K1112" t="str" cm="1">
        <f t="array" ref="K1112">IFERROR(_xlfn.SWITCH(L1112,1,_xlfn.XLOOKUP(C1112,[1]AttributeName!$C:$C,[1]AttributeName!$I:$I),2,_xlfn.XLOOKUP(C1112,[1]ModifierDes!$B:$B,[1]ModifierDes!$C:$C),3,_xlfn.XLOOKUP(C1112,[1]StuntDes!$B:$B,[1]StuntDes!$C:$C)),"")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443</v>
      </c>
      <c r="D1113" t="s">
        <v>35</v>
      </c>
      <c r="E1113" s="13" t="s">
        <v>410</v>
      </c>
      <c r="G1113">
        <v>2</v>
      </c>
      <c r="H1113">
        <v>1000</v>
      </c>
      <c r="J1113" cm="1">
        <f t="array" ref="J1113">_xlfn.SWITCH(B1113,1,75,2,61,3,49,4,37,5,25,6,13,7,4,8,1)</f>
        <v>13</v>
      </c>
      <c r="K1113" t="str" cm="1">
        <f t="array" ref="K1113">IFERROR(_xlfn.SWITCH(L1113,1,_xlfn.XLOOKUP(C1113,[1]AttributeName!$C:$C,[1]AttributeName!$I:$I),2,_xlfn.XLOOKUP(C1113,[1]ModifierDes!$B:$B,[1]ModifierDes!$C:$C),3,_xlfn.XLOOKUP(C1113,[1]StuntDes!$B:$B,[1]StuntDes!$C:$C)),"")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443</v>
      </c>
      <c r="D1114" t="s">
        <v>35</v>
      </c>
      <c r="E1114" s="13" t="s">
        <v>410</v>
      </c>
      <c r="G1114">
        <v>2</v>
      </c>
      <c r="H1114">
        <v>1000</v>
      </c>
      <c r="J1114" cm="1">
        <f t="array" ref="J1114">_xlfn.SWITCH(B1114,1,75,2,61,3,49,4,37,5,25,6,13,7,4,8,1)</f>
        <v>4</v>
      </c>
      <c r="K1114" t="str" cm="1">
        <f t="array" ref="K1114">IFERROR(_xlfn.SWITCH(L1114,1,_xlfn.XLOOKUP(C1114,[1]AttributeName!$C:$C,[1]AttributeName!$I:$I),2,_xlfn.XLOOKUP(C1114,[1]ModifierDes!$B:$B,[1]ModifierDes!$C:$C),3,_xlfn.XLOOKUP(C1114,[1]StuntDes!$B:$B,[1]StuntDes!$C:$C)),"")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443</v>
      </c>
      <c r="D1115" t="s">
        <v>35</v>
      </c>
      <c r="E1115" s="13" t="s">
        <v>410</v>
      </c>
      <c r="G1115">
        <v>2</v>
      </c>
      <c r="H1115">
        <v>1000</v>
      </c>
      <c r="J1115" cm="1">
        <f t="array" ref="J1115">_xlfn.SWITCH(B1115,1,75,2,61,3,49,4,37,5,25,6,13,7,4,8,1)</f>
        <v>1</v>
      </c>
      <c r="K1115" t="str" cm="1">
        <f t="array" ref="K1115">IFERROR(_xlfn.SWITCH(L1115,1,_xlfn.XLOOKUP(C1115,[1]AttributeName!$C:$C,[1]AttributeName!$I:$I),2,_xlfn.XLOOKUP(C1115,[1]ModifierDes!$B:$B,[1]ModifierDes!$C:$C),3,_xlfn.XLOOKUP(C1115,[1]StuntDes!$B:$B,[1]StuntDes!$C:$C)),"")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418</v>
      </c>
      <c r="D1116" t="s">
        <v>35</v>
      </c>
      <c r="E1116" s="13" t="s">
        <v>410</v>
      </c>
      <c r="G1116">
        <v>2</v>
      </c>
      <c r="H1116">
        <v>1000</v>
      </c>
      <c r="J1116" cm="1">
        <f t="array" ref="J1116">_xlfn.SWITCH(B1116,1,75,2,61,3,49,4,37,5,25,6,13,7,4,8,1)</f>
        <v>75</v>
      </c>
      <c r="K1116" t="str" cm="1">
        <f t="array" ref="K1116">IFERROR(_xlfn.SWITCH(L1116,1,_xlfn.XLOOKUP(C1116,[1]AttributeName!$C:$C,[1]AttributeName!$I:$I),2,_xlfn.XLOOKUP(C1116,[1]ModifierDes!$B:$B,[1]ModifierDes!$C:$C),3,_xlfn.XLOOKUP(C1116,[1]StuntDes!$B:$B,[1]StuntDes!$C:$C)),"")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418</v>
      </c>
      <c r="D1117" t="s">
        <v>35</v>
      </c>
      <c r="E1117" s="13" t="s">
        <v>410</v>
      </c>
      <c r="G1117">
        <v>2</v>
      </c>
      <c r="H1117">
        <v>1000</v>
      </c>
      <c r="J1117" cm="1">
        <f t="array" ref="J1117">_xlfn.SWITCH(B1117,1,75,2,61,3,49,4,37,5,25,6,13,7,4,8,1)</f>
        <v>61</v>
      </c>
      <c r="K1117" t="str" cm="1">
        <f t="array" ref="K1117">IFERROR(_xlfn.SWITCH(L1117,1,_xlfn.XLOOKUP(C1117,[1]AttributeName!$C:$C,[1]AttributeName!$I:$I),2,_xlfn.XLOOKUP(C1117,[1]ModifierDes!$B:$B,[1]ModifierDes!$C:$C),3,_xlfn.XLOOKUP(C1117,[1]StuntDes!$B:$B,[1]StuntDes!$C:$C)),"")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418</v>
      </c>
      <c r="D1118" t="s">
        <v>35</v>
      </c>
      <c r="E1118" s="13" t="s">
        <v>410</v>
      </c>
      <c r="G1118">
        <v>2</v>
      </c>
      <c r="H1118">
        <v>1000</v>
      </c>
      <c r="J1118" cm="1">
        <f t="array" ref="J1118">_xlfn.SWITCH(B1118,1,75,2,61,3,49,4,37,5,25,6,13,7,4,8,1)</f>
        <v>49</v>
      </c>
      <c r="K1118" t="str" cm="1">
        <f t="array" ref="K1118">IFERROR(_xlfn.SWITCH(L1118,1,_xlfn.XLOOKUP(C1118,[1]AttributeName!$C:$C,[1]AttributeName!$I:$I),2,_xlfn.XLOOKUP(C1118,[1]ModifierDes!$B:$B,[1]ModifierDes!$C:$C),3,_xlfn.XLOOKUP(C1118,[1]StuntDes!$B:$B,[1]StuntDes!$C:$C)),"")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418</v>
      </c>
      <c r="D1119" t="s">
        <v>35</v>
      </c>
      <c r="E1119" s="13" t="s">
        <v>410</v>
      </c>
      <c r="G1119">
        <v>2</v>
      </c>
      <c r="H1119">
        <v>1000</v>
      </c>
      <c r="J1119" cm="1">
        <f t="array" ref="J1119">_xlfn.SWITCH(B1119,1,75,2,61,3,49,4,37,5,25,6,13,7,4,8,1)</f>
        <v>37</v>
      </c>
      <c r="K1119" t="str" cm="1">
        <f t="array" ref="K1119">IFERROR(_xlfn.SWITCH(L1119,1,_xlfn.XLOOKUP(C1119,[1]AttributeName!$C:$C,[1]AttributeName!$I:$I),2,_xlfn.XLOOKUP(C1119,[1]ModifierDes!$B:$B,[1]ModifierDes!$C:$C),3,_xlfn.XLOOKUP(C1119,[1]StuntDes!$B:$B,[1]StuntDes!$C:$C)),"")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418</v>
      </c>
      <c r="D1120" t="s">
        <v>35</v>
      </c>
      <c r="E1120" s="13" t="s">
        <v>410</v>
      </c>
      <c r="G1120">
        <v>2</v>
      </c>
      <c r="H1120">
        <v>1000</v>
      </c>
      <c r="J1120" cm="1">
        <f t="array" ref="J1120">_xlfn.SWITCH(B1120,1,75,2,61,3,49,4,37,5,25,6,13,7,4,8,1)</f>
        <v>25</v>
      </c>
      <c r="K1120" t="str" cm="1">
        <f t="array" ref="K1120">IFERROR(_xlfn.SWITCH(L1120,1,_xlfn.XLOOKUP(C1120,[1]AttributeName!$C:$C,[1]AttributeName!$I:$I),2,_xlfn.XLOOKUP(C1120,[1]ModifierDes!$B:$B,[1]ModifierDes!$C:$C),3,_xlfn.XLOOKUP(C1120,[1]StuntDes!$B:$B,[1]StuntDes!$C:$C)),"")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418</v>
      </c>
      <c r="D1121" t="s">
        <v>35</v>
      </c>
      <c r="E1121" s="13" t="s">
        <v>410</v>
      </c>
      <c r="G1121">
        <v>2</v>
      </c>
      <c r="H1121">
        <v>1000</v>
      </c>
      <c r="J1121" cm="1">
        <f t="array" ref="J1121">_xlfn.SWITCH(B1121,1,75,2,61,3,49,4,37,5,25,6,13,7,4,8,1)</f>
        <v>13</v>
      </c>
      <c r="K1121" t="str" cm="1">
        <f t="array" ref="K1121">IFERROR(_xlfn.SWITCH(L1121,1,_xlfn.XLOOKUP(C1121,[1]AttributeName!$C:$C,[1]AttributeName!$I:$I),2,_xlfn.XLOOKUP(C1121,[1]ModifierDes!$B:$B,[1]ModifierDes!$C:$C),3,_xlfn.XLOOKUP(C1121,[1]StuntDes!$B:$B,[1]StuntDes!$C:$C)),"")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418</v>
      </c>
      <c r="D1122" t="s">
        <v>35</v>
      </c>
      <c r="E1122" s="13" t="s">
        <v>410</v>
      </c>
      <c r="G1122">
        <v>2</v>
      </c>
      <c r="H1122">
        <v>1000</v>
      </c>
      <c r="J1122" cm="1">
        <f t="array" ref="J1122">_xlfn.SWITCH(B1122,1,75,2,61,3,49,4,37,5,25,6,13,7,4,8,1)</f>
        <v>4</v>
      </c>
      <c r="K1122" t="str" cm="1">
        <f t="array" ref="K1122">IFERROR(_xlfn.SWITCH(L1122,1,_xlfn.XLOOKUP(C1122,[1]AttributeName!$C:$C,[1]AttributeName!$I:$I),2,_xlfn.XLOOKUP(C1122,[1]ModifierDes!$B:$B,[1]ModifierDes!$C:$C),3,_xlfn.XLOOKUP(C1122,[1]StuntDes!$B:$B,[1]StuntDes!$C:$C)),"")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418</v>
      </c>
      <c r="D1123" t="s">
        <v>35</v>
      </c>
      <c r="E1123" s="13" t="s">
        <v>410</v>
      </c>
      <c r="G1123">
        <v>2</v>
      </c>
      <c r="H1123">
        <v>1000</v>
      </c>
      <c r="J1123" cm="1">
        <f t="array" ref="J1123">_xlfn.SWITCH(B1123,1,75,2,61,3,49,4,37,5,25,6,13,7,4,8,1)</f>
        <v>1</v>
      </c>
      <c r="K1123" t="str" cm="1">
        <f t="array" ref="K1123">IFERROR(_xlfn.SWITCH(L1123,1,_xlfn.XLOOKUP(C1123,[1]AttributeName!$C:$C,[1]AttributeName!$I:$I),2,_xlfn.XLOOKUP(C1123,[1]ModifierDes!$B:$B,[1]ModifierDes!$C:$C),3,_xlfn.XLOOKUP(C1123,[1]StuntDes!$B:$B,[1]StuntDes!$C:$C)),"")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448</v>
      </c>
      <c r="D1124" t="s">
        <v>35</v>
      </c>
      <c r="E1124" s="13" t="s">
        <v>410</v>
      </c>
      <c r="G1124">
        <v>2</v>
      </c>
      <c r="H1124">
        <v>1000</v>
      </c>
      <c r="J1124" cm="1">
        <f t="array" ref="J1124">_xlfn.SWITCH(B1124,1,75,2,61,3,49,4,37,5,25,6,13,7,4,8,1)</f>
        <v>75</v>
      </c>
      <c r="K1124" t="str" cm="1">
        <f t="array" ref="K1124">IFERROR(_xlfn.SWITCH(L1124,1,_xlfn.XLOOKUP(C1124,[1]AttributeName!$C:$C,[1]AttributeName!$I:$I),2,_xlfn.XLOOKUP(C1124,[1]ModifierDes!$B:$B,[1]ModifierDes!$C:$C),3,_xlfn.XLOOKUP(C1124,[1]StuntDes!$B:$B,[1]StuntDes!$C:$C)),"")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448</v>
      </c>
      <c r="D1125" t="s">
        <v>35</v>
      </c>
      <c r="E1125" s="13" t="s">
        <v>410</v>
      </c>
      <c r="G1125">
        <v>2</v>
      </c>
      <c r="H1125">
        <v>1000</v>
      </c>
      <c r="J1125" cm="1">
        <f t="array" ref="J1125">_xlfn.SWITCH(B1125,1,75,2,61,3,49,4,37,5,25,6,13,7,4,8,1)</f>
        <v>61</v>
      </c>
      <c r="K1125" t="str" cm="1">
        <f t="array" ref="K1125">IFERROR(_xlfn.SWITCH(L1125,1,_xlfn.XLOOKUP(C1125,[1]AttributeName!$C:$C,[1]AttributeName!$I:$I),2,_xlfn.XLOOKUP(C1125,[1]ModifierDes!$B:$B,[1]ModifierDes!$C:$C),3,_xlfn.XLOOKUP(C1125,[1]StuntDes!$B:$B,[1]StuntDes!$C:$C)),"")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448</v>
      </c>
      <c r="D1126" t="s">
        <v>35</v>
      </c>
      <c r="E1126" s="13" t="s">
        <v>410</v>
      </c>
      <c r="G1126">
        <v>2</v>
      </c>
      <c r="H1126">
        <v>1000</v>
      </c>
      <c r="J1126" cm="1">
        <f t="array" ref="J1126">_xlfn.SWITCH(B1126,1,75,2,61,3,49,4,37,5,25,6,13,7,4,8,1)</f>
        <v>49</v>
      </c>
      <c r="K1126" t="str" cm="1">
        <f t="array" ref="K1126">IFERROR(_xlfn.SWITCH(L1126,1,_xlfn.XLOOKUP(C1126,[1]AttributeName!$C:$C,[1]AttributeName!$I:$I),2,_xlfn.XLOOKUP(C1126,[1]ModifierDes!$B:$B,[1]ModifierDes!$C:$C),3,_xlfn.XLOOKUP(C1126,[1]StuntDes!$B:$B,[1]StuntDes!$C:$C)),"")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448</v>
      </c>
      <c r="D1127" t="s">
        <v>35</v>
      </c>
      <c r="E1127" s="13" t="s">
        <v>410</v>
      </c>
      <c r="G1127">
        <v>2</v>
      </c>
      <c r="H1127">
        <v>1000</v>
      </c>
      <c r="J1127" cm="1">
        <f t="array" ref="J1127">_xlfn.SWITCH(B1127,1,75,2,61,3,49,4,37,5,25,6,13,7,4,8,1)</f>
        <v>37</v>
      </c>
      <c r="K1127" t="str" cm="1">
        <f t="array" ref="K1127">IFERROR(_xlfn.SWITCH(L1127,1,_xlfn.XLOOKUP(C1127,[1]AttributeName!$C:$C,[1]AttributeName!$I:$I),2,_xlfn.XLOOKUP(C1127,[1]ModifierDes!$B:$B,[1]ModifierDes!$C:$C),3,_xlfn.XLOOKUP(C1127,[1]StuntDes!$B:$B,[1]StuntDes!$C:$C)),"")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448</v>
      </c>
      <c r="D1128" t="s">
        <v>35</v>
      </c>
      <c r="E1128" s="13" t="s">
        <v>410</v>
      </c>
      <c r="G1128">
        <v>2</v>
      </c>
      <c r="H1128">
        <v>1000</v>
      </c>
      <c r="J1128" cm="1">
        <f t="array" ref="J1128">_xlfn.SWITCH(B1128,1,75,2,61,3,49,4,37,5,25,6,13,7,4,8,1)</f>
        <v>25</v>
      </c>
      <c r="K1128" t="str" cm="1">
        <f t="array" ref="K1128">IFERROR(_xlfn.SWITCH(L1128,1,_xlfn.XLOOKUP(C1128,[1]AttributeName!$C:$C,[1]AttributeName!$I:$I),2,_xlfn.XLOOKUP(C1128,[1]ModifierDes!$B:$B,[1]ModifierDes!$C:$C),3,_xlfn.XLOOKUP(C1128,[1]StuntDes!$B:$B,[1]StuntDes!$C:$C)),"")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448</v>
      </c>
      <c r="D1129" t="s">
        <v>35</v>
      </c>
      <c r="E1129" s="13" t="s">
        <v>410</v>
      </c>
      <c r="G1129">
        <v>2</v>
      </c>
      <c r="H1129">
        <v>1000</v>
      </c>
      <c r="J1129" cm="1">
        <f t="array" ref="J1129">_xlfn.SWITCH(B1129,1,75,2,61,3,49,4,37,5,25,6,13,7,4,8,1)</f>
        <v>13</v>
      </c>
      <c r="K1129" t="str" cm="1">
        <f t="array" ref="K1129">IFERROR(_xlfn.SWITCH(L1129,1,_xlfn.XLOOKUP(C1129,[1]AttributeName!$C:$C,[1]AttributeName!$I:$I),2,_xlfn.XLOOKUP(C1129,[1]ModifierDes!$B:$B,[1]ModifierDes!$C:$C),3,_xlfn.XLOOKUP(C1129,[1]StuntDes!$B:$B,[1]StuntDes!$C:$C)),"")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448</v>
      </c>
      <c r="D1130" t="s">
        <v>35</v>
      </c>
      <c r="E1130" s="13" t="s">
        <v>410</v>
      </c>
      <c r="G1130">
        <v>2</v>
      </c>
      <c r="H1130">
        <v>1000</v>
      </c>
      <c r="J1130" cm="1">
        <f t="array" ref="J1130">_xlfn.SWITCH(B1130,1,75,2,61,3,49,4,37,5,25,6,13,7,4,8,1)</f>
        <v>4</v>
      </c>
      <c r="K1130" t="str" cm="1">
        <f t="array" ref="K1130">IFERROR(_xlfn.SWITCH(L1130,1,_xlfn.XLOOKUP(C1130,[1]AttributeName!$C:$C,[1]AttributeName!$I:$I),2,_xlfn.XLOOKUP(C1130,[1]ModifierDes!$B:$B,[1]ModifierDes!$C:$C),3,_xlfn.XLOOKUP(C1130,[1]StuntDes!$B:$B,[1]StuntDes!$C:$C)),"")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448</v>
      </c>
      <c r="D1131" t="s">
        <v>35</v>
      </c>
      <c r="E1131" s="13" t="s">
        <v>410</v>
      </c>
      <c r="G1131">
        <v>2</v>
      </c>
      <c r="H1131">
        <v>1000</v>
      </c>
      <c r="J1131" cm="1">
        <f t="array" ref="J1131">_xlfn.SWITCH(B1131,1,75,2,61,3,49,4,37,5,25,6,13,7,4,8,1)</f>
        <v>1</v>
      </c>
      <c r="K1131" t="str" cm="1">
        <f t="array" ref="K1131">IFERROR(_xlfn.SWITCH(L1131,1,_xlfn.XLOOKUP(C1131,[1]AttributeName!$C:$C,[1]AttributeName!$I:$I),2,_xlfn.XLOOKUP(C1131,[1]ModifierDes!$B:$B,[1]ModifierDes!$C:$C),3,_xlfn.XLOOKUP(C1131,[1]StuntDes!$B:$B,[1]StuntDes!$C:$C)),"")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424</v>
      </c>
      <c r="D1132" t="s">
        <v>35</v>
      </c>
      <c r="E1132" s="13" t="s">
        <v>410</v>
      </c>
      <c r="F1132"/>
      <c r="G1132">
        <v>2</v>
      </c>
      <c r="H1132">
        <v>1000</v>
      </c>
      <c r="J1132" cm="1">
        <f t="array" ref="J1132">_xlfn.SWITCH(B1132,1,75,2,61,3,49,4,37,5,25,6,13,7,4,8,1)</f>
        <v>75</v>
      </c>
      <c r="K1132" t="str" cm="1">
        <f t="array" ref="K1132">IFERROR(_xlfn.SWITCH(L1132,1,_xlfn.XLOOKUP(C1132,[1]AttributeName!$C:$C,[1]AttributeName!$I:$I),2,_xlfn.XLOOKUP(C1132,[1]ModifierDes!$B:$B,[1]ModifierDes!$C:$C),3,_xlfn.XLOOKUP(C1132,[1]StuntDes!$B:$B,[1]StuntDes!$C:$C)),"")</f>
        <v>穿戴等级降低增加{0}</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424</v>
      </c>
      <c r="D1133" t="s">
        <v>35</v>
      </c>
      <c r="E1133" s="13" t="s">
        <v>410</v>
      </c>
      <c r="F1133"/>
      <c r="G1133">
        <v>2</v>
      </c>
      <c r="H1133">
        <v>1000</v>
      </c>
      <c r="J1133" cm="1">
        <f t="array" ref="J1133">_xlfn.SWITCH(B1133,1,75,2,61,3,49,4,37,5,25,6,13,7,4,8,1)</f>
        <v>61</v>
      </c>
      <c r="K1133" t="str" cm="1">
        <f t="array" ref="K1133">IFERROR(_xlfn.SWITCH(L1133,1,_xlfn.XLOOKUP(C1133,[1]AttributeName!$C:$C,[1]AttributeName!$I:$I),2,_xlfn.XLOOKUP(C1133,[1]ModifierDes!$B:$B,[1]ModifierDes!$C:$C),3,_xlfn.XLOOKUP(C1133,[1]StuntDes!$B:$B,[1]StuntDes!$C:$C)),"")</f>
        <v>穿戴等级降低增加{0}</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424</v>
      </c>
      <c r="D1134" t="s">
        <v>35</v>
      </c>
      <c r="E1134" s="13" t="s">
        <v>410</v>
      </c>
      <c r="F1134"/>
      <c r="G1134">
        <v>2</v>
      </c>
      <c r="H1134">
        <v>1000</v>
      </c>
      <c r="J1134" cm="1">
        <f t="array" ref="J1134">_xlfn.SWITCH(B1134,1,75,2,61,3,49,4,37,5,25,6,13,7,4,8,1)</f>
        <v>49</v>
      </c>
      <c r="K1134" t="str" cm="1">
        <f t="array" ref="K1134">IFERROR(_xlfn.SWITCH(L1134,1,_xlfn.XLOOKUP(C1134,[1]AttributeName!$C:$C,[1]AttributeName!$I:$I),2,_xlfn.XLOOKUP(C1134,[1]ModifierDes!$B:$B,[1]ModifierDes!$C:$C),3,_xlfn.XLOOKUP(C1134,[1]StuntDes!$B:$B,[1]StuntDes!$C:$C)),"")</f>
        <v>穿戴等级降低增加{0}</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424</v>
      </c>
      <c r="D1135" t="s">
        <v>35</v>
      </c>
      <c r="E1135" s="13" t="s">
        <v>410</v>
      </c>
      <c r="F1135"/>
      <c r="G1135">
        <v>2</v>
      </c>
      <c r="H1135">
        <v>1000</v>
      </c>
      <c r="J1135" cm="1">
        <f t="array" ref="J1135">_xlfn.SWITCH(B1135,1,75,2,61,3,49,4,37,5,25,6,13,7,4,8,1)</f>
        <v>37</v>
      </c>
      <c r="K1135" t="str" cm="1">
        <f t="array" ref="K1135">IFERROR(_xlfn.SWITCH(L1135,1,_xlfn.XLOOKUP(C1135,[1]AttributeName!$C:$C,[1]AttributeName!$I:$I),2,_xlfn.XLOOKUP(C1135,[1]ModifierDes!$B:$B,[1]ModifierDes!$C:$C),3,_xlfn.XLOOKUP(C1135,[1]StuntDes!$B:$B,[1]StuntDes!$C:$C)),"")</f>
        <v>穿戴等级降低增加{0}</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424</v>
      </c>
      <c r="D1136" t="s">
        <v>35</v>
      </c>
      <c r="E1136" s="13" t="s">
        <v>410</v>
      </c>
      <c r="F1136"/>
      <c r="G1136">
        <v>2</v>
      </c>
      <c r="H1136">
        <v>1000</v>
      </c>
      <c r="J1136" cm="1">
        <f t="array" ref="J1136">_xlfn.SWITCH(B1136,1,75,2,61,3,49,4,37,5,25,6,13,7,4,8,1)</f>
        <v>25</v>
      </c>
      <c r="K1136" t="str" cm="1">
        <f t="array" ref="K1136">IFERROR(_xlfn.SWITCH(L1136,1,_xlfn.XLOOKUP(C1136,[1]AttributeName!$C:$C,[1]AttributeName!$I:$I),2,_xlfn.XLOOKUP(C1136,[1]ModifierDes!$B:$B,[1]ModifierDes!$C:$C),3,_xlfn.XLOOKUP(C1136,[1]StuntDes!$B:$B,[1]StuntDes!$C:$C)),"")</f>
        <v>穿戴等级降低增加{0}</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424</v>
      </c>
      <c r="D1137" t="s">
        <v>35</v>
      </c>
      <c r="E1137" s="13" t="s">
        <v>410</v>
      </c>
      <c r="F1137"/>
      <c r="G1137">
        <v>2</v>
      </c>
      <c r="H1137">
        <v>1000</v>
      </c>
      <c r="J1137" cm="1">
        <f t="array" ref="J1137">_xlfn.SWITCH(B1137,1,75,2,61,3,49,4,37,5,25,6,13,7,4,8,1)</f>
        <v>13</v>
      </c>
      <c r="K1137" t="str" cm="1">
        <f t="array" ref="K1137">IFERROR(_xlfn.SWITCH(L1137,1,_xlfn.XLOOKUP(C1137,[1]AttributeName!$C:$C,[1]AttributeName!$I:$I),2,_xlfn.XLOOKUP(C1137,[1]ModifierDes!$B:$B,[1]ModifierDes!$C:$C),3,_xlfn.XLOOKUP(C1137,[1]StuntDes!$B:$B,[1]StuntDes!$C:$C)),"")</f>
        <v>穿戴等级降低增加{0}</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424</v>
      </c>
      <c r="D1138" t="s">
        <v>35</v>
      </c>
      <c r="E1138" s="13" t="s">
        <v>410</v>
      </c>
      <c r="F1138"/>
      <c r="G1138">
        <v>2</v>
      </c>
      <c r="H1138">
        <v>1000</v>
      </c>
      <c r="J1138" cm="1">
        <f t="array" ref="J1138">_xlfn.SWITCH(B1138,1,75,2,61,3,49,4,37,5,25,6,13,7,4,8,1)</f>
        <v>4</v>
      </c>
      <c r="K1138" t="str" cm="1">
        <f t="array" ref="K1138">IFERROR(_xlfn.SWITCH(L1138,1,_xlfn.XLOOKUP(C1138,[1]AttributeName!$C:$C,[1]AttributeName!$I:$I),2,_xlfn.XLOOKUP(C1138,[1]ModifierDes!$B:$B,[1]ModifierDes!$C:$C),3,_xlfn.XLOOKUP(C1138,[1]StuntDes!$B:$B,[1]StuntDes!$C:$C)),"")</f>
        <v>穿戴等级降低增加{0}</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424</v>
      </c>
      <c r="D1139" t="s">
        <v>35</v>
      </c>
      <c r="E1139" s="13" t="s">
        <v>410</v>
      </c>
      <c r="F1139"/>
      <c r="G1139">
        <v>2</v>
      </c>
      <c r="H1139">
        <v>1000</v>
      </c>
      <c r="J1139" cm="1">
        <f t="array" ref="J1139">_xlfn.SWITCH(B1139,1,75,2,61,3,49,4,37,5,25,6,13,7,4,8,1)</f>
        <v>1</v>
      </c>
      <c r="K1139" t="str" cm="1">
        <f t="array" ref="K1139">IFERROR(_xlfn.SWITCH(L1139,1,_xlfn.XLOOKUP(C1139,[1]AttributeName!$C:$C,[1]AttributeName!$I:$I),2,_xlfn.XLOOKUP(C1139,[1]ModifierDes!$B:$B,[1]ModifierDes!$C:$C),3,_xlfn.XLOOKUP(C1139,[1]StuntDes!$B:$B,[1]StuntDes!$C:$C)),"")</f>
        <v>穿戴等级降低增加{0}</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445</v>
      </c>
      <c r="D1140" t="s">
        <v>35</v>
      </c>
      <c r="E1140" s="13" t="s">
        <v>410</v>
      </c>
      <c r="G1140">
        <v>2</v>
      </c>
      <c r="H1140">
        <v>1000</v>
      </c>
      <c r="J1140" cm="1">
        <f t="array" ref="J1140">_xlfn.SWITCH(B1140,1,75,2,61,3,49,4,37,5,25,6,13,7,4,8,1)</f>
        <v>75</v>
      </c>
      <c r="K1140" t="str" cm="1">
        <f t="array" ref="K1140">IFERROR(_xlfn.SWITCH(L1140,1,_xlfn.XLOOKUP(C1140,[1]AttributeName!$C:$C,[1]AttributeName!$I:$I),2,_xlfn.XLOOKUP(C1140,[1]ModifierDes!$B:$B,[1]ModifierDes!$C:$C),3,_xlfn.XLOOKUP(C1140,[1]StuntDes!$B:$B,[1]StuntDes!$C:$C)),"")</f>
        <v>每秒生命恢复增加{0}</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66</v>
      </c>
      <c r="R1140">
        <v>99</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445</v>
      </c>
      <c r="D1141" t="s">
        <v>35</v>
      </c>
      <c r="E1141" s="13" t="s">
        <v>410</v>
      </c>
      <c r="G1141">
        <v>2</v>
      </c>
      <c r="H1141">
        <v>1000</v>
      </c>
      <c r="J1141" cm="1">
        <f t="array" ref="J1141">_xlfn.SWITCH(B1141,1,75,2,61,3,49,4,37,5,25,6,13,7,4,8,1)</f>
        <v>61</v>
      </c>
      <c r="K1141" t="str" cm="1">
        <f t="array" ref="K1141">IFERROR(_xlfn.SWITCH(L1141,1,_xlfn.XLOOKUP(C1141,[1]AttributeName!$C:$C,[1]AttributeName!$I:$I),2,_xlfn.XLOOKUP(C1141,[1]ModifierDes!$B:$B,[1]ModifierDes!$C:$C),3,_xlfn.XLOOKUP(C1141,[1]StuntDes!$B:$B,[1]StuntDes!$C:$C)),"")</f>
        <v>每秒生命恢复增加{0}</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55</v>
      </c>
      <c r="R1141">
        <v>61</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445</v>
      </c>
      <c r="D1142" t="s">
        <v>35</v>
      </c>
      <c r="E1142" s="13" t="s">
        <v>410</v>
      </c>
      <c r="G1142">
        <v>2</v>
      </c>
      <c r="H1142">
        <v>1000</v>
      </c>
      <c r="J1142" cm="1">
        <f t="array" ref="J1142">_xlfn.SWITCH(B1142,1,75,2,61,3,49,4,37,5,25,6,13,7,4,8,1)</f>
        <v>49</v>
      </c>
      <c r="K1142" t="str" cm="1">
        <f t="array" ref="K1142">IFERROR(_xlfn.SWITCH(L1142,1,_xlfn.XLOOKUP(C1142,[1]AttributeName!$C:$C,[1]AttributeName!$I:$I),2,_xlfn.XLOOKUP(C1142,[1]ModifierDes!$B:$B,[1]ModifierDes!$C:$C),3,_xlfn.XLOOKUP(C1142,[1]StuntDes!$B:$B,[1]StuntDes!$C:$C)),"")</f>
        <v>每秒生命恢复增加{0}</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45</v>
      </c>
      <c r="R1142">
        <v>51</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445</v>
      </c>
      <c r="D1143" t="s">
        <v>35</v>
      </c>
      <c r="E1143" s="13" t="s">
        <v>410</v>
      </c>
      <c r="G1143">
        <v>2</v>
      </c>
      <c r="H1143">
        <v>1000</v>
      </c>
      <c r="J1143" cm="1">
        <f t="array" ref="J1143">_xlfn.SWITCH(B1143,1,75,2,61,3,49,4,37,5,25,6,13,7,4,8,1)</f>
        <v>37</v>
      </c>
      <c r="K1143" t="str" cm="1">
        <f t="array" ref="K1143">IFERROR(_xlfn.SWITCH(L1143,1,_xlfn.XLOOKUP(C1143,[1]AttributeName!$C:$C,[1]AttributeName!$I:$I),2,_xlfn.XLOOKUP(C1143,[1]ModifierDes!$B:$B,[1]ModifierDes!$C:$C),3,_xlfn.XLOOKUP(C1143,[1]StuntDes!$B:$B,[1]StuntDes!$C:$C)),"")</f>
        <v>每秒生命恢复增加{0}</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36</v>
      </c>
      <c r="R1143">
        <v>42</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445</v>
      </c>
      <c r="D1144" t="s">
        <v>35</v>
      </c>
      <c r="E1144" s="13" t="s">
        <v>410</v>
      </c>
      <c r="G1144">
        <v>2</v>
      </c>
      <c r="H1144">
        <v>1000</v>
      </c>
      <c r="J1144" cm="1">
        <f t="array" ref="J1144">_xlfn.SWITCH(B1144,1,75,2,61,3,49,4,37,5,25,6,13,7,4,8,1)</f>
        <v>25</v>
      </c>
      <c r="K1144" t="str" cm="1">
        <f t="array" ref="K1144">IFERROR(_xlfn.SWITCH(L1144,1,_xlfn.XLOOKUP(C1144,[1]AttributeName!$C:$C,[1]AttributeName!$I:$I),2,_xlfn.XLOOKUP(C1144,[1]ModifierDes!$B:$B,[1]ModifierDes!$C:$C),3,_xlfn.XLOOKUP(C1144,[1]StuntDes!$B:$B,[1]StuntDes!$C:$C)),"")</f>
        <v>每秒生命恢复增加{0}</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28</v>
      </c>
      <c r="R1144">
        <v>33</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445</v>
      </c>
      <c r="D1145" t="s">
        <v>35</v>
      </c>
      <c r="E1145" s="13" t="s">
        <v>410</v>
      </c>
      <c r="G1145">
        <v>2</v>
      </c>
      <c r="H1145">
        <v>1000</v>
      </c>
      <c r="J1145" cm="1">
        <f t="array" ref="J1145">_xlfn.SWITCH(B1145,1,75,2,61,3,49,4,37,5,25,6,13,7,4,8,1)</f>
        <v>13</v>
      </c>
      <c r="K1145" t="str" cm="1">
        <f t="array" ref="K1145">IFERROR(_xlfn.SWITCH(L1145,1,_xlfn.XLOOKUP(C1145,[1]AttributeName!$C:$C,[1]AttributeName!$I:$I),2,_xlfn.XLOOKUP(C1145,[1]ModifierDes!$B:$B,[1]ModifierDes!$C:$C),3,_xlfn.XLOOKUP(C1145,[1]StuntDes!$B:$B,[1]StuntDes!$C:$C)),"")</f>
        <v>每秒生命恢复增加{0}</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21</v>
      </c>
      <c r="R1145">
        <v>26</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445</v>
      </c>
      <c r="D1146" t="s">
        <v>35</v>
      </c>
      <c r="E1146" s="13" t="s">
        <v>410</v>
      </c>
      <c r="G1146">
        <v>2</v>
      </c>
      <c r="H1146">
        <v>1000</v>
      </c>
      <c r="J1146" cm="1">
        <f t="array" ref="J1146">_xlfn.SWITCH(B1146,1,75,2,61,3,49,4,37,5,25,6,13,7,4,8,1)</f>
        <v>4</v>
      </c>
      <c r="K1146" t="str" cm="1">
        <f t="array" ref="K1146">IFERROR(_xlfn.SWITCH(L1146,1,_xlfn.XLOOKUP(C1146,[1]AttributeName!$C:$C,[1]AttributeName!$I:$I),2,_xlfn.XLOOKUP(C1146,[1]ModifierDes!$B:$B,[1]ModifierDes!$C:$C),3,_xlfn.XLOOKUP(C1146,[1]StuntDes!$B:$B,[1]StuntDes!$C:$C)),"")</f>
        <v>每秒生命恢复增加{0}</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14</v>
      </c>
      <c r="R1146">
        <v>18</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445</v>
      </c>
      <c r="D1147" t="s">
        <v>35</v>
      </c>
      <c r="E1147" s="13" t="s">
        <v>410</v>
      </c>
      <c r="G1147">
        <v>2</v>
      </c>
      <c r="H1147">
        <v>1000</v>
      </c>
      <c r="J1147" cm="1">
        <f t="array" ref="J1147">_xlfn.SWITCH(B1147,1,75,2,61,3,49,4,37,5,25,6,13,7,4,8,1)</f>
        <v>1</v>
      </c>
      <c r="K1147" t="str" cm="1">
        <f t="array" ref="K1147">IFERROR(_xlfn.SWITCH(L1147,1,_xlfn.XLOOKUP(C1147,[1]AttributeName!$C:$C,[1]AttributeName!$I:$I),2,_xlfn.XLOOKUP(C1147,[1]ModifierDes!$B:$B,[1]ModifierDes!$C:$C),3,_xlfn.XLOOKUP(C1147,[1]StuntDes!$B:$B,[1]StuntDes!$C:$C)),"")</f>
        <v>每秒生命恢复增加{0}</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8</v>
      </c>
      <c r="R1147">
        <v>13</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446</v>
      </c>
      <c r="D1148" t="s">
        <v>35</v>
      </c>
      <c r="E1148" s="13" t="s">
        <v>410</v>
      </c>
      <c r="G1148">
        <v>2</v>
      </c>
      <c r="H1148">
        <v>1000</v>
      </c>
      <c r="J1148" cm="1">
        <f t="array" ref="J1148">_xlfn.SWITCH(B1148,1,75,2,61,3,49,4,37,5,25,6,13,7,4,8,1)</f>
        <v>75</v>
      </c>
      <c r="K1148" t="str" cm="1">
        <f t="array" ref="K1148">IFERROR(_xlfn.SWITCH(L1148,1,_xlfn.XLOOKUP(C1148,[1]AttributeName!$C:$C,[1]AttributeName!$I:$I),2,_xlfn.XLOOKUP(C1148,[1]ModifierDes!$B:$B,[1]ModifierDes!$C:$C),3,_xlfn.XLOOKUP(C1148,[1]StuntDes!$B:$B,[1]StuntDes!$C:$C)),"")</f>
        <v>每秒魔力恢复增加{0}</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44</v>
      </c>
      <c r="R1148">
        <v>66</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446</v>
      </c>
      <c r="D1149" t="s">
        <v>35</v>
      </c>
      <c r="E1149" s="13" t="s">
        <v>410</v>
      </c>
      <c r="G1149">
        <v>2</v>
      </c>
      <c r="H1149">
        <v>1000</v>
      </c>
      <c r="J1149" cm="1">
        <f t="array" ref="J1149">_xlfn.SWITCH(B1149,1,75,2,61,3,49,4,37,5,25,6,13,7,4,8,1)</f>
        <v>61</v>
      </c>
      <c r="K1149" t="str" cm="1">
        <f t="array" ref="K1149">IFERROR(_xlfn.SWITCH(L1149,1,_xlfn.XLOOKUP(C1149,[1]AttributeName!$C:$C,[1]AttributeName!$I:$I),2,_xlfn.XLOOKUP(C1149,[1]ModifierDes!$B:$B,[1]ModifierDes!$C:$C),3,_xlfn.XLOOKUP(C1149,[1]StuntDes!$B:$B,[1]StuntDes!$C:$C)),"")</f>
        <v>每秒魔力恢复增加{0}</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37</v>
      </c>
      <c r="R1149">
        <v>40</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446</v>
      </c>
      <c r="D1150" t="s">
        <v>35</v>
      </c>
      <c r="E1150" s="13" t="s">
        <v>410</v>
      </c>
      <c r="G1150">
        <v>2</v>
      </c>
      <c r="H1150">
        <v>1000</v>
      </c>
      <c r="J1150" cm="1">
        <f t="array" ref="J1150">_xlfn.SWITCH(B1150,1,75,2,61,3,49,4,37,5,25,6,13,7,4,8,1)</f>
        <v>49</v>
      </c>
      <c r="K1150" t="str" cm="1">
        <f t="array" ref="K1150">IFERROR(_xlfn.SWITCH(L1150,1,_xlfn.XLOOKUP(C1150,[1]AttributeName!$C:$C,[1]AttributeName!$I:$I),2,_xlfn.XLOOKUP(C1150,[1]ModifierDes!$B:$B,[1]ModifierDes!$C:$C),3,_xlfn.XLOOKUP(C1150,[1]StuntDes!$B:$B,[1]StuntDes!$C:$C)),"")</f>
        <v>每秒魔力恢复增加{0}</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30</v>
      </c>
      <c r="R1150">
        <v>34</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446</v>
      </c>
      <c r="D1151" t="s">
        <v>35</v>
      </c>
      <c r="E1151" s="13" t="s">
        <v>410</v>
      </c>
      <c r="G1151">
        <v>2</v>
      </c>
      <c r="H1151">
        <v>1000</v>
      </c>
      <c r="J1151" cm="1">
        <f t="array" ref="J1151">_xlfn.SWITCH(B1151,1,75,2,61,3,49,4,37,5,25,6,13,7,4,8,1)</f>
        <v>37</v>
      </c>
      <c r="K1151" t="str" cm="1">
        <f t="array" ref="K1151">IFERROR(_xlfn.SWITCH(L1151,1,_xlfn.XLOOKUP(C1151,[1]AttributeName!$C:$C,[1]AttributeName!$I:$I),2,_xlfn.XLOOKUP(C1151,[1]ModifierDes!$B:$B,[1]ModifierDes!$C:$C),3,_xlfn.XLOOKUP(C1151,[1]StuntDes!$B:$B,[1]StuntDes!$C:$C)),"")</f>
        <v>每秒魔力恢复增加{0}</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24</v>
      </c>
      <c r="R1151">
        <v>28</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446</v>
      </c>
      <c r="D1152" t="s">
        <v>35</v>
      </c>
      <c r="E1152" s="13" t="s">
        <v>410</v>
      </c>
      <c r="G1152">
        <v>2</v>
      </c>
      <c r="H1152">
        <v>1000</v>
      </c>
      <c r="J1152" cm="1">
        <f t="array" ref="J1152">_xlfn.SWITCH(B1152,1,75,2,61,3,49,4,37,5,25,6,13,7,4,8,1)</f>
        <v>25</v>
      </c>
      <c r="K1152" t="str" cm="1">
        <f t="array" ref="K1152">IFERROR(_xlfn.SWITCH(L1152,1,_xlfn.XLOOKUP(C1152,[1]AttributeName!$C:$C,[1]AttributeName!$I:$I),2,_xlfn.XLOOKUP(C1152,[1]ModifierDes!$B:$B,[1]ModifierDes!$C:$C),3,_xlfn.XLOOKUP(C1152,[1]StuntDes!$B:$B,[1]StuntDes!$C:$C)),"")</f>
        <v>每秒魔力恢复增加{0}</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19</v>
      </c>
      <c r="R1152">
        <v>22</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446</v>
      </c>
      <c r="D1153" t="s">
        <v>35</v>
      </c>
      <c r="E1153" s="13" t="s">
        <v>410</v>
      </c>
      <c r="G1153">
        <v>2</v>
      </c>
      <c r="H1153">
        <v>1000</v>
      </c>
      <c r="J1153" cm="1">
        <f t="array" ref="J1153">_xlfn.SWITCH(B1153,1,75,2,61,3,49,4,37,5,25,6,13,7,4,8,1)</f>
        <v>13</v>
      </c>
      <c r="K1153" t="str" cm="1">
        <f t="array" ref="K1153">IFERROR(_xlfn.SWITCH(L1153,1,_xlfn.XLOOKUP(C1153,[1]AttributeName!$C:$C,[1]AttributeName!$I:$I),2,_xlfn.XLOOKUP(C1153,[1]ModifierDes!$B:$B,[1]ModifierDes!$C:$C),3,_xlfn.XLOOKUP(C1153,[1]StuntDes!$B:$B,[1]StuntDes!$C:$C)),"")</f>
        <v>每秒魔力恢复增加{0}</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14</v>
      </c>
      <c r="R1153">
        <v>17</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446</v>
      </c>
      <c r="D1154" t="s">
        <v>35</v>
      </c>
      <c r="E1154" s="13" t="s">
        <v>410</v>
      </c>
      <c r="G1154">
        <v>2</v>
      </c>
      <c r="H1154">
        <v>1000</v>
      </c>
      <c r="J1154" cm="1">
        <f t="array" ref="J1154">_xlfn.SWITCH(B1154,1,75,2,61,3,49,4,37,5,25,6,13,7,4,8,1)</f>
        <v>4</v>
      </c>
      <c r="K1154" t="str" cm="1">
        <f t="array" ref="K1154">IFERROR(_xlfn.SWITCH(L1154,1,_xlfn.XLOOKUP(C1154,[1]AttributeName!$C:$C,[1]AttributeName!$I:$I),2,_xlfn.XLOOKUP(C1154,[1]ModifierDes!$B:$B,[1]ModifierDes!$C:$C),3,_xlfn.XLOOKUP(C1154,[1]StuntDes!$B:$B,[1]StuntDes!$C:$C)),"")</f>
        <v>每秒魔力恢复增加{0}</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9</v>
      </c>
      <c r="R1154">
        <v>12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446</v>
      </c>
      <c r="D1155" t="s">
        <v>35</v>
      </c>
      <c r="E1155" s="13" t="s">
        <v>410</v>
      </c>
      <c r="G1155">
        <v>2</v>
      </c>
      <c r="H1155">
        <v>1000</v>
      </c>
      <c r="J1155" cm="1">
        <f t="array" ref="J1155">_xlfn.SWITCH(B1155,1,75,2,61,3,49,4,37,5,25,6,13,7,4,8,1)</f>
        <v>1</v>
      </c>
      <c r="K1155" t="str" cm="1">
        <f t="array" ref="K1155">IFERROR(_xlfn.SWITCH(L1155,1,_xlfn.XLOOKUP(C1155,[1]AttributeName!$C:$C,[1]AttributeName!$I:$I),2,_xlfn.XLOOKUP(C1155,[1]ModifierDes!$B:$B,[1]ModifierDes!$C:$C),3,_xlfn.XLOOKUP(C1155,[1]StuntDes!$B:$B,[1]StuntDes!$C:$C)),"")</f>
        <v>每秒魔力恢复增加{0}</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5</v>
      </c>
      <c r="R1155">
        <v>8</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407</v>
      </c>
      <c r="D1156" t="s">
        <v>36</v>
      </c>
      <c r="E1156" t="s">
        <v>393</v>
      </c>
      <c r="F1156"/>
      <c r="G1156">
        <v>1</v>
      </c>
      <c r="H1156">
        <v>1000</v>
      </c>
      <c r="J1156" cm="1">
        <f t="array" ref="J1156">_xlfn.SWITCH(B1156,1,75,2,61,3,49,4,37,5,25,6,13,7,4,8,1)</f>
        <v>75</v>
      </c>
      <c r="K1156" t="str" cm="1">
        <f t="array" ref="K1156">IFERROR(_xlfn.SWITCH(L1156,1,_xlfn.XLOOKUP(C1156,[1]AttributeName!$C:$C,[1]AttributeName!$I:$I),2,_xlfn.XLOOKUP(C1156,[1]ModifierDes!$B:$B,[1]ModifierDes!$C:$C),3,_xlfn.XLOOKUP(C1156,[1]StuntDes!$B:$B,[1]StuntDes!$C:$C)),"")</f>
        <v>基础生命增加{0}</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407</v>
      </c>
      <c r="D1157" t="s">
        <v>36</v>
      </c>
      <c r="E1157" t="s">
        <v>393</v>
      </c>
      <c r="F1157"/>
      <c r="G1157">
        <v>1</v>
      </c>
      <c r="H1157">
        <v>1000</v>
      </c>
      <c r="J1157" cm="1">
        <f t="array" ref="J1157">_xlfn.SWITCH(B1157,1,75,2,61,3,49,4,37,5,25,6,13,7,4,8,1)</f>
        <v>61</v>
      </c>
      <c r="K1157" t="str" cm="1">
        <f t="array" ref="K1157">IFERROR(_xlfn.SWITCH(L1157,1,_xlfn.XLOOKUP(C1157,[1]AttributeName!$C:$C,[1]AttributeName!$I:$I),2,_xlfn.XLOOKUP(C1157,[1]ModifierDes!$B:$B,[1]ModifierDes!$C:$C),3,_xlfn.XLOOKUP(C1157,[1]StuntDes!$B:$B,[1]StuntDes!$C:$C)),"")</f>
        <v>基础生命增加{0}</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407</v>
      </c>
      <c r="D1158" t="s">
        <v>36</v>
      </c>
      <c r="E1158" t="s">
        <v>393</v>
      </c>
      <c r="F1158"/>
      <c r="G1158">
        <v>1</v>
      </c>
      <c r="H1158">
        <v>1000</v>
      </c>
      <c r="J1158" cm="1">
        <f t="array" ref="J1158">_xlfn.SWITCH(B1158,1,75,2,61,3,49,4,37,5,25,6,13,7,4,8,1)</f>
        <v>49</v>
      </c>
      <c r="K1158" t="str" cm="1">
        <f t="array" ref="K1158">IFERROR(_xlfn.SWITCH(L1158,1,_xlfn.XLOOKUP(C1158,[1]AttributeName!$C:$C,[1]AttributeName!$I:$I),2,_xlfn.XLOOKUP(C1158,[1]ModifierDes!$B:$B,[1]ModifierDes!$C:$C),3,_xlfn.XLOOKUP(C1158,[1]StuntDes!$B:$B,[1]StuntDes!$C:$C)),"")</f>
        <v>基础生命增加{0}</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407</v>
      </c>
      <c r="D1159" t="s">
        <v>36</v>
      </c>
      <c r="E1159" t="s">
        <v>393</v>
      </c>
      <c r="F1159"/>
      <c r="G1159">
        <v>1</v>
      </c>
      <c r="H1159">
        <v>1000</v>
      </c>
      <c r="J1159" cm="1">
        <f t="array" ref="J1159">_xlfn.SWITCH(B1159,1,75,2,61,3,49,4,37,5,25,6,13,7,4,8,1)</f>
        <v>37</v>
      </c>
      <c r="K1159" t="str" cm="1">
        <f t="array" ref="K1159">IFERROR(_xlfn.SWITCH(L1159,1,_xlfn.XLOOKUP(C1159,[1]AttributeName!$C:$C,[1]AttributeName!$I:$I),2,_xlfn.XLOOKUP(C1159,[1]ModifierDes!$B:$B,[1]ModifierDes!$C:$C),3,_xlfn.XLOOKUP(C1159,[1]StuntDes!$B:$B,[1]StuntDes!$C:$C)),"")</f>
        <v>基础生命增加{0}</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407</v>
      </c>
      <c r="D1160" t="s">
        <v>36</v>
      </c>
      <c r="E1160" t="s">
        <v>393</v>
      </c>
      <c r="F1160"/>
      <c r="G1160">
        <v>1</v>
      </c>
      <c r="H1160">
        <v>1000</v>
      </c>
      <c r="J1160" cm="1">
        <f t="array" ref="J1160">_xlfn.SWITCH(B1160,1,75,2,61,3,49,4,37,5,25,6,13,7,4,8,1)</f>
        <v>25</v>
      </c>
      <c r="K1160" t="str" cm="1">
        <f t="array" ref="K1160">IFERROR(_xlfn.SWITCH(L1160,1,_xlfn.XLOOKUP(C1160,[1]AttributeName!$C:$C,[1]AttributeName!$I:$I),2,_xlfn.XLOOKUP(C1160,[1]ModifierDes!$B:$B,[1]ModifierDes!$C:$C),3,_xlfn.XLOOKUP(C1160,[1]StuntDes!$B:$B,[1]StuntDes!$C:$C)),"")</f>
        <v>基础生命增加{0}</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407</v>
      </c>
      <c r="D1161" t="s">
        <v>36</v>
      </c>
      <c r="E1161" t="s">
        <v>393</v>
      </c>
      <c r="F1161"/>
      <c r="G1161">
        <v>1</v>
      </c>
      <c r="H1161">
        <v>1000</v>
      </c>
      <c r="J1161" cm="1">
        <f t="array" ref="J1161">_xlfn.SWITCH(B1161,1,75,2,61,3,49,4,37,5,25,6,13,7,4,8,1)</f>
        <v>13</v>
      </c>
      <c r="K1161" t="str" cm="1">
        <f t="array" ref="K1161">IFERROR(_xlfn.SWITCH(L1161,1,_xlfn.XLOOKUP(C1161,[1]AttributeName!$C:$C,[1]AttributeName!$I:$I),2,_xlfn.XLOOKUP(C1161,[1]ModifierDes!$B:$B,[1]ModifierDes!$C:$C),3,_xlfn.XLOOKUP(C1161,[1]StuntDes!$B:$B,[1]StuntDes!$C:$C)),"")</f>
        <v>基础生命增加{0}</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407</v>
      </c>
      <c r="D1162" t="s">
        <v>36</v>
      </c>
      <c r="E1162" t="s">
        <v>393</v>
      </c>
      <c r="F1162"/>
      <c r="G1162">
        <v>1</v>
      </c>
      <c r="H1162">
        <v>1000</v>
      </c>
      <c r="J1162" cm="1">
        <f t="array" ref="J1162">_xlfn.SWITCH(B1162,1,75,2,61,3,49,4,37,5,25,6,13,7,4,8,1)</f>
        <v>4</v>
      </c>
      <c r="K1162" t="str" cm="1">
        <f t="array" ref="K1162">IFERROR(_xlfn.SWITCH(L1162,1,_xlfn.XLOOKUP(C1162,[1]AttributeName!$C:$C,[1]AttributeName!$I:$I),2,_xlfn.XLOOKUP(C1162,[1]ModifierDes!$B:$B,[1]ModifierDes!$C:$C),3,_xlfn.XLOOKUP(C1162,[1]StuntDes!$B:$B,[1]StuntDes!$C:$C)),"")</f>
        <v>基础生命增加{0}</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407</v>
      </c>
      <c r="D1163" t="s">
        <v>36</v>
      </c>
      <c r="E1163" t="s">
        <v>393</v>
      </c>
      <c r="F1163"/>
      <c r="G1163">
        <v>1</v>
      </c>
      <c r="H1163">
        <v>1000</v>
      </c>
      <c r="J1163" cm="1">
        <f t="array" ref="J1163">_xlfn.SWITCH(B1163,1,75,2,61,3,49,4,37,5,25,6,13,7,4,8,1)</f>
        <v>1</v>
      </c>
      <c r="K1163" t="str" cm="1">
        <f t="array" ref="K1163">IFERROR(_xlfn.SWITCH(L1163,1,_xlfn.XLOOKUP(C1163,[1]AttributeName!$C:$C,[1]AttributeName!$I:$I),2,_xlfn.XLOOKUP(C1163,[1]ModifierDes!$B:$B,[1]ModifierDes!$C:$C),3,_xlfn.XLOOKUP(C1163,[1]StuntDes!$B:$B,[1]StuntDes!$C:$C)),"")</f>
        <v>基础生命增加{0}</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408</v>
      </c>
      <c r="D1164" t="s">
        <v>36</v>
      </c>
      <c r="E1164" t="s">
        <v>393</v>
      </c>
      <c r="F1164"/>
      <c r="G1164">
        <v>1</v>
      </c>
      <c r="H1164">
        <v>1000</v>
      </c>
      <c r="J1164" cm="1">
        <f t="array" ref="J1164">_xlfn.SWITCH(B1164,1,75,2,61,3,49,4,37,5,25,6,13,7,4,8,1)</f>
        <v>75</v>
      </c>
      <c r="K1164" t="str" cm="1">
        <f t="array" ref="K1164">IFERROR(_xlfn.SWITCH(L1164,1,_xlfn.XLOOKUP(C1164,[1]AttributeName!$C:$C,[1]AttributeName!$I:$I),2,_xlfn.XLOOKUP(C1164,[1]ModifierDes!$B:$B,[1]ModifierDes!$C:$C),3,_xlfn.XLOOKUP(C1164,[1]StuntDes!$B:$B,[1]StuntDes!$C:$C)),"")</f>
        <v>基础魔力增加{0}</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408</v>
      </c>
      <c r="D1165" t="s">
        <v>36</v>
      </c>
      <c r="E1165" t="s">
        <v>393</v>
      </c>
      <c r="F1165"/>
      <c r="G1165">
        <v>1</v>
      </c>
      <c r="H1165">
        <v>1000</v>
      </c>
      <c r="J1165" cm="1">
        <f t="array" ref="J1165">_xlfn.SWITCH(B1165,1,75,2,61,3,49,4,37,5,25,6,13,7,4,8,1)</f>
        <v>61</v>
      </c>
      <c r="K1165" t="str" cm="1">
        <f t="array" ref="K1165">IFERROR(_xlfn.SWITCH(L1165,1,_xlfn.XLOOKUP(C1165,[1]AttributeName!$C:$C,[1]AttributeName!$I:$I),2,_xlfn.XLOOKUP(C1165,[1]ModifierDes!$B:$B,[1]ModifierDes!$C:$C),3,_xlfn.XLOOKUP(C1165,[1]StuntDes!$B:$B,[1]StuntDes!$C:$C)),"")</f>
        <v>基础魔力增加{0}</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408</v>
      </c>
      <c r="D1166" t="s">
        <v>36</v>
      </c>
      <c r="E1166" t="s">
        <v>393</v>
      </c>
      <c r="F1166"/>
      <c r="G1166">
        <v>1</v>
      </c>
      <c r="H1166">
        <v>1000</v>
      </c>
      <c r="J1166" cm="1">
        <f t="array" ref="J1166">_xlfn.SWITCH(B1166,1,75,2,61,3,49,4,37,5,25,6,13,7,4,8,1)</f>
        <v>49</v>
      </c>
      <c r="K1166" t="str" cm="1">
        <f t="array" ref="K1166">IFERROR(_xlfn.SWITCH(L1166,1,_xlfn.XLOOKUP(C1166,[1]AttributeName!$C:$C,[1]AttributeName!$I:$I),2,_xlfn.XLOOKUP(C1166,[1]ModifierDes!$B:$B,[1]ModifierDes!$C:$C),3,_xlfn.XLOOKUP(C1166,[1]StuntDes!$B:$B,[1]StuntDes!$C:$C)),"")</f>
        <v>基础魔力增加{0}</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408</v>
      </c>
      <c r="D1167" t="s">
        <v>36</v>
      </c>
      <c r="E1167" t="s">
        <v>393</v>
      </c>
      <c r="F1167"/>
      <c r="G1167">
        <v>1</v>
      </c>
      <c r="H1167">
        <v>1000</v>
      </c>
      <c r="J1167" cm="1">
        <f t="array" ref="J1167">_xlfn.SWITCH(B1167,1,75,2,61,3,49,4,37,5,25,6,13,7,4,8,1)</f>
        <v>37</v>
      </c>
      <c r="K1167" t="str" cm="1">
        <f t="array" ref="K1167">IFERROR(_xlfn.SWITCH(L1167,1,_xlfn.XLOOKUP(C1167,[1]AttributeName!$C:$C,[1]AttributeName!$I:$I),2,_xlfn.XLOOKUP(C1167,[1]ModifierDes!$B:$B,[1]ModifierDes!$C:$C),3,_xlfn.XLOOKUP(C1167,[1]StuntDes!$B:$B,[1]StuntDes!$C:$C)),"")</f>
        <v>基础魔力增加{0}</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408</v>
      </c>
      <c r="D1168" t="s">
        <v>36</v>
      </c>
      <c r="E1168" t="s">
        <v>393</v>
      </c>
      <c r="F1168"/>
      <c r="G1168">
        <v>1</v>
      </c>
      <c r="H1168">
        <v>1000</v>
      </c>
      <c r="J1168" cm="1">
        <f t="array" ref="J1168">_xlfn.SWITCH(B1168,1,75,2,61,3,49,4,37,5,25,6,13,7,4,8,1)</f>
        <v>25</v>
      </c>
      <c r="K1168" t="str" cm="1">
        <f t="array" ref="K1168">IFERROR(_xlfn.SWITCH(L1168,1,_xlfn.XLOOKUP(C1168,[1]AttributeName!$C:$C,[1]AttributeName!$I:$I),2,_xlfn.XLOOKUP(C1168,[1]ModifierDes!$B:$B,[1]ModifierDes!$C:$C),3,_xlfn.XLOOKUP(C1168,[1]StuntDes!$B:$B,[1]StuntDes!$C:$C)),"")</f>
        <v>基础魔力增加{0}</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408</v>
      </c>
      <c r="D1169" t="s">
        <v>36</v>
      </c>
      <c r="E1169" t="s">
        <v>393</v>
      </c>
      <c r="F1169"/>
      <c r="G1169">
        <v>1</v>
      </c>
      <c r="H1169">
        <v>1000</v>
      </c>
      <c r="J1169" cm="1">
        <f t="array" ref="J1169">_xlfn.SWITCH(B1169,1,75,2,61,3,49,4,37,5,25,6,13,7,4,8,1)</f>
        <v>13</v>
      </c>
      <c r="K1169" t="str" cm="1">
        <f t="array" ref="K1169">IFERROR(_xlfn.SWITCH(L1169,1,_xlfn.XLOOKUP(C1169,[1]AttributeName!$C:$C,[1]AttributeName!$I:$I),2,_xlfn.XLOOKUP(C1169,[1]ModifierDes!$B:$B,[1]ModifierDes!$C:$C),3,_xlfn.XLOOKUP(C1169,[1]StuntDes!$B:$B,[1]StuntDes!$C:$C)),"")</f>
        <v>基础魔力增加{0}</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408</v>
      </c>
      <c r="D1170" t="s">
        <v>36</v>
      </c>
      <c r="E1170" t="s">
        <v>393</v>
      </c>
      <c r="F1170"/>
      <c r="G1170">
        <v>1</v>
      </c>
      <c r="H1170">
        <v>1000</v>
      </c>
      <c r="J1170" cm="1">
        <f t="array" ref="J1170">_xlfn.SWITCH(B1170,1,75,2,61,3,49,4,37,5,25,6,13,7,4,8,1)</f>
        <v>4</v>
      </c>
      <c r="K1170" t="str" cm="1">
        <f t="array" ref="K1170">IFERROR(_xlfn.SWITCH(L1170,1,_xlfn.XLOOKUP(C1170,[1]AttributeName!$C:$C,[1]AttributeName!$I:$I),2,_xlfn.XLOOKUP(C1170,[1]ModifierDes!$B:$B,[1]ModifierDes!$C:$C),3,_xlfn.XLOOKUP(C1170,[1]StuntDes!$B:$B,[1]StuntDes!$C:$C)),"")</f>
        <v>基础魔力增加{0}</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408</v>
      </c>
      <c r="D1171" t="s">
        <v>36</v>
      </c>
      <c r="E1171" t="s">
        <v>393</v>
      </c>
      <c r="F1171"/>
      <c r="G1171">
        <v>1</v>
      </c>
      <c r="H1171">
        <v>1000</v>
      </c>
      <c r="J1171" cm="1">
        <f t="array" ref="J1171">_xlfn.SWITCH(B1171,1,75,2,61,3,49,4,37,5,25,6,13,7,4,8,1)</f>
        <v>1</v>
      </c>
      <c r="K1171" t="str" cm="1">
        <f t="array" ref="K1171">IFERROR(_xlfn.SWITCH(L1171,1,_xlfn.XLOOKUP(C1171,[1]AttributeName!$C:$C,[1]AttributeName!$I:$I),2,_xlfn.XLOOKUP(C1171,[1]ModifierDes!$B:$B,[1]ModifierDes!$C:$C),3,_xlfn.XLOOKUP(C1171,[1]StuntDes!$B:$B,[1]StuntDes!$C:$C)),"")</f>
        <v>基础魔力增加{0}</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428</v>
      </c>
      <c r="D1172" t="s">
        <v>36</v>
      </c>
      <c r="E1172" t="s">
        <v>393</v>
      </c>
      <c r="G1172">
        <v>1</v>
      </c>
      <c r="H1172">
        <v>1000</v>
      </c>
      <c r="J1172" cm="1">
        <f t="array" ref="J1172">_xlfn.SWITCH(B1172,1,75,2,61,3,49,4,37,5,25,6,13,7,4,8,1)</f>
        <v>75</v>
      </c>
      <c r="K1172" t="str" cm="1">
        <f t="array" ref="K1172">IFERROR(_xlfn.SWITCH(L1172,1,_xlfn.XLOOKUP(C1172,[1]AttributeName!$C:$C,[1]AttributeName!$I:$I),2,_xlfn.XLOOKUP(C1172,[1]ModifierDes!$B:$B,[1]ModifierDes!$C:$C),3,_xlfn.XLOOKUP(C1172,[1]StuntDes!$B:$B,[1]StuntDes!$C:$C)),"")</f>
        <v>防御力增加{0}</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428</v>
      </c>
      <c r="D1173" t="s">
        <v>36</v>
      </c>
      <c r="E1173" t="s">
        <v>393</v>
      </c>
      <c r="G1173">
        <v>1</v>
      </c>
      <c r="H1173">
        <v>1000</v>
      </c>
      <c r="J1173" cm="1">
        <f t="array" ref="J1173">_xlfn.SWITCH(B1173,1,75,2,61,3,49,4,37,5,25,6,13,7,4,8,1)</f>
        <v>61</v>
      </c>
      <c r="K1173" t="str" cm="1">
        <f t="array" ref="K1173">IFERROR(_xlfn.SWITCH(L1173,1,_xlfn.XLOOKUP(C1173,[1]AttributeName!$C:$C,[1]AttributeName!$I:$I),2,_xlfn.XLOOKUP(C1173,[1]ModifierDes!$B:$B,[1]ModifierDes!$C:$C),3,_xlfn.XLOOKUP(C1173,[1]StuntDes!$B:$B,[1]StuntDes!$C:$C)),"")</f>
        <v>防御力增加{0}</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428</v>
      </c>
      <c r="D1174" t="s">
        <v>36</v>
      </c>
      <c r="E1174" t="s">
        <v>393</v>
      </c>
      <c r="G1174">
        <v>1</v>
      </c>
      <c r="H1174">
        <v>1000</v>
      </c>
      <c r="J1174" cm="1">
        <f t="array" ref="J1174">_xlfn.SWITCH(B1174,1,75,2,61,3,49,4,37,5,25,6,13,7,4,8,1)</f>
        <v>49</v>
      </c>
      <c r="K1174" t="str" cm="1">
        <f t="array" ref="K1174">IFERROR(_xlfn.SWITCH(L1174,1,_xlfn.XLOOKUP(C1174,[1]AttributeName!$C:$C,[1]AttributeName!$I:$I),2,_xlfn.XLOOKUP(C1174,[1]ModifierDes!$B:$B,[1]ModifierDes!$C:$C),3,_xlfn.XLOOKUP(C1174,[1]StuntDes!$B:$B,[1]StuntDes!$C:$C)),"")</f>
        <v>防御力增加{0}</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428</v>
      </c>
      <c r="D1175" t="s">
        <v>36</v>
      </c>
      <c r="E1175" t="s">
        <v>393</v>
      </c>
      <c r="G1175">
        <v>1</v>
      </c>
      <c r="H1175">
        <v>1000</v>
      </c>
      <c r="J1175" cm="1">
        <f t="array" ref="J1175">_xlfn.SWITCH(B1175,1,75,2,61,3,49,4,37,5,25,6,13,7,4,8,1)</f>
        <v>37</v>
      </c>
      <c r="K1175" t="str" cm="1">
        <f t="array" ref="K1175">IFERROR(_xlfn.SWITCH(L1175,1,_xlfn.XLOOKUP(C1175,[1]AttributeName!$C:$C,[1]AttributeName!$I:$I),2,_xlfn.XLOOKUP(C1175,[1]ModifierDes!$B:$B,[1]ModifierDes!$C:$C),3,_xlfn.XLOOKUP(C1175,[1]StuntDes!$B:$B,[1]StuntDes!$C:$C)),"")</f>
        <v>防御力增加{0}</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428</v>
      </c>
      <c r="D1176" t="s">
        <v>36</v>
      </c>
      <c r="E1176" t="s">
        <v>393</v>
      </c>
      <c r="G1176">
        <v>1</v>
      </c>
      <c r="H1176">
        <v>1000</v>
      </c>
      <c r="J1176" cm="1">
        <f t="array" ref="J1176">_xlfn.SWITCH(B1176,1,75,2,61,3,49,4,37,5,25,6,13,7,4,8,1)</f>
        <v>25</v>
      </c>
      <c r="K1176" t="str" cm="1">
        <f t="array" ref="K1176">IFERROR(_xlfn.SWITCH(L1176,1,_xlfn.XLOOKUP(C1176,[1]AttributeName!$C:$C,[1]AttributeName!$I:$I),2,_xlfn.XLOOKUP(C1176,[1]ModifierDes!$B:$B,[1]ModifierDes!$C:$C),3,_xlfn.XLOOKUP(C1176,[1]StuntDes!$B:$B,[1]StuntDes!$C:$C)),"")</f>
        <v>防御力增加{0}</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428</v>
      </c>
      <c r="D1177" t="s">
        <v>36</v>
      </c>
      <c r="E1177" t="s">
        <v>393</v>
      </c>
      <c r="G1177">
        <v>1</v>
      </c>
      <c r="H1177">
        <v>1000</v>
      </c>
      <c r="J1177" cm="1">
        <f t="array" ref="J1177">_xlfn.SWITCH(B1177,1,75,2,61,3,49,4,37,5,25,6,13,7,4,8,1)</f>
        <v>13</v>
      </c>
      <c r="K1177" t="str" cm="1">
        <f t="array" ref="K1177">IFERROR(_xlfn.SWITCH(L1177,1,_xlfn.XLOOKUP(C1177,[1]AttributeName!$C:$C,[1]AttributeName!$I:$I),2,_xlfn.XLOOKUP(C1177,[1]ModifierDes!$B:$B,[1]ModifierDes!$C:$C),3,_xlfn.XLOOKUP(C1177,[1]StuntDes!$B:$B,[1]StuntDes!$C:$C)),"")</f>
        <v>防御力增加{0}</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428</v>
      </c>
      <c r="D1178" t="s">
        <v>36</v>
      </c>
      <c r="E1178" t="s">
        <v>393</v>
      </c>
      <c r="G1178">
        <v>1</v>
      </c>
      <c r="H1178">
        <v>1000</v>
      </c>
      <c r="J1178" cm="1">
        <f t="array" ref="J1178">_xlfn.SWITCH(B1178,1,75,2,61,3,49,4,37,5,25,6,13,7,4,8,1)</f>
        <v>4</v>
      </c>
      <c r="K1178" t="str" cm="1">
        <f t="array" ref="K1178">IFERROR(_xlfn.SWITCH(L1178,1,_xlfn.XLOOKUP(C1178,[1]AttributeName!$C:$C,[1]AttributeName!$I:$I),2,_xlfn.XLOOKUP(C1178,[1]ModifierDes!$B:$B,[1]ModifierDes!$C:$C),3,_xlfn.XLOOKUP(C1178,[1]StuntDes!$B:$B,[1]StuntDes!$C:$C)),"")</f>
        <v>防御力增加{0}</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428</v>
      </c>
      <c r="D1179" t="s">
        <v>36</v>
      </c>
      <c r="E1179" t="s">
        <v>393</v>
      </c>
      <c r="G1179">
        <v>1</v>
      </c>
      <c r="H1179">
        <v>1000</v>
      </c>
      <c r="J1179" cm="1">
        <f t="array" ref="J1179">_xlfn.SWITCH(B1179,1,75,2,61,3,49,4,37,5,25,6,13,7,4,8,1)</f>
        <v>1</v>
      </c>
      <c r="K1179" t="str" cm="1">
        <f t="array" ref="K1179">IFERROR(_xlfn.SWITCH(L1179,1,_xlfn.XLOOKUP(C1179,[1]AttributeName!$C:$C,[1]AttributeName!$I:$I),2,_xlfn.XLOOKUP(C1179,[1]ModifierDes!$B:$B,[1]ModifierDes!$C:$C),3,_xlfn.XLOOKUP(C1179,[1]StuntDes!$B:$B,[1]StuntDes!$C:$C)),"")</f>
        <v>防御力增加{0}</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429</v>
      </c>
      <c r="D1180" t="s">
        <v>36</v>
      </c>
      <c r="E1180" t="s">
        <v>393</v>
      </c>
      <c r="G1180">
        <v>1</v>
      </c>
      <c r="H1180">
        <v>250</v>
      </c>
      <c r="J1180" cm="1">
        <f t="array" ref="J1180">_xlfn.SWITCH(B1180,1,75,2,61,3,49,4,37,5,25,6,13,7,4,8,1)</f>
        <v>75</v>
      </c>
      <c r="K1180" t="str" cm="1">
        <f t="array" ref="K1180">IFERROR(_xlfn.SWITCH(L1180,1,_xlfn.XLOOKUP(C1180,[1]AttributeName!$C:$C,[1]AttributeName!$I:$I),2,_xlfn.XLOOKUP(C1180,[1]ModifierDes!$B:$B,[1]ModifierDes!$C:$C),3,_xlfn.XLOOKUP(C1180,[1]StuntDes!$B:$B,[1]StuntDes!$C:$C)),"")</f>
        <v>攻击格挡率增加{0}</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429</v>
      </c>
      <c r="D1181" t="s">
        <v>36</v>
      </c>
      <c r="E1181" t="s">
        <v>393</v>
      </c>
      <c r="G1181">
        <v>1</v>
      </c>
      <c r="H1181">
        <v>250</v>
      </c>
      <c r="J1181" cm="1">
        <f t="array" ref="J1181">_xlfn.SWITCH(B1181,1,75,2,61,3,49,4,37,5,25,6,13,7,4,8,1)</f>
        <v>61</v>
      </c>
      <c r="K1181" t="str" cm="1">
        <f t="array" ref="K1181">IFERROR(_xlfn.SWITCH(L1181,1,_xlfn.XLOOKUP(C1181,[1]AttributeName!$C:$C,[1]AttributeName!$I:$I),2,_xlfn.XLOOKUP(C1181,[1]ModifierDes!$B:$B,[1]ModifierDes!$C:$C),3,_xlfn.XLOOKUP(C1181,[1]StuntDes!$B:$B,[1]StuntDes!$C:$C)),"")</f>
        <v>攻击格挡率增加{0}</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429</v>
      </c>
      <c r="D1182" t="s">
        <v>36</v>
      </c>
      <c r="E1182" t="s">
        <v>393</v>
      </c>
      <c r="G1182">
        <v>1</v>
      </c>
      <c r="H1182">
        <v>250</v>
      </c>
      <c r="J1182" cm="1">
        <f t="array" ref="J1182">_xlfn.SWITCH(B1182,1,75,2,61,3,49,4,37,5,25,6,13,7,4,8,1)</f>
        <v>49</v>
      </c>
      <c r="K1182" t="str" cm="1">
        <f t="array" ref="K1182">IFERROR(_xlfn.SWITCH(L1182,1,_xlfn.XLOOKUP(C1182,[1]AttributeName!$C:$C,[1]AttributeName!$I:$I),2,_xlfn.XLOOKUP(C1182,[1]ModifierDes!$B:$B,[1]ModifierDes!$C:$C),3,_xlfn.XLOOKUP(C1182,[1]StuntDes!$B:$B,[1]StuntDes!$C:$C)),"")</f>
        <v>攻击格挡率增加{0}</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429</v>
      </c>
      <c r="D1183" t="s">
        <v>36</v>
      </c>
      <c r="E1183" t="s">
        <v>393</v>
      </c>
      <c r="G1183">
        <v>1</v>
      </c>
      <c r="H1183">
        <v>250</v>
      </c>
      <c r="J1183" cm="1">
        <f t="array" ref="J1183">_xlfn.SWITCH(B1183,1,75,2,61,3,49,4,37,5,25,6,13,7,4,8,1)</f>
        <v>37</v>
      </c>
      <c r="K1183" t="str" cm="1">
        <f t="array" ref="K1183">IFERROR(_xlfn.SWITCH(L1183,1,_xlfn.XLOOKUP(C1183,[1]AttributeName!$C:$C,[1]AttributeName!$I:$I),2,_xlfn.XLOOKUP(C1183,[1]ModifierDes!$B:$B,[1]ModifierDes!$C:$C),3,_xlfn.XLOOKUP(C1183,[1]StuntDes!$B:$B,[1]StuntDes!$C:$C)),"")</f>
        <v>攻击格挡率增加{0}</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429</v>
      </c>
      <c r="D1184" t="s">
        <v>36</v>
      </c>
      <c r="E1184" t="s">
        <v>393</v>
      </c>
      <c r="G1184">
        <v>1</v>
      </c>
      <c r="H1184">
        <v>250</v>
      </c>
      <c r="J1184" cm="1">
        <f t="array" ref="J1184">_xlfn.SWITCH(B1184,1,75,2,61,3,49,4,37,5,25,6,13,7,4,8,1)</f>
        <v>25</v>
      </c>
      <c r="K1184" t="str" cm="1">
        <f t="array" ref="K1184">IFERROR(_xlfn.SWITCH(L1184,1,_xlfn.XLOOKUP(C1184,[1]AttributeName!$C:$C,[1]AttributeName!$I:$I),2,_xlfn.XLOOKUP(C1184,[1]ModifierDes!$B:$B,[1]ModifierDes!$C:$C),3,_xlfn.XLOOKUP(C1184,[1]StuntDes!$B:$B,[1]StuntDes!$C:$C)),"")</f>
        <v>攻击格挡率增加{0}</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429</v>
      </c>
      <c r="D1185" t="s">
        <v>36</v>
      </c>
      <c r="E1185" t="s">
        <v>393</v>
      </c>
      <c r="G1185">
        <v>1</v>
      </c>
      <c r="H1185">
        <v>250</v>
      </c>
      <c r="J1185" cm="1">
        <f t="array" ref="J1185">_xlfn.SWITCH(B1185,1,75,2,61,3,49,4,37,5,25,6,13,7,4,8,1)</f>
        <v>13</v>
      </c>
      <c r="K1185" t="str" cm="1">
        <f t="array" ref="K1185">IFERROR(_xlfn.SWITCH(L1185,1,_xlfn.XLOOKUP(C1185,[1]AttributeName!$C:$C,[1]AttributeName!$I:$I),2,_xlfn.XLOOKUP(C1185,[1]ModifierDes!$B:$B,[1]ModifierDes!$C:$C),3,_xlfn.XLOOKUP(C1185,[1]StuntDes!$B:$B,[1]StuntDes!$C:$C)),"")</f>
        <v>攻击格挡率增加{0}</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429</v>
      </c>
      <c r="D1186" t="s">
        <v>36</v>
      </c>
      <c r="E1186" t="s">
        <v>393</v>
      </c>
      <c r="G1186">
        <v>1</v>
      </c>
      <c r="H1186">
        <v>250</v>
      </c>
      <c r="J1186" cm="1">
        <f t="array" ref="J1186">_xlfn.SWITCH(B1186,1,75,2,61,3,49,4,37,5,25,6,13,7,4,8,1)</f>
        <v>4</v>
      </c>
      <c r="K1186" t="str" cm="1">
        <f t="array" ref="K1186">IFERROR(_xlfn.SWITCH(L1186,1,_xlfn.XLOOKUP(C1186,[1]AttributeName!$C:$C,[1]AttributeName!$I:$I),2,_xlfn.XLOOKUP(C1186,[1]ModifierDes!$B:$B,[1]ModifierDes!$C:$C),3,_xlfn.XLOOKUP(C1186,[1]StuntDes!$B:$B,[1]StuntDes!$C:$C)),"")</f>
        <v>攻击格挡率增加{0}</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429</v>
      </c>
      <c r="D1187" t="s">
        <v>36</v>
      </c>
      <c r="E1187" t="s">
        <v>393</v>
      </c>
      <c r="G1187">
        <v>1</v>
      </c>
      <c r="H1187">
        <v>250</v>
      </c>
      <c r="J1187" cm="1">
        <f t="array" ref="J1187">_xlfn.SWITCH(B1187,1,75,2,61,3,49,4,37,5,25,6,13,7,4,8,1)</f>
        <v>1</v>
      </c>
      <c r="K1187" t="str" cm="1">
        <f t="array" ref="K1187">IFERROR(_xlfn.SWITCH(L1187,1,_xlfn.XLOOKUP(C1187,[1]AttributeName!$C:$C,[1]AttributeName!$I:$I),2,_xlfn.XLOOKUP(C1187,[1]ModifierDes!$B:$B,[1]ModifierDes!$C:$C),3,_xlfn.XLOOKUP(C1187,[1]StuntDes!$B:$B,[1]StuntDes!$C:$C)),"")</f>
        <v>攻击格挡率增加{0}</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430</v>
      </c>
      <c r="D1188" t="s">
        <v>36</v>
      </c>
      <c r="E1188" t="s">
        <v>393</v>
      </c>
      <c r="G1188">
        <v>1</v>
      </c>
      <c r="H1188">
        <v>250</v>
      </c>
      <c r="J1188" cm="1">
        <f t="array" ref="J1188">_xlfn.SWITCH(B1188,1,75,2,61,3,49,4,37,5,25,6,13,7,4,8,1)</f>
        <v>75</v>
      </c>
      <c r="K1188" t="str" cm="1">
        <f t="array" ref="K1188">IFERROR(_xlfn.SWITCH(L1188,1,_xlfn.XLOOKUP(C1188,[1]AttributeName!$C:$C,[1]AttributeName!$I:$I),2,_xlfn.XLOOKUP(C1188,[1]ModifierDes!$B:$B,[1]ModifierDes!$C:$C),3,_xlfn.XLOOKUP(C1188,[1]StuntDes!$B:$B,[1]StuntDes!$C:$C)),"")</f>
        <v>法术格挡率增加{0}</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430</v>
      </c>
      <c r="D1189" t="s">
        <v>36</v>
      </c>
      <c r="E1189" t="s">
        <v>393</v>
      </c>
      <c r="G1189">
        <v>1</v>
      </c>
      <c r="H1189">
        <v>250</v>
      </c>
      <c r="J1189" cm="1">
        <f t="array" ref="J1189">_xlfn.SWITCH(B1189,1,75,2,61,3,49,4,37,5,25,6,13,7,4,8,1)</f>
        <v>61</v>
      </c>
      <c r="K1189" t="str" cm="1">
        <f t="array" ref="K1189">IFERROR(_xlfn.SWITCH(L1189,1,_xlfn.XLOOKUP(C1189,[1]AttributeName!$C:$C,[1]AttributeName!$I:$I),2,_xlfn.XLOOKUP(C1189,[1]ModifierDes!$B:$B,[1]ModifierDes!$C:$C),3,_xlfn.XLOOKUP(C1189,[1]StuntDes!$B:$B,[1]StuntDes!$C:$C)),"")</f>
        <v>法术格挡率增加{0}</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430</v>
      </c>
      <c r="D1190" t="s">
        <v>36</v>
      </c>
      <c r="E1190" t="s">
        <v>393</v>
      </c>
      <c r="G1190">
        <v>1</v>
      </c>
      <c r="H1190">
        <v>250</v>
      </c>
      <c r="J1190" cm="1">
        <f t="array" ref="J1190">_xlfn.SWITCH(B1190,1,75,2,61,3,49,4,37,5,25,6,13,7,4,8,1)</f>
        <v>49</v>
      </c>
      <c r="K1190" t="str" cm="1">
        <f t="array" ref="K1190">IFERROR(_xlfn.SWITCH(L1190,1,_xlfn.XLOOKUP(C1190,[1]AttributeName!$C:$C,[1]AttributeName!$I:$I),2,_xlfn.XLOOKUP(C1190,[1]ModifierDes!$B:$B,[1]ModifierDes!$C:$C),3,_xlfn.XLOOKUP(C1190,[1]StuntDes!$B:$B,[1]StuntDes!$C:$C)),"")</f>
        <v>法术格挡率增加{0}</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430</v>
      </c>
      <c r="D1191" t="s">
        <v>36</v>
      </c>
      <c r="E1191" t="s">
        <v>393</v>
      </c>
      <c r="G1191">
        <v>1</v>
      </c>
      <c r="H1191">
        <v>250</v>
      </c>
      <c r="J1191" cm="1">
        <f t="array" ref="J1191">_xlfn.SWITCH(B1191,1,75,2,61,3,49,4,37,5,25,6,13,7,4,8,1)</f>
        <v>37</v>
      </c>
      <c r="K1191" t="str" cm="1">
        <f t="array" ref="K1191">IFERROR(_xlfn.SWITCH(L1191,1,_xlfn.XLOOKUP(C1191,[1]AttributeName!$C:$C,[1]AttributeName!$I:$I),2,_xlfn.XLOOKUP(C1191,[1]ModifierDes!$B:$B,[1]ModifierDes!$C:$C),3,_xlfn.XLOOKUP(C1191,[1]StuntDes!$B:$B,[1]StuntDes!$C:$C)),"")</f>
        <v>法术格挡率增加{0}</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430</v>
      </c>
      <c r="D1192" t="s">
        <v>36</v>
      </c>
      <c r="E1192" t="s">
        <v>393</v>
      </c>
      <c r="G1192">
        <v>1</v>
      </c>
      <c r="H1192">
        <v>250</v>
      </c>
      <c r="J1192" cm="1">
        <f t="array" ref="J1192">_xlfn.SWITCH(B1192,1,75,2,61,3,49,4,37,5,25,6,13,7,4,8,1)</f>
        <v>25</v>
      </c>
      <c r="K1192" t="str" cm="1">
        <f t="array" ref="K1192">IFERROR(_xlfn.SWITCH(L1192,1,_xlfn.XLOOKUP(C1192,[1]AttributeName!$C:$C,[1]AttributeName!$I:$I),2,_xlfn.XLOOKUP(C1192,[1]ModifierDes!$B:$B,[1]ModifierDes!$C:$C),3,_xlfn.XLOOKUP(C1192,[1]StuntDes!$B:$B,[1]StuntDes!$C:$C)),"")</f>
        <v>法术格挡率增加{0}</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430</v>
      </c>
      <c r="D1193" t="s">
        <v>36</v>
      </c>
      <c r="E1193" t="s">
        <v>393</v>
      </c>
      <c r="G1193">
        <v>1</v>
      </c>
      <c r="H1193">
        <v>250</v>
      </c>
      <c r="J1193" cm="1">
        <f t="array" ref="J1193">_xlfn.SWITCH(B1193,1,75,2,61,3,49,4,37,5,25,6,13,7,4,8,1)</f>
        <v>13</v>
      </c>
      <c r="K1193" t="str" cm="1">
        <f t="array" ref="K1193">IFERROR(_xlfn.SWITCH(L1193,1,_xlfn.XLOOKUP(C1193,[1]AttributeName!$C:$C,[1]AttributeName!$I:$I),2,_xlfn.XLOOKUP(C1193,[1]ModifierDes!$B:$B,[1]ModifierDes!$C:$C),3,_xlfn.XLOOKUP(C1193,[1]StuntDes!$B:$B,[1]StuntDes!$C:$C)),"")</f>
        <v>法术格挡率增加{0}</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430</v>
      </c>
      <c r="D1194" t="s">
        <v>36</v>
      </c>
      <c r="E1194" t="s">
        <v>393</v>
      </c>
      <c r="G1194">
        <v>1</v>
      </c>
      <c r="H1194">
        <v>250</v>
      </c>
      <c r="J1194" cm="1">
        <f t="array" ref="J1194">_xlfn.SWITCH(B1194,1,75,2,61,3,49,4,37,5,25,6,13,7,4,8,1)</f>
        <v>4</v>
      </c>
      <c r="K1194" t="str" cm="1">
        <f t="array" ref="K1194">IFERROR(_xlfn.SWITCH(L1194,1,_xlfn.XLOOKUP(C1194,[1]AttributeName!$C:$C,[1]AttributeName!$I:$I),2,_xlfn.XLOOKUP(C1194,[1]ModifierDes!$B:$B,[1]ModifierDes!$C:$C),3,_xlfn.XLOOKUP(C1194,[1]StuntDes!$B:$B,[1]StuntDes!$C:$C)),"")</f>
        <v>法术格挡率增加{0}</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430</v>
      </c>
      <c r="D1195" t="s">
        <v>36</v>
      </c>
      <c r="E1195" t="s">
        <v>393</v>
      </c>
      <c r="G1195">
        <v>1</v>
      </c>
      <c r="H1195">
        <v>250</v>
      </c>
      <c r="J1195" cm="1">
        <f t="array" ref="J1195">_xlfn.SWITCH(B1195,1,75,2,61,3,49,4,37,5,25,6,13,7,4,8,1)</f>
        <v>1</v>
      </c>
      <c r="K1195" t="str" cm="1">
        <f t="array" ref="K1195">IFERROR(_xlfn.SWITCH(L1195,1,_xlfn.XLOOKUP(C1195,[1]AttributeName!$C:$C,[1]AttributeName!$I:$I),2,_xlfn.XLOOKUP(C1195,[1]ModifierDes!$B:$B,[1]ModifierDes!$C:$C),3,_xlfn.XLOOKUP(C1195,[1]StuntDes!$B:$B,[1]StuntDes!$C:$C)),"")</f>
        <v>法术格挡率增加{0}</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94</v>
      </c>
      <c r="D1196" t="s">
        <v>36</v>
      </c>
      <c r="E1196" t="s">
        <v>393</v>
      </c>
      <c r="F1196"/>
      <c r="G1196">
        <v>1</v>
      </c>
      <c r="H1196">
        <v>1000</v>
      </c>
      <c r="J1196" cm="1">
        <f t="array" ref="J1196">_xlfn.SWITCH(B1196,1,75,2,61,3,49,4,37,5,25,6,13,7,4,8,1)</f>
        <v>75</v>
      </c>
      <c r="K1196" t="str" cm="1">
        <f t="array" ref="K1196">IFERROR(_xlfn.SWITCH(L1196,1,_xlfn.XLOOKUP(C1196,[1]AttributeName!$C:$C,[1]AttributeName!$I:$I),2,_xlfn.XLOOKUP(C1196,[1]ModifierDes!$B:$B,[1]ModifierDes!$C:$C),3,_xlfn.XLOOKUP(C1196,[1]StuntDes!$B:$B,[1]StuntDes!$C:$C)),"")</f>
        <v>装备稀有度增加{0}</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94</v>
      </c>
      <c r="D1197" t="s">
        <v>36</v>
      </c>
      <c r="E1197" t="s">
        <v>393</v>
      </c>
      <c r="F1197"/>
      <c r="G1197">
        <v>1</v>
      </c>
      <c r="H1197">
        <v>1000</v>
      </c>
      <c r="J1197" cm="1">
        <f t="array" ref="J1197">_xlfn.SWITCH(B1197,1,75,2,61,3,49,4,37,5,25,6,13,7,4,8,1)</f>
        <v>61</v>
      </c>
      <c r="K1197" t="str" cm="1">
        <f t="array" ref="K1197">IFERROR(_xlfn.SWITCH(L1197,1,_xlfn.XLOOKUP(C1197,[1]AttributeName!$C:$C,[1]AttributeName!$I:$I),2,_xlfn.XLOOKUP(C1197,[1]ModifierDes!$B:$B,[1]ModifierDes!$C:$C),3,_xlfn.XLOOKUP(C1197,[1]StuntDes!$B:$B,[1]StuntDes!$C:$C)),"")</f>
        <v>装备稀有度增加{0}</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94</v>
      </c>
      <c r="D1198" t="s">
        <v>36</v>
      </c>
      <c r="E1198" t="s">
        <v>393</v>
      </c>
      <c r="F1198"/>
      <c r="G1198">
        <v>1</v>
      </c>
      <c r="H1198">
        <v>1000</v>
      </c>
      <c r="J1198" cm="1">
        <f t="array" ref="J1198">_xlfn.SWITCH(B1198,1,75,2,61,3,49,4,37,5,25,6,13,7,4,8,1)</f>
        <v>49</v>
      </c>
      <c r="K1198" t="str" cm="1">
        <f t="array" ref="K1198">IFERROR(_xlfn.SWITCH(L1198,1,_xlfn.XLOOKUP(C1198,[1]AttributeName!$C:$C,[1]AttributeName!$I:$I),2,_xlfn.XLOOKUP(C1198,[1]ModifierDes!$B:$B,[1]ModifierDes!$C:$C),3,_xlfn.XLOOKUP(C1198,[1]StuntDes!$B:$B,[1]StuntDes!$C:$C)),"")</f>
        <v>装备稀有度增加{0}</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94</v>
      </c>
      <c r="D1199" t="s">
        <v>36</v>
      </c>
      <c r="E1199" t="s">
        <v>393</v>
      </c>
      <c r="F1199"/>
      <c r="G1199">
        <v>1</v>
      </c>
      <c r="H1199">
        <v>1000</v>
      </c>
      <c r="J1199" cm="1">
        <f t="array" ref="J1199">_xlfn.SWITCH(B1199,1,75,2,61,3,49,4,37,5,25,6,13,7,4,8,1)</f>
        <v>37</v>
      </c>
      <c r="K1199" t="str" cm="1">
        <f t="array" ref="K1199">IFERROR(_xlfn.SWITCH(L1199,1,_xlfn.XLOOKUP(C1199,[1]AttributeName!$C:$C,[1]AttributeName!$I:$I),2,_xlfn.XLOOKUP(C1199,[1]ModifierDes!$B:$B,[1]ModifierDes!$C:$C),3,_xlfn.XLOOKUP(C1199,[1]StuntDes!$B:$B,[1]StuntDes!$C:$C)),"")</f>
        <v>装备稀有度增加{0}</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94</v>
      </c>
      <c r="D1200" t="s">
        <v>36</v>
      </c>
      <c r="E1200" t="s">
        <v>393</v>
      </c>
      <c r="F1200"/>
      <c r="G1200">
        <v>1</v>
      </c>
      <c r="H1200">
        <v>1000</v>
      </c>
      <c r="J1200" cm="1">
        <f t="array" ref="J1200">_xlfn.SWITCH(B1200,1,75,2,61,3,49,4,37,5,25,6,13,7,4,8,1)</f>
        <v>25</v>
      </c>
      <c r="K1200" t="str" cm="1">
        <f t="array" ref="K1200">IFERROR(_xlfn.SWITCH(L1200,1,_xlfn.XLOOKUP(C1200,[1]AttributeName!$C:$C,[1]AttributeName!$I:$I),2,_xlfn.XLOOKUP(C1200,[1]ModifierDes!$B:$B,[1]ModifierDes!$C:$C),3,_xlfn.XLOOKUP(C1200,[1]StuntDes!$B:$B,[1]StuntDes!$C:$C)),"")</f>
        <v>装备稀有度增加{0}</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94</v>
      </c>
      <c r="D1201" t="s">
        <v>36</v>
      </c>
      <c r="E1201" t="s">
        <v>393</v>
      </c>
      <c r="F1201"/>
      <c r="G1201">
        <v>1</v>
      </c>
      <c r="H1201">
        <v>1000</v>
      </c>
      <c r="J1201" cm="1">
        <f t="array" ref="J1201">_xlfn.SWITCH(B1201,1,75,2,61,3,49,4,37,5,25,6,13,7,4,8,1)</f>
        <v>13</v>
      </c>
      <c r="K1201" t="str" cm="1">
        <f t="array" ref="K1201">IFERROR(_xlfn.SWITCH(L1201,1,_xlfn.XLOOKUP(C1201,[1]AttributeName!$C:$C,[1]AttributeName!$I:$I),2,_xlfn.XLOOKUP(C1201,[1]ModifierDes!$B:$B,[1]ModifierDes!$C:$C),3,_xlfn.XLOOKUP(C1201,[1]StuntDes!$B:$B,[1]StuntDes!$C:$C)),"")</f>
        <v>装备稀有度增加{0}</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94</v>
      </c>
      <c r="D1202" t="s">
        <v>36</v>
      </c>
      <c r="E1202" t="s">
        <v>393</v>
      </c>
      <c r="F1202"/>
      <c r="G1202">
        <v>1</v>
      </c>
      <c r="H1202">
        <v>1000</v>
      </c>
      <c r="J1202" cm="1">
        <f t="array" ref="J1202">_xlfn.SWITCH(B1202,1,75,2,61,3,49,4,37,5,25,6,13,7,4,8,1)</f>
        <v>4</v>
      </c>
      <c r="K1202" t="str" cm="1">
        <f t="array" ref="K1202">IFERROR(_xlfn.SWITCH(L1202,1,_xlfn.XLOOKUP(C1202,[1]AttributeName!$C:$C,[1]AttributeName!$I:$I),2,_xlfn.XLOOKUP(C1202,[1]ModifierDes!$B:$B,[1]ModifierDes!$C:$C),3,_xlfn.XLOOKUP(C1202,[1]StuntDes!$B:$B,[1]StuntDes!$C:$C)),"")</f>
        <v>装备稀有度增加{0}</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94</v>
      </c>
      <c r="D1203" t="s">
        <v>36</v>
      </c>
      <c r="E1203" t="s">
        <v>393</v>
      </c>
      <c r="F1203"/>
      <c r="G1203">
        <v>1</v>
      </c>
      <c r="H1203">
        <v>1000</v>
      </c>
      <c r="J1203" cm="1">
        <f t="array" ref="J1203">_xlfn.SWITCH(B1203,1,75,2,61,3,49,4,37,5,25,6,13,7,4,8,1)</f>
        <v>1</v>
      </c>
      <c r="K1203" t="str" cm="1">
        <f t="array" ref="K1203">IFERROR(_xlfn.SWITCH(L1203,1,_xlfn.XLOOKUP(C1203,[1]AttributeName!$C:$C,[1]AttributeName!$I:$I),2,_xlfn.XLOOKUP(C1203,[1]ModifierDes!$B:$B,[1]ModifierDes!$C:$C),3,_xlfn.XLOOKUP(C1203,[1]StuntDes!$B:$B,[1]StuntDes!$C:$C)),"")</f>
        <v>装备稀有度增加{0}</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403</v>
      </c>
      <c r="D1204" t="s">
        <v>36</v>
      </c>
      <c r="E1204" t="s">
        <v>393</v>
      </c>
      <c r="F1204"/>
      <c r="G1204">
        <v>1</v>
      </c>
      <c r="H1204">
        <v>1000</v>
      </c>
      <c r="J1204" cm="1">
        <f t="array" ref="J1204">_xlfn.SWITCH(B1204,1,75,2,61,3,49,4,37,5,25,6,13,7,4,8,1)</f>
        <v>75</v>
      </c>
      <c r="K1204" t="str" cm="1">
        <f t="array" ref="K1204">IFERROR(_xlfn.SWITCH(L1204,1,_xlfn.XLOOKUP(C1204,[1]AttributeName!$C:$C,[1]AttributeName!$I:$I),2,_xlfn.XLOOKUP(C1204,[1]ModifierDes!$B:$B,[1]ModifierDes!$C:$C),3,_xlfn.XLOOKUP(C1204,[1]StuntDes!$B:$B,[1]StuntDes!$C:$C)),"")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403</v>
      </c>
      <c r="D1205" t="s">
        <v>36</v>
      </c>
      <c r="E1205" t="s">
        <v>393</v>
      </c>
      <c r="F1205"/>
      <c r="G1205">
        <v>1</v>
      </c>
      <c r="H1205">
        <v>1000</v>
      </c>
      <c r="I1205">
        <v>3</v>
      </c>
      <c r="J1205" cm="1">
        <f t="array" ref="J1205">_xlfn.SWITCH(B1205,1,75,2,61,3,49,4,37,5,25,6,13,7,4,8,1)</f>
        <v>61</v>
      </c>
      <c r="K1205" t="str" cm="1">
        <f t="array" ref="K1205">IFERROR(_xlfn.SWITCH(L1205,1,_xlfn.XLOOKUP(C1205,[1]AttributeName!$C:$C,[1]AttributeName!$I:$I),2,_xlfn.XLOOKUP(C1205,[1]ModifierDes!$B:$B,[1]ModifierDes!$C:$C),3,_xlfn.XLOOKUP(C1205,[1]StuntDes!$B:$B,[1]StuntDes!$C:$C)),"")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403</v>
      </c>
      <c r="D1206" t="s">
        <v>36</v>
      </c>
      <c r="E1206" t="s">
        <v>393</v>
      </c>
      <c r="F1206"/>
      <c r="G1206">
        <v>1</v>
      </c>
      <c r="H1206">
        <v>1000</v>
      </c>
      <c r="I1206">
        <v>3</v>
      </c>
      <c r="J1206" cm="1">
        <f t="array" ref="J1206">_xlfn.SWITCH(B1206,1,75,2,61,3,49,4,37,5,25,6,13,7,4,8,1)</f>
        <v>49</v>
      </c>
      <c r="K1206" t="str" cm="1">
        <f t="array" ref="K1206">IFERROR(_xlfn.SWITCH(L1206,1,_xlfn.XLOOKUP(C1206,[1]AttributeName!$C:$C,[1]AttributeName!$I:$I),2,_xlfn.XLOOKUP(C1206,[1]ModifierDes!$B:$B,[1]ModifierDes!$C:$C),3,_xlfn.XLOOKUP(C1206,[1]StuntDes!$B:$B,[1]StuntDes!$C:$C)),"")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403</v>
      </c>
      <c r="D1207" t="s">
        <v>36</v>
      </c>
      <c r="E1207" t="s">
        <v>393</v>
      </c>
      <c r="F1207"/>
      <c r="G1207">
        <v>1</v>
      </c>
      <c r="H1207">
        <v>1000</v>
      </c>
      <c r="I1207">
        <v>3</v>
      </c>
      <c r="J1207" cm="1">
        <f t="array" ref="J1207">_xlfn.SWITCH(B1207,1,75,2,61,3,49,4,37,5,25,6,13,7,4,8,1)</f>
        <v>37</v>
      </c>
      <c r="K1207" t="str" cm="1">
        <f t="array" ref="K1207">IFERROR(_xlfn.SWITCH(L1207,1,_xlfn.XLOOKUP(C1207,[1]AttributeName!$C:$C,[1]AttributeName!$I:$I),2,_xlfn.XLOOKUP(C1207,[1]ModifierDes!$B:$B,[1]ModifierDes!$C:$C),3,_xlfn.XLOOKUP(C1207,[1]StuntDes!$B:$B,[1]StuntDes!$C:$C)),"")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403</v>
      </c>
      <c r="D1208" t="s">
        <v>36</v>
      </c>
      <c r="E1208" t="s">
        <v>393</v>
      </c>
      <c r="F1208"/>
      <c r="G1208">
        <v>1</v>
      </c>
      <c r="H1208">
        <v>1000</v>
      </c>
      <c r="I1208">
        <v>3</v>
      </c>
      <c r="J1208" cm="1">
        <f t="array" ref="J1208">_xlfn.SWITCH(B1208,1,75,2,61,3,49,4,37,5,25,6,13,7,4,8,1)</f>
        <v>25</v>
      </c>
      <c r="K1208" t="str" cm="1">
        <f t="array" ref="K1208">IFERROR(_xlfn.SWITCH(L1208,1,_xlfn.XLOOKUP(C1208,[1]AttributeName!$C:$C,[1]AttributeName!$I:$I),2,_xlfn.XLOOKUP(C1208,[1]ModifierDes!$B:$B,[1]ModifierDes!$C:$C),3,_xlfn.XLOOKUP(C1208,[1]StuntDes!$B:$B,[1]StuntDes!$C:$C)),"")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403</v>
      </c>
      <c r="D1209" t="s">
        <v>36</v>
      </c>
      <c r="E1209" t="s">
        <v>393</v>
      </c>
      <c r="F1209"/>
      <c r="G1209">
        <v>1</v>
      </c>
      <c r="H1209">
        <v>1000</v>
      </c>
      <c r="I1209">
        <v>3</v>
      </c>
      <c r="J1209" cm="1">
        <f t="array" ref="J1209">_xlfn.SWITCH(B1209,1,75,2,61,3,49,4,37,5,25,6,13,7,4,8,1)</f>
        <v>13</v>
      </c>
      <c r="K1209" t="str" cm="1">
        <f t="array" ref="K1209">IFERROR(_xlfn.SWITCH(L1209,1,_xlfn.XLOOKUP(C1209,[1]AttributeName!$C:$C,[1]AttributeName!$I:$I),2,_xlfn.XLOOKUP(C1209,[1]ModifierDes!$B:$B,[1]ModifierDes!$C:$C),3,_xlfn.XLOOKUP(C1209,[1]StuntDes!$B:$B,[1]StuntDes!$C:$C)),"")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403</v>
      </c>
      <c r="D1210" t="s">
        <v>36</v>
      </c>
      <c r="E1210" t="s">
        <v>393</v>
      </c>
      <c r="F1210"/>
      <c r="G1210">
        <v>1</v>
      </c>
      <c r="H1210">
        <v>1000</v>
      </c>
      <c r="I1210">
        <v>3</v>
      </c>
      <c r="J1210" cm="1">
        <f t="array" ref="J1210">_xlfn.SWITCH(B1210,1,75,2,61,3,49,4,37,5,25,6,13,7,4,8,1)</f>
        <v>4</v>
      </c>
      <c r="K1210" t="str" cm="1">
        <f t="array" ref="K1210">IFERROR(_xlfn.SWITCH(L1210,1,_xlfn.XLOOKUP(C1210,[1]AttributeName!$C:$C,[1]AttributeName!$I:$I),2,_xlfn.XLOOKUP(C1210,[1]ModifierDes!$B:$B,[1]ModifierDes!$C:$C),3,_xlfn.XLOOKUP(C1210,[1]StuntDes!$B:$B,[1]StuntDes!$C:$C)),"")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403</v>
      </c>
      <c r="D1211" t="s">
        <v>36</v>
      </c>
      <c r="E1211" t="s">
        <v>393</v>
      </c>
      <c r="F1211"/>
      <c r="G1211">
        <v>1</v>
      </c>
      <c r="H1211">
        <v>1000</v>
      </c>
      <c r="I1211">
        <v>3</v>
      </c>
      <c r="J1211" cm="1">
        <f t="array" ref="J1211">_xlfn.SWITCH(B1211,1,75,2,61,3,49,4,37,5,25,6,13,7,4,8,1)</f>
        <v>1</v>
      </c>
      <c r="K1211" t="str" cm="1">
        <f t="array" ref="K1211">IFERROR(_xlfn.SWITCH(L1211,1,_xlfn.XLOOKUP(C1211,[1]AttributeName!$C:$C,[1]AttributeName!$I:$I),2,_xlfn.XLOOKUP(C1211,[1]ModifierDes!$B:$B,[1]ModifierDes!$C:$C),3,_xlfn.XLOOKUP(C1211,[1]StuntDes!$B:$B,[1]StuntDes!$C:$C)),"")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444</v>
      </c>
      <c r="D1212" t="s">
        <v>36</v>
      </c>
      <c r="E1212" t="s">
        <v>393</v>
      </c>
      <c r="F1212"/>
      <c r="G1212">
        <v>1</v>
      </c>
      <c r="H1212">
        <v>1000</v>
      </c>
      <c r="I1212">
        <v>3</v>
      </c>
      <c r="J1212" cm="1">
        <f t="array" ref="J1212">_xlfn.SWITCH(B1212,1,75,2,61,3,49,4,37,5,25,6,13,7,4,8,1)</f>
        <v>75</v>
      </c>
      <c r="K1212" t="str" cm="1">
        <f t="array" ref="K1212">IFERROR(_xlfn.SWITCH(L1212,1,_xlfn.XLOOKUP(C1212,[1]AttributeName!$C:$C,[1]AttributeName!$I:$I),2,_xlfn.XLOOKUP(C1212,[1]ModifierDes!$B:$B,[1]ModifierDes!$C:$C),3,_xlfn.XLOOKUP(C1212,[1]StuntDes!$B:$B,[1]StuntDes!$C:$C)),"")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444</v>
      </c>
      <c r="D1213" t="s">
        <v>36</v>
      </c>
      <c r="E1213" t="s">
        <v>393</v>
      </c>
      <c r="F1213"/>
      <c r="G1213">
        <v>1</v>
      </c>
      <c r="H1213">
        <v>1000</v>
      </c>
      <c r="I1213">
        <v>3</v>
      </c>
      <c r="J1213" cm="1">
        <f t="array" ref="J1213">_xlfn.SWITCH(B1213,1,75,2,61,3,49,4,37,5,25,6,13,7,4,8,1)</f>
        <v>61</v>
      </c>
      <c r="K1213" t="str" cm="1">
        <f t="array" ref="K1213">IFERROR(_xlfn.SWITCH(L1213,1,_xlfn.XLOOKUP(C1213,[1]AttributeName!$C:$C,[1]AttributeName!$I:$I),2,_xlfn.XLOOKUP(C1213,[1]ModifierDes!$B:$B,[1]ModifierDes!$C:$C),3,_xlfn.XLOOKUP(C1213,[1]StuntDes!$B:$B,[1]StuntDes!$C:$C)),"")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444</v>
      </c>
      <c r="D1214" t="s">
        <v>36</v>
      </c>
      <c r="E1214" t="s">
        <v>393</v>
      </c>
      <c r="F1214"/>
      <c r="G1214">
        <v>1</v>
      </c>
      <c r="H1214">
        <v>1000</v>
      </c>
      <c r="I1214">
        <v>3</v>
      </c>
      <c r="J1214" cm="1">
        <f t="array" ref="J1214">_xlfn.SWITCH(B1214,1,75,2,61,3,49,4,37,5,25,6,13,7,4,8,1)</f>
        <v>49</v>
      </c>
      <c r="K1214" t="str" cm="1">
        <f t="array" ref="K1214">IFERROR(_xlfn.SWITCH(L1214,1,_xlfn.XLOOKUP(C1214,[1]AttributeName!$C:$C,[1]AttributeName!$I:$I),2,_xlfn.XLOOKUP(C1214,[1]ModifierDes!$B:$B,[1]ModifierDes!$C:$C),3,_xlfn.XLOOKUP(C1214,[1]StuntDes!$B:$B,[1]StuntDes!$C:$C)),"")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444</v>
      </c>
      <c r="D1215" t="s">
        <v>36</v>
      </c>
      <c r="E1215" t="s">
        <v>393</v>
      </c>
      <c r="F1215"/>
      <c r="G1215">
        <v>1</v>
      </c>
      <c r="H1215">
        <v>1000</v>
      </c>
      <c r="I1215">
        <v>3</v>
      </c>
      <c r="J1215" cm="1">
        <f t="array" ref="J1215">_xlfn.SWITCH(B1215,1,75,2,61,3,49,4,37,5,25,6,13,7,4,8,1)</f>
        <v>37</v>
      </c>
      <c r="K1215" t="str" cm="1">
        <f t="array" ref="K1215">IFERROR(_xlfn.SWITCH(L1215,1,_xlfn.XLOOKUP(C1215,[1]AttributeName!$C:$C,[1]AttributeName!$I:$I),2,_xlfn.XLOOKUP(C1215,[1]ModifierDes!$B:$B,[1]ModifierDes!$C:$C),3,_xlfn.XLOOKUP(C1215,[1]StuntDes!$B:$B,[1]StuntDes!$C:$C)),"")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444</v>
      </c>
      <c r="D1216" t="s">
        <v>36</v>
      </c>
      <c r="E1216" t="s">
        <v>393</v>
      </c>
      <c r="F1216"/>
      <c r="G1216">
        <v>1</v>
      </c>
      <c r="H1216">
        <v>1000</v>
      </c>
      <c r="I1216">
        <v>3</v>
      </c>
      <c r="J1216" cm="1">
        <f t="array" ref="J1216">_xlfn.SWITCH(B1216,1,75,2,61,3,49,4,37,5,25,6,13,7,4,8,1)</f>
        <v>25</v>
      </c>
      <c r="K1216" t="str" cm="1">
        <f t="array" ref="K1216">IFERROR(_xlfn.SWITCH(L1216,1,_xlfn.XLOOKUP(C1216,[1]AttributeName!$C:$C,[1]AttributeName!$I:$I),2,_xlfn.XLOOKUP(C1216,[1]ModifierDes!$B:$B,[1]ModifierDes!$C:$C),3,_xlfn.XLOOKUP(C1216,[1]StuntDes!$B:$B,[1]StuntDes!$C:$C)),"")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444</v>
      </c>
      <c r="D1217" t="s">
        <v>36</v>
      </c>
      <c r="E1217" t="s">
        <v>393</v>
      </c>
      <c r="F1217"/>
      <c r="G1217">
        <v>1</v>
      </c>
      <c r="H1217">
        <v>1000</v>
      </c>
      <c r="I1217">
        <v>3</v>
      </c>
      <c r="J1217" cm="1">
        <f t="array" ref="J1217">_xlfn.SWITCH(B1217,1,75,2,61,3,49,4,37,5,25,6,13,7,4,8,1)</f>
        <v>13</v>
      </c>
      <c r="K1217" t="str" cm="1">
        <f t="array" ref="K1217">IFERROR(_xlfn.SWITCH(L1217,1,_xlfn.XLOOKUP(C1217,[1]AttributeName!$C:$C,[1]AttributeName!$I:$I),2,_xlfn.XLOOKUP(C1217,[1]ModifierDes!$B:$B,[1]ModifierDes!$C:$C),3,_xlfn.XLOOKUP(C1217,[1]StuntDes!$B:$B,[1]StuntDes!$C:$C)),"")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444</v>
      </c>
      <c r="D1218" t="s">
        <v>36</v>
      </c>
      <c r="E1218" t="s">
        <v>393</v>
      </c>
      <c r="F1218"/>
      <c r="G1218">
        <v>1</v>
      </c>
      <c r="H1218">
        <v>1000</v>
      </c>
      <c r="I1218">
        <v>3</v>
      </c>
      <c r="J1218" cm="1">
        <f t="array" ref="J1218">_xlfn.SWITCH(B1218,1,75,2,61,3,49,4,37,5,25,6,13,7,4,8,1)</f>
        <v>4</v>
      </c>
      <c r="K1218" t="str" cm="1">
        <f t="array" ref="K1218">IFERROR(_xlfn.SWITCH(L1218,1,_xlfn.XLOOKUP(C1218,[1]AttributeName!$C:$C,[1]AttributeName!$I:$I),2,_xlfn.XLOOKUP(C1218,[1]ModifierDes!$B:$B,[1]ModifierDes!$C:$C),3,_xlfn.XLOOKUP(C1218,[1]StuntDes!$B:$B,[1]StuntDes!$C:$C)),"")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444</v>
      </c>
      <c r="D1219" t="s">
        <v>36</v>
      </c>
      <c r="E1219" t="s">
        <v>393</v>
      </c>
      <c r="F1219"/>
      <c r="G1219">
        <v>1</v>
      </c>
      <c r="H1219">
        <v>1000</v>
      </c>
      <c r="I1219">
        <v>3</v>
      </c>
      <c r="J1219" cm="1">
        <f t="array" ref="J1219">_xlfn.SWITCH(B1219,1,75,2,61,3,49,4,37,5,25,6,13,7,4,8,1)</f>
        <v>1</v>
      </c>
      <c r="K1219" t="str" cm="1">
        <f t="array" ref="K1219">IFERROR(_xlfn.SWITCH(L1219,1,_xlfn.XLOOKUP(C1219,[1]AttributeName!$C:$C,[1]AttributeName!$I:$I),2,_xlfn.XLOOKUP(C1219,[1]ModifierDes!$B:$B,[1]ModifierDes!$C:$C),3,_xlfn.XLOOKUP(C1219,[1]StuntDes!$B:$B,[1]StuntDes!$C:$C)),"")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437</v>
      </c>
      <c r="D1220" t="s">
        <v>36</v>
      </c>
      <c r="E1220" t="s">
        <v>410</v>
      </c>
      <c r="F1220"/>
      <c r="G1220">
        <v>2</v>
      </c>
      <c r="H1220">
        <v>1000</v>
      </c>
      <c r="J1220" cm="1">
        <f t="array" ref="J1220">_xlfn.SWITCH(B1220,1,75,2,61,3,49,4,37,5,25,6,13,7,4,8,1)</f>
        <v>75</v>
      </c>
      <c r="K1220" t="str" cm="1">
        <f t="array" ref="K1220">IFERROR(_xlfn.SWITCH(L1220,1,_xlfn.XLOOKUP(C1220,[1]AttributeName!$C:$C,[1]AttributeName!$I:$I),2,_xlfn.XLOOKUP(C1220,[1]ModifierDes!$B:$B,[1]ModifierDes!$C:$C),3,_xlfn.XLOOKUP(C1220,[1]StuntDes!$B:$B,[1]StuntDes!$C:$C)),"")</f>
        <v>物理抗性增加{0}</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437</v>
      </c>
      <c r="D1221" t="s">
        <v>36</v>
      </c>
      <c r="E1221" t="s">
        <v>410</v>
      </c>
      <c r="F1221"/>
      <c r="G1221">
        <v>2</v>
      </c>
      <c r="H1221">
        <v>1000</v>
      </c>
      <c r="J1221" cm="1">
        <f t="array" ref="J1221">_xlfn.SWITCH(B1221,1,75,2,61,3,49,4,37,5,25,6,13,7,4,8,1)</f>
        <v>61</v>
      </c>
      <c r="K1221" t="str" cm="1">
        <f t="array" ref="K1221">IFERROR(_xlfn.SWITCH(L1221,1,_xlfn.XLOOKUP(C1221,[1]AttributeName!$C:$C,[1]AttributeName!$I:$I),2,_xlfn.XLOOKUP(C1221,[1]ModifierDes!$B:$B,[1]ModifierDes!$C:$C),3,_xlfn.XLOOKUP(C1221,[1]StuntDes!$B:$B,[1]StuntDes!$C:$C)),"")</f>
        <v>物理抗性增加{0}</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437</v>
      </c>
      <c r="D1222" t="s">
        <v>36</v>
      </c>
      <c r="E1222" t="s">
        <v>410</v>
      </c>
      <c r="F1222"/>
      <c r="G1222">
        <v>2</v>
      </c>
      <c r="H1222">
        <v>1000</v>
      </c>
      <c r="J1222" cm="1">
        <f t="array" ref="J1222">_xlfn.SWITCH(B1222,1,75,2,61,3,49,4,37,5,25,6,13,7,4,8,1)</f>
        <v>49</v>
      </c>
      <c r="K1222" t="str" cm="1">
        <f t="array" ref="K1222">IFERROR(_xlfn.SWITCH(L1222,1,_xlfn.XLOOKUP(C1222,[1]AttributeName!$C:$C,[1]AttributeName!$I:$I),2,_xlfn.XLOOKUP(C1222,[1]ModifierDes!$B:$B,[1]ModifierDes!$C:$C),3,_xlfn.XLOOKUP(C1222,[1]StuntDes!$B:$B,[1]StuntDes!$C:$C)),"")</f>
        <v>物理抗性增加{0}</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437</v>
      </c>
      <c r="D1223" t="s">
        <v>36</v>
      </c>
      <c r="E1223" t="s">
        <v>410</v>
      </c>
      <c r="F1223"/>
      <c r="G1223">
        <v>2</v>
      </c>
      <c r="H1223">
        <v>1000</v>
      </c>
      <c r="J1223" cm="1">
        <f t="array" ref="J1223">_xlfn.SWITCH(B1223,1,75,2,61,3,49,4,37,5,25,6,13,7,4,8,1)</f>
        <v>37</v>
      </c>
      <c r="K1223" t="str" cm="1">
        <f t="array" ref="K1223">IFERROR(_xlfn.SWITCH(L1223,1,_xlfn.XLOOKUP(C1223,[1]AttributeName!$C:$C,[1]AttributeName!$I:$I),2,_xlfn.XLOOKUP(C1223,[1]ModifierDes!$B:$B,[1]ModifierDes!$C:$C),3,_xlfn.XLOOKUP(C1223,[1]StuntDes!$B:$B,[1]StuntDes!$C:$C)),"")</f>
        <v>物理抗性增加{0}</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437</v>
      </c>
      <c r="D1224" t="s">
        <v>36</v>
      </c>
      <c r="E1224" t="s">
        <v>410</v>
      </c>
      <c r="F1224"/>
      <c r="G1224">
        <v>2</v>
      </c>
      <c r="H1224">
        <v>1000</v>
      </c>
      <c r="J1224" cm="1">
        <f t="array" ref="J1224">_xlfn.SWITCH(B1224,1,75,2,61,3,49,4,37,5,25,6,13,7,4,8,1)</f>
        <v>25</v>
      </c>
      <c r="K1224" t="str" cm="1">
        <f t="array" ref="K1224">IFERROR(_xlfn.SWITCH(L1224,1,_xlfn.XLOOKUP(C1224,[1]AttributeName!$C:$C,[1]AttributeName!$I:$I),2,_xlfn.XLOOKUP(C1224,[1]ModifierDes!$B:$B,[1]ModifierDes!$C:$C),3,_xlfn.XLOOKUP(C1224,[1]StuntDes!$B:$B,[1]StuntDes!$C:$C)),"")</f>
        <v>物理抗性增加{0}</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437</v>
      </c>
      <c r="D1225" t="s">
        <v>36</v>
      </c>
      <c r="E1225" t="s">
        <v>410</v>
      </c>
      <c r="F1225"/>
      <c r="G1225">
        <v>2</v>
      </c>
      <c r="H1225">
        <v>1000</v>
      </c>
      <c r="J1225" cm="1">
        <f t="array" ref="J1225">_xlfn.SWITCH(B1225,1,75,2,61,3,49,4,37,5,25,6,13,7,4,8,1)</f>
        <v>13</v>
      </c>
      <c r="K1225" t="str" cm="1">
        <f t="array" ref="K1225">IFERROR(_xlfn.SWITCH(L1225,1,_xlfn.XLOOKUP(C1225,[1]AttributeName!$C:$C,[1]AttributeName!$I:$I),2,_xlfn.XLOOKUP(C1225,[1]ModifierDes!$B:$B,[1]ModifierDes!$C:$C),3,_xlfn.XLOOKUP(C1225,[1]StuntDes!$B:$B,[1]StuntDes!$C:$C)),"")</f>
        <v>物理抗性增加{0}</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437</v>
      </c>
      <c r="D1226" t="s">
        <v>36</v>
      </c>
      <c r="E1226" t="s">
        <v>410</v>
      </c>
      <c r="F1226"/>
      <c r="G1226">
        <v>2</v>
      </c>
      <c r="H1226">
        <v>1000</v>
      </c>
      <c r="J1226" cm="1">
        <f t="array" ref="J1226">_xlfn.SWITCH(B1226,1,75,2,61,3,49,4,37,5,25,6,13,7,4,8,1)</f>
        <v>4</v>
      </c>
      <c r="K1226" t="str" cm="1">
        <f t="array" ref="K1226">IFERROR(_xlfn.SWITCH(L1226,1,_xlfn.XLOOKUP(C1226,[1]AttributeName!$C:$C,[1]AttributeName!$I:$I),2,_xlfn.XLOOKUP(C1226,[1]ModifierDes!$B:$B,[1]ModifierDes!$C:$C),3,_xlfn.XLOOKUP(C1226,[1]StuntDes!$B:$B,[1]StuntDes!$C:$C)),"")</f>
        <v>物理抗性增加{0}</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437</v>
      </c>
      <c r="D1227" t="s">
        <v>36</v>
      </c>
      <c r="E1227" t="s">
        <v>410</v>
      </c>
      <c r="F1227"/>
      <c r="G1227">
        <v>2</v>
      </c>
      <c r="H1227">
        <v>1000</v>
      </c>
      <c r="J1227" cm="1">
        <f t="array" ref="J1227">_xlfn.SWITCH(B1227,1,75,2,61,3,49,4,37,5,25,6,13,7,4,8,1)</f>
        <v>1</v>
      </c>
      <c r="K1227" t="str" cm="1">
        <f t="array" ref="K1227">IFERROR(_xlfn.SWITCH(L1227,1,_xlfn.XLOOKUP(C1227,[1]AttributeName!$C:$C,[1]AttributeName!$I:$I),2,_xlfn.XLOOKUP(C1227,[1]ModifierDes!$B:$B,[1]ModifierDes!$C:$C),3,_xlfn.XLOOKUP(C1227,[1]StuntDes!$B:$B,[1]StuntDes!$C:$C)),"")</f>
        <v>物理抗性增加{0}</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438</v>
      </c>
      <c r="D1228" t="s">
        <v>36</v>
      </c>
      <c r="E1228" t="s">
        <v>410</v>
      </c>
      <c r="F1228"/>
      <c r="G1228">
        <v>2</v>
      </c>
      <c r="H1228">
        <v>1000</v>
      </c>
      <c r="J1228" cm="1">
        <f t="array" ref="J1228">_xlfn.SWITCH(B1228,1,75,2,61,3,49,4,37,5,25,6,13,7,4,8,1)</f>
        <v>75</v>
      </c>
      <c r="K1228" t="str" cm="1">
        <f t="array" ref="K1228">IFERROR(_xlfn.SWITCH(L1228,1,_xlfn.XLOOKUP(C1228,[1]AttributeName!$C:$C,[1]AttributeName!$I:$I),2,_xlfn.XLOOKUP(C1228,[1]ModifierDes!$B:$B,[1]ModifierDes!$C:$C),3,_xlfn.XLOOKUP(C1228,[1]StuntDes!$B:$B,[1]StuntDes!$C:$C)),"")</f>
        <v>火焰抗性增加{0}</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438</v>
      </c>
      <c r="D1229" t="s">
        <v>36</v>
      </c>
      <c r="E1229" t="s">
        <v>410</v>
      </c>
      <c r="F1229"/>
      <c r="G1229">
        <v>2</v>
      </c>
      <c r="H1229">
        <v>1000</v>
      </c>
      <c r="J1229" cm="1">
        <f t="array" ref="J1229">_xlfn.SWITCH(B1229,1,75,2,61,3,49,4,37,5,25,6,13,7,4,8,1)</f>
        <v>61</v>
      </c>
      <c r="K1229" t="str" cm="1">
        <f t="array" ref="K1229">IFERROR(_xlfn.SWITCH(L1229,1,_xlfn.XLOOKUP(C1229,[1]AttributeName!$C:$C,[1]AttributeName!$I:$I),2,_xlfn.XLOOKUP(C1229,[1]ModifierDes!$B:$B,[1]ModifierDes!$C:$C),3,_xlfn.XLOOKUP(C1229,[1]StuntDes!$B:$B,[1]StuntDes!$C:$C)),"")</f>
        <v>火焰抗性增加{0}</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438</v>
      </c>
      <c r="D1230" t="s">
        <v>36</v>
      </c>
      <c r="E1230" t="s">
        <v>410</v>
      </c>
      <c r="F1230"/>
      <c r="G1230">
        <v>2</v>
      </c>
      <c r="H1230">
        <v>1000</v>
      </c>
      <c r="J1230" cm="1">
        <f t="array" ref="J1230">_xlfn.SWITCH(B1230,1,75,2,61,3,49,4,37,5,25,6,13,7,4,8,1)</f>
        <v>49</v>
      </c>
      <c r="K1230" t="str" cm="1">
        <f t="array" ref="K1230">IFERROR(_xlfn.SWITCH(L1230,1,_xlfn.XLOOKUP(C1230,[1]AttributeName!$C:$C,[1]AttributeName!$I:$I),2,_xlfn.XLOOKUP(C1230,[1]ModifierDes!$B:$B,[1]ModifierDes!$C:$C),3,_xlfn.XLOOKUP(C1230,[1]StuntDes!$B:$B,[1]StuntDes!$C:$C)),"")</f>
        <v>火焰抗性增加{0}</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438</v>
      </c>
      <c r="D1231" t="s">
        <v>36</v>
      </c>
      <c r="E1231" t="s">
        <v>410</v>
      </c>
      <c r="F1231"/>
      <c r="G1231">
        <v>2</v>
      </c>
      <c r="H1231">
        <v>1000</v>
      </c>
      <c r="J1231" cm="1">
        <f t="array" ref="J1231">_xlfn.SWITCH(B1231,1,75,2,61,3,49,4,37,5,25,6,13,7,4,8,1)</f>
        <v>37</v>
      </c>
      <c r="K1231" t="str" cm="1">
        <f t="array" ref="K1231">IFERROR(_xlfn.SWITCH(L1231,1,_xlfn.XLOOKUP(C1231,[1]AttributeName!$C:$C,[1]AttributeName!$I:$I),2,_xlfn.XLOOKUP(C1231,[1]ModifierDes!$B:$B,[1]ModifierDes!$C:$C),3,_xlfn.XLOOKUP(C1231,[1]StuntDes!$B:$B,[1]StuntDes!$C:$C)),"")</f>
        <v>火焰抗性增加{0}</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438</v>
      </c>
      <c r="D1232" t="s">
        <v>36</v>
      </c>
      <c r="E1232" t="s">
        <v>410</v>
      </c>
      <c r="F1232"/>
      <c r="G1232">
        <v>2</v>
      </c>
      <c r="H1232">
        <v>1000</v>
      </c>
      <c r="J1232" cm="1">
        <f t="array" ref="J1232">_xlfn.SWITCH(B1232,1,75,2,61,3,49,4,37,5,25,6,13,7,4,8,1)</f>
        <v>25</v>
      </c>
      <c r="K1232" t="str" cm="1">
        <f t="array" ref="K1232">IFERROR(_xlfn.SWITCH(L1232,1,_xlfn.XLOOKUP(C1232,[1]AttributeName!$C:$C,[1]AttributeName!$I:$I),2,_xlfn.XLOOKUP(C1232,[1]ModifierDes!$B:$B,[1]ModifierDes!$C:$C),3,_xlfn.XLOOKUP(C1232,[1]StuntDes!$B:$B,[1]StuntDes!$C:$C)),"")</f>
        <v>火焰抗性增加{0}</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438</v>
      </c>
      <c r="D1233" t="s">
        <v>36</v>
      </c>
      <c r="E1233" t="s">
        <v>410</v>
      </c>
      <c r="F1233"/>
      <c r="G1233">
        <v>2</v>
      </c>
      <c r="H1233">
        <v>1000</v>
      </c>
      <c r="J1233" cm="1">
        <f t="array" ref="J1233">_xlfn.SWITCH(B1233,1,75,2,61,3,49,4,37,5,25,6,13,7,4,8,1)</f>
        <v>13</v>
      </c>
      <c r="K1233" t="str" cm="1">
        <f t="array" ref="K1233">IFERROR(_xlfn.SWITCH(L1233,1,_xlfn.XLOOKUP(C1233,[1]AttributeName!$C:$C,[1]AttributeName!$I:$I),2,_xlfn.XLOOKUP(C1233,[1]ModifierDes!$B:$B,[1]ModifierDes!$C:$C),3,_xlfn.XLOOKUP(C1233,[1]StuntDes!$B:$B,[1]StuntDes!$C:$C)),"")</f>
        <v>火焰抗性增加{0}</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438</v>
      </c>
      <c r="D1234" t="s">
        <v>36</v>
      </c>
      <c r="E1234" t="s">
        <v>410</v>
      </c>
      <c r="F1234"/>
      <c r="G1234">
        <v>2</v>
      </c>
      <c r="H1234">
        <v>1000</v>
      </c>
      <c r="J1234" cm="1">
        <f t="array" ref="J1234">_xlfn.SWITCH(B1234,1,75,2,61,3,49,4,37,5,25,6,13,7,4,8,1)</f>
        <v>4</v>
      </c>
      <c r="K1234" t="str" cm="1">
        <f t="array" ref="K1234">IFERROR(_xlfn.SWITCH(L1234,1,_xlfn.XLOOKUP(C1234,[1]AttributeName!$C:$C,[1]AttributeName!$I:$I),2,_xlfn.XLOOKUP(C1234,[1]ModifierDes!$B:$B,[1]ModifierDes!$C:$C),3,_xlfn.XLOOKUP(C1234,[1]StuntDes!$B:$B,[1]StuntDes!$C:$C)),"")</f>
        <v>火焰抗性增加{0}</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438</v>
      </c>
      <c r="D1235" t="s">
        <v>36</v>
      </c>
      <c r="E1235" t="s">
        <v>410</v>
      </c>
      <c r="F1235"/>
      <c r="G1235">
        <v>2</v>
      </c>
      <c r="H1235">
        <v>1000</v>
      </c>
      <c r="J1235" cm="1">
        <f t="array" ref="J1235">_xlfn.SWITCH(B1235,1,75,2,61,3,49,4,37,5,25,6,13,7,4,8,1)</f>
        <v>1</v>
      </c>
      <c r="K1235" t="str" cm="1">
        <f t="array" ref="K1235">IFERROR(_xlfn.SWITCH(L1235,1,_xlfn.XLOOKUP(C1235,[1]AttributeName!$C:$C,[1]AttributeName!$I:$I),2,_xlfn.XLOOKUP(C1235,[1]ModifierDes!$B:$B,[1]ModifierDes!$C:$C),3,_xlfn.XLOOKUP(C1235,[1]StuntDes!$B:$B,[1]StuntDes!$C:$C)),"")</f>
        <v>火焰抗性增加{0}</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439</v>
      </c>
      <c r="D1236" t="s">
        <v>36</v>
      </c>
      <c r="E1236" t="s">
        <v>410</v>
      </c>
      <c r="F1236"/>
      <c r="G1236">
        <v>2</v>
      </c>
      <c r="H1236">
        <v>1000</v>
      </c>
      <c r="J1236" cm="1">
        <f t="array" ref="J1236">_xlfn.SWITCH(B1236,1,75,2,61,3,49,4,37,5,25,6,13,7,4,8,1)</f>
        <v>75</v>
      </c>
      <c r="K1236" t="str" cm="1">
        <f t="array" ref="K1236">IFERROR(_xlfn.SWITCH(L1236,1,_xlfn.XLOOKUP(C1236,[1]AttributeName!$C:$C,[1]AttributeName!$I:$I),2,_xlfn.XLOOKUP(C1236,[1]ModifierDes!$B:$B,[1]ModifierDes!$C:$C),3,_xlfn.XLOOKUP(C1236,[1]StuntDes!$B:$B,[1]StuntDes!$C:$C)),"")</f>
        <v>冰冷抗性增加{0}</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439</v>
      </c>
      <c r="D1237" t="s">
        <v>36</v>
      </c>
      <c r="E1237" t="s">
        <v>410</v>
      </c>
      <c r="F1237"/>
      <c r="G1237">
        <v>2</v>
      </c>
      <c r="H1237">
        <v>1000</v>
      </c>
      <c r="J1237" cm="1">
        <f t="array" ref="J1237">_xlfn.SWITCH(B1237,1,75,2,61,3,49,4,37,5,25,6,13,7,4,8,1)</f>
        <v>61</v>
      </c>
      <c r="K1237" t="str" cm="1">
        <f t="array" ref="K1237">IFERROR(_xlfn.SWITCH(L1237,1,_xlfn.XLOOKUP(C1237,[1]AttributeName!$C:$C,[1]AttributeName!$I:$I),2,_xlfn.XLOOKUP(C1237,[1]ModifierDes!$B:$B,[1]ModifierDes!$C:$C),3,_xlfn.XLOOKUP(C1237,[1]StuntDes!$B:$B,[1]StuntDes!$C:$C)),"")</f>
        <v>冰冷抗性增加{0}</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439</v>
      </c>
      <c r="D1238" t="s">
        <v>36</v>
      </c>
      <c r="E1238" t="s">
        <v>410</v>
      </c>
      <c r="F1238"/>
      <c r="G1238">
        <v>2</v>
      </c>
      <c r="H1238">
        <v>1000</v>
      </c>
      <c r="J1238" cm="1">
        <f t="array" ref="J1238">_xlfn.SWITCH(B1238,1,75,2,61,3,49,4,37,5,25,6,13,7,4,8,1)</f>
        <v>49</v>
      </c>
      <c r="K1238" t="str" cm="1">
        <f t="array" ref="K1238">IFERROR(_xlfn.SWITCH(L1238,1,_xlfn.XLOOKUP(C1238,[1]AttributeName!$C:$C,[1]AttributeName!$I:$I),2,_xlfn.XLOOKUP(C1238,[1]ModifierDes!$B:$B,[1]ModifierDes!$C:$C),3,_xlfn.XLOOKUP(C1238,[1]StuntDes!$B:$B,[1]StuntDes!$C:$C)),"")</f>
        <v>冰冷抗性增加{0}</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439</v>
      </c>
      <c r="D1239" t="s">
        <v>36</v>
      </c>
      <c r="E1239" t="s">
        <v>410</v>
      </c>
      <c r="F1239"/>
      <c r="G1239">
        <v>2</v>
      </c>
      <c r="H1239">
        <v>1000</v>
      </c>
      <c r="J1239" cm="1">
        <f t="array" ref="J1239">_xlfn.SWITCH(B1239,1,75,2,61,3,49,4,37,5,25,6,13,7,4,8,1)</f>
        <v>37</v>
      </c>
      <c r="K1239" t="str" cm="1">
        <f t="array" ref="K1239">IFERROR(_xlfn.SWITCH(L1239,1,_xlfn.XLOOKUP(C1239,[1]AttributeName!$C:$C,[1]AttributeName!$I:$I),2,_xlfn.XLOOKUP(C1239,[1]ModifierDes!$B:$B,[1]ModifierDes!$C:$C),3,_xlfn.XLOOKUP(C1239,[1]StuntDes!$B:$B,[1]StuntDes!$C:$C)),"")</f>
        <v>冰冷抗性增加{0}</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439</v>
      </c>
      <c r="D1240" t="s">
        <v>36</v>
      </c>
      <c r="E1240" t="s">
        <v>410</v>
      </c>
      <c r="F1240"/>
      <c r="G1240">
        <v>2</v>
      </c>
      <c r="H1240">
        <v>1000</v>
      </c>
      <c r="J1240" cm="1">
        <f t="array" ref="J1240">_xlfn.SWITCH(B1240,1,75,2,61,3,49,4,37,5,25,6,13,7,4,8,1)</f>
        <v>25</v>
      </c>
      <c r="K1240" t="str" cm="1">
        <f t="array" ref="K1240">IFERROR(_xlfn.SWITCH(L1240,1,_xlfn.XLOOKUP(C1240,[1]AttributeName!$C:$C,[1]AttributeName!$I:$I),2,_xlfn.XLOOKUP(C1240,[1]ModifierDes!$B:$B,[1]ModifierDes!$C:$C),3,_xlfn.XLOOKUP(C1240,[1]StuntDes!$B:$B,[1]StuntDes!$C:$C)),"")</f>
        <v>冰冷抗性增加{0}</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439</v>
      </c>
      <c r="D1241" t="s">
        <v>36</v>
      </c>
      <c r="E1241" t="s">
        <v>410</v>
      </c>
      <c r="F1241"/>
      <c r="G1241">
        <v>2</v>
      </c>
      <c r="H1241">
        <v>1000</v>
      </c>
      <c r="J1241" cm="1">
        <f t="array" ref="J1241">_xlfn.SWITCH(B1241,1,75,2,61,3,49,4,37,5,25,6,13,7,4,8,1)</f>
        <v>13</v>
      </c>
      <c r="K1241" t="str" cm="1">
        <f t="array" ref="K1241">IFERROR(_xlfn.SWITCH(L1241,1,_xlfn.XLOOKUP(C1241,[1]AttributeName!$C:$C,[1]AttributeName!$I:$I),2,_xlfn.XLOOKUP(C1241,[1]ModifierDes!$B:$B,[1]ModifierDes!$C:$C),3,_xlfn.XLOOKUP(C1241,[1]StuntDes!$B:$B,[1]StuntDes!$C:$C)),"")</f>
        <v>冰冷抗性增加{0}</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439</v>
      </c>
      <c r="D1242" t="s">
        <v>36</v>
      </c>
      <c r="E1242" t="s">
        <v>410</v>
      </c>
      <c r="F1242"/>
      <c r="G1242">
        <v>2</v>
      </c>
      <c r="H1242">
        <v>1000</v>
      </c>
      <c r="J1242" cm="1">
        <f t="array" ref="J1242">_xlfn.SWITCH(B1242,1,75,2,61,3,49,4,37,5,25,6,13,7,4,8,1)</f>
        <v>4</v>
      </c>
      <c r="K1242" t="str" cm="1">
        <f t="array" ref="K1242">IFERROR(_xlfn.SWITCH(L1242,1,_xlfn.XLOOKUP(C1242,[1]AttributeName!$C:$C,[1]AttributeName!$I:$I),2,_xlfn.XLOOKUP(C1242,[1]ModifierDes!$B:$B,[1]ModifierDes!$C:$C),3,_xlfn.XLOOKUP(C1242,[1]StuntDes!$B:$B,[1]StuntDes!$C:$C)),"")</f>
        <v>冰冷抗性增加{0}</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439</v>
      </c>
      <c r="D1243" t="s">
        <v>36</v>
      </c>
      <c r="E1243" t="s">
        <v>410</v>
      </c>
      <c r="F1243"/>
      <c r="G1243">
        <v>2</v>
      </c>
      <c r="H1243">
        <v>1000</v>
      </c>
      <c r="J1243" cm="1">
        <f t="array" ref="J1243">_xlfn.SWITCH(B1243,1,75,2,61,3,49,4,37,5,25,6,13,7,4,8,1)</f>
        <v>1</v>
      </c>
      <c r="K1243" t="str" cm="1">
        <f t="array" ref="K1243">IFERROR(_xlfn.SWITCH(L1243,1,_xlfn.XLOOKUP(C1243,[1]AttributeName!$C:$C,[1]AttributeName!$I:$I),2,_xlfn.XLOOKUP(C1243,[1]ModifierDes!$B:$B,[1]ModifierDes!$C:$C),3,_xlfn.XLOOKUP(C1243,[1]StuntDes!$B:$B,[1]StuntDes!$C:$C)),"")</f>
        <v>冰冷抗性增加{0}</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440</v>
      </c>
      <c r="D1244" t="s">
        <v>36</v>
      </c>
      <c r="E1244" t="s">
        <v>410</v>
      </c>
      <c r="F1244"/>
      <c r="G1244">
        <v>2</v>
      </c>
      <c r="H1244">
        <v>1000</v>
      </c>
      <c r="J1244" cm="1">
        <f t="array" ref="J1244">_xlfn.SWITCH(B1244,1,75,2,61,3,49,4,37,5,25,6,13,7,4,8,1)</f>
        <v>75</v>
      </c>
      <c r="K1244" t="str" cm="1">
        <f t="array" ref="K1244">IFERROR(_xlfn.SWITCH(L1244,1,_xlfn.XLOOKUP(C1244,[1]AttributeName!$C:$C,[1]AttributeName!$I:$I),2,_xlfn.XLOOKUP(C1244,[1]ModifierDes!$B:$B,[1]ModifierDes!$C:$C),3,_xlfn.XLOOKUP(C1244,[1]StuntDes!$B:$B,[1]StuntDes!$C:$C)),"")</f>
        <v>闪电抗性增加{0}</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440</v>
      </c>
      <c r="D1245" t="s">
        <v>36</v>
      </c>
      <c r="E1245" t="s">
        <v>410</v>
      </c>
      <c r="F1245"/>
      <c r="G1245">
        <v>2</v>
      </c>
      <c r="H1245">
        <v>1000</v>
      </c>
      <c r="J1245" cm="1">
        <f t="array" ref="J1245">_xlfn.SWITCH(B1245,1,75,2,61,3,49,4,37,5,25,6,13,7,4,8,1)</f>
        <v>61</v>
      </c>
      <c r="K1245" t="str" cm="1">
        <f t="array" ref="K1245">IFERROR(_xlfn.SWITCH(L1245,1,_xlfn.XLOOKUP(C1245,[1]AttributeName!$C:$C,[1]AttributeName!$I:$I),2,_xlfn.XLOOKUP(C1245,[1]ModifierDes!$B:$B,[1]ModifierDes!$C:$C),3,_xlfn.XLOOKUP(C1245,[1]StuntDes!$B:$B,[1]StuntDes!$C:$C)),"")</f>
        <v>闪电抗性增加{0}</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440</v>
      </c>
      <c r="D1246" t="s">
        <v>36</v>
      </c>
      <c r="E1246" t="s">
        <v>410</v>
      </c>
      <c r="F1246"/>
      <c r="G1246">
        <v>2</v>
      </c>
      <c r="H1246">
        <v>1000</v>
      </c>
      <c r="J1246" cm="1">
        <f t="array" ref="J1246">_xlfn.SWITCH(B1246,1,75,2,61,3,49,4,37,5,25,6,13,7,4,8,1)</f>
        <v>49</v>
      </c>
      <c r="K1246" t="str" cm="1">
        <f t="array" ref="K1246">IFERROR(_xlfn.SWITCH(L1246,1,_xlfn.XLOOKUP(C1246,[1]AttributeName!$C:$C,[1]AttributeName!$I:$I),2,_xlfn.XLOOKUP(C1246,[1]ModifierDes!$B:$B,[1]ModifierDes!$C:$C),3,_xlfn.XLOOKUP(C1246,[1]StuntDes!$B:$B,[1]StuntDes!$C:$C)),"")</f>
        <v>闪电抗性增加{0}</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440</v>
      </c>
      <c r="D1247" t="s">
        <v>36</v>
      </c>
      <c r="E1247" t="s">
        <v>410</v>
      </c>
      <c r="F1247"/>
      <c r="G1247">
        <v>2</v>
      </c>
      <c r="H1247">
        <v>1000</v>
      </c>
      <c r="J1247" cm="1">
        <f t="array" ref="J1247">_xlfn.SWITCH(B1247,1,75,2,61,3,49,4,37,5,25,6,13,7,4,8,1)</f>
        <v>37</v>
      </c>
      <c r="K1247" t="str" cm="1">
        <f t="array" ref="K1247">IFERROR(_xlfn.SWITCH(L1247,1,_xlfn.XLOOKUP(C1247,[1]AttributeName!$C:$C,[1]AttributeName!$I:$I),2,_xlfn.XLOOKUP(C1247,[1]ModifierDes!$B:$B,[1]ModifierDes!$C:$C),3,_xlfn.XLOOKUP(C1247,[1]StuntDes!$B:$B,[1]StuntDes!$C:$C)),"")</f>
        <v>闪电抗性增加{0}</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440</v>
      </c>
      <c r="D1248" t="s">
        <v>36</v>
      </c>
      <c r="E1248" t="s">
        <v>410</v>
      </c>
      <c r="F1248"/>
      <c r="G1248">
        <v>2</v>
      </c>
      <c r="H1248">
        <v>1000</v>
      </c>
      <c r="J1248" cm="1">
        <f t="array" ref="J1248">_xlfn.SWITCH(B1248,1,75,2,61,3,49,4,37,5,25,6,13,7,4,8,1)</f>
        <v>25</v>
      </c>
      <c r="K1248" t="str" cm="1">
        <f t="array" ref="K1248">IFERROR(_xlfn.SWITCH(L1248,1,_xlfn.XLOOKUP(C1248,[1]AttributeName!$C:$C,[1]AttributeName!$I:$I),2,_xlfn.XLOOKUP(C1248,[1]ModifierDes!$B:$B,[1]ModifierDes!$C:$C),3,_xlfn.XLOOKUP(C1248,[1]StuntDes!$B:$B,[1]StuntDes!$C:$C)),"")</f>
        <v>闪电抗性增加{0}</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440</v>
      </c>
      <c r="D1249" t="s">
        <v>36</v>
      </c>
      <c r="E1249" t="s">
        <v>410</v>
      </c>
      <c r="F1249"/>
      <c r="G1249">
        <v>2</v>
      </c>
      <c r="H1249">
        <v>1000</v>
      </c>
      <c r="J1249" cm="1">
        <f t="array" ref="J1249">_xlfn.SWITCH(B1249,1,75,2,61,3,49,4,37,5,25,6,13,7,4,8,1)</f>
        <v>13</v>
      </c>
      <c r="K1249" t="str" cm="1">
        <f t="array" ref="K1249">IFERROR(_xlfn.SWITCH(L1249,1,_xlfn.XLOOKUP(C1249,[1]AttributeName!$C:$C,[1]AttributeName!$I:$I),2,_xlfn.XLOOKUP(C1249,[1]ModifierDes!$B:$B,[1]ModifierDes!$C:$C),3,_xlfn.XLOOKUP(C1249,[1]StuntDes!$B:$B,[1]StuntDes!$C:$C)),"")</f>
        <v>闪电抗性增加{0}</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440</v>
      </c>
      <c r="D1250" t="s">
        <v>36</v>
      </c>
      <c r="E1250" t="s">
        <v>410</v>
      </c>
      <c r="F1250"/>
      <c r="G1250">
        <v>2</v>
      </c>
      <c r="H1250">
        <v>1000</v>
      </c>
      <c r="J1250" cm="1">
        <f t="array" ref="J1250">_xlfn.SWITCH(B1250,1,75,2,61,3,49,4,37,5,25,6,13,7,4,8,1)</f>
        <v>4</v>
      </c>
      <c r="K1250" t="str" cm="1">
        <f t="array" ref="K1250">IFERROR(_xlfn.SWITCH(L1250,1,_xlfn.XLOOKUP(C1250,[1]AttributeName!$C:$C,[1]AttributeName!$I:$I),2,_xlfn.XLOOKUP(C1250,[1]ModifierDes!$B:$B,[1]ModifierDes!$C:$C),3,_xlfn.XLOOKUP(C1250,[1]StuntDes!$B:$B,[1]StuntDes!$C:$C)),"")</f>
        <v>闪电抗性增加{0}</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440</v>
      </c>
      <c r="D1251" t="s">
        <v>36</v>
      </c>
      <c r="E1251" t="s">
        <v>410</v>
      </c>
      <c r="F1251"/>
      <c r="G1251">
        <v>2</v>
      </c>
      <c r="H1251">
        <v>1000</v>
      </c>
      <c r="J1251" cm="1">
        <f t="array" ref="J1251">_xlfn.SWITCH(B1251,1,75,2,61,3,49,4,37,5,25,6,13,7,4,8,1)</f>
        <v>1</v>
      </c>
      <c r="K1251" t="str" cm="1">
        <f t="array" ref="K1251">IFERROR(_xlfn.SWITCH(L1251,1,_xlfn.XLOOKUP(C1251,[1]AttributeName!$C:$C,[1]AttributeName!$I:$I),2,_xlfn.XLOOKUP(C1251,[1]ModifierDes!$B:$B,[1]ModifierDes!$C:$C),3,_xlfn.XLOOKUP(C1251,[1]StuntDes!$B:$B,[1]StuntDes!$C:$C)),"")</f>
        <v>闪电抗性增加{0}</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441</v>
      </c>
      <c r="D1252" t="s">
        <v>36</v>
      </c>
      <c r="E1252" t="s">
        <v>410</v>
      </c>
      <c r="F1252"/>
      <c r="G1252">
        <v>2</v>
      </c>
      <c r="H1252">
        <v>250</v>
      </c>
      <c r="J1252" cm="1">
        <f t="array" ref="J1252">_xlfn.SWITCH(B1252,1,75,2,61,3,49,4,37,5,25,6,13,7,4,8,1)</f>
        <v>75</v>
      </c>
      <c r="K1252" t="str" cm="1">
        <f t="array" ref="K1252">IFERROR(_xlfn.SWITCH(L1252,1,_xlfn.XLOOKUP(C1252,[1]AttributeName!$C:$C,[1]AttributeName!$I:$I),2,_xlfn.XLOOKUP(C1252,[1]ModifierDes!$B:$B,[1]ModifierDes!$C:$C),3,_xlfn.XLOOKUP(C1252,[1]StuntDes!$B:$B,[1]StuntDes!$C:$C)),"")</f>
        <v>混沌抗性增加{0}</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441</v>
      </c>
      <c r="D1253" t="s">
        <v>36</v>
      </c>
      <c r="E1253" t="s">
        <v>410</v>
      </c>
      <c r="F1253"/>
      <c r="G1253">
        <v>2</v>
      </c>
      <c r="H1253">
        <v>250</v>
      </c>
      <c r="J1253" cm="1">
        <f t="array" ref="J1253">_xlfn.SWITCH(B1253,1,75,2,61,3,49,4,37,5,25,6,13,7,4,8,1)</f>
        <v>61</v>
      </c>
      <c r="K1253" t="str" cm="1">
        <f t="array" ref="K1253">IFERROR(_xlfn.SWITCH(L1253,1,_xlfn.XLOOKUP(C1253,[1]AttributeName!$C:$C,[1]AttributeName!$I:$I),2,_xlfn.XLOOKUP(C1253,[1]ModifierDes!$B:$B,[1]ModifierDes!$C:$C),3,_xlfn.XLOOKUP(C1253,[1]StuntDes!$B:$B,[1]StuntDes!$C:$C)),"")</f>
        <v>混沌抗性增加{0}</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441</v>
      </c>
      <c r="D1254" t="s">
        <v>36</v>
      </c>
      <c r="E1254" t="s">
        <v>410</v>
      </c>
      <c r="F1254"/>
      <c r="G1254">
        <v>2</v>
      </c>
      <c r="H1254">
        <v>250</v>
      </c>
      <c r="J1254" cm="1">
        <f t="array" ref="J1254">_xlfn.SWITCH(B1254,1,75,2,61,3,49,4,37,5,25,6,13,7,4,8,1)</f>
        <v>49</v>
      </c>
      <c r="K1254" t="str" cm="1">
        <f t="array" ref="K1254">IFERROR(_xlfn.SWITCH(L1254,1,_xlfn.XLOOKUP(C1254,[1]AttributeName!$C:$C,[1]AttributeName!$I:$I),2,_xlfn.XLOOKUP(C1254,[1]ModifierDes!$B:$B,[1]ModifierDes!$C:$C),3,_xlfn.XLOOKUP(C1254,[1]StuntDes!$B:$B,[1]StuntDes!$C:$C)),"")</f>
        <v>混沌抗性增加{0}</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441</v>
      </c>
      <c r="D1255" t="s">
        <v>36</v>
      </c>
      <c r="E1255" t="s">
        <v>410</v>
      </c>
      <c r="F1255"/>
      <c r="G1255">
        <v>2</v>
      </c>
      <c r="H1255">
        <v>250</v>
      </c>
      <c r="J1255" cm="1">
        <f t="array" ref="J1255">_xlfn.SWITCH(B1255,1,75,2,61,3,49,4,37,5,25,6,13,7,4,8,1)</f>
        <v>37</v>
      </c>
      <c r="K1255" t="str" cm="1">
        <f t="array" ref="K1255">IFERROR(_xlfn.SWITCH(L1255,1,_xlfn.XLOOKUP(C1255,[1]AttributeName!$C:$C,[1]AttributeName!$I:$I),2,_xlfn.XLOOKUP(C1255,[1]ModifierDes!$B:$B,[1]ModifierDes!$C:$C),3,_xlfn.XLOOKUP(C1255,[1]StuntDes!$B:$B,[1]StuntDes!$C:$C)),"")</f>
        <v>混沌抗性增加{0}</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441</v>
      </c>
      <c r="D1256" t="s">
        <v>36</v>
      </c>
      <c r="E1256" t="s">
        <v>410</v>
      </c>
      <c r="F1256"/>
      <c r="G1256">
        <v>2</v>
      </c>
      <c r="H1256">
        <v>250</v>
      </c>
      <c r="J1256" cm="1">
        <f t="array" ref="J1256">_xlfn.SWITCH(B1256,1,75,2,61,3,49,4,37,5,25,6,13,7,4,8,1)</f>
        <v>25</v>
      </c>
      <c r="K1256" t="str" cm="1">
        <f t="array" ref="K1256">IFERROR(_xlfn.SWITCH(L1256,1,_xlfn.XLOOKUP(C1256,[1]AttributeName!$C:$C,[1]AttributeName!$I:$I),2,_xlfn.XLOOKUP(C1256,[1]ModifierDes!$B:$B,[1]ModifierDes!$C:$C),3,_xlfn.XLOOKUP(C1256,[1]StuntDes!$B:$B,[1]StuntDes!$C:$C)),"")</f>
        <v>混沌抗性增加{0}</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441</v>
      </c>
      <c r="D1257" t="s">
        <v>36</v>
      </c>
      <c r="E1257" t="s">
        <v>410</v>
      </c>
      <c r="F1257"/>
      <c r="G1257">
        <v>2</v>
      </c>
      <c r="H1257">
        <v>250</v>
      </c>
      <c r="J1257" cm="1">
        <f t="array" ref="J1257">_xlfn.SWITCH(B1257,1,75,2,61,3,49,4,37,5,25,6,13,7,4,8,1)</f>
        <v>13</v>
      </c>
      <c r="K1257" t="str" cm="1">
        <f t="array" ref="K1257">IFERROR(_xlfn.SWITCH(L1257,1,_xlfn.XLOOKUP(C1257,[1]AttributeName!$C:$C,[1]AttributeName!$I:$I),2,_xlfn.XLOOKUP(C1257,[1]ModifierDes!$B:$B,[1]ModifierDes!$C:$C),3,_xlfn.XLOOKUP(C1257,[1]StuntDes!$B:$B,[1]StuntDes!$C:$C)),"")</f>
        <v>混沌抗性增加{0}</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441</v>
      </c>
      <c r="D1258" t="s">
        <v>36</v>
      </c>
      <c r="E1258" t="s">
        <v>410</v>
      </c>
      <c r="F1258"/>
      <c r="G1258">
        <v>2</v>
      </c>
      <c r="H1258">
        <v>250</v>
      </c>
      <c r="J1258" cm="1">
        <f t="array" ref="J1258">_xlfn.SWITCH(B1258,1,75,2,61,3,49,4,37,5,25,6,13,7,4,8,1)</f>
        <v>4</v>
      </c>
      <c r="K1258" t="str" cm="1">
        <f t="array" ref="K1258">IFERROR(_xlfn.SWITCH(L1258,1,_xlfn.XLOOKUP(C1258,[1]AttributeName!$C:$C,[1]AttributeName!$I:$I),2,_xlfn.XLOOKUP(C1258,[1]ModifierDes!$B:$B,[1]ModifierDes!$C:$C),3,_xlfn.XLOOKUP(C1258,[1]StuntDes!$B:$B,[1]StuntDes!$C:$C)),"")</f>
        <v>混沌抗性增加{0}</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441</v>
      </c>
      <c r="D1259" t="s">
        <v>36</v>
      </c>
      <c r="E1259" t="s">
        <v>410</v>
      </c>
      <c r="F1259"/>
      <c r="G1259">
        <v>2</v>
      </c>
      <c r="H1259">
        <v>250</v>
      </c>
      <c r="J1259" cm="1">
        <f t="array" ref="J1259">_xlfn.SWITCH(B1259,1,75,2,61,3,49,4,37,5,25,6,13,7,4,8,1)</f>
        <v>1</v>
      </c>
      <c r="K1259" t="str" cm="1">
        <f t="array" ref="K1259">IFERROR(_xlfn.SWITCH(L1259,1,_xlfn.XLOOKUP(C1259,[1]AttributeName!$C:$C,[1]AttributeName!$I:$I),2,_xlfn.XLOOKUP(C1259,[1]ModifierDes!$B:$B,[1]ModifierDes!$C:$C),3,_xlfn.XLOOKUP(C1259,[1]StuntDes!$B:$B,[1]StuntDes!$C:$C)),"")</f>
        <v>混沌抗性增加{0}</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416</v>
      </c>
      <c r="D1260" t="s">
        <v>36</v>
      </c>
      <c r="E1260" t="s">
        <v>410</v>
      </c>
      <c r="F1260"/>
      <c r="G1260">
        <v>2</v>
      </c>
      <c r="H1260">
        <v>100</v>
      </c>
      <c r="I1260">
        <v>3</v>
      </c>
      <c r="J1260" cm="1">
        <f t="array" ref="J1260">_xlfn.SWITCH(B1260,1,75,2,61,3,49,4,37,5,25,6,13,7,4,8,1)</f>
        <v>75</v>
      </c>
      <c r="K1260" t="str" cm="1">
        <f t="array" ref="K1260">IFERROR(_xlfn.SWITCH(L1260,1,_xlfn.XLOOKUP(C1260,[1]AttributeName!$C:$C,[1]AttributeName!$I:$I),2,_xlfn.XLOOKUP(C1260,[1]ModifierDes!$B:$B,[1]ModifierDes!$C:$C),3,_xlfn.XLOOKUP(C1260,[1]StuntDes!$B:$B,[1]StuntDes!$C:$C)),"")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416</v>
      </c>
      <c r="D1261" t="s">
        <v>36</v>
      </c>
      <c r="E1261" t="s">
        <v>410</v>
      </c>
      <c r="F1261"/>
      <c r="G1261">
        <v>2</v>
      </c>
      <c r="H1261">
        <v>200</v>
      </c>
      <c r="I1261">
        <v>3</v>
      </c>
      <c r="J1261" cm="1">
        <f t="array" ref="J1261">_xlfn.SWITCH(B1261,1,75,2,61,3,49,4,37,5,25,6,13,7,4,8,1)</f>
        <v>61</v>
      </c>
      <c r="K1261" t="str" cm="1">
        <f t="array" ref="K1261">IFERROR(_xlfn.SWITCH(L1261,1,_xlfn.XLOOKUP(C1261,[1]AttributeName!$C:$C,[1]AttributeName!$I:$I),2,_xlfn.XLOOKUP(C1261,[1]ModifierDes!$B:$B,[1]ModifierDes!$C:$C),3,_xlfn.XLOOKUP(C1261,[1]StuntDes!$B:$B,[1]StuntDes!$C:$C)),"")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416</v>
      </c>
      <c r="D1262" t="s">
        <v>36</v>
      </c>
      <c r="E1262" t="s">
        <v>410</v>
      </c>
      <c r="F1262"/>
      <c r="G1262">
        <v>2</v>
      </c>
      <c r="H1262">
        <v>400</v>
      </c>
      <c r="I1262">
        <v>3</v>
      </c>
      <c r="J1262" cm="1">
        <f t="array" ref="J1262">_xlfn.SWITCH(B1262,1,75,2,61,3,49,4,37,5,25,6,13,7,4,8,1)</f>
        <v>49</v>
      </c>
      <c r="K1262" t="str" cm="1">
        <f t="array" ref="K1262">IFERROR(_xlfn.SWITCH(L1262,1,_xlfn.XLOOKUP(C1262,[1]AttributeName!$C:$C,[1]AttributeName!$I:$I),2,_xlfn.XLOOKUP(C1262,[1]ModifierDes!$B:$B,[1]ModifierDes!$C:$C),3,_xlfn.XLOOKUP(C1262,[1]StuntDes!$B:$B,[1]StuntDes!$C:$C)),"")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416</v>
      </c>
      <c r="D1263" t="s">
        <v>36</v>
      </c>
      <c r="E1263" t="s">
        <v>410</v>
      </c>
      <c r="F1263"/>
      <c r="G1263">
        <v>2</v>
      </c>
      <c r="H1263">
        <v>600</v>
      </c>
      <c r="I1263">
        <v>3</v>
      </c>
      <c r="J1263" cm="1">
        <f t="array" ref="J1263">_xlfn.SWITCH(B1263,1,75,2,61,3,49,4,37,5,25,6,13,7,4,8,1)</f>
        <v>37</v>
      </c>
      <c r="K1263" t="str" cm="1">
        <f t="array" ref="K1263">IFERROR(_xlfn.SWITCH(L1263,1,_xlfn.XLOOKUP(C1263,[1]AttributeName!$C:$C,[1]AttributeName!$I:$I),2,_xlfn.XLOOKUP(C1263,[1]ModifierDes!$B:$B,[1]ModifierDes!$C:$C),3,_xlfn.XLOOKUP(C1263,[1]StuntDes!$B:$B,[1]StuntDes!$C:$C)),"")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416</v>
      </c>
      <c r="D1264" t="s">
        <v>36</v>
      </c>
      <c r="E1264" t="s">
        <v>410</v>
      </c>
      <c r="F1264"/>
      <c r="G1264">
        <v>2</v>
      </c>
      <c r="H1264">
        <v>800</v>
      </c>
      <c r="I1264">
        <v>3</v>
      </c>
      <c r="J1264" cm="1">
        <f t="array" ref="J1264">_xlfn.SWITCH(B1264,1,75,2,61,3,49,4,37,5,25,6,13,7,4,8,1)</f>
        <v>25</v>
      </c>
      <c r="K1264" t="str" cm="1">
        <f t="array" ref="K1264">IFERROR(_xlfn.SWITCH(L1264,1,_xlfn.XLOOKUP(C1264,[1]AttributeName!$C:$C,[1]AttributeName!$I:$I),2,_xlfn.XLOOKUP(C1264,[1]ModifierDes!$B:$B,[1]ModifierDes!$C:$C),3,_xlfn.XLOOKUP(C1264,[1]StuntDes!$B:$B,[1]StuntDes!$C:$C)),"")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416</v>
      </c>
      <c r="D1265" t="s">
        <v>36</v>
      </c>
      <c r="E1265" t="s">
        <v>410</v>
      </c>
      <c r="F1265"/>
      <c r="G1265">
        <v>2</v>
      </c>
      <c r="H1265">
        <v>1000</v>
      </c>
      <c r="I1265">
        <v>3</v>
      </c>
      <c r="J1265" cm="1">
        <f t="array" ref="J1265">_xlfn.SWITCH(B1265,1,75,2,61,3,49,4,37,5,25,6,13,7,4,8,1)</f>
        <v>13</v>
      </c>
      <c r="K1265" t="str" cm="1">
        <f t="array" ref="K1265">IFERROR(_xlfn.SWITCH(L1265,1,_xlfn.XLOOKUP(C1265,[1]AttributeName!$C:$C,[1]AttributeName!$I:$I),2,_xlfn.XLOOKUP(C1265,[1]ModifierDes!$B:$B,[1]ModifierDes!$C:$C),3,_xlfn.XLOOKUP(C1265,[1]StuntDes!$B:$B,[1]StuntDes!$C:$C)),"")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416</v>
      </c>
      <c r="D1266" t="s">
        <v>36</v>
      </c>
      <c r="E1266" t="s">
        <v>410</v>
      </c>
      <c r="F1266"/>
      <c r="G1266">
        <v>2</v>
      </c>
      <c r="H1266">
        <v>1000</v>
      </c>
      <c r="I1266">
        <v>3</v>
      </c>
      <c r="J1266" cm="1">
        <f t="array" ref="J1266">_xlfn.SWITCH(B1266,1,75,2,61,3,49,4,37,5,25,6,13,7,4,8,1)</f>
        <v>4</v>
      </c>
      <c r="K1266" t="str" cm="1">
        <f t="array" ref="K1266">IFERROR(_xlfn.SWITCH(L1266,1,_xlfn.XLOOKUP(C1266,[1]AttributeName!$C:$C,[1]AttributeName!$I:$I),2,_xlfn.XLOOKUP(C1266,[1]ModifierDes!$B:$B,[1]ModifierDes!$C:$C),3,_xlfn.XLOOKUP(C1266,[1]StuntDes!$B:$B,[1]StuntDes!$C:$C)),"")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416</v>
      </c>
      <c r="D1267" t="s">
        <v>36</v>
      </c>
      <c r="E1267" t="s">
        <v>410</v>
      </c>
      <c r="F1267"/>
      <c r="G1267">
        <v>2</v>
      </c>
      <c r="H1267">
        <v>1000</v>
      </c>
      <c r="I1267">
        <v>3</v>
      </c>
      <c r="J1267" cm="1">
        <f t="array" ref="J1267">_xlfn.SWITCH(B1267,1,75,2,61,3,49,4,37,5,25,6,13,7,4,8,1)</f>
        <v>1</v>
      </c>
      <c r="K1267" t="str" cm="1">
        <f t="array" ref="K1267">IFERROR(_xlfn.SWITCH(L1267,1,_xlfn.XLOOKUP(C1267,[1]AttributeName!$C:$C,[1]AttributeName!$I:$I),2,_xlfn.XLOOKUP(C1267,[1]ModifierDes!$B:$B,[1]ModifierDes!$C:$C),3,_xlfn.XLOOKUP(C1267,[1]StuntDes!$B:$B,[1]StuntDes!$C:$C)),"")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442</v>
      </c>
      <c r="D1268" t="s">
        <v>36</v>
      </c>
      <c r="E1268" t="s">
        <v>410</v>
      </c>
      <c r="F1268"/>
      <c r="G1268">
        <v>2</v>
      </c>
      <c r="H1268">
        <v>100</v>
      </c>
      <c r="I1268">
        <v>3</v>
      </c>
      <c r="J1268" cm="1">
        <f t="array" ref="J1268">_xlfn.SWITCH(B1268,1,75,2,61,3,49,4,37,5,25,6,13,7,4,8,1)</f>
        <v>75</v>
      </c>
      <c r="K1268" t="str" cm="1">
        <f t="array" ref="K1268">IFERROR(_xlfn.SWITCH(L1268,1,_xlfn.XLOOKUP(C1268,[1]AttributeName!$C:$C,[1]AttributeName!$I:$I),2,_xlfn.XLOOKUP(C1268,[1]ModifierDes!$B:$B,[1]ModifierDes!$C:$C),3,_xlfn.XLOOKUP(C1268,[1]StuntDes!$B:$B,[1]StuntDes!$C:$C)),"")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442</v>
      </c>
      <c r="D1269" t="s">
        <v>36</v>
      </c>
      <c r="E1269" t="s">
        <v>410</v>
      </c>
      <c r="F1269"/>
      <c r="G1269">
        <v>2</v>
      </c>
      <c r="H1269">
        <v>200</v>
      </c>
      <c r="I1269">
        <v>3</v>
      </c>
      <c r="J1269" cm="1">
        <f t="array" ref="J1269">_xlfn.SWITCH(B1269,1,75,2,61,3,49,4,37,5,25,6,13,7,4,8,1)</f>
        <v>61</v>
      </c>
      <c r="K1269" t="str" cm="1">
        <f t="array" ref="K1269">IFERROR(_xlfn.SWITCH(L1269,1,_xlfn.XLOOKUP(C1269,[1]AttributeName!$C:$C,[1]AttributeName!$I:$I),2,_xlfn.XLOOKUP(C1269,[1]ModifierDes!$B:$B,[1]ModifierDes!$C:$C),3,_xlfn.XLOOKUP(C1269,[1]StuntDes!$B:$B,[1]StuntDes!$C:$C)),"")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442</v>
      </c>
      <c r="D1270" t="s">
        <v>36</v>
      </c>
      <c r="E1270" t="s">
        <v>410</v>
      </c>
      <c r="F1270"/>
      <c r="G1270">
        <v>2</v>
      </c>
      <c r="H1270">
        <v>400</v>
      </c>
      <c r="I1270">
        <v>3</v>
      </c>
      <c r="J1270" cm="1">
        <f t="array" ref="J1270">_xlfn.SWITCH(B1270,1,75,2,61,3,49,4,37,5,25,6,13,7,4,8,1)</f>
        <v>49</v>
      </c>
      <c r="K1270" t="str" cm="1">
        <f t="array" ref="K1270">IFERROR(_xlfn.SWITCH(L1270,1,_xlfn.XLOOKUP(C1270,[1]AttributeName!$C:$C,[1]AttributeName!$I:$I),2,_xlfn.XLOOKUP(C1270,[1]ModifierDes!$B:$B,[1]ModifierDes!$C:$C),3,_xlfn.XLOOKUP(C1270,[1]StuntDes!$B:$B,[1]StuntDes!$C:$C)),"")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442</v>
      </c>
      <c r="D1271" t="s">
        <v>36</v>
      </c>
      <c r="E1271" t="s">
        <v>410</v>
      </c>
      <c r="F1271"/>
      <c r="G1271">
        <v>2</v>
      </c>
      <c r="H1271">
        <v>600</v>
      </c>
      <c r="I1271">
        <v>3</v>
      </c>
      <c r="J1271" cm="1">
        <f t="array" ref="J1271">_xlfn.SWITCH(B1271,1,75,2,61,3,49,4,37,5,25,6,13,7,4,8,1)</f>
        <v>37</v>
      </c>
      <c r="K1271" t="str" cm="1">
        <f t="array" ref="K1271">IFERROR(_xlfn.SWITCH(L1271,1,_xlfn.XLOOKUP(C1271,[1]AttributeName!$C:$C,[1]AttributeName!$I:$I),2,_xlfn.XLOOKUP(C1271,[1]ModifierDes!$B:$B,[1]ModifierDes!$C:$C),3,_xlfn.XLOOKUP(C1271,[1]StuntDes!$B:$B,[1]StuntDes!$C:$C)),"")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442</v>
      </c>
      <c r="D1272" t="s">
        <v>36</v>
      </c>
      <c r="E1272" t="s">
        <v>410</v>
      </c>
      <c r="F1272"/>
      <c r="G1272">
        <v>2</v>
      </c>
      <c r="H1272">
        <v>800</v>
      </c>
      <c r="I1272">
        <v>3</v>
      </c>
      <c r="J1272" cm="1">
        <f t="array" ref="J1272">_xlfn.SWITCH(B1272,1,75,2,61,3,49,4,37,5,25,6,13,7,4,8,1)</f>
        <v>25</v>
      </c>
      <c r="K1272" t="str" cm="1">
        <f t="array" ref="K1272">IFERROR(_xlfn.SWITCH(L1272,1,_xlfn.XLOOKUP(C1272,[1]AttributeName!$C:$C,[1]AttributeName!$I:$I),2,_xlfn.XLOOKUP(C1272,[1]ModifierDes!$B:$B,[1]ModifierDes!$C:$C),3,_xlfn.XLOOKUP(C1272,[1]StuntDes!$B:$B,[1]StuntDes!$C:$C)),"")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442</v>
      </c>
      <c r="D1273" t="s">
        <v>36</v>
      </c>
      <c r="E1273" t="s">
        <v>410</v>
      </c>
      <c r="F1273"/>
      <c r="G1273">
        <v>2</v>
      </c>
      <c r="H1273">
        <v>1000</v>
      </c>
      <c r="I1273">
        <v>3</v>
      </c>
      <c r="J1273" cm="1">
        <f t="array" ref="J1273">_xlfn.SWITCH(B1273,1,75,2,61,3,49,4,37,5,25,6,13,7,4,8,1)</f>
        <v>13</v>
      </c>
      <c r="K1273" t="str" cm="1">
        <f t="array" ref="K1273">IFERROR(_xlfn.SWITCH(L1273,1,_xlfn.XLOOKUP(C1273,[1]AttributeName!$C:$C,[1]AttributeName!$I:$I),2,_xlfn.XLOOKUP(C1273,[1]ModifierDes!$B:$B,[1]ModifierDes!$C:$C),3,_xlfn.XLOOKUP(C1273,[1]StuntDes!$B:$B,[1]StuntDes!$C:$C)),"")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442</v>
      </c>
      <c r="D1274" t="s">
        <v>36</v>
      </c>
      <c r="E1274" t="s">
        <v>410</v>
      </c>
      <c r="F1274"/>
      <c r="G1274">
        <v>2</v>
      </c>
      <c r="H1274">
        <v>1000</v>
      </c>
      <c r="I1274">
        <v>3</v>
      </c>
      <c r="J1274" cm="1">
        <f t="array" ref="J1274">_xlfn.SWITCH(B1274,1,75,2,61,3,49,4,37,5,25,6,13,7,4,8,1)</f>
        <v>4</v>
      </c>
      <c r="K1274" t="str" cm="1">
        <f t="array" ref="K1274">IFERROR(_xlfn.SWITCH(L1274,1,_xlfn.XLOOKUP(C1274,[1]AttributeName!$C:$C,[1]AttributeName!$I:$I),2,_xlfn.XLOOKUP(C1274,[1]ModifierDes!$B:$B,[1]ModifierDes!$C:$C),3,_xlfn.XLOOKUP(C1274,[1]StuntDes!$B:$B,[1]StuntDes!$C:$C)),"")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442</v>
      </c>
      <c r="D1275" t="s">
        <v>36</v>
      </c>
      <c r="E1275" t="s">
        <v>410</v>
      </c>
      <c r="F1275"/>
      <c r="G1275">
        <v>2</v>
      </c>
      <c r="H1275">
        <v>1000</v>
      </c>
      <c r="I1275">
        <v>3</v>
      </c>
      <c r="J1275" cm="1">
        <f t="array" ref="J1275">_xlfn.SWITCH(B1275,1,75,2,61,3,49,4,37,5,25,6,13,7,4,8,1)</f>
        <v>1</v>
      </c>
      <c r="K1275" t="str" cm="1">
        <f t="array" ref="K1275">IFERROR(_xlfn.SWITCH(L1275,1,_xlfn.XLOOKUP(C1275,[1]AttributeName!$C:$C,[1]AttributeName!$I:$I),2,_xlfn.XLOOKUP(C1275,[1]ModifierDes!$B:$B,[1]ModifierDes!$C:$C),3,_xlfn.XLOOKUP(C1275,[1]StuntDes!$B:$B,[1]StuntDes!$C:$C)),"")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424</v>
      </c>
      <c r="D1276" t="s">
        <v>36</v>
      </c>
      <c r="E1276" t="s">
        <v>410</v>
      </c>
      <c r="F1276"/>
      <c r="G1276">
        <v>2</v>
      </c>
      <c r="H1276">
        <v>1000</v>
      </c>
      <c r="I1276"/>
      <c r="J1276" cm="1">
        <f t="array" ref="J1276">_xlfn.SWITCH(B1276,1,75,2,61,3,49,4,37,5,25,6,13,7,4,8,1)</f>
        <v>75</v>
      </c>
      <c r="K1276" t="str" cm="1">
        <f t="array" ref="K1276">IFERROR(_xlfn.SWITCH(L1276,1,_xlfn.XLOOKUP(C1276,[1]AttributeName!$C:$C,[1]AttributeName!$I:$I),2,_xlfn.XLOOKUP(C1276,[1]ModifierDes!$B:$B,[1]ModifierDes!$C:$C),3,_xlfn.XLOOKUP(C1276,[1]StuntDes!$B:$B,[1]StuntDes!$C:$C)),"")</f>
        <v>穿戴等级降低增加{0}</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424</v>
      </c>
      <c r="D1277" t="s">
        <v>36</v>
      </c>
      <c r="E1277" t="s">
        <v>410</v>
      </c>
      <c r="F1277"/>
      <c r="G1277">
        <v>2</v>
      </c>
      <c r="H1277">
        <v>1000</v>
      </c>
      <c r="I1277"/>
      <c r="J1277" cm="1">
        <f t="array" ref="J1277">_xlfn.SWITCH(B1277,1,75,2,61,3,49,4,37,5,25,6,13,7,4,8,1)</f>
        <v>61</v>
      </c>
      <c r="K1277" t="str" cm="1">
        <f t="array" ref="K1277">IFERROR(_xlfn.SWITCH(L1277,1,_xlfn.XLOOKUP(C1277,[1]AttributeName!$C:$C,[1]AttributeName!$I:$I),2,_xlfn.XLOOKUP(C1277,[1]ModifierDes!$B:$B,[1]ModifierDes!$C:$C),3,_xlfn.XLOOKUP(C1277,[1]StuntDes!$B:$B,[1]StuntDes!$C:$C)),"")</f>
        <v>穿戴等级降低增加{0}</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424</v>
      </c>
      <c r="D1278" t="s">
        <v>36</v>
      </c>
      <c r="E1278" t="s">
        <v>410</v>
      </c>
      <c r="F1278"/>
      <c r="G1278">
        <v>2</v>
      </c>
      <c r="H1278">
        <v>1000</v>
      </c>
      <c r="I1278"/>
      <c r="J1278" cm="1">
        <f t="array" ref="J1278">_xlfn.SWITCH(B1278,1,75,2,61,3,49,4,37,5,25,6,13,7,4,8,1)</f>
        <v>49</v>
      </c>
      <c r="K1278" t="str" cm="1">
        <f t="array" ref="K1278">IFERROR(_xlfn.SWITCH(L1278,1,_xlfn.XLOOKUP(C1278,[1]AttributeName!$C:$C,[1]AttributeName!$I:$I),2,_xlfn.XLOOKUP(C1278,[1]ModifierDes!$B:$B,[1]ModifierDes!$C:$C),3,_xlfn.XLOOKUP(C1278,[1]StuntDes!$B:$B,[1]StuntDes!$C:$C)),"")</f>
        <v>穿戴等级降低增加{0}</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424</v>
      </c>
      <c r="D1279" t="s">
        <v>36</v>
      </c>
      <c r="E1279" t="s">
        <v>410</v>
      </c>
      <c r="F1279"/>
      <c r="G1279">
        <v>2</v>
      </c>
      <c r="H1279">
        <v>1000</v>
      </c>
      <c r="I1279"/>
      <c r="J1279" cm="1">
        <f t="array" ref="J1279">_xlfn.SWITCH(B1279,1,75,2,61,3,49,4,37,5,25,6,13,7,4,8,1)</f>
        <v>37</v>
      </c>
      <c r="K1279" t="str" cm="1">
        <f t="array" ref="K1279">IFERROR(_xlfn.SWITCH(L1279,1,_xlfn.XLOOKUP(C1279,[1]AttributeName!$C:$C,[1]AttributeName!$I:$I),2,_xlfn.XLOOKUP(C1279,[1]ModifierDes!$B:$B,[1]ModifierDes!$C:$C),3,_xlfn.XLOOKUP(C1279,[1]StuntDes!$B:$B,[1]StuntDes!$C:$C)),"")</f>
        <v>穿戴等级降低增加{0}</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424</v>
      </c>
      <c r="D1280" t="s">
        <v>36</v>
      </c>
      <c r="E1280" t="s">
        <v>410</v>
      </c>
      <c r="F1280"/>
      <c r="G1280">
        <v>2</v>
      </c>
      <c r="H1280">
        <v>1000</v>
      </c>
      <c r="I1280"/>
      <c r="J1280" cm="1">
        <f t="array" ref="J1280">_xlfn.SWITCH(B1280,1,75,2,61,3,49,4,37,5,25,6,13,7,4,8,1)</f>
        <v>25</v>
      </c>
      <c r="K1280" t="str" cm="1">
        <f t="array" ref="K1280">IFERROR(_xlfn.SWITCH(L1280,1,_xlfn.XLOOKUP(C1280,[1]AttributeName!$C:$C,[1]AttributeName!$I:$I),2,_xlfn.XLOOKUP(C1280,[1]ModifierDes!$B:$B,[1]ModifierDes!$C:$C),3,_xlfn.XLOOKUP(C1280,[1]StuntDes!$B:$B,[1]StuntDes!$C:$C)),"")</f>
        <v>穿戴等级降低增加{0}</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424</v>
      </c>
      <c r="D1281" t="s">
        <v>36</v>
      </c>
      <c r="E1281" t="s">
        <v>410</v>
      </c>
      <c r="F1281"/>
      <c r="G1281">
        <v>2</v>
      </c>
      <c r="H1281">
        <v>1000</v>
      </c>
      <c r="I1281"/>
      <c r="J1281" cm="1">
        <f t="array" ref="J1281">_xlfn.SWITCH(B1281,1,75,2,61,3,49,4,37,5,25,6,13,7,4,8,1)</f>
        <v>13</v>
      </c>
      <c r="K1281" t="str" cm="1">
        <f t="array" ref="K1281">IFERROR(_xlfn.SWITCH(L1281,1,_xlfn.XLOOKUP(C1281,[1]AttributeName!$C:$C,[1]AttributeName!$I:$I),2,_xlfn.XLOOKUP(C1281,[1]ModifierDes!$B:$B,[1]ModifierDes!$C:$C),3,_xlfn.XLOOKUP(C1281,[1]StuntDes!$B:$B,[1]StuntDes!$C:$C)),"")</f>
        <v>穿戴等级降低增加{0}</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424</v>
      </c>
      <c r="D1282" t="s">
        <v>36</v>
      </c>
      <c r="E1282" t="s">
        <v>410</v>
      </c>
      <c r="F1282"/>
      <c r="G1282">
        <v>2</v>
      </c>
      <c r="H1282">
        <v>1000</v>
      </c>
      <c r="I1282"/>
      <c r="J1282" cm="1">
        <f t="array" ref="J1282">_xlfn.SWITCH(B1282,1,75,2,61,3,49,4,37,5,25,6,13,7,4,8,1)</f>
        <v>4</v>
      </c>
      <c r="K1282" t="str" cm="1">
        <f t="array" ref="K1282">IFERROR(_xlfn.SWITCH(L1282,1,_xlfn.XLOOKUP(C1282,[1]AttributeName!$C:$C,[1]AttributeName!$I:$I),2,_xlfn.XLOOKUP(C1282,[1]ModifierDes!$B:$B,[1]ModifierDes!$C:$C),3,_xlfn.XLOOKUP(C1282,[1]StuntDes!$B:$B,[1]StuntDes!$C:$C)),"")</f>
        <v>穿戴等级降低增加{0}</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424</v>
      </c>
      <c r="D1283" t="s">
        <v>36</v>
      </c>
      <c r="E1283" t="s">
        <v>410</v>
      </c>
      <c r="F1283"/>
      <c r="G1283">
        <v>2</v>
      </c>
      <c r="H1283">
        <v>1000</v>
      </c>
      <c r="I1283"/>
      <c r="J1283" cm="1">
        <f t="array" ref="J1283">_xlfn.SWITCH(B1283,1,75,2,61,3,49,4,37,5,25,6,13,7,4,8,1)</f>
        <v>1</v>
      </c>
      <c r="K1283" t="str" cm="1">
        <f t="array" ref="K1283">IFERROR(_xlfn.SWITCH(L1283,1,_xlfn.XLOOKUP(C1283,[1]AttributeName!$C:$C,[1]AttributeName!$I:$I),2,_xlfn.XLOOKUP(C1283,[1]ModifierDes!$B:$B,[1]ModifierDes!$C:$C),3,_xlfn.XLOOKUP(C1283,[1]StuntDes!$B:$B,[1]StuntDes!$C:$C)),"")</f>
        <v>穿戴等级降低增加{0}</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445</v>
      </c>
      <c r="D1284" t="s">
        <v>36</v>
      </c>
      <c r="E1284" t="s">
        <v>410</v>
      </c>
      <c r="F1284"/>
      <c r="G1284">
        <v>2</v>
      </c>
      <c r="H1284">
        <v>1000</v>
      </c>
      <c r="I1284"/>
      <c r="J1284" cm="1">
        <f t="array" ref="J1284">_xlfn.SWITCH(B1284,1,75,2,61,3,49,4,37,5,25,6,13,7,4,8,1)</f>
        <v>75</v>
      </c>
      <c r="K1284" t="str" cm="1">
        <f t="array" ref="K1284">IFERROR(_xlfn.SWITCH(L1284,1,_xlfn.XLOOKUP(C1284,[1]AttributeName!$C:$C,[1]AttributeName!$I:$I),2,_xlfn.XLOOKUP(C1284,[1]ModifierDes!$B:$B,[1]ModifierDes!$C:$C),3,_xlfn.XLOOKUP(C1284,[1]StuntDes!$B:$B,[1]StuntDes!$C:$C)),"")</f>
        <v>每秒生命恢复增加{0}</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66</v>
      </c>
      <c r="R1284">
        <v>99</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445</v>
      </c>
      <c r="D1285" t="s">
        <v>36</v>
      </c>
      <c r="E1285" t="s">
        <v>410</v>
      </c>
      <c r="F1285"/>
      <c r="G1285">
        <v>2</v>
      </c>
      <c r="H1285">
        <v>1000</v>
      </c>
      <c r="I1285"/>
      <c r="J1285" cm="1">
        <f t="array" ref="J1285">_xlfn.SWITCH(B1285,1,75,2,61,3,49,4,37,5,25,6,13,7,4,8,1)</f>
        <v>61</v>
      </c>
      <c r="K1285" t="str" cm="1">
        <f t="array" ref="K1285">IFERROR(_xlfn.SWITCH(L1285,1,_xlfn.XLOOKUP(C1285,[1]AttributeName!$C:$C,[1]AttributeName!$I:$I),2,_xlfn.XLOOKUP(C1285,[1]ModifierDes!$B:$B,[1]ModifierDes!$C:$C),3,_xlfn.XLOOKUP(C1285,[1]StuntDes!$B:$B,[1]StuntDes!$C:$C)),"")</f>
        <v>每秒生命恢复增加{0}</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55</v>
      </c>
      <c r="R1285">
        <v>61</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445</v>
      </c>
      <c r="D1286" t="s">
        <v>36</v>
      </c>
      <c r="E1286" t="s">
        <v>410</v>
      </c>
      <c r="F1286"/>
      <c r="G1286">
        <v>2</v>
      </c>
      <c r="H1286">
        <v>1000</v>
      </c>
      <c r="I1286"/>
      <c r="J1286" cm="1">
        <f t="array" ref="J1286">_xlfn.SWITCH(B1286,1,75,2,61,3,49,4,37,5,25,6,13,7,4,8,1)</f>
        <v>49</v>
      </c>
      <c r="K1286" t="str" cm="1">
        <f t="array" ref="K1286">IFERROR(_xlfn.SWITCH(L1286,1,_xlfn.XLOOKUP(C1286,[1]AttributeName!$C:$C,[1]AttributeName!$I:$I),2,_xlfn.XLOOKUP(C1286,[1]ModifierDes!$B:$B,[1]ModifierDes!$C:$C),3,_xlfn.XLOOKUP(C1286,[1]StuntDes!$B:$B,[1]StuntDes!$C:$C)),"")</f>
        <v>每秒生命恢复增加{0}</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45</v>
      </c>
      <c r="R1286">
        <v>51</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445</v>
      </c>
      <c r="D1287" t="s">
        <v>36</v>
      </c>
      <c r="E1287" t="s">
        <v>410</v>
      </c>
      <c r="F1287"/>
      <c r="G1287">
        <v>2</v>
      </c>
      <c r="H1287">
        <v>1000</v>
      </c>
      <c r="I1287"/>
      <c r="J1287" cm="1">
        <f t="array" ref="J1287">_xlfn.SWITCH(B1287,1,75,2,61,3,49,4,37,5,25,6,13,7,4,8,1)</f>
        <v>37</v>
      </c>
      <c r="K1287" t="str" cm="1">
        <f t="array" ref="K1287">IFERROR(_xlfn.SWITCH(L1287,1,_xlfn.XLOOKUP(C1287,[1]AttributeName!$C:$C,[1]AttributeName!$I:$I),2,_xlfn.XLOOKUP(C1287,[1]ModifierDes!$B:$B,[1]ModifierDes!$C:$C),3,_xlfn.XLOOKUP(C1287,[1]StuntDes!$B:$B,[1]StuntDes!$C:$C)),"")</f>
        <v>每秒生命恢复增加{0}</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36</v>
      </c>
      <c r="R1287">
        <v>42</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445</v>
      </c>
      <c r="D1288" t="s">
        <v>36</v>
      </c>
      <c r="E1288" t="s">
        <v>410</v>
      </c>
      <c r="F1288"/>
      <c r="G1288">
        <v>2</v>
      </c>
      <c r="H1288">
        <v>1000</v>
      </c>
      <c r="I1288"/>
      <c r="J1288" cm="1">
        <f t="array" ref="J1288">_xlfn.SWITCH(B1288,1,75,2,61,3,49,4,37,5,25,6,13,7,4,8,1)</f>
        <v>25</v>
      </c>
      <c r="K1288" t="str" cm="1">
        <f t="array" ref="K1288">IFERROR(_xlfn.SWITCH(L1288,1,_xlfn.XLOOKUP(C1288,[1]AttributeName!$C:$C,[1]AttributeName!$I:$I),2,_xlfn.XLOOKUP(C1288,[1]ModifierDes!$B:$B,[1]ModifierDes!$C:$C),3,_xlfn.XLOOKUP(C1288,[1]StuntDes!$B:$B,[1]StuntDes!$C:$C)),"")</f>
        <v>每秒生命恢复增加{0}</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28</v>
      </c>
      <c r="R1288">
        <v>33</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445</v>
      </c>
      <c r="D1289" t="s">
        <v>36</v>
      </c>
      <c r="E1289" t="s">
        <v>410</v>
      </c>
      <c r="F1289"/>
      <c r="G1289">
        <v>2</v>
      </c>
      <c r="H1289">
        <v>1000</v>
      </c>
      <c r="I1289"/>
      <c r="J1289" cm="1">
        <f t="array" ref="J1289">_xlfn.SWITCH(B1289,1,75,2,61,3,49,4,37,5,25,6,13,7,4,8,1)</f>
        <v>13</v>
      </c>
      <c r="K1289" t="str" cm="1">
        <f t="array" ref="K1289">IFERROR(_xlfn.SWITCH(L1289,1,_xlfn.XLOOKUP(C1289,[1]AttributeName!$C:$C,[1]AttributeName!$I:$I),2,_xlfn.XLOOKUP(C1289,[1]ModifierDes!$B:$B,[1]ModifierDes!$C:$C),3,_xlfn.XLOOKUP(C1289,[1]StuntDes!$B:$B,[1]StuntDes!$C:$C)),"")</f>
        <v>每秒生命恢复增加{0}</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21</v>
      </c>
      <c r="R1289">
        <v>26</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445</v>
      </c>
      <c r="D1290" t="s">
        <v>36</v>
      </c>
      <c r="E1290" t="s">
        <v>410</v>
      </c>
      <c r="F1290"/>
      <c r="G1290">
        <v>2</v>
      </c>
      <c r="H1290">
        <v>1000</v>
      </c>
      <c r="I1290"/>
      <c r="J1290" cm="1">
        <f t="array" ref="J1290">_xlfn.SWITCH(B1290,1,75,2,61,3,49,4,37,5,25,6,13,7,4,8,1)</f>
        <v>4</v>
      </c>
      <c r="K1290" t="str" cm="1">
        <f t="array" ref="K1290">IFERROR(_xlfn.SWITCH(L1290,1,_xlfn.XLOOKUP(C1290,[1]AttributeName!$C:$C,[1]AttributeName!$I:$I),2,_xlfn.XLOOKUP(C1290,[1]ModifierDes!$B:$B,[1]ModifierDes!$C:$C),3,_xlfn.XLOOKUP(C1290,[1]StuntDes!$B:$B,[1]StuntDes!$C:$C)),"")</f>
        <v>每秒生命恢复增加{0}</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14</v>
      </c>
      <c r="R1290">
        <v>18</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445</v>
      </c>
      <c r="D1291" t="s">
        <v>36</v>
      </c>
      <c r="E1291" t="s">
        <v>410</v>
      </c>
      <c r="F1291"/>
      <c r="G1291">
        <v>2</v>
      </c>
      <c r="H1291">
        <v>1000</v>
      </c>
      <c r="I1291"/>
      <c r="J1291" cm="1">
        <f t="array" ref="J1291">_xlfn.SWITCH(B1291,1,75,2,61,3,49,4,37,5,25,6,13,7,4,8,1)</f>
        <v>1</v>
      </c>
      <c r="K1291" t="str" cm="1">
        <f t="array" ref="K1291">IFERROR(_xlfn.SWITCH(L1291,1,_xlfn.XLOOKUP(C1291,[1]AttributeName!$C:$C,[1]AttributeName!$I:$I),2,_xlfn.XLOOKUP(C1291,[1]ModifierDes!$B:$B,[1]ModifierDes!$C:$C),3,_xlfn.XLOOKUP(C1291,[1]StuntDes!$B:$B,[1]StuntDes!$C:$C)),"")</f>
        <v>每秒生命恢复增加{0}</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8</v>
      </c>
      <c r="R1291">
        <v>13</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446</v>
      </c>
      <c r="D1292" t="s">
        <v>36</v>
      </c>
      <c r="E1292" t="s">
        <v>410</v>
      </c>
      <c r="G1292">
        <v>2</v>
      </c>
      <c r="H1292">
        <v>1000</v>
      </c>
      <c r="I1292"/>
      <c r="J1292" cm="1">
        <f t="array" ref="J1292">_xlfn.SWITCH(B1292,1,75,2,61,3,49,4,37,5,25,6,13,7,4,8,1)</f>
        <v>75</v>
      </c>
      <c r="K1292" t="str" cm="1">
        <f t="array" ref="K1292">IFERROR(_xlfn.SWITCH(L1292,1,_xlfn.XLOOKUP(C1292,[1]AttributeName!$C:$C,[1]AttributeName!$I:$I),2,_xlfn.XLOOKUP(C1292,[1]ModifierDes!$B:$B,[1]ModifierDes!$C:$C),3,_xlfn.XLOOKUP(C1292,[1]StuntDes!$B:$B,[1]StuntDes!$C:$C)),"")</f>
        <v>每秒魔力恢复增加{0}</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44</v>
      </c>
      <c r="R1292">
        <v>66</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446</v>
      </c>
      <c r="D1293" t="s">
        <v>36</v>
      </c>
      <c r="E1293" t="s">
        <v>410</v>
      </c>
      <c r="G1293">
        <v>2</v>
      </c>
      <c r="H1293">
        <v>1000</v>
      </c>
      <c r="I1293"/>
      <c r="J1293" cm="1">
        <f t="array" ref="J1293">_xlfn.SWITCH(B1293,1,75,2,61,3,49,4,37,5,25,6,13,7,4,8,1)</f>
        <v>61</v>
      </c>
      <c r="K1293" t="str" cm="1">
        <f t="array" ref="K1293">IFERROR(_xlfn.SWITCH(L1293,1,_xlfn.XLOOKUP(C1293,[1]AttributeName!$C:$C,[1]AttributeName!$I:$I),2,_xlfn.XLOOKUP(C1293,[1]ModifierDes!$B:$B,[1]ModifierDes!$C:$C),3,_xlfn.XLOOKUP(C1293,[1]StuntDes!$B:$B,[1]StuntDes!$C:$C)),"")</f>
        <v>每秒魔力恢复增加{0}</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37</v>
      </c>
      <c r="R1293">
        <v>40</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446</v>
      </c>
      <c r="D1294" t="s">
        <v>36</v>
      </c>
      <c r="E1294" t="s">
        <v>410</v>
      </c>
      <c r="G1294">
        <v>2</v>
      </c>
      <c r="H1294">
        <v>1000</v>
      </c>
      <c r="I1294"/>
      <c r="J1294" cm="1">
        <f t="array" ref="J1294">_xlfn.SWITCH(B1294,1,75,2,61,3,49,4,37,5,25,6,13,7,4,8,1)</f>
        <v>49</v>
      </c>
      <c r="K1294" t="str" cm="1">
        <f t="array" ref="K1294">IFERROR(_xlfn.SWITCH(L1294,1,_xlfn.XLOOKUP(C1294,[1]AttributeName!$C:$C,[1]AttributeName!$I:$I),2,_xlfn.XLOOKUP(C1294,[1]ModifierDes!$B:$B,[1]ModifierDes!$C:$C),3,_xlfn.XLOOKUP(C1294,[1]StuntDes!$B:$B,[1]StuntDes!$C:$C)),"")</f>
        <v>每秒魔力恢复增加{0}</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30</v>
      </c>
      <c r="R1294">
        <v>34</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446</v>
      </c>
      <c r="D1295" t="s">
        <v>36</v>
      </c>
      <c r="E1295" t="s">
        <v>410</v>
      </c>
      <c r="G1295">
        <v>2</v>
      </c>
      <c r="H1295">
        <v>1000</v>
      </c>
      <c r="I1295"/>
      <c r="J1295" cm="1">
        <f t="array" ref="J1295">_xlfn.SWITCH(B1295,1,75,2,61,3,49,4,37,5,25,6,13,7,4,8,1)</f>
        <v>37</v>
      </c>
      <c r="K1295" t="str" cm="1">
        <f t="array" ref="K1295">IFERROR(_xlfn.SWITCH(L1295,1,_xlfn.XLOOKUP(C1295,[1]AttributeName!$C:$C,[1]AttributeName!$I:$I),2,_xlfn.XLOOKUP(C1295,[1]ModifierDes!$B:$B,[1]ModifierDes!$C:$C),3,_xlfn.XLOOKUP(C1295,[1]StuntDes!$B:$B,[1]StuntDes!$C:$C)),"")</f>
        <v>每秒魔力恢复增加{0}</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24</v>
      </c>
      <c r="R1295">
        <v>28</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446</v>
      </c>
      <c r="D1296" t="s">
        <v>36</v>
      </c>
      <c r="E1296" t="s">
        <v>410</v>
      </c>
      <c r="G1296">
        <v>2</v>
      </c>
      <c r="H1296">
        <v>1000</v>
      </c>
      <c r="I1296"/>
      <c r="J1296" cm="1">
        <f t="array" ref="J1296">_xlfn.SWITCH(B1296,1,75,2,61,3,49,4,37,5,25,6,13,7,4,8,1)</f>
        <v>25</v>
      </c>
      <c r="K1296" t="str" cm="1">
        <f t="array" ref="K1296">IFERROR(_xlfn.SWITCH(L1296,1,_xlfn.XLOOKUP(C1296,[1]AttributeName!$C:$C,[1]AttributeName!$I:$I),2,_xlfn.XLOOKUP(C1296,[1]ModifierDes!$B:$B,[1]ModifierDes!$C:$C),3,_xlfn.XLOOKUP(C1296,[1]StuntDes!$B:$B,[1]StuntDes!$C:$C)),"")</f>
        <v>每秒魔力恢复增加{0}</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19</v>
      </c>
      <c r="R1296">
        <v>22</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446</v>
      </c>
      <c r="D1297" t="s">
        <v>36</v>
      </c>
      <c r="E1297" t="s">
        <v>410</v>
      </c>
      <c r="G1297">
        <v>2</v>
      </c>
      <c r="H1297">
        <v>1000</v>
      </c>
      <c r="I1297"/>
      <c r="J1297" cm="1">
        <f t="array" ref="J1297">_xlfn.SWITCH(B1297,1,75,2,61,3,49,4,37,5,25,6,13,7,4,8,1)</f>
        <v>13</v>
      </c>
      <c r="K1297" t="str" cm="1">
        <f t="array" ref="K1297">IFERROR(_xlfn.SWITCH(L1297,1,_xlfn.XLOOKUP(C1297,[1]AttributeName!$C:$C,[1]AttributeName!$I:$I),2,_xlfn.XLOOKUP(C1297,[1]ModifierDes!$B:$B,[1]ModifierDes!$C:$C),3,_xlfn.XLOOKUP(C1297,[1]StuntDes!$B:$B,[1]StuntDes!$C:$C)),"")</f>
        <v>每秒魔力恢复增加{0}</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14</v>
      </c>
      <c r="R1297">
        <v>17</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446</v>
      </c>
      <c r="D1298" t="s">
        <v>36</v>
      </c>
      <c r="E1298" t="s">
        <v>410</v>
      </c>
      <c r="G1298">
        <v>2</v>
      </c>
      <c r="H1298">
        <v>1000</v>
      </c>
      <c r="I1298"/>
      <c r="J1298" cm="1">
        <f t="array" ref="J1298">_xlfn.SWITCH(B1298,1,75,2,61,3,49,4,37,5,25,6,13,7,4,8,1)</f>
        <v>4</v>
      </c>
      <c r="K1298" t="str" cm="1">
        <f t="array" ref="K1298">IFERROR(_xlfn.SWITCH(L1298,1,_xlfn.XLOOKUP(C1298,[1]AttributeName!$C:$C,[1]AttributeName!$I:$I),2,_xlfn.XLOOKUP(C1298,[1]ModifierDes!$B:$B,[1]ModifierDes!$C:$C),3,_xlfn.XLOOKUP(C1298,[1]StuntDes!$B:$B,[1]StuntDes!$C:$C)),"")</f>
        <v>每秒魔力恢复增加{0}</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9</v>
      </c>
      <c r="R1298">
        <v>12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446</v>
      </c>
      <c r="D1299" t="s">
        <v>36</v>
      </c>
      <c r="E1299" t="s">
        <v>410</v>
      </c>
      <c r="G1299">
        <v>2</v>
      </c>
      <c r="H1299">
        <v>1000</v>
      </c>
      <c r="I1299"/>
      <c r="J1299" cm="1">
        <f t="array" ref="J1299">_xlfn.SWITCH(B1299,1,75,2,61,3,49,4,37,5,25,6,13,7,4,8,1)</f>
        <v>1</v>
      </c>
      <c r="K1299" t="str" cm="1">
        <f t="array" ref="K1299">IFERROR(_xlfn.SWITCH(L1299,1,_xlfn.XLOOKUP(C1299,[1]AttributeName!$C:$C,[1]AttributeName!$I:$I),2,_xlfn.XLOOKUP(C1299,[1]ModifierDes!$B:$B,[1]ModifierDes!$C:$C),3,_xlfn.XLOOKUP(C1299,[1]StuntDes!$B:$B,[1]StuntDes!$C:$C)),"")</f>
        <v>每秒魔力恢复增加{0}</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5</v>
      </c>
      <c r="R1299">
        <v>8</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407</v>
      </c>
      <c r="D1300" t="s">
        <v>37</v>
      </c>
      <c r="E1300" t="s">
        <v>393</v>
      </c>
      <c r="F1300"/>
      <c r="G1300">
        <v>1</v>
      </c>
      <c r="H1300">
        <v>1000</v>
      </c>
      <c r="J1300" cm="1">
        <f t="array" ref="J1300">_xlfn.SWITCH(B1300,1,75,2,61,3,49,4,37,5,25,6,13,7,4,8,1)</f>
        <v>75</v>
      </c>
      <c r="K1300" t="str" cm="1">
        <f t="array" ref="K1300">IFERROR(_xlfn.SWITCH(L1300,1,_xlfn.XLOOKUP(C1300,[1]AttributeName!$C:$C,[1]AttributeName!$I:$I),2,_xlfn.XLOOKUP(C1300,[1]ModifierDes!$B:$B,[1]ModifierDes!$C:$C),3,_xlfn.XLOOKUP(C1300,[1]StuntDes!$B:$B,[1]StuntDes!$C:$C)),"")</f>
        <v>基础生命增加{0}</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407</v>
      </c>
      <c r="D1301" t="s">
        <v>37</v>
      </c>
      <c r="E1301" t="s">
        <v>393</v>
      </c>
      <c r="F1301"/>
      <c r="G1301">
        <v>1</v>
      </c>
      <c r="H1301">
        <v>1000</v>
      </c>
      <c r="J1301" cm="1">
        <f t="array" ref="J1301">_xlfn.SWITCH(B1301,1,75,2,61,3,49,4,37,5,25,6,13,7,4,8,1)</f>
        <v>61</v>
      </c>
      <c r="K1301" t="str" cm="1">
        <f t="array" ref="K1301">IFERROR(_xlfn.SWITCH(L1301,1,_xlfn.XLOOKUP(C1301,[1]AttributeName!$C:$C,[1]AttributeName!$I:$I),2,_xlfn.XLOOKUP(C1301,[1]ModifierDes!$B:$B,[1]ModifierDes!$C:$C),3,_xlfn.XLOOKUP(C1301,[1]StuntDes!$B:$B,[1]StuntDes!$C:$C)),"")</f>
        <v>基础生命增加{0}</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407</v>
      </c>
      <c r="D1302" t="s">
        <v>37</v>
      </c>
      <c r="E1302" t="s">
        <v>393</v>
      </c>
      <c r="F1302"/>
      <c r="G1302">
        <v>1</v>
      </c>
      <c r="H1302">
        <v>1000</v>
      </c>
      <c r="J1302" cm="1">
        <f t="array" ref="J1302">_xlfn.SWITCH(B1302,1,75,2,61,3,49,4,37,5,25,6,13,7,4,8,1)</f>
        <v>49</v>
      </c>
      <c r="K1302" t="str" cm="1">
        <f t="array" ref="K1302">IFERROR(_xlfn.SWITCH(L1302,1,_xlfn.XLOOKUP(C1302,[1]AttributeName!$C:$C,[1]AttributeName!$I:$I),2,_xlfn.XLOOKUP(C1302,[1]ModifierDes!$B:$B,[1]ModifierDes!$C:$C),3,_xlfn.XLOOKUP(C1302,[1]StuntDes!$B:$B,[1]StuntDes!$C:$C)),"")</f>
        <v>基础生命增加{0}</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407</v>
      </c>
      <c r="D1303" t="s">
        <v>37</v>
      </c>
      <c r="E1303" t="s">
        <v>393</v>
      </c>
      <c r="F1303"/>
      <c r="G1303">
        <v>1</v>
      </c>
      <c r="H1303">
        <v>1000</v>
      </c>
      <c r="J1303" cm="1">
        <f t="array" ref="J1303">_xlfn.SWITCH(B1303,1,75,2,61,3,49,4,37,5,25,6,13,7,4,8,1)</f>
        <v>37</v>
      </c>
      <c r="K1303" t="str" cm="1">
        <f t="array" ref="K1303">IFERROR(_xlfn.SWITCH(L1303,1,_xlfn.XLOOKUP(C1303,[1]AttributeName!$C:$C,[1]AttributeName!$I:$I),2,_xlfn.XLOOKUP(C1303,[1]ModifierDes!$B:$B,[1]ModifierDes!$C:$C),3,_xlfn.XLOOKUP(C1303,[1]StuntDes!$B:$B,[1]StuntDes!$C:$C)),"")</f>
        <v>基础生命增加{0}</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407</v>
      </c>
      <c r="D1304" t="s">
        <v>37</v>
      </c>
      <c r="E1304" t="s">
        <v>393</v>
      </c>
      <c r="F1304"/>
      <c r="G1304">
        <v>1</v>
      </c>
      <c r="H1304">
        <v>1000</v>
      </c>
      <c r="J1304" cm="1">
        <f t="array" ref="J1304">_xlfn.SWITCH(B1304,1,75,2,61,3,49,4,37,5,25,6,13,7,4,8,1)</f>
        <v>25</v>
      </c>
      <c r="K1304" t="str" cm="1">
        <f t="array" ref="K1304">IFERROR(_xlfn.SWITCH(L1304,1,_xlfn.XLOOKUP(C1304,[1]AttributeName!$C:$C,[1]AttributeName!$I:$I),2,_xlfn.XLOOKUP(C1304,[1]ModifierDes!$B:$B,[1]ModifierDes!$C:$C),3,_xlfn.XLOOKUP(C1304,[1]StuntDes!$B:$B,[1]StuntDes!$C:$C)),"")</f>
        <v>基础生命增加{0}</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407</v>
      </c>
      <c r="D1305" t="s">
        <v>37</v>
      </c>
      <c r="E1305" t="s">
        <v>393</v>
      </c>
      <c r="F1305"/>
      <c r="G1305">
        <v>1</v>
      </c>
      <c r="H1305">
        <v>1000</v>
      </c>
      <c r="J1305" cm="1">
        <f t="array" ref="J1305">_xlfn.SWITCH(B1305,1,75,2,61,3,49,4,37,5,25,6,13,7,4,8,1)</f>
        <v>13</v>
      </c>
      <c r="K1305" t="str" cm="1">
        <f t="array" ref="K1305">IFERROR(_xlfn.SWITCH(L1305,1,_xlfn.XLOOKUP(C1305,[1]AttributeName!$C:$C,[1]AttributeName!$I:$I),2,_xlfn.XLOOKUP(C1305,[1]ModifierDes!$B:$B,[1]ModifierDes!$C:$C),3,_xlfn.XLOOKUP(C1305,[1]StuntDes!$B:$B,[1]StuntDes!$C:$C)),"")</f>
        <v>基础生命增加{0}</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407</v>
      </c>
      <c r="D1306" t="s">
        <v>37</v>
      </c>
      <c r="E1306" t="s">
        <v>393</v>
      </c>
      <c r="F1306"/>
      <c r="G1306">
        <v>1</v>
      </c>
      <c r="H1306">
        <v>1000</v>
      </c>
      <c r="J1306" cm="1">
        <f t="array" ref="J1306">_xlfn.SWITCH(B1306,1,75,2,61,3,49,4,37,5,25,6,13,7,4,8,1)</f>
        <v>4</v>
      </c>
      <c r="K1306" t="str" cm="1">
        <f t="array" ref="K1306">IFERROR(_xlfn.SWITCH(L1306,1,_xlfn.XLOOKUP(C1306,[1]AttributeName!$C:$C,[1]AttributeName!$I:$I),2,_xlfn.XLOOKUP(C1306,[1]ModifierDes!$B:$B,[1]ModifierDes!$C:$C),3,_xlfn.XLOOKUP(C1306,[1]StuntDes!$B:$B,[1]StuntDes!$C:$C)),"")</f>
        <v>基础生命增加{0}</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407</v>
      </c>
      <c r="D1307" t="s">
        <v>37</v>
      </c>
      <c r="E1307" t="s">
        <v>393</v>
      </c>
      <c r="F1307"/>
      <c r="G1307">
        <v>1</v>
      </c>
      <c r="H1307">
        <v>1000</v>
      </c>
      <c r="J1307" cm="1">
        <f t="array" ref="J1307">_xlfn.SWITCH(B1307,1,75,2,61,3,49,4,37,5,25,6,13,7,4,8,1)</f>
        <v>1</v>
      </c>
      <c r="K1307" t="str" cm="1">
        <f t="array" ref="K1307">IFERROR(_xlfn.SWITCH(L1307,1,_xlfn.XLOOKUP(C1307,[1]AttributeName!$C:$C,[1]AttributeName!$I:$I),2,_xlfn.XLOOKUP(C1307,[1]ModifierDes!$B:$B,[1]ModifierDes!$C:$C),3,_xlfn.XLOOKUP(C1307,[1]StuntDes!$B:$B,[1]StuntDes!$C:$C)),"")</f>
        <v>基础生命增加{0}</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408</v>
      </c>
      <c r="D1308" t="s">
        <v>37</v>
      </c>
      <c r="E1308" t="s">
        <v>393</v>
      </c>
      <c r="F1308"/>
      <c r="G1308">
        <v>1</v>
      </c>
      <c r="H1308">
        <v>1000</v>
      </c>
      <c r="J1308" cm="1">
        <f t="array" ref="J1308">_xlfn.SWITCH(B1308,1,75,2,61,3,49,4,37,5,25,6,13,7,4,8,1)</f>
        <v>75</v>
      </c>
      <c r="K1308" t="str" cm="1">
        <f t="array" ref="K1308">IFERROR(_xlfn.SWITCH(L1308,1,_xlfn.XLOOKUP(C1308,[1]AttributeName!$C:$C,[1]AttributeName!$I:$I),2,_xlfn.XLOOKUP(C1308,[1]ModifierDes!$B:$B,[1]ModifierDes!$C:$C),3,_xlfn.XLOOKUP(C1308,[1]StuntDes!$B:$B,[1]StuntDes!$C:$C)),"")</f>
        <v>基础魔力增加{0}</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408</v>
      </c>
      <c r="D1309" t="s">
        <v>37</v>
      </c>
      <c r="E1309" t="s">
        <v>393</v>
      </c>
      <c r="F1309"/>
      <c r="G1309">
        <v>1</v>
      </c>
      <c r="H1309">
        <v>1000</v>
      </c>
      <c r="J1309" cm="1">
        <f t="array" ref="J1309">_xlfn.SWITCH(B1309,1,75,2,61,3,49,4,37,5,25,6,13,7,4,8,1)</f>
        <v>61</v>
      </c>
      <c r="K1309" t="str" cm="1">
        <f t="array" ref="K1309">IFERROR(_xlfn.SWITCH(L1309,1,_xlfn.XLOOKUP(C1309,[1]AttributeName!$C:$C,[1]AttributeName!$I:$I),2,_xlfn.XLOOKUP(C1309,[1]ModifierDes!$B:$B,[1]ModifierDes!$C:$C),3,_xlfn.XLOOKUP(C1309,[1]StuntDes!$B:$B,[1]StuntDes!$C:$C)),"")</f>
        <v>基础魔力增加{0}</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408</v>
      </c>
      <c r="D1310" t="s">
        <v>37</v>
      </c>
      <c r="E1310" t="s">
        <v>393</v>
      </c>
      <c r="F1310"/>
      <c r="G1310">
        <v>1</v>
      </c>
      <c r="H1310">
        <v>1000</v>
      </c>
      <c r="J1310" cm="1">
        <f t="array" ref="J1310">_xlfn.SWITCH(B1310,1,75,2,61,3,49,4,37,5,25,6,13,7,4,8,1)</f>
        <v>49</v>
      </c>
      <c r="K1310" t="str" cm="1">
        <f t="array" ref="K1310">IFERROR(_xlfn.SWITCH(L1310,1,_xlfn.XLOOKUP(C1310,[1]AttributeName!$C:$C,[1]AttributeName!$I:$I),2,_xlfn.XLOOKUP(C1310,[1]ModifierDes!$B:$B,[1]ModifierDes!$C:$C),3,_xlfn.XLOOKUP(C1310,[1]StuntDes!$B:$B,[1]StuntDes!$C:$C)),"")</f>
        <v>基础魔力增加{0}</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408</v>
      </c>
      <c r="D1311" t="s">
        <v>37</v>
      </c>
      <c r="E1311" t="s">
        <v>393</v>
      </c>
      <c r="F1311"/>
      <c r="G1311">
        <v>1</v>
      </c>
      <c r="H1311">
        <v>1000</v>
      </c>
      <c r="J1311" cm="1">
        <f t="array" ref="J1311">_xlfn.SWITCH(B1311,1,75,2,61,3,49,4,37,5,25,6,13,7,4,8,1)</f>
        <v>37</v>
      </c>
      <c r="K1311" t="str" cm="1">
        <f t="array" ref="K1311">IFERROR(_xlfn.SWITCH(L1311,1,_xlfn.XLOOKUP(C1311,[1]AttributeName!$C:$C,[1]AttributeName!$I:$I),2,_xlfn.XLOOKUP(C1311,[1]ModifierDes!$B:$B,[1]ModifierDes!$C:$C),3,_xlfn.XLOOKUP(C1311,[1]StuntDes!$B:$B,[1]StuntDes!$C:$C)),"")</f>
        <v>基础魔力增加{0}</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408</v>
      </c>
      <c r="D1312" t="s">
        <v>37</v>
      </c>
      <c r="E1312" t="s">
        <v>393</v>
      </c>
      <c r="F1312"/>
      <c r="G1312">
        <v>1</v>
      </c>
      <c r="H1312">
        <v>1000</v>
      </c>
      <c r="J1312" cm="1">
        <f t="array" ref="J1312">_xlfn.SWITCH(B1312,1,75,2,61,3,49,4,37,5,25,6,13,7,4,8,1)</f>
        <v>25</v>
      </c>
      <c r="K1312" t="str" cm="1">
        <f t="array" ref="K1312">IFERROR(_xlfn.SWITCH(L1312,1,_xlfn.XLOOKUP(C1312,[1]AttributeName!$C:$C,[1]AttributeName!$I:$I),2,_xlfn.XLOOKUP(C1312,[1]ModifierDes!$B:$B,[1]ModifierDes!$C:$C),3,_xlfn.XLOOKUP(C1312,[1]StuntDes!$B:$B,[1]StuntDes!$C:$C)),"")</f>
        <v>基础魔力增加{0}</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408</v>
      </c>
      <c r="D1313" t="s">
        <v>37</v>
      </c>
      <c r="E1313" t="s">
        <v>393</v>
      </c>
      <c r="F1313"/>
      <c r="G1313">
        <v>1</v>
      </c>
      <c r="H1313">
        <v>1000</v>
      </c>
      <c r="J1313" cm="1">
        <f t="array" ref="J1313">_xlfn.SWITCH(B1313,1,75,2,61,3,49,4,37,5,25,6,13,7,4,8,1)</f>
        <v>13</v>
      </c>
      <c r="K1313" t="str" cm="1">
        <f t="array" ref="K1313">IFERROR(_xlfn.SWITCH(L1313,1,_xlfn.XLOOKUP(C1313,[1]AttributeName!$C:$C,[1]AttributeName!$I:$I),2,_xlfn.XLOOKUP(C1313,[1]ModifierDes!$B:$B,[1]ModifierDes!$C:$C),3,_xlfn.XLOOKUP(C1313,[1]StuntDes!$B:$B,[1]StuntDes!$C:$C)),"")</f>
        <v>基础魔力增加{0}</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408</v>
      </c>
      <c r="D1314" t="s">
        <v>37</v>
      </c>
      <c r="E1314" t="s">
        <v>393</v>
      </c>
      <c r="F1314"/>
      <c r="G1314">
        <v>1</v>
      </c>
      <c r="H1314">
        <v>1000</v>
      </c>
      <c r="J1314" cm="1">
        <f t="array" ref="J1314">_xlfn.SWITCH(B1314,1,75,2,61,3,49,4,37,5,25,6,13,7,4,8,1)</f>
        <v>4</v>
      </c>
      <c r="K1314" t="str" cm="1">
        <f t="array" ref="K1314">IFERROR(_xlfn.SWITCH(L1314,1,_xlfn.XLOOKUP(C1314,[1]AttributeName!$C:$C,[1]AttributeName!$I:$I),2,_xlfn.XLOOKUP(C1314,[1]ModifierDes!$B:$B,[1]ModifierDes!$C:$C),3,_xlfn.XLOOKUP(C1314,[1]StuntDes!$B:$B,[1]StuntDes!$C:$C)),"")</f>
        <v>基础魔力增加{0}</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408</v>
      </c>
      <c r="D1315" t="s">
        <v>37</v>
      </c>
      <c r="E1315" t="s">
        <v>393</v>
      </c>
      <c r="F1315"/>
      <c r="G1315">
        <v>1</v>
      </c>
      <c r="H1315">
        <v>1000</v>
      </c>
      <c r="J1315" cm="1">
        <f t="array" ref="J1315">_xlfn.SWITCH(B1315,1,75,2,61,3,49,4,37,5,25,6,13,7,4,8,1)</f>
        <v>1</v>
      </c>
      <c r="K1315" t="str" cm="1">
        <f t="array" ref="K1315">IFERROR(_xlfn.SWITCH(L1315,1,_xlfn.XLOOKUP(C1315,[1]AttributeName!$C:$C,[1]AttributeName!$I:$I),2,_xlfn.XLOOKUP(C1315,[1]ModifierDes!$B:$B,[1]ModifierDes!$C:$C),3,_xlfn.XLOOKUP(C1315,[1]StuntDes!$B:$B,[1]StuntDes!$C:$C)),"")</f>
        <v>基础魔力增加{0}</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428</v>
      </c>
      <c r="D1316" t="s">
        <v>37</v>
      </c>
      <c r="E1316" t="s">
        <v>393</v>
      </c>
      <c r="G1316">
        <v>1</v>
      </c>
      <c r="H1316">
        <v>1000</v>
      </c>
      <c r="J1316" cm="1">
        <f t="array" ref="J1316">_xlfn.SWITCH(B1316,1,75,2,61,3,49,4,37,5,25,6,13,7,4,8,1)</f>
        <v>75</v>
      </c>
      <c r="K1316" t="str" cm="1">
        <f t="array" ref="K1316">IFERROR(_xlfn.SWITCH(L1316,1,_xlfn.XLOOKUP(C1316,[1]AttributeName!$C:$C,[1]AttributeName!$I:$I),2,_xlfn.XLOOKUP(C1316,[1]ModifierDes!$B:$B,[1]ModifierDes!$C:$C),3,_xlfn.XLOOKUP(C1316,[1]StuntDes!$B:$B,[1]StuntDes!$C:$C)),"")</f>
        <v>防御力增加{0}</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428</v>
      </c>
      <c r="D1317" t="s">
        <v>37</v>
      </c>
      <c r="E1317" t="s">
        <v>393</v>
      </c>
      <c r="G1317">
        <v>1</v>
      </c>
      <c r="H1317">
        <v>1000</v>
      </c>
      <c r="J1317" cm="1">
        <f t="array" ref="J1317">_xlfn.SWITCH(B1317,1,75,2,61,3,49,4,37,5,25,6,13,7,4,8,1)</f>
        <v>61</v>
      </c>
      <c r="K1317" t="str" cm="1">
        <f t="array" ref="K1317">IFERROR(_xlfn.SWITCH(L1317,1,_xlfn.XLOOKUP(C1317,[1]AttributeName!$C:$C,[1]AttributeName!$I:$I),2,_xlfn.XLOOKUP(C1317,[1]ModifierDes!$B:$B,[1]ModifierDes!$C:$C),3,_xlfn.XLOOKUP(C1317,[1]StuntDes!$B:$B,[1]StuntDes!$C:$C)),"")</f>
        <v>防御力增加{0}</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428</v>
      </c>
      <c r="D1318" t="s">
        <v>37</v>
      </c>
      <c r="E1318" t="s">
        <v>393</v>
      </c>
      <c r="G1318">
        <v>1</v>
      </c>
      <c r="H1318">
        <v>1000</v>
      </c>
      <c r="J1318" cm="1">
        <f t="array" ref="J1318">_xlfn.SWITCH(B1318,1,75,2,61,3,49,4,37,5,25,6,13,7,4,8,1)</f>
        <v>49</v>
      </c>
      <c r="K1318" t="str" cm="1">
        <f t="array" ref="K1318">IFERROR(_xlfn.SWITCH(L1318,1,_xlfn.XLOOKUP(C1318,[1]AttributeName!$C:$C,[1]AttributeName!$I:$I),2,_xlfn.XLOOKUP(C1318,[1]ModifierDes!$B:$B,[1]ModifierDes!$C:$C),3,_xlfn.XLOOKUP(C1318,[1]StuntDes!$B:$B,[1]StuntDes!$C:$C)),"")</f>
        <v>防御力增加{0}</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428</v>
      </c>
      <c r="D1319" t="s">
        <v>37</v>
      </c>
      <c r="E1319" t="s">
        <v>393</v>
      </c>
      <c r="G1319">
        <v>1</v>
      </c>
      <c r="H1319">
        <v>1000</v>
      </c>
      <c r="J1319" cm="1">
        <f t="array" ref="J1319">_xlfn.SWITCH(B1319,1,75,2,61,3,49,4,37,5,25,6,13,7,4,8,1)</f>
        <v>37</v>
      </c>
      <c r="K1319" t="str" cm="1">
        <f t="array" ref="K1319">IFERROR(_xlfn.SWITCH(L1319,1,_xlfn.XLOOKUP(C1319,[1]AttributeName!$C:$C,[1]AttributeName!$I:$I),2,_xlfn.XLOOKUP(C1319,[1]ModifierDes!$B:$B,[1]ModifierDes!$C:$C),3,_xlfn.XLOOKUP(C1319,[1]StuntDes!$B:$B,[1]StuntDes!$C:$C)),"")</f>
        <v>防御力增加{0}</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428</v>
      </c>
      <c r="D1320" t="s">
        <v>37</v>
      </c>
      <c r="E1320" t="s">
        <v>393</v>
      </c>
      <c r="G1320">
        <v>1</v>
      </c>
      <c r="H1320">
        <v>1000</v>
      </c>
      <c r="J1320" cm="1">
        <f t="array" ref="J1320">_xlfn.SWITCH(B1320,1,75,2,61,3,49,4,37,5,25,6,13,7,4,8,1)</f>
        <v>25</v>
      </c>
      <c r="K1320" t="str" cm="1">
        <f t="array" ref="K1320">IFERROR(_xlfn.SWITCH(L1320,1,_xlfn.XLOOKUP(C1320,[1]AttributeName!$C:$C,[1]AttributeName!$I:$I),2,_xlfn.XLOOKUP(C1320,[1]ModifierDes!$B:$B,[1]ModifierDes!$C:$C),3,_xlfn.XLOOKUP(C1320,[1]StuntDes!$B:$B,[1]StuntDes!$C:$C)),"")</f>
        <v>防御力增加{0}</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428</v>
      </c>
      <c r="D1321" t="s">
        <v>37</v>
      </c>
      <c r="E1321" t="s">
        <v>393</v>
      </c>
      <c r="G1321">
        <v>1</v>
      </c>
      <c r="H1321">
        <v>1000</v>
      </c>
      <c r="J1321" cm="1">
        <f t="array" ref="J1321">_xlfn.SWITCH(B1321,1,75,2,61,3,49,4,37,5,25,6,13,7,4,8,1)</f>
        <v>13</v>
      </c>
      <c r="K1321" t="str" cm="1">
        <f t="array" ref="K1321">IFERROR(_xlfn.SWITCH(L1321,1,_xlfn.XLOOKUP(C1321,[1]AttributeName!$C:$C,[1]AttributeName!$I:$I),2,_xlfn.XLOOKUP(C1321,[1]ModifierDes!$B:$B,[1]ModifierDes!$C:$C),3,_xlfn.XLOOKUP(C1321,[1]StuntDes!$B:$B,[1]StuntDes!$C:$C)),"")</f>
        <v>防御力增加{0}</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428</v>
      </c>
      <c r="D1322" t="s">
        <v>37</v>
      </c>
      <c r="E1322" t="s">
        <v>393</v>
      </c>
      <c r="G1322">
        <v>1</v>
      </c>
      <c r="H1322">
        <v>1000</v>
      </c>
      <c r="J1322" cm="1">
        <f t="array" ref="J1322">_xlfn.SWITCH(B1322,1,75,2,61,3,49,4,37,5,25,6,13,7,4,8,1)</f>
        <v>4</v>
      </c>
      <c r="K1322" t="str" cm="1">
        <f t="array" ref="K1322">IFERROR(_xlfn.SWITCH(L1322,1,_xlfn.XLOOKUP(C1322,[1]AttributeName!$C:$C,[1]AttributeName!$I:$I),2,_xlfn.XLOOKUP(C1322,[1]ModifierDes!$B:$B,[1]ModifierDes!$C:$C),3,_xlfn.XLOOKUP(C1322,[1]StuntDes!$B:$B,[1]StuntDes!$C:$C)),"")</f>
        <v>防御力增加{0}</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428</v>
      </c>
      <c r="D1323" t="s">
        <v>37</v>
      </c>
      <c r="E1323" t="s">
        <v>393</v>
      </c>
      <c r="G1323">
        <v>1</v>
      </c>
      <c r="H1323">
        <v>1000</v>
      </c>
      <c r="J1323" cm="1">
        <f t="array" ref="J1323">_xlfn.SWITCH(B1323,1,75,2,61,3,49,4,37,5,25,6,13,7,4,8,1)</f>
        <v>1</v>
      </c>
      <c r="K1323" t="str" cm="1">
        <f t="array" ref="K1323">IFERROR(_xlfn.SWITCH(L1323,1,_xlfn.XLOOKUP(C1323,[1]AttributeName!$C:$C,[1]AttributeName!$I:$I),2,_xlfn.XLOOKUP(C1323,[1]ModifierDes!$B:$B,[1]ModifierDes!$C:$C),3,_xlfn.XLOOKUP(C1323,[1]StuntDes!$B:$B,[1]StuntDes!$C:$C)),"")</f>
        <v>防御力增加{0}</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94</v>
      </c>
      <c r="D1324" t="s">
        <v>37</v>
      </c>
      <c r="E1324" t="s">
        <v>393</v>
      </c>
      <c r="G1324">
        <v>1</v>
      </c>
      <c r="H1324">
        <v>1000</v>
      </c>
      <c r="J1324" cm="1">
        <f t="array" ref="J1324">_xlfn.SWITCH(B1324,1,75,2,61,3,49,4,37,5,25,6,13,7,4,8,1)</f>
        <v>75</v>
      </c>
      <c r="K1324" t="str" cm="1">
        <f t="array" ref="K1324">IFERROR(_xlfn.SWITCH(L1324,1,_xlfn.XLOOKUP(C1324,[1]AttributeName!$C:$C,[1]AttributeName!$I:$I),2,_xlfn.XLOOKUP(C1324,[1]ModifierDes!$B:$B,[1]ModifierDes!$C:$C),3,_xlfn.XLOOKUP(C1324,[1]StuntDes!$B:$B,[1]StuntDes!$C:$C)),"")</f>
        <v>装备稀有度增加{0}</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94</v>
      </c>
      <c r="D1325" t="s">
        <v>37</v>
      </c>
      <c r="E1325" t="s">
        <v>393</v>
      </c>
      <c r="G1325">
        <v>1</v>
      </c>
      <c r="H1325">
        <v>1000</v>
      </c>
      <c r="J1325" cm="1">
        <f t="array" ref="J1325">_xlfn.SWITCH(B1325,1,75,2,61,3,49,4,37,5,25,6,13,7,4,8,1)</f>
        <v>61</v>
      </c>
      <c r="K1325" t="str" cm="1">
        <f t="array" ref="K1325">IFERROR(_xlfn.SWITCH(L1325,1,_xlfn.XLOOKUP(C1325,[1]AttributeName!$C:$C,[1]AttributeName!$I:$I),2,_xlfn.XLOOKUP(C1325,[1]ModifierDes!$B:$B,[1]ModifierDes!$C:$C),3,_xlfn.XLOOKUP(C1325,[1]StuntDes!$B:$B,[1]StuntDes!$C:$C)),"")</f>
        <v>装备稀有度增加{0}</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94</v>
      </c>
      <c r="D1326" t="s">
        <v>37</v>
      </c>
      <c r="E1326" t="s">
        <v>393</v>
      </c>
      <c r="G1326">
        <v>1</v>
      </c>
      <c r="H1326">
        <v>1000</v>
      </c>
      <c r="J1326" cm="1">
        <f t="array" ref="J1326">_xlfn.SWITCH(B1326,1,75,2,61,3,49,4,37,5,25,6,13,7,4,8,1)</f>
        <v>49</v>
      </c>
      <c r="K1326" t="str" cm="1">
        <f t="array" ref="K1326">IFERROR(_xlfn.SWITCH(L1326,1,_xlfn.XLOOKUP(C1326,[1]AttributeName!$C:$C,[1]AttributeName!$I:$I),2,_xlfn.XLOOKUP(C1326,[1]ModifierDes!$B:$B,[1]ModifierDes!$C:$C),3,_xlfn.XLOOKUP(C1326,[1]StuntDes!$B:$B,[1]StuntDes!$C:$C)),"")</f>
        <v>装备稀有度增加{0}</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94</v>
      </c>
      <c r="D1327" t="s">
        <v>37</v>
      </c>
      <c r="E1327" t="s">
        <v>393</v>
      </c>
      <c r="G1327">
        <v>1</v>
      </c>
      <c r="H1327">
        <v>1000</v>
      </c>
      <c r="J1327" cm="1">
        <f t="array" ref="J1327">_xlfn.SWITCH(B1327,1,75,2,61,3,49,4,37,5,25,6,13,7,4,8,1)</f>
        <v>37</v>
      </c>
      <c r="K1327" t="str" cm="1">
        <f t="array" ref="K1327">IFERROR(_xlfn.SWITCH(L1327,1,_xlfn.XLOOKUP(C1327,[1]AttributeName!$C:$C,[1]AttributeName!$I:$I),2,_xlfn.XLOOKUP(C1327,[1]ModifierDes!$B:$B,[1]ModifierDes!$C:$C),3,_xlfn.XLOOKUP(C1327,[1]StuntDes!$B:$B,[1]StuntDes!$C:$C)),"")</f>
        <v>装备稀有度增加{0}</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94</v>
      </c>
      <c r="D1328" t="s">
        <v>37</v>
      </c>
      <c r="E1328" t="s">
        <v>393</v>
      </c>
      <c r="G1328">
        <v>1</v>
      </c>
      <c r="H1328">
        <v>1000</v>
      </c>
      <c r="J1328" cm="1">
        <f t="array" ref="J1328">_xlfn.SWITCH(B1328,1,75,2,61,3,49,4,37,5,25,6,13,7,4,8,1)</f>
        <v>25</v>
      </c>
      <c r="K1328" t="str" cm="1">
        <f t="array" ref="K1328">IFERROR(_xlfn.SWITCH(L1328,1,_xlfn.XLOOKUP(C1328,[1]AttributeName!$C:$C,[1]AttributeName!$I:$I),2,_xlfn.XLOOKUP(C1328,[1]ModifierDes!$B:$B,[1]ModifierDes!$C:$C),3,_xlfn.XLOOKUP(C1328,[1]StuntDes!$B:$B,[1]StuntDes!$C:$C)),"")</f>
        <v>装备稀有度增加{0}</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94</v>
      </c>
      <c r="D1329" t="s">
        <v>37</v>
      </c>
      <c r="E1329" t="s">
        <v>393</v>
      </c>
      <c r="G1329">
        <v>1</v>
      </c>
      <c r="H1329">
        <v>1000</v>
      </c>
      <c r="J1329" cm="1">
        <f t="array" ref="J1329">_xlfn.SWITCH(B1329,1,75,2,61,3,49,4,37,5,25,6,13,7,4,8,1)</f>
        <v>13</v>
      </c>
      <c r="K1329" t="str" cm="1">
        <f t="array" ref="K1329">IFERROR(_xlfn.SWITCH(L1329,1,_xlfn.XLOOKUP(C1329,[1]AttributeName!$C:$C,[1]AttributeName!$I:$I),2,_xlfn.XLOOKUP(C1329,[1]ModifierDes!$B:$B,[1]ModifierDes!$C:$C),3,_xlfn.XLOOKUP(C1329,[1]StuntDes!$B:$B,[1]StuntDes!$C:$C)),"")</f>
        <v>装备稀有度增加{0}</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94</v>
      </c>
      <c r="D1330" t="s">
        <v>37</v>
      </c>
      <c r="E1330" t="s">
        <v>393</v>
      </c>
      <c r="G1330">
        <v>1</v>
      </c>
      <c r="H1330">
        <v>1000</v>
      </c>
      <c r="J1330" cm="1">
        <f t="array" ref="J1330">_xlfn.SWITCH(B1330,1,75,2,61,3,49,4,37,5,25,6,13,7,4,8,1)</f>
        <v>4</v>
      </c>
      <c r="K1330" t="str" cm="1">
        <f t="array" ref="K1330">IFERROR(_xlfn.SWITCH(L1330,1,_xlfn.XLOOKUP(C1330,[1]AttributeName!$C:$C,[1]AttributeName!$I:$I),2,_xlfn.XLOOKUP(C1330,[1]ModifierDes!$B:$B,[1]ModifierDes!$C:$C),3,_xlfn.XLOOKUP(C1330,[1]StuntDes!$B:$B,[1]StuntDes!$C:$C)),"")</f>
        <v>装备稀有度增加{0}</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94</v>
      </c>
      <c r="D1331" t="s">
        <v>37</v>
      </c>
      <c r="E1331" t="s">
        <v>393</v>
      </c>
      <c r="G1331">
        <v>1</v>
      </c>
      <c r="H1331">
        <v>1000</v>
      </c>
      <c r="J1331" cm="1">
        <f t="array" ref="J1331">_xlfn.SWITCH(B1331,1,75,2,61,3,49,4,37,5,25,6,13,7,4,8,1)</f>
        <v>1</v>
      </c>
      <c r="K1331" t="str" cm="1">
        <f t="array" ref="K1331">IFERROR(_xlfn.SWITCH(L1331,1,_xlfn.XLOOKUP(C1331,[1]AttributeName!$C:$C,[1]AttributeName!$I:$I),2,_xlfn.XLOOKUP(C1331,[1]ModifierDes!$B:$B,[1]ModifierDes!$C:$C),3,_xlfn.XLOOKUP(C1331,[1]StuntDes!$B:$B,[1]StuntDes!$C:$C)),"")</f>
        <v>装备稀有度增加{0}</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398</v>
      </c>
      <c r="D1332" t="s">
        <v>37</v>
      </c>
      <c r="E1332" t="s">
        <v>393</v>
      </c>
      <c r="F1332"/>
      <c r="G1332">
        <v>1</v>
      </c>
      <c r="H1332">
        <v>100</v>
      </c>
      <c r="J1332" cm="1">
        <f t="array" ref="J1332">_xlfn.SWITCH(B1332,1,75,2,61,3,49,4,37,5,25,6,13,7,4,8,1)</f>
        <v>75</v>
      </c>
      <c r="K1332" t="str" cm="1">
        <f t="array" ref="K1332">IFERROR(_xlfn.SWITCH(L1332,1,_xlfn.XLOOKUP(C1332,[1]AttributeName!$C:$C,[1]AttributeName!$I:$I),2,_xlfn.XLOOKUP(C1332,[1]ModifierDes!$B:$B,[1]ModifierDes!$C:$C),3,_xlfn.XLOOKUP(C1332,[1]StuntDes!$B:$B,[1]StuntDes!$C:$C)),"")</f>
        <v>获得物理伤害{0}</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398</v>
      </c>
      <c r="D1333" t="s">
        <v>37</v>
      </c>
      <c r="E1333" t="s">
        <v>393</v>
      </c>
      <c r="F1333"/>
      <c r="G1333">
        <v>1</v>
      </c>
      <c r="H1333">
        <v>200</v>
      </c>
      <c r="I1333"/>
      <c r="J1333" cm="1">
        <f t="array" ref="J1333">_xlfn.SWITCH(B1333,1,75,2,61,3,49,4,37,5,25,6,13,7,4,8,1)</f>
        <v>61</v>
      </c>
      <c r="K1333" t="str" cm="1">
        <f t="array" ref="K1333">IFERROR(_xlfn.SWITCH(L1333,1,_xlfn.XLOOKUP(C1333,[1]AttributeName!$C:$C,[1]AttributeName!$I:$I),2,_xlfn.XLOOKUP(C1333,[1]ModifierDes!$B:$B,[1]ModifierDes!$C:$C),3,_xlfn.XLOOKUP(C1333,[1]StuntDes!$B:$B,[1]StuntDes!$C:$C)),"")</f>
        <v>获得物理伤害{0}</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398</v>
      </c>
      <c r="D1334" t="s">
        <v>37</v>
      </c>
      <c r="E1334" t="s">
        <v>393</v>
      </c>
      <c r="F1334"/>
      <c r="G1334">
        <v>1</v>
      </c>
      <c r="H1334">
        <v>400</v>
      </c>
      <c r="I1334"/>
      <c r="J1334" cm="1">
        <f t="array" ref="J1334">_xlfn.SWITCH(B1334,1,75,2,61,3,49,4,37,5,25,6,13,7,4,8,1)</f>
        <v>49</v>
      </c>
      <c r="K1334" t="str" cm="1">
        <f t="array" ref="K1334">IFERROR(_xlfn.SWITCH(L1334,1,_xlfn.XLOOKUP(C1334,[1]AttributeName!$C:$C,[1]AttributeName!$I:$I),2,_xlfn.XLOOKUP(C1334,[1]ModifierDes!$B:$B,[1]ModifierDes!$C:$C),3,_xlfn.XLOOKUP(C1334,[1]StuntDes!$B:$B,[1]StuntDes!$C:$C)),"")</f>
        <v>获得物理伤害{0}</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398</v>
      </c>
      <c r="D1335" t="s">
        <v>37</v>
      </c>
      <c r="E1335" t="s">
        <v>393</v>
      </c>
      <c r="F1335"/>
      <c r="G1335">
        <v>1</v>
      </c>
      <c r="H1335">
        <v>600</v>
      </c>
      <c r="I1335"/>
      <c r="J1335" cm="1">
        <f t="array" ref="J1335">_xlfn.SWITCH(B1335,1,75,2,61,3,49,4,37,5,25,6,13,7,4,8,1)</f>
        <v>37</v>
      </c>
      <c r="K1335" t="str" cm="1">
        <f t="array" ref="K1335">IFERROR(_xlfn.SWITCH(L1335,1,_xlfn.XLOOKUP(C1335,[1]AttributeName!$C:$C,[1]AttributeName!$I:$I),2,_xlfn.XLOOKUP(C1335,[1]ModifierDes!$B:$B,[1]ModifierDes!$C:$C),3,_xlfn.XLOOKUP(C1335,[1]StuntDes!$B:$B,[1]StuntDes!$C:$C)),"")</f>
        <v>获得物理伤害{0}</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398</v>
      </c>
      <c r="D1336" t="s">
        <v>37</v>
      </c>
      <c r="E1336" t="s">
        <v>393</v>
      </c>
      <c r="F1336"/>
      <c r="G1336">
        <v>1</v>
      </c>
      <c r="H1336">
        <v>800</v>
      </c>
      <c r="I1336"/>
      <c r="J1336" cm="1">
        <f t="array" ref="J1336">_xlfn.SWITCH(B1336,1,75,2,61,3,49,4,37,5,25,6,13,7,4,8,1)</f>
        <v>25</v>
      </c>
      <c r="K1336" t="str" cm="1">
        <f t="array" ref="K1336">IFERROR(_xlfn.SWITCH(L1336,1,_xlfn.XLOOKUP(C1336,[1]AttributeName!$C:$C,[1]AttributeName!$I:$I),2,_xlfn.XLOOKUP(C1336,[1]ModifierDes!$B:$B,[1]ModifierDes!$C:$C),3,_xlfn.XLOOKUP(C1336,[1]StuntDes!$B:$B,[1]StuntDes!$C:$C)),"")</f>
        <v>获得物理伤害{0}</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398</v>
      </c>
      <c r="D1337" t="s">
        <v>37</v>
      </c>
      <c r="E1337" t="s">
        <v>393</v>
      </c>
      <c r="F1337"/>
      <c r="G1337">
        <v>1</v>
      </c>
      <c r="H1337">
        <v>1000</v>
      </c>
      <c r="I1337"/>
      <c r="J1337" cm="1">
        <f t="array" ref="J1337">_xlfn.SWITCH(B1337,1,75,2,61,3,49,4,37,5,25,6,13,7,4,8,1)</f>
        <v>13</v>
      </c>
      <c r="K1337" t="str" cm="1">
        <f t="array" ref="K1337">IFERROR(_xlfn.SWITCH(L1337,1,_xlfn.XLOOKUP(C1337,[1]AttributeName!$C:$C,[1]AttributeName!$I:$I),2,_xlfn.XLOOKUP(C1337,[1]ModifierDes!$B:$B,[1]ModifierDes!$C:$C),3,_xlfn.XLOOKUP(C1337,[1]StuntDes!$B:$B,[1]StuntDes!$C:$C)),"")</f>
        <v>获得物理伤害{0}</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398</v>
      </c>
      <c r="D1338" t="s">
        <v>37</v>
      </c>
      <c r="E1338" t="s">
        <v>393</v>
      </c>
      <c r="F1338"/>
      <c r="G1338">
        <v>1</v>
      </c>
      <c r="H1338">
        <v>1000</v>
      </c>
      <c r="I1338"/>
      <c r="J1338" cm="1">
        <f t="array" ref="J1338">_xlfn.SWITCH(B1338,1,75,2,61,3,49,4,37,5,25,6,13,7,4,8,1)</f>
        <v>4</v>
      </c>
      <c r="K1338" t="str" cm="1">
        <f t="array" ref="K1338">IFERROR(_xlfn.SWITCH(L1338,1,_xlfn.XLOOKUP(C1338,[1]AttributeName!$C:$C,[1]AttributeName!$I:$I),2,_xlfn.XLOOKUP(C1338,[1]ModifierDes!$B:$B,[1]ModifierDes!$C:$C),3,_xlfn.XLOOKUP(C1338,[1]StuntDes!$B:$B,[1]StuntDes!$C:$C)),"")</f>
        <v>获得物理伤害{0}</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398</v>
      </c>
      <c r="D1339" t="s">
        <v>37</v>
      </c>
      <c r="E1339" t="s">
        <v>393</v>
      </c>
      <c r="F1339"/>
      <c r="G1339">
        <v>1</v>
      </c>
      <c r="H1339">
        <v>1000</v>
      </c>
      <c r="I1339"/>
      <c r="J1339" cm="1">
        <f t="array" ref="J1339">_xlfn.SWITCH(B1339,1,75,2,61,3,49,4,37,5,25,6,13,7,4,8,1)</f>
        <v>1</v>
      </c>
      <c r="K1339" t="str" cm="1">
        <f t="array" ref="K1339">IFERROR(_xlfn.SWITCH(L1339,1,_xlfn.XLOOKUP(C1339,[1]AttributeName!$C:$C,[1]AttributeName!$I:$I),2,_xlfn.XLOOKUP(C1339,[1]ModifierDes!$B:$B,[1]ModifierDes!$C:$C),3,_xlfn.XLOOKUP(C1339,[1]StuntDes!$B:$B,[1]StuntDes!$C:$C)),"")</f>
        <v>获得物理伤害{0}</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399</v>
      </c>
      <c r="D1340" t="s">
        <v>37</v>
      </c>
      <c r="E1340" t="s">
        <v>393</v>
      </c>
      <c r="F1340"/>
      <c r="G1340">
        <v>1</v>
      </c>
      <c r="H1340">
        <v>100</v>
      </c>
      <c r="I1340"/>
      <c r="J1340" cm="1">
        <f t="array" ref="J1340">_xlfn.SWITCH(B1340,1,75,2,61,3,49,4,37,5,25,6,13,7,4,8,1)</f>
        <v>75</v>
      </c>
      <c r="K1340" t="str" cm="1">
        <f t="array" ref="K1340">IFERROR(_xlfn.SWITCH(L1340,1,_xlfn.XLOOKUP(C1340,[1]AttributeName!$C:$C,[1]AttributeName!$I:$I),2,_xlfn.XLOOKUP(C1340,[1]ModifierDes!$B:$B,[1]ModifierDes!$C:$C),3,_xlfn.XLOOKUP(C1340,[1]StuntDes!$B:$B,[1]StuntDes!$C:$C)),"")</f>
        <v>获得火焰伤害{0}</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399</v>
      </c>
      <c r="D1341" t="s">
        <v>37</v>
      </c>
      <c r="E1341" t="s">
        <v>393</v>
      </c>
      <c r="F1341"/>
      <c r="G1341">
        <v>1</v>
      </c>
      <c r="H1341">
        <v>200</v>
      </c>
      <c r="I1341"/>
      <c r="J1341" cm="1">
        <f t="array" ref="J1341">_xlfn.SWITCH(B1341,1,75,2,61,3,49,4,37,5,25,6,13,7,4,8,1)</f>
        <v>61</v>
      </c>
      <c r="K1341" t="str" cm="1">
        <f t="array" ref="K1341">IFERROR(_xlfn.SWITCH(L1341,1,_xlfn.XLOOKUP(C1341,[1]AttributeName!$C:$C,[1]AttributeName!$I:$I),2,_xlfn.XLOOKUP(C1341,[1]ModifierDes!$B:$B,[1]ModifierDes!$C:$C),3,_xlfn.XLOOKUP(C1341,[1]StuntDes!$B:$B,[1]StuntDes!$C:$C)),"")</f>
        <v>获得火焰伤害{0}</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399</v>
      </c>
      <c r="D1342" t="s">
        <v>37</v>
      </c>
      <c r="E1342" t="s">
        <v>393</v>
      </c>
      <c r="F1342"/>
      <c r="G1342">
        <v>1</v>
      </c>
      <c r="H1342">
        <v>400</v>
      </c>
      <c r="I1342"/>
      <c r="J1342" cm="1">
        <f t="array" ref="J1342">_xlfn.SWITCH(B1342,1,75,2,61,3,49,4,37,5,25,6,13,7,4,8,1)</f>
        <v>49</v>
      </c>
      <c r="K1342" t="str" cm="1">
        <f t="array" ref="K1342">IFERROR(_xlfn.SWITCH(L1342,1,_xlfn.XLOOKUP(C1342,[1]AttributeName!$C:$C,[1]AttributeName!$I:$I),2,_xlfn.XLOOKUP(C1342,[1]ModifierDes!$B:$B,[1]ModifierDes!$C:$C),3,_xlfn.XLOOKUP(C1342,[1]StuntDes!$B:$B,[1]StuntDes!$C:$C)),"")</f>
        <v>获得火焰伤害{0}</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399</v>
      </c>
      <c r="D1343" t="s">
        <v>37</v>
      </c>
      <c r="E1343" t="s">
        <v>393</v>
      </c>
      <c r="F1343"/>
      <c r="G1343">
        <v>1</v>
      </c>
      <c r="H1343">
        <v>600</v>
      </c>
      <c r="I1343"/>
      <c r="J1343" cm="1">
        <f t="array" ref="J1343">_xlfn.SWITCH(B1343,1,75,2,61,3,49,4,37,5,25,6,13,7,4,8,1)</f>
        <v>37</v>
      </c>
      <c r="K1343" t="str" cm="1">
        <f t="array" ref="K1343">IFERROR(_xlfn.SWITCH(L1343,1,_xlfn.XLOOKUP(C1343,[1]AttributeName!$C:$C,[1]AttributeName!$I:$I),2,_xlfn.XLOOKUP(C1343,[1]ModifierDes!$B:$B,[1]ModifierDes!$C:$C),3,_xlfn.XLOOKUP(C1343,[1]StuntDes!$B:$B,[1]StuntDes!$C:$C)),"")</f>
        <v>获得火焰伤害{0}</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399</v>
      </c>
      <c r="D1344" t="s">
        <v>37</v>
      </c>
      <c r="E1344" t="s">
        <v>393</v>
      </c>
      <c r="F1344"/>
      <c r="G1344">
        <v>1</v>
      </c>
      <c r="H1344">
        <v>800</v>
      </c>
      <c r="I1344"/>
      <c r="J1344" cm="1">
        <f t="array" ref="J1344">_xlfn.SWITCH(B1344,1,75,2,61,3,49,4,37,5,25,6,13,7,4,8,1)</f>
        <v>25</v>
      </c>
      <c r="K1344" t="str" cm="1">
        <f t="array" ref="K1344">IFERROR(_xlfn.SWITCH(L1344,1,_xlfn.XLOOKUP(C1344,[1]AttributeName!$C:$C,[1]AttributeName!$I:$I),2,_xlfn.XLOOKUP(C1344,[1]ModifierDes!$B:$B,[1]ModifierDes!$C:$C),3,_xlfn.XLOOKUP(C1344,[1]StuntDes!$B:$B,[1]StuntDes!$C:$C)),"")</f>
        <v>获得火焰伤害{0}</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399</v>
      </c>
      <c r="D1345" t="s">
        <v>37</v>
      </c>
      <c r="E1345" t="s">
        <v>393</v>
      </c>
      <c r="F1345"/>
      <c r="G1345">
        <v>1</v>
      </c>
      <c r="H1345">
        <v>1000</v>
      </c>
      <c r="I1345"/>
      <c r="J1345" cm="1">
        <f t="array" ref="J1345">_xlfn.SWITCH(B1345,1,75,2,61,3,49,4,37,5,25,6,13,7,4,8,1)</f>
        <v>13</v>
      </c>
      <c r="K1345" t="str" cm="1">
        <f t="array" ref="K1345">IFERROR(_xlfn.SWITCH(L1345,1,_xlfn.XLOOKUP(C1345,[1]AttributeName!$C:$C,[1]AttributeName!$I:$I),2,_xlfn.XLOOKUP(C1345,[1]ModifierDes!$B:$B,[1]ModifierDes!$C:$C),3,_xlfn.XLOOKUP(C1345,[1]StuntDes!$B:$B,[1]StuntDes!$C:$C)),"")</f>
        <v>获得火焰伤害{0}</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399</v>
      </c>
      <c r="D1346" t="s">
        <v>37</v>
      </c>
      <c r="E1346" t="s">
        <v>393</v>
      </c>
      <c r="F1346"/>
      <c r="G1346">
        <v>1</v>
      </c>
      <c r="H1346">
        <v>1000</v>
      </c>
      <c r="I1346"/>
      <c r="J1346" cm="1">
        <f t="array" ref="J1346">_xlfn.SWITCH(B1346,1,75,2,61,3,49,4,37,5,25,6,13,7,4,8,1)</f>
        <v>4</v>
      </c>
      <c r="K1346" t="str" cm="1">
        <f t="array" ref="K1346">IFERROR(_xlfn.SWITCH(L1346,1,_xlfn.XLOOKUP(C1346,[1]AttributeName!$C:$C,[1]AttributeName!$I:$I),2,_xlfn.XLOOKUP(C1346,[1]ModifierDes!$B:$B,[1]ModifierDes!$C:$C),3,_xlfn.XLOOKUP(C1346,[1]StuntDes!$B:$B,[1]StuntDes!$C:$C)),"")</f>
        <v>获得火焰伤害{0}</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399</v>
      </c>
      <c r="D1347" t="s">
        <v>37</v>
      </c>
      <c r="E1347" t="s">
        <v>393</v>
      </c>
      <c r="F1347"/>
      <c r="G1347">
        <v>1</v>
      </c>
      <c r="H1347">
        <v>1000</v>
      </c>
      <c r="I1347"/>
      <c r="J1347" cm="1">
        <f t="array" ref="J1347">_xlfn.SWITCH(B1347,1,75,2,61,3,49,4,37,5,25,6,13,7,4,8,1)</f>
        <v>1</v>
      </c>
      <c r="K1347" t="str" cm="1">
        <f t="array" ref="K1347">IFERROR(_xlfn.SWITCH(L1347,1,_xlfn.XLOOKUP(C1347,[1]AttributeName!$C:$C,[1]AttributeName!$I:$I),2,_xlfn.XLOOKUP(C1347,[1]ModifierDes!$B:$B,[1]ModifierDes!$C:$C),3,_xlfn.XLOOKUP(C1347,[1]StuntDes!$B:$B,[1]StuntDes!$C:$C)),"")</f>
        <v>获得火焰伤害{0}</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400</v>
      </c>
      <c r="D1348" t="s">
        <v>37</v>
      </c>
      <c r="E1348" t="s">
        <v>393</v>
      </c>
      <c r="F1348"/>
      <c r="G1348">
        <v>1</v>
      </c>
      <c r="H1348">
        <v>100</v>
      </c>
      <c r="I1348"/>
      <c r="J1348" cm="1">
        <f t="array" ref="J1348">_xlfn.SWITCH(B1348,1,75,2,61,3,49,4,37,5,25,6,13,7,4,8,1)</f>
        <v>75</v>
      </c>
      <c r="K1348" t="str" cm="1">
        <f t="array" ref="K1348">IFERROR(_xlfn.SWITCH(L1348,1,_xlfn.XLOOKUP(C1348,[1]AttributeName!$C:$C,[1]AttributeName!$I:$I),2,_xlfn.XLOOKUP(C1348,[1]ModifierDes!$B:$B,[1]ModifierDes!$C:$C),3,_xlfn.XLOOKUP(C1348,[1]StuntDes!$B:$B,[1]StuntDes!$C:$C)),"")</f>
        <v>获得冰冷伤害{0}</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400</v>
      </c>
      <c r="D1349" t="s">
        <v>37</v>
      </c>
      <c r="E1349" t="s">
        <v>393</v>
      </c>
      <c r="F1349"/>
      <c r="G1349">
        <v>1</v>
      </c>
      <c r="H1349">
        <v>200</v>
      </c>
      <c r="I1349"/>
      <c r="J1349" cm="1">
        <f t="array" ref="J1349">_xlfn.SWITCH(B1349,1,75,2,61,3,49,4,37,5,25,6,13,7,4,8,1)</f>
        <v>61</v>
      </c>
      <c r="K1349" t="str" cm="1">
        <f t="array" ref="K1349">IFERROR(_xlfn.SWITCH(L1349,1,_xlfn.XLOOKUP(C1349,[1]AttributeName!$C:$C,[1]AttributeName!$I:$I),2,_xlfn.XLOOKUP(C1349,[1]ModifierDes!$B:$B,[1]ModifierDes!$C:$C),3,_xlfn.XLOOKUP(C1349,[1]StuntDes!$B:$B,[1]StuntDes!$C:$C)),"")</f>
        <v>获得冰冷伤害{0}</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400</v>
      </c>
      <c r="D1350" t="s">
        <v>37</v>
      </c>
      <c r="E1350" t="s">
        <v>393</v>
      </c>
      <c r="F1350"/>
      <c r="G1350">
        <v>1</v>
      </c>
      <c r="H1350">
        <v>400</v>
      </c>
      <c r="I1350"/>
      <c r="J1350" cm="1">
        <f t="array" ref="J1350">_xlfn.SWITCH(B1350,1,75,2,61,3,49,4,37,5,25,6,13,7,4,8,1)</f>
        <v>49</v>
      </c>
      <c r="K1350" t="str" cm="1">
        <f t="array" ref="K1350">IFERROR(_xlfn.SWITCH(L1350,1,_xlfn.XLOOKUP(C1350,[1]AttributeName!$C:$C,[1]AttributeName!$I:$I),2,_xlfn.XLOOKUP(C1350,[1]ModifierDes!$B:$B,[1]ModifierDes!$C:$C),3,_xlfn.XLOOKUP(C1350,[1]StuntDes!$B:$B,[1]StuntDes!$C:$C)),"")</f>
        <v>获得冰冷伤害{0}</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400</v>
      </c>
      <c r="D1351" t="s">
        <v>37</v>
      </c>
      <c r="E1351" t="s">
        <v>393</v>
      </c>
      <c r="F1351"/>
      <c r="G1351">
        <v>1</v>
      </c>
      <c r="H1351">
        <v>600</v>
      </c>
      <c r="I1351"/>
      <c r="J1351" cm="1">
        <f t="array" ref="J1351">_xlfn.SWITCH(B1351,1,75,2,61,3,49,4,37,5,25,6,13,7,4,8,1)</f>
        <v>37</v>
      </c>
      <c r="K1351" t="str" cm="1">
        <f t="array" ref="K1351">IFERROR(_xlfn.SWITCH(L1351,1,_xlfn.XLOOKUP(C1351,[1]AttributeName!$C:$C,[1]AttributeName!$I:$I),2,_xlfn.XLOOKUP(C1351,[1]ModifierDes!$B:$B,[1]ModifierDes!$C:$C),3,_xlfn.XLOOKUP(C1351,[1]StuntDes!$B:$B,[1]StuntDes!$C:$C)),"")</f>
        <v>获得冰冷伤害{0}</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400</v>
      </c>
      <c r="D1352" t="s">
        <v>37</v>
      </c>
      <c r="E1352" t="s">
        <v>393</v>
      </c>
      <c r="F1352"/>
      <c r="G1352">
        <v>1</v>
      </c>
      <c r="H1352">
        <v>800</v>
      </c>
      <c r="I1352"/>
      <c r="J1352" cm="1">
        <f t="array" ref="J1352">_xlfn.SWITCH(B1352,1,75,2,61,3,49,4,37,5,25,6,13,7,4,8,1)</f>
        <v>25</v>
      </c>
      <c r="K1352" t="str" cm="1">
        <f t="array" ref="K1352">IFERROR(_xlfn.SWITCH(L1352,1,_xlfn.XLOOKUP(C1352,[1]AttributeName!$C:$C,[1]AttributeName!$I:$I),2,_xlfn.XLOOKUP(C1352,[1]ModifierDes!$B:$B,[1]ModifierDes!$C:$C),3,_xlfn.XLOOKUP(C1352,[1]StuntDes!$B:$B,[1]StuntDes!$C:$C)),"")</f>
        <v>获得冰冷伤害{0}</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400</v>
      </c>
      <c r="D1353" t="s">
        <v>37</v>
      </c>
      <c r="E1353" t="s">
        <v>393</v>
      </c>
      <c r="F1353"/>
      <c r="G1353">
        <v>1</v>
      </c>
      <c r="H1353">
        <v>1000</v>
      </c>
      <c r="I1353"/>
      <c r="J1353" cm="1">
        <f t="array" ref="J1353">_xlfn.SWITCH(B1353,1,75,2,61,3,49,4,37,5,25,6,13,7,4,8,1)</f>
        <v>13</v>
      </c>
      <c r="K1353" t="str" cm="1">
        <f t="array" ref="K1353">IFERROR(_xlfn.SWITCH(L1353,1,_xlfn.XLOOKUP(C1353,[1]AttributeName!$C:$C,[1]AttributeName!$I:$I),2,_xlfn.XLOOKUP(C1353,[1]ModifierDes!$B:$B,[1]ModifierDes!$C:$C),3,_xlfn.XLOOKUP(C1353,[1]StuntDes!$B:$B,[1]StuntDes!$C:$C)),"")</f>
        <v>获得冰冷伤害{0}</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400</v>
      </c>
      <c r="D1354" t="s">
        <v>37</v>
      </c>
      <c r="E1354" t="s">
        <v>393</v>
      </c>
      <c r="F1354"/>
      <c r="G1354">
        <v>1</v>
      </c>
      <c r="H1354">
        <v>1000</v>
      </c>
      <c r="I1354"/>
      <c r="J1354" cm="1">
        <f t="array" ref="J1354">_xlfn.SWITCH(B1354,1,75,2,61,3,49,4,37,5,25,6,13,7,4,8,1)</f>
        <v>4</v>
      </c>
      <c r="K1354" t="str" cm="1">
        <f t="array" ref="K1354">IFERROR(_xlfn.SWITCH(L1354,1,_xlfn.XLOOKUP(C1354,[1]AttributeName!$C:$C,[1]AttributeName!$I:$I),2,_xlfn.XLOOKUP(C1354,[1]ModifierDes!$B:$B,[1]ModifierDes!$C:$C),3,_xlfn.XLOOKUP(C1354,[1]StuntDes!$B:$B,[1]StuntDes!$C:$C)),"")</f>
        <v>获得冰冷伤害{0}</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400</v>
      </c>
      <c r="D1355" t="s">
        <v>37</v>
      </c>
      <c r="E1355" t="s">
        <v>393</v>
      </c>
      <c r="F1355"/>
      <c r="G1355">
        <v>1</v>
      </c>
      <c r="H1355">
        <v>1000</v>
      </c>
      <c r="I1355"/>
      <c r="J1355" cm="1">
        <f t="array" ref="J1355">_xlfn.SWITCH(B1355,1,75,2,61,3,49,4,37,5,25,6,13,7,4,8,1)</f>
        <v>1</v>
      </c>
      <c r="K1355" t="str" cm="1">
        <f t="array" ref="K1355">IFERROR(_xlfn.SWITCH(L1355,1,_xlfn.XLOOKUP(C1355,[1]AttributeName!$C:$C,[1]AttributeName!$I:$I),2,_xlfn.XLOOKUP(C1355,[1]ModifierDes!$B:$B,[1]ModifierDes!$C:$C),3,_xlfn.XLOOKUP(C1355,[1]StuntDes!$B:$B,[1]StuntDes!$C:$C)),"")</f>
        <v>获得冰冷伤害{0}</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401</v>
      </c>
      <c r="D1356" t="s">
        <v>37</v>
      </c>
      <c r="E1356" t="s">
        <v>393</v>
      </c>
      <c r="F1356"/>
      <c r="G1356">
        <v>1</v>
      </c>
      <c r="H1356">
        <v>100</v>
      </c>
      <c r="I1356"/>
      <c r="J1356" cm="1">
        <f t="array" ref="J1356">_xlfn.SWITCH(B1356,1,75,2,61,3,49,4,37,5,25,6,13,7,4,8,1)</f>
        <v>75</v>
      </c>
      <c r="K1356" t="str" cm="1">
        <f t="array" ref="K1356">IFERROR(_xlfn.SWITCH(L1356,1,_xlfn.XLOOKUP(C1356,[1]AttributeName!$C:$C,[1]AttributeName!$I:$I),2,_xlfn.XLOOKUP(C1356,[1]ModifierDes!$B:$B,[1]ModifierDes!$C:$C),3,_xlfn.XLOOKUP(C1356,[1]StuntDes!$B:$B,[1]StuntDes!$C:$C)),"")</f>
        <v>获得闪电伤害{0}</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401</v>
      </c>
      <c r="D1357" t="s">
        <v>37</v>
      </c>
      <c r="E1357" t="s">
        <v>393</v>
      </c>
      <c r="F1357"/>
      <c r="G1357">
        <v>1</v>
      </c>
      <c r="H1357">
        <v>200</v>
      </c>
      <c r="I1357"/>
      <c r="J1357" cm="1">
        <f t="array" ref="J1357">_xlfn.SWITCH(B1357,1,75,2,61,3,49,4,37,5,25,6,13,7,4,8,1)</f>
        <v>61</v>
      </c>
      <c r="K1357" t="str" cm="1">
        <f t="array" ref="K1357">IFERROR(_xlfn.SWITCH(L1357,1,_xlfn.XLOOKUP(C1357,[1]AttributeName!$C:$C,[1]AttributeName!$I:$I),2,_xlfn.XLOOKUP(C1357,[1]ModifierDes!$B:$B,[1]ModifierDes!$C:$C),3,_xlfn.XLOOKUP(C1357,[1]StuntDes!$B:$B,[1]StuntDes!$C:$C)),"")</f>
        <v>获得闪电伤害{0}</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401</v>
      </c>
      <c r="D1358" t="s">
        <v>37</v>
      </c>
      <c r="E1358" t="s">
        <v>393</v>
      </c>
      <c r="F1358"/>
      <c r="G1358">
        <v>1</v>
      </c>
      <c r="H1358">
        <v>400</v>
      </c>
      <c r="I1358"/>
      <c r="J1358" cm="1">
        <f t="array" ref="J1358">_xlfn.SWITCH(B1358,1,75,2,61,3,49,4,37,5,25,6,13,7,4,8,1)</f>
        <v>49</v>
      </c>
      <c r="K1358" t="str" cm="1">
        <f t="array" ref="K1358">IFERROR(_xlfn.SWITCH(L1358,1,_xlfn.XLOOKUP(C1358,[1]AttributeName!$C:$C,[1]AttributeName!$I:$I),2,_xlfn.XLOOKUP(C1358,[1]ModifierDes!$B:$B,[1]ModifierDes!$C:$C),3,_xlfn.XLOOKUP(C1358,[1]StuntDes!$B:$B,[1]StuntDes!$C:$C)),"")</f>
        <v>获得闪电伤害{0}</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401</v>
      </c>
      <c r="D1359" t="s">
        <v>37</v>
      </c>
      <c r="E1359" t="s">
        <v>393</v>
      </c>
      <c r="F1359"/>
      <c r="G1359">
        <v>1</v>
      </c>
      <c r="H1359">
        <v>600</v>
      </c>
      <c r="I1359"/>
      <c r="J1359" cm="1">
        <f t="array" ref="J1359">_xlfn.SWITCH(B1359,1,75,2,61,3,49,4,37,5,25,6,13,7,4,8,1)</f>
        <v>37</v>
      </c>
      <c r="K1359" t="str" cm="1">
        <f t="array" ref="K1359">IFERROR(_xlfn.SWITCH(L1359,1,_xlfn.XLOOKUP(C1359,[1]AttributeName!$C:$C,[1]AttributeName!$I:$I),2,_xlfn.XLOOKUP(C1359,[1]ModifierDes!$B:$B,[1]ModifierDes!$C:$C),3,_xlfn.XLOOKUP(C1359,[1]StuntDes!$B:$B,[1]StuntDes!$C:$C)),"")</f>
        <v>获得闪电伤害{0}</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401</v>
      </c>
      <c r="D1360" t="s">
        <v>37</v>
      </c>
      <c r="E1360" t="s">
        <v>393</v>
      </c>
      <c r="F1360"/>
      <c r="G1360">
        <v>1</v>
      </c>
      <c r="H1360">
        <v>800</v>
      </c>
      <c r="I1360"/>
      <c r="J1360" cm="1">
        <f t="array" ref="J1360">_xlfn.SWITCH(B1360,1,75,2,61,3,49,4,37,5,25,6,13,7,4,8,1)</f>
        <v>25</v>
      </c>
      <c r="K1360" t="str" cm="1">
        <f t="array" ref="K1360">IFERROR(_xlfn.SWITCH(L1360,1,_xlfn.XLOOKUP(C1360,[1]AttributeName!$C:$C,[1]AttributeName!$I:$I),2,_xlfn.XLOOKUP(C1360,[1]ModifierDes!$B:$B,[1]ModifierDes!$C:$C),3,_xlfn.XLOOKUP(C1360,[1]StuntDes!$B:$B,[1]StuntDes!$C:$C)),"")</f>
        <v>获得闪电伤害{0}</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401</v>
      </c>
      <c r="D1361" t="s">
        <v>37</v>
      </c>
      <c r="E1361" t="s">
        <v>393</v>
      </c>
      <c r="F1361"/>
      <c r="G1361">
        <v>1</v>
      </c>
      <c r="H1361">
        <v>1000</v>
      </c>
      <c r="I1361"/>
      <c r="J1361" cm="1">
        <f t="array" ref="J1361">_xlfn.SWITCH(B1361,1,75,2,61,3,49,4,37,5,25,6,13,7,4,8,1)</f>
        <v>13</v>
      </c>
      <c r="K1361" t="str" cm="1">
        <f t="array" ref="K1361">IFERROR(_xlfn.SWITCH(L1361,1,_xlfn.XLOOKUP(C1361,[1]AttributeName!$C:$C,[1]AttributeName!$I:$I),2,_xlfn.XLOOKUP(C1361,[1]ModifierDes!$B:$B,[1]ModifierDes!$C:$C),3,_xlfn.XLOOKUP(C1361,[1]StuntDes!$B:$B,[1]StuntDes!$C:$C)),"")</f>
        <v>获得闪电伤害{0}</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401</v>
      </c>
      <c r="D1362" t="s">
        <v>37</v>
      </c>
      <c r="E1362" t="s">
        <v>393</v>
      </c>
      <c r="F1362"/>
      <c r="G1362">
        <v>1</v>
      </c>
      <c r="H1362">
        <v>1000</v>
      </c>
      <c r="I1362"/>
      <c r="J1362" cm="1">
        <f t="array" ref="J1362">_xlfn.SWITCH(B1362,1,75,2,61,3,49,4,37,5,25,6,13,7,4,8,1)</f>
        <v>4</v>
      </c>
      <c r="K1362" t="str" cm="1">
        <f t="array" ref="K1362">IFERROR(_xlfn.SWITCH(L1362,1,_xlfn.XLOOKUP(C1362,[1]AttributeName!$C:$C,[1]AttributeName!$I:$I),2,_xlfn.XLOOKUP(C1362,[1]ModifierDes!$B:$B,[1]ModifierDes!$C:$C),3,_xlfn.XLOOKUP(C1362,[1]StuntDes!$B:$B,[1]StuntDes!$C:$C)),"")</f>
        <v>获得闪电伤害{0}</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401</v>
      </c>
      <c r="D1363" t="s">
        <v>37</v>
      </c>
      <c r="E1363" t="s">
        <v>393</v>
      </c>
      <c r="F1363"/>
      <c r="G1363">
        <v>1</v>
      </c>
      <c r="H1363">
        <v>1000</v>
      </c>
      <c r="I1363"/>
      <c r="J1363" cm="1">
        <f t="array" ref="J1363">_xlfn.SWITCH(B1363,1,75,2,61,3,49,4,37,5,25,6,13,7,4,8,1)</f>
        <v>1</v>
      </c>
      <c r="K1363" t="str" cm="1">
        <f t="array" ref="K1363">IFERROR(_xlfn.SWITCH(L1363,1,_xlfn.XLOOKUP(C1363,[1]AttributeName!$C:$C,[1]AttributeName!$I:$I),2,_xlfn.XLOOKUP(C1363,[1]ModifierDes!$B:$B,[1]ModifierDes!$C:$C),3,_xlfn.XLOOKUP(C1363,[1]StuntDes!$B:$B,[1]StuntDes!$C:$C)),"")</f>
        <v>获得闪电伤害{0}</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402</v>
      </c>
      <c r="D1364" t="s">
        <v>37</v>
      </c>
      <c r="E1364" t="s">
        <v>393</v>
      </c>
      <c r="F1364"/>
      <c r="G1364">
        <v>1</v>
      </c>
      <c r="H1364">
        <v>100</v>
      </c>
      <c r="I1364"/>
      <c r="J1364" cm="1">
        <f t="array" ref="J1364">_xlfn.SWITCH(B1364,1,75,2,61,3,49,4,37,5,25,6,13,7,4,8,1)</f>
        <v>75</v>
      </c>
      <c r="K1364" t="str" cm="1">
        <f t="array" ref="K1364">IFERROR(_xlfn.SWITCH(L1364,1,_xlfn.XLOOKUP(C1364,[1]AttributeName!$C:$C,[1]AttributeName!$I:$I),2,_xlfn.XLOOKUP(C1364,[1]ModifierDes!$B:$B,[1]ModifierDes!$C:$C),3,_xlfn.XLOOKUP(C1364,[1]StuntDes!$B:$B,[1]StuntDes!$C:$C)),"")</f>
        <v>获得混沌伤害{0}</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402</v>
      </c>
      <c r="D1365" t="s">
        <v>37</v>
      </c>
      <c r="E1365" t="s">
        <v>393</v>
      </c>
      <c r="F1365"/>
      <c r="G1365">
        <v>1</v>
      </c>
      <c r="H1365">
        <v>200</v>
      </c>
      <c r="I1365"/>
      <c r="J1365" cm="1">
        <f t="array" ref="J1365">_xlfn.SWITCH(B1365,1,75,2,61,3,49,4,37,5,25,6,13,7,4,8,1)</f>
        <v>61</v>
      </c>
      <c r="K1365" t="str" cm="1">
        <f t="array" ref="K1365">IFERROR(_xlfn.SWITCH(L1365,1,_xlfn.XLOOKUP(C1365,[1]AttributeName!$C:$C,[1]AttributeName!$I:$I),2,_xlfn.XLOOKUP(C1365,[1]ModifierDes!$B:$B,[1]ModifierDes!$C:$C),3,_xlfn.XLOOKUP(C1365,[1]StuntDes!$B:$B,[1]StuntDes!$C:$C)),"")</f>
        <v>获得混沌伤害{0}</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402</v>
      </c>
      <c r="D1366" t="s">
        <v>37</v>
      </c>
      <c r="E1366" t="s">
        <v>393</v>
      </c>
      <c r="F1366"/>
      <c r="G1366">
        <v>1</v>
      </c>
      <c r="H1366">
        <v>400</v>
      </c>
      <c r="I1366"/>
      <c r="J1366" cm="1">
        <f t="array" ref="J1366">_xlfn.SWITCH(B1366,1,75,2,61,3,49,4,37,5,25,6,13,7,4,8,1)</f>
        <v>49</v>
      </c>
      <c r="K1366" t="str" cm="1">
        <f t="array" ref="K1366">IFERROR(_xlfn.SWITCH(L1366,1,_xlfn.XLOOKUP(C1366,[1]AttributeName!$C:$C,[1]AttributeName!$I:$I),2,_xlfn.XLOOKUP(C1366,[1]ModifierDes!$B:$B,[1]ModifierDes!$C:$C),3,_xlfn.XLOOKUP(C1366,[1]StuntDes!$B:$B,[1]StuntDes!$C:$C)),"")</f>
        <v>获得混沌伤害{0}</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402</v>
      </c>
      <c r="D1367" t="s">
        <v>37</v>
      </c>
      <c r="E1367" t="s">
        <v>393</v>
      </c>
      <c r="F1367"/>
      <c r="G1367">
        <v>1</v>
      </c>
      <c r="H1367">
        <v>600</v>
      </c>
      <c r="I1367"/>
      <c r="J1367" cm="1">
        <f t="array" ref="J1367">_xlfn.SWITCH(B1367,1,75,2,61,3,49,4,37,5,25,6,13,7,4,8,1)</f>
        <v>37</v>
      </c>
      <c r="K1367" t="str" cm="1">
        <f t="array" ref="K1367">IFERROR(_xlfn.SWITCH(L1367,1,_xlfn.XLOOKUP(C1367,[1]AttributeName!$C:$C,[1]AttributeName!$I:$I),2,_xlfn.XLOOKUP(C1367,[1]ModifierDes!$B:$B,[1]ModifierDes!$C:$C),3,_xlfn.XLOOKUP(C1367,[1]StuntDes!$B:$B,[1]StuntDes!$C:$C)),"")</f>
        <v>获得混沌伤害{0}</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402</v>
      </c>
      <c r="D1368" t="s">
        <v>37</v>
      </c>
      <c r="E1368" t="s">
        <v>393</v>
      </c>
      <c r="F1368"/>
      <c r="G1368">
        <v>1</v>
      </c>
      <c r="H1368">
        <v>800</v>
      </c>
      <c r="I1368"/>
      <c r="J1368" cm="1">
        <f t="array" ref="J1368">_xlfn.SWITCH(B1368,1,75,2,61,3,49,4,37,5,25,6,13,7,4,8,1)</f>
        <v>25</v>
      </c>
      <c r="K1368" t="str" cm="1">
        <f t="array" ref="K1368">IFERROR(_xlfn.SWITCH(L1368,1,_xlfn.XLOOKUP(C1368,[1]AttributeName!$C:$C,[1]AttributeName!$I:$I),2,_xlfn.XLOOKUP(C1368,[1]ModifierDes!$B:$B,[1]ModifierDes!$C:$C),3,_xlfn.XLOOKUP(C1368,[1]StuntDes!$B:$B,[1]StuntDes!$C:$C)),"")</f>
        <v>获得混沌伤害{0}</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402</v>
      </c>
      <c r="D1369" t="s">
        <v>37</v>
      </c>
      <c r="E1369" t="s">
        <v>393</v>
      </c>
      <c r="F1369"/>
      <c r="G1369">
        <v>1</v>
      </c>
      <c r="H1369">
        <v>1000</v>
      </c>
      <c r="I1369"/>
      <c r="J1369" cm="1">
        <f t="array" ref="J1369">_xlfn.SWITCH(B1369,1,75,2,61,3,49,4,37,5,25,6,13,7,4,8,1)</f>
        <v>13</v>
      </c>
      <c r="K1369" t="str" cm="1">
        <f t="array" ref="K1369">IFERROR(_xlfn.SWITCH(L1369,1,_xlfn.XLOOKUP(C1369,[1]AttributeName!$C:$C,[1]AttributeName!$I:$I),2,_xlfn.XLOOKUP(C1369,[1]ModifierDes!$B:$B,[1]ModifierDes!$C:$C),3,_xlfn.XLOOKUP(C1369,[1]StuntDes!$B:$B,[1]StuntDes!$C:$C)),"")</f>
        <v>获得混沌伤害{0}</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402</v>
      </c>
      <c r="D1370" t="s">
        <v>37</v>
      </c>
      <c r="E1370" t="s">
        <v>393</v>
      </c>
      <c r="F1370"/>
      <c r="G1370">
        <v>1</v>
      </c>
      <c r="H1370">
        <v>1000</v>
      </c>
      <c r="I1370"/>
      <c r="J1370" cm="1">
        <f t="array" ref="J1370">_xlfn.SWITCH(B1370,1,75,2,61,3,49,4,37,5,25,6,13,7,4,8,1)</f>
        <v>4</v>
      </c>
      <c r="K1370" t="str" cm="1">
        <f t="array" ref="K1370">IFERROR(_xlfn.SWITCH(L1370,1,_xlfn.XLOOKUP(C1370,[1]AttributeName!$C:$C,[1]AttributeName!$I:$I),2,_xlfn.XLOOKUP(C1370,[1]ModifierDes!$B:$B,[1]ModifierDes!$C:$C),3,_xlfn.XLOOKUP(C1370,[1]StuntDes!$B:$B,[1]StuntDes!$C:$C)),"")</f>
        <v>获得混沌伤害{0}</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402</v>
      </c>
      <c r="D1371" t="s">
        <v>37</v>
      </c>
      <c r="E1371" t="s">
        <v>393</v>
      </c>
      <c r="F1371"/>
      <c r="G1371">
        <v>1</v>
      </c>
      <c r="H1371">
        <v>1000</v>
      </c>
      <c r="I1371"/>
      <c r="J1371" cm="1">
        <f t="array" ref="J1371">_xlfn.SWITCH(B1371,1,75,2,61,3,49,4,37,5,25,6,13,7,4,8,1)</f>
        <v>1</v>
      </c>
      <c r="K1371" t="str" cm="1">
        <f t="array" ref="K1371">IFERROR(_xlfn.SWITCH(L1371,1,_xlfn.XLOOKUP(C1371,[1]AttributeName!$C:$C,[1]AttributeName!$I:$I),2,_xlfn.XLOOKUP(C1371,[1]ModifierDes!$B:$B,[1]ModifierDes!$C:$C),3,_xlfn.XLOOKUP(C1371,[1]StuntDes!$B:$B,[1]StuntDes!$C:$C)),"")</f>
        <v>获得混沌伤害{0}</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404</v>
      </c>
      <c r="D1372" t="s">
        <v>37</v>
      </c>
      <c r="E1372" t="s">
        <v>393</v>
      </c>
      <c r="F1372"/>
      <c r="G1372">
        <v>1</v>
      </c>
      <c r="H1372">
        <v>1000</v>
      </c>
      <c r="I1372"/>
      <c r="J1372" cm="1">
        <f t="array" ref="J1372">_xlfn.SWITCH(B1372,1,75,2,61,3,49,4,37,5,25,6,13,7,4,8,1)</f>
        <v>75</v>
      </c>
      <c r="K1372" t="str" cm="1">
        <f t="array" ref="K1372">IFERROR(_xlfn.SWITCH(L1372,1,_xlfn.XLOOKUP(C1372,[1]AttributeName!$C:$C,[1]AttributeName!$I:$I),2,_xlfn.XLOOKUP(C1372,[1]ModifierDes!$B:$B,[1]ModifierDes!$C:$C),3,_xlfn.XLOOKUP(C1372,[1]StuntDes!$B:$B,[1]StuntDes!$C:$C)),"")</f>
        <v>物理伤害提高{0}</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404</v>
      </c>
      <c r="D1373" t="s">
        <v>37</v>
      </c>
      <c r="E1373" t="s">
        <v>393</v>
      </c>
      <c r="F1373"/>
      <c r="G1373">
        <v>1</v>
      </c>
      <c r="H1373">
        <v>1000</v>
      </c>
      <c r="I1373"/>
      <c r="J1373" cm="1">
        <f t="array" ref="J1373">_xlfn.SWITCH(B1373,1,75,2,61,3,49,4,37,5,25,6,13,7,4,8,1)</f>
        <v>61</v>
      </c>
      <c r="K1373" t="str" cm="1">
        <f t="array" ref="K1373">IFERROR(_xlfn.SWITCH(L1373,1,_xlfn.XLOOKUP(C1373,[1]AttributeName!$C:$C,[1]AttributeName!$I:$I),2,_xlfn.XLOOKUP(C1373,[1]ModifierDes!$B:$B,[1]ModifierDes!$C:$C),3,_xlfn.XLOOKUP(C1373,[1]StuntDes!$B:$B,[1]StuntDes!$C:$C)),"")</f>
        <v>物理伤害提高{0}</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404</v>
      </c>
      <c r="D1374" t="s">
        <v>37</v>
      </c>
      <c r="E1374" t="s">
        <v>393</v>
      </c>
      <c r="F1374"/>
      <c r="G1374">
        <v>1</v>
      </c>
      <c r="H1374">
        <v>1000</v>
      </c>
      <c r="I1374"/>
      <c r="J1374" cm="1">
        <f t="array" ref="J1374">_xlfn.SWITCH(B1374,1,75,2,61,3,49,4,37,5,25,6,13,7,4,8,1)</f>
        <v>49</v>
      </c>
      <c r="K1374" t="str" cm="1">
        <f t="array" ref="K1374">IFERROR(_xlfn.SWITCH(L1374,1,_xlfn.XLOOKUP(C1374,[1]AttributeName!$C:$C,[1]AttributeName!$I:$I),2,_xlfn.XLOOKUP(C1374,[1]ModifierDes!$B:$B,[1]ModifierDes!$C:$C),3,_xlfn.XLOOKUP(C1374,[1]StuntDes!$B:$B,[1]StuntDes!$C:$C)),"")</f>
        <v>物理伤害提高{0}</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404</v>
      </c>
      <c r="D1375" t="s">
        <v>37</v>
      </c>
      <c r="E1375" t="s">
        <v>393</v>
      </c>
      <c r="F1375"/>
      <c r="G1375">
        <v>1</v>
      </c>
      <c r="H1375">
        <v>1000</v>
      </c>
      <c r="I1375"/>
      <c r="J1375" cm="1">
        <f t="array" ref="J1375">_xlfn.SWITCH(B1375,1,75,2,61,3,49,4,37,5,25,6,13,7,4,8,1)</f>
        <v>37</v>
      </c>
      <c r="K1375" t="str" cm="1">
        <f t="array" ref="K1375">IFERROR(_xlfn.SWITCH(L1375,1,_xlfn.XLOOKUP(C1375,[1]AttributeName!$C:$C,[1]AttributeName!$I:$I),2,_xlfn.XLOOKUP(C1375,[1]ModifierDes!$B:$B,[1]ModifierDes!$C:$C),3,_xlfn.XLOOKUP(C1375,[1]StuntDes!$B:$B,[1]StuntDes!$C:$C)),"")</f>
        <v>物理伤害提高{0}</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404</v>
      </c>
      <c r="D1376" t="s">
        <v>37</v>
      </c>
      <c r="E1376" t="s">
        <v>393</v>
      </c>
      <c r="F1376"/>
      <c r="G1376">
        <v>1</v>
      </c>
      <c r="H1376">
        <v>1000</v>
      </c>
      <c r="I1376"/>
      <c r="J1376" cm="1">
        <f t="array" ref="J1376">_xlfn.SWITCH(B1376,1,75,2,61,3,49,4,37,5,25,6,13,7,4,8,1)</f>
        <v>25</v>
      </c>
      <c r="K1376" t="str" cm="1">
        <f t="array" ref="K1376">IFERROR(_xlfn.SWITCH(L1376,1,_xlfn.XLOOKUP(C1376,[1]AttributeName!$C:$C,[1]AttributeName!$I:$I),2,_xlfn.XLOOKUP(C1376,[1]ModifierDes!$B:$B,[1]ModifierDes!$C:$C),3,_xlfn.XLOOKUP(C1376,[1]StuntDes!$B:$B,[1]StuntDes!$C:$C)),"")</f>
        <v>物理伤害提高{0}</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404</v>
      </c>
      <c r="D1377" t="s">
        <v>37</v>
      </c>
      <c r="E1377" t="s">
        <v>393</v>
      </c>
      <c r="F1377"/>
      <c r="G1377">
        <v>1</v>
      </c>
      <c r="H1377">
        <v>1000</v>
      </c>
      <c r="I1377"/>
      <c r="J1377" cm="1">
        <f t="array" ref="J1377">_xlfn.SWITCH(B1377,1,75,2,61,3,49,4,37,5,25,6,13,7,4,8,1)</f>
        <v>13</v>
      </c>
      <c r="K1377" t="str" cm="1">
        <f t="array" ref="K1377">IFERROR(_xlfn.SWITCH(L1377,1,_xlfn.XLOOKUP(C1377,[1]AttributeName!$C:$C,[1]AttributeName!$I:$I),2,_xlfn.XLOOKUP(C1377,[1]ModifierDes!$B:$B,[1]ModifierDes!$C:$C),3,_xlfn.XLOOKUP(C1377,[1]StuntDes!$B:$B,[1]StuntDes!$C:$C)),"")</f>
        <v>物理伤害提高{0}</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404</v>
      </c>
      <c r="D1378" t="s">
        <v>37</v>
      </c>
      <c r="E1378" t="s">
        <v>393</v>
      </c>
      <c r="F1378"/>
      <c r="G1378">
        <v>1</v>
      </c>
      <c r="H1378">
        <v>1000</v>
      </c>
      <c r="I1378"/>
      <c r="J1378" cm="1">
        <f t="array" ref="J1378">_xlfn.SWITCH(B1378,1,75,2,61,3,49,4,37,5,25,6,13,7,4,8,1)</f>
        <v>4</v>
      </c>
      <c r="K1378" t="str" cm="1">
        <f t="array" ref="K1378">IFERROR(_xlfn.SWITCH(L1378,1,_xlfn.XLOOKUP(C1378,[1]AttributeName!$C:$C,[1]AttributeName!$I:$I),2,_xlfn.XLOOKUP(C1378,[1]ModifierDes!$B:$B,[1]ModifierDes!$C:$C),3,_xlfn.XLOOKUP(C1378,[1]StuntDes!$B:$B,[1]StuntDes!$C:$C)),"")</f>
        <v>物理伤害提高{0}</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404</v>
      </c>
      <c r="D1379" t="s">
        <v>37</v>
      </c>
      <c r="E1379" t="s">
        <v>393</v>
      </c>
      <c r="F1379"/>
      <c r="G1379">
        <v>1</v>
      </c>
      <c r="H1379">
        <v>1000</v>
      </c>
      <c r="I1379"/>
      <c r="J1379" cm="1">
        <f t="array" ref="J1379">_xlfn.SWITCH(B1379,1,75,2,61,3,49,4,37,5,25,6,13,7,4,8,1)</f>
        <v>1</v>
      </c>
      <c r="K1379" t="str" cm="1">
        <f t="array" ref="K1379">IFERROR(_xlfn.SWITCH(L1379,1,_xlfn.XLOOKUP(C1379,[1]AttributeName!$C:$C,[1]AttributeName!$I:$I),2,_xlfn.XLOOKUP(C1379,[1]ModifierDes!$B:$B,[1]ModifierDes!$C:$C),3,_xlfn.XLOOKUP(C1379,[1]StuntDes!$B:$B,[1]StuntDes!$C:$C)),"")</f>
        <v>物理伤害提高{0}</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449</v>
      </c>
      <c r="D1380" t="s">
        <v>37</v>
      </c>
      <c r="E1380" t="s">
        <v>393</v>
      </c>
      <c r="G1380">
        <v>1</v>
      </c>
      <c r="H1380">
        <v>1000</v>
      </c>
      <c r="J1380" cm="1">
        <f t="array" ref="J1380">_xlfn.SWITCH(B1380,1,75,2,61,3,49,4,37,5,25,6,13,7,4,8,1)</f>
        <v>75</v>
      </c>
      <c r="K1380" t="str" cm="1">
        <f t="array" ref="K1380">IFERROR(_xlfn.SWITCH(L1380,1,_xlfn.XLOOKUP(C1380,[1]AttributeName!$C:$C,[1]AttributeName!$I:$I),2,_xlfn.XLOOKUP(C1380,[1]ModifierDes!$B:$B,[1]ModifierDes!$C:$C),3,_xlfn.XLOOKUP(C1380,[1]StuntDes!$B:$B,[1]StuntDes!$C:$C)),"")</f>
        <v>火焰伤害提高{0}</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449</v>
      </c>
      <c r="D1381" t="s">
        <v>37</v>
      </c>
      <c r="E1381" t="s">
        <v>393</v>
      </c>
      <c r="G1381">
        <v>1</v>
      </c>
      <c r="H1381">
        <v>1000</v>
      </c>
      <c r="J1381" cm="1">
        <f t="array" ref="J1381">_xlfn.SWITCH(B1381,1,75,2,61,3,49,4,37,5,25,6,13,7,4,8,1)</f>
        <v>61</v>
      </c>
      <c r="K1381" t="str" cm="1">
        <f t="array" ref="K1381">IFERROR(_xlfn.SWITCH(L1381,1,_xlfn.XLOOKUP(C1381,[1]AttributeName!$C:$C,[1]AttributeName!$I:$I),2,_xlfn.XLOOKUP(C1381,[1]ModifierDes!$B:$B,[1]ModifierDes!$C:$C),3,_xlfn.XLOOKUP(C1381,[1]StuntDes!$B:$B,[1]StuntDes!$C:$C)),"")</f>
        <v>火焰伤害提高{0}</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449</v>
      </c>
      <c r="D1382" t="s">
        <v>37</v>
      </c>
      <c r="E1382" t="s">
        <v>393</v>
      </c>
      <c r="G1382">
        <v>1</v>
      </c>
      <c r="H1382">
        <v>1000</v>
      </c>
      <c r="J1382" cm="1">
        <f t="array" ref="J1382">_xlfn.SWITCH(B1382,1,75,2,61,3,49,4,37,5,25,6,13,7,4,8,1)</f>
        <v>49</v>
      </c>
      <c r="K1382" t="str" cm="1">
        <f t="array" ref="K1382">IFERROR(_xlfn.SWITCH(L1382,1,_xlfn.XLOOKUP(C1382,[1]AttributeName!$C:$C,[1]AttributeName!$I:$I),2,_xlfn.XLOOKUP(C1382,[1]ModifierDes!$B:$B,[1]ModifierDes!$C:$C),3,_xlfn.XLOOKUP(C1382,[1]StuntDes!$B:$B,[1]StuntDes!$C:$C)),"")</f>
        <v>火焰伤害提高{0}</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449</v>
      </c>
      <c r="D1383" t="s">
        <v>37</v>
      </c>
      <c r="E1383" t="s">
        <v>393</v>
      </c>
      <c r="G1383">
        <v>1</v>
      </c>
      <c r="H1383">
        <v>1000</v>
      </c>
      <c r="J1383" cm="1">
        <f t="array" ref="J1383">_xlfn.SWITCH(B1383,1,75,2,61,3,49,4,37,5,25,6,13,7,4,8,1)</f>
        <v>37</v>
      </c>
      <c r="K1383" t="str" cm="1">
        <f t="array" ref="K1383">IFERROR(_xlfn.SWITCH(L1383,1,_xlfn.XLOOKUP(C1383,[1]AttributeName!$C:$C,[1]AttributeName!$I:$I),2,_xlfn.XLOOKUP(C1383,[1]ModifierDes!$B:$B,[1]ModifierDes!$C:$C),3,_xlfn.XLOOKUP(C1383,[1]StuntDes!$B:$B,[1]StuntDes!$C:$C)),"")</f>
        <v>火焰伤害提高{0}</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449</v>
      </c>
      <c r="D1384" t="s">
        <v>37</v>
      </c>
      <c r="E1384" t="s">
        <v>393</v>
      </c>
      <c r="G1384">
        <v>1</v>
      </c>
      <c r="H1384">
        <v>1000</v>
      </c>
      <c r="J1384" cm="1">
        <f t="array" ref="J1384">_xlfn.SWITCH(B1384,1,75,2,61,3,49,4,37,5,25,6,13,7,4,8,1)</f>
        <v>25</v>
      </c>
      <c r="K1384" t="str" cm="1">
        <f t="array" ref="K1384">IFERROR(_xlfn.SWITCH(L1384,1,_xlfn.XLOOKUP(C1384,[1]AttributeName!$C:$C,[1]AttributeName!$I:$I),2,_xlfn.XLOOKUP(C1384,[1]ModifierDes!$B:$B,[1]ModifierDes!$C:$C),3,_xlfn.XLOOKUP(C1384,[1]StuntDes!$B:$B,[1]StuntDes!$C:$C)),"")</f>
        <v>火焰伤害提高{0}</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449</v>
      </c>
      <c r="D1385" t="s">
        <v>37</v>
      </c>
      <c r="E1385" t="s">
        <v>393</v>
      </c>
      <c r="G1385">
        <v>1</v>
      </c>
      <c r="H1385">
        <v>1000</v>
      </c>
      <c r="J1385" cm="1">
        <f t="array" ref="J1385">_xlfn.SWITCH(B1385,1,75,2,61,3,49,4,37,5,25,6,13,7,4,8,1)</f>
        <v>13</v>
      </c>
      <c r="K1385" t="str" cm="1">
        <f t="array" ref="K1385">IFERROR(_xlfn.SWITCH(L1385,1,_xlfn.XLOOKUP(C1385,[1]AttributeName!$C:$C,[1]AttributeName!$I:$I),2,_xlfn.XLOOKUP(C1385,[1]ModifierDes!$B:$B,[1]ModifierDes!$C:$C),3,_xlfn.XLOOKUP(C1385,[1]StuntDes!$B:$B,[1]StuntDes!$C:$C)),"")</f>
        <v>火焰伤害提高{0}</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449</v>
      </c>
      <c r="D1386" t="s">
        <v>37</v>
      </c>
      <c r="E1386" t="s">
        <v>393</v>
      </c>
      <c r="G1386">
        <v>1</v>
      </c>
      <c r="H1386">
        <v>1000</v>
      </c>
      <c r="J1386" cm="1">
        <f t="array" ref="J1386">_xlfn.SWITCH(B1386,1,75,2,61,3,49,4,37,5,25,6,13,7,4,8,1)</f>
        <v>4</v>
      </c>
      <c r="K1386" t="str" cm="1">
        <f t="array" ref="K1386">IFERROR(_xlfn.SWITCH(L1386,1,_xlfn.XLOOKUP(C1386,[1]AttributeName!$C:$C,[1]AttributeName!$I:$I),2,_xlfn.XLOOKUP(C1386,[1]ModifierDes!$B:$B,[1]ModifierDes!$C:$C),3,_xlfn.XLOOKUP(C1386,[1]StuntDes!$B:$B,[1]StuntDes!$C:$C)),"")</f>
        <v>火焰伤害提高{0}</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449</v>
      </c>
      <c r="D1387" t="s">
        <v>37</v>
      </c>
      <c r="E1387" t="s">
        <v>393</v>
      </c>
      <c r="G1387">
        <v>1</v>
      </c>
      <c r="H1387">
        <v>1000</v>
      </c>
      <c r="J1387" cm="1">
        <f t="array" ref="J1387">_xlfn.SWITCH(B1387,1,75,2,61,3,49,4,37,5,25,6,13,7,4,8,1)</f>
        <v>1</v>
      </c>
      <c r="K1387" t="str" cm="1">
        <f t="array" ref="K1387">IFERROR(_xlfn.SWITCH(L1387,1,_xlfn.XLOOKUP(C1387,[1]AttributeName!$C:$C,[1]AttributeName!$I:$I),2,_xlfn.XLOOKUP(C1387,[1]ModifierDes!$B:$B,[1]ModifierDes!$C:$C),3,_xlfn.XLOOKUP(C1387,[1]StuntDes!$B:$B,[1]StuntDes!$C:$C)),"")</f>
        <v>火焰伤害提高{0}</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450</v>
      </c>
      <c r="D1388" t="s">
        <v>37</v>
      </c>
      <c r="E1388" t="s">
        <v>393</v>
      </c>
      <c r="G1388">
        <v>1</v>
      </c>
      <c r="H1388">
        <v>1000</v>
      </c>
      <c r="J1388" cm="1">
        <f t="array" ref="J1388">_xlfn.SWITCH(B1388,1,75,2,61,3,49,4,37,5,25,6,13,7,4,8,1)</f>
        <v>75</v>
      </c>
      <c r="K1388" t="str" cm="1">
        <f t="array" ref="K1388">IFERROR(_xlfn.SWITCH(L1388,1,_xlfn.XLOOKUP(C1388,[1]AttributeName!$C:$C,[1]AttributeName!$I:$I),2,_xlfn.XLOOKUP(C1388,[1]ModifierDes!$B:$B,[1]ModifierDes!$C:$C),3,_xlfn.XLOOKUP(C1388,[1]StuntDes!$B:$B,[1]StuntDes!$C:$C)),"")</f>
        <v>冰冷伤害提高{0}</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450</v>
      </c>
      <c r="D1389" t="s">
        <v>37</v>
      </c>
      <c r="E1389" t="s">
        <v>393</v>
      </c>
      <c r="G1389">
        <v>1</v>
      </c>
      <c r="H1389">
        <v>1000</v>
      </c>
      <c r="J1389" cm="1">
        <f t="array" ref="J1389">_xlfn.SWITCH(B1389,1,75,2,61,3,49,4,37,5,25,6,13,7,4,8,1)</f>
        <v>61</v>
      </c>
      <c r="K1389" t="str" cm="1">
        <f t="array" ref="K1389">IFERROR(_xlfn.SWITCH(L1389,1,_xlfn.XLOOKUP(C1389,[1]AttributeName!$C:$C,[1]AttributeName!$I:$I),2,_xlfn.XLOOKUP(C1389,[1]ModifierDes!$B:$B,[1]ModifierDes!$C:$C),3,_xlfn.XLOOKUP(C1389,[1]StuntDes!$B:$B,[1]StuntDes!$C:$C)),"")</f>
        <v>冰冷伤害提高{0}</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450</v>
      </c>
      <c r="D1390" t="s">
        <v>37</v>
      </c>
      <c r="E1390" t="s">
        <v>393</v>
      </c>
      <c r="G1390">
        <v>1</v>
      </c>
      <c r="H1390">
        <v>1000</v>
      </c>
      <c r="J1390" cm="1">
        <f t="array" ref="J1390">_xlfn.SWITCH(B1390,1,75,2,61,3,49,4,37,5,25,6,13,7,4,8,1)</f>
        <v>49</v>
      </c>
      <c r="K1390" t="str" cm="1">
        <f t="array" ref="K1390">IFERROR(_xlfn.SWITCH(L1390,1,_xlfn.XLOOKUP(C1390,[1]AttributeName!$C:$C,[1]AttributeName!$I:$I),2,_xlfn.XLOOKUP(C1390,[1]ModifierDes!$B:$B,[1]ModifierDes!$C:$C),3,_xlfn.XLOOKUP(C1390,[1]StuntDes!$B:$B,[1]StuntDes!$C:$C)),"")</f>
        <v>冰冷伤害提高{0}</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450</v>
      </c>
      <c r="D1391" t="s">
        <v>37</v>
      </c>
      <c r="E1391" t="s">
        <v>393</v>
      </c>
      <c r="G1391">
        <v>1</v>
      </c>
      <c r="H1391">
        <v>1000</v>
      </c>
      <c r="J1391" cm="1">
        <f t="array" ref="J1391">_xlfn.SWITCH(B1391,1,75,2,61,3,49,4,37,5,25,6,13,7,4,8,1)</f>
        <v>37</v>
      </c>
      <c r="K1391" t="str" cm="1">
        <f t="array" ref="K1391">IFERROR(_xlfn.SWITCH(L1391,1,_xlfn.XLOOKUP(C1391,[1]AttributeName!$C:$C,[1]AttributeName!$I:$I),2,_xlfn.XLOOKUP(C1391,[1]ModifierDes!$B:$B,[1]ModifierDes!$C:$C),3,_xlfn.XLOOKUP(C1391,[1]StuntDes!$B:$B,[1]StuntDes!$C:$C)),"")</f>
        <v>冰冷伤害提高{0}</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450</v>
      </c>
      <c r="D1392" t="s">
        <v>37</v>
      </c>
      <c r="E1392" t="s">
        <v>393</v>
      </c>
      <c r="G1392">
        <v>1</v>
      </c>
      <c r="H1392">
        <v>1000</v>
      </c>
      <c r="J1392" cm="1">
        <f t="array" ref="J1392">_xlfn.SWITCH(B1392,1,75,2,61,3,49,4,37,5,25,6,13,7,4,8,1)</f>
        <v>25</v>
      </c>
      <c r="K1392" t="str" cm="1">
        <f t="array" ref="K1392">IFERROR(_xlfn.SWITCH(L1392,1,_xlfn.XLOOKUP(C1392,[1]AttributeName!$C:$C,[1]AttributeName!$I:$I),2,_xlfn.XLOOKUP(C1392,[1]ModifierDes!$B:$B,[1]ModifierDes!$C:$C),3,_xlfn.XLOOKUP(C1392,[1]StuntDes!$B:$B,[1]StuntDes!$C:$C)),"")</f>
        <v>冰冷伤害提高{0}</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450</v>
      </c>
      <c r="D1393" t="s">
        <v>37</v>
      </c>
      <c r="E1393" t="s">
        <v>393</v>
      </c>
      <c r="G1393">
        <v>1</v>
      </c>
      <c r="H1393">
        <v>1000</v>
      </c>
      <c r="J1393" cm="1">
        <f t="array" ref="J1393">_xlfn.SWITCH(B1393,1,75,2,61,3,49,4,37,5,25,6,13,7,4,8,1)</f>
        <v>13</v>
      </c>
      <c r="K1393" t="str" cm="1">
        <f t="array" ref="K1393">IFERROR(_xlfn.SWITCH(L1393,1,_xlfn.XLOOKUP(C1393,[1]AttributeName!$C:$C,[1]AttributeName!$I:$I),2,_xlfn.XLOOKUP(C1393,[1]ModifierDes!$B:$B,[1]ModifierDes!$C:$C),3,_xlfn.XLOOKUP(C1393,[1]StuntDes!$B:$B,[1]StuntDes!$C:$C)),"")</f>
        <v>冰冷伤害提高{0}</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450</v>
      </c>
      <c r="D1394" t="s">
        <v>37</v>
      </c>
      <c r="E1394" t="s">
        <v>393</v>
      </c>
      <c r="G1394">
        <v>1</v>
      </c>
      <c r="H1394">
        <v>1000</v>
      </c>
      <c r="J1394" cm="1">
        <f t="array" ref="J1394">_xlfn.SWITCH(B1394,1,75,2,61,3,49,4,37,5,25,6,13,7,4,8,1)</f>
        <v>4</v>
      </c>
      <c r="K1394" t="str" cm="1">
        <f t="array" ref="K1394">IFERROR(_xlfn.SWITCH(L1394,1,_xlfn.XLOOKUP(C1394,[1]AttributeName!$C:$C,[1]AttributeName!$I:$I),2,_xlfn.XLOOKUP(C1394,[1]ModifierDes!$B:$B,[1]ModifierDes!$C:$C),3,_xlfn.XLOOKUP(C1394,[1]StuntDes!$B:$B,[1]StuntDes!$C:$C)),"")</f>
        <v>冰冷伤害提高{0}</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450</v>
      </c>
      <c r="D1395" t="s">
        <v>37</v>
      </c>
      <c r="E1395" t="s">
        <v>393</v>
      </c>
      <c r="G1395">
        <v>1</v>
      </c>
      <c r="H1395">
        <v>1000</v>
      </c>
      <c r="J1395" cm="1">
        <f t="array" ref="J1395">_xlfn.SWITCH(B1395,1,75,2,61,3,49,4,37,5,25,6,13,7,4,8,1)</f>
        <v>1</v>
      </c>
      <c r="K1395" t="str" cm="1">
        <f t="array" ref="K1395">IFERROR(_xlfn.SWITCH(L1395,1,_xlfn.XLOOKUP(C1395,[1]AttributeName!$C:$C,[1]AttributeName!$I:$I),2,_xlfn.XLOOKUP(C1395,[1]ModifierDes!$B:$B,[1]ModifierDes!$C:$C),3,_xlfn.XLOOKUP(C1395,[1]StuntDes!$B:$B,[1]StuntDes!$C:$C)),"")</f>
        <v>冰冷伤害提高{0}</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451</v>
      </c>
      <c r="D1396" t="s">
        <v>37</v>
      </c>
      <c r="E1396" t="s">
        <v>393</v>
      </c>
      <c r="G1396">
        <v>1</v>
      </c>
      <c r="H1396">
        <v>1000</v>
      </c>
      <c r="J1396" cm="1">
        <f t="array" ref="J1396">_xlfn.SWITCH(B1396,1,75,2,61,3,49,4,37,5,25,6,13,7,4,8,1)</f>
        <v>75</v>
      </c>
      <c r="K1396" t="str" cm="1">
        <f t="array" ref="K1396">IFERROR(_xlfn.SWITCH(L1396,1,_xlfn.XLOOKUP(C1396,[1]AttributeName!$C:$C,[1]AttributeName!$I:$I),2,_xlfn.XLOOKUP(C1396,[1]ModifierDes!$B:$B,[1]ModifierDes!$C:$C),3,_xlfn.XLOOKUP(C1396,[1]StuntDes!$B:$B,[1]StuntDes!$C:$C)),"")</f>
        <v>闪电伤害提高{0}</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451</v>
      </c>
      <c r="D1397" t="s">
        <v>37</v>
      </c>
      <c r="E1397" t="s">
        <v>393</v>
      </c>
      <c r="G1397">
        <v>1</v>
      </c>
      <c r="H1397">
        <v>1000</v>
      </c>
      <c r="J1397" cm="1">
        <f t="array" ref="J1397">_xlfn.SWITCH(B1397,1,75,2,61,3,49,4,37,5,25,6,13,7,4,8,1)</f>
        <v>61</v>
      </c>
      <c r="K1397" t="str" cm="1">
        <f t="array" ref="K1397">IFERROR(_xlfn.SWITCH(L1397,1,_xlfn.XLOOKUP(C1397,[1]AttributeName!$C:$C,[1]AttributeName!$I:$I),2,_xlfn.XLOOKUP(C1397,[1]ModifierDes!$B:$B,[1]ModifierDes!$C:$C),3,_xlfn.XLOOKUP(C1397,[1]StuntDes!$B:$B,[1]StuntDes!$C:$C)),"")</f>
        <v>闪电伤害提高{0}</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451</v>
      </c>
      <c r="D1398" t="s">
        <v>37</v>
      </c>
      <c r="E1398" t="s">
        <v>393</v>
      </c>
      <c r="G1398">
        <v>1</v>
      </c>
      <c r="H1398">
        <v>1000</v>
      </c>
      <c r="J1398" cm="1">
        <f t="array" ref="J1398">_xlfn.SWITCH(B1398,1,75,2,61,3,49,4,37,5,25,6,13,7,4,8,1)</f>
        <v>49</v>
      </c>
      <c r="K1398" t="str" cm="1">
        <f t="array" ref="K1398">IFERROR(_xlfn.SWITCH(L1398,1,_xlfn.XLOOKUP(C1398,[1]AttributeName!$C:$C,[1]AttributeName!$I:$I),2,_xlfn.XLOOKUP(C1398,[1]ModifierDes!$B:$B,[1]ModifierDes!$C:$C),3,_xlfn.XLOOKUP(C1398,[1]StuntDes!$B:$B,[1]StuntDes!$C:$C)),"")</f>
        <v>闪电伤害提高{0}</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451</v>
      </c>
      <c r="D1399" t="s">
        <v>37</v>
      </c>
      <c r="E1399" t="s">
        <v>393</v>
      </c>
      <c r="G1399">
        <v>1</v>
      </c>
      <c r="H1399">
        <v>1000</v>
      </c>
      <c r="J1399" cm="1">
        <f t="array" ref="J1399">_xlfn.SWITCH(B1399,1,75,2,61,3,49,4,37,5,25,6,13,7,4,8,1)</f>
        <v>37</v>
      </c>
      <c r="K1399" t="str" cm="1">
        <f t="array" ref="K1399">IFERROR(_xlfn.SWITCH(L1399,1,_xlfn.XLOOKUP(C1399,[1]AttributeName!$C:$C,[1]AttributeName!$I:$I),2,_xlfn.XLOOKUP(C1399,[1]ModifierDes!$B:$B,[1]ModifierDes!$C:$C),3,_xlfn.XLOOKUP(C1399,[1]StuntDes!$B:$B,[1]StuntDes!$C:$C)),"")</f>
        <v>闪电伤害提高{0}</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451</v>
      </c>
      <c r="D1400" t="s">
        <v>37</v>
      </c>
      <c r="E1400" t="s">
        <v>393</v>
      </c>
      <c r="G1400">
        <v>1</v>
      </c>
      <c r="H1400">
        <v>1000</v>
      </c>
      <c r="J1400" cm="1">
        <f t="array" ref="J1400">_xlfn.SWITCH(B1400,1,75,2,61,3,49,4,37,5,25,6,13,7,4,8,1)</f>
        <v>25</v>
      </c>
      <c r="K1400" t="str" cm="1">
        <f t="array" ref="K1400">IFERROR(_xlfn.SWITCH(L1400,1,_xlfn.XLOOKUP(C1400,[1]AttributeName!$C:$C,[1]AttributeName!$I:$I),2,_xlfn.XLOOKUP(C1400,[1]ModifierDes!$B:$B,[1]ModifierDes!$C:$C),3,_xlfn.XLOOKUP(C1400,[1]StuntDes!$B:$B,[1]StuntDes!$C:$C)),"")</f>
        <v>闪电伤害提高{0}</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451</v>
      </c>
      <c r="D1401" t="s">
        <v>37</v>
      </c>
      <c r="E1401" t="s">
        <v>393</v>
      </c>
      <c r="G1401">
        <v>1</v>
      </c>
      <c r="H1401">
        <v>1000</v>
      </c>
      <c r="J1401" cm="1">
        <f t="array" ref="J1401">_xlfn.SWITCH(B1401,1,75,2,61,3,49,4,37,5,25,6,13,7,4,8,1)</f>
        <v>13</v>
      </c>
      <c r="K1401" t="str" cm="1">
        <f t="array" ref="K1401">IFERROR(_xlfn.SWITCH(L1401,1,_xlfn.XLOOKUP(C1401,[1]AttributeName!$C:$C,[1]AttributeName!$I:$I),2,_xlfn.XLOOKUP(C1401,[1]ModifierDes!$B:$B,[1]ModifierDes!$C:$C),3,_xlfn.XLOOKUP(C1401,[1]StuntDes!$B:$B,[1]StuntDes!$C:$C)),"")</f>
        <v>闪电伤害提高{0}</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451</v>
      </c>
      <c r="D1402" t="s">
        <v>37</v>
      </c>
      <c r="E1402" t="s">
        <v>393</v>
      </c>
      <c r="G1402">
        <v>1</v>
      </c>
      <c r="H1402">
        <v>1000</v>
      </c>
      <c r="J1402" cm="1">
        <f t="array" ref="J1402">_xlfn.SWITCH(B1402,1,75,2,61,3,49,4,37,5,25,6,13,7,4,8,1)</f>
        <v>4</v>
      </c>
      <c r="K1402" t="str" cm="1">
        <f t="array" ref="K1402">IFERROR(_xlfn.SWITCH(L1402,1,_xlfn.XLOOKUP(C1402,[1]AttributeName!$C:$C,[1]AttributeName!$I:$I),2,_xlfn.XLOOKUP(C1402,[1]ModifierDes!$B:$B,[1]ModifierDes!$C:$C),3,_xlfn.XLOOKUP(C1402,[1]StuntDes!$B:$B,[1]StuntDes!$C:$C)),"")</f>
        <v>闪电伤害提高{0}</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451</v>
      </c>
      <c r="D1403" t="s">
        <v>37</v>
      </c>
      <c r="E1403" t="s">
        <v>393</v>
      </c>
      <c r="G1403">
        <v>1</v>
      </c>
      <c r="H1403">
        <v>1000</v>
      </c>
      <c r="J1403" cm="1">
        <f t="array" ref="J1403">_xlfn.SWITCH(B1403,1,75,2,61,3,49,4,37,5,25,6,13,7,4,8,1)</f>
        <v>1</v>
      </c>
      <c r="K1403" t="str" cm="1">
        <f t="array" ref="K1403">IFERROR(_xlfn.SWITCH(L1403,1,_xlfn.XLOOKUP(C1403,[1]AttributeName!$C:$C,[1]AttributeName!$I:$I),2,_xlfn.XLOOKUP(C1403,[1]ModifierDes!$B:$B,[1]ModifierDes!$C:$C),3,_xlfn.XLOOKUP(C1403,[1]StuntDes!$B:$B,[1]StuntDes!$C:$C)),"")</f>
        <v>闪电伤害提高{0}</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406</v>
      </c>
      <c r="D1404" t="s">
        <v>37</v>
      </c>
      <c r="E1404" t="s">
        <v>393</v>
      </c>
      <c r="G1404">
        <v>1</v>
      </c>
      <c r="H1404">
        <v>1000</v>
      </c>
      <c r="J1404" cm="1">
        <f t="array" ref="J1404">_xlfn.SWITCH(B1404,1,75,2,61,3,49,4,37,5,25,6,13,7,4,8,1)</f>
        <v>75</v>
      </c>
      <c r="K1404" t="str" cm="1">
        <f t="array" ref="K1404">IFERROR(_xlfn.SWITCH(L1404,1,_xlfn.XLOOKUP(C1404,[1]AttributeName!$C:$C,[1]AttributeName!$I:$I),2,_xlfn.XLOOKUP(C1404,[1]ModifierDes!$B:$B,[1]ModifierDes!$C:$C),3,_xlfn.XLOOKUP(C1404,[1]StuntDes!$B:$B,[1]StuntDes!$C:$C)),"")</f>
        <v>混沌伤害提高{0}</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406</v>
      </c>
      <c r="D1405" t="s">
        <v>37</v>
      </c>
      <c r="E1405" t="s">
        <v>393</v>
      </c>
      <c r="G1405">
        <v>1</v>
      </c>
      <c r="H1405">
        <v>1000</v>
      </c>
      <c r="J1405" cm="1">
        <f t="array" ref="J1405">_xlfn.SWITCH(B1405,1,75,2,61,3,49,4,37,5,25,6,13,7,4,8,1)</f>
        <v>61</v>
      </c>
      <c r="K1405" t="str" cm="1">
        <f t="array" ref="K1405">IFERROR(_xlfn.SWITCH(L1405,1,_xlfn.XLOOKUP(C1405,[1]AttributeName!$C:$C,[1]AttributeName!$I:$I),2,_xlfn.XLOOKUP(C1405,[1]ModifierDes!$B:$B,[1]ModifierDes!$C:$C),3,_xlfn.XLOOKUP(C1405,[1]StuntDes!$B:$B,[1]StuntDes!$C:$C)),"")</f>
        <v>混沌伤害提高{0}</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406</v>
      </c>
      <c r="D1406" t="s">
        <v>37</v>
      </c>
      <c r="E1406" t="s">
        <v>393</v>
      </c>
      <c r="G1406">
        <v>1</v>
      </c>
      <c r="H1406">
        <v>1000</v>
      </c>
      <c r="J1406" cm="1">
        <f t="array" ref="J1406">_xlfn.SWITCH(B1406,1,75,2,61,3,49,4,37,5,25,6,13,7,4,8,1)</f>
        <v>49</v>
      </c>
      <c r="K1406" t="str" cm="1">
        <f t="array" ref="K1406">IFERROR(_xlfn.SWITCH(L1406,1,_xlfn.XLOOKUP(C1406,[1]AttributeName!$C:$C,[1]AttributeName!$I:$I),2,_xlfn.XLOOKUP(C1406,[1]ModifierDes!$B:$B,[1]ModifierDes!$C:$C),3,_xlfn.XLOOKUP(C1406,[1]StuntDes!$B:$B,[1]StuntDes!$C:$C)),"")</f>
        <v>混沌伤害提高{0}</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406</v>
      </c>
      <c r="D1407" t="s">
        <v>37</v>
      </c>
      <c r="E1407" t="s">
        <v>393</v>
      </c>
      <c r="G1407">
        <v>1</v>
      </c>
      <c r="H1407">
        <v>1000</v>
      </c>
      <c r="J1407" cm="1">
        <f t="array" ref="J1407">_xlfn.SWITCH(B1407,1,75,2,61,3,49,4,37,5,25,6,13,7,4,8,1)</f>
        <v>37</v>
      </c>
      <c r="K1407" t="str" cm="1">
        <f t="array" ref="K1407">IFERROR(_xlfn.SWITCH(L1407,1,_xlfn.XLOOKUP(C1407,[1]AttributeName!$C:$C,[1]AttributeName!$I:$I),2,_xlfn.XLOOKUP(C1407,[1]ModifierDes!$B:$B,[1]ModifierDes!$C:$C),3,_xlfn.XLOOKUP(C1407,[1]StuntDes!$B:$B,[1]StuntDes!$C:$C)),"")</f>
        <v>混沌伤害提高{0}</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406</v>
      </c>
      <c r="D1408" t="s">
        <v>37</v>
      </c>
      <c r="E1408" t="s">
        <v>393</v>
      </c>
      <c r="G1408">
        <v>1</v>
      </c>
      <c r="H1408">
        <v>1000</v>
      </c>
      <c r="J1408" cm="1">
        <f t="array" ref="J1408">_xlfn.SWITCH(B1408,1,75,2,61,3,49,4,37,5,25,6,13,7,4,8,1)</f>
        <v>25</v>
      </c>
      <c r="K1408" t="str" cm="1">
        <f t="array" ref="K1408">IFERROR(_xlfn.SWITCH(L1408,1,_xlfn.XLOOKUP(C1408,[1]AttributeName!$C:$C,[1]AttributeName!$I:$I),2,_xlfn.XLOOKUP(C1408,[1]ModifierDes!$B:$B,[1]ModifierDes!$C:$C),3,_xlfn.XLOOKUP(C1408,[1]StuntDes!$B:$B,[1]StuntDes!$C:$C)),"")</f>
        <v>混沌伤害提高{0}</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406</v>
      </c>
      <c r="D1409" t="s">
        <v>37</v>
      </c>
      <c r="E1409" t="s">
        <v>393</v>
      </c>
      <c r="G1409">
        <v>1</v>
      </c>
      <c r="H1409">
        <v>1000</v>
      </c>
      <c r="J1409" cm="1">
        <f t="array" ref="J1409">_xlfn.SWITCH(B1409,1,75,2,61,3,49,4,37,5,25,6,13,7,4,8,1)</f>
        <v>13</v>
      </c>
      <c r="K1409" t="str" cm="1">
        <f t="array" ref="K1409">IFERROR(_xlfn.SWITCH(L1409,1,_xlfn.XLOOKUP(C1409,[1]AttributeName!$C:$C,[1]AttributeName!$I:$I),2,_xlfn.XLOOKUP(C1409,[1]ModifierDes!$B:$B,[1]ModifierDes!$C:$C),3,_xlfn.XLOOKUP(C1409,[1]StuntDes!$B:$B,[1]StuntDes!$C:$C)),"")</f>
        <v>混沌伤害提高{0}</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406</v>
      </c>
      <c r="D1410" t="s">
        <v>37</v>
      </c>
      <c r="E1410" t="s">
        <v>393</v>
      </c>
      <c r="G1410">
        <v>1</v>
      </c>
      <c r="H1410">
        <v>1000</v>
      </c>
      <c r="J1410" cm="1">
        <f t="array" ref="J1410">_xlfn.SWITCH(B1410,1,75,2,61,3,49,4,37,5,25,6,13,7,4,8,1)</f>
        <v>4</v>
      </c>
      <c r="K1410" t="str" cm="1">
        <f t="array" ref="K1410">IFERROR(_xlfn.SWITCH(L1410,1,_xlfn.XLOOKUP(C1410,[1]AttributeName!$C:$C,[1]AttributeName!$I:$I),2,_xlfn.XLOOKUP(C1410,[1]ModifierDes!$B:$B,[1]ModifierDes!$C:$C),3,_xlfn.XLOOKUP(C1410,[1]StuntDes!$B:$B,[1]StuntDes!$C:$C)),"")</f>
        <v>混沌伤害提高{0}</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406</v>
      </c>
      <c r="D1411" t="s">
        <v>37</v>
      </c>
      <c r="E1411" t="s">
        <v>393</v>
      </c>
      <c r="G1411">
        <v>1</v>
      </c>
      <c r="H1411">
        <v>1000</v>
      </c>
      <c r="J1411" cm="1">
        <f t="array" ref="J1411">_xlfn.SWITCH(B1411,1,75,2,61,3,49,4,37,5,25,6,13,7,4,8,1)</f>
        <v>1</v>
      </c>
      <c r="K1411" t="str" cm="1">
        <f t="array" ref="K1411">IFERROR(_xlfn.SWITCH(L1411,1,_xlfn.XLOOKUP(C1411,[1]AttributeName!$C:$C,[1]AttributeName!$I:$I),2,_xlfn.XLOOKUP(C1411,[1]ModifierDes!$B:$B,[1]ModifierDes!$C:$C),3,_xlfn.XLOOKUP(C1411,[1]StuntDes!$B:$B,[1]StuntDes!$C:$C)),"")</f>
        <v>混沌伤害提高{0}</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437</v>
      </c>
      <c r="D1412" t="s">
        <v>37</v>
      </c>
      <c r="E1412" t="s">
        <v>410</v>
      </c>
      <c r="F1412"/>
      <c r="G1412">
        <v>2</v>
      </c>
      <c r="H1412">
        <v>1000</v>
      </c>
      <c r="J1412" cm="1">
        <f t="array" ref="J1412">_xlfn.SWITCH(B1412,1,75,2,61,3,49,4,37,5,25,6,13,7,4,8,1)</f>
        <v>75</v>
      </c>
      <c r="K1412" t="str" cm="1">
        <f t="array" ref="K1412">IFERROR(_xlfn.SWITCH(L1412,1,_xlfn.XLOOKUP(C1412,[1]AttributeName!$C:$C,[1]AttributeName!$I:$I),2,_xlfn.XLOOKUP(C1412,[1]ModifierDes!$B:$B,[1]ModifierDes!$C:$C),3,_xlfn.XLOOKUP(C1412,[1]StuntDes!$B:$B,[1]StuntDes!$C:$C)),"")</f>
        <v>物理抗性增加{0}</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437</v>
      </c>
      <c r="D1413" t="s">
        <v>37</v>
      </c>
      <c r="E1413" t="s">
        <v>410</v>
      </c>
      <c r="F1413"/>
      <c r="G1413">
        <v>2</v>
      </c>
      <c r="H1413">
        <v>1000</v>
      </c>
      <c r="J1413" cm="1">
        <f t="array" ref="J1413">_xlfn.SWITCH(B1413,1,75,2,61,3,49,4,37,5,25,6,13,7,4,8,1)</f>
        <v>61</v>
      </c>
      <c r="K1413" t="str" cm="1">
        <f t="array" ref="K1413">IFERROR(_xlfn.SWITCH(L1413,1,_xlfn.XLOOKUP(C1413,[1]AttributeName!$C:$C,[1]AttributeName!$I:$I),2,_xlfn.XLOOKUP(C1413,[1]ModifierDes!$B:$B,[1]ModifierDes!$C:$C),3,_xlfn.XLOOKUP(C1413,[1]StuntDes!$B:$B,[1]StuntDes!$C:$C)),"")</f>
        <v>物理抗性增加{0}</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437</v>
      </c>
      <c r="D1414" t="s">
        <v>37</v>
      </c>
      <c r="E1414" t="s">
        <v>410</v>
      </c>
      <c r="F1414"/>
      <c r="G1414">
        <v>2</v>
      </c>
      <c r="H1414">
        <v>1000</v>
      </c>
      <c r="J1414" cm="1">
        <f t="array" ref="J1414">_xlfn.SWITCH(B1414,1,75,2,61,3,49,4,37,5,25,6,13,7,4,8,1)</f>
        <v>49</v>
      </c>
      <c r="K1414" t="str" cm="1">
        <f t="array" ref="K1414">IFERROR(_xlfn.SWITCH(L1414,1,_xlfn.XLOOKUP(C1414,[1]AttributeName!$C:$C,[1]AttributeName!$I:$I),2,_xlfn.XLOOKUP(C1414,[1]ModifierDes!$B:$B,[1]ModifierDes!$C:$C),3,_xlfn.XLOOKUP(C1414,[1]StuntDes!$B:$B,[1]StuntDes!$C:$C)),"")</f>
        <v>物理抗性增加{0}</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437</v>
      </c>
      <c r="D1415" t="s">
        <v>37</v>
      </c>
      <c r="E1415" t="s">
        <v>410</v>
      </c>
      <c r="F1415"/>
      <c r="G1415">
        <v>2</v>
      </c>
      <c r="H1415">
        <v>1000</v>
      </c>
      <c r="J1415" cm="1">
        <f t="array" ref="J1415">_xlfn.SWITCH(B1415,1,75,2,61,3,49,4,37,5,25,6,13,7,4,8,1)</f>
        <v>37</v>
      </c>
      <c r="K1415" t="str" cm="1">
        <f t="array" ref="K1415">IFERROR(_xlfn.SWITCH(L1415,1,_xlfn.XLOOKUP(C1415,[1]AttributeName!$C:$C,[1]AttributeName!$I:$I),2,_xlfn.XLOOKUP(C1415,[1]ModifierDes!$B:$B,[1]ModifierDes!$C:$C),3,_xlfn.XLOOKUP(C1415,[1]StuntDes!$B:$B,[1]StuntDes!$C:$C)),"")</f>
        <v>物理抗性增加{0}</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437</v>
      </c>
      <c r="D1416" t="s">
        <v>37</v>
      </c>
      <c r="E1416" t="s">
        <v>410</v>
      </c>
      <c r="F1416"/>
      <c r="G1416">
        <v>2</v>
      </c>
      <c r="H1416">
        <v>1000</v>
      </c>
      <c r="J1416" cm="1">
        <f t="array" ref="J1416">_xlfn.SWITCH(B1416,1,75,2,61,3,49,4,37,5,25,6,13,7,4,8,1)</f>
        <v>25</v>
      </c>
      <c r="K1416" t="str" cm="1">
        <f t="array" ref="K1416">IFERROR(_xlfn.SWITCH(L1416,1,_xlfn.XLOOKUP(C1416,[1]AttributeName!$C:$C,[1]AttributeName!$I:$I),2,_xlfn.XLOOKUP(C1416,[1]ModifierDes!$B:$B,[1]ModifierDes!$C:$C),3,_xlfn.XLOOKUP(C1416,[1]StuntDes!$B:$B,[1]StuntDes!$C:$C)),"")</f>
        <v>物理抗性增加{0}</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437</v>
      </c>
      <c r="D1417" t="s">
        <v>37</v>
      </c>
      <c r="E1417" t="s">
        <v>410</v>
      </c>
      <c r="F1417"/>
      <c r="G1417">
        <v>2</v>
      </c>
      <c r="H1417">
        <v>1000</v>
      </c>
      <c r="J1417" cm="1">
        <f t="array" ref="J1417">_xlfn.SWITCH(B1417,1,75,2,61,3,49,4,37,5,25,6,13,7,4,8,1)</f>
        <v>13</v>
      </c>
      <c r="K1417" t="str" cm="1">
        <f t="array" ref="K1417">IFERROR(_xlfn.SWITCH(L1417,1,_xlfn.XLOOKUP(C1417,[1]AttributeName!$C:$C,[1]AttributeName!$I:$I),2,_xlfn.XLOOKUP(C1417,[1]ModifierDes!$B:$B,[1]ModifierDes!$C:$C),3,_xlfn.XLOOKUP(C1417,[1]StuntDes!$B:$B,[1]StuntDes!$C:$C)),"")</f>
        <v>物理抗性增加{0}</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437</v>
      </c>
      <c r="D1418" t="s">
        <v>37</v>
      </c>
      <c r="E1418" t="s">
        <v>410</v>
      </c>
      <c r="F1418"/>
      <c r="G1418">
        <v>2</v>
      </c>
      <c r="H1418">
        <v>1000</v>
      </c>
      <c r="J1418" cm="1">
        <f t="array" ref="J1418">_xlfn.SWITCH(B1418,1,75,2,61,3,49,4,37,5,25,6,13,7,4,8,1)</f>
        <v>4</v>
      </c>
      <c r="K1418" t="str" cm="1">
        <f t="array" ref="K1418">IFERROR(_xlfn.SWITCH(L1418,1,_xlfn.XLOOKUP(C1418,[1]AttributeName!$C:$C,[1]AttributeName!$I:$I),2,_xlfn.XLOOKUP(C1418,[1]ModifierDes!$B:$B,[1]ModifierDes!$C:$C),3,_xlfn.XLOOKUP(C1418,[1]StuntDes!$B:$B,[1]StuntDes!$C:$C)),"")</f>
        <v>物理抗性增加{0}</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437</v>
      </c>
      <c r="D1419" t="s">
        <v>37</v>
      </c>
      <c r="E1419" t="s">
        <v>410</v>
      </c>
      <c r="F1419"/>
      <c r="G1419">
        <v>2</v>
      </c>
      <c r="H1419">
        <v>1000</v>
      </c>
      <c r="J1419" cm="1">
        <f t="array" ref="J1419">_xlfn.SWITCH(B1419,1,75,2,61,3,49,4,37,5,25,6,13,7,4,8,1)</f>
        <v>1</v>
      </c>
      <c r="K1419" t="str" cm="1">
        <f t="array" ref="K1419">IFERROR(_xlfn.SWITCH(L1419,1,_xlfn.XLOOKUP(C1419,[1]AttributeName!$C:$C,[1]AttributeName!$I:$I),2,_xlfn.XLOOKUP(C1419,[1]ModifierDes!$B:$B,[1]ModifierDes!$C:$C),3,_xlfn.XLOOKUP(C1419,[1]StuntDes!$B:$B,[1]StuntDes!$C:$C)),"")</f>
        <v>物理抗性增加{0}</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438</v>
      </c>
      <c r="D1420" t="s">
        <v>37</v>
      </c>
      <c r="E1420" t="s">
        <v>410</v>
      </c>
      <c r="F1420"/>
      <c r="G1420">
        <v>2</v>
      </c>
      <c r="H1420">
        <v>1000</v>
      </c>
      <c r="J1420" cm="1">
        <f t="array" ref="J1420">_xlfn.SWITCH(B1420,1,75,2,61,3,49,4,37,5,25,6,13,7,4,8,1)</f>
        <v>75</v>
      </c>
      <c r="K1420" t="str" cm="1">
        <f t="array" ref="K1420">IFERROR(_xlfn.SWITCH(L1420,1,_xlfn.XLOOKUP(C1420,[1]AttributeName!$C:$C,[1]AttributeName!$I:$I),2,_xlfn.XLOOKUP(C1420,[1]ModifierDes!$B:$B,[1]ModifierDes!$C:$C),3,_xlfn.XLOOKUP(C1420,[1]StuntDes!$B:$B,[1]StuntDes!$C:$C)),"")</f>
        <v>火焰抗性增加{0}</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438</v>
      </c>
      <c r="D1421" t="s">
        <v>37</v>
      </c>
      <c r="E1421" t="s">
        <v>410</v>
      </c>
      <c r="F1421"/>
      <c r="G1421">
        <v>2</v>
      </c>
      <c r="H1421">
        <v>1000</v>
      </c>
      <c r="J1421" cm="1">
        <f t="array" ref="J1421">_xlfn.SWITCH(B1421,1,75,2,61,3,49,4,37,5,25,6,13,7,4,8,1)</f>
        <v>61</v>
      </c>
      <c r="K1421" t="str" cm="1">
        <f t="array" ref="K1421">IFERROR(_xlfn.SWITCH(L1421,1,_xlfn.XLOOKUP(C1421,[1]AttributeName!$C:$C,[1]AttributeName!$I:$I),2,_xlfn.XLOOKUP(C1421,[1]ModifierDes!$B:$B,[1]ModifierDes!$C:$C),3,_xlfn.XLOOKUP(C1421,[1]StuntDes!$B:$B,[1]StuntDes!$C:$C)),"")</f>
        <v>火焰抗性增加{0}</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438</v>
      </c>
      <c r="D1422" t="s">
        <v>37</v>
      </c>
      <c r="E1422" t="s">
        <v>410</v>
      </c>
      <c r="F1422"/>
      <c r="G1422">
        <v>2</v>
      </c>
      <c r="H1422">
        <v>1000</v>
      </c>
      <c r="J1422" cm="1">
        <f t="array" ref="J1422">_xlfn.SWITCH(B1422,1,75,2,61,3,49,4,37,5,25,6,13,7,4,8,1)</f>
        <v>49</v>
      </c>
      <c r="K1422" t="str" cm="1">
        <f t="array" ref="K1422">IFERROR(_xlfn.SWITCH(L1422,1,_xlfn.XLOOKUP(C1422,[1]AttributeName!$C:$C,[1]AttributeName!$I:$I),2,_xlfn.XLOOKUP(C1422,[1]ModifierDes!$B:$B,[1]ModifierDes!$C:$C),3,_xlfn.XLOOKUP(C1422,[1]StuntDes!$B:$B,[1]StuntDes!$C:$C)),"")</f>
        <v>火焰抗性增加{0}</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438</v>
      </c>
      <c r="D1423" t="s">
        <v>37</v>
      </c>
      <c r="E1423" t="s">
        <v>410</v>
      </c>
      <c r="F1423"/>
      <c r="G1423">
        <v>2</v>
      </c>
      <c r="H1423">
        <v>1000</v>
      </c>
      <c r="J1423" cm="1">
        <f t="array" ref="J1423">_xlfn.SWITCH(B1423,1,75,2,61,3,49,4,37,5,25,6,13,7,4,8,1)</f>
        <v>37</v>
      </c>
      <c r="K1423" t="str" cm="1">
        <f t="array" ref="K1423">IFERROR(_xlfn.SWITCH(L1423,1,_xlfn.XLOOKUP(C1423,[1]AttributeName!$C:$C,[1]AttributeName!$I:$I),2,_xlfn.XLOOKUP(C1423,[1]ModifierDes!$B:$B,[1]ModifierDes!$C:$C),3,_xlfn.XLOOKUP(C1423,[1]StuntDes!$B:$B,[1]StuntDes!$C:$C)),"")</f>
        <v>火焰抗性增加{0}</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438</v>
      </c>
      <c r="D1424" t="s">
        <v>37</v>
      </c>
      <c r="E1424" t="s">
        <v>410</v>
      </c>
      <c r="F1424"/>
      <c r="G1424">
        <v>2</v>
      </c>
      <c r="H1424">
        <v>1000</v>
      </c>
      <c r="J1424" cm="1">
        <f t="array" ref="J1424">_xlfn.SWITCH(B1424,1,75,2,61,3,49,4,37,5,25,6,13,7,4,8,1)</f>
        <v>25</v>
      </c>
      <c r="K1424" t="str" cm="1">
        <f t="array" ref="K1424">IFERROR(_xlfn.SWITCH(L1424,1,_xlfn.XLOOKUP(C1424,[1]AttributeName!$C:$C,[1]AttributeName!$I:$I),2,_xlfn.XLOOKUP(C1424,[1]ModifierDes!$B:$B,[1]ModifierDes!$C:$C),3,_xlfn.XLOOKUP(C1424,[1]StuntDes!$B:$B,[1]StuntDes!$C:$C)),"")</f>
        <v>火焰抗性增加{0}</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438</v>
      </c>
      <c r="D1425" t="s">
        <v>37</v>
      </c>
      <c r="E1425" t="s">
        <v>410</v>
      </c>
      <c r="F1425"/>
      <c r="G1425">
        <v>2</v>
      </c>
      <c r="H1425">
        <v>1000</v>
      </c>
      <c r="J1425" cm="1">
        <f t="array" ref="J1425">_xlfn.SWITCH(B1425,1,75,2,61,3,49,4,37,5,25,6,13,7,4,8,1)</f>
        <v>13</v>
      </c>
      <c r="K1425" t="str" cm="1">
        <f t="array" ref="K1425">IFERROR(_xlfn.SWITCH(L1425,1,_xlfn.XLOOKUP(C1425,[1]AttributeName!$C:$C,[1]AttributeName!$I:$I),2,_xlfn.XLOOKUP(C1425,[1]ModifierDes!$B:$B,[1]ModifierDes!$C:$C),3,_xlfn.XLOOKUP(C1425,[1]StuntDes!$B:$B,[1]StuntDes!$C:$C)),"")</f>
        <v>火焰抗性增加{0}</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438</v>
      </c>
      <c r="D1426" t="s">
        <v>37</v>
      </c>
      <c r="E1426" t="s">
        <v>410</v>
      </c>
      <c r="F1426"/>
      <c r="G1426">
        <v>2</v>
      </c>
      <c r="H1426">
        <v>1000</v>
      </c>
      <c r="J1426" cm="1">
        <f t="array" ref="J1426">_xlfn.SWITCH(B1426,1,75,2,61,3,49,4,37,5,25,6,13,7,4,8,1)</f>
        <v>4</v>
      </c>
      <c r="K1426" t="str" cm="1">
        <f t="array" ref="K1426">IFERROR(_xlfn.SWITCH(L1426,1,_xlfn.XLOOKUP(C1426,[1]AttributeName!$C:$C,[1]AttributeName!$I:$I),2,_xlfn.XLOOKUP(C1426,[1]ModifierDes!$B:$B,[1]ModifierDes!$C:$C),3,_xlfn.XLOOKUP(C1426,[1]StuntDes!$B:$B,[1]StuntDes!$C:$C)),"")</f>
        <v>火焰抗性增加{0}</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438</v>
      </c>
      <c r="D1427" t="s">
        <v>37</v>
      </c>
      <c r="E1427" t="s">
        <v>410</v>
      </c>
      <c r="F1427"/>
      <c r="G1427">
        <v>2</v>
      </c>
      <c r="H1427">
        <v>1000</v>
      </c>
      <c r="J1427" cm="1">
        <f t="array" ref="J1427">_xlfn.SWITCH(B1427,1,75,2,61,3,49,4,37,5,25,6,13,7,4,8,1)</f>
        <v>1</v>
      </c>
      <c r="K1427" t="str" cm="1">
        <f t="array" ref="K1427">IFERROR(_xlfn.SWITCH(L1427,1,_xlfn.XLOOKUP(C1427,[1]AttributeName!$C:$C,[1]AttributeName!$I:$I),2,_xlfn.XLOOKUP(C1427,[1]ModifierDes!$B:$B,[1]ModifierDes!$C:$C),3,_xlfn.XLOOKUP(C1427,[1]StuntDes!$B:$B,[1]StuntDes!$C:$C)),"")</f>
        <v>火焰抗性增加{0}</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439</v>
      </c>
      <c r="D1428" t="s">
        <v>37</v>
      </c>
      <c r="E1428" t="s">
        <v>410</v>
      </c>
      <c r="F1428"/>
      <c r="G1428">
        <v>2</v>
      </c>
      <c r="H1428">
        <v>1000</v>
      </c>
      <c r="J1428" cm="1">
        <f t="array" ref="J1428">_xlfn.SWITCH(B1428,1,75,2,61,3,49,4,37,5,25,6,13,7,4,8,1)</f>
        <v>75</v>
      </c>
      <c r="K1428" t="str" cm="1">
        <f t="array" ref="K1428">IFERROR(_xlfn.SWITCH(L1428,1,_xlfn.XLOOKUP(C1428,[1]AttributeName!$C:$C,[1]AttributeName!$I:$I),2,_xlfn.XLOOKUP(C1428,[1]ModifierDes!$B:$B,[1]ModifierDes!$C:$C),3,_xlfn.XLOOKUP(C1428,[1]StuntDes!$B:$B,[1]StuntDes!$C:$C)),"")</f>
        <v>冰冷抗性增加{0}</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439</v>
      </c>
      <c r="D1429" t="s">
        <v>37</v>
      </c>
      <c r="E1429" t="s">
        <v>410</v>
      </c>
      <c r="F1429"/>
      <c r="G1429">
        <v>2</v>
      </c>
      <c r="H1429">
        <v>1000</v>
      </c>
      <c r="J1429" cm="1">
        <f t="array" ref="J1429">_xlfn.SWITCH(B1429,1,75,2,61,3,49,4,37,5,25,6,13,7,4,8,1)</f>
        <v>61</v>
      </c>
      <c r="K1429" t="str" cm="1">
        <f t="array" ref="K1429">IFERROR(_xlfn.SWITCH(L1429,1,_xlfn.XLOOKUP(C1429,[1]AttributeName!$C:$C,[1]AttributeName!$I:$I),2,_xlfn.XLOOKUP(C1429,[1]ModifierDes!$B:$B,[1]ModifierDes!$C:$C),3,_xlfn.XLOOKUP(C1429,[1]StuntDes!$B:$B,[1]StuntDes!$C:$C)),"")</f>
        <v>冰冷抗性增加{0}</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439</v>
      </c>
      <c r="D1430" t="s">
        <v>37</v>
      </c>
      <c r="E1430" t="s">
        <v>410</v>
      </c>
      <c r="F1430"/>
      <c r="G1430">
        <v>2</v>
      </c>
      <c r="H1430">
        <v>1000</v>
      </c>
      <c r="J1430" cm="1">
        <f t="array" ref="J1430">_xlfn.SWITCH(B1430,1,75,2,61,3,49,4,37,5,25,6,13,7,4,8,1)</f>
        <v>49</v>
      </c>
      <c r="K1430" t="str" cm="1">
        <f t="array" ref="K1430">IFERROR(_xlfn.SWITCH(L1430,1,_xlfn.XLOOKUP(C1430,[1]AttributeName!$C:$C,[1]AttributeName!$I:$I),2,_xlfn.XLOOKUP(C1430,[1]ModifierDes!$B:$B,[1]ModifierDes!$C:$C),3,_xlfn.XLOOKUP(C1430,[1]StuntDes!$B:$B,[1]StuntDes!$C:$C)),"")</f>
        <v>冰冷抗性增加{0}</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439</v>
      </c>
      <c r="D1431" t="s">
        <v>37</v>
      </c>
      <c r="E1431" t="s">
        <v>410</v>
      </c>
      <c r="F1431"/>
      <c r="G1431">
        <v>2</v>
      </c>
      <c r="H1431">
        <v>1000</v>
      </c>
      <c r="J1431" cm="1">
        <f t="array" ref="J1431">_xlfn.SWITCH(B1431,1,75,2,61,3,49,4,37,5,25,6,13,7,4,8,1)</f>
        <v>37</v>
      </c>
      <c r="K1431" t="str" cm="1">
        <f t="array" ref="K1431">IFERROR(_xlfn.SWITCH(L1431,1,_xlfn.XLOOKUP(C1431,[1]AttributeName!$C:$C,[1]AttributeName!$I:$I),2,_xlfn.XLOOKUP(C1431,[1]ModifierDes!$B:$B,[1]ModifierDes!$C:$C),3,_xlfn.XLOOKUP(C1431,[1]StuntDes!$B:$B,[1]StuntDes!$C:$C)),"")</f>
        <v>冰冷抗性增加{0}</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439</v>
      </c>
      <c r="D1432" t="s">
        <v>37</v>
      </c>
      <c r="E1432" t="s">
        <v>410</v>
      </c>
      <c r="F1432"/>
      <c r="G1432">
        <v>2</v>
      </c>
      <c r="H1432">
        <v>1000</v>
      </c>
      <c r="J1432" cm="1">
        <f t="array" ref="J1432">_xlfn.SWITCH(B1432,1,75,2,61,3,49,4,37,5,25,6,13,7,4,8,1)</f>
        <v>25</v>
      </c>
      <c r="K1432" t="str" cm="1">
        <f t="array" ref="K1432">IFERROR(_xlfn.SWITCH(L1432,1,_xlfn.XLOOKUP(C1432,[1]AttributeName!$C:$C,[1]AttributeName!$I:$I),2,_xlfn.XLOOKUP(C1432,[1]ModifierDes!$B:$B,[1]ModifierDes!$C:$C),3,_xlfn.XLOOKUP(C1432,[1]StuntDes!$B:$B,[1]StuntDes!$C:$C)),"")</f>
        <v>冰冷抗性增加{0}</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439</v>
      </c>
      <c r="D1433" t="s">
        <v>37</v>
      </c>
      <c r="E1433" t="s">
        <v>410</v>
      </c>
      <c r="F1433"/>
      <c r="G1433">
        <v>2</v>
      </c>
      <c r="H1433">
        <v>1000</v>
      </c>
      <c r="J1433" cm="1">
        <f t="array" ref="J1433">_xlfn.SWITCH(B1433,1,75,2,61,3,49,4,37,5,25,6,13,7,4,8,1)</f>
        <v>13</v>
      </c>
      <c r="K1433" t="str" cm="1">
        <f t="array" ref="K1433">IFERROR(_xlfn.SWITCH(L1433,1,_xlfn.XLOOKUP(C1433,[1]AttributeName!$C:$C,[1]AttributeName!$I:$I),2,_xlfn.XLOOKUP(C1433,[1]ModifierDes!$B:$B,[1]ModifierDes!$C:$C),3,_xlfn.XLOOKUP(C1433,[1]StuntDes!$B:$B,[1]StuntDes!$C:$C)),"")</f>
        <v>冰冷抗性增加{0}</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439</v>
      </c>
      <c r="D1434" t="s">
        <v>37</v>
      </c>
      <c r="E1434" t="s">
        <v>410</v>
      </c>
      <c r="F1434"/>
      <c r="G1434">
        <v>2</v>
      </c>
      <c r="H1434">
        <v>1000</v>
      </c>
      <c r="J1434" cm="1">
        <f t="array" ref="J1434">_xlfn.SWITCH(B1434,1,75,2,61,3,49,4,37,5,25,6,13,7,4,8,1)</f>
        <v>4</v>
      </c>
      <c r="K1434" t="str" cm="1">
        <f t="array" ref="K1434">IFERROR(_xlfn.SWITCH(L1434,1,_xlfn.XLOOKUP(C1434,[1]AttributeName!$C:$C,[1]AttributeName!$I:$I),2,_xlfn.XLOOKUP(C1434,[1]ModifierDes!$B:$B,[1]ModifierDes!$C:$C),3,_xlfn.XLOOKUP(C1434,[1]StuntDes!$B:$B,[1]StuntDes!$C:$C)),"")</f>
        <v>冰冷抗性增加{0}</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439</v>
      </c>
      <c r="D1435" t="s">
        <v>37</v>
      </c>
      <c r="E1435" t="s">
        <v>410</v>
      </c>
      <c r="F1435"/>
      <c r="G1435">
        <v>2</v>
      </c>
      <c r="H1435">
        <v>1000</v>
      </c>
      <c r="J1435" cm="1">
        <f t="array" ref="J1435">_xlfn.SWITCH(B1435,1,75,2,61,3,49,4,37,5,25,6,13,7,4,8,1)</f>
        <v>1</v>
      </c>
      <c r="K1435" t="str" cm="1">
        <f t="array" ref="K1435">IFERROR(_xlfn.SWITCH(L1435,1,_xlfn.XLOOKUP(C1435,[1]AttributeName!$C:$C,[1]AttributeName!$I:$I),2,_xlfn.XLOOKUP(C1435,[1]ModifierDes!$B:$B,[1]ModifierDes!$C:$C),3,_xlfn.XLOOKUP(C1435,[1]StuntDes!$B:$B,[1]StuntDes!$C:$C)),"")</f>
        <v>冰冷抗性增加{0}</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440</v>
      </c>
      <c r="D1436" t="s">
        <v>37</v>
      </c>
      <c r="E1436" t="s">
        <v>410</v>
      </c>
      <c r="F1436"/>
      <c r="G1436">
        <v>2</v>
      </c>
      <c r="H1436">
        <v>1000</v>
      </c>
      <c r="J1436" cm="1">
        <f t="array" ref="J1436">_xlfn.SWITCH(B1436,1,75,2,61,3,49,4,37,5,25,6,13,7,4,8,1)</f>
        <v>75</v>
      </c>
      <c r="K1436" t="str" cm="1">
        <f t="array" ref="K1436">IFERROR(_xlfn.SWITCH(L1436,1,_xlfn.XLOOKUP(C1436,[1]AttributeName!$C:$C,[1]AttributeName!$I:$I),2,_xlfn.XLOOKUP(C1436,[1]ModifierDes!$B:$B,[1]ModifierDes!$C:$C),3,_xlfn.XLOOKUP(C1436,[1]StuntDes!$B:$B,[1]StuntDes!$C:$C)),"")</f>
        <v>闪电抗性增加{0}</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440</v>
      </c>
      <c r="D1437" t="s">
        <v>37</v>
      </c>
      <c r="E1437" t="s">
        <v>410</v>
      </c>
      <c r="F1437"/>
      <c r="G1437">
        <v>2</v>
      </c>
      <c r="H1437">
        <v>1000</v>
      </c>
      <c r="J1437" cm="1">
        <f t="array" ref="J1437">_xlfn.SWITCH(B1437,1,75,2,61,3,49,4,37,5,25,6,13,7,4,8,1)</f>
        <v>61</v>
      </c>
      <c r="K1437" t="str" cm="1">
        <f t="array" ref="K1437">IFERROR(_xlfn.SWITCH(L1437,1,_xlfn.XLOOKUP(C1437,[1]AttributeName!$C:$C,[1]AttributeName!$I:$I),2,_xlfn.XLOOKUP(C1437,[1]ModifierDes!$B:$B,[1]ModifierDes!$C:$C),3,_xlfn.XLOOKUP(C1437,[1]StuntDes!$B:$B,[1]StuntDes!$C:$C)),"")</f>
        <v>闪电抗性增加{0}</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440</v>
      </c>
      <c r="D1438" t="s">
        <v>37</v>
      </c>
      <c r="E1438" t="s">
        <v>410</v>
      </c>
      <c r="F1438"/>
      <c r="G1438">
        <v>2</v>
      </c>
      <c r="H1438">
        <v>1000</v>
      </c>
      <c r="J1438" cm="1">
        <f t="array" ref="J1438">_xlfn.SWITCH(B1438,1,75,2,61,3,49,4,37,5,25,6,13,7,4,8,1)</f>
        <v>49</v>
      </c>
      <c r="K1438" t="str" cm="1">
        <f t="array" ref="K1438">IFERROR(_xlfn.SWITCH(L1438,1,_xlfn.XLOOKUP(C1438,[1]AttributeName!$C:$C,[1]AttributeName!$I:$I),2,_xlfn.XLOOKUP(C1438,[1]ModifierDes!$B:$B,[1]ModifierDes!$C:$C),3,_xlfn.XLOOKUP(C1438,[1]StuntDes!$B:$B,[1]StuntDes!$C:$C)),"")</f>
        <v>闪电抗性增加{0}</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440</v>
      </c>
      <c r="D1439" t="s">
        <v>37</v>
      </c>
      <c r="E1439" t="s">
        <v>410</v>
      </c>
      <c r="F1439"/>
      <c r="G1439">
        <v>2</v>
      </c>
      <c r="H1439">
        <v>1000</v>
      </c>
      <c r="J1439" cm="1">
        <f t="array" ref="J1439">_xlfn.SWITCH(B1439,1,75,2,61,3,49,4,37,5,25,6,13,7,4,8,1)</f>
        <v>37</v>
      </c>
      <c r="K1439" t="str" cm="1">
        <f t="array" ref="K1439">IFERROR(_xlfn.SWITCH(L1439,1,_xlfn.XLOOKUP(C1439,[1]AttributeName!$C:$C,[1]AttributeName!$I:$I),2,_xlfn.XLOOKUP(C1439,[1]ModifierDes!$B:$B,[1]ModifierDes!$C:$C),3,_xlfn.XLOOKUP(C1439,[1]StuntDes!$B:$B,[1]StuntDes!$C:$C)),"")</f>
        <v>闪电抗性增加{0}</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440</v>
      </c>
      <c r="D1440" t="s">
        <v>37</v>
      </c>
      <c r="E1440" t="s">
        <v>410</v>
      </c>
      <c r="F1440"/>
      <c r="G1440">
        <v>2</v>
      </c>
      <c r="H1440">
        <v>1000</v>
      </c>
      <c r="J1440" cm="1">
        <f t="array" ref="J1440">_xlfn.SWITCH(B1440,1,75,2,61,3,49,4,37,5,25,6,13,7,4,8,1)</f>
        <v>25</v>
      </c>
      <c r="K1440" t="str" cm="1">
        <f t="array" ref="K1440">IFERROR(_xlfn.SWITCH(L1440,1,_xlfn.XLOOKUP(C1440,[1]AttributeName!$C:$C,[1]AttributeName!$I:$I),2,_xlfn.XLOOKUP(C1440,[1]ModifierDes!$B:$B,[1]ModifierDes!$C:$C),3,_xlfn.XLOOKUP(C1440,[1]StuntDes!$B:$B,[1]StuntDes!$C:$C)),"")</f>
        <v>闪电抗性增加{0}</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440</v>
      </c>
      <c r="D1441" t="s">
        <v>37</v>
      </c>
      <c r="E1441" t="s">
        <v>410</v>
      </c>
      <c r="F1441"/>
      <c r="G1441">
        <v>2</v>
      </c>
      <c r="H1441">
        <v>1000</v>
      </c>
      <c r="J1441" cm="1">
        <f t="array" ref="J1441">_xlfn.SWITCH(B1441,1,75,2,61,3,49,4,37,5,25,6,13,7,4,8,1)</f>
        <v>13</v>
      </c>
      <c r="K1441" t="str" cm="1">
        <f t="array" ref="K1441">IFERROR(_xlfn.SWITCH(L1441,1,_xlfn.XLOOKUP(C1441,[1]AttributeName!$C:$C,[1]AttributeName!$I:$I),2,_xlfn.XLOOKUP(C1441,[1]ModifierDes!$B:$B,[1]ModifierDes!$C:$C),3,_xlfn.XLOOKUP(C1441,[1]StuntDes!$B:$B,[1]StuntDes!$C:$C)),"")</f>
        <v>闪电抗性增加{0}</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440</v>
      </c>
      <c r="D1442" t="s">
        <v>37</v>
      </c>
      <c r="E1442" t="s">
        <v>410</v>
      </c>
      <c r="F1442"/>
      <c r="G1442">
        <v>2</v>
      </c>
      <c r="H1442">
        <v>1000</v>
      </c>
      <c r="J1442" cm="1">
        <f t="array" ref="J1442">_xlfn.SWITCH(B1442,1,75,2,61,3,49,4,37,5,25,6,13,7,4,8,1)</f>
        <v>4</v>
      </c>
      <c r="K1442" t="str" cm="1">
        <f t="array" ref="K1442">IFERROR(_xlfn.SWITCH(L1442,1,_xlfn.XLOOKUP(C1442,[1]AttributeName!$C:$C,[1]AttributeName!$I:$I),2,_xlfn.XLOOKUP(C1442,[1]ModifierDes!$B:$B,[1]ModifierDes!$C:$C),3,_xlfn.XLOOKUP(C1442,[1]StuntDes!$B:$B,[1]StuntDes!$C:$C)),"")</f>
        <v>闪电抗性增加{0}</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440</v>
      </c>
      <c r="D1443" t="s">
        <v>37</v>
      </c>
      <c r="E1443" t="s">
        <v>410</v>
      </c>
      <c r="F1443"/>
      <c r="G1443">
        <v>2</v>
      </c>
      <c r="H1443">
        <v>1000</v>
      </c>
      <c r="J1443" cm="1">
        <f t="array" ref="J1443">_xlfn.SWITCH(B1443,1,75,2,61,3,49,4,37,5,25,6,13,7,4,8,1)</f>
        <v>1</v>
      </c>
      <c r="K1443" t="str" cm="1">
        <f t="array" ref="K1443">IFERROR(_xlfn.SWITCH(L1443,1,_xlfn.XLOOKUP(C1443,[1]AttributeName!$C:$C,[1]AttributeName!$I:$I),2,_xlfn.XLOOKUP(C1443,[1]ModifierDes!$B:$B,[1]ModifierDes!$C:$C),3,_xlfn.XLOOKUP(C1443,[1]StuntDes!$B:$B,[1]StuntDes!$C:$C)),"")</f>
        <v>闪电抗性增加{0}</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441</v>
      </c>
      <c r="D1444" t="s">
        <v>37</v>
      </c>
      <c r="E1444" t="s">
        <v>410</v>
      </c>
      <c r="F1444"/>
      <c r="G1444">
        <v>2</v>
      </c>
      <c r="H1444">
        <v>250</v>
      </c>
      <c r="J1444" cm="1">
        <f t="array" ref="J1444">_xlfn.SWITCH(B1444,1,75,2,61,3,49,4,37,5,25,6,13,7,4,8,1)</f>
        <v>75</v>
      </c>
      <c r="K1444" t="str" cm="1">
        <f t="array" ref="K1444">IFERROR(_xlfn.SWITCH(L1444,1,_xlfn.XLOOKUP(C1444,[1]AttributeName!$C:$C,[1]AttributeName!$I:$I),2,_xlfn.XLOOKUP(C1444,[1]ModifierDes!$B:$B,[1]ModifierDes!$C:$C),3,_xlfn.XLOOKUP(C1444,[1]StuntDes!$B:$B,[1]StuntDes!$C:$C)),"")</f>
        <v>混沌抗性增加{0}</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441</v>
      </c>
      <c r="D1445" t="s">
        <v>37</v>
      </c>
      <c r="E1445" t="s">
        <v>410</v>
      </c>
      <c r="F1445"/>
      <c r="G1445">
        <v>2</v>
      </c>
      <c r="H1445">
        <v>250</v>
      </c>
      <c r="J1445" cm="1">
        <f t="array" ref="J1445">_xlfn.SWITCH(B1445,1,75,2,61,3,49,4,37,5,25,6,13,7,4,8,1)</f>
        <v>61</v>
      </c>
      <c r="K1445" t="str" cm="1">
        <f t="array" ref="K1445">IFERROR(_xlfn.SWITCH(L1445,1,_xlfn.XLOOKUP(C1445,[1]AttributeName!$C:$C,[1]AttributeName!$I:$I),2,_xlfn.XLOOKUP(C1445,[1]ModifierDes!$B:$B,[1]ModifierDes!$C:$C),3,_xlfn.XLOOKUP(C1445,[1]StuntDes!$B:$B,[1]StuntDes!$C:$C)),"")</f>
        <v>混沌抗性增加{0}</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441</v>
      </c>
      <c r="D1446" t="s">
        <v>37</v>
      </c>
      <c r="E1446" t="s">
        <v>410</v>
      </c>
      <c r="F1446"/>
      <c r="G1446">
        <v>2</v>
      </c>
      <c r="H1446">
        <v>250</v>
      </c>
      <c r="J1446" cm="1">
        <f t="array" ref="J1446">_xlfn.SWITCH(B1446,1,75,2,61,3,49,4,37,5,25,6,13,7,4,8,1)</f>
        <v>49</v>
      </c>
      <c r="K1446" t="str" cm="1">
        <f t="array" ref="K1446">IFERROR(_xlfn.SWITCH(L1446,1,_xlfn.XLOOKUP(C1446,[1]AttributeName!$C:$C,[1]AttributeName!$I:$I),2,_xlfn.XLOOKUP(C1446,[1]ModifierDes!$B:$B,[1]ModifierDes!$C:$C),3,_xlfn.XLOOKUP(C1446,[1]StuntDes!$B:$B,[1]StuntDes!$C:$C)),"")</f>
        <v>混沌抗性增加{0}</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441</v>
      </c>
      <c r="D1447" t="s">
        <v>37</v>
      </c>
      <c r="E1447" t="s">
        <v>410</v>
      </c>
      <c r="F1447"/>
      <c r="G1447">
        <v>2</v>
      </c>
      <c r="H1447">
        <v>250</v>
      </c>
      <c r="J1447" cm="1">
        <f t="array" ref="J1447">_xlfn.SWITCH(B1447,1,75,2,61,3,49,4,37,5,25,6,13,7,4,8,1)</f>
        <v>37</v>
      </c>
      <c r="K1447" t="str" cm="1">
        <f t="array" ref="K1447">IFERROR(_xlfn.SWITCH(L1447,1,_xlfn.XLOOKUP(C1447,[1]AttributeName!$C:$C,[1]AttributeName!$I:$I),2,_xlfn.XLOOKUP(C1447,[1]ModifierDes!$B:$B,[1]ModifierDes!$C:$C),3,_xlfn.XLOOKUP(C1447,[1]StuntDes!$B:$B,[1]StuntDes!$C:$C)),"")</f>
        <v>混沌抗性增加{0}</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441</v>
      </c>
      <c r="D1448" t="s">
        <v>37</v>
      </c>
      <c r="E1448" t="s">
        <v>410</v>
      </c>
      <c r="F1448"/>
      <c r="G1448">
        <v>2</v>
      </c>
      <c r="H1448">
        <v>250</v>
      </c>
      <c r="J1448" cm="1">
        <f t="array" ref="J1448">_xlfn.SWITCH(B1448,1,75,2,61,3,49,4,37,5,25,6,13,7,4,8,1)</f>
        <v>25</v>
      </c>
      <c r="K1448" t="str" cm="1">
        <f t="array" ref="K1448">IFERROR(_xlfn.SWITCH(L1448,1,_xlfn.XLOOKUP(C1448,[1]AttributeName!$C:$C,[1]AttributeName!$I:$I),2,_xlfn.XLOOKUP(C1448,[1]ModifierDes!$B:$B,[1]ModifierDes!$C:$C),3,_xlfn.XLOOKUP(C1448,[1]StuntDes!$B:$B,[1]StuntDes!$C:$C)),"")</f>
        <v>混沌抗性增加{0}</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441</v>
      </c>
      <c r="D1449" t="s">
        <v>37</v>
      </c>
      <c r="E1449" t="s">
        <v>410</v>
      </c>
      <c r="F1449"/>
      <c r="G1449">
        <v>2</v>
      </c>
      <c r="H1449">
        <v>250</v>
      </c>
      <c r="J1449" cm="1">
        <f t="array" ref="J1449">_xlfn.SWITCH(B1449,1,75,2,61,3,49,4,37,5,25,6,13,7,4,8,1)</f>
        <v>13</v>
      </c>
      <c r="K1449" t="str" cm="1">
        <f t="array" ref="K1449">IFERROR(_xlfn.SWITCH(L1449,1,_xlfn.XLOOKUP(C1449,[1]AttributeName!$C:$C,[1]AttributeName!$I:$I),2,_xlfn.XLOOKUP(C1449,[1]ModifierDes!$B:$B,[1]ModifierDes!$C:$C),3,_xlfn.XLOOKUP(C1449,[1]StuntDes!$B:$B,[1]StuntDes!$C:$C)),"")</f>
        <v>混沌抗性增加{0}</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441</v>
      </c>
      <c r="D1450" t="s">
        <v>37</v>
      </c>
      <c r="E1450" t="s">
        <v>410</v>
      </c>
      <c r="F1450"/>
      <c r="G1450">
        <v>2</v>
      </c>
      <c r="H1450">
        <v>250</v>
      </c>
      <c r="J1450" cm="1">
        <f t="array" ref="J1450">_xlfn.SWITCH(B1450,1,75,2,61,3,49,4,37,5,25,6,13,7,4,8,1)</f>
        <v>4</v>
      </c>
      <c r="K1450" t="str" cm="1">
        <f t="array" ref="K1450">IFERROR(_xlfn.SWITCH(L1450,1,_xlfn.XLOOKUP(C1450,[1]AttributeName!$C:$C,[1]AttributeName!$I:$I),2,_xlfn.XLOOKUP(C1450,[1]ModifierDes!$B:$B,[1]ModifierDes!$C:$C),3,_xlfn.XLOOKUP(C1450,[1]StuntDes!$B:$B,[1]StuntDes!$C:$C)),"")</f>
        <v>混沌抗性增加{0}</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441</v>
      </c>
      <c r="D1451" t="s">
        <v>37</v>
      </c>
      <c r="E1451" t="s">
        <v>410</v>
      </c>
      <c r="F1451"/>
      <c r="G1451">
        <v>2</v>
      </c>
      <c r="H1451">
        <v>250</v>
      </c>
      <c r="J1451" cm="1">
        <f t="array" ref="J1451">_xlfn.SWITCH(B1451,1,75,2,61,3,49,4,37,5,25,6,13,7,4,8,1)</f>
        <v>1</v>
      </c>
      <c r="K1451" t="str" cm="1">
        <f t="array" ref="K1451">IFERROR(_xlfn.SWITCH(L1451,1,_xlfn.XLOOKUP(C1451,[1]AttributeName!$C:$C,[1]AttributeName!$I:$I),2,_xlfn.XLOOKUP(C1451,[1]ModifierDes!$B:$B,[1]ModifierDes!$C:$C),3,_xlfn.XLOOKUP(C1451,[1]StuntDes!$B:$B,[1]StuntDes!$C:$C)),"")</f>
        <v>混沌抗性增加{0}</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452</v>
      </c>
      <c r="D1452" t="s">
        <v>37</v>
      </c>
      <c r="E1452" t="s">
        <v>410</v>
      </c>
      <c r="G1452">
        <v>2</v>
      </c>
      <c r="H1452">
        <v>250</v>
      </c>
      <c r="J1452" cm="1">
        <f t="array" ref="J1452">_xlfn.SWITCH(B1452,1,75,2,61,3,49,4,37,5,25,6,13,7,4,8,1)</f>
        <v>75</v>
      </c>
      <c r="K1452" t="str" cm="1">
        <f t="array" ref="K1452">IFERROR(_xlfn.SWITCH(L1452,1,_xlfn.XLOOKUP(C1452,[1]AttributeName!$C:$C,[1]AttributeName!$I:$I),2,_xlfn.XLOOKUP(C1452,[1]ModifierDes!$B:$B,[1]ModifierDes!$C:$C),3,_xlfn.XLOOKUP(C1452,[1]StuntDes!$B:$B,[1]StuntDes!$C:$C)),"")</f>
        <v>元素抗性增加{0}</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452</v>
      </c>
      <c r="D1453" t="s">
        <v>37</v>
      </c>
      <c r="E1453" t="s">
        <v>410</v>
      </c>
      <c r="G1453">
        <v>2</v>
      </c>
      <c r="H1453">
        <v>250</v>
      </c>
      <c r="J1453" cm="1">
        <f t="array" ref="J1453">_xlfn.SWITCH(B1453,1,75,2,61,3,49,4,37,5,25,6,13,7,4,8,1)</f>
        <v>61</v>
      </c>
      <c r="K1453" t="str" cm="1">
        <f t="array" ref="K1453">IFERROR(_xlfn.SWITCH(L1453,1,_xlfn.XLOOKUP(C1453,[1]AttributeName!$C:$C,[1]AttributeName!$I:$I),2,_xlfn.XLOOKUP(C1453,[1]ModifierDes!$B:$B,[1]ModifierDes!$C:$C),3,_xlfn.XLOOKUP(C1453,[1]StuntDes!$B:$B,[1]StuntDes!$C:$C)),"")</f>
        <v>元素抗性增加{0}</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452</v>
      </c>
      <c r="D1454" t="s">
        <v>37</v>
      </c>
      <c r="E1454" t="s">
        <v>410</v>
      </c>
      <c r="G1454">
        <v>2</v>
      </c>
      <c r="H1454">
        <v>250</v>
      </c>
      <c r="J1454" cm="1">
        <f t="array" ref="J1454">_xlfn.SWITCH(B1454,1,75,2,61,3,49,4,37,5,25,6,13,7,4,8,1)</f>
        <v>49</v>
      </c>
      <c r="K1454" t="str" cm="1">
        <f t="array" ref="K1454">IFERROR(_xlfn.SWITCH(L1454,1,_xlfn.XLOOKUP(C1454,[1]AttributeName!$C:$C,[1]AttributeName!$I:$I),2,_xlfn.XLOOKUP(C1454,[1]ModifierDes!$B:$B,[1]ModifierDes!$C:$C),3,_xlfn.XLOOKUP(C1454,[1]StuntDes!$B:$B,[1]StuntDes!$C:$C)),"")</f>
        <v>元素抗性增加{0}</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452</v>
      </c>
      <c r="D1455" t="s">
        <v>37</v>
      </c>
      <c r="E1455" t="s">
        <v>410</v>
      </c>
      <c r="G1455">
        <v>2</v>
      </c>
      <c r="H1455">
        <v>250</v>
      </c>
      <c r="J1455" cm="1">
        <f t="array" ref="J1455">_xlfn.SWITCH(B1455,1,75,2,61,3,49,4,37,5,25,6,13,7,4,8,1)</f>
        <v>37</v>
      </c>
      <c r="K1455" t="str" cm="1">
        <f t="array" ref="K1455">IFERROR(_xlfn.SWITCH(L1455,1,_xlfn.XLOOKUP(C1455,[1]AttributeName!$C:$C,[1]AttributeName!$I:$I),2,_xlfn.XLOOKUP(C1455,[1]ModifierDes!$B:$B,[1]ModifierDes!$C:$C),3,_xlfn.XLOOKUP(C1455,[1]StuntDes!$B:$B,[1]StuntDes!$C:$C)),"")</f>
        <v>元素抗性增加{0}</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452</v>
      </c>
      <c r="D1456" t="s">
        <v>37</v>
      </c>
      <c r="E1456" t="s">
        <v>410</v>
      </c>
      <c r="G1456">
        <v>2</v>
      </c>
      <c r="H1456">
        <v>250</v>
      </c>
      <c r="J1456" cm="1">
        <f t="array" ref="J1456">_xlfn.SWITCH(B1456,1,75,2,61,3,49,4,37,5,25,6,13,7,4,8,1)</f>
        <v>25</v>
      </c>
      <c r="K1456" t="str" cm="1">
        <f t="array" ref="K1456">IFERROR(_xlfn.SWITCH(L1456,1,_xlfn.XLOOKUP(C1456,[1]AttributeName!$C:$C,[1]AttributeName!$I:$I),2,_xlfn.XLOOKUP(C1456,[1]ModifierDes!$B:$B,[1]ModifierDes!$C:$C),3,_xlfn.XLOOKUP(C1456,[1]StuntDes!$B:$B,[1]StuntDes!$C:$C)),"")</f>
        <v>元素抗性增加{0}</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452</v>
      </c>
      <c r="D1457" t="s">
        <v>37</v>
      </c>
      <c r="E1457" t="s">
        <v>410</v>
      </c>
      <c r="G1457">
        <v>2</v>
      </c>
      <c r="H1457">
        <v>250</v>
      </c>
      <c r="J1457" cm="1">
        <f t="array" ref="J1457">_xlfn.SWITCH(B1457,1,75,2,61,3,49,4,37,5,25,6,13,7,4,8,1)</f>
        <v>13</v>
      </c>
      <c r="K1457" t="str" cm="1">
        <f t="array" ref="K1457">IFERROR(_xlfn.SWITCH(L1457,1,_xlfn.XLOOKUP(C1457,[1]AttributeName!$C:$C,[1]AttributeName!$I:$I),2,_xlfn.XLOOKUP(C1457,[1]ModifierDes!$B:$B,[1]ModifierDes!$C:$C),3,_xlfn.XLOOKUP(C1457,[1]StuntDes!$B:$B,[1]StuntDes!$C:$C)),"")</f>
        <v>元素抗性增加{0}</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452</v>
      </c>
      <c r="D1458" t="s">
        <v>37</v>
      </c>
      <c r="E1458" t="s">
        <v>410</v>
      </c>
      <c r="G1458">
        <v>2</v>
      </c>
      <c r="H1458">
        <v>250</v>
      </c>
      <c r="J1458" cm="1">
        <f t="array" ref="J1458">_xlfn.SWITCH(B1458,1,75,2,61,3,49,4,37,5,25,6,13,7,4,8,1)</f>
        <v>4</v>
      </c>
      <c r="K1458" t="str" cm="1">
        <f t="array" ref="K1458">IFERROR(_xlfn.SWITCH(L1458,1,_xlfn.XLOOKUP(C1458,[1]AttributeName!$C:$C,[1]AttributeName!$I:$I),2,_xlfn.XLOOKUP(C1458,[1]ModifierDes!$B:$B,[1]ModifierDes!$C:$C),3,_xlfn.XLOOKUP(C1458,[1]StuntDes!$B:$B,[1]StuntDes!$C:$C)),"")</f>
        <v>元素抗性增加{0}</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452</v>
      </c>
      <c r="D1459" t="s">
        <v>37</v>
      </c>
      <c r="E1459" t="s">
        <v>410</v>
      </c>
      <c r="G1459">
        <v>2</v>
      </c>
      <c r="H1459">
        <v>250</v>
      </c>
      <c r="J1459" cm="1">
        <f t="array" ref="J1459">_xlfn.SWITCH(B1459,1,75,2,61,3,49,4,37,5,25,6,13,7,4,8,1)</f>
        <v>1</v>
      </c>
      <c r="K1459" t="str" cm="1">
        <f t="array" ref="K1459">IFERROR(_xlfn.SWITCH(L1459,1,_xlfn.XLOOKUP(C1459,[1]AttributeName!$C:$C,[1]AttributeName!$I:$I),2,_xlfn.XLOOKUP(C1459,[1]ModifierDes!$B:$B,[1]ModifierDes!$C:$C),3,_xlfn.XLOOKUP(C1459,[1]StuntDes!$B:$B,[1]StuntDes!$C:$C)),"")</f>
        <v>元素抗性增加{0}</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416</v>
      </c>
      <c r="D1460" t="s">
        <v>37</v>
      </c>
      <c r="E1460" t="s">
        <v>410</v>
      </c>
      <c r="G1460">
        <v>2</v>
      </c>
      <c r="H1460">
        <v>100</v>
      </c>
      <c r="I1460"/>
      <c r="J1460" cm="1">
        <f t="array" ref="J1460">_xlfn.SWITCH(B1460,1,75,2,61,3,49,4,37,5,25,6,13,7,4,8,1)</f>
        <v>75</v>
      </c>
      <c r="K1460" t="str" cm="1">
        <f t="array" ref="K1460">IFERROR(_xlfn.SWITCH(L1460,1,_xlfn.XLOOKUP(C1460,[1]AttributeName!$C:$C,[1]AttributeName!$I:$I),2,_xlfn.XLOOKUP(C1460,[1]ModifierDes!$B:$B,[1]ModifierDes!$C:$C),3,_xlfn.XLOOKUP(C1460,[1]StuntDes!$B:$B,[1]StuntDes!$C:$C)),"")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416</v>
      </c>
      <c r="D1461" t="s">
        <v>37</v>
      </c>
      <c r="E1461" t="s">
        <v>410</v>
      </c>
      <c r="G1461">
        <v>2</v>
      </c>
      <c r="H1461">
        <v>200</v>
      </c>
      <c r="I1461"/>
      <c r="J1461" cm="1">
        <f t="array" ref="J1461">_xlfn.SWITCH(B1461,1,75,2,61,3,49,4,37,5,25,6,13,7,4,8,1)</f>
        <v>61</v>
      </c>
      <c r="K1461" t="str" cm="1">
        <f t="array" ref="K1461">IFERROR(_xlfn.SWITCH(L1461,1,_xlfn.XLOOKUP(C1461,[1]AttributeName!$C:$C,[1]AttributeName!$I:$I),2,_xlfn.XLOOKUP(C1461,[1]ModifierDes!$B:$B,[1]ModifierDes!$C:$C),3,_xlfn.XLOOKUP(C1461,[1]StuntDes!$B:$B,[1]StuntDes!$C:$C)),"")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416</v>
      </c>
      <c r="D1462" t="s">
        <v>37</v>
      </c>
      <c r="E1462" t="s">
        <v>410</v>
      </c>
      <c r="G1462">
        <v>2</v>
      </c>
      <c r="H1462">
        <v>400</v>
      </c>
      <c r="I1462"/>
      <c r="J1462" cm="1">
        <f t="array" ref="J1462">_xlfn.SWITCH(B1462,1,75,2,61,3,49,4,37,5,25,6,13,7,4,8,1)</f>
        <v>49</v>
      </c>
      <c r="K1462" t="str" cm="1">
        <f t="array" ref="K1462">IFERROR(_xlfn.SWITCH(L1462,1,_xlfn.XLOOKUP(C1462,[1]AttributeName!$C:$C,[1]AttributeName!$I:$I),2,_xlfn.XLOOKUP(C1462,[1]ModifierDes!$B:$B,[1]ModifierDes!$C:$C),3,_xlfn.XLOOKUP(C1462,[1]StuntDes!$B:$B,[1]StuntDes!$C:$C)),"")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416</v>
      </c>
      <c r="D1463" t="s">
        <v>37</v>
      </c>
      <c r="E1463" t="s">
        <v>410</v>
      </c>
      <c r="G1463">
        <v>2</v>
      </c>
      <c r="H1463">
        <v>600</v>
      </c>
      <c r="I1463"/>
      <c r="J1463" cm="1">
        <f t="array" ref="J1463">_xlfn.SWITCH(B1463,1,75,2,61,3,49,4,37,5,25,6,13,7,4,8,1)</f>
        <v>37</v>
      </c>
      <c r="K1463" t="str" cm="1">
        <f t="array" ref="K1463">IFERROR(_xlfn.SWITCH(L1463,1,_xlfn.XLOOKUP(C1463,[1]AttributeName!$C:$C,[1]AttributeName!$I:$I),2,_xlfn.XLOOKUP(C1463,[1]ModifierDes!$B:$B,[1]ModifierDes!$C:$C),3,_xlfn.XLOOKUP(C1463,[1]StuntDes!$B:$B,[1]StuntDes!$C:$C)),"")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416</v>
      </c>
      <c r="D1464" t="s">
        <v>37</v>
      </c>
      <c r="E1464" t="s">
        <v>410</v>
      </c>
      <c r="G1464">
        <v>2</v>
      </c>
      <c r="H1464">
        <v>800</v>
      </c>
      <c r="I1464"/>
      <c r="J1464" cm="1">
        <f t="array" ref="J1464">_xlfn.SWITCH(B1464,1,75,2,61,3,49,4,37,5,25,6,13,7,4,8,1)</f>
        <v>25</v>
      </c>
      <c r="K1464" t="str" cm="1">
        <f t="array" ref="K1464">IFERROR(_xlfn.SWITCH(L1464,1,_xlfn.XLOOKUP(C1464,[1]AttributeName!$C:$C,[1]AttributeName!$I:$I),2,_xlfn.XLOOKUP(C1464,[1]ModifierDes!$B:$B,[1]ModifierDes!$C:$C),3,_xlfn.XLOOKUP(C1464,[1]StuntDes!$B:$B,[1]StuntDes!$C:$C)),"")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416</v>
      </c>
      <c r="D1465" t="s">
        <v>37</v>
      </c>
      <c r="E1465" t="s">
        <v>410</v>
      </c>
      <c r="G1465">
        <v>2</v>
      </c>
      <c r="H1465">
        <v>1000</v>
      </c>
      <c r="I1465"/>
      <c r="J1465" cm="1">
        <f t="array" ref="J1465">_xlfn.SWITCH(B1465,1,75,2,61,3,49,4,37,5,25,6,13,7,4,8,1)</f>
        <v>13</v>
      </c>
      <c r="K1465" t="str" cm="1">
        <f t="array" ref="K1465">IFERROR(_xlfn.SWITCH(L1465,1,_xlfn.XLOOKUP(C1465,[1]AttributeName!$C:$C,[1]AttributeName!$I:$I),2,_xlfn.XLOOKUP(C1465,[1]ModifierDes!$B:$B,[1]ModifierDes!$C:$C),3,_xlfn.XLOOKUP(C1465,[1]StuntDes!$B:$B,[1]StuntDes!$C:$C)),"")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416</v>
      </c>
      <c r="D1466" t="s">
        <v>37</v>
      </c>
      <c r="E1466" t="s">
        <v>410</v>
      </c>
      <c r="G1466">
        <v>2</v>
      </c>
      <c r="H1466">
        <v>1000</v>
      </c>
      <c r="I1466"/>
      <c r="J1466" cm="1">
        <f t="array" ref="J1466">_xlfn.SWITCH(B1466,1,75,2,61,3,49,4,37,5,25,6,13,7,4,8,1)</f>
        <v>4</v>
      </c>
      <c r="K1466" t="str" cm="1">
        <f t="array" ref="K1466">IFERROR(_xlfn.SWITCH(L1466,1,_xlfn.XLOOKUP(C1466,[1]AttributeName!$C:$C,[1]AttributeName!$I:$I),2,_xlfn.XLOOKUP(C1466,[1]ModifierDes!$B:$B,[1]ModifierDes!$C:$C),3,_xlfn.XLOOKUP(C1466,[1]StuntDes!$B:$B,[1]StuntDes!$C:$C)),"")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416</v>
      </c>
      <c r="D1467" t="s">
        <v>37</v>
      </c>
      <c r="E1467" t="s">
        <v>410</v>
      </c>
      <c r="G1467">
        <v>2</v>
      </c>
      <c r="H1467">
        <v>1000</v>
      </c>
      <c r="I1467"/>
      <c r="J1467" cm="1">
        <f t="array" ref="J1467">_xlfn.SWITCH(B1467,1,75,2,61,3,49,4,37,5,25,6,13,7,4,8,1)</f>
        <v>1</v>
      </c>
      <c r="K1467" t="str" cm="1">
        <f t="array" ref="K1467">IFERROR(_xlfn.SWITCH(L1467,1,_xlfn.XLOOKUP(C1467,[1]AttributeName!$C:$C,[1]AttributeName!$I:$I),2,_xlfn.XLOOKUP(C1467,[1]ModifierDes!$B:$B,[1]ModifierDes!$C:$C),3,_xlfn.XLOOKUP(C1467,[1]StuntDes!$B:$B,[1]StuntDes!$C:$C)),"")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442</v>
      </c>
      <c r="D1468" t="s">
        <v>37</v>
      </c>
      <c r="E1468" t="s">
        <v>410</v>
      </c>
      <c r="G1468">
        <v>2</v>
      </c>
      <c r="H1468">
        <v>100</v>
      </c>
      <c r="I1468"/>
      <c r="J1468" cm="1">
        <f t="array" ref="J1468">_xlfn.SWITCH(B1468,1,75,2,61,3,49,4,37,5,25,6,13,7,4,8,1)</f>
        <v>75</v>
      </c>
      <c r="K1468" t="str" cm="1">
        <f t="array" ref="K1468">IFERROR(_xlfn.SWITCH(L1468,1,_xlfn.XLOOKUP(C1468,[1]AttributeName!$C:$C,[1]AttributeName!$I:$I),2,_xlfn.XLOOKUP(C1468,[1]ModifierDes!$B:$B,[1]ModifierDes!$C:$C),3,_xlfn.XLOOKUP(C1468,[1]StuntDes!$B:$B,[1]StuntDes!$C:$C)),"")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442</v>
      </c>
      <c r="D1469" t="s">
        <v>37</v>
      </c>
      <c r="E1469" t="s">
        <v>410</v>
      </c>
      <c r="G1469">
        <v>2</v>
      </c>
      <c r="H1469">
        <v>200</v>
      </c>
      <c r="I1469"/>
      <c r="J1469" cm="1">
        <f t="array" ref="J1469">_xlfn.SWITCH(B1469,1,75,2,61,3,49,4,37,5,25,6,13,7,4,8,1)</f>
        <v>61</v>
      </c>
      <c r="K1469" t="str" cm="1">
        <f t="array" ref="K1469">IFERROR(_xlfn.SWITCH(L1469,1,_xlfn.XLOOKUP(C1469,[1]AttributeName!$C:$C,[1]AttributeName!$I:$I),2,_xlfn.XLOOKUP(C1469,[1]ModifierDes!$B:$B,[1]ModifierDes!$C:$C),3,_xlfn.XLOOKUP(C1469,[1]StuntDes!$B:$B,[1]StuntDes!$C:$C)),"")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442</v>
      </c>
      <c r="D1470" t="s">
        <v>37</v>
      </c>
      <c r="E1470" t="s">
        <v>410</v>
      </c>
      <c r="G1470">
        <v>2</v>
      </c>
      <c r="H1470">
        <v>400</v>
      </c>
      <c r="I1470"/>
      <c r="J1470" cm="1">
        <f t="array" ref="J1470">_xlfn.SWITCH(B1470,1,75,2,61,3,49,4,37,5,25,6,13,7,4,8,1)</f>
        <v>49</v>
      </c>
      <c r="K1470" t="str" cm="1">
        <f t="array" ref="K1470">IFERROR(_xlfn.SWITCH(L1470,1,_xlfn.XLOOKUP(C1470,[1]AttributeName!$C:$C,[1]AttributeName!$I:$I),2,_xlfn.XLOOKUP(C1470,[1]ModifierDes!$B:$B,[1]ModifierDes!$C:$C),3,_xlfn.XLOOKUP(C1470,[1]StuntDes!$B:$B,[1]StuntDes!$C:$C)),"")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442</v>
      </c>
      <c r="D1471" t="s">
        <v>37</v>
      </c>
      <c r="E1471" t="s">
        <v>410</v>
      </c>
      <c r="G1471">
        <v>2</v>
      </c>
      <c r="H1471">
        <v>600</v>
      </c>
      <c r="I1471"/>
      <c r="J1471" cm="1">
        <f t="array" ref="J1471">_xlfn.SWITCH(B1471,1,75,2,61,3,49,4,37,5,25,6,13,7,4,8,1)</f>
        <v>37</v>
      </c>
      <c r="K1471" t="str" cm="1">
        <f t="array" ref="K1471">IFERROR(_xlfn.SWITCH(L1471,1,_xlfn.XLOOKUP(C1471,[1]AttributeName!$C:$C,[1]AttributeName!$I:$I),2,_xlfn.XLOOKUP(C1471,[1]ModifierDes!$B:$B,[1]ModifierDes!$C:$C),3,_xlfn.XLOOKUP(C1471,[1]StuntDes!$B:$B,[1]StuntDes!$C:$C)),"")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442</v>
      </c>
      <c r="D1472" t="s">
        <v>37</v>
      </c>
      <c r="E1472" t="s">
        <v>410</v>
      </c>
      <c r="G1472">
        <v>2</v>
      </c>
      <c r="H1472">
        <v>800</v>
      </c>
      <c r="I1472"/>
      <c r="J1472" cm="1">
        <f t="array" ref="J1472">_xlfn.SWITCH(B1472,1,75,2,61,3,49,4,37,5,25,6,13,7,4,8,1)</f>
        <v>25</v>
      </c>
      <c r="K1472" t="str" cm="1">
        <f t="array" ref="K1472">IFERROR(_xlfn.SWITCH(L1472,1,_xlfn.XLOOKUP(C1472,[1]AttributeName!$C:$C,[1]AttributeName!$I:$I),2,_xlfn.XLOOKUP(C1472,[1]ModifierDes!$B:$B,[1]ModifierDes!$C:$C),3,_xlfn.XLOOKUP(C1472,[1]StuntDes!$B:$B,[1]StuntDes!$C:$C)),"")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442</v>
      </c>
      <c r="D1473" t="s">
        <v>37</v>
      </c>
      <c r="E1473" t="s">
        <v>410</v>
      </c>
      <c r="G1473">
        <v>2</v>
      </c>
      <c r="H1473">
        <v>1000</v>
      </c>
      <c r="I1473"/>
      <c r="J1473" cm="1">
        <f t="array" ref="J1473">_xlfn.SWITCH(B1473,1,75,2,61,3,49,4,37,5,25,6,13,7,4,8,1)</f>
        <v>13</v>
      </c>
      <c r="K1473" t="str" cm="1">
        <f t="array" ref="K1473">IFERROR(_xlfn.SWITCH(L1473,1,_xlfn.XLOOKUP(C1473,[1]AttributeName!$C:$C,[1]AttributeName!$I:$I),2,_xlfn.XLOOKUP(C1473,[1]ModifierDes!$B:$B,[1]ModifierDes!$C:$C),3,_xlfn.XLOOKUP(C1473,[1]StuntDes!$B:$B,[1]StuntDes!$C:$C)),"")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442</v>
      </c>
      <c r="D1474" t="s">
        <v>37</v>
      </c>
      <c r="E1474" t="s">
        <v>410</v>
      </c>
      <c r="G1474">
        <v>2</v>
      </c>
      <c r="H1474">
        <v>1000</v>
      </c>
      <c r="I1474"/>
      <c r="J1474" cm="1">
        <f t="array" ref="J1474">_xlfn.SWITCH(B1474,1,75,2,61,3,49,4,37,5,25,6,13,7,4,8,1)</f>
        <v>4</v>
      </c>
      <c r="K1474" t="str" cm="1">
        <f t="array" ref="K1474">IFERROR(_xlfn.SWITCH(L1474,1,_xlfn.XLOOKUP(C1474,[1]AttributeName!$C:$C,[1]AttributeName!$I:$I),2,_xlfn.XLOOKUP(C1474,[1]ModifierDes!$B:$B,[1]ModifierDes!$C:$C),3,_xlfn.XLOOKUP(C1474,[1]StuntDes!$B:$B,[1]StuntDes!$C:$C)),"")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442</v>
      </c>
      <c r="D1475" t="s">
        <v>37</v>
      </c>
      <c r="E1475" t="s">
        <v>410</v>
      </c>
      <c r="G1475">
        <v>2</v>
      </c>
      <c r="H1475">
        <v>1000</v>
      </c>
      <c r="I1475"/>
      <c r="J1475" cm="1">
        <f t="array" ref="J1475">_xlfn.SWITCH(B1475,1,75,2,61,3,49,4,37,5,25,6,13,7,4,8,1)</f>
        <v>1</v>
      </c>
      <c r="K1475" t="str" cm="1">
        <f t="array" ref="K1475">IFERROR(_xlfn.SWITCH(L1475,1,_xlfn.XLOOKUP(C1475,[1]AttributeName!$C:$C,[1]AttributeName!$I:$I),2,_xlfn.XLOOKUP(C1475,[1]ModifierDes!$B:$B,[1]ModifierDes!$C:$C),3,_xlfn.XLOOKUP(C1475,[1]StuntDes!$B:$B,[1]StuntDes!$C:$C)),"")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453</v>
      </c>
      <c r="D1476" t="s">
        <v>37</v>
      </c>
      <c r="E1476" t="s">
        <v>410</v>
      </c>
      <c r="F1476"/>
      <c r="G1476">
        <v>2</v>
      </c>
      <c r="H1476">
        <v>100</v>
      </c>
      <c r="I1476"/>
      <c r="J1476" cm="1">
        <f t="array" ref="J1476">_xlfn.SWITCH(B1476,1,75,2,61,3,49,4,37,5,25,6,13,7,4,8,1)</f>
        <v>75</v>
      </c>
      <c r="K1476" t="str" cm="1">
        <f t="array" ref="K1476">IFERROR(_xlfn.SWITCH(L1476,1,_xlfn.XLOOKUP(C1476,[1]AttributeName!$C:$C,[1]AttributeName!$I:$I),2,_xlfn.XLOOKUP(C1476,[1]ModifierDes!$B:$B,[1]ModifierDes!$C:$C),3,_xlfn.XLOOKUP(C1476,[1]StuntDes!$B:$B,[1]StuntDes!$C:$C)),"")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453</v>
      </c>
      <c r="D1477" t="s">
        <v>37</v>
      </c>
      <c r="E1477" t="s">
        <v>410</v>
      </c>
      <c r="F1477"/>
      <c r="G1477">
        <v>2</v>
      </c>
      <c r="H1477">
        <v>200</v>
      </c>
      <c r="I1477"/>
      <c r="J1477" cm="1">
        <f t="array" ref="J1477">_xlfn.SWITCH(B1477,1,75,2,61,3,49,4,37,5,25,6,13,7,4,8,1)</f>
        <v>61</v>
      </c>
      <c r="K1477" t="str" cm="1">
        <f t="array" ref="K1477">IFERROR(_xlfn.SWITCH(L1477,1,_xlfn.XLOOKUP(C1477,[1]AttributeName!$C:$C,[1]AttributeName!$I:$I),2,_xlfn.XLOOKUP(C1477,[1]ModifierDes!$B:$B,[1]ModifierDes!$C:$C),3,_xlfn.XLOOKUP(C1477,[1]StuntDes!$B:$B,[1]StuntDes!$C:$C)),"")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453</v>
      </c>
      <c r="D1478" t="s">
        <v>37</v>
      </c>
      <c r="E1478" t="s">
        <v>410</v>
      </c>
      <c r="F1478"/>
      <c r="G1478">
        <v>2</v>
      </c>
      <c r="H1478">
        <v>400</v>
      </c>
      <c r="I1478"/>
      <c r="J1478" cm="1">
        <f t="array" ref="J1478">_xlfn.SWITCH(B1478,1,75,2,61,3,49,4,37,5,25,6,13,7,4,8,1)</f>
        <v>49</v>
      </c>
      <c r="K1478" t="str" cm="1">
        <f t="array" ref="K1478">IFERROR(_xlfn.SWITCH(L1478,1,_xlfn.XLOOKUP(C1478,[1]AttributeName!$C:$C,[1]AttributeName!$I:$I),2,_xlfn.XLOOKUP(C1478,[1]ModifierDes!$B:$B,[1]ModifierDes!$C:$C),3,_xlfn.XLOOKUP(C1478,[1]StuntDes!$B:$B,[1]StuntDes!$C:$C)),"")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453</v>
      </c>
      <c r="D1479" t="s">
        <v>37</v>
      </c>
      <c r="E1479" t="s">
        <v>410</v>
      </c>
      <c r="F1479"/>
      <c r="G1479">
        <v>2</v>
      </c>
      <c r="H1479">
        <v>600</v>
      </c>
      <c r="I1479"/>
      <c r="J1479" cm="1">
        <f t="array" ref="J1479">_xlfn.SWITCH(B1479,1,75,2,61,3,49,4,37,5,25,6,13,7,4,8,1)</f>
        <v>37</v>
      </c>
      <c r="K1479" t="str" cm="1">
        <f t="array" ref="K1479">IFERROR(_xlfn.SWITCH(L1479,1,_xlfn.XLOOKUP(C1479,[1]AttributeName!$C:$C,[1]AttributeName!$I:$I),2,_xlfn.XLOOKUP(C1479,[1]ModifierDes!$B:$B,[1]ModifierDes!$C:$C),3,_xlfn.XLOOKUP(C1479,[1]StuntDes!$B:$B,[1]StuntDes!$C:$C)),"")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453</v>
      </c>
      <c r="D1480" t="s">
        <v>37</v>
      </c>
      <c r="E1480" t="s">
        <v>410</v>
      </c>
      <c r="F1480"/>
      <c r="G1480">
        <v>2</v>
      </c>
      <c r="H1480">
        <v>800</v>
      </c>
      <c r="I1480"/>
      <c r="J1480" cm="1">
        <f t="array" ref="J1480">_xlfn.SWITCH(B1480,1,75,2,61,3,49,4,37,5,25,6,13,7,4,8,1)</f>
        <v>25</v>
      </c>
      <c r="K1480" t="str" cm="1">
        <f t="array" ref="K1480">IFERROR(_xlfn.SWITCH(L1480,1,_xlfn.XLOOKUP(C1480,[1]AttributeName!$C:$C,[1]AttributeName!$I:$I),2,_xlfn.XLOOKUP(C1480,[1]ModifierDes!$B:$B,[1]ModifierDes!$C:$C),3,_xlfn.XLOOKUP(C1480,[1]StuntDes!$B:$B,[1]StuntDes!$C:$C)),"")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453</v>
      </c>
      <c r="D1481" t="s">
        <v>37</v>
      </c>
      <c r="E1481" t="s">
        <v>410</v>
      </c>
      <c r="F1481"/>
      <c r="G1481">
        <v>2</v>
      </c>
      <c r="H1481">
        <v>1000</v>
      </c>
      <c r="I1481"/>
      <c r="J1481" cm="1">
        <f t="array" ref="J1481">_xlfn.SWITCH(B1481,1,75,2,61,3,49,4,37,5,25,6,13,7,4,8,1)</f>
        <v>13</v>
      </c>
      <c r="K1481" t="str" cm="1">
        <f t="array" ref="K1481">IFERROR(_xlfn.SWITCH(L1481,1,_xlfn.XLOOKUP(C1481,[1]AttributeName!$C:$C,[1]AttributeName!$I:$I),2,_xlfn.XLOOKUP(C1481,[1]ModifierDes!$B:$B,[1]ModifierDes!$C:$C),3,_xlfn.XLOOKUP(C1481,[1]StuntDes!$B:$B,[1]StuntDes!$C:$C)),"")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453</v>
      </c>
      <c r="D1482" t="s">
        <v>37</v>
      </c>
      <c r="E1482" t="s">
        <v>410</v>
      </c>
      <c r="F1482"/>
      <c r="G1482">
        <v>2</v>
      </c>
      <c r="H1482">
        <v>1000</v>
      </c>
      <c r="I1482"/>
      <c r="J1482" cm="1">
        <f t="array" ref="J1482">_xlfn.SWITCH(B1482,1,75,2,61,3,49,4,37,5,25,6,13,7,4,8,1)</f>
        <v>4</v>
      </c>
      <c r="K1482" t="str" cm="1">
        <f t="array" ref="K1482">IFERROR(_xlfn.SWITCH(L1482,1,_xlfn.XLOOKUP(C1482,[1]AttributeName!$C:$C,[1]AttributeName!$I:$I),2,_xlfn.XLOOKUP(C1482,[1]ModifierDes!$B:$B,[1]ModifierDes!$C:$C),3,_xlfn.XLOOKUP(C1482,[1]StuntDes!$B:$B,[1]StuntDes!$C:$C)),"")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453</v>
      </c>
      <c r="D1483" t="s">
        <v>37</v>
      </c>
      <c r="E1483" t="s">
        <v>410</v>
      </c>
      <c r="F1483"/>
      <c r="G1483">
        <v>2</v>
      </c>
      <c r="H1483">
        <v>1000</v>
      </c>
      <c r="I1483"/>
      <c r="J1483" cm="1">
        <f t="array" ref="J1483">_xlfn.SWITCH(B1483,1,75,2,61,3,49,4,37,5,25,6,13,7,4,8,1)</f>
        <v>1</v>
      </c>
      <c r="K1483" t="str" cm="1">
        <f t="array" ref="K1483">IFERROR(_xlfn.SWITCH(L1483,1,_xlfn.XLOOKUP(C1483,[1]AttributeName!$C:$C,[1]AttributeName!$I:$I),2,_xlfn.XLOOKUP(C1483,[1]ModifierDes!$B:$B,[1]ModifierDes!$C:$C),3,_xlfn.XLOOKUP(C1483,[1]StuntDes!$B:$B,[1]StuntDes!$C:$C)),"")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454</v>
      </c>
      <c r="D1484" t="s">
        <v>37</v>
      </c>
      <c r="E1484" t="s">
        <v>410</v>
      </c>
      <c r="F1484"/>
      <c r="G1484">
        <v>2</v>
      </c>
      <c r="H1484">
        <v>100</v>
      </c>
      <c r="I1484"/>
      <c r="J1484" cm="1">
        <f t="array" ref="J1484">_xlfn.SWITCH(B1484,1,75,2,61,3,49,4,37,5,25,6,13,7,4,8,1)</f>
        <v>75</v>
      </c>
      <c r="K1484" t="str" cm="1">
        <f t="array" ref="K1484">IFERROR(_xlfn.SWITCH(L1484,1,_xlfn.XLOOKUP(C1484,[1]AttributeName!$C:$C,[1]AttributeName!$I:$I),2,_xlfn.XLOOKUP(C1484,[1]ModifierDes!$B:$B,[1]ModifierDes!$C:$C),3,_xlfn.XLOOKUP(C1484,[1]StuntDes!$B:$B,[1]StuntDes!$C:$C)),"")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454</v>
      </c>
      <c r="D1485" t="s">
        <v>37</v>
      </c>
      <c r="E1485" t="s">
        <v>410</v>
      </c>
      <c r="F1485"/>
      <c r="G1485">
        <v>2</v>
      </c>
      <c r="H1485">
        <v>200</v>
      </c>
      <c r="I1485"/>
      <c r="J1485" cm="1">
        <f t="array" ref="J1485">_xlfn.SWITCH(B1485,1,75,2,61,3,49,4,37,5,25,6,13,7,4,8,1)</f>
        <v>61</v>
      </c>
      <c r="K1485" t="str" cm="1">
        <f t="array" ref="K1485">IFERROR(_xlfn.SWITCH(L1485,1,_xlfn.XLOOKUP(C1485,[1]AttributeName!$C:$C,[1]AttributeName!$I:$I),2,_xlfn.XLOOKUP(C1485,[1]ModifierDes!$B:$B,[1]ModifierDes!$C:$C),3,_xlfn.XLOOKUP(C1485,[1]StuntDes!$B:$B,[1]StuntDes!$C:$C)),"")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454</v>
      </c>
      <c r="D1486" t="s">
        <v>37</v>
      </c>
      <c r="E1486" t="s">
        <v>410</v>
      </c>
      <c r="F1486"/>
      <c r="G1486">
        <v>2</v>
      </c>
      <c r="H1486">
        <v>400</v>
      </c>
      <c r="I1486"/>
      <c r="J1486" cm="1">
        <f t="array" ref="J1486">_xlfn.SWITCH(B1486,1,75,2,61,3,49,4,37,5,25,6,13,7,4,8,1)</f>
        <v>49</v>
      </c>
      <c r="K1486" t="str" cm="1">
        <f t="array" ref="K1486">IFERROR(_xlfn.SWITCH(L1486,1,_xlfn.XLOOKUP(C1486,[1]AttributeName!$C:$C,[1]AttributeName!$I:$I),2,_xlfn.XLOOKUP(C1486,[1]ModifierDes!$B:$B,[1]ModifierDes!$C:$C),3,_xlfn.XLOOKUP(C1486,[1]StuntDes!$B:$B,[1]StuntDes!$C:$C)),"")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454</v>
      </c>
      <c r="D1487" t="s">
        <v>37</v>
      </c>
      <c r="E1487" t="s">
        <v>410</v>
      </c>
      <c r="F1487"/>
      <c r="G1487">
        <v>2</v>
      </c>
      <c r="H1487">
        <v>600</v>
      </c>
      <c r="I1487"/>
      <c r="J1487" cm="1">
        <f t="array" ref="J1487">_xlfn.SWITCH(B1487,1,75,2,61,3,49,4,37,5,25,6,13,7,4,8,1)</f>
        <v>37</v>
      </c>
      <c r="K1487" t="str" cm="1">
        <f t="array" ref="K1487">IFERROR(_xlfn.SWITCH(L1487,1,_xlfn.XLOOKUP(C1487,[1]AttributeName!$C:$C,[1]AttributeName!$I:$I),2,_xlfn.XLOOKUP(C1487,[1]ModifierDes!$B:$B,[1]ModifierDes!$C:$C),3,_xlfn.XLOOKUP(C1487,[1]StuntDes!$B:$B,[1]StuntDes!$C:$C)),"")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454</v>
      </c>
      <c r="D1488" t="s">
        <v>37</v>
      </c>
      <c r="E1488" t="s">
        <v>410</v>
      </c>
      <c r="F1488"/>
      <c r="G1488">
        <v>2</v>
      </c>
      <c r="H1488">
        <v>800</v>
      </c>
      <c r="I1488"/>
      <c r="J1488" cm="1">
        <f t="array" ref="J1488">_xlfn.SWITCH(B1488,1,75,2,61,3,49,4,37,5,25,6,13,7,4,8,1)</f>
        <v>25</v>
      </c>
      <c r="K1488" t="str" cm="1">
        <f t="array" ref="K1488">IFERROR(_xlfn.SWITCH(L1488,1,_xlfn.XLOOKUP(C1488,[1]AttributeName!$C:$C,[1]AttributeName!$I:$I),2,_xlfn.XLOOKUP(C1488,[1]ModifierDes!$B:$B,[1]ModifierDes!$C:$C),3,_xlfn.XLOOKUP(C1488,[1]StuntDes!$B:$B,[1]StuntDes!$C:$C)),"")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454</v>
      </c>
      <c r="D1489" t="s">
        <v>37</v>
      </c>
      <c r="E1489" t="s">
        <v>410</v>
      </c>
      <c r="F1489"/>
      <c r="G1489">
        <v>2</v>
      </c>
      <c r="H1489">
        <v>1000</v>
      </c>
      <c r="I1489"/>
      <c r="J1489" cm="1">
        <f t="array" ref="J1489">_xlfn.SWITCH(B1489,1,75,2,61,3,49,4,37,5,25,6,13,7,4,8,1)</f>
        <v>13</v>
      </c>
      <c r="K1489" t="str" cm="1">
        <f t="array" ref="K1489">IFERROR(_xlfn.SWITCH(L1489,1,_xlfn.XLOOKUP(C1489,[1]AttributeName!$C:$C,[1]AttributeName!$I:$I),2,_xlfn.XLOOKUP(C1489,[1]ModifierDes!$B:$B,[1]ModifierDes!$C:$C),3,_xlfn.XLOOKUP(C1489,[1]StuntDes!$B:$B,[1]StuntDes!$C:$C)),"")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454</v>
      </c>
      <c r="D1490" t="s">
        <v>37</v>
      </c>
      <c r="E1490" t="s">
        <v>410</v>
      </c>
      <c r="F1490"/>
      <c r="G1490">
        <v>2</v>
      </c>
      <c r="H1490">
        <v>1000</v>
      </c>
      <c r="I1490"/>
      <c r="J1490" cm="1">
        <f t="array" ref="J1490">_xlfn.SWITCH(B1490,1,75,2,61,3,49,4,37,5,25,6,13,7,4,8,1)</f>
        <v>4</v>
      </c>
      <c r="K1490" t="str" cm="1">
        <f t="array" ref="K1490">IFERROR(_xlfn.SWITCH(L1490,1,_xlfn.XLOOKUP(C1490,[1]AttributeName!$C:$C,[1]AttributeName!$I:$I),2,_xlfn.XLOOKUP(C1490,[1]ModifierDes!$B:$B,[1]ModifierDes!$C:$C),3,_xlfn.XLOOKUP(C1490,[1]StuntDes!$B:$B,[1]StuntDes!$C:$C)),"")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454</v>
      </c>
      <c r="D1491" t="s">
        <v>37</v>
      </c>
      <c r="E1491" t="s">
        <v>410</v>
      </c>
      <c r="F1491"/>
      <c r="G1491">
        <v>2</v>
      </c>
      <c r="H1491">
        <v>1000</v>
      </c>
      <c r="I1491"/>
      <c r="J1491" cm="1">
        <f t="array" ref="J1491">_xlfn.SWITCH(B1491,1,75,2,61,3,49,4,37,5,25,6,13,7,4,8,1)</f>
        <v>1</v>
      </c>
      <c r="K1491" t="str" cm="1">
        <f t="array" ref="K1491">IFERROR(_xlfn.SWITCH(L1491,1,_xlfn.XLOOKUP(C1491,[1]AttributeName!$C:$C,[1]AttributeName!$I:$I),2,_xlfn.XLOOKUP(C1491,[1]ModifierDes!$B:$B,[1]ModifierDes!$C:$C),3,_xlfn.XLOOKUP(C1491,[1]StuntDes!$B:$B,[1]StuntDes!$C:$C)),"")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418</v>
      </c>
      <c r="D1492" t="s">
        <v>37</v>
      </c>
      <c r="E1492" t="s">
        <v>410</v>
      </c>
      <c r="F1492"/>
      <c r="G1492">
        <v>2</v>
      </c>
      <c r="H1492">
        <v>100</v>
      </c>
      <c r="I1492"/>
      <c r="J1492" cm="1">
        <f t="array" ref="J1492">_xlfn.SWITCH(B1492,1,75,2,61,3,49,4,37,5,25,6,13,7,4,8,1)</f>
        <v>75</v>
      </c>
      <c r="K1492" t="str" cm="1">
        <f t="array" ref="K1492">IFERROR(_xlfn.SWITCH(L1492,1,_xlfn.XLOOKUP(C1492,[1]AttributeName!$C:$C,[1]AttributeName!$I:$I),2,_xlfn.XLOOKUP(C1492,[1]ModifierDes!$B:$B,[1]ModifierDes!$C:$C),3,_xlfn.XLOOKUP(C1492,[1]StuntDes!$B:$B,[1]StuntDes!$C:$C)),"")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418</v>
      </c>
      <c r="D1493" t="s">
        <v>37</v>
      </c>
      <c r="E1493" t="s">
        <v>410</v>
      </c>
      <c r="F1493"/>
      <c r="G1493">
        <v>2</v>
      </c>
      <c r="H1493">
        <v>200</v>
      </c>
      <c r="I1493"/>
      <c r="J1493" cm="1">
        <f t="array" ref="J1493">_xlfn.SWITCH(B1493,1,75,2,61,3,49,4,37,5,25,6,13,7,4,8,1)</f>
        <v>61</v>
      </c>
      <c r="K1493" t="str" cm="1">
        <f t="array" ref="K1493">IFERROR(_xlfn.SWITCH(L1493,1,_xlfn.XLOOKUP(C1493,[1]AttributeName!$C:$C,[1]AttributeName!$I:$I),2,_xlfn.XLOOKUP(C1493,[1]ModifierDes!$B:$B,[1]ModifierDes!$C:$C),3,_xlfn.XLOOKUP(C1493,[1]StuntDes!$B:$B,[1]StuntDes!$C:$C)),"")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418</v>
      </c>
      <c r="D1494" t="s">
        <v>37</v>
      </c>
      <c r="E1494" t="s">
        <v>410</v>
      </c>
      <c r="F1494"/>
      <c r="G1494">
        <v>2</v>
      </c>
      <c r="H1494">
        <v>400</v>
      </c>
      <c r="I1494"/>
      <c r="J1494" cm="1">
        <f t="array" ref="J1494">_xlfn.SWITCH(B1494,1,75,2,61,3,49,4,37,5,25,6,13,7,4,8,1)</f>
        <v>49</v>
      </c>
      <c r="K1494" t="str" cm="1">
        <f t="array" ref="K1494">IFERROR(_xlfn.SWITCH(L1494,1,_xlfn.XLOOKUP(C1494,[1]AttributeName!$C:$C,[1]AttributeName!$I:$I),2,_xlfn.XLOOKUP(C1494,[1]ModifierDes!$B:$B,[1]ModifierDes!$C:$C),3,_xlfn.XLOOKUP(C1494,[1]StuntDes!$B:$B,[1]StuntDes!$C:$C)),"")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418</v>
      </c>
      <c r="D1495" t="s">
        <v>37</v>
      </c>
      <c r="E1495" t="s">
        <v>410</v>
      </c>
      <c r="F1495"/>
      <c r="G1495">
        <v>2</v>
      </c>
      <c r="H1495">
        <v>600</v>
      </c>
      <c r="I1495"/>
      <c r="J1495" cm="1">
        <f t="array" ref="J1495">_xlfn.SWITCH(B1495,1,75,2,61,3,49,4,37,5,25,6,13,7,4,8,1)</f>
        <v>37</v>
      </c>
      <c r="K1495" t="str" cm="1">
        <f t="array" ref="K1495">IFERROR(_xlfn.SWITCH(L1495,1,_xlfn.XLOOKUP(C1495,[1]AttributeName!$C:$C,[1]AttributeName!$I:$I),2,_xlfn.XLOOKUP(C1495,[1]ModifierDes!$B:$B,[1]ModifierDes!$C:$C),3,_xlfn.XLOOKUP(C1495,[1]StuntDes!$B:$B,[1]StuntDes!$C:$C)),"")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418</v>
      </c>
      <c r="D1496" t="s">
        <v>37</v>
      </c>
      <c r="E1496" t="s">
        <v>410</v>
      </c>
      <c r="F1496"/>
      <c r="G1496">
        <v>2</v>
      </c>
      <c r="H1496">
        <v>800</v>
      </c>
      <c r="I1496"/>
      <c r="J1496" cm="1">
        <f t="array" ref="J1496">_xlfn.SWITCH(B1496,1,75,2,61,3,49,4,37,5,25,6,13,7,4,8,1)</f>
        <v>25</v>
      </c>
      <c r="K1496" t="str" cm="1">
        <f t="array" ref="K1496">IFERROR(_xlfn.SWITCH(L1496,1,_xlfn.XLOOKUP(C1496,[1]AttributeName!$C:$C,[1]AttributeName!$I:$I),2,_xlfn.XLOOKUP(C1496,[1]ModifierDes!$B:$B,[1]ModifierDes!$C:$C),3,_xlfn.XLOOKUP(C1496,[1]StuntDes!$B:$B,[1]StuntDes!$C:$C)),"")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418</v>
      </c>
      <c r="D1497" t="s">
        <v>37</v>
      </c>
      <c r="E1497" t="s">
        <v>410</v>
      </c>
      <c r="F1497"/>
      <c r="G1497">
        <v>2</v>
      </c>
      <c r="H1497">
        <v>1000</v>
      </c>
      <c r="I1497"/>
      <c r="J1497" cm="1">
        <f t="array" ref="J1497">_xlfn.SWITCH(B1497,1,75,2,61,3,49,4,37,5,25,6,13,7,4,8,1)</f>
        <v>13</v>
      </c>
      <c r="K1497" t="str" cm="1">
        <f t="array" ref="K1497">IFERROR(_xlfn.SWITCH(L1497,1,_xlfn.XLOOKUP(C1497,[1]AttributeName!$C:$C,[1]AttributeName!$I:$I),2,_xlfn.XLOOKUP(C1497,[1]ModifierDes!$B:$B,[1]ModifierDes!$C:$C),3,_xlfn.XLOOKUP(C1497,[1]StuntDes!$B:$B,[1]StuntDes!$C:$C)),"")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418</v>
      </c>
      <c r="D1498" t="s">
        <v>37</v>
      </c>
      <c r="E1498" t="s">
        <v>410</v>
      </c>
      <c r="F1498"/>
      <c r="G1498">
        <v>2</v>
      </c>
      <c r="H1498">
        <v>1000</v>
      </c>
      <c r="I1498"/>
      <c r="J1498" cm="1">
        <f t="array" ref="J1498">_xlfn.SWITCH(B1498,1,75,2,61,3,49,4,37,5,25,6,13,7,4,8,1)</f>
        <v>4</v>
      </c>
      <c r="K1498" t="str" cm="1">
        <f t="array" ref="K1498">IFERROR(_xlfn.SWITCH(L1498,1,_xlfn.XLOOKUP(C1498,[1]AttributeName!$C:$C,[1]AttributeName!$I:$I),2,_xlfn.XLOOKUP(C1498,[1]ModifierDes!$B:$B,[1]ModifierDes!$C:$C),3,_xlfn.XLOOKUP(C1498,[1]StuntDes!$B:$B,[1]StuntDes!$C:$C)),"")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418</v>
      </c>
      <c r="D1499" t="s">
        <v>37</v>
      </c>
      <c r="E1499" t="s">
        <v>410</v>
      </c>
      <c r="F1499"/>
      <c r="G1499">
        <v>2</v>
      </c>
      <c r="H1499">
        <v>1000</v>
      </c>
      <c r="I1499"/>
      <c r="J1499" cm="1">
        <f t="array" ref="J1499">_xlfn.SWITCH(B1499,1,75,2,61,3,49,4,37,5,25,6,13,7,4,8,1)</f>
        <v>1</v>
      </c>
      <c r="K1499" t="str" cm="1">
        <f t="array" ref="K1499">IFERROR(_xlfn.SWITCH(L1499,1,_xlfn.XLOOKUP(C1499,[1]AttributeName!$C:$C,[1]AttributeName!$I:$I),2,_xlfn.XLOOKUP(C1499,[1]ModifierDes!$B:$B,[1]ModifierDes!$C:$C),3,_xlfn.XLOOKUP(C1499,[1]StuntDes!$B:$B,[1]StuntDes!$C:$C)),"")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448</v>
      </c>
      <c r="D1500" t="s">
        <v>37</v>
      </c>
      <c r="E1500" t="s">
        <v>410</v>
      </c>
      <c r="F1500"/>
      <c r="G1500">
        <v>2</v>
      </c>
      <c r="H1500">
        <v>100</v>
      </c>
      <c r="I1500"/>
      <c r="J1500" cm="1">
        <f t="array" ref="J1500">_xlfn.SWITCH(B1500,1,75,2,61,3,49,4,37,5,25,6,13,7,4,8,1)</f>
        <v>75</v>
      </c>
      <c r="K1500" t="str" cm="1">
        <f t="array" ref="K1500">IFERROR(_xlfn.SWITCH(L1500,1,_xlfn.XLOOKUP(C1500,[1]AttributeName!$C:$C,[1]AttributeName!$I:$I),2,_xlfn.XLOOKUP(C1500,[1]ModifierDes!$B:$B,[1]ModifierDes!$C:$C),3,_xlfn.XLOOKUP(C1500,[1]StuntDes!$B:$B,[1]StuntDes!$C:$C)),"")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448</v>
      </c>
      <c r="D1501" t="s">
        <v>37</v>
      </c>
      <c r="E1501" t="s">
        <v>410</v>
      </c>
      <c r="F1501"/>
      <c r="G1501">
        <v>2</v>
      </c>
      <c r="H1501">
        <v>200</v>
      </c>
      <c r="I1501"/>
      <c r="J1501" cm="1">
        <f t="array" ref="J1501">_xlfn.SWITCH(B1501,1,75,2,61,3,49,4,37,5,25,6,13,7,4,8,1)</f>
        <v>61</v>
      </c>
      <c r="K1501" t="str" cm="1">
        <f t="array" ref="K1501">IFERROR(_xlfn.SWITCH(L1501,1,_xlfn.XLOOKUP(C1501,[1]AttributeName!$C:$C,[1]AttributeName!$I:$I),2,_xlfn.XLOOKUP(C1501,[1]ModifierDes!$B:$B,[1]ModifierDes!$C:$C),3,_xlfn.XLOOKUP(C1501,[1]StuntDes!$B:$B,[1]StuntDes!$C:$C)),"")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448</v>
      </c>
      <c r="D1502" t="s">
        <v>37</v>
      </c>
      <c r="E1502" t="s">
        <v>410</v>
      </c>
      <c r="F1502"/>
      <c r="G1502">
        <v>2</v>
      </c>
      <c r="H1502">
        <v>400</v>
      </c>
      <c r="I1502"/>
      <c r="J1502" cm="1">
        <f t="array" ref="J1502">_xlfn.SWITCH(B1502,1,75,2,61,3,49,4,37,5,25,6,13,7,4,8,1)</f>
        <v>49</v>
      </c>
      <c r="K1502" t="str" cm="1">
        <f t="array" ref="K1502">IFERROR(_xlfn.SWITCH(L1502,1,_xlfn.XLOOKUP(C1502,[1]AttributeName!$C:$C,[1]AttributeName!$I:$I),2,_xlfn.XLOOKUP(C1502,[1]ModifierDes!$B:$B,[1]ModifierDes!$C:$C),3,_xlfn.XLOOKUP(C1502,[1]StuntDes!$B:$B,[1]StuntDes!$C:$C)),"")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448</v>
      </c>
      <c r="D1503" t="s">
        <v>37</v>
      </c>
      <c r="E1503" t="s">
        <v>410</v>
      </c>
      <c r="F1503"/>
      <c r="G1503">
        <v>2</v>
      </c>
      <c r="H1503">
        <v>600</v>
      </c>
      <c r="I1503"/>
      <c r="J1503" cm="1">
        <f t="array" ref="J1503">_xlfn.SWITCH(B1503,1,75,2,61,3,49,4,37,5,25,6,13,7,4,8,1)</f>
        <v>37</v>
      </c>
      <c r="K1503" t="str" cm="1">
        <f t="array" ref="K1503">IFERROR(_xlfn.SWITCH(L1503,1,_xlfn.XLOOKUP(C1503,[1]AttributeName!$C:$C,[1]AttributeName!$I:$I),2,_xlfn.XLOOKUP(C1503,[1]ModifierDes!$B:$B,[1]ModifierDes!$C:$C),3,_xlfn.XLOOKUP(C1503,[1]StuntDes!$B:$B,[1]StuntDes!$C:$C)),"")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448</v>
      </c>
      <c r="D1504" t="s">
        <v>37</v>
      </c>
      <c r="E1504" t="s">
        <v>410</v>
      </c>
      <c r="F1504"/>
      <c r="G1504">
        <v>2</v>
      </c>
      <c r="H1504">
        <v>800</v>
      </c>
      <c r="I1504"/>
      <c r="J1504" cm="1">
        <f t="array" ref="J1504">_xlfn.SWITCH(B1504,1,75,2,61,3,49,4,37,5,25,6,13,7,4,8,1)</f>
        <v>25</v>
      </c>
      <c r="K1504" t="str" cm="1">
        <f t="array" ref="K1504">IFERROR(_xlfn.SWITCH(L1504,1,_xlfn.XLOOKUP(C1504,[1]AttributeName!$C:$C,[1]AttributeName!$I:$I),2,_xlfn.XLOOKUP(C1504,[1]ModifierDes!$B:$B,[1]ModifierDes!$C:$C),3,_xlfn.XLOOKUP(C1504,[1]StuntDes!$B:$B,[1]StuntDes!$C:$C)),"")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448</v>
      </c>
      <c r="D1505" t="s">
        <v>37</v>
      </c>
      <c r="E1505" t="s">
        <v>410</v>
      </c>
      <c r="F1505"/>
      <c r="G1505">
        <v>2</v>
      </c>
      <c r="H1505">
        <v>1000</v>
      </c>
      <c r="I1505"/>
      <c r="J1505" cm="1">
        <f t="array" ref="J1505">_xlfn.SWITCH(B1505,1,75,2,61,3,49,4,37,5,25,6,13,7,4,8,1)</f>
        <v>13</v>
      </c>
      <c r="K1505" t="str" cm="1">
        <f t="array" ref="K1505">IFERROR(_xlfn.SWITCH(L1505,1,_xlfn.XLOOKUP(C1505,[1]AttributeName!$C:$C,[1]AttributeName!$I:$I),2,_xlfn.XLOOKUP(C1505,[1]ModifierDes!$B:$B,[1]ModifierDes!$C:$C),3,_xlfn.XLOOKUP(C1505,[1]StuntDes!$B:$B,[1]StuntDes!$C:$C)),"")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448</v>
      </c>
      <c r="D1506" t="s">
        <v>37</v>
      </c>
      <c r="E1506" t="s">
        <v>410</v>
      </c>
      <c r="F1506"/>
      <c r="G1506">
        <v>2</v>
      </c>
      <c r="H1506">
        <v>1000</v>
      </c>
      <c r="I1506"/>
      <c r="J1506" cm="1">
        <f t="array" ref="J1506">_xlfn.SWITCH(B1506,1,75,2,61,3,49,4,37,5,25,6,13,7,4,8,1)</f>
        <v>4</v>
      </c>
      <c r="K1506" t="str" cm="1">
        <f t="array" ref="K1506">IFERROR(_xlfn.SWITCH(L1506,1,_xlfn.XLOOKUP(C1506,[1]AttributeName!$C:$C,[1]AttributeName!$I:$I),2,_xlfn.XLOOKUP(C1506,[1]ModifierDes!$B:$B,[1]ModifierDes!$C:$C),3,_xlfn.XLOOKUP(C1506,[1]StuntDes!$B:$B,[1]StuntDes!$C:$C)),"")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448</v>
      </c>
      <c r="D1507" t="s">
        <v>37</v>
      </c>
      <c r="E1507" t="s">
        <v>410</v>
      </c>
      <c r="F1507"/>
      <c r="G1507">
        <v>2</v>
      </c>
      <c r="H1507">
        <v>1000</v>
      </c>
      <c r="I1507"/>
      <c r="J1507" cm="1">
        <f t="array" ref="J1507">_xlfn.SWITCH(B1507,1,75,2,61,3,49,4,37,5,25,6,13,7,4,8,1)</f>
        <v>1</v>
      </c>
      <c r="K1507" t="str" cm="1">
        <f t="array" ref="K1507">IFERROR(_xlfn.SWITCH(L1507,1,_xlfn.XLOOKUP(C1507,[1]AttributeName!$C:$C,[1]AttributeName!$I:$I),2,_xlfn.XLOOKUP(C1507,[1]ModifierDes!$B:$B,[1]ModifierDes!$C:$C),3,_xlfn.XLOOKUP(C1507,[1]StuntDes!$B:$B,[1]StuntDes!$C:$C)),"")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424</v>
      </c>
      <c r="D1508" t="s">
        <v>37</v>
      </c>
      <c r="E1508" t="s">
        <v>410</v>
      </c>
      <c r="G1508">
        <v>2</v>
      </c>
      <c r="H1508">
        <v>1000</v>
      </c>
      <c r="J1508" cm="1">
        <f t="array" ref="J1508">_xlfn.SWITCH(B1508,1,75,2,61,3,49,4,37,5,25,6,13,7,4,8,1)</f>
        <v>75</v>
      </c>
      <c r="K1508" t="str" cm="1">
        <f t="array" ref="K1508">IFERROR(_xlfn.SWITCH(L1508,1,_xlfn.XLOOKUP(C1508,[1]AttributeName!$C:$C,[1]AttributeName!$I:$I),2,_xlfn.XLOOKUP(C1508,[1]ModifierDes!$B:$B,[1]ModifierDes!$C:$C),3,_xlfn.XLOOKUP(C1508,[1]StuntDes!$B:$B,[1]StuntDes!$C:$C)),"")</f>
        <v>穿戴等级降低增加{0}</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424</v>
      </c>
      <c r="D1509" t="s">
        <v>37</v>
      </c>
      <c r="E1509" t="s">
        <v>410</v>
      </c>
      <c r="G1509">
        <v>2</v>
      </c>
      <c r="H1509">
        <v>1000</v>
      </c>
      <c r="J1509" cm="1">
        <f t="array" ref="J1509">_xlfn.SWITCH(B1509,1,75,2,61,3,49,4,37,5,25,6,13,7,4,8,1)</f>
        <v>61</v>
      </c>
      <c r="K1509" t="str" cm="1">
        <f t="array" ref="K1509">IFERROR(_xlfn.SWITCH(L1509,1,_xlfn.XLOOKUP(C1509,[1]AttributeName!$C:$C,[1]AttributeName!$I:$I),2,_xlfn.XLOOKUP(C1509,[1]ModifierDes!$B:$B,[1]ModifierDes!$C:$C),3,_xlfn.XLOOKUP(C1509,[1]StuntDes!$B:$B,[1]StuntDes!$C:$C)),"")</f>
        <v>穿戴等级降低增加{0}</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424</v>
      </c>
      <c r="D1510" t="s">
        <v>37</v>
      </c>
      <c r="E1510" t="s">
        <v>410</v>
      </c>
      <c r="G1510">
        <v>2</v>
      </c>
      <c r="H1510">
        <v>1000</v>
      </c>
      <c r="J1510" cm="1">
        <f t="array" ref="J1510">_xlfn.SWITCH(B1510,1,75,2,61,3,49,4,37,5,25,6,13,7,4,8,1)</f>
        <v>49</v>
      </c>
      <c r="K1510" t="str" cm="1">
        <f t="array" ref="K1510">IFERROR(_xlfn.SWITCH(L1510,1,_xlfn.XLOOKUP(C1510,[1]AttributeName!$C:$C,[1]AttributeName!$I:$I),2,_xlfn.XLOOKUP(C1510,[1]ModifierDes!$B:$B,[1]ModifierDes!$C:$C),3,_xlfn.XLOOKUP(C1510,[1]StuntDes!$B:$B,[1]StuntDes!$C:$C)),"")</f>
        <v>穿戴等级降低增加{0}</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424</v>
      </c>
      <c r="D1511" t="s">
        <v>37</v>
      </c>
      <c r="E1511" t="s">
        <v>410</v>
      </c>
      <c r="G1511">
        <v>2</v>
      </c>
      <c r="H1511">
        <v>1000</v>
      </c>
      <c r="J1511" cm="1">
        <f t="array" ref="J1511">_xlfn.SWITCH(B1511,1,75,2,61,3,49,4,37,5,25,6,13,7,4,8,1)</f>
        <v>37</v>
      </c>
      <c r="K1511" t="str" cm="1">
        <f t="array" ref="K1511">IFERROR(_xlfn.SWITCH(L1511,1,_xlfn.XLOOKUP(C1511,[1]AttributeName!$C:$C,[1]AttributeName!$I:$I),2,_xlfn.XLOOKUP(C1511,[1]ModifierDes!$B:$B,[1]ModifierDes!$C:$C),3,_xlfn.XLOOKUP(C1511,[1]StuntDes!$B:$B,[1]StuntDes!$C:$C)),"")</f>
        <v>穿戴等级降低增加{0}</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424</v>
      </c>
      <c r="D1512" t="s">
        <v>37</v>
      </c>
      <c r="E1512" t="s">
        <v>410</v>
      </c>
      <c r="G1512">
        <v>2</v>
      </c>
      <c r="H1512">
        <v>1000</v>
      </c>
      <c r="J1512" cm="1">
        <f t="array" ref="J1512">_xlfn.SWITCH(B1512,1,75,2,61,3,49,4,37,5,25,6,13,7,4,8,1)</f>
        <v>25</v>
      </c>
      <c r="K1512" t="str" cm="1">
        <f t="array" ref="K1512">IFERROR(_xlfn.SWITCH(L1512,1,_xlfn.XLOOKUP(C1512,[1]AttributeName!$C:$C,[1]AttributeName!$I:$I),2,_xlfn.XLOOKUP(C1512,[1]ModifierDes!$B:$B,[1]ModifierDes!$C:$C),3,_xlfn.XLOOKUP(C1512,[1]StuntDes!$B:$B,[1]StuntDes!$C:$C)),"")</f>
        <v>穿戴等级降低增加{0}</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424</v>
      </c>
      <c r="D1513" t="s">
        <v>37</v>
      </c>
      <c r="E1513" t="s">
        <v>410</v>
      </c>
      <c r="G1513">
        <v>2</v>
      </c>
      <c r="H1513">
        <v>1000</v>
      </c>
      <c r="J1513" cm="1">
        <f t="array" ref="J1513">_xlfn.SWITCH(B1513,1,75,2,61,3,49,4,37,5,25,6,13,7,4,8,1)</f>
        <v>13</v>
      </c>
      <c r="K1513" t="str" cm="1">
        <f t="array" ref="K1513">IFERROR(_xlfn.SWITCH(L1513,1,_xlfn.XLOOKUP(C1513,[1]AttributeName!$C:$C,[1]AttributeName!$I:$I),2,_xlfn.XLOOKUP(C1513,[1]ModifierDes!$B:$B,[1]ModifierDes!$C:$C),3,_xlfn.XLOOKUP(C1513,[1]StuntDes!$B:$B,[1]StuntDes!$C:$C)),"")</f>
        <v>穿戴等级降低增加{0}</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424</v>
      </c>
      <c r="D1514" t="s">
        <v>37</v>
      </c>
      <c r="E1514" t="s">
        <v>410</v>
      </c>
      <c r="G1514">
        <v>2</v>
      </c>
      <c r="H1514">
        <v>1000</v>
      </c>
      <c r="J1514" cm="1">
        <f t="array" ref="J1514">_xlfn.SWITCH(B1514,1,75,2,61,3,49,4,37,5,25,6,13,7,4,8,1)</f>
        <v>4</v>
      </c>
      <c r="K1514" t="str" cm="1">
        <f t="array" ref="K1514">IFERROR(_xlfn.SWITCH(L1514,1,_xlfn.XLOOKUP(C1514,[1]AttributeName!$C:$C,[1]AttributeName!$I:$I),2,_xlfn.XLOOKUP(C1514,[1]ModifierDes!$B:$B,[1]ModifierDes!$C:$C),3,_xlfn.XLOOKUP(C1514,[1]StuntDes!$B:$B,[1]StuntDes!$C:$C)),"")</f>
        <v>穿戴等级降低增加{0}</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424</v>
      </c>
      <c r="D1515" t="s">
        <v>37</v>
      </c>
      <c r="E1515" t="s">
        <v>410</v>
      </c>
      <c r="G1515">
        <v>2</v>
      </c>
      <c r="H1515">
        <v>1000</v>
      </c>
      <c r="J1515" cm="1">
        <f t="array" ref="J1515">_xlfn.SWITCH(B1515,1,75,2,61,3,49,4,37,5,25,6,13,7,4,8,1)</f>
        <v>1</v>
      </c>
      <c r="K1515" t="str" cm="1">
        <f t="array" ref="K1515">IFERROR(_xlfn.SWITCH(L1515,1,_xlfn.XLOOKUP(C1515,[1]AttributeName!$C:$C,[1]AttributeName!$I:$I),2,_xlfn.XLOOKUP(C1515,[1]ModifierDes!$B:$B,[1]ModifierDes!$C:$C),3,_xlfn.XLOOKUP(C1515,[1]StuntDes!$B:$B,[1]StuntDes!$C:$C)),"")</f>
        <v>穿戴等级降低增加{0}</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407</v>
      </c>
      <c r="D1516" t="s">
        <v>38</v>
      </c>
      <c r="E1516" t="s">
        <v>393</v>
      </c>
      <c r="F1516"/>
      <c r="G1516">
        <v>1</v>
      </c>
      <c r="H1516">
        <v>1000</v>
      </c>
      <c r="I1516"/>
      <c r="J1516" cm="1">
        <f t="array" ref="J1516">_xlfn.SWITCH(B1516,1,75,2,61,3,49,4,37,5,25,6,13,7,4,8,1)</f>
        <v>75</v>
      </c>
      <c r="K1516" t="str" cm="1">
        <f t="array" ref="K1516">IFERROR(_xlfn.SWITCH(L1516,1,_xlfn.XLOOKUP(C1516,[1]AttributeName!$C:$C,[1]AttributeName!$I:$I),2,_xlfn.XLOOKUP(C1516,[1]ModifierDes!$B:$B,[1]ModifierDes!$C:$C),3,_xlfn.XLOOKUP(C1516,[1]StuntDes!$B:$B,[1]StuntDes!$C:$C)),"")</f>
        <v>基础生命增加{0}</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407</v>
      </c>
      <c r="D1517" t="s">
        <v>38</v>
      </c>
      <c r="E1517" t="s">
        <v>393</v>
      </c>
      <c r="F1517"/>
      <c r="G1517">
        <v>1</v>
      </c>
      <c r="H1517">
        <v>1000</v>
      </c>
      <c r="I1517"/>
      <c r="J1517" cm="1">
        <f t="array" ref="J1517">_xlfn.SWITCH(B1517,1,75,2,61,3,49,4,37,5,25,6,13,7,4,8,1)</f>
        <v>61</v>
      </c>
      <c r="K1517" t="str" cm="1">
        <f t="array" ref="K1517">IFERROR(_xlfn.SWITCH(L1517,1,_xlfn.XLOOKUP(C1517,[1]AttributeName!$C:$C,[1]AttributeName!$I:$I),2,_xlfn.XLOOKUP(C1517,[1]ModifierDes!$B:$B,[1]ModifierDes!$C:$C),3,_xlfn.XLOOKUP(C1517,[1]StuntDes!$B:$B,[1]StuntDes!$C:$C)),"")</f>
        <v>基础生命增加{0}</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407</v>
      </c>
      <c r="D1518" t="s">
        <v>38</v>
      </c>
      <c r="E1518" t="s">
        <v>393</v>
      </c>
      <c r="F1518"/>
      <c r="G1518">
        <v>1</v>
      </c>
      <c r="H1518">
        <v>1000</v>
      </c>
      <c r="I1518"/>
      <c r="J1518" cm="1">
        <f t="array" ref="J1518">_xlfn.SWITCH(B1518,1,75,2,61,3,49,4,37,5,25,6,13,7,4,8,1)</f>
        <v>49</v>
      </c>
      <c r="K1518" t="str" cm="1">
        <f t="array" ref="K1518">IFERROR(_xlfn.SWITCH(L1518,1,_xlfn.XLOOKUP(C1518,[1]AttributeName!$C:$C,[1]AttributeName!$I:$I),2,_xlfn.XLOOKUP(C1518,[1]ModifierDes!$B:$B,[1]ModifierDes!$C:$C),3,_xlfn.XLOOKUP(C1518,[1]StuntDes!$B:$B,[1]StuntDes!$C:$C)),"")</f>
        <v>基础生命增加{0}</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407</v>
      </c>
      <c r="D1519" t="s">
        <v>38</v>
      </c>
      <c r="E1519" t="s">
        <v>393</v>
      </c>
      <c r="F1519"/>
      <c r="G1519">
        <v>1</v>
      </c>
      <c r="H1519">
        <v>1000</v>
      </c>
      <c r="I1519"/>
      <c r="J1519" cm="1">
        <f t="array" ref="J1519">_xlfn.SWITCH(B1519,1,75,2,61,3,49,4,37,5,25,6,13,7,4,8,1)</f>
        <v>37</v>
      </c>
      <c r="K1519" t="str" cm="1">
        <f t="array" ref="K1519">IFERROR(_xlfn.SWITCH(L1519,1,_xlfn.XLOOKUP(C1519,[1]AttributeName!$C:$C,[1]AttributeName!$I:$I),2,_xlfn.XLOOKUP(C1519,[1]ModifierDes!$B:$B,[1]ModifierDes!$C:$C),3,_xlfn.XLOOKUP(C1519,[1]StuntDes!$B:$B,[1]StuntDes!$C:$C)),"")</f>
        <v>基础生命增加{0}</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407</v>
      </c>
      <c r="D1520" t="s">
        <v>38</v>
      </c>
      <c r="E1520" t="s">
        <v>393</v>
      </c>
      <c r="F1520"/>
      <c r="G1520">
        <v>1</v>
      </c>
      <c r="H1520">
        <v>1000</v>
      </c>
      <c r="I1520"/>
      <c r="J1520" cm="1">
        <f t="array" ref="J1520">_xlfn.SWITCH(B1520,1,75,2,61,3,49,4,37,5,25,6,13,7,4,8,1)</f>
        <v>25</v>
      </c>
      <c r="K1520" t="str" cm="1">
        <f t="array" ref="K1520">IFERROR(_xlfn.SWITCH(L1520,1,_xlfn.XLOOKUP(C1520,[1]AttributeName!$C:$C,[1]AttributeName!$I:$I),2,_xlfn.XLOOKUP(C1520,[1]ModifierDes!$B:$B,[1]ModifierDes!$C:$C),3,_xlfn.XLOOKUP(C1520,[1]StuntDes!$B:$B,[1]StuntDes!$C:$C)),"")</f>
        <v>基础生命增加{0}</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407</v>
      </c>
      <c r="D1521" t="s">
        <v>38</v>
      </c>
      <c r="E1521" t="s">
        <v>393</v>
      </c>
      <c r="F1521"/>
      <c r="G1521">
        <v>1</v>
      </c>
      <c r="H1521">
        <v>1000</v>
      </c>
      <c r="I1521"/>
      <c r="J1521" cm="1">
        <f t="array" ref="J1521">_xlfn.SWITCH(B1521,1,75,2,61,3,49,4,37,5,25,6,13,7,4,8,1)</f>
        <v>13</v>
      </c>
      <c r="K1521" t="str" cm="1">
        <f t="array" ref="K1521">IFERROR(_xlfn.SWITCH(L1521,1,_xlfn.XLOOKUP(C1521,[1]AttributeName!$C:$C,[1]AttributeName!$I:$I),2,_xlfn.XLOOKUP(C1521,[1]ModifierDes!$B:$B,[1]ModifierDes!$C:$C),3,_xlfn.XLOOKUP(C1521,[1]StuntDes!$B:$B,[1]StuntDes!$C:$C)),"")</f>
        <v>基础生命增加{0}</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407</v>
      </c>
      <c r="D1522" t="s">
        <v>38</v>
      </c>
      <c r="E1522" t="s">
        <v>393</v>
      </c>
      <c r="F1522"/>
      <c r="G1522">
        <v>1</v>
      </c>
      <c r="H1522">
        <v>1000</v>
      </c>
      <c r="I1522"/>
      <c r="J1522" cm="1">
        <f t="array" ref="J1522">_xlfn.SWITCH(B1522,1,75,2,61,3,49,4,37,5,25,6,13,7,4,8,1)</f>
        <v>4</v>
      </c>
      <c r="K1522" t="str" cm="1">
        <f t="array" ref="K1522">IFERROR(_xlfn.SWITCH(L1522,1,_xlfn.XLOOKUP(C1522,[1]AttributeName!$C:$C,[1]AttributeName!$I:$I),2,_xlfn.XLOOKUP(C1522,[1]ModifierDes!$B:$B,[1]ModifierDes!$C:$C),3,_xlfn.XLOOKUP(C1522,[1]StuntDes!$B:$B,[1]StuntDes!$C:$C)),"")</f>
        <v>基础生命增加{0}</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407</v>
      </c>
      <c r="D1523" t="s">
        <v>38</v>
      </c>
      <c r="E1523" t="s">
        <v>393</v>
      </c>
      <c r="F1523"/>
      <c r="G1523">
        <v>1</v>
      </c>
      <c r="H1523">
        <v>1000</v>
      </c>
      <c r="I1523"/>
      <c r="J1523" cm="1">
        <f t="array" ref="J1523">_xlfn.SWITCH(B1523,1,75,2,61,3,49,4,37,5,25,6,13,7,4,8,1)</f>
        <v>1</v>
      </c>
      <c r="K1523" t="str" cm="1">
        <f t="array" ref="K1523">IFERROR(_xlfn.SWITCH(L1523,1,_xlfn.XLOOKUP(C1523,[1]AttributeName!$C:$C,[1]AttributeName!$I:$I),2,_xlfn.XLOOKUP(C1523,[1]ModifierDes!$B:$B,[1]ModifierDes!$C:$C),3,_xlfn.XLOOKUP(C1523,[1]StuntDes!$B:$B,[1]StuntDes!$C:$C)),"")</f>
        <v>基础生命增加{0}</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408</v>
      </c>
      <c r="D1524" t="s">
        <v>38</v>
      </c>
      <c r="E1524" t="s">
        <v>393</v>
      </c>
      <c r="F1524"/>
      <c r="G1524">
        <v>1</v>
      </c>
      <c r="H1524">
        <v>1000</v>
      </c>
      <c r="I1524"/>
      <c r="J1524" cm="1">
        <f t="array" ref="J1524">_xlfn.SWITCH(B1524,1,75,2,61,3,49,4,37,5,25,6,13,7,4,8,1)</f>
        <v>75</v>
      </c>
      <c r="K1524" t="str" cm="1">
        <f t="array" ref="K1524">IFERROR(_xlfn.SWITCH(L1524,1,_xlfn.XLOOKUP(C1524,[1]AttributeName!$C:$C,[1]AttributeName!$I:$I),2,_xlfn.XLOOKUP(C1524,[1]ModifierDes!$B:$B,[1]ModifierDes!$C:$C),3,_xlfn.XLOOKUP(C1524,[1]StuntDes!$B:$B,[1]StuntDes!$C:$C)),"")</f>
        <v>基础魔力增加{0}</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408</v>
      </c>
      <c r="D1525" t="s">
        <v>38</v>
      </c>
      <c r="E1525" t="s">
        <v>393</v>
      </c>
      <c r="F1525"/>
      <c r="G1525">
        <v>1</v>
      </c>
      <c r="H1525">
        <v>1000</v>
      </c>
      <c r="I1525"/>
      <c r="J1525" cm="1">
        <f t="array" ref="J1525">_xlfn.SWITCH(B1525,1,75,2,61,3,49,4,37,5,25,6,13,7,4,8,1)</f>
        <v>61</v>
      </c>
      <c r="K1525" t="str" cm="1">
        <f t="array" ref="K1525">IFERROR(_xlfn.SWITCH(L1525,1,_xlfn.XLOOKUP(C1525,[1]AttributeName!$C:$C,[1]AttributeName!$I:$I),2,_xlfn.XLOOKUP(C1525,[1]ModifierDes!$B:$B,[1]ModifierDes!$C:$C),3,_xlfn.XLOOKUP(C1525,[1]StuntDes!$B:$B,[1]StuntDes!$C:$C)),"")</f>
        <v>基础魔力增加{0}</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408</v>
      </c>
      <c r="D1526" t="s">
        <v>38</v>
      </c>
      <c r="E1526" t="s">
        <v>393</v>
      </c>
      <c r="F1526"/>
      <c r="G1526">
        <v>1</v>
      </c>
      <c r="H1526">
        <v>1000</v>
      </c>
      <c r="I1526"/>
      <c r="J1526" cm="1">
        <f t="array" ref="J1526">_xlfn.SWITCH(B1526,1,75,2,61,3,49,4,37,5,25,6,13,7,4,8,1)</f>
        <v>49</v>
      </c>
      <c r="K1526" t="str" cm="1">
        <f t="array" ref="K1526">IFERROR(_xlfn.SWITCH(L1526,1,_xlfn.XLOOKUP(C1526,[1]AttributeName!$C:$C,[1]AttributeName!$I:$I),2,_xlfn.XLOOKUP(C1526,[1]ModifierDes!$B:$B,[1]ModifierDes!$C:$C),3,_xlfn.XLOOKUP(C1526,[1]StuntDes!$B:$B,[1]StuntDes!$C:$C)),"")</f>
        <v>基础魔力增加{0}</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408</v>
      </c>
      <c r="D1527" t="s">
        <v>38</v>
      </c>
      <c r="E1527" t="s">
        <v>393</v>
      </c>
      <c r="F1527"/>
      <c r="G1527">
        <v>1</v>
      </c>
      <c r="H1527">
        <v>1000</v>
      </c>
      <c r="I1527"/>
      <c r="J1527" cm="1">
        <f t="array" ref="J1527">_xlfn.SWITCH(B1527,1,75,2,61,3,49,4,37,5,25,6,13,7,4,8,1)</f>
        <v>37</v>
      </c>
      <c r="K1527" t="str" cm="1">
        <f t="array" ref="K1527">IFERROR(_xlfn.SWITCH(L1527,1,_xlfn.XLOOKUP(C1527,[1]AttributeName!$C:$C,[1]AttributeName!$I:$I),2,_xlfn.XLOOKUP(C1527,[1]ModifierDes!$B:$B,[1]ModifierDes!$C:$C),3,_xlfn.XLOOKUP(C1527,[1]StuntDes!$B:$B,[1]StuntDes!$C:$C)),"")</f>
        <v>基础魔力增加{0}</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408</v>
      </c>
      <c r="D1528" t="s">
        <v>38</v>
      </c>
      <c r="E1528" t="s">
        <v>393</v>
      </c>
      <c r="F1528"/>
      <c r="G1528">
        <v>1</v>
      </c>
      <c r="H1528">
        <v>1000</v>
      </c>
      <c r="I1528"/>
      <c r="J1528" cm="1">
        <f t="array" ref="J1528">_xlfn.SWITCH(B1528,1,75,2,61,3,49,4,37,5,25,6,13,7,4,8,1)</f>
        <v>25</v>
      </c>
      <c r="K1528" t="str" cm="1">
        <f t="array" ref="K1528">IFERROR(_xlfn.SWITCH(L1528,1,_xlfn.XLOOKUP(C1528,[1]AttributeName!$C:$C,[1]AttributeName!$I:$I),2,_xlfn.XLOOKUP(C1528,[1]ModifierDes!$B:$B,[1]ModifierDes!$C:$C),3,_xlfn.XLOOKUP(C1528,[1]StuntDes!$B:$B,[1]StuntDes!$C:$C)),"")</f>
        <v>基础魔力增加{0}</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408</v>
      </c>
      <c r="D1529" t="s">
        <v>38</v>
      </c>
      <c r="E1529" t="s">
        <v>393</v>
      </c>
      <c r="F1529"/>
      <c r="G1529">
        <v>1</v>
      </c>
      <c r="H1529">
        <v>1000</v>
      </c>
      <c r="I1529"/>
      <c r="J1529" cm="1">
        <f t="array" ref="J1529">_xlfn.SWITCH(B1529,1,75,2,61,3,49,4,37,5,25,6,13,7,4,8,1)</f>
        <v>13</v>
      </c>
      <c r="K1529" t="str" cm="1">
        <f t="array" ref="K1529">IFERROR(_xlfn.SWITCH(L1529,1,_xlfn.XLOOKUP(C1529,[1]AttributeName!$C:$C,[1]AttributeName!$I:$I),2,_xlfn.XLOOKUP(C1529,[1]ModifierDes!$B:$B,[1]ModifierDes!$C:$C),3,_xlfn.XLOOKUP(C1529,[1]StuntDes!$B:$B,[1]StuntDes!$C:$C)),"")</f>
        <v>基础魔力增加{0}</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408</v>
      </c>
      <c r="D1530" t="s">
        <v>38</v>
      </c>
      <c r="E1530" t="s">
        <v>393</v>
      </c>
      <c r="F1530"/>
      <c r="G1530">
        <v>1</v>
      </c>
      <c r="H1530">
        <v>1000</v>
      </c>
      <c r="I1530"/>
      <c r="J1530" cm="1">
        <f t="array" ref="J1530">_xlfn.SWITCH(B1530,1,75,2,61,3,49,4,37,5,25,6,13,7,4,8,1)</f>
        <v>4</v>
      </c>
      <c r="K1530" t="str" cm="1">
        <f t="array" ref="K1530">IFERROR(_xlfn.SWITCH(L1530,1,_xlfn.XLOOKUP(C1530,[1]AttributeName!$C:$C,[1]AttributeName!$I:$I),2,_xlfn.XLOOKUP(C1530,[1]ModifierDes!$B:$B,[1]ModifierDes!$C:$C),3,_xlfn.XLOOKUP(C1530,[1]StuntDes!$B:$B,[1]StuntDes!$C:$C)),"")</f>
        <v>基础魔力增加{0}</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408</v>
      </c>
      <c r="D1531" t="s">
        <v>38</v>
      </c>
      <c r="E1531" t="s">
        <v>393</v>
      </c>
      <c r="F1531"/>
      <c r="G1531">
        <v>1</v>
      </c>
      <c r="H1531">
        <v>1000</v>
      </c>
      <c r="I1531"/>
      <c r="J1531" cm="1">
        <f t="array" ref="J1531">_xlfn.SWITCH(B1531,1,75,2,61,3,49,4,37,5,25,6,13,7,4,8,1)</f>
        <v>1</v>
      </c>
      <c r="K1531" t="str" cm="1">
        <f t="array" ref="K1531">IFERROR(_xlfn.SWITCH(L1531,1,_xlfn.XLOOKUP(C1531,[1]AttributeName!$C:$C,[1]AttributeName!$I:$I),2,_xlfn.XLOOKUP(C1531,[1]ModifierDes!$B:$B,[1]ModifierDes!$C:$C),3,_xlfn.XLOOKUP(C1531,[1]StuntDes!$B:$B,[1]StuntDes!$C:$C)),"")</f>
        <v>基础魔力增加{0}</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428</v>
      </c>
      <c r="D1532" t="s">
        <v>38</v>
      </c>
      <c r="E1532" t="s">
        <v>393</v>
      </c>
      <c r="F1532"/>
      <c r="G1532">
        <v>1</v>
      </c>
      <c r="H1532">
        <v>1000</v>
      </c>
      <c r="I1532"/>
      <c r="J1532" cm="1">
        <f t="array" ref="J1532">_xlfn.SWITCH(B1532,1,75,2,61,3,49,4,37,5,25,6,13,7,4,8,1)</f>
        <v>75</v>
      </c>
      <c r="K1532" t="str" cm="1">
        <f t="array" ref="K1532">IFERROR(_xlfn.SWITCH(L1532,1,_xlfn.XLOOKUP(C1532,[1]AttributeName!$C:$C,[1]AttributeName!$I:$I),2,_xlfn.XLOOKUP(C1532,[1]ModifierDes!$B:$B,[1]ModifierDes!$C:$C),3,_xlfn.XLOOKUP(C1532,[1]StuntDes!$B:$B,[1]StuntDes!$C:$C)),"")</f>
        <v>防御力增加{0}</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428</v>
      </c>
      <c r="D1533" t="s">
        <v>38</v>
      </c>
      <c r="E1533" t="s">
        <v>393</v>
      </c>
      <c r="F1533"/>
      <c r="G1533">
        <v>1</v>
      </c>
      <c r="H1533">
        <v>1000</v>
      </c>
      <c r="I1533"/>
      <c r="J1533" cm="1">
        <f t="array" ref="J1533">_xlfn.SWITCH(B1533,1,75,2,61,3,49,4,37,5,25,6,13,7,4,8,1)</f>
        <v>61</v>
      </c>
      <c r="K1533" t="str" cm="1">
        <f t="array" ref="K1533">IFERROR(_xlfn.SWITCH(L1533,1,_xlfn.XLOOKUP(C1533,[1]AttributeName!$C:$C,[1]AttributeName!$I:$I),2,_xlfn.XLOOKUP(C1533,[1]ModifierDes!$B:$B,[1]ModifierDes!$C:$C),3,_xlfn.XLOOKUP(C1533,[1]StuntDes!$B:$B,[1]StuntDes!$C:$C)),"")</f>
        <v>防御力增加{0}</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428</v>
      </c>
      <c r="D1534" t="s">
        <v>38</v>
      </c>
      <c r="E1534" t="s">
        <v>393</v>
      </c>
      <c r="F1534"/>
      <c r="G1534">
        <v>1</v>
      </c>
      <c r="H1534">
        <v>1000</v>
      </c>
      <c r="I1534"/>
      <c r="J1534" cm="1">
        <f t="array" ref="J1534">_xlfn.SWITCH(B1534,1,75,2,61,3,49,4,37,5,25,6,13,7,4,8,1)</f>
        <v>49</v>
      </c>
      <c r="K1534" t="str" cm="1">
        <f t="array" ref="K1534">IFERROR(_xlfn.SWITCH(L1534,1,_xlfn.XLOOKUP(C1534,[1]AttributeName!$C:$C,[1]AttributeName!$I:$I),2,_xlfn.XLOOKUP(C1534,[1]ModifierDes!$B:$B,[1]ModifierDes!$C:$C),3,_xlfn.XLOOKUP(C1534,[1]StuntDes!$B:$B,[1]StuntDes!$C:$C)),"")</f>
        <v>防御力增加{0}</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428</v>
      </c>
      <c r="D1535" t="s">
        <v>38</v>
      </c>
      <c r="E1535" t="s">
        <v>393</v>
      </c>
      <c r="F1535"/>
      <c r="G1535">
        <v>1</v>
      </c>
      <c r="H1535">
        <v>1000</v>
      </c>
      <c r="I1535"/>
      <c r="J1535" cm="1">
        <f t="array" ref="J1535">_xlfn.SWITCH(B1535,1,75,2,61,3,49,4,37,5,25,6,13,7,4,8,1)</f>
        <v>37</v>
      </c>
      <c r="K1535" t="str" cm="1">
        <f t="array" ref="K1535">IFERROR(_xlfn.SWITCH(L1535,1,_xlfn.XLOOKUP(C1535,[1]AttributeName!$C:$C,[1]AttributeName!$I:$I),2,_xlfn.XLOOKUP(C1535,[1]ModifierDes!$B:$B,[1]ModifierDes!$C:$C),3,_xlfn.XLOOKUP(C1535,[1]StuntDes!$B:$B,[1]StuntDes!$C:$C)),"")</f>
        <v>防御力增加{0}</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428</v>
      </c>
      <c r="D1536" t="s">
        <v>38</v>
      </c>
      <c r="E1536" t="s">
        <v>393</v>
      </c>
      <c r="F1536"/>
      <c r="G1536">
        <v>1</v>
      </c>
      <c r="H1536">
        <v>1000</v>
      </c>
      <c r="I1536"/>
      <c r="J1536" cm="1">
        <f t="array" ref="J1536">_xlfn.SWITCH(B1536,1,75,2,61,3,49,4,37,5,25,6,13,7,4,8,1)</f>
        <v>25</v>
      </c>
      <c r="K1536" t="str" cm="1">
        <f t="array" ref="K1536">IFERROR(_xlfn.SWITCH(L1536,1,_xlfn.XLOOKUP(C1536,[1]AttributeName!$C:$C,[1]AttributeName!$I:$I),2,_xlfn.XLOOKUP(C1536,[1]ModifierDes!$B:$B,[1]ModifierDes!$C:$C),3,_xlfn.XLOOKUP(C1536,[1]StuntDes!$B:$B,[1]StuntDes!$C:$C)),"")</f>
        <v>防御力增加{0}</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428</v>
      </c>
      <c r="D1537" t="s">
        <v>38</v>
      </c>
      <c r="E1537" t="s">
        <v>393</v>
      </c>
      <c r="F1537"/>
      <c r="G1537">
        <v>1</v>
      </c>
      <c r="H1537">
        <v>1000</v>
      </c>
      <c r="I1537"/>
      <c r="J1537" cm="1">
        <f t="array" ref="J1537">_xlfn.SWITCH(B1537,1,75,2,61,3,49,4,37,5,25,6,13,7,4,8,1)</f>
        <v>13</v>
      </c>
      <c r="K1537" t="str" cm="1">
        <f t="array" ref="K1537">IFERROR(_xlfn.SWITCH(L1537,1,_xlfn.XLOOKUP(C1537,[1]AttributeName!$C:$C,[1]AttributeName!$I:$I),2,_xlfn.XLOOKUP(C1537,[1]ModifierDes!$B:$B,[1]ModifierDes!$C:$C),3,_xlfn.XLOOKUP(C1537,[1]StuntDes!$B:$B,[1]StuntDes!$C:$C)),"")</f>
        <v>防御力增加{0}</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428</v>
      </c>
      <c r="D1538" t="s">
        <v>38</v>
      </c>
      <c r="E1538" t="s">
        <v>393</v>
      </c>
      <c r="F1538"/>
      <c r="G1538">
        <v>1</v>
      </c>
      <c r="H1538">
        <v>1000</v>
      </c>
      <c r="I1538"/>
      <c r="J1538" cm="1">
        <f t="array" ref="J1538">_xlfn.SWITCH(B1538,1,75,2,61,3,49,4,37,5,25,6,13,7,4,8,1)</f>
        <v>4</v>
      </c>
      <c r="K1538" t="str" cm="1">
        <f t="array" ref="K1538">IFERROR(_xlfn.SWITCH(L1538,1,_xlfn.XLOOKUP(C1538,[1]AttributeName!$C:$C,[1]AttributeName!$I:$I),2,_xlfn.XLOOKUP(C1538,[1]ModifierDes!$B:$B,[1]ModifierDes!$C:$C),3,_xlfn.XLOOKUP(C1538,[1]StuntDes!$B:$B,[1]StuntDes!$C:$C)),"")</f>
        <v>防御力增加{0}</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428</v>
      </c>
      <c r="D1539" t="s">
        <v>38</v>
      </c>
      <c r="E1539" t="s">
        <v>393</v>
      </c>
      <c r="F1539"/>
      <c r="G1539">
        <v>1</v>
      </c>
      <c r="H1539">
        <v>1000</v>
      </c>
      <c r="I1539"/>
      <c r="J1539" cm="1">
        <f t="array" ref="J1539">_xlfn.SWITCH(B1539,1,75,2,61,3,49,4,37,5,25,6,13,7,4,8,1)</f>
        <v>1</v>
      </c>
      <c r="K1539" t="str" cm="1">
        <f t="array" ref="K1539">IFERROR(_xlfn.SWITCH(L1539,1,_xlfn.XLOOKUP(C1539,[1]AttributeName!$C:$C,[1]AttributeName!$I:$I),2,_xlfn.XLOOKUP(C1539,[1]ModifierDes!$B:$B,[1]ModifierDes!$C:$C),3,_xlfn.XLOOKUP(C1539,[1]StuntDes!$B:$B,[1]StuntDes!$C:$C)),"")</f>
        <v>防御力增加{0}</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429</v>
      </c>
      <c r="D1540" t="s">
        <v>38</v>
      </c>
      <c r="E1540" t="s">
        <v>393</v>
      </c>
      <c r="F1540"/>
      <c r="G1540">
        <v>1</v>
      </c>
      <c r="H1540">
        <v>250</v>
      </c>
      <c r="I1540"/>
      <c r="J1540" cm="1">
        <f t="array" ref="J1540">_xlfn.SWITCH(B1540,1,75,2,61,3,49,4,37,5,25,6,13,7,4,8,1)</f>
        <v>75</v>
      </c>
      <c r="K1540" t="str" cm="1">
        <f t="array" ref="K1540">IFERROR(_xlfn.SWITCH(L1540,1,_xlfn.XLOOKUP(C1540,[1]AttributeName!$C:$C,[1]AttributeName!$I:$I),2,_xlfn.XLOOKUP(C1540,[1]ModifierDes!$B:$B,[1]ModifierDes!$C:$C),3,_xlfn.XLOOKUP(C1540,[1]StuntDes!$B:$B,[1]StuntDes!$C:$C)),"")</f>
        <v>攻击格挡率增加{0}</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429</v>
      </c>
      <c r="D1541" t="s">
        <v>38</v>
      </c>
      <c r="E1541" t="s">
        <v>393</v>
      </c>
      <c r="F1541"/>
      <c r="G1541">
        <v>1</v>
      </c>
      <c r="H1541">
        <v>250</v>
      </c>
      <c r="I1541"/>
      <c r="J1541" cm="1">
        <f t="array" ref="J1541">_xlfn.SWITCH(B1541,1,75,2,61,3,49,4,37,5,25,6,13,7,4,8,1)</f>
        <v>61</v>
      </c>
      <c r="K1541" t="str" cm="1">
        <f t="array" ref="K1541">IFERROR(_xlfn.SWITCH(L1541,1,_xlfn.XLOOKUP(C1541,[1]AttributeName!$C:$C,[1]AttributeName!$I:$I),2,_xlfn.XLOOKUP(C1541,[1]ModifierDes!$B:$B,[1]ModifierDes!$C:$C),3,_xlfn.XLOOKUP(C1541,[1]StuntDes!$B:$B,[1]StuntDes!$C:$C)),"")</f>
        <v>攻击格挡率增加{0}</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429</v>
      </c>
      <c r="D1542" t="s">
        <v>38</v>
      </c>
      <c r="E1542" t="s">
        <v>393</v>
      </c>
      <c r="F1542"/>
      <c r="G1542">
        <v>1</v>
      </c>
      <c r="H1542">
        <v>250</v>
      </c>
      <c r="I1542"/>
      <c r="J1542" cm="1">
        <f t="array" ref="J1542">_xlfn.SWITCH(B1542,1,75,2,61,3,49,4,37,5,25,6,13,7,4,8,1)</f>
        <v>49</v>
      </c>
      <c r="K1542" t="str" cm="1">
        <f t="array" ref="K1542">IFERROR(_xlfn.SWITCH(L1542,1,_xlfn.XLOOKUP(C1542,[1]AttributeName!$C:$C,[1]AttributeName!$I:$I),2,_xlfn.XLOOKUP(C1542,[1]ModifierDes!$B:$B,[1]ModifierDes!$C:$C),3,_xlfn.XLOOKUP(C1542,[1]StuntDes!$B:$B,[1]StuntDes!$C:$C)),"")</f>
        <v>攻击格挡率增加{0}</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429</v>
      </c>
      <c r="D1543" t="s">
        <v>38</v>
      </c>
      <c r="E1543" t="s">
        <v>393</v>
      </c>
      <c r="F1543"/>
      <c r="G1543">
        <v>1</v>
      </c>
      <c r="H1543">
        <v>250</v>
      </c>
      <c r="I1543"/>
      <c r="J1543" cm="1">
        <f t="array" ref="J1543">_xlfn.SWITCH(B1543,1,75,2,61,3,49,4,37,5,25,6,13,7,4,8,1)</f>
        <v>37</v>
      </c>
      <c r="K1543" t="str" cm="1">
        <f t="array" ref="K1543">IFERROR(_xlfn.SWITCH(L1543,1,_xlfn.XLOOKUP(C1543,[1]AttributeName!$C:$C,[1]AttributeName!$I:$I),2,_xlfn.XLOOKUP(C1543,[1]ModifierDes!$B:$B,[1]ModifierDes!$C:$C),3,_xlfn.XLOOKUP(C1543,[1]StuntDes!$B:$B,[1]StuntDes!$C:$C)),"")</f>
        <v>攻击格挡率增加{0}</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429</v>
      </c>
      <c r="D1544" t="s">
        <v>38</v>
      </c>
      <c r="E1544" t="s">
        <v>393</v>
      </c>
      <c r="F1544"/>
      <c r="G1544">
        <v>1</v>
      </c>
      <c r="H1544">
        <v>250</v>
      </c>
      <c r="I1544"/>
      <c r="J1544" cm="1">
        <f t="array" ref="J1544">_xlfn.SWITCH(B1544,1,75,2,61,3,49,4,37,5,25,6,13,7,4,8,1)</f>
        <v>25</v>
      </c>
      <c r="K1544" t="str" cm="1">
        <f t="array" ref="K1544">IFERROR(_xlfn.SWITCH(L1544,1,_xlfn.XLOOKUP(C1544,[1]AttributeName!$C:$C,[1]AttributeName!$I:$I),2,_xlfn.XLOOKUP(C1544,[1]ModifierDes!$B:$B,[1]ModifierDes!$C:$C),3,_xlfn.XLOOKUP(C1544,[1]StuntDes!$B:$B,[1]StuntDes!$C:$C)),"")</f>
        <v>攻击格挡率增加{0}</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429</v>
      </c>
      <c r="D1545" t="s">
        <v>38</v>
      </c>
      <c r="E1545" t="s">
        <v>393</v>
      </c>
      <c r="F1545"/>
      <c r="G1545">
        <v>1</v>
      </c>
      <c r="H1545">
        <v>250</v>
      </c>
      <c r="I1545"/>
      <c r="J1545" cm="1">
        <f t="array" ref="J1545">_xlfn.SWITCH(B1545,1,75,2,61,3,49,4,37,5,25,6,13,7,4,8,1)</f>
        <v>13</v>
      </c>
      <c r="K1545" t="str" cm="1">
        <f t="array" ref="K1545">IFERROR(_xlfn.SWITCH(L1545,1,_xlfn.XLOOKUP(C1545,[1]AttributeName!$C:$C,[1]AttributeName!$I:$I),2,_xlfn.XLOOKUP(C1545,[1]ModifierDes!$B:$B,[1]ModifierDes!$C:$C),3,_xlfn.XLOOKUP(C1545,[1]StuntDes!$B:$B,[1]StuntDes!$C:$C)),"")</f>
        <v>攻击格挡率增加{0}</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429</v>
      </c>
      <c r="D1546" t="s">
        <v>38</v>
      </c>
      <c r="E1546" t="s">
        <v>393</v>
      </c>
      <c r="F1546"/>
      <c r="G1546">
        <v>1</v>
      </c>
      <c r="H1546">
        <v>250</v>
      </c>
      <c r="I1546"/>
      <c r="J1546" cm="1">
        <f t="array" ref="J1546">_xlfn.SWITCH(B1546,1,75,2,61,3,49,4,37,5,25,6,13,7,4,8,1)</f>
        <v>4</v>
      </c>
      <c r="K1546" t="str" cm="1">
        <f t="array" ref="K1546">IFERROR(_xlfn.SWITCH(L1546,1,_xlfn.XLOOKUP(C1546,[1]AttributeName!$C:$C,[1]AttributeName!$I:$I),2,_xlfn.XLOOKUP(C1546,[1]ModifierDes!$B:$B,[1]ModifierDes!$C:$C),3,_xlfn.XLOOKUP(C1546,[1]StuntDes!$B:$B,[1]StuntDes!$C:$C)),"")</f>
        <v>攻击格挡率增加{0}</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429</v>
      </c>
      <c r="D1547" t="s">
        <v>38</v>
      </c>
      <c r="E1547" t="s">
        <v>393</v>
      </c>
      <c r="F1547"/>
      <c r="G1547">
        <v>1</v>
      </c>
      <c r="H1547">
        <v>250</v>
      </c>
      <c r="I1547"/>
      <c r="J1547" cm="1">
        <f t="array" ref="J1547">_xlfn.SWITCH(B1547,1,75,2,61,3,49,4,37,5,25,6,13,7,4,8,1)</f>
        <v>1</v>
      </c>
      <c r="K1547" t="str" cm="1">
        <f t="array" ref="K1547">IFERROR(_xlfn.SWITCH(L1547,1,_xlfn.XLOOKUP(C1547,[1]AttributeName!$C:$C,[1]AttributeName!$I:$I),2,_xlfn.XLOOKUP(C1547,[1]ModifierDes!$B:$B,[1]ModifierDes!$C:$C),3,_xlfn.XLOOKUP(C1547,[1]StuntDes!$B:$B,[1]StuntDes!$C:$C)),"")</f>
        <v>攻击格挡率增加{0}</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430</v>
      </c>
      <c r="D1548" t="s">
        <v>38</v>
      </c>
      <c r="E1548" t="s">
        <v>393</v>
      </c>
      <c r="G1548">
        <v>1</v>
      </c>
      <c r="H1548">
        <v>250</v>
      </c>
      <c r="J1548" cm="1">
        <f t="array" ref="J1548">_xlfn.SWITCH(B1548,1,75,2,61,3,49,4,37,5,25,6,13,7,4,8,1)</f>
        <v>75</v>
      </c>
      <c r="K1548" t="str" cm="1">
        <f t="array" ref="K1548">IFERROR(_xlfn.SWITCH(L1548,1,_xlfn.XLOOKUP(C1548,[1]AttributeName!$C:$C,[1]AttributeName!$I:$I),2,_xlfn.XLOOKUP(C1548,[1]ModifierDes!$B:$B,[1]ModifierDes!$C:$C),3,_xlfn.XLOOKUP(C1548,[1]StuntDes!$B:$B,[1]StuntDes!$C:$C)),"")</f>
        <v>法术格挡率增加{0}</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430</v>
      </c>
      <c r="D1549" t="s">
        <v>38</v>
      </c>
      <c r="E1549" t="s">
        <v>393</v>
      </c>
      <c r="G1549">
        <v>1</v>
      </c>
      <c r="H1549">
        <v>250</v>
      </c>
      <c r="J1549" cm="1">
        <f t="array" ref="J1549">_xlfn.SWITCH(B1549,1,75,2,61,3,49,4,37,5,25,6,13,7,4,8,1)</f>
        <v>61</v>
      </c>
      <c r="K1549" t="str" cm="1">
        <f t="array" ref="K1549">IFERROR(_xlfn.SWITCH(L1549,1,_xlfn.XLOOKUP(C1549,[1]AttributeName!$C:$C,[1]AttributeName!$I:$I),2,_xlfn.XLOOKUP(C1549,[1]ModifierDes!$B:$B,[1]ModifierDes!$C:$C),3,_xlfn.XLOOKUP(C1549,[1]StuntDes!$B:$B,[1]StuntDes!$C:$C)),"")</f>
        <v>法术格挡率增加{0}</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430</v>
      </c>
      <c r="D1550" t="s">
        <v>38</v>
      </c>
      <c r="E1550" t="s">
        <v>393</v>
      </c>
      <c r="G1550">
        <v>1</v>
      </c>
      <c r="H1550">
        <v>250</v>
      </c>
      <c r="J1550" cm="1">
        <f t="array" ref="J1550">_xlfn.SWITCH(B1550,1,75,2,61,3,49,4,37,5,25,6,13,7,4,8,1)</f>
        <v>49</v>
      </c>
      <c r="K1550" t="str" cm="1">
        <f t="array" ref="K1550">IFERROR(_xlfn.SWITCH(L1550,1,_xlfn.XLOOKUP(C1550,[1]AttributeName!$C:$C,[1]AttributeName!$I:$I),2,_xlfn.XLOOKUP(C1550,[1]ModifierDes!$B:$B,[1]ModifierDes!$C:$C),3,_xlfn.XLOOKUP(C1550,[1]StuntDes!$B:$B,[1]StuntDes!$C:$C)),"")</f>
        <v>法术格挡率增加{0}</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430</v>
      </c>
      <c r="D1551" t="s">
        <v>38</v>
      </c>
      <c r="E1551" t="s">
        <v>393</v>
      </c>
      <c r="G1551">
        <v>1</v>
      </c>
      <c r="H1551">
        <v>250</v>
      </c>
      <c r="J1551" cm="1">
        <f t="array" ref="J1551">_xlfn.SWITCH(B1551,1,75,2,61,3,49,4,37,5,25,6,13,7,4,8,1)</f>
        <v>37</v>
      </c>
      <c r="K1551" t="str" cm="1">
        <f t="array" ref="K1551">IFERROR(_xlfn.SWITCH(L1551,1,_xlfn.XLOOKUP(C1551,[1]AttributeName!$C:$C,[1]AttributeName!$I:$I),2,_xlfn.XLOOKUP(C1551,[1]ModifierDes!$B:$B,[1]ModifierDes!$C:$C),3,_xlfn.XLOOKUP(C1551,[1]StuntDes!$B:$B,[1]StuntDes!$C:$C)),"")</f>
        <v>法术格挡率增加{0}</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430</v>
      </c>
      <c r="D1552" t="s">
        <v>38</v>
      </c>
      <c r="E1552" t="s">
        <v>393</v>
      </c>
      <c r="G1552">
        <v>1</v>
      </c>
      <c r="H1552">
        <v>250</v>
      </c>
      <c r="J1552" cm="1">
        <f t="array" ref="J1552">_xlfn.SWITCH(B1552,1,75,2,61,3,49,4,37,5,25,6,13,7,4,8,1)</f>
        <v>25</v>
      </c>
      <c r="K1552" t="str" cm="1">
        <f t="array" ref="K1552">IFERROR(_xlfn.SWITCH(L1552,1,_xlfn.XLOOKUP(C1552,[1]AttributeName!$C:$C,[1]AttributeName!$I:$I),2,_xlfn.XLOOKUP(C1552,[1]ModifierDes!$B:$B,[1]ModifierDes!$C:$C),3,_xlfn.XLOOKUP(C1552,[1]StuntDes!$B:$B,[1]StuntDes!$C:$C)),"")</f>
        <v>法术格挡率增加{0}</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430</v>
      </c>
      <c r="D1553" t="s">
        <v>38</v>
      </c>
      <c r="E1553" t="s">
        <v>393</v>
      </c>
      <c r="G1553">
        <v>1</v>
      </c>
      <c r="H1553">
        <v>250</v>
      </c>
      <c r="J1553" cm="1">
        <f t="array" ref="J1553">_xlfn.SWITCH(B1553,1,75,2,61,3,49,4,37,5,25,6,13,7,4,8,1)</f>
        <v>13</v>
      </c>
      <c r="K1553" t="str" cm="1">
        <f t="array" ref="K1553">IFERROR(_xlfn.SWITCH(L1553,1,_xlfn.XLOOKUP(C1553,[1]AttributeName!$C:$C,[1]AttributeName!$I:$I),2,_xlfn.XLOOKUP(C1553,[1]ModifierDes!$B:$B,[1]ModifierDes!$C:$C),3,_xlfn.XLOOKUP(C1553,[1]StuntDes!$B:$B,[1]StuntDes!$C:$C)),"")</f>
        <v>法术格挡率增加{0}</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430</v>
      </c>
      <c r="D1554" t="s">
        <v>38</v>
      </c>
      <c r="E1554" t="s">
        <v>393</v>
      </c>
      <c r="G1554">
        <v>1</v>
      </c>
      <c r="H1554">
        <v>250</v>
      </c>
      <c r="J1554" cm="1">
        <f t="array" ref="J1554">_xlfn.SWITCH(B1554,1,75,2,61,3,49,4,37,5,25,6,13,7,4,8,1)</f>
        <v>4</v>
      </c>
      <c r="K1554" t="str" cm="1">
        <f t="array" ref="K1554">IFERROR(_xlfn.SWITCH(L1554,1,_xlfn.XLOOKUP(C1554,[1]AttributeName!$C:$C,[1]AttributeName!$I:$I),2,_xlfn.XLOOKUP(C1554,[1]ModifierDes!$B:$B,[1]ModifierDes!$C:$C),3,_xlfn.XLOOKUP(C1554,[1]StuntDes!$B:$B,[1]StuntDes!$C:$C)),"")</f>
        <v>法术格挡率增加{0}</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430</v>
      </c>
      <c r="D1555" t="s">
        <v>38</v>
      </c>
      <c r="E1555" t="s">
        <v>393</v>
      </c>
      <c r="G1555">
        <v>1</v>
      </c>
      <c r="H1555">
        <v>250</v>
      </c>
      <c r="J1555" cm="1">
        <f t="array" ref="J1555">_xlfn.SWITCH(B1555,1,75,2,61,3,49,4,37,5,25,6,13,7,4,8,1)</f>
        <v>1</v>
      </c>
      <c r="K1555" t="str" cm="1">
        <f t="array" ref="K1555">IFERROR(_xlfn.SWITCH(L1555,1,_xlfn.XLOOKUP(C1555,[1]AttributeName!$C:$C,[1]AttributeName!$I:$I),2,_xlfn.XLOOKUP(C1555,[1]ModifierDes!$B:$B,[1]ModifierDes!$C:$C),3,_xlfn.XLOOKUP(C1555,[1]StuntDes!$B:$B,[1]StuntDes!$C:$C)),"")</f>
        <v>法术格挡率增加{0}</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455</v>
      </c>
      <c r="D1556" t="s">
        <v>38</v>
      </c>
      <c r="E1556" t="s">
        <v>393</v>
      </c>
      <c r="G1556">
        <v>1</v>
      </c>
      <c r="H1556">
        <v>100</v>
      </c>
      <c r="J1556" cm="1">
        <f t="array" ref="J1556">_xlfn.SWITCH(B1556,1,75,2,61,3,49,4,37,5,25,6,13,7,4,8,1)</f>
        <v>75</v>
      </c>
      <c r="K1556" t="str" cm="1">
        <f t="array" ref="K1556">IFERROR(_xlfn.SWITCH(L1556,1,_xlfn.XLOOKUP(C1556,[1]AttributeName!$C:$C,[1]AttributeName!$I:$I),2,_xlfn.XLOOKUP(C1556,[1]ModifierDes!$B:$B,[1]ModifierDes!$C:$C),3,_xlfn.XLOOKUP(C1556,[1]StuntDes!$B:$B,[1]StuntDes!$C:$C)),"")</f>
        <v>格挡减伤率增加{0}</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455</v>
      </c>
      <c r="D1557" t="s">
        <v>38</v>
      </c>
      <c r="E1557" t="s">
        <v>393</v>
      </c>
      <c r="G1557">
        <v>1</v>
      </c>
      <c r="H1557">
        <v>100</v>
      </c>
      <c r="J1557" cm="1">
        <f t="array" ref="J1557">_xlfn.SWITCH(B1557,1,75,2,61,3,49,4,37,5,25,6,13,7,4,8,1)</f>
        <v>61</v>
      </c>
      <c r="K1557" t="str" cm="1">
        <f t="array" ref="K1557">IFERROR(_xlfn.SWITCH(L1557,1,_xlfn.XLOOKUP(C1557,[1]AttributeName!$C:$C,[1]AttributeName!$I:$I),2,_xlfn.XLOOKUP(C1557,[1]ModifierDes!$B:$B,[1]ModifierDes!$C:$C),3,_xlfn.XLOOKUP(C1557,[1]StuntDes!$B:$B,[1]StuntDes!$C:$C)),"")</f>
        <v>格挡减伤率增加{0}</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455</v>
      </c>
      <c r="D1558" t="s">
        <v>38</v>
      </c>
      <c r="E1558" t="s">
        <v>393</v>
      </c>
      <c r="G1558">
        <v>1</v>
      </c>
      <c r="H1558">
        <v>100</v>
      </c>
      <c r="J1558" cm="1">
        <f t="array" ref="J1558">_xlfn.SWITCH(B1558,1,75,2,61,3,49,4,37,5,25,6,13,7,4,8,1)</f>
        <v>49</v>
      </c>
      <c r="K1558" t="str" cm="1">
        <f t="array" ref="K1558">IFERROR(_xlfn.SWITCH(L1558,1,_xlfn.XLOOKUP(C1558,[1]AttributeName!$C:$C,[1]AttributeName!$I:$I),2,_xlfn.XLOOKUP(C1558,[1]ModifierDes!$B:$B,[1]ModifierDes!$C:$C),3,_xlfn.XLOOKUP(C1558,[1]StuntDes!$B:$B,[1]StuntDes!$C:$C)),"")</f>
        <v>格挡减伤率增加{0}</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455</v>
      </c>
      <c r="D1559" t="s">
        <v>38</v>
      </c>
      <c r="E1559" t="s">
        <v>393</v>
      </c>
      <c r="G1559">
        <v>1</v>
      </c>
      <c r="H1559">
        <v>100</v>
      </c>
      <c r="J1559" cm="1">
        <f t="array" ref="J1559">_xlfn.SWITCH(B1559,1,75,2,61,3,49,4,37,5,25,6,13,7,4,8,1)</f>
        <v>37</v>
      </c>
      <c r="K1559" t="str" cm="1">
        <f t="array" ref="K1559">IFERROR(_xlfn.SWITCH(L1559,1,_xlfn.XLOOKUP(C1559,[1]AttributeName!$C:$C,[1]AttributeName!$I:$I),2,_xlfn.XLOOKUP(C1559,[1]ModifierDes!$B:$B,[1]ModifierDes!$C:$C),3,_xlfn.XLOOKUP(C1559,[1]StuntDes!$B:$B,[1]StuntDes!$C:$C)),"")</f>
        <v>格挡减伤率增加{0}</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455</v>
      </c>
      <c r="D1560" t="s">
        <v>38</v>
      </c>
      <c r="E1560" t="s">
        <v>393</v>
      </c>
      <c r="G1560">
        <v>1</v>
      </c>
      <c r="H1560">
        <v>100</v>
      </c>
      <c r="J1560" cm="1">
        <f t="array" ref="J1560">_xlfn.SWITCH(B1560,1,75,2,61,3,49,4,37,5,25,6,13,7,4,8,1)</f>
        <v>25</v>
      </c>
      <c r="K1560" t="str" cm="1">
        <f t="array" ref="K1560">IFERROR(_xlfn.SWITCH(L1560,1,_xlfn.XLOOKUP(C1560,[1]AttributeName!$C:$C,[1]AttributeName!$I:$I),2,_xlfn.XLOOKUP(C1560,[1]ModifierDes!$B:$B,[1]ModifierDes!$C:$C),3,_xlfn.XLOOKUP(C1560,[1]StuntDes!$B:$B,[1]StuntDes!$C:$C)),"")</f>
        <v>格挡减伤率增加{0}</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455</v>
      </c>
      <c r="D1561" t="s">
        <v>38</v>
      </c>
      <c r="E1561" t="s">
        <v>393</v>
      </c>
      <c r="G1561">
        <v>1</v>
      </c>
      <c r="H1561">
        <v>100</v>
      </c>
      <c r="J1561" cm="1">
        <f t="array" ref="J1561">_xlfn.SWITCH(B1561,1,75,2,61,3,49,4,37,5,25,6,13,7,4,8,1)</f>
        <v>13</v>
      </c>
      <c r="K1561" t="str" cm="1">
        <f t="array" ref="K1561">IFERROR(_xlfn.SWITCH(L1561,1,_xlfn.XLOOKUP(C1561,[1]AttributeName!$C:$C,[1]AttributeName!$I:$I),2,_xlfn.XLOOKUP(C1561,[1]ModifierDes!$B:$B,[1]ModifierDes!$C:$C),3,_xlfn.XLOOKUP(C1561,[1]StuntDes!$B:$B,[1]StuntDes!$C:$C)),"")</f>
        <v>格挡减伤率增加{0}</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455</v>
      </c>
      <c r="D1562" t="s">
        <v>38</v>
      </c>
      <c r="E1562" t="s">
        <v>393</v>
      </c>
      <c r="G1562">
        <v>1</v>
      </c>
      <c r="H1562">
        <v>100</v>
      </c>
      <c r="J1562" cm="1">
        <f t="array" ref="J1562">_xlfn.SWITCH(B1562,1,75,2,61,3,49,4,37,5,25,6,13,7,4,8,1)</f>
        <v>4</v>
      </c>
      <c r="K1562" t="str" cm="1">
        <f t="array" ref="K1562">IFERROR(_xlfn.SWITCH(L1562,1,_xlfn.XLOOKUP(C1562,[1]AttributeName!$C:$C,[1]AttributeName!$I:$I),2,_xlfn.XLOOKUP(C1562,[1]ModifierDes!$B:$B,[1]ModifierDes!$C:$C),3,_xlfn.XLOOKUP(C1562,[1]StuntDes!$B:$B,[1]StuntDes!$C:$C)),"")</f>
        <v>格挡减伤率增加{0}</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455</v>
      </c>
      <c r="D1563" t="s">
        <v>38</v>
      </c>
      <c r="E1563" t="s">
        <v>393</v>
      </c>
      <c r="G1563">
        <v>1</v>
      </c>
      <c r="H1563">
        <v>100</v>
      </c>
      <c r="J1563" cm="1">
        <f t="array" ref="J1563">_xlfn.SWITCH(B1563,1,75,2,61,3,49,4,37,5,25,6,13,7,4,8,1)</f>
        <v>1</v>
      </c>
      <c r="K1563" t="str" cm="1">
        <f t="array" ref="K1563">IFERROR(_xlfn.SWITCH(L1563,1,_xlfn.XLOOKUP(C1563,[1]AttributeName!$C:$C,[1]AttributeName!$I:$I),2,_xlfn.XLOOKUP(C1563,[1]ModifierDes!$B:$B,[1]ModifierDes!$C:$C),3,_xlfn.XLOOKUP(C1563,[1]StuntDes!$B:$B,[1]StuntDes!$C:$C)),"")</f>
        <v>格挡减伤率增加{0}</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94</v>
      </c>
      <c r="D1564" t="s">
        <v>38</v>
      </c>
      <c r="E1564" t="s">
        <v>393</v>
      </c>
      <c r="F1564"/>
      <c r="G1564">
        <v>1</v>
      </c>
      <c r="H1564">
        <v>1000</v>
      </c>
      <c r="I1564"/>
      <c r="J1564" cm="1">
        <f t="array" ref="J1564">_xlfn.SWITCH(B1564,1,75,2,61,3,49,4,37,5,25,6,13,7,4,8,1)</f>
        <v>75</v>
      </c>
      <c r="K1564" t="str" cm="1">
        <f t="array" ref="K1564">IFERROR(_xlfn.SWITCH(L1564,1,_xlfn.XLOOKUP(C1564,[1]AttributeName!$C:$C,[1]AttributeName!$I:$I),2,_xlfn.XLOOKUP(C1564,[1]ModifierDes!$B:$B,[1]ModifierDes!$C:$C),3,_xlfn.XLOOKUP(C1564,[1]StuntDes!$B:$B,[1]StuntDes!$C:$C)),"")</f>
        <v>装备稀有度增加{0}</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94</v>
      </c>
      <c r="D1565" t="s">
        <v>38</v>
      </c>
      <c r="E1565" t="s">
        <v>393</v>
      </c>
      <c r="F1565"/>
      <c r="G1565">
        <v>1</v>
      </c>
      <c r="H1565">
        <v>1000</v>
      </c>
      <c r="I1565"/>
      <c r="J1565" cm="1">
        <f t="array" ref="J1565">_xlfn.SWITCH(B1565,1,75,2,61,3,49,4,37,5,25,6,13,7,4,8,1)</f>
        <v>61</v>
      </c>
      <c r="K1565" t="str" cm="1">
        <f t="array" ref="K1565">IFERROR(_xlfn.SWITCH(L1565,1,_xlfn.XLOOKUP(C1565,[1]AttributeName!$C:$C,[1]AttributeName!$I:$I),2,_xlfn.XLOOKUP(C1565,[1]ModifierDes!$B:$B,[1]ModifierDes!$C:$C),3,_xlfn.XLOOKUP(C1565,[1]StuntDes!$B:$B,[1]StuntDes!$C:$C)),"")</f>
        <v>装备稀有度增加{0}</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94</v>
      </c>
      <c r="D1566" t="s">
        <v>38</v>
      </c>
      <c r="E1566" t="s">
        <v>393</v>
      </c>
      <c r="F1566"/>
      <c r="G1566">
        <v>1</v>
      </c>
      <c r="H1566">
        <v>1000</v>
      </c>
      <c r="I1566"/>
      <c r="J1566" cm="1">
        <f t="array" ref="J1566">_xlfn.SWITCH(B1566,1,75,2,61,3,49,4,37,5,25,6,13,7,4,8,1)</f>
        <v>49</v>
      </c>
      <c r="K1566" t="str" cm="1">
        <f t="array" ref="K1566">IFERROR(_xlfn.SWITCH(L1566,1,_xlfn.XLOOKUP(C1566,[1]AttributeName!$C:$C,[1]AttributeName!$I:$I),2,_xlfn.XLOOKUP(C1566,[1]ModifierDes!$B:$B,[1]ModifierDes!$C:$C),3,_xlfn.XLOOKUP(C1566,[1]StuntDes!$B:$B,[1]StuntDes!$C:$C)),"")</f>
        <v>装备稀有度增加{0}</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94</v>
      </c>
      <c r="D1567" t="s">
        <v>38</v>
      </c>
      <c r="E1567" t="s">
        <v>393</v>
      </c>
      <c r="F1567"/>
      <c r="G1567">
        <v>1</v>
      </c>
      <c r="H1567">
        <v>1000</v>
      </c>
      <c r="I1567"/>
      <c r="J1567" cm="1">
        <f t="array" ref="J1567">_xlfn.SWITCH(B1567,1,75,2,61,3,49,4,37,5,25,6,13,7,4,8,1)</f>
        <v>37</v>
      </c>
      <c r="K1567" t="str" cm="1">
        <f t="array" ref="K1567">IFERROR(_xlfn.SWITCH(L1567,1,_xlfn.XLOOKUP(C1567,[1]AttributeName!$C:$C,[1]AttributeName!$I:$I),2,_xlfn.XLOOKUP(C1567,[1]ModifierDes!$B:$B,[1]ModifierDes!$C:$C),3,_xlfn.XLOOKUP(C1567,[1]StuntDes!$B:$B,[1]StuntDes!$C:$C)),"")</f>
        <v>装备稀有度增加{0}</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94</v>
      </c>
      <c r="D1568" t="s">
        <v>38</v>
      </c>
      <c r="E1568" t="s">
        <v>393</v>
      </c>
      <c r="F1568"/>
      <c r="G1568">
        <v>1</v>
      </c>
      <c r="H1568">
        <v>1000</v>
      </c>
      <c r="I1568"/>
      <c r="J1568" cm="1">
        <f t="array" ref="J1568">_xlfn.SWITCH(B1568,1,75,2,61,3,49,4,37,5,25,6,13,7,4,8,1)</f>
        <v>25</v>
      </c>
      <c r="K1568" t="str" cm="1">
        <f t="array" ref="K1568">IFERROR(_xlfn.SWITCH(L1568,1,_xlfn.XLOOKUP(C1568,[1]AttributeName!$C:$C,[1]AttributeName!$I:$I),2,_xlfn.XLOOKUP(C1568,[1]ModifierDes!$B:$B,[1]ModifierDes!$C:$C),3,_xlfn.XLOOKUP(C1568,[1]StuntDes!$B:$B,[1]StuntDes!$C:$C)),"")</f>
        <v>装备稀有度增加{0}</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94</v>
      </c>
      <c r="D1569" t="s">
        <v>38</v>
      </c>
      <c r="E1569" t="s">
        <v>393</v>
      </c>
      <c r="F1569"/>
      <c r="G1569">
        <v>1</v>
      </c>
      <c r="H1569">
        <v>1000</v>
      </c>
      <c r="I1569"/>
      <c r="J1569" cm="1">
        <f t="array" ref="J1569">_xlfn.SWITCH(B1569,1,75,2,61,3,49,4,37,5,25,6,13,7,4,8,1)</f>
        <v>13</v>
      </c>
      <c r="K1569" t="str" cm="1">
        <f t="array" ref="K1569">IFERROR(_xlfn.SWITCH(L1569,1,_xlfn.XLOOKUP(C1569,[1]AttributeName!$C:$C,[1]AttributeName!$I:$I),2,_xlfn.XLOOKUP(C1569,[1]ModifierDes!$B:$B,[1]ModifierDes!$C:$C),3,_xlfn.XLOOKUP(C1569,[1]StuntDes!$B:$B,[1]StuntDes!$C:$C)),"")</f>
        <v>装备稀有度增加{0}</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94</v>
      </c>
      <c r="D1570" t="s">
        <v>38</v>
      </c>
      <c r="E1570" t="s">
        <v>393</v>
      </c>
      <c r="F1570"/>
      <c r="G1570">
        <v>1</v>
      </c>
      <c r="H1570">
        <v>1000</v>
      </c>
      <c r="I1570"/>
      <c r="J1570" cm="1">
        <f t="array" ref="J1570">_xlfn.SWITCH(B1570,1,75,2,61,3,49,4,37,5,25,6,13,7,4,8,1)</f>
        <v>4</v>
      </c>
      <c r="K1570" t="str" cm="1">
        <f t="array" ref="K1570">IFERROR(_xlfn.SWITCH(L1570,1,_xlfn.XLOOKUP(C1570,[1]AttributeName!$C:$C,[1]AttributeName!$I:$I),2,_xlfn.XLOOKUP(C1570,[1]ModifierDes!$B:$B,[1]ModifierDes!$C:$C),3,_xlfn.XLOOKUP(C1570,[1]StuntDes!$B:$B,[1]StuntDes!$C:$C)),"")</f>
        <v>装备稀有度增加{0}</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94</v>
      </c>
      <c r="D1571" t="s">
        <v>38</v>
      </c>
      <c r="E1571" t="s">
        <v>393</v>
      </c>
      <c r="F1571"/>
      <c r="G1571">
        <v>1</v>
      </c>
      <c r="H1571">
        <v>1000</v>
      </c>
      <c r="I1571"/>
      <c r="J1571" cm="1">
        <f t="array" ref="J1571">_xlfn.SWITCH(B1571,1,75,2,61,3,49,4,37,5,25,6,13,7,4,8,1)</f>
        <v>1</v>
      </c>
      <c r="K1571" t="str" cm="1">
        <f t="array" ref="K1571">IFERROR(_xlfn.SWITCH(L1571,1,_xlfn.XLOOKUP(C1571,[1]AttributeName!$C:$C,[1]AttributeName!$I:$I),2,_xlfn.XLOOKUP(C1571,[1]ModifierDes!$B:$B,[1]ModifierDes!$C:$C),3,_xlfn.XLOOKUP(C1571,[1]StuntDes!$B:$B,[1]StuntDes!$C:$C)),"")</f>
        <v>装备稀有度增加{0}</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404</v>
      </c>
      <c r="D1572" t="s">
        <v>38</v>
      </c>
      <c r="E1572" t="s">
        <v>393</v>
      </c>
      <c r="F1572"/>
      <c r="G1572">
        <v>1</v>
      </c>
      <c r="H1572">
        <v>1000</v>
      </c>
      <c r="I1572"/>
      <c r="J1572" cm="1">
        <f t="array" ref="J1572">_xlfn.SWITCH(B1572,1,75,2,61,3,49,4,37,5,25,6,13,7,4,8,1)</f>
        <v>75</v>
      </c>
      <c r="K1572" t="str" cm="1">
        <f t="array" ref="K1572">IFERROR(_xlfn.SWITCH(L1572,1,_xlfn.XLOOKUP(C1572,[1]AttributeName!$C:$C,[1]AttributeName!$I:$I),2,_xlfn.XLOOKUP(C1572,[1]ModifierDes!$B:$B,[1]ModifierDes!$C:$C),3,_xlfn.XLOOKUP(C1572,[1]StuntDes!$B:$B,[1]StuntDes!$C:$C)),"")</f>
        <v>物理伤害提高{0}</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404</v>
      </c>
      <c r="D1573" t="s">
        <v>38</v>
      </c>
      <c r="E1573" t="s">
        <v>393</v>
      </c>
      <c r="F1573"/>
      <c r="G1573">
        <v>1</v>
      </c>
      <c r="H1573">
        <v>1000</v>
      </c>
      <c r="I1573"/>
      <c r="J1573" cm="1">
        <f t="array" ref="J1573">_xlfn.SWITCH(B1573,1,75,2,61,3,49,4,37,5,25,6,13,7,4,8,1)</f>
        <v>61</v>
      </c>
      <c r="K1573" t="str" cm="1">
        <f t="array" ref="K1573">IFERROR(_xlfn.SWITCH(L1573,1,_xlfn.XLOOKUP(C1573,[1]AttributeName!$C:$C,[1]AttributeName!$I:$I),2,_xlfn.XLOOKUP(C1573,[1]ModifierDes!$B:$B,[1]ModifierDes!$C:$C),3,_xlfn.XLOOKUP(C1573,[1]StuntDes!$B:$B,[1]StuntDes!$C:$C)),"")</f>
        <v>物理伤害提高{0}</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404</v>
      </c>
      <c r="D1574" t="s">
        <v>38</v>
      </c>
      <c r="E1574" t="s">
        <v>393</v>
      </c>
      <c r="F1574"/>
      <c r="G1574">
        <v>1</v>
      </c>
      <c r="H1574">
        <v>1000</v>
      </c>
      <c r="I1574"/>
      <c r="J1574" cm="1">
        <f t="array" ref="J1574">_xlfn.SWITCH(B1574,1,75,2,61,3,49,4,37,5,25,6,13,7,4,8,1)</f>
        <v>49</v>
      </c>
      <c r="K1574" t="str" cm="1">
        <f t="array" ref="K1574">IFERROR(_xlfn.SWITCH(L1574,1,_xlfn.XLOOKUP(C1574,[1]AttributeName!$C:$C,[1]AttributeName!$I:$I),2,_xlfn.XLOOKUP(C1574,[1]ModifierDes!$B:$B,[1]ModifierDes!$C:$C),3,_xlfn.XLOOKUP(C1574,[1]StuntDes!$B:$B,[1]StuntDes!$C:$C)),"")</f>
        <v>物理伤害提高{0}</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404</v>
      </c>
      <c r="D1575" t="s">
        <v>38</v>
      </c>
      <c r="E1575" t="s">
        <v>393</v>
      </c>
      <c r="F1575"/>
      <c r="G1575">
        <v>1</v>
      </c>
      <c r="H1575">
        <v>1000</v>
      </c>
      <c r="I1575"/>
      <c r="J1575" cm="1">
        <f t="array" ref="J1575">_xlfn.SWITCH(B1575,1,75,2,61,3,49,4,37,5,25,6,13,7,4,8,1)</f>
        <v>37</v>
      </c>
      <c r="K1575" t="str" cm="1">
        <f t="array" ref="K1575">IFERROR(_xlfn.SWITCH(L1575,1,_xlfn.XLOOKUP(C1575,[1]AttributeName!$C:$C,[1]AttributeName!$I:$I),2,_xlfn.XLOOKUP(C1575,[1]ModifierDes!$B:$B,[1]ModifierDes!$C:$C),3,_xlfn.XLOOKUP(C1575,[1]StuntDes!$B:$B,[1]StuntDes!$C:$C)),"")</f>
        <v>物理伤害提高{0}</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404</v>
      </c>
      <c r="D1576" t="s">
        <v>38</v>
      </c>
      <c r="E1576" t="s">
        <v>393</v>
      </c>
      <c r="F1576"/>
      <c r="G1576">
        <v>1</v>
      </c>
      <c r="H1576">
        <v>1000</v>
      </c>
      <c r="I1576"/>
      <c r="J1576" cm="1">
        <f t="array" ref="J1576">_xlfn.SWITCH(B1576,1,75,2,61,3,49,4,37,5,25,6,13,7,4,8,1)</f>
        <v>25</v>
      </c>
      <c r="K1576" t="str" cm="1">
        <f t="array" ref="K1576">IFERROR(_xlfn.SWITCH(L1576,1,_xlfn.XLOOKUP(C1576,[1]AttributeName!$C:$C,[1]AttributeName!$I:$I),2,_xlfn.XLOOKUP(C1576,[1]ModifierDes!$B:$B,[1]ModifierDes!$C:$C),3,_xlfn.XLOOKUP(C1576,[1]StuntDes!$B:$B,[1]StuntDes!$C:$C)),"")</f>
        <v>物理伤害提高{0}</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404</v>
      </c>
      <c r="D1577" t="s">
        <v>38</v>
      </c>
      <c r="E1577" t="s">
        <v>393</v>
      </c>
      <c r="F1577"/>
      <c r="G1577">
        <v>1</v>
      </c>
      <c r="H1577">
        <v>1000</v>
      </c>
      <c r="I1577"/>
      <c r="J1577" cm="1">
        <f t="array" ref="J1577">_xlfn.SWITCH(B1577,1,75,2,61,3,49,4,37,5,25,6,13,7,4,8,1)</f>
        <v>13</v>
      </c>
      <c r="K1577" t="str" cm="1">
        <f t="array" ref="K1577">IFERROR(_xlfn.SWITCH(L1577,1,_xlfn.XLOOKUP(C1577,[1]AttributeName!$C:$C,[1]AttributeName!$I:$I),2,_xlfn.XLOOKUP(C1577,[1]ModifierDes!$B:$B,[1]ModifierDes!$C:$C),3,_xlfn.XLOOKUP(C1577,[1]StuntDes!$B:$B,[1]StuntDes!$C:$C)),"")</f>
        <v>物理伤害提高{0}</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404</v>
      </c>
      <c r="D1578" t="s">
        <v>38</v>
      </c>
      <c r="E1578" t="s">
        <v>393</v>
      </c>
      <c r="F1578"/>
      <c r="G1578">
        <v>1</v>
      </c>
      <c r="H1578">
        <v>1000</v>
      </c>
      <c r="I1578"/>
      <c r="J1578" cm="1">
        <f t="array" ref="J1578">_xlfn.SWITCH(B1578,1,75,2,61,3,49,4,37,5,25,6,13,7,4,8,1)</f>
        <v>4</v>
      </c>
      <c r="K1578" t="str" cm="1">
        <f t="array" ref="K1578">IFERROR(_xlfn.SWITCH(L1578,1,_xlfn.XLOOKUP(C1578,[1]AttributeName!$C:$C,[1]AttributeName!$I:$I),2,_xlfn.XLOOKUP(C1578,[1]ModifierDes!$B:$B,[1]ModifierDes!$C:$C),3,_xlfn.XLOOKUP(C1578,[1]StuntDes!$B:$B,[1]StuntDes!$C:$C)),"")</f>
        <v>物理伤害提高{0}</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404</v>
      </c>
      <c r="D1579" t="s">
        <v>38</v>
      </c>
      <c r="E1579" t="s">
        <v>393</v>
      </c>
      <c r="F1579"/>
      <c r="G1579">
        <v>1</v>
      </c>
      <c r="H1579">
        <v>1000</v>
      </c>
      <c r="I1579"/>
      <c r="J1579" cm="1">
        <f t="array" ref="J1579">_xlfn.SWITCH(B1579,1,75,2,61,3,49,4,37,5,25,6,13,7,4,8,1)</f>
        <v>1</v>
      </c>
      <c r="K1579" t="str" cm="1">
        <f t="array" ref="K1579">IFERROR(_xlfn.SWITCH(L1579,1,_xlfn.XLOOKUP(C1579,[1]AttributeName!$C:$C,[1]AttributeName!$I:$I),2,_xlfn.XLOOKUP(C1579,[1]ModifierDes!$B:$B,[1]ModifierDes!$C:$C),3,_xlfn.XLOOKUP(C1579,[1]StuntDes!$B:$B,[1]StuntDes!$C:$C)),"")</f>
        <v>物理伤害提高{0}</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405</v>
      </c>
      <c r="D1580" t="s">
        <v>38</v>
      </c>
      <c r="E1580" t="s">
        <v>393</v>
      </c>
      <c r="F1580"/>
      <c r="G1580">
        <v>1</v>
      </c>
      <c r="H1580">
        <v>1000</v>
      </c>
      <c r="I1580"/>
      <c r="J1580" cm="1">
        <f t="array" ref="J1580">_xlfn.SWITCH(B1580,1,75,2,61,3,49,4,37,5,25,6,13,7,4,8,1)</f>
        <v>75</v>
      </c>
      <c r="K1580" t="str" cm="1">
        <f t="array" ref="K1580">IFERROR(_xlfn.SWITCH(L1580,1,_xlfn.XLOOKUP(C1580,[1]AttributeName!$C:$C,[1]AttributeName!$I:$I),2,_xlfn.XLOOKUP(C1580,[1]ModifierDes!$B:$B,[1]ModifierDes!$C:$C),3,_xlfn.XLOOKUP(C1580,[1]StuntDes!$B:$B,[1]StuntDes!$C:$C)),"")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405</v>
      </c>
      <c r="D1581" t="s">
        <v>38</v>
      </c>
      <c r="E1581" t="s">
        <v>393</v>
      </c>
      <c r="F1581"/>
      <c r="G1581">
        <v>1</v>
      </c>
      <c r="H1581">
        <v>1000</v>
      </c>
      <c r="I1581"/>
      <c r="J1581" cm="1">
        <f t="array" ref="J1581">_xlfn.SWITCH(B1581,1,75,2,61,3,49,4,37,5,25,6,13,7,4,8,1)</f>
        <v>61</v>
      </c>
      <c r="K1581" t="str" cm="1">
        <f t="array" ref="K1581">IFERROR(_xlfn.SWITCH(L1581,1,_xlfn.XLOOKUP(C1581,[1]AttributeName!$C:$C,[1]AttributeName!$I:$I),2,_xlfn.XLOOKUP(C1581,[1]ModifierDes!$B:$B,[1]ModifierDes!$C:$C),3,_xlfn.XLOOKUP(C1581,[1]StuntDes!$B:$B,[1]StuntDes!$C:$C)),"")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405</v>
      </c>
      <c r="D1582" t="s">
        <v>38</v>
      </c>
      <c r="E1582" t="s">
        <v>393</v>
      </c>
      <c r="F1582"/>
      <c r="G1582">
        <v>1</v>
      </c>
      <c r="H1582">
        <v>1000</v>
      </c>
      <c r="I1582"/>
      <c r="J1582" cm="1">
        <f t="array" ref="J1582">_xlfn.SWITCH(B1582,1,75,2,61,3,49,4,37,5,25,6,13,7,4,8,1)</f>
        <v>49</v>
      </c>
      <c r="K1582" t="str" cm="1">
        <f t="array" ref="K1582">IFERROR(_xlfn.SWITCH(L1582,1,_xlfn.XLOOKUP(C1582,[1]AttributeName!$C:$C,[1]AttributeName!$I:$I),2,_xlfn.XLOOKUP(C1582,[1]ModifierDes!$B:$B,[1]ModifierDes!$C:$C),3,_xlfn.XLOOKUP(C1582,[1]StuntDes!$B:$B,[1]StuntDes!$C:$C)),"")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405</v>
      </c>
      <c r="D1583" t="s">
        <v>38</v>
      </c>
      <c r="E1583" t="s">
        <v>393</v>
      </c>
      <c r="F1583"/>
      <c r="G1583">
        <v>1</v>
      </c>
      <c r="H1583">
        <v>1000</v>
      </c>
      <c r="I1583"/>
      <c r="J1583" cm="1">
        <f t="array" ref="J1583">_xlfn.SWITCH(B1583,1,75,2,61,3,49,4,37,5,25,6,13,7,4,8,1)</f>
        <v>37</v>
      </c>
      <c r="K1583" t="str" cm="1">
        <f t="array" ref="K1583">IFERROR(_xlfn.SWITCH(L1583,1,_xlfn.XLOOKUP(C1583,[1]AttributeName!$C:$C,[1]AttributeName!$I:$I),2,_xlfn.XLOOKUP(C1583,[1]ModifierDes!$B:$B,[1]ModifierDes!$C:$C),3,_xlfn.XLOOKUP(C1583,[1]StuntDes!$B:$B,[1]StuntDes!$C:$C)),"")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405</v>
      </c>
      <c r="D1584" t="s">
        <v>38</v>
      </c>
      <c r="E1584" t="s">
        <v>393</v>
      </c>
      <c r="F1584"/>
      <c r="G1584">
        <v>1</v>
      </c>
      <c r="H1584">
        <v>1000</v>
      </c>
      <c r="I1584"/>
      <c r="J1584" cm="1">
        <f t="array" ref="J1584">_xlfn.SWITCH(B1584,1,75,2,61,3,49,4,37,5,25,6,13,7,4,8,1)</f>
        <v>25</v>
      </c>
      <c r="K1584" t="str" cm="1">
        <f t="array" ref="K1584">IFERROR(_xlfn.SWITCH(L1584,1,_xlfn.XLOOKUP(C1584,[1]AttributeName!$C:$C,[1]AttributeName!$I:$I),2,_xlfn.XLOOKUP(C1584,[1]ModifierDes!$B:$B,[1]ModifierDes!$C:$C),3,_xlfn.XLOOKUP(C1584,[1]StuntDes!$B:$B,[1]StuntDes!$C:$C)),"")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405</v>
      </c>
      <c r="D1585" t="s">
        <v>38</v>
      </c>
      <c r="E1585" t="s">
        <v>393</v>
      </c>
      <c r="F1585"/>
      <c r="G1585">
        <v>1</v>
      </c>
      <c r="H1585">
        <v>1000</v>
      </c>
      <c r="I1585"/>
      <c r="J1585" cm="1">
        <f t="array" ref="J1585">_xlfn.SWITCH(B1585,1,75,2,61,3,49,4,37,5,25,6,13,7,4,8,1)</f>
        <v>13</v>
      </c>
      <c r="K1585" t="str" cm="1">
        <f t="array" ref="K1585">IFERROR(_xlfn.SWITCH(L1585,1,_xlfn.XLOOKUP(C1585,[1]AttributeName!$C:$C,[1]AttributeName!$I:$I),2,_xlfn.XLOOKUP(C1585,[1]ModifierDes!$B:$B,[1]ModifierDes!$C:$C),3,_xlfn.XLOOKUP(C1585,[1]StuntDes!$B:$B,[1]StuntDes!$C:$C)),"")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405</v>
      </c>
      <c r="D1586" t="s">
        <v>38</v>
      </c>
      <c r="E1586" t="s">
        <v>393</v>
      </c>
      <c r="F1586"/>
      <c r="G1586">
        <v>1</v>
      </c>
      <c r="H1586">
        <v>1000</v>
      </c>
      <c r="I1586"/>
      <c r="J1586" cm="1">
        <f t="array" ref="J1586">_xlfn.SWITCH(B1586,1,75,2,61,3,49,4,37,5,25,6,13,7,4,8,1)</f>
        <v>4</v>
      </c>
      <c r="K1586" t="str" cm="1">
        <f t="array" ref="K1586">IFERROR(_xlfn.SWITCH(L1586,1,_xlfn.XLOOKUP(C1586,[1]AttributeName!$C:$C,[1]AttributeName!$I:$I),2,_xlfn.XLOOKUP(C1586,[1]ModifierDes!$B:$B,[1]ModifierDes!$C:$C),3,_xlfn.XLOOKUP(C1586,[1]StuntDes!$B:$B,[1]StuntDes!$C:$C)),"")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405</v>
      </c>
      <c r="D1587" t="s">
        <v>38</v>
      </c>
      <c r="E1587" t="s">
        <v>393</v>
      </c>
      <c r="F1587"/>
      <c r="G1587">
        <v>1</v>
      </c>
      <c r="H1587">
        <v>1000</v>
      </c>
      <c r="I1587"/>
      <c r="J1587" cm="1">
        <f t="array" ref="J1587">_xlfn.SWITCH(B1587,1,75,2,61,3,49,4,37,5,25,6,13,7,4,8,1)</f>
        <v>1</v>
      </c>
      <c r="K1587" t="str" cm="1">
        <f t="array" ref="K1587">IFERROR(_xlfn.SWITCH(L1587,1,_xlfn.XLOOKUP(C1587,[1]AttributeName!$C:$C,[1]AttributeName!$I:$I),2,_xlfn.XLOOKUP(C1587,[1]ModifierDes!$B:$B,[1]ModifierDes!$C:$C),3,_xlfn.XLOOKUP(C1587,[1]StuntDes!$B:$B,[1]StuntDes!$C:$C)),"")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406</v>
      </c>
      <c r="D1588" t="s">
        <v>38</v>
      </c>
      <c r="E1588" t="s">
        <v>393</v>
      </c>
      <c r="G1588">
        <v>1</v>
      </c>
      <c r="H1588">
        <v>1000</v>
      </c>
      <c r="J1588" cm="1">
        <f t="array" ref="J1588">_xlfn.SWITCH(B1588,1,75,2,61,3,49,4,37,5,25,6,13,7,4,8,1)</f>
        <v>75</v>
      </c>
      <c r="K1588" t="str" cm="1">
        <f t="array" ref="K1588">IFERROR(_xlfn.SWITCH(L1588,1,_xlfn.XLOOKUP(C1588,[1]AttributeName!$C:$C,[1]AttributeName!$I:$I),2,_xlfn.XLOOKUP(C1588,[1]ModifierDes!$B:$B,[1]ModifierDes!$C:$C),3,_xlfn.XLOOKUP(C1588,[1]StuntDes!$B:$B,[1]StuntDes!$C:$C)),"")</f>
        <v>混沌伤害提高{0}</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406</v>
      </c>
      <c r="D1589" t="s">
        <v>38</v>
      </c>
      <c r="E1589" t="s">
        <v>393</v>
      </c>
      <c r="G1589">
        <v>1</v>
      </c>
      <c r="H1589">
        <v>1000</v>
      </c>
      <c r="J1589" cm="1">
        <f t="array" ref="J1589">_xlfn.SWITCH(B1589,1,75,2,61,3,49,4,37,5,25,6,13,7,4,8,1)</f>
        <v>61</v>
      </c>
      <c r="K1589" t="str" cm="1">
        <f t="array" ref="K1589">IFERROR(_xlfn.SWITCH(L1589,1,_xlfn.XLOOKUP(C1589,[1]AttributeName!$C:$C,[1]AttributeName!$I:$I),2,_xlfn.XLOOKUP(C1589,[1]ModifierDes!$B:$B,[1]ModifierDes!$C:$C),3,_xlfn.XLOOKUP(C1589,[1]StuntDes!$B:$B,[1]StuntDes!$C:$C)),"")</f>
        <v>混沌伤害提高{0}</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406</v>
      </c>
      <c r="D1590" t="s">
        <v>38</v>
      </c>
      <c r="E1590" t="s">
        <v>393</v>
      </c>
      <c r="G1590">
        <v>1</v>
      </c>
      <c r="H1590">
        <v>1000</v>
      </c>
      <c r="J1590" cm="1">
        <f t="array" ref="J1590">_xlfn.SWITCH(B1590,1,75,2,61,3,49,4,37,5,25,6,13,7,4,8,1)</f>
        <v>49</v>
      </c>
      <c r="K1590" t="str" cm="1">
        <f t="array" ref="K1590">IFERROR(_xlfn.SWITCH(L1590,1,_xlfn.XLOOKUP(C1590,[1]AttributeName!$C:$C,[1]AttributeName!$I:$I),2,_xlfn.XLOOKUP(C1590,[1]ModifierDes!$B:$B,[1]ModifierDes!$C:$C),3,_xlfn.XLOOKUP(C1590,[1]StuntDes!$B:$B,[1]StuntDes!$C:$C)),"")</f>
        <v>混沌伤害提高{0}</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406</v>
      </c>
      <c r="D1591" t="s">
        <v>38</v>
      </c>
      <c r="E1591" t="s">
        <v>393</v>
      </c>
      <c r="G1591">
        <v>1</v>
      </c>
      <c r="H1591">
        <v>1000</v>
      </c>
      <c r="J1591" cm="1">
        <f t="array" ref="J1591">_xlfn.SWITCH(B1591,1,75,2,61,3,49,4,37,5,25,6,13,7,4,8,1)</f>
        <v>37</v>
      </c>
      <c r="K1591" t="str" cm="1">
        <f t="array" ref="K1591">IFERROR(_xlfn.SWITCH(L1591,1,_xlfn.XLOOKUP(C1591,[1]AttributeName!$C:$C,[1]AttributeName!$I:$I),2,_xlfn.XLOOKUP(C1591,[1]ModifierDes!$B:$B,[1]ModifierDes!$C:$C),3,_xlfn.XLOOKUP(C1591,[1]StuntDes!$B:$B,[1]StuntDes!$C:$C)),"")</f>
        <v>混沌伤害提高{0}</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406</v>
      </c>
      <c r="D1592" t="s">
        <v>38</v>
      </c>
      <c r="E1592" t="s">
        <v>393</v>
      </c>
      <c r="G1592">
        <v>1</v>
      </c>
      <c r="H1592">
        <v>1000</v>
      </c>
      <c r="J1592" cm="1">
        <f t="array" ref="J1592">_xlfn.SWITCH(B1592,1,75,2,61,3,49,4,37,5,25,6,13,7,4,8,1)</f>
        <v>25</v>
      </c>
      <c r="K1592" t="str" cm="1">
        <f t="array" ref="K1592">IFERROR(_xlfn.SWITCH(L1592,1,_xlfn.XLOOKUP(C1592,[1]AttributeName!$C:$C,[1]AttributeName!$I:$I),2,_xlfn.XLOOKUP(C1592,[1]ModifierDes!$B:$B,[1]ModifierDes!$C:$C),3,_xlfn.XLOOKUP(C1592,[1]StuntDes!$B:$B,[1]StuntDes!$C:$C)),"")</f>
        <v>混沌伤害提高{0}</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406</v>
      </c>
      <c r="D1593" t="s">
        <v>38</v>
      </c>
      <c r="E1593" t="s">
        <v>393</v>
      </c>
      <c r="G1593">
        <v>1</v>
      </c>
      <c r="H1593">
        <v>1000</v>
      </c>
      <c r="J1593" cm="1">
        <f t="array" ref="J1593">_xlfn.SWITCH(B1593,1,75,2,61,3,49,4,37,5,25,6,13,7,4,8,1)</f>
        <v>13</v>
      </c>
      <c r="K1593" t="str" cm="1">
        <f t="array" ref="K1593">IFERROR(_xlfn.SWITCH(L1593,1,_xlfn.XLOOKUP(C1593,[1]AttributeName!$C:$C,[1]AttributeName!$I:$I),2,_xlfn.XLOOKUP(C1593,[1]ModifierDes!$B:$B,[1]ModifierDes!$C:$C),3,_xlfn.XLOOKUP(C1593,[1]StuntDes!$B:$B,[1]StuntDes!$C:$C)),"")</f>
        <v>混沌伤害提高{0}</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406</v>
      </c>
      <c r="D1594" t="s">
        <v>38</v>
      </c>
      <c r="E1594" t="s">
        <v>393</v>
      </c>
      <c r="G1594">
        <v>1</v>
      </c>
      <c r="H1594">
        <v>1000</v>
      </c>
      <c r="J1594" cm="1">
        <f t="array" ref="J1594">_xlfn.SWITCH(B1594,1,75,2,61,3,49,4,37,5,25,6,13,7,4,8,1)</f>
        <v>4</v>
      </c>
      <c r="K1594" t="str" cm="1">
        <f t="array" ref="K1594">IFERROR(_xlfn.SWITCH(L1594,1,_xlfn.XLOOKUP(C1594,[1]AttributeName!$C:$C,[1]AttributeName!$I:$I),2,_xlfn.XLOOKUP(C1594,[1]ModifierDes!$B:$B,[1]ModifierDes!$C:$C),3,_xlfn.XLOOKUP(C1594,[1]StuntDes!$B:$B,[1]StuntDes!$C:$C)),"")</f>
        <v>混沌伤害提高{0}</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406</v>
      </c>
      <c r="D1595" t="s">
        <v>38</v>
      </c>
      <c r="E1595" t="s">
        <v>393</v>
      </c>
      <c r="G1595">
        <v>1</v>
      </c>
      <c r="H1595">
        <v>1000</v>
      </c>
      <c r="J1595" cm="1">
        <f t="array" ref="J1595">_xlfn.SWITCH(B1595,1,75,2,61,3,49,4,37,5,25,6,13,7,4,8,1)</f>
        <v>1</v>
      </c>
      <c r="K1595" t="str" cm="1">
        <f t="array" ref="K1595">IFERROR(_xlfn.SWITCH(L1595,1,_xlfn.XLOOKUP(C1595,[1]AttributeName!$C:$C,[1]AttributeName!$I:$I),2,_xlfn.XLOOKUP(C1595,[1]ModifierDes!$B:$B,[1]ModifierDes!$C:$C),3,_xlfn.XLOOKUP(C1595,[1]StuntDes!$B:$B,[1]StuntDes!$C:$C)),"")</f>
        <v>混沌伤害提高{0}</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456</v>
      </c>
      <c r="D1596" t="s">
        <v>38</v>
      </c>
      <c r="E1596" t="s">
        <v>393</v>
      </c>
      <c r="F1596"/>
      <c r="G1596">
        <v>1</v>
      </c>
      <c r="H1596">
        <v>50</v>
      </c>
      <c r="I1596">
        <v>4</v>
      </c>
      <c r="J1596" cm="1">
        <f t="array" ref="J1596">_xlfn.SWITCH(B1596,1,75,2,61,3,49,4,37,5,25,6,13,7,4,8,1)</f>
        <v>75</v>
      </c>
      <c r="K1596" t="str" cm="1">
        <f t="array" ref="K1596">IFERROR(_xlfn.SWITCH(L1596,1,_xlfn.XLOOKUP(C1596,[1]AttributeName!$C:$C,[1]AttributeName!$I:$I),2,_xlfn.XLOOKUP(C1596,[1]ModifierDes!$B:$B,[1]ModifierDes!$C:$C),3,_xlfn.XLOOKUP(C1596,[1]StuntDes!$B:$B,[1]StuntDes!$C:$C)),"")</f>
        <v>毁灭注能层数上限增加{0}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457</v>
      </c>
      <c r="D1597" t="s">
        <v>38</v>
      </c>
      <c r="E1597" t="s">
        <v>393</v>
      </c>
      <c r="F1597"/>
      <c r="G1597">
        <v>1</v>
      </c>
      <c r="H1597">
        <v>50</v>
      </c>
      <c r="I1597">
        <v>4</v>
      </c>
      <c r="J1597" cm="1">
        <f t="array" ref="J1597">_xlfn.SWITCH(B1597,1,75,2,61,3,49,4,37,5,25,6,13,7,4,8,1)</f>
        <v>75</v>
      </c>
      <c r="K1597" t="str" cm="1">
        <f t="array" ref="K1597">IFERROR(_xlfn.SWITCH(L1597,1,_xlfn.XLOOKUP(C1597,[1]AttributeName!$C:$C,[1]AttributeName!$I:$I),2,_xlfn.XLOOKUP(C1597,[1]ModifierDes!$B:$B,[1]ModifierDes!$C:$C),3,_xlfn.XLOOKUP(C1597,[1]StuntDes!$B:$B,[1]StuntDes!$C:$C)),"")</f>
        <v>洞察注能层数上限增加{0}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458</v>
      </c>
      <c r="D1598" t="s">
        <v>38</v>
      </c>
      <c r="E1598" t="s">
        <v>393</v>
      </c>
      <c r="F1598"/>
      <c r="G1598">
        <v>1</v>
      </c>
      <c r="H1598">
        <v>50</v>
      </c>
      <c r="I1598">
        <v>4</v>
      </c>
      <c r="J1598" cm="1">
        <f t="array" ref="J1598">_xlfn.SWITCH(B1598,1,75,2,61,3,49,4,37,5,25,6,13,7,4,8,1)</f>
        <v>75</v>
      </c>
      <c r="K1598" t="str" cm="1">
        <f t="array" ref="K1598">IFERROR(_xlfn.SWITCH(L1598,1,_xlfn.XLOOKUP(C1598,[1]AttributeName!$C:$C,[1]AttributeName!$I:$I),2,_xlfn.XLOOKUP(C1598,[1]ModifierDes!$B:$B,[1]ModifierDes!$C:$C),3,_xlfn.XLOOKUP(C1598,[1]StuntDes!$B:$B,[1]StuntDes!$C:$C)),"")</f>
        <v>穿透注能层数上限增加{0}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459</v>
      </c>
      <c r="D1599" t="s">
        <v>38</v>
      </c>
      <c r="E1599" t="s">
        <v>393</v>
      </c>
      <c r="F1599"/>
      <c r="G1599">
        <v>1</v>
      </c>
      <c r="H1599">
        <v>50</v>
      </c>
      <c r="I1599">
        <v>4</v>
      </c>
      <c r="J1599" cm="1">
        <f t="array" ref="J1599">_xlfn.SWITCH(B1599,1,75,2,61,3,49,4,37,5,25,6,13,7,4,8,1)</f>
        <v>75</v>
      </c>
      <c r="K1599" t="str" cm="1">
        <f t="array" ref="K1599">IFERROR(_xlfn.SWITCH(L1599,1,_xlfn.XLOOKUP(C1599,[1]AttributeName!$C:$C,[1]AttributeName!$I:$I),2,_xlfn.XLOOKUP(C1599,[1]ModifierDes!$B:$B,[1]ModifierDes!$C:$C),3,_xlfn.XLOOKUP(C1599,[1]StuntDes!$B:$B,[1]StuntDes!$C:$C)),"")</f>
        <v>混乱注能层数上限增加{0}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460</v>
      </c>
      <c r="D1600" t="s">
        <v>38</v>
      </c>
      <c r="E1600" t="s">
        <v>393</v>
      </c>
      <c r="F1600"/>
      <c r="G1600">
        <v>1</v>
      </c>
      <c r="H1600">
        <v>50</v>
      </c>
      <c r="I1600">
        <v>4</v>
      </c>
      <c r="J1600" cm="1">
        <f t="array" ref="J1600">_xlfn.SWITCH(B1600,1,75,2,61,3,49,4,37,5,25,6,13,7,4,8,1)</f>
        <v>75</v>
      </c>
      <c r="K1600" t="str" cm="1">
        <f t="array" ref="K1600">IFERROR(_xlfn.SWITCH(L1600,1,_xlfn.XLOOKUP(C1600,[1]AttributeName!$C:$C,[1]AttributeName!$I:$I),2,_xlfn.XLOOKUP(C1600,[1]ModifierDes!$B:$B,[1]ModifierDes!$C:$C),3,_xlfn.XLOOKUP(C1600,[1]StuntDes!$B:$B,[1]StuntDes!$C:$C)),"")</f>
        <v>迅捷注能层数上限增加{0}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437</v>
      </c>
      <c r="D1601" t="s">
        <v>38</v>
      </c>
      <c r="E1601" s="13" t="s">
        <v>410</v>
      </c>
      <c r="F1601"/>
      <c r="G1601">
        <v>2</v>
      </c>
      <c r="H1601">
        <v>1000</v>
      </c>
      <c r="J1601" cm="1">
        <f t="array" ref="J1601">_xlfn.SWITCH(B1601,1,75,2,61,3,49,4,37,5,25,6,13,7,4,8,1)</f>
        <v>75</v>
      </c>
      <c r="K1601" t="str" cm="1">
        <f t="array" ref="K1601">IFERROR(_xlfn.SWITCH(L1601,1,_xlfn.XLOOKUP(C1601,[1]AttributeName!$C:$C,[1]AttributeName!$I:$I),2,_xlfn.XLOOKUP(C1601,[1]ModifierDes!$B:$B,[1]ModifierDes!$C:$C),3,_xlfn.XLOOKUP(C1601,[1]StuntDes!$B:$B,[1]StuntDes!$C:$C)),"")</f>
        <v>物理抗性增加{0}</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437</v>
      </c>
      <c r="D1602" t="s">
        <v>38</v>
      </c>
      <c r="E1602" s="13" t="s">
        <v>410</v>
      </c>
      <c r="F1602"/>
      <c r="G1602">
        <v>2</v>
      </c>
      <c r="H1602">
        <v>1000</v>
      </c>
      <c r="J1602" cm="1">
        <f t="array" ref="J1602">_xlfn.SWITCH(B1602,1,75,2,61,3,49,4,37,5,25,6,13,7,4,8,1)</f>
        <v>61</v>
      </c>
      <c r="K1602" t="str" cm="1">
        <f t="array" ref="K1602">IFERROR(_xlfn.SWITCH(L1602,1,_xlfn.XLOOKUP(C1602,[1]AttributeName!$C:$C,[1]AttributeName!$I:$I),2,_xlfn.XLOOKUP(C1602,[1]ModifierDes!$B:$B,[1]ModifierDes!$C:$C),3,_xlfn.XLOOKUP(C1602,[1]StuntDes!$B:$B,[1]StuntDes!$C:$C)),"")</f>
        <v>物理抗性增加{0}</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437</v>
      </c>
      <c r="D1603" t="s">
        <v>38</v>
      </c>
      <c r="E1603" s="13" t="s">
        <v>410</v>
      </c>
      <c r="F1603"/>
      <c r="G1603">
        <v>2</v>
      </c>
      <c r="H1603">
        <v>1000</v>
      </c>
      <c r="J1603" cm="1">
        <f t="array" ref="J1603">_xlfn.SWITCH(B1603,1,75,2,61,3,49,4,37,5,25,6,13,7,4,8,1)</f>
        <v>49</v>
      </c>
      <c r="K1603" t="str" cm="1">
        <f t="array" ref="K1603">IFERROR(_xlfn.SWITCH(L1603,1,_xlfn.XLOOKUP(C1603,[1]AttributeName!$C:$C,[1]AttributeName!$I:$I),2,_xlfn.XLOOKUP(C1603,[1]ModifierDes!$B:$B,[1]ModifierDes!$C:$C),3,_xlfn.XLOOKUP(C1603,[1]StuntDes!$B:$B,[1]StuntDes!$C:$C)),"")</f>
        <v>物理抗性增加{0}</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437</v>
      </c>
      <c r="D1604" t="s">
        <v>38</v>
      </c>
      <c r="E1604" s="13" t="s">
        <v>410</v>
      </c>
      <c r="F1604"/>
      <c r="G1604">
        <v>2</v>
      </c>
      <c r="H1604">
        <v>1000</v>
      </c>
      <c r="J1604" cm="1">
        <f t="array" ref="J1604">_xlfn.SWITCH(B1604,1,75,2,61,3,49,4,37,5,25,6,13,7,4,8,1)</f>
        <v>37</v>
      </c>
      <c r="K1604" t="str" cm="1">
        <f t="array" ref="K1604">IFERROR(_xlfn.SWITCH(L1604,1,_xlfn.XLOOKUP(C1604,[1]AttributeName!$C:$C,[1]AttributeName!$I:$I),2,_xlfn.XLOOKUP(C1604,[1]ModifierDes!$B:$B,[1]ModifierDes!$C:$C),3,_xlfn.XLOOKUP(C1604,[1]StuntDes!$B:$B,[1]StuntDes!$C:$C)),"")</f>
        <v>物理抗性增加{0}</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437</v>
      </c>
      <c r="D1605" t="s">
        <v>38</v>
      </c>
      <c r="E1605" s="13" t="s">
        <v>410</v>
      </c>
      <c r="F1605"/>
      <c r="G1605">
        <v>2</v>
      </c>
      <c r="H1605">
        <v>1000</v>
      </c>
      <c r="J1605" cm="1">
        <f t="array" ref="J1605">_xlfn.SWITCH(B1605,1,75,2,61,3,49,4,37,5,25,6,13,7,4,8,1)</f>
        <v>25</v>
      </c>
      <c r="K1605" t="str" cm="1">
        <f t="array" ref="K1605">IFERROR(_xlfn.SWITCH(L1605,1,_xlfn.XLOOKUP(C1605,[1]AttributeName!$C:$C,[1]AttributeName!$I:$I),2,_xlfn.XLOOKUP(C1605,[1]ModifierDes!$B:$B,[1]ModifierDes!$C:$C),3,_xlfn.XLOOKUP(C1605,[1]StuntDes!$B:$B,[1]StuntDes!$C:$C)),"")</f>
        <v>物理抗性增加{0}</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437</v>
      </c>
      <c r="D1606" t="s">
        <v>38</v>
      </c>
      <c r="E1606" s="13" t="s">
        <v>410</v>
      </c>
      <c r="F1606"/>
      <c r="G1606">
        <v>2</v>
      </c>
      <c r="H1606">
        <v>1000</v>
      </c>
      <c r="J1606" cm="1">
        <f t="array" ref="J1606">_xlfn.SWITCH(B1606,1,75,2,61,3,49,4,37,5,25,6,13,7,4,8,1)</f>
        <v>13</v>
      </c>
      <c r="K1606" t="str" cm="1">
        <f t="array" ref="K1606">IFERROR(_xlfn.SWITCH(L1606,1,_xlfn.XLOOKUP(C1606,[1]AttributeName!$C:$C,[1]AttributeName!$I:$I),2,_xlfn.XLOOKUP(C1606,[1]ModifierDes!$B:$B,[1]ModifierDes!$C:$C),3,_xlfn.XLOOKUP(C1606,[1]StuntDes!$B:$B,[1]StuntDes!$C:$C)),"")</f>
        <v>物理抗性增加{0}</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437</v>
      </c>
      <c r="D1607" t="s">
        <v>38</v>
      </c>
      <c r="E1607" s="13" t="s">
        <v>410</v>
      </c>
      <c r="F1607"/>
      <c r="G1607">
        <v>2</v>
      </c>
      <c r="H1607">
        <v>1000</v>
      </c>
      <c r="J1607" cm="1">
        <f t="array" ref="J1607">_xlfn.SWITCH(B1607,1,75,2,61,3,49,4,37,5,25,6,13,7,4,8,1)</f>
        <v>4</v>
      </c>
      <c r="K1607" t="str" cm="1">
        <f t="array" ref="K1607">IFERROR(_xlfn.SWITCH(L1607,1,_xlfn.XLOOKUP(C1607,[1]AttributeName!$C:$C,[1]AttributeName!$I:$I),2,_xlfn.XLOOKUP(C1607,[1]ModifierDes!$B:$B,[1]ModifierDes!$C:$C),3,_xlfn.XLOOKUP(C1607,[1]StuntDes!$B:$B,[1]StuntDes!$C:$C)),"")</f>
        <v>物理抗性增加{0}</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437</v>
      </c>
      <c r="D1608" t="s">
        <v>38</v>
      </c>
      <c r="E1608" s="13" t="s">
        <v>410</v>
      </c>
      <c r="F1608"/>
      <c r="G1608">
        <v>2</v>
      </c>
      <c r="H1608">
        <v>1000</v>
      </c>
      <c r="J1608" cm="1">
        <f t="array" ref="J1608">_xlfn.SWITCH(B1608,1,75,2,61,3,49,4,37,5,25,6,13,7,4,8,1)</f>
        <v>1</v>
      </c>
      <c r="K1608" t="str" cm="1">
        <f t="array" ref="K1608">IFERROR(_xlfn.SWITCH(L1608,1,_xlfn.XLOOKUP(C1608,[1]AttributeName!$C:$C,[1]AttributeName!$I:$I),2,_xlfn.XLOOKUP(C1608,[1]ModifierDes!$B:$B,[1]ModifierDes!$C:$C),3,_xlfn.XLOOKUP(C1608,[1]StuntDes!$B:$B,[1]StuntDes!$C:$C)),"")</f>
        <v>物理抗性增加{0}</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438</v>
      </c>
      <c r="D1609" t="s">
        <v>38</v>
      </c>
      <c r="E1609" s="13" t="s">
        <v>410</v>
      </c>
      <c r="F1609"/>
      <c r="G1609">
        <v>2</v>
      </c>
      <c r="H1609">
        <v>1000</v>
      </c>
      <c r="J1609" cm="1">
        <f t="array" ref="J1609">_xlfn.SWITCH(B1609,1,75,2,61,3,49,4,37,5,25,6,13,7,4,8,1)</f>
        <v>75</v>
      </c>
      <c r="K1609" t="str" cm="1">
        <f t="array" ref="K1609">IFERROR(_xlfn.SWITCH(L1609,1,_xlfn.XLOOKUP(C1609,[1]AttributeName!$C:$C,[1]AttributeName!$I:$I),2,_xlfn.XLOOKUP(C1609,[1]ModifierDes!$B:$B,[1]ModifierDes!$C:$C),3,_xlfn.XLOOKUP(C1609,[1]StuntDes!$B:$B,[1]StuntDes!$C:$C)),"")</f>
        <v>火焰抗性增加{0}</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438</v>
      </c>
      <c r="D1610" t="s">
        <v>38</v>
      </c>
      <c r="E1610" s="13" t="s">
        <v>410</v>
      </c>
      <c r="F1610"/>
      <c r="G1610">
        <v>2</v>
      </c>
      <c r="H1610">
        <v>1000</v>
      </c>
      <c r="J1610" cm="1">
        <f t="array" ref="J1610">_xlfn.SWITCH(B1610,1,75,2,61,3,49,4,37,5,25,6,13,7,4,8,1)</f>
        <v>61</v>
      </c>
      <c r="K1610" t="str" cm="1">
        <f t="array" ref="K1610">IFERROR(_xlfn.SWITCH(L1610,1,_xlfn.XLOOKUP(C1610,[1]AttributeName!$C:$C,[1]AttributeName!$I:$I),2,_xlfn.XLOOKUP(C1610,[1]ModifierDes!$B:$B,[1]ModifierDes!$C:$C),3,_xlfn.XLOOKUP(C1610,[1]StuntDes!$B:$B,[1]StuntDes!$C:$C)),"")</f>
        <v>火焰抗性增加{0}</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438</v>
      </c>
      <c r="D1611" t="s">
        <v>38</v>
      </c>
      <c r="E1611" s="13" t="s">
        <v>410</v>
      </c>
      <c r="F1611"/>
      <c r="G1611">
        <v>2</v>
      </c>
      <c r="H1611">
        <v>1000</v>
      </c>
      <c r="J1611" cm="1">
        <f t="array" ref="J1611">_xlfn.SWITCH(B1611,1,75,2,61,3,49,4,37,5,25,6,13,7,4,8,1)</f>
        <v>49</v>
      </c>
      <c r="K1611" t="str" cm="1">
        <f t="array" ref="K1611">IFERROR(_xlfn.SWITCH(L1611,1,_xlfn.XLOOKUP(C1611,[1]AttributeName!$C:$C,[1]AttributeName!$I:$I),2,_xlfn.XLOOKUP(C1611,[1]ModifierDes!$B:$B,[1]ModifierDes!$C:$C),3,_xlfn.XLOOKUP(C1611,[1]StuntDes!$B:$B,[1]StuntDes!$C:$C)),"")</f>
        <v>火焰抗性增加{0}</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438</v>
      </c>
      <c r="D1612" t="s">
        <v>38</v>
      </c>
      <c r="E1612" s="13" t="s">
        <v>410</v>
      </c>
      <c r="F1612"/>
      <c r="G1612">
        <v>2</v>
      </c>
      <c r="H1612">
        <v>1000</v>
      </c>
      <c r="J1612" cm="1">
        <f t="array" ref="J1612">_xlfn.SWITCH(B1612,1,75,2,61,3,49,4,37,5,25,6,13,7,4,8,1)</f>
        <v>37</v>
      </c>
      <c r="K1612" t="str" cm="1">
        <f t="array" ref="K1612">IFERROR(_xlfn.SWITCH(L1612,1,_xlfn.XLOOKUP(C1612,[1]AttributeName!$C:$C,[1]AttributeName!$I:$I),2,_xlfn.XLOOKUP(C1612,[1]ModifierDes!$B:$B,[1]ModifierDes!$C:$C),3,_xlfn.XLOOKUP(C1612,[1]StuntDes!$B:$B,[1]StuntDes!$C:$C)),"")</f>
        <v>火焰抗性增加{0}</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438</v>
      </c>
      <c r="D1613" t="s">
        <v>38</v>
      </c>
      <c r="E1613" s="13" t="s">
        <v>410</v>
      </c>
      <c r="F1613"/>
      <c r="G1613">
        <v>2</v>
      </c>
      <c r="H1613">
        <v>1000</v>
      </c>
      <c r="J1613" cm="1">
        <f t="array" ref="J1613">_xlfn.SWITCH(B1613,1,75,2,61,3,49,4,37,5,25,6,13,7,4,8,1)</f>
        <v>25</v>
      </c>
      <c r="K1613" t="str" cm="1">
        <f t="array" ref="K1613">IFERROR(_xlfn.SWITCH(L1613,1,_xlfn.XLOOKUP(C1613,[1]AttributeName!$C:$C,[1]AttributeName!$I:$I),2,_xlfn.XLOOKUP(C1613,[1]ModifierDes!$B:$B,[1]ModifierDes!$C:$C),3,_xlfn.XLOOKUP(C1613,[1]StuntDes!$B:$B,[1]StuntDes!$C:$C)),"")</f>
        <v>火焰抗性增加{0}</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438</v>
      </c>
      <c r="D1614" t="s">
        <v>38</v>
      </c>
      <c r="E1614" s="13" t="s">
        <v>410</v>
      </c>
      <c r="F1614"/>
      <c r="G1614">
        <v>2</v>
      </c>
      <c r="H1614">
        <v>1000</v>
      </c>
      <c r="J1614" cm="1">
        <f t="array" ref="J1614">_xlfn.SWITCH(B1614,1,75,2,61,3,49,4,37,5,25,6,13,7,4,8,1)</f>
        <v>13</v>
      </c>
      <c r="K1614" t="str" cm="1">
        <f t="array" ref="K1614">IFERROR(_xlfn.SWITCH(L1614,1,_xlfn.XLOOKUP(C1614,[1]AttributeName!$C:$C,[1]AttributeName!$I:$I),2,_xlfn.XLOOKUP(C1614,[1]ModifierDes!$B:$B,[1]ModifierDes!$C:$C),3,_xlfn.XLOOKUP(C1614,[1]StuntDes!$B:$B,[1]StuntDes!$C:$C)),"")</f>
        <v>火焰抗性增加{0}</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438</v>
      </c>
      <c r="D1615" t="s">
        <v>38</v>
      </c>
      <c r="E1615" s="13" t="s">
        <v>410</v>
      </c>
      <c r="F1615"/>
      <c r="G1615">
        <v>2</v>
      </c>
      <c r="H1615">
        <v>1000</v>
      </c>
      <c r="J1615" cm="1">
        <f t="array" ref="J1615">_xlfn.SWITCH(B1615,1,75,2,61,3,49,4,37,5,25,6,13,7,4,8,1)</f>
        <v>4</v>
      </c>
      <c r="K1615" t="str" cm="1">
        <f t="array" ref="K1615">IFERROR(_xlfn.SWITCH(L1615,1,_xlfn.XLOOKUP(C1615,[1]AttributeName!$C:$C,[1]AttributeName!$I:$I),2,_xlfn.XLOOKUP(C1615,[1]ModifierDes!$B:$B,[1]ModifierDes!$C:$C),3,_xlfn.XLOOKUP(C1615,[1]StuntDes!$B:$B,[1]StuntDes!$C:$C)),"")</f>
        <v>火焰抗性增加{0}</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438</v>
      </c>
      <c r="D1616" t="s">
        <v>38</v>
      </c>
      <c r="E1616" s="13" t="s">
        <v>410</v>
      </c>
      <c r="F1616"/>
      <c r="G1616">
        <v>2</v>
      </c>
      <c r="H1616">
        <v>1000</v>
      </c>
      <c r="J1616" cm="1">
        <f t="array" ref="J1616">_xlfn.SWITCH(B1616,1,75,2,61,3,49,4,37,5,25,6,13,7,4,8,1)</f>
        <v>1</v>
      </c>
      <c r="K1616" t="str" cm="1">
        <f t="array" ref="K1616">IFERROR(_xlfn.SWITCH(L1616,1,_xlfn.XLOOKUP(C1616,[1]AttributeName!$C:$C,[1]AttributeName!$I:$I),2,_xlfn.XLOOKUP(C1616,[1]ModifierDes!$B:$B,[1]ModifierDes!$C:$C),3,_xlfn.XLOOKUP(C1616,[1]StuntDes!$B:$B,[1]StuntDes!$C:$C)),"")</f>
        <v>火焰抗性增加{0}</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439</v>
      </c>
      <c r="D1617" t="s">
        <v>38</v>
      </c>
      <c r="E1617" s="13" t="s">
        <v>410</v>
      </c>
      <c r="F1617"/>
      <c r="G1617">
        <v>2</v>
      </c>
      <c r="H1617">
        <v>1000</v>
      </c>
      <c r="J1617" cm="1">
        <f t="array" ref="J1617">_xlfn.SWITCH(B1617,1,75,2,61,3,49,4,37,5,25,6,13,7,4,8,1)</f>
        <v>75</v>
      </c>
      <c r="K1617" t="str" cm="1">
        <f t="array" ref="K1617">IFERROR(_xlfn.SWITCH(L1617,1,_xlfn.XLOOKUP(C1617,[1]AttributeName!$C:$C,[1]AttributeName!$I:$I),2,_xlfn.XLOOKUP(C1617,[1]ModifierDes!$B:$B,[1]ModifierDes!$C:$C),3,_xlfn.XLOOKUP(C1617,[1]StuntDes!$B:$B,[1]StuntDes!$C:$C)),"")</f>
        <v>冰冷抗性增加{0}</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439</v>
      </c>
      <c r="D1618" t="s">
        <v>38</v>
      </c>
      <c r="E1618" s="13" t="s">
        <v>410</v>
      </c>
      <c r="F1618"/>
      <c r="G1618">
        <v>2</v>
      </c>
      <c r="H1618">
        <v>1000</v>
      </c>
      <c r="J1618" cm="1">
        <f t="array" ref="J1618">_xlfn.SWITCH(B1618,1,75,2,61,3,49,4,37,5,25,6,13,7,4,8,1)</f>
        <v>61</v>
      </c>
      <c r="K1618" t="str" cm="1">
        <f t="array" ref="K1618">IFERROR(_xlfn.SWITCH(L1618,1,_xlfn.XLOOKUP(C1618,[1]AttributeName!$C:$C,[1]AttributeName!$I:$I),2,_xlfn.XLOOKUP(C1618,[1]ModifierDes!$B:$B,[1]ModifierDes!$C:$C),3,_xlfn.XLOOKUP(C1618,[1]StuntDes!$B:$B,[1]StuntDes!$C:$C)),"")</f>
        <v>冰冷抗性增加{0}</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439</v>
      </c>
      <c r="D1619" t="s">
        <v>38</v>
      </c>
      <c r="E1619" s="13" t="s">
        <v>410</v>
      </c>
      <c r="F1619"/>
      <c r="G1619">
        <v>2</v>
      </c>
      <c r="H1619">
        <v>1000</v>
      </c>
      <c r="J1619" cm="1">
        <f t="array" ref="J1619">_xlfn.SWITCH(B1619,1,75,2,61,3,49,4,37,5,25,6,13,7,4,8,1)</f>
        <v>49</v>
      </c>
      <c r="K1619" t="str" cm="1">
        <f t="array" ref="K1619">IFERROR(_xlfn.SWITCH(L1619,1,_xlfn.XLOOKUP(C1619,[1]AttributeName!$C:$C,[1]AttributeName!$I:$I),2,_xlfn.XLOOKUP(C1619,[1]ModifierDes!$B:$B,[1]ModifierDes!$C:$C),3,_xlfn.XLOOKUP(C1619,[1]StuntDes!$B:$B,[1]StuntDes!$C:$C)),"")</f>
        <v>冰冷抗性增加{0}</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439</v>
      </c>
      <c r="D1620" t="s">
        <v>38</v>
      </c>
      <c r="E1620" s="13" t="s">
        <v>410</v>
      </c>
      <c r="F1620"/>
      <c r="G1620">
        <v>2</v>
      </c>
      <c r="H1620">
        <v>1000</v>
      </c>
      <c r="J1620" cm="1">
        <f t="array" ref="J1620">_xlfn.SWITCH(B1620,1,75,2,61,3,49,4,37,5,25,6,13,7,4,8,1)</f>
        <v>37</v>
      </c>
      <c r="K1620" t="str" cm="1">
        <f t="array" ref="K1620">IFERROR(_xlfn.SWITCH(L1620,1,_xlfn.XLOOKUP(C1620,[1]AttributeName!$C:$C,[1]AttributeName!$I:$I),2,_xlfn.XLOOKUP(C1620,[1]ModifierDes!$B:$B,[1]ModifierDes!$C:$C),3,_xlfn.XLOOKUP(C1620,[1]StuntDes!$B:$B,[1]StuntDes!$C:$C)),"")</f>
        <v>冰冷抗性增加{0}</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439</v>
      </c>
      <c r="D1621" t="s">
        <v>38</v>
      </c>
      <c r="E1621" s="13" t="s">
        <v>410</v>
      </c>
      <c r="F1621"/>
      <c r="G1621">
        <v>2</v>
      </c>
      <c r="H1621">
        <v>1000</v>
      </c>
      <c r="J1621" cm="1">
        <f t="array" ref="J1621">_xlfn.SWITCH(B1621,1,75,2,61,3,49,4,37,5,25,6,13,7,4,8,1)</f>
        <v>25</v>
      </c>
      <c r="K1621" t="str" cm="1">
        <f t="array" ref="K1621">IFERROR(_xlfn.SWITCH(L1621,1,_xlfn.XLOOKUP(C1621,[1]AttributeName!$C:$C,[1]AttributeName!$I:$I),2,_xlfn.XLOOKUP(C1621,[1]ModifierDes!$B:$B,[1]ModifierDes!$C:$C),3,_xlfn.XLOOKUP(C1621,[1]StuntDes!$B:$B,[1]StuntDes!$C:$C)),"")</f>
        <v>冰冷抗性增加{0}</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439</v>
      </c>
      <c r="D1622" t="s">
        <v>38</v>
      </c>
      <c r="E1622" s="13" t="s">
        <v>410</v>
      </c>
      <c r="F1622"/>
      <c r="G1622">
        <v>2</v>
      </c>
      <c r="H1622">
        <v>1000</v>
      </c>
      <c r="J1622" cm="1">
        <f t="array" ref="J1622">_xlfn.SWITCH(B1622,1,75,2,61,3,49,4,37,5,25,6,13,7,4,8,1)</f>
        <v>13</v>
      </c>
      <c r="K1622" t="str" cm="1">
        <f t="array" ref="K1622">IFERROR(_xlfn.SWITCH(L1622,1,_xlfn.XLOOKUP(C1622,[1]AttributeName!$C:$C,[1]AttributeName!$I:$I),2,_xlfn.XLOOKUP(C1622,[1]ModifierDes!$B:$B,[1]ModifierDes!$C:$C),3,_xlfn.XLOOKUP(C1622,[1]StuntDes!$B:$B,[1]StuntDes!$C:$C)),"")</f>
        <v>冰冷抗性增加{0}</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439</v>
      </c>
      <c r="D1623" t="s">
        <v>38</v>
      </c>
      <c r="E1623" s="13" t="s">
        <v>410</v>
      </c>
      <c r="F1623"/>
      <c r="G1623">
        <v>2</v>
      </c>
      <c r="H1623">
        <v>1000</v>
      </c>
      <c r="J1623" cm="1">
        <f t="array" ref="J1623">_xlfn.SWITCH(B1623,1,75,2,61,3,49,4,37,5,25,6,13,7,4,8,1)</f>
        <v>4</v>
      </c>
      <c r="K1623" t="str" cm="1">
        <f t="array" ref="K1623">IFERROR(_xlfn.SWITCH(L1623,1,_xlfn.XLOOKUP(C1623,[1]AttributeName!$C:$C,[1]AttributeName!$I:$I),2,_xlfn.XLOOKUP(C1623,[1]ModifierDes!$B:$B,[1]ModifierDes!$C:$C),3,_xlfn.XLOOKUP(C1623,[1]StuntDes!$B:$B,[1]StuntDes!$C:$C)),"")</f>
        <v>冰冷抗性增加{0}</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439</v>
      </c>
      <c r="D1624" t="s">
        <v>38</v>
      </c>
      <c r="E1624" s="13" t="s">
        <v>410</v>
      </c>
      <c r="F1624"/>
      <c r="G1624">
        <v>2</v>
      </c>
      <c r="H1624">
        <v>1000</v>
      </c>
      <c r="J1624" cm="1">
        <f t="array" ref="J1624">_xlfn.SWITCH(B1624,1,75,2,61,3,49,4,37,5,25,6,13,7,4,8,1)</f>
        <v>1</v>
      </c>
      <c r="K1624" t="str" cm="1">
        <f t="array" ref="K1624">IFERROR(_xlfn.SWITCH(L1624,1,_xlfn.XLOOKUP(C1624,[1]AttributeName!$C:$C,[1]AttributeName!$I:$I),2,_xlfn.XLOOKUP(C1624,[1]ModifierDes!$B:$B,[1]ModifierDes!$C:$C),3,_xlfn.XLOOKUP(C1624,[1]StuntDes!$B:$B,[1]StuntDes!$C:$C)),"")</f>
        <v>冰冷抗性增加{0}</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440</v>
      </c>
      <c r="D1625" t="s">
        <v>38</v>
      </c>
      <c r="E1625" s="13" t="s">
        <v>410</v>
      </c>
      <c r="F1625"/>
      <c r="G1625">
        <v>2</v>
      </c>
      <c r="H1625">
        <v>1000</v>
      </c>
      <c r="I1625"/>
      <c r="J1625" cm="1">
        <f t="array" ref="J1625">_xlfn.SWITCH(B1625,1,75,2,61,3,49,4,37,5,25,6,13,7,4,8,1)</f>
        <v>75</v>
      </c>
      <c r="K1625" t="str" cm="1">
        <f t="array" ref="K1625">IFERROR(_xlfn.SWITCH(L1625,1,_xlfn.XLOOKUP(C1625,[1]AttributeName!$C:$C,[1]AttributeName!$I:$I),2,_xlfn.XLOOKUP(C1625,[1]ModifierDes!$B:$B,[1]ModifierDes!$C:$C),3,_xlfn.XLOOKUP(C1625,[1]StuntDes!$B:$B,[1]StuntDes!$C:$C)),"")</f>
        <v>闪电抗性增加{0}</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440</v>
      </c>
      <c r="D1626" t="s">
        <v>38</v>
      </c>
      <c r="E1626" s="13" t="s">
        <v>410</v>
      </c>
      <c r="F1626"/>
      <c r="G1626">
        <v>2</v>
      </c>
      <c r="H1626">
        <v>1000</v>
      </c>
      <c r="I1626"/>
      <c r="J1626" cm="1">
        <f t="array" ref="J1626">_xlfn.SWITCH(B1626,1,75,2,61,3,49,4,37,5,25,6,13,7,4,8,1)</f>
        <v>61</v>
      </c>
      <c r="K1626" t="str" cm="1">
        <f t="array" ref="K1626">IFERROR(_xlfn.SWITCH(L1626,1,_xlfn.XLOOKUP(C1626,[1]AttributeName!$C:$C,[1]AttributeName!$I:$I),2,_xlfn.XLOOKUP(C1626,[1]ModifierDes!$B:$B,[1]ModifierDes!$C:$C),3,_xlfn.XLOOKUP(C1626,[1]StuntDes!$B:$B,[1]StuntDes!$C:$C)),"")</f>
        <v>闪电抗性增加{0}</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440</v>
      </c>
      <c r="D1627" t="s">
        <v>38</v>
      </c>
      <c r="E1627" s="13" t="s">
        <v>410</v>
      </c>
      <c r="F1627"/>
      <c r="G1627">
        <v>2</v>
      </c>
      <c r="H1627">
        <v>1000</v>
      </c>
      <c r="I1627"/>
      <c r="J1627" cm="1">
        <f t="array" ref="J1627">_xlfn.SWITCH(B1627,1,75,2,61,3,49,4,37,5,25,6,13,7,4,8,1)</f>
        <v>49</v>
      </c>
      <c r="K1627" t="str" cm="1">
        <f t="array" ref="K1627">IFERROR(_xlfn.SWITCH(L1627,1,_xlfn.XLOOKUP(C1627,[1]AttributeName!$C:$C,[1]AttributeName!$I:$I),2,_xlfn.XLOOKUP(C1627,[1]ModifierDes!$B:$B,[1]ModifierDes!$C:$C),3,_xlfn.XLOOKUP(C1627,[1]StuntDes!$B:$B,[1]StuntDes!$C:$C)),"")</f>
        <v>闪电抗性增加{0}</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440</v>
      </c>
      <c r="D1628" t="s">
        <v>38</v>
      </c>
      <c r="E1628" s="13" t="s">
        <v>410</v>
      </c>
      <c r="F1628"/>
      <c r="G1628">
        <v>2</v>
      </c>
      <c r="H1628">
        <v>1000</v>
      </c>
      <c r="I1628"/>
      <c r="J1628" cm="1">
        <f t="array" ref="J1628">_xlfn.SWITCH(B1628,1,75,2,61,3,49,4,37,5,25,6,13,7,4,8,1)</f>
        <v>37</v>
      </c>
      <c r="K1628" t="str" cm="1">
        <f t="array" ref="K1628">IFERROR(_xlfn.SWITCH(L1628,1,_xlfn.XLOOKUP(C1628,[1]AttributeName!$C:$C,[1]AttributeName!$I:$I),2,_xlfn.XLOOKUP(C1628,[1]ModifierDes!$B:$B,[1]ModifierDes!$C:$C),3,_xlfn.XLOOKUP(C1628,[1]StuntDes!$B:$B,[1]StuntDes!$C:$C)),"")</f>
        <v>闪电抗性增加{0}</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440</v>
      </c>
      <c r="D1629" t="s">
        <v>38</v>
      </c>
      <c r="E1629" s="13" t="s">
        <v>410</v>
      </c>
      <c r="F1629"/>
      <c r="G1629">
        <v>2</v>
      </c>
      <c r="H1629">
        <v>1000</v>
      </c>
      <c r="I1629"/>
      <c r="J1629" cm="1">
        <f t="array" ref="J1629">_xlfn.SWITCH(B1629,1,75,2,61,3,49,4,37,5,25,6,13,7,4,8,1)</f>
        <v>25</v>
      </c>
      <c r="K1629" t="str" cm="1">
        <f t="array" ref="K1629">IFERROR(_xlfn.SWITCH(L1629,1,_xlfn.XLOOKUP(C1629,[1]AttributeName!$C:$C,[1]AttributeName!$I:$I),2,_xlfn.XLOOKUP(C1629,[1]ModifierDes!$B:$B,[1]ModifierDes!$C:$C),3,_xlfn.XLOOKUP(C1629,[1]StuntDes!$B:$B,[1]StuntDes!$C:$C)),"")</f>
        <v>闪电抗性增加{0}</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440</v>
      </c>
      <c r="D1630" t="s">
        <v>38</v>
      </c>
      <c r="E1630" s="13" t="s">
        <v>410</v>
      </c>
      <c r="F1630"/>
      <c r="G1630">
        <v>2</v>
      </c>
      <c r="H1630">
        <v>1000</v>
      </c>
      <c r="I1630"/>
      <c r="J1630" cm="1">
        <f t="array" ref="J1630">_xlfn.SWITCH(B1630,1,75,2,61,3,49,4,37,5,25,6,13,7,4,8,1)</f>
        <v>13</v>
      </c>
      <c r="K1630" t="str" cm="1">
        <f t="array" ref="K1630">IFERROR(_xlfn.SWITCH(L1630,1,_xlfn.XLOOKUP(C1630,[1]AttributeName!$C:$C,[1]AttributeName!$I:$I),2,_xlfn.XLOOKUP(C1630,[1]ModifierDes!$B:$B,[1]ModifierDes!$C:$C),3,_xlfn.XLOOKUP(C1630,[1]StuntDes!$B:$B,[1]StuntDes!$C:$C)),"")</f>
        <v>闪电抗性增加{0}</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440</v>
      </c>
      <c r="D1631" t="s">
        <v>38</v>
      </c>
      <c r="E1631" s="13" t="s">
        <v>410</v>
      </c>
      <c r="F1631"/>
      <c r="G1631">
        <v>2</v>
      </c>
      <c r="H1631">
        <v>1000</v>
      </c>
      <c r="I1631"/>
      <c r="J1631" cm="1">
        <f t="array" ref="J1631">_xlfn.SWITCH(B1631,1,75,2,61,3,49,4,37,5,25,6,13,7,4,8,1)</f>
        <v>4</v>
      </c>
      <c r="K1631" t="str" cm="1">
        <f t="array" ref="K1631">IFERROR(_xlfn.SWITCH(L1631,1,_xlfn.XLOOKUP(C1631,[1]AttributeName!$C:$C,[1]AttributeName!$I:$I),2,_xlfn.XLOOKUP(C1631,[1]ModifierDes!$B:$B,[1]ModifierDes!$C:$C),3,_xlfn.XLOOKUP(C1631,[1]StuntDes!$B:$B,[1]StuntDes!$C:$C)),"")</f>
        <v>闪电抗性增加{0}</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440</v>
      </c>
      <c r="D1632" t="s">
        <v>38</v>
      </c>
      <c r="E1632" s="13" t="s">
        <v>410</v>
      </c>
      <c r="F1632"/>
      <c r="G1632">
        <v>2</v>
      </c>
      <c r="H1632">
        <v>1000</v>
      </c>
      <c r="I1632"/>
      <c r="J1632" cm="1">
        <f t="array" ref="J1632">_xlfn.SWITCH(B1632,1,75,2,61,3,49,4,37,5,25,6,13,7,4,8,1)</f>
        <v>1</v>
      </c>
      <c r="K1632" t="str" cm="1">
        <f t="array" ref="K1632">IFERROR(_xlfn.SWITCH(L1632,1,_xlfn.XLOOKUP(C1632,[1]AttributeName!$C:$C,[1]AttributeName!$I:$I),2,_xlfn.XLOOKUP(C1632,[1]ModifierDes!$B:$B,[1]ModifierDes!$C:$C),3,_xlfn.XLOOKUP(C1632,[1]StuntDes!$B:$B,[1]StuntDes!$C:$C)),"")</f>
        <v>闪电抗性增加{0}</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441</v>
      </c>
      <c r="D1633" t="s">
        <v>38</v>
      </c>
      <c r="E1633" s="13" t="s">
        <v>410</v>
      </c>
      <c r="F1633"/>
      <c r="G1633">
        <v>2</v>
      </c>
      <c r="H1633">
        <v>250</v>
      </c>
      <c r="I1633"/>
      <c r="J1633" cm="1">
        <f t="array" ref="J1633">_xlfn.SWITCH(B1633,1,75,2,61,3,49,4,37,5,25,6,13,7,4,8,1)</f>
        <v>75</v>
      </c>
      <c r="K1633" t="str" cm="1">
        <f t="array" ref="K1633">IFERROR(_xlfn.SWITCH(L1633,1,_xlfn.XLOOKUP(C1633,[1]AttributeName!$C:$C,[1]AttributeName!$I:$I),2,_xlfn.XLOOKUP(C1633,[1]ModifierDes!$B:$B,[1]ModifierDes!$C:$C),3,_xlfn.XLOOKUP(C1633,[1]StuntDes!$B:$B,[1]StuntDes!$C:$C)),"")</f>
        <v>混沌抗性增加{0}</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441</v>
      </c>
      <c r="D1634" t="s">
        <v>38</v>
      </c>
      <c r="E1634" s="13" t="s">
        <v>410</v>
      </c>
      <c r="F1634"/>
      <c r="G1634">
        <v>2</v>
      </c>
      <c r="H1634">
        <v>250</v>
      </c>
      <c r="I1634"/>
      <c r="J1634" cm="1">
        <f t="array" ref="J1634">_xlfn.SWITCH(B1634,1,75,2,61,3,49,4,37,5,25,6,13,7,4,8,1)</f>
        <v>61</v>
      </c>
      <c r="K1634" t="str" cm="1">
        <f t="array" ref="K1634">IFERROR(_xlfn.SWITCH(L1634,1,_xlfn.XLOOKUP(C1634,[1]AttributeName!$C:$C,[1]AttributeName!$I:$I),2,_xlfn.XLOOKUP(C1634,[1]ModifierDes!$B:$B,[1]ModifierDes!$C:$C),3,_xlfn.XLOOKUP(C1634,[1]StuntDes!$B:$B,[1]StuntDes!$C:$C)),"")</f>
        <v>混沌抗性增加{0}</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441</v>
      </c>
      <c r="D1635" t="s">
        <v>38</v>
      </c>
      <c r="E1635" s="13" t="s">
        <v>410</v>
      </c>
      <c r="F1635"/>
      <c r="G1635">
        <v>2</v>
      </c>
      <c r="H1635">
        <v>250</v>
      </c>
      <c r="I1635"/>
      <c r="J1635" cm="1">
        <f t="array" ref="J1635">_xlfn.SWITCH(B1635,1,75,2,61,3,49,4,37,5,25,6,13,7,4,8,1)</f>
        <v>49</v>
      </c>
      <c r="K1635" t="str" cm="1">
        <f t="array" ref="K1635">IFERROR(_xlfn.SWITCH(L1635,1,_xlfn.XLOOKUP(C1635,[1]AttributeName!$C:$C,[1]AttributeName!$I:$I),2,_xlfn.XLOOKUP(C1635,[1]ModifierDes!$B:$B,[1]ModifierDes!$C:$C),3,_xlfn.XLOOKUP(C1635,[1]StuntDes!$B:$B,[1]StuntDes!$C:$C)),"")</f>
        <v>混沌抗性增加{0}</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441</v>
      </c>
      <c r="D1636" t="s">
        <v>38</v>
      </c>
      <c r="E1636" s="13" t="s">
        <v>410</v>
      </c>
      <c r="F1636"/>
      <c r="G1636">
        <v>2</v>
      </c>
      <c r="H1636">
        <v>250</v>
      </c>
      <c r="I1636"/>
      <c r="J1636" cm="1">
        <f t="array" ref="J1636">_xlfn.SWITCH(B1636,1,75,2,61,3,49,4,37,5,25,6,13,7,4,8,1)</f>
        <v>37</v>
      </c>
      <c r="K1636" t="str" cm="1">
        <f t="array" ref="K1636">IFERROR(_xlfn.SWITCH(L1636,1,_xlfn.XLOOKUP(C1636,[1]AttributeName!$C:$C,[1]AttributeName!$I:$I),2,_xlfn.XLOOKUP(C1636,[1]ModifierDes!$B:$B,[1]ModifierDes!$C:$C),3,_xlfn.XLOOKUP(C1636,[1]StuntDes!$B:$B,[1]StuntDes!$C:$C)),"")</f>
        <v>混沌抗性增加{0}</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441</v>
      </c>
      <c r="D1637" t="s">
        <v>38</v>
      </c>
      <c r="E1637" s="13" t="s">
        <v>410</v>
      </c>
      <c r="F1637"/>
      <c r="G1637">
        <v>2</v>
      </c>
      <c r="H1637">
        <v>250</v>
      </c>
      <c r="I1637"/>
      <c r="J1637" cm="1">
        <f t="array" ref="J1637">_xlfn.SWITCH(B1637,1,75,2,61,3,49,4,37,5,25,6,13,7,4,8,1)</f>
        <v>25</v>
      </c>
      <c r="K1637" t="str" cm="1">
        <f t="array" ref="K1637">IFERROR(_xlfn.SWITCH(L1637,1,_xlfn.XLOOKUP(C1637,[1]AttributeName!$C:$C,[1]AttributeName!$I:$I),2,_xlfn.XLOOKUP(C1637,[1]ModifierDes!$B:$B,[1]ModifierDes!$C:$C),3,_xlfn.XLOOKUP(C1637,[1]StuntDes!$B:$B,[1]StuntDes!$C:$C)),"")</f>
        <v>混沌抗性增加{0}</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441</v>
      </c>
      <c r="D1638" t="s">
        <v>38</v>
      </c>
      <c r="E1638" s="13" t="s">
        <v>410</v>
      </c>
      <c r="F1638"/>
      <c r="G1638">
        <v>2</v>
      </c>
      <c r="H1638">
        <v>250</v>
      </c>
      <c r="I1638"/>
      <c r="J1638" cm="1">
        <f t="array" ref="J1638">_xlfn.SWITCH(B1638,1,75,2,61,3,49,4,37,5,25,6,13,7,4,8,1)</f>
        <v>13</v>
      </c>
      <c r="K1638" t="str" cm="1">
        <f t="array" ref="K1638">IFERROR(_xlfn.SWITCH(L1638,1,_xlfn.XLOOKUP(C1638,[1]AttributeName!$C:$C,[1]AttributeName!$I:$I),2,_xlfn.XLOOKUP(C1638,[1]ModifierDes!$B:$B,[1]ModifierDes!$C:$C),3,_xlfn.XLOOKUP(C1638,[1]StuntDes!$B:$B,[1]StuntDes!$C:$C)),"")</f>
        <v>混沌抗性增加{0}</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441</v>
      </c>
      <c r="D1639" t="s">
        <v>38</v>
      </c>
      <c r="E1639" s="13" t="s">
        <v>410</v>
      </c>
      <c r="F1639"/>
      <c r="G1639">
        <v>2</v>
      </c>
      <c r="H1639">
        <v>250</v>
      </c>
      <c r="I1639"/>
      <c r="J1639" cm="1">
        <f t="array" ref="J1639">_xlfn.SWITCH(B1639,1,75,2,61,3,49,4,37,5,25,6,13,7,4,8,1)</f>
        <v>4</v>
      </c>
      <c r="K1639" t="str" cm="1">
        <f t="array" ref="K1639">IFERROR(_xlfn.SWITCH(L1639,1,_xlfn.XLOOKUP(C1639,[1]AttributeName!$C:$C,[1]AttributeName!$I:$I),2,_xlfn.XLOOKUP(C1639,[1]ModifierDes!$B:$B,[1]ModifierDes!$C:$C),3,_xlfn.XLOOKUP(C1639,[1]StuntDes!$B:$B,[1]StuntDes!$C:$C)),"")</f>
        <v>混沌抗性增加{0}</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441</v>
      </c>
      <c r="D1640" t="s">
        <v>38</v>
      </c>
      <c r="E1640" s="13" t="s">
        <v>410</v>
      </c>
      <c r="F1640"/>
      <c r="G1640">
        <v>2</v>
      </c>
      <c r="H1640">
        <v>250</v>
      </c>
      <c r="I1640"/>
      <c r="J1640" cm="1">
        <f t="array" ref="J1640">_xlfn.SWITCH(B1640,1,75,2,61,3,49,4,37,5,25,6,13,7,4,8,1)</f>
        <v>1</v>
      </c>
      <c r="K1640" t="str" cm="1">
        <f t="array" ref="K1640">IFERROR(_xlfn.SWITCH(L1640,1,_xlfn.XLOOKUP(C1640,[1]AttributeName!$C:$C,[1]AttributeName!$I:$I),2,_xlfn.XLOOKUP(C1640,[1]ModifierDes!$B:$B,[1]ModifierDes!$C:$C),3,_xlfn.XLOOKUP(C1640,[1]StuntDes!$B:$B,[1]StuntDes!$C:$C)),"")</f>
        <v>混沌抗性增加{0}</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452</v>
      </c>
      <c r="D1641" t="s">
        <v>38</v>
      </c>
      <c r="E1641" s="13" t="s">
        <v>410</v>
      </c>
      <c r="F1641"/>
      <c r="G1641">
        <v>2</v>
      </c>
      <c r="H1641">
        <v>250</v>
      </c>
      <c r="I1641"/>
      <c r="J1641" cm="1">
        <f t="array" ref="J1641">_xlfn.SWITCH(B1641,1,75,2,61,3,49,4,37,5,25,6,13,7,4,8,1)</f>
        <v>75</v>
      </c>
      <c r="K1641" t="str" cm="1">
        <f t="array" ref="K1641">IFERROR(_xlfn.SWITCH(L1641,1,_xlfn.XLOOKUP(C1641,[1]AttributeName!$C:$C,[1]AttributeName!$I:$I),2,_xlfn.XLOOKUP(C1641,[1]ModifierDes!$B:$B,[1]ModifierDes!$C:$C),3,_xlfn.XLOOKUP(C1641,[1]StuntDes!$B:$B,[1]StuntDes!$C:$C)),"")</f>
        <v>元素抗性增加{0}</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452</v>
      </c>
      <c r="D1642" t="s">
        <v>38</v>
      </c>
      <c r="E1642" s="13" t="s">
        <v>410</v>
      </c>
      <c r="F1642"/>
      <c r="G1642">
        <v>2</v>
      </c>
      <c r="H1642">
        <v>250</v>
      </c>
      <c r="I1642"/>
      <c r="J1642" cm="1">
        <f t="array" ref="J1642">_xlfn.SWITCH(B1642,1,75,2,61,3,49,4,37,5,25,6,13,7,4,8,1)</f>
        <v>61</v>
      </c>
      <c r="K1642" t="str" cm="1">
        <f t="array" ref="K1642">IFERROR(_xlfn.SWITCH(L1642,1,_xlfn.XLOOKUP(C1642,[1]AttributeName!$C:$C,[1]AttributeName!$I:$I),2,_xlfn.XLOOKUP(C1642,[1]ModifierDes!$B:$B,[1]ModifierDes!$C:$C),3,_xlfn.XLOOKUP(C1642,[1]StuntDes!$B:$B,[1]StuntDes!$C:$C)),"")</f>
        <v>元素抗性增加{0}</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452</v>
      </c>
      <c r="D1643" t="s">
        <v>38</v>
      </c>
      <c r="E1643" s="13" t="s">
        <v>410</v>
      </c>
      <c r="F1643"/>
      <c r="G1643">
        <v>2</v>
      </c>
      <c r="H1643">
        <v>250</v>
      </c>
      <c r="I1643"/>
      <c r="J1643" cm="1">
        <f t="array" ref="J1643">_xlfn.SWITCH(B1643,1,75,2,61,3,49,4,37,5,25,6,13,7,4,8,1)</f>
        <v>49</v>
      </c>
      <c r="K1643" t="str" cm="1">
        <f t="array" ref="K1643">IFERROR(_xlfn.SWITCH(L1643,1,_xlfn.XLOOKUP(C1643,[1]AttributeName!$C:$C,[1]AttributeName!$I:$I),2,_xlfn.XLOOKUP(C1643,[1]ModifierDes!$B:$B,[1]ModifierDes!$C:$C),3,_xlfn.XLOOKUP(C1643,[1]StuntDes!$B:$B,[1]StuntDes!$C:$C)),"")</f>
        <v>元素抗性增加{0}</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452</v>
      </c>
      <c r="D1644" t="s">
        <v>38</v>
      </c>
      <c r="E1644" s="13" t="s">
        <v>410</v>
      </c>
      <c r="F1644"/>
      <c r="G1644">
        <v>2</v>
      </c>
      <c r="H1644">
        <v>250</v>
      </c>
      <c r="I1644"/>
      <c r="J1644" cm="1">
        <f t="array" ref="J1644">_xlfn.SWITCH(B1644,1,75,2,61,3,49,4,37,5,25,6,13,7,4,8,1)</f>
        <v>37</v>
      </c>
      <c r="K1644" t="str" cm="1">
        <f t="array" ref="K1644">IFERROR(_xlfn.SWITCH(L1644,1,_xlfn.XLOOKUP(C1644,[1]AttributeName!$C:$C,[1]AttributeName!$I:$I),2,_xlfn.XLOOKUP(C1644,[1]ModifierDes!$B:$B,[1]ModifierDes!$C:$C),3,_xlfn.XLOOKUP(C1644,[1]StuntDes!$B:$B,[1]StuntDes!$C:$C)),"")</f>
        <v>元素抗性增加{0}</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452</v>
      </c>
      <c r="D1645" t="s">
        <v>38</v>
      </c>
      <c r="E1645" s="13" t="s">
        <v>410</v>
      </c>
      <c r="F1645"/>
      <c r="G1645">
        <v>2</v>
      </c>
      <c r="H1645">
        <v>250</v>
      </c>
      <c r="I1645"/>
      <c r="J1645" cm="1">
        <f t="array" ref="J1645">_xlfn.SWITCH(B1645,1,75,2,61,3,49,4,37,5,25,6,13,7,4,8,1)</f>
        <v>25</v>
      </c>
      <c r="K1645" t="str" cm="1">
        <f t="array" ref="K1645">IFERROR(_xlfn.SWITCH(L1645,1,_xlfn.XLOOKUP(C1645,[1]AttributeName!$C:$C,[1]AttributeName!$I:$I),2,_xlfn.XLOOKUP(C1645,[1]ModifierDes!$B:$B,[1]ModifierDes!$C:$C),3,_xlfn.XLOOKUP(C1645,[1]StuntDes!$B:$B,[1]StuntDes!$C:$C)),"")</f>
        <v>元素抗性增加{0}</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452</v>
      </c>
      <c r="D1646" t="s">
        <v>38</v>
      </c>
      <c r="E1646" s="13" t="s">
        <v>410</v>
      </c>
      <c r="F1646"/>
      <c r="G1646">
        <v>2</v>
      </c>
      <c r="H1646">
        <v>250</v>
      </c>
      <c r="I1646"/>
      <c r="J1646" cm="1">
        <f t="array" ref="J1646">_xlfn.SWITCH(B1646,1,75,2,61,3,49,4,37,5,25,6,13,7,4,8,1)</f>
        <v>13</v>
      </c>
      <c r="K1646" t="str" cm="1">
        <f t="array" ref="K1646">IFERROR(_xlfn.SWITCH(L1646,1,_xlfn.XLOOKUP(C1646,[1]AttributeName!$C:$C,[1]AttributeName!$I:$I),2,_xlfn.XLOOKUP(C1646,[1]ModifierDes!$B:$B,[1]ModifierDes!$C:$C),3,_xlfn.XLOOKUP(C1646,[1]StuntDes!$B:$B,[1]StuntDes!$C:$C)),"")</f>
        <v>元素抗性增加{0}</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452</v>
      </c>
      <c r="D1647" t="s">
        <v>38</v>
      </c>
      <c r="E1647" s="13" t="s">
        <v>410</v>
      </c>
      <c r="F1647"/>
      <c r="G1647">
        <v>2</v>
      </c>
      <c r="H1647">
        <v>250</v>
      </c>
      <c r="I1647"/>
      <c r="J1647" cm="1">
        <f t="array" ref="J1647">_xlfn.SWITCH(B1647,1,75,2,61,3,49,4,37,5,25,6,13,7,4,8,1)</f>
        <v>4</v>
      </c>
      <c r="K1647" t="str" cm="1">
        <f t="array" ref="K1647">IFERROR(_xlfn.SWITCH(L1647,1,_xlfn.XLOOKUP(C1647,[1]AttributeName!$C:$C,[1]AttributeName!$I:$I),2,_xlfn.XLOOKUP(C1647,[1]ModifierDes!$B:$B,[1]ModifierDes!$C:$C),3,_xlfn.XLOOKUP(C1647,[1]StuntDes!$B:$B,[1]StuntDes!$C:$C)),"")</f>
        <v>元素抗性增加{0}</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452</v>
      </c>
      <c r="D1648" t="s">
        <v>38</v>
      </c>
      <c r="E1648" s="13" t="s">
        <v>410</v>
      </c>
      <c r="F1648"/>
      <c r="G1648">
        <v>2</v>
      </c>
      <c r="H1648">
        <v>250</v>
      </c>
      <c r="I1648"/>
      <c r="J1648" cm="1">
        <f t="array" ref="J1648">_xlfn.SWITCH(B1648,1,75,2,61,3,49,4,37,5,25,6,13,7,4,8,1)</f>
        <v>1</v>
      </c>
      <c r="K1648" t="str" cm="1">
        <f t="array" ref="K1648">IFERROR(_xlfn.SWITCH(L1648,1,_xlfn.XLOOKUP(C1648,[1]AttributeName!$C:$C,[1]AttributeName!$I:$I),2,_xlfn.XLOOKUP(C1648,[1]ModifierDes!$B:$B,[1]ModifierDes!$C:$C),3,_xlfn.XLOOKUP(C1648,[1]StuntDes!$B:$B,[1]StuntDes!$C:$C)),"")</f>
        <v>元素抗性增加{0}</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461</v>
      </c>
      <c r="D1649" t="s">
        <v>38</v>
      </c>
      <c r="E1649" s="13" t="s">
        <v>410</v>
      </c>
      <c r="G1649">
        <v>2</v>
      </c>
      <c r="H1649">
        <v>25</v>
      </c>
      <c r="I1649">
        <v>2</v>
      </c>
      <c r="J1649" cm="1">
        <f t="array" ref="J1649">_xlfn.SWITCH(B1649,1,75,2,61,3,49,4,37,5,25,6,13,7,4,8,1)</f>
        <v>75</v>
      </c>
      <c r="K1649" t="str" cm="1">
        <f t="array" ref="K1649">IFERROR(_xlfn.SWITCH(L1649,1,_xlfn.XLOOKUP(C1649,[1]AttributeName!$C:$C,[1]AttributeName!$I:$I),2,_xlfn.XLOOKUP(C1649,[1]ModifierDes!$B:$B,[1]ModifierDes!$C:$C),3,_xlfn.XLOOKUP(C1649,[1]StuntDes!$B:$B,[1]StuntDes!$C:$C)),"")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461</v>
      </c>
      <c r="D1650" t="s">
        <v>38</v>
      </c>
      <c r="E1650" s="13" t="s">
        <v>410</v>
      </c>
      <c r="G1650">
        <v>2</v>
      </c>
      <c r="H1650">
        <v>100</v>
      </c>
      <c r="I1650">
        <v>2</v>
      </c>
      <c r="J1650" cm="1">
        <f t="array" ref="J1650">_xlfn.SWITCH(B1650,1,75,2,61,3,49,4,37,5,25,6,13,7,4,8,1)</f>
        <v>49</v>
      </c>
      <c r="K1650" t="str" cm="1">
        <f t="array" ref="K1650">IFERROR(_xlfn.SWITCH(L1650,1,_xlfn.XLOOKUP(C1650,[1]AttributeName!$C:$C,[1]AttributeName!$I:$I),2,_xlfn.XLOOKUP(C1650,[1]ModifierDes!$B:$B,[1]ModifierDes!$C:$C),3,_xlfn.XLOOKUP(C1650,[1]StuntDes!$B:$B,[1]StuntDes!$C:$C)),"")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461</v>
      </c>
      <c r="D1651" t="s">
        <v>38</v>
      </c>
      <c r="E1651" s="13" t="s">
        <v>410</v>
      </c>
      <c r="G1651">
        <v>2</v>
      </c>
      <c r="H1651">
        <v>400</v>
      </c>
      <c r="I1651">
        <v>2</v>
      </c>
      <c r="J1651" cm="1">
        <f t="array" ref="J1651">_xlfn.SWITCH(B1651,1,75,2,61,3,49,4,37,5,25,6,13,7,4,8,1)</f>
        <v>25</v>
      </c>
      <c r="K1651" t="str" cm="1">
        <f t="array" ref="K1651">IFERROR(_xlfn.SWITCH(L1651,1,_xlfn.XLOOKUP(C1651,[1]AttributeName!$C:$C,[1]AttributeName!$I:$I),2,_xlfn.XLOOKUP(C1651,[1]ModifierDes!$B:$B,[1]ModifierDes!$C:$C),3,_xlfn.XLOOKUP(C1651,[1]StuntDes!$B:$B,[1]StuntDes!$C:$C)),"")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411</v>
      </c>
      <c r="D1652" t="s">
        <v>38</v>
      </c>
      <c r="E1652" s="13" t="s">
        <v>410</v>
      </c>
      <c r="F1652"/>
      <c r="G1652">
        <v>2</v>
      </c>
      <c r="H1652">
        <v>25</v>
      </c>
      <c r="I1652">
        <v>2</v>
      </c>
      <c r="J1652" cm="1">
        <f t="array" ref="J1652">_xlfn.SWITCH(B1652,1,75,2,61,3,49,4,37,5,25,6,13,7,4,8,1)</f>
        <v>75</v>
      </c>
      <c r="K1652" t="str" cm="1">
        <f t="array" ref="K1652">IFERROR(_xlfn.SWITCH(L1652,1,_xlfn.XLOOKUP(C1652,[1]AttributeName!$C:$C,[1]AttributeName!$I:$I),2,_xlfn.XLOOKUP(C1652,[1]ModifierDes!$B:$B,[1]ModifierDes!$C:$C),3,_xlfn.XLOOKUP(C1652,[1]StuntDes!$B:$B,[1]StuntDes!$C:$C)),"")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411</v>
      </c>
      <c r="D1653" t="s">
        <v>38</v>
      </c>
      <c r="E1653" s="13" t="s">
        <v>410</v>
      </c>
      <c r="F1653"/>
      <c r="G1653">
        <v>2</v>
      </c>
      <c r="H1653">
        <v>100</v>
      </c>
      <c r="I1653">
        <v>2</v>
      </c>
      <c r="J1653" cm="1">
        <f t="array" ref="J1653">_xlfn.SWITCH(B1653,1,75,2,61,3,49,4,37,5,25,6,13,7,4,8,1)</f>
        <v>49</v>
      </c>
      <c r="K1653" t="str" cm="1">
        <f t="array" ref="K1653">IFERROR(_xlfn.SWITCH(L1653,1,_xlfn.XLOOKUP(C1653,[1]AttributeName!$C:$C,[1]AttributeName!$I:$I),2,_xlfn.XLOOKUP(C1653,[1]ModifierDes!$B:$B,[1]ModifierDes!$C:$C),3,_xlfn.XLOOKUP(C1653,[1]StuntDes!$B:$B,[1]StuntDes!$C:$C)),"")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411</v>
      </c>
      <c r="D1654" t="s">
        <v>38</v>
      </c>
      <c r="E1654" s="13" t="s">
        <v>410</v>
      </c>
      <c r="F1654"/>
      <c r="G1654">
        <v>2</v>
      </c>
      <c r="H1654">
        <v>400</v>
      </c>
      <c r="I1654">
        <v>2</v>
      </c>
      <c r="J1654" cm="1">
        <f t="array" ref="J1654">_xlfn.SWITCH(B1654,1,75,2,61,3,49,4,37,5,25,6,13,7,4,8,1)</f>
        <v>25</v>
      </c>
      <c r="K1654" t="str" cm="1">
        <f t="array" ref="K1654">IFERROR(_xlfn.SWITCH(L1654,1,_xlfn.XLOOKUP(C1654,[1]AttributeName!$C:$C,[1]AttributeName!$I:$I),2,_xlfn.XLOOKUP(C1654,[1]ModifierDes!$B:$B,[1]ModifierDes!$C:$C),3,_xlfn.XLOOKUP(C1654,[1]StuntDes!$B:$B,[1]StuntDes!$C:$C)),"")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412</v>
      </c>
      <c r="D1655" t="s">
        <v>38</v>
      </c>
      <c r="E1655" s="13" t="s">
        <v>410</v>
      </c>
      <c r="F1655"/>
      <c r="G1655">
        <v>2</v>
      </c>
      <c r="H1655">
        <v>25</v>
      </c>
      <c r="I1655">
        <v>2</v>
      </c>
      <c r="J1655" cm="1">
        <f t="array" ref="J1655">_xlfn.SWITCH(B1655,1,75,2,61,3,49,4,37,5,25,6,13,7,4,8,1)</f>
        <v>75</v>
      </c>
      <c r="K1655" t="str" cm="1">
        <f t="array" ref="K1655">IFERROR(_xlfn.SWITCH(L1655,1,_xlfn.XLOOKUP(C1655,[1]AttributeName!$C:$C,[1]AttributeName!$I:$I),2,_xlfn.XLOOKUP(C1655,[1]ModifierDes!$B:$B,[1]ModifierDes!$C:$C),3,_xlfn.XLOOKUP(C1655,[1]StuntDes!$B:$B,[1]StuntDes!$C:$C)),"")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412</v>
      </c>
      <c r="D1656" t="s">
        <v>38</v>
      </c>
      <c r="E1656" s="13" t="s">
        <v>410</v>
      </c>
      <c r="F1656"/>
      <c r="G1656">
        <v>2</v>
      </c>
      <c r="H1656">
        <v>100</v>
      </c>
      <c r="I1656">
        <v>2</v>
      </c>
      <c r="J1656" cm="1">
        <f t="array" ref="J1656">_xlfn.SWITCH(B1656,1,75,2,61,3,49,4,37,5,25,6,13,7,4,8,1)</f>
        <v>49</v>
      </c>
      <c r="K1656" t="str" cm="1">
        <f t="array" ref="K1656">IFERROR(_xlfn.SWITCH(L1656,1,_xlfn.XLOOKUP(C1656,[1]AttributeName!$C:$C,[1]AttributeName!$I:$I),2,_xlfn.XLOOKUP(C1656,[1]ModifierDes!$B:$B,[1]ModifierDes!$C:$C),3,_xlfn.XLOOKUP(C1656,[1]StuntDes!$B:$B,[1]StuntDes!$C:$C)),"")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412</v>
      </c>
      <c r="D1657" t="s">
        <v>38</v>
      </c>
      <c r="E1657" s="13" t="s">
        <v>410</v>
      </c>
      <c r="F1657"/>
      <c r="G1657">
        <v>2</v>
      </c>
      <c r="H1657">
        <v>400</v>
      </c>
      <c r="I1657">
        <v>2</v>
      </c>
      <c r="J1657" cm="1">
        <f t="array" ref="J1657">_xlfn.SWITCH(B1657,1,75,2,61,3,49,4,37,5,25,6,13,7,4,8,1)</f>
        <v>25</v>
      </c>
      <c r="K1657" t="str" cm="1">
        <f t="array" ref="K1657">IFERROR(_xlfn.SWITCH(L1657,1,_xlfn.XLOOKUP(C1657,[1]AttributeName!$C:$C,[1]AttributeName!$I:$I),2,_xlfn.XLOOKUP(C1657,[1]ModifierDes!$B:$B,[1]ModifierDes!$C:$C),3,_xlfn.XLOOKUP(C1657,[1]StuntDes!$B:$B,[1]StuntDes!$C:$C)),"")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413</v>
      </c>
      <c r="D1658" t="s">
        <v>38</v>
      </c>
      <c r="E1658" s="13" t="s">
        <v>410</v>
      </c>
      <c r="F1658"/>
      <c r="G1658">
        <v>2</v>
      </c>
      <c r="H1658">
        <v>25</v>
      </c>
      <c r="I1658">
        <v>2</v>
      </c>
      <c r="J1658" cm="1">
        <f t="array" ref="J1658">_xlfn.SWITCH(B1658,1,75,2,61,3,49,4,37,5,25,6,13,7,4,8,1)</f>
        <v>75</v>
      </c>
      <c r="K1658" t="str" cm="1">
        <f t="array" ref="K1658">IFERROR(_xlfn.SWITCH(L1658,1,_xlfn.XLOOKUP(C1658,[1]AttributeName!$C:$C,[1]AttributeName!$I:$I),2,_xlfn.XLOOKUP(C1658,[1]ModifierDes!$B:$B,[1]ModifierDes!$C:$C),3,_xlfn.XLOOKUP(C1658,[1]StuntDes!$B:$B,[1]StuntDes!$C:$C)),"")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413</v>
      </c>
      <c r="D1659" t="s">
        <v>38</v>
      </c>
      <c r="E1659" s="13" t="s">
        <v>410</v>
      </c>
      <c r="F1659"/>
      <c r="G1659">
        <v>2</v>
      </c>
      <c r="H1659">
        <v>100</v>
      </c>
      <c r="I1659">
        <v>2</v>
      </c>
      <c r="J1659" cm="1">
        <f t="array" ref="J1659">_xlfn.SWITCH(B1659,1,75,2,61,3,49,4,37,5,25,6,13,7,4,8,1)</f>
        <v>49</v>
      </c>
      <c r="K1659" t="str" cm="1">
        <f t="array" ref="K1659">IFERROR(_xlfn.SWITCH(L1659,1,_xlfn.XLOOKUP(C1659,[1]AttributeName!$C:$C,[1]AttributeName!$I:$I),2,_xlfn.XLOOKUP(C1659,[1]ModifierDes!$B:$B,[1]ModifierDes!$C:$C),3,_xlfn.XLOOKUP(C1659,[1]StuntDes!$B:$B,[1]StuntDes!$C:$C)),"")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413</v>
      </c>
      <c r="D1660" t="s">
        <v>38</v>
      </c>
      <c r="E1660" s="13" t="s">
        <v>410</v>
      </c>
      <c r="F1660"/>
      <c r="G1660">
        <v>2</v>
      </c>
      <c r="H1660">
        <v>400</v>
      </c>
      <c r="I1660">
        <v>2</v>
      </c>
      <c r="J1660" cm="1">
        <f t="array" ref="J1660">_xlfn.SWITCH(B1660,1,75,2,61,3,49,4,37,5,25,6,13,7,4,8,1)</f>
        <v>25</v>
      </c>
      <c r="K1660" t="str" cm="1">
        <f t="array" ref="K1660">IFERROR(_xlfn.SWITCH(L1660,1,_xlfn.XLOOKUP(C1660,[1]AttributeName!$C:$C,[1]AttributeName!$I:$I),2,_xlfn.XLOOKUP(C1660,[1]ModifierDes!$B:$B,[1]ModifierDes!$C:$C),3,_xlfn.XLOOKUP(C1660,[1]StuntDes!$B:$B,[1]StuntDes!$C:$C)),"")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414</v>
      </c>
      <c r="D1661" t="s">
        <v>38</v>
      </c>
      <c r="E1661" s="13" t="s">
        <v>410</v>
      </c>
      <c r="F1661"/>
      <c r="G1661">
        <v>2</v>
      </c>
      <c r="H1661">
        <v>25</v>
      </c>
      <c r="I1661">
        <v>2</v>
      </c>
      <c r="J1661" cm="1">
        <f t="array" ref="J1661">_xlfn.SWITCH(B1661,1,75,2,61,3,49,4,37,5,25,6,13,7,4,8,1)</f>
        <v>75</v>
      </c>
      <c r="K1661" t="str" cm="1">
        <f t="array" ref="K1661">IFERROR(_xlfn.SWITCH(L1661,1,_xlfn.XLOOKUP(C1661,[1]AttributeName!$C:$C,[1]AttributeName!$I:$I),2,_xlfn.XLOOKUP(C1661,[1]ModifierDes!$B:$B,[1]ModifierDes!$C:$C),3,_xlfn.XLOOKUP(C1661,[1]StuntDes!$B:$B,[1]StuntDes!$C:$C)),"")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414</v>
      </c>
      <c r="D1662" t="s">
        <v>38</v>
      </c>
      <c r="E1662" s="13" t="s">
        <v>410</v>
      </c>
      <c r="F1662"/>
      <c r="G1662">
        <v>2</v>
      </c>
      <c r="H1662">
        <v>100</v>
      </c>
      <c r="I1662">
        <v>2</v>
      </c>
      <c r="J1662" cm="1">
        <f t="array" ref="J1662">_xlfn.SWITCH(B1662,1,75,2,61,3,49,4,37,5,25,6,13,7,4,8,1)</f>
        <v>49</v>
      </c>
      <c r="K1662" t="str" cm="1">
        <f t="array" ref="K1662">IFERROR(_xlfn.SWITCH(L1662,1,_xlfn.XLOOKUP(C1662,[1]AttributeName!$C:$C,[1]AttributeName!$I:$I),2,_xlfn.XLOOKUP(C1662,[1]ModifierDes!$B:$B,[1]ModifierDes!$C:$C),3,_xlfn.XLOOKUP(C1662,[1]StuntDes!$B:$B,[1]StuntDes!$C:$C)),"")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414</v>
      </c>
      <c r="D1663" t="s">
        <v>38</v>
      </c>
      <c r="E1663" s="13" t="s">
        <v>410</v>
      </c>
      <c r="F1663"/>
      <c r="G1663">
        <v>2</v>
      </c>
      <c r="H1663">
        <v>400</v>
      </c>
      <c r="I1663">
        <v>2</v>
      </c>
      <c r="J1663" cm="1">
        <f t="array" ref="J1663">_xlfn.SWITCH(B1663,1,75,2,61,3,49,4,37,5,25,6,13,7,4,8,1)</f>
        <v>25</v>
      </c>
      <c r="K1663" t="str" cm="1">
        <f t="array" ref="K1663">IFERROR(_xlfn.SWITCH(L1663,1,_xlfn.XLOOKUP(C1663,[1]AttributeName!$C:$C,[1]AttributeName!$I:$I),2,_xlfn.XLOOKUP(C1663,[1]ModifierDes!$B:$B,[1]ModifierDes!$C:$C),3,_xlfn.XLOOKUP(C1663,[1]StuntDes!$B:$B,[1]StuntDes!$C:$C)),"")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415</v>
      </c>
      <c r="D1664" t="s">
        <v>38</v>
      </c>
      <c r="E1664" s="13" t="s">
        <v>410</v>
      </c>
      <c r="F1664"/>
      <c r="G1664">
        <v>2</v>
      </c>
      <c r="H1664">
        <v>25</v>
      </c>
      <c r="I1664">
        <v>2</v>
      </c>
      <c r="J1664" cm="1">
        <f t="array" ref="J1664">_xlfn.SWITCH(B1664,1,75,2,61,3,49,4,37,5,25,6,13,7,4,8,1)</f>
        <v>75</v>
      </c>
      <c r="K1664" t="str" cm="1">
        <f t="array" ref="K1664">IFERROR(_xlfn.SWITCH(L1664,1,_xlfn.XLOOKUP(C1664,[1]AttributeName!$C:$C,[1]AttributeName!$I:$I),2,_xlfn.XLOOKUP(C1664,[1]ModifierDes!$B:$B,[1]ModifierDes!$C:$C),3,_xlfn.XLOOKUP(C1664,[1]StuntDes!$B:$B,[1]StuntDes!$C:$C)),"")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415</v>
      </c>
      <c r="D1665" t="s">
        <v>38</v>
      </c>
      <c r="E1665" s="13" t="s">
        <v>410</v>
      </c>
      <c r="F1665"/>
      <c r="G1665">
        <v>2</v>
      </c>
      <c r="H1665">
        <v>100</v>
      </c>
      <c r="I1665">
        <v>2</v>
      </c>
      <c r="J1665" cm="1">
        <f t="array" ref="J1665">_xlfn.SWITCH(B1665,1,75,2,61,3,49,4,37,5,25,6,13,7,4,8,1)</f>
        <v>49</v>
      </c>
      <c r="K1665" t="str" cm="1">
        <f t="array" ref="K1665">IFERROR(_xlfn.SWITCH(L1665,1,_xlfn.XLOOKUP(C1665,[1]AttributeName!$C:$C,[1]AttributeName!$I:$I),2,_xlfn.XLOOKUP(C1665,[1]ModifierDes!$B:$B,[1]ModifierDes!$C:$C),3,_xlfn.XLOOKUP(C1665,[1]StuntDes!$B:$B,[1]StuntDes!$C:$C)),"")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415</v>
      </c>
      <c r="D1666" t="s">
        <v>38</v>
      </c>
      <c r="E1666" s="13" t="s">
        <v>410</v>
      </c>
      <c r="F1666"/>
      <c r="G1666">
        <v>2</v>
      </c>
      <c r="H1666">
        <v>400</v>
      </c>
      <c r="I1666">
        <v>2</v>
      </c>
      <c r="J1666" cm="1">
        <f t="array" ref="J1666">_xlfn.SWITCH(B1666,1,75,2,61,3,49,4,37,5,25,6,13,7,4,8,1)</f>
        <v>25</v>
      </c>
      <c r="K1666" t="str" cm="1">
        <f t="array" ref="K1666">IFERROR(_xlfn.SWITCH(L1666,1,_xlfn.XLOOKUP(C1666,[1]AttributeName!$C:$C,[1]AttributeName!$I:$I),2,_xlfn.XLOOKUP(C1666,[1]ModifierDes!$B:$B,[1]ModifierDes!$C:$C),3,_xlfn.XLOOKUP(C1666,[1]StuntDes!$B:$B,[1]StuntDes!$C:$C)),"")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419</v>
      </c>
      <c r="D1667" t="s">
        <v>38</v>
      </c>
      <c r="E1667" s="13" t="s">
        <v>410</v>
      </c>
      <c r="F1667"/>
      <c r="G1667">
        <v>2</v>
      </c>
      <c r="H1667">
        <v>1000</v>
      </c>
      <c r="J1667" cm="1">
        <f t="array" ref="J1667">_xlfn.SWITCH(B1667,1,75,2,61,3,49,4,37,5,25,6,13,7,4,8,1)</f>
        <v>75</v>
      </c>
      <c r="K1667" t="str" cm="1">
        <f t="array" ref="K1667">IFERROR(_xlfn.SWITCH(L1667,1,_xlfn.XLOOKUP(C1667,[1]AttributeName!$C:$C,[1]AttributeName!$I:$I),2,_xlfn.XLOOKUP(C1667,[1]ModifierDes!$B:$B,[1]ModifierDes!$C:$C),3,_xlfn.XLOOKUP(C1667,[1]StuntDes!$B:$B,[1]StuntDes!$C:$C)),"")</f>
        <v>点燃概率增加{0}</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419</v>
      </c>
      <c r="D1668" t="s">
        <v>38</v>
      </c>
      <c r="E1668" s="13" t="s">
        <v>410</v>
      </c>
      <c r="F1668"/>
      <c r="G1668">
        <v>2</v>
      </c>
      <c r="H1668">
        <v>1000</v>
      </c>
      <c r="J1668" cm="1">
        <f t="array" ref="J1668">_xlfn.SWITCH(B1668,1,75,2,61,3,49,4,37,5,25,6,13,7,4,8,1)</f>
        <v>61</v>
      </c>
      <c r="K1668" t="str" cm="1">
        <f t="array" ref="K1668">IFERROR(_xlfn.SWITCH(L1668,1,_xlfn.XLOOKUP(C1668,[1]AttributeName!$C:$C,[1]AttributeName!$I:$I),2,_xlfn.XLOOKUP(C1668,[1]ModifierDes!$B:$B,[1]ModifierDes!$C:$C),3,_xlfn.XLOOKUP(C1668,[1]StuntDes!$B:$B,[1]StuntDes!$C:$C)),"")</f>
        <v>点燃概率增加{0}</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419</v>
      </c>
      <c r="D1669" t="s">
        <v>38</v>
      </c>
      <c r="E1669" s="13" t="s">
        <v>410</v>
      </c>
      <c r="F1669"/>
      <c r="G1669">
        <v>2</v>
      </c>
      <c r="H1669">
        <v>1000</v>
      </c>
      <c r="J1669" cm="1">
        <f t="array" ref="J1669">_xlfn.SWITCH(B1669,1,75,2,61,3,49,4,37,5,25,6,13,7,4,8,1)</f>
        <v>49</v>
      </c>
      <c r="K1669" t="str" cm="1">
        <f t="array" ref="K1669">IFERROR(_xlfn.SWITCH(L1669,1,_xlfn.XLOOKUP(C1669,[1]AttributeName!$C:$C,[1]AttributeName!$I:$I),2,_xlfn.XLOOKUP(C1669,[1]ModifierDes!$B:$B,[1]ModifierDes!$C:$C),3,_xlfn.XLOOKUP(C1669,[1]StuntDes!$B:$B,[1]StuntDes!$C:$C)),"")</f>
        <v>点燃概率增加{0}</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419</v>
      </c>
      <c r="D1670" t="s">
        <v>38</v>
      </c>
      <c r="E1670" s="13" t="s">
        <v>410</v>
      </c>
      <c r="F1670"/>
      <c r="G1670">
        <v>2</v>
      </c>
      <c r="H1670">
        <v>1000</v>
      </c>
      <c r="J1670" cm="1">
        <f t="array" ref="J1670">_xlfn.SWITCH(B1670,1,75,2,61,3,49,4,37,5,25,6,13,7,4,8,1)</f>
        <v>37</v>
      </c>
      <c r="K1670" t="str" cm="1">
        <f t="array" ref="K1670">IFERROR(_xlfn.SWITCH(L1670,1,_xlfn.XLOOKUP(C1670,[1]AttributeName!$C:$C,[1]AttributeName!$I:$I),2,_xlfn.XLOOKUP(C1670,[1]ModifierDes!$B:$B,[1]ModifierDes!$C:$C),3,_xlfn.XLOOKUP(C1670,[1]StuntDes!$B:$B,[1]StuntDes!$C:$C)),"")</f>
        <v>点燃概率增加{0}</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419</v>
      </c>
      <c r="D1671" t="s">
        <v>38</v>
      </c>
      <c r="E1671" s="13" t="s">
        <v>410</v>
      </c>
      <c r="F1671"/>
      <c r="G1671">
        <v>2</v>
      </c>
      <c r="H1671">
        <v>1000</v>
      </c>
      <c r="J1671" cm="1">
        <f t="array" ref="J1671">_xlfn.SWITCH(B1671,1,75,2,61,3,49,4,37,5,25,6,13,7,4,8,1)</f>
        <v>25</v>
      </c>
      <c r="K1671" t="str" cm="1">
        <f t="array" ref="K1671">IFERROR(_xlfn.SWITCH(L1671,1,_xlfn.XLOOKUP(C1671,[1]AttributeName!$C:$C,[1]AttributeName!$I:$I),2,_xlfn.XLOOKUP(C1671,[1]ModifierDes!$B:$B,[1]ModifierDes!$C:$C),3,_xlfn.XLOOKUP(C1671,[1]StuntDes!$B:$B,[1]StuntDes!$C:$C)),"")</f>
        <v>点燃概率增加{0}</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419</v>
      </c>
      <c r="D1672" t="s">
        <v>38</v>
      </c>
      <c r="E1672" s="13" t="s">
        <v>410</v>
      </c>
      <c r="F1672"/>
      <c r="G1672">
        <v>2</v>
      </c>
      <c r="H1672">
        <v>1000</v>
      </c>
      <c r="J1672" cm="1">
        <f t="array" ref="J1672">_xlfn.SWITCH(B1672,1,75,2,61,3,49,4,37,5,25,6,13,7,4,8,1)</f>
        <v>13</v>
      </c>
      <c r="K1672" t="str" cm="1">
        <f t="array" ref="K1672">IFERROR(_xlfn.SWITCH(L1672,1,_xlfn.XLOOKUP(C1672,[1]AttributeName!$C:$C,[1]AttributeName!$I:$I),2,_xlfn.XLOOKUP(C1672,[1]ModifierDes!$B:$B,[1]ModifierDes!$C:$C),3,_xlfn.XLOOKUP(C1672,[1]StuntDes!$B:$B,[1]StuntDes!$C:$C)),"")</f>
        <v>点燃概率增加{0}</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419</v>
      </c>
      <c r="D1673" t="s">
        <v>38</v>
      </c>
      <c r="E1673" s="13" t="s">
        <v>410</v>
      </c>
      <c r="F1673"/>
      <c r="G1673">
        <v>2</v>
      </c>
      <c r="H1673">
        <v>1000</v>
      </c>
      <c r="J1673" cm="1">
        <f t="array" ref="J1673">_xlfn.SWITCH(B1673,1,75,2,61,3,49,4,37,5,25,6,13,7,4,8,1)</f>
        <v>4</v>
      </c>
      <c r="K1673" t="str" cm="1">
        <f t="array" ref="K1673">IFERROR(_xlfn.SWITCH(L1673,1,_xlfn.XLOOKUP(C1673,[1]AttributeName!$C:$C,[1]AttributeName!$I:$I),2,_xlfn.XLOOKUP(C1673,[1]ModifierDes!$B:$B,[1]ModifierDes!$C:$C),3,_xlfn.XLOOKUP(C1673,[1]StuntDes!$B:$B,[1]StuntDes!$C:$C)),"")</f>
        <v>点燃概率增加{0}</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419</v>
      </c>
      <c r="D1674" t="s">
        <v>38</v>
      </c>
      <c r="E1674" s="13" t="s">
        <v>410</v>
      </c>
      <c r="F1674"/>
      <c r="G1674">
        <v>2</v>
      </c>
      <c r="H1674">
        <v>1000</v>
      </c>
      <c r="J1674" cm="1">
        <f t="array" ref="J1674">_xlfn.SWITCH(B1674,1,75,2,61,3,49,4,37,5,25,6,13,7,4,8,1)</f>
        <v>1</v>
      </c>
      <c r="K1674" t="str" cm="1">
        <f t="array" ref="K1674">IFERROR(_xlfn.SWITCH(L1674,1,_xlfn.XLOOKUP(C1674,[1]AttributeName!$C:$C,[1]AttributeName!$I:$I),2,_xlfn.XLOOKUP(C1674,[1]ModifierDes!$B:$B,[1]ModifierDes!$C:$C),3,_xlfn.XLOOKUP(C1674,[1]StuntDes!$B:$B,[1]StuntDes!$C:$C)),"")</f>
        <v>点燃概率增加{0}</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420</v>
      </c>
      <c r="D1675" t="s">
        <v>38</v>
      </c>
      <c r="E1675" s="13" t="s">
        <v>410</v>
      </c>
      <c r="F1675"/>
      <c r="G1675">
        <v>2</v>
      </c>
      <c r="H1675">
        <v>1000</v>
      </c>
      <c r="J1675" cm="1">
        <f t="array" ref="J1675">_xlfn.SWITCH(B1675,1,75,2,61,3,49,4,37,5,25,6,13,7,4,8,1)</f>
        <v>75</v>
      </c>
      <c r="K1675" t="str" cm="1">
        <f t="array" ref="K1675">IFERROR(_xlfn.SWITCH(L1675,1,_xlfn.XLOOKUP(C1675,[1]AttributeName!$C:$C,[1]AttributeName!$I:$I),2,_xlfn.XLOOKUP(C1675,[1]ModifierDes!$B:$B,[1]ModifierDes!$C:$C),3,_xlfn.XLOOKUP(C1675,[1]StuntDes!$B:$B,[1]StuntDes!$C:$C)),"")</f>
        <v>冻结效果比例增加{0}</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420</v>
      </c>
      <c r="D1676" t="s">
        <v>38</v>
      </c>
      <c r="E1676" s="13" t="s">
        <v>410</v>
      </c>
      <c r="F1676"/>
      <c r="G1676">
        <v>2</v>
      </c>
      <c r="H1676">
        <v>1000</v>
      </c>
      <c r="J1676" cm="1">
        <f t="array" ref="J1676">_xlfn.SWITCH(B1676,1,75,2,61,3,49,4,37,5,25,6,13,7,4,8,1)</f>
        <v>61</v>
      </c>
      <c r="K1676" t="str" cm="1">
        <f t="array" ref="K1676">IFERROR(_xlfn.SWITCH(L1676,1,_xlfn.XLOOKUP(C1676,[1]AttributeName!$C:$C,[1]AttributeName!$I:$I),2,_xlfn.XLOOKUP(C1676,[1]ModifierDes!$B:$B,[1]ModifierDes!$C:$C),3,_xlfn.XLOOKUP(C1676,[1]StuntDes!$B:$B,[1]StuntDes!$C:$C)),"")</f>
        <v>冻结效果比例增加{0}</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420</v>
      </c>
      <c r="D1677" t="s">
        <v>38</v>
      </c>
      <c r="E1677" s="13" t="s">
        <v>410</v>
      </c>
      <c r="F1677"/>
      <c r="G1677">
        <v>2</v>
      </c>
      <c r="H1677">
        <v>1000</v>
      </c>
      <c r="J1677" cm="1">
        <f t="array" ref="J1677">_xlfn.SWITCH(B1677,1,75,2,61,3,49,4,37,5,25,6,13,7,4,8,1)</f>
        <v>49</v>
      </c>
      <c r="K1677" t="str" cm="1">
        <f t="array" ref="K1677">IFERROR(_xlfn.SWITCH(L1677,1,_xlfn.XLOOKUP(C1677,[1]AttributeName!$C:$C,[1]AttributeName!$I:$I),2,_xlfn.XLOOKUP(C1677,[1]ModifierDes!$B:$B,[1]ModifierDes!$C:$C),3,_xlfn.XLOOKUP(C1677,[1]StuntDes!$B:$B,[1]StuntDes!$C:$C)),"")</f>
        <v>冻结效果比例增加{0}</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420</v>
      </c>
      <c r="D1678" t="s">
        <v>38</v>
      </c>
      <c r="E1678" s="13" t="s">
        <v>410</v>
      </c>
      <c r="F1678"/>
      <c r="G1678">
        <v>2</v>
      </c>
      <c r="H1678">
        <v>1000</v>
      </c>
      <c r="J1678" cm="1">
        <f t="array" ref="J1678">_xlfn.SWITCH(B1678,1,75,2,61,3,49,4,37,5,25,6,13,7,4,8,1)</f>
        <v>37</v>
      </c>
      <c r="K1678" t="str" cm="1">
        <f t="array" ref="K1678">IFERROR(_xlfn.SWITCH(L1678,1,_xlfn.XLOOKUP(C1678,[1]AttributeName!$C:$C,[1]AttributeName!$I:$I),2,_xlfn.XLOOKUP(C1678,[1]ModifierDes!$B:$B,[1]ModifierDes!$C:$C),3,_xlfn.XLOOKUP(C1678,[1]StuntDes!$B:$B,[1]StuntDes!$C:$C)),"")</f>
        <v>冻结效果比例增加{0}</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420</v>
      </c>
      <c r="D1679" t="s">
        <v>38</v>
      </c>
      <c r="E1679" s="13" t="s">
        <v>410</v>
      </c>
      <c r="F1679"/>
      <c r="G1679">
        <v>2</v>
      </c>
      <c r="H1679">
        <v>1000</v>
      </c>
      <c r="J1679" cm="1">
        <f t="array" ref="J1679">_xlfn.SWITCH(B1679,1,75,2,61,3,49,4,37,5,25,6,13,7,4,8,1)</f>
        <v>25</v>
      </c>
      <c r="K1679" t="str" cm="1">
        <f t="array" ref="K1679">IFERROR(_xlfn.SWITCH(L1679,1,_xlfn.XLOOKUP(C1679,[1]AttributeName!$C:$C,[1]AttributeName!$I:$I),2,_xlfn.XLOOKUP(C1679,[1]ModifierDes!$B:$B,[1]ModifierDes!$C:$C),3,_xlfn.XLOOKUP(C1679,[1]StuntDes!$B:$B,[1]StuntDes!$C:$C)),"")</f>
        <v>冻结效果比例增加{0}</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420</v>
      </c>
      <c r="D1680" t="s">
        <v>38</v>
      </c>
      <c r="E1680" s="13" t="s">
        <v>410</v>
      </c>
      <c r="F1680"/>
      <c r="G1680">
        <v>2</v>
      </c>
      <c r="H1680">
        <v>1000</v>
      </c>
      <c r="J1680" cm="1">
        <f t="array" ref="J1680">_xlfn.SWITCH(B1680,1,75,2,61,3,49,4,37,5,25,6,13,7,4,8,1)</f>
        <v>13</v>
      </c>
      <c r="K1680" t="str" cm="1">
        <f t="array" ref="K1680">IFERROR(_xlfn.SWITCH(L1680,1,_xlfn.XLOOKUP(C1680,[1]AttributeName!$C:$C,[1]AttributeName!$I:$I),2,_xlfn.XLOOKUP(C1680,[1]ModifierDes!$B:$B,[1]ModifierDes!$C:$C),3,_xlfn.XLOOKUP(C1680,[1]StuntDes!$B:$B,[1]StuntDes!$C:$C)),"")</f>
        <v>冻结效果比例增加{0}</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420</v>
      </c>
      <c r="D1681" t="s">
        <v>38</v>
      </c>
      <c r="E1681" s="13" t="s">
        <v>410</v>
      </c>
      <c r="F1681"/>
      <c r="G1681">
        <v>2</v>
      </c>
      <c r="H1681">
        <v>1000</v>
      </c>
      <c r="J1681" cm="1">
        <f t="array" ref="J1681">_xlfn.SWITCH(B1681,1,75,2,61,3,49,4,37,5,25,6,13,7,4,8,1)</f>
        <v>4</v>
      </c>
      <c r="K1681" t="str" cm="1">
        <f t="array" ref="K1681">IFERROR(_xlfn.SWITCH(L1681,1,_xlfn.XLOOKUP(C1681,[1]AttributeName!$C:$C,[1]AttributeName!$I:$I),2,_xlfn.XLOOKUP(C1681,[1]ModifierDes!$B:$B,[1]ModifierDes!$C:$C),3,_xlfn.XLOOKUP(C1681,[1]StuntDes!$B:$B,[1]StuntDes!$C:$C)),"")</f>
        <v>冻结效果比例增加{0}</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420</v>
      </c>
      <c r="D1682" t="s">
        <v>38</v>
      </c>
      <c r="E1682" s="13" t="s">
        <v>410</v>
      </c>
      <c r="F1682"/>
      <c r="G1682">
        <v>2</v>
      </c>
      <c r="H1682">
        <v>1000</v>
      </c>
      <c r="J1682" cm="1">
        <f t="array" ref="J1682">_xlfn.SWITCH(B1682,1,75,2,61,3,49,4,37,5,25,6,13,7,4,8,1)</f>
        <v>1</v>
      </c>
      <c r="K1682" t="str" cm="1">
        <f t="array" ref="K1682">IFERROR(_xlfn.SWITCH(L1682,1,_xlfn.XLOOKUP(C1682,[1]AttributeName!$C:$C,[1]AttributeName!$I:$I),2,_xlfn.XLOOKUP(C1682,[1]ModifierDes!$B:$B,[1]ModifierDes!$C:$C),3,_xlfn.XLOOKUP(C1682,[1]StuntDes!$B:$B,[1]StuntDes!$C:$C)),"")</f>
        <v>冻结效果比例增加{0}</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421</v>
      </c>
      <c r="D1683" t="s">
        <v>38</v>
      </c>
      <c r="E1683" s="13" t="s">
        <v>410</v>
      </c>
      <c r="F1683"/>
      <c r="G1683">
        <v>2</v>
      </c>
      <c r="H1683">
        <v>1000</v>
      </c>
      <c r="J1683" cm="1">
        <f t="array" ref="J1683">_xlfn.SWITCH(B1683,1,75,2,61,3,49,4,37,5,25,6,13,7,4,8,1)</f>
        <v>75</v>
      </c>
      <c r="K1683" t="str" cm="1">
        <f t="array" ref="K1683">IFERROR(_xlfn.SWITCH(L1683,1,_xlfn.XLOOKUP(C1683,[1]AttributeName!$C:$C,[1]AttributeName!$I:$I),2,_xlfn.XLOOKUP(C1683,[1]ModifierDes!$B:$B,[1]ModifierDes!$C:$C),3,_xlfn.XLOOKUP(C1683,[1]StuntDes!$B:$B,[1]StuntDes!$C:$C)),"")</f>
        <v>感电概率提高增加{0}</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421</v>
      </c>
      <c r="D1684" t="s">
        <v>38</v>
      </c>
      <c r="E1684" s="13" t="s">
        <v>410</v>
      </c>
      <c r="F1684"/>
      <c r="G1684">
        <v>2</v>
      </c>
      <c r="H1684">
        <v>1000</v>
      </c>
      <c r="J1684" cm="1">
        <f t="array" ref="J1684">_xlfn.SWITCH(B1684,1,75,2,61,3,49,4,37,5,25,6,13,7,4,8,1)</f>
        <v>61</v>
      </c>
      <c r="K1684" t="str" cm="1">
        <f t="array" ref="K1684">IFERROR(_xlfn.SWITCH(L1684,1,_xlfn.XLOOKUP(C1684,[1]AttributeName!$C:$C,[1]AttributeName!$I:$I),2,_xlfn.XLOOKUP(C1684,[1]ModifierDes!$B:$B,[1]ModifierDes!$C:$C),3,_xlfn.XLOOKUP(C1684,[1]StuntDes!$B:$B,[1]StuntDes!$C:$C)),"")</f>
        <v>感电概率提高增加{0}</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421</v>
      </c>
      <c r="D1685" t="s">
        <v>38</v>
      </c>
      <c r="E1685" s="13" t="s">
        <v>410</v>
      </c>
      <c r="F1685"/>
      <c r="G1685">
        <v>2</v>
      </c>
      <c r="H1685">
        <v>1000</v>
      </c>
      <c r="J1685" cm="1">
        <f t="array" ref="J1685">_xlfn.SWITCH(B1685,1,75,2,61,3,49,4,37,5,25,6,13,7,4,8,1)</f>
        <v>49</v>
      </c>
      <c r="K1685" t="str" cm="1">
        <f t="array" ref="K1685">IFERROR(_xlfn.SWITCH(L1685,1,_xlfn.XLOOKUP(C1685,[1]AttributeName!$C:$C,[1]AttributeName!$I:$I),2,_xlfn.XLOOKUP(C1685,[1]ModifierDes!$B:$B,[1]ModifierDes!$C:$C),3,_xlfn.XLOOKUP(C1685,[1]StuntDes!$B:$B,[1]StuntDes!$C:$C)),"")</f>
        <v>感电概率提高增加{0}</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421</v>
      </c>
      <c r="D1686" t="s">
        <v>38</v>
      </c>
      <c r="E1686" s="13" t="s">
        <v>410</v>
      </c>
      <c r="F1686"/>
      <c r="G1686">
        <v>2</v>
      </c>
      <c r="H1686">
        <v>1000</v>
      </c>
      <c r="J1686" cm="1">
        <f t="array" ref="J1686">_xlfn.SWITCH(B1686,1,75,2,61,3,49,4,37,5,25,6,13,7,4,8,1)</f>
        <v>37</v>
      </c>
      <c r="K1686" t="str" cm="1">
        <f t="array" ref="K1686">IFERROR(_xlfn.SWITCH(L1686,1,_xlfn.XLOOKUP(C1686,[1]AttributeName!$C:$C,[1]AttributeName!$I:$I),2,_xlfn.XLOOKUP(C1686,[1]ModifierDes!$B:$B,[1]ModifierDes!$C:$C),3,_xlfn.XLOOKUP(C1686,[1]StuntDes!$B:$B,[1]StuntDes!$C:$C)),"")</f>
        <v>感电概率提高增加{0}</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421</v>
      </c>
      <c r="D1687" t="s">
        <v>38</v>
      </c>
      <c r="E1687" s="13" t="s">
        <v>410</v>
      </c>
      <c r="F1687"/>
      <c r="G1687">
        <v>2</v>
      </c>
      <c r="H1687">
        <v>1000</v>
      </c>
      <c r="J1687" cm="1">
        <f t="array" ref="J1687">_xlfn.SWITCH(B1687,1,75,2,61,3,49,4,37,5,25,6,13,7,4,8,1)</f>
        <v>25</v>
      </c>
      <c r="K1687" t="str" cm="1">
        <f t="array" ref="K1687">IFERROR(_xlfn.SWITCH(L1687,1,_xlfn.XLOOKUP(C1687,[1]AttributeName!$C:$C,[1]AttributeName!$I:$I),2,_xlfn.XLOOKUP(C1687,[1]ModifierDes!$B:$B,[1]ModifierDes!$C:$C),3,_xlfn.XLOOKUP(C1687,[1]StuntDes!$B:$B,[1]StuntDes!$C:$C)),"")</f>
        <v>感电概率提高增加{0}</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421</v>
      </c>
      <c r="D1688" t="s">
        <v>38</v>
      </c>
      <c r="E1688" s="13" t="s">
        <v>410</v>
      </c>
      <c r="F1688"/>
      <c r="G1688">
        <v>2</v>
      </c>
      <c r="H1688">
        <v>1000</v>
      </c>
      <c r="J1688" cm="1">
        <f t="array" ref="J1688">_xlfn.SWITCH(B1688,1,75,2,61,3,49,4,37,5,25,6,13,7,4,8,1)</f>
        <v>13</v>
      </c>
      <c r="K1688" t="str" cm="1">
        <f t="array" ref="K1688">IFERROR(_xlfn.SWITCH(L1688,1,_xlfn.XLOOKUP(C1688,[1]AttributeName!$C:$C,[1]AttributeName!$I:$I),2,_xlfn.XLOOKUP(C1688,[1]ModifierDes!$B:$B,[1]ModifierDes!$C:$C),3,_xlfn.XLOOKUP(C1688,[1]StuntDes!$B:$B,[1]StuntDes!$C:$C)),"")</f>
        <v>感电概率提高增加{0}</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421</v>
      </c>
      <c r="D1689" t="s">
        <v>38</v>
      </c>
      <c r="E1689" s="13" t="s">
        <v>410</v>
      </c>
      <c r="F1689"/>
      <c r="G1689">
        <v>2</v>
      </c>
      <c r="H1689">
        <v>1000</v>
      </c>
      <c r="J1689" cm="1">
        <f t="array" ref="J1689">_xlfn.SWITCH(B1689,1,75,2,61,3,49,4,37,5,25,6,13,7,4,8,1)</f>
        <v>4</v>
      </c>
      <c r="K1689" t="str" cm="1">
        <f t="array" ref="K1689">IFERROR(_xlfn.SWITCH(L1689,1,_xlfn.XLOOKUP(C1689,[1]AttributeName!$C:$C,[1]AttributeName!$I:$I),2,_xlfn.XLOOKUP(C1689,[1]ModifierDes!$B:$B,[1]ModifierDes!$C:$C),3,_xlfn.XLOOKUP(C1689,[1]StuntDes!$B:$B,[1]StuntDes!$C:$C)),"")</f>
        <v>感电概率提高增加{0}</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421</v>
      </c>
      <c r="D1690" t="s">
        <v>38</v>
      </c>
      <c r="E1690" s="13" t="s">
        <v>410</v>
      </c>
      <c r="F1690"/>
      <c r="G1690">
        <v>2</v>
      </c>
      <c r="H1690">
        <v>1000</v>
      </c>
      <c r="J1690" cm="1">
        <f t="array" ref="J1690">_xlfn.SWITCH(B1690,1,75,2,61,3,49,4,37,5,25,6,13,7,4,8,1)</f>
        <v>1</v>
      </c>
      <c r="K1690" t="str" cm="1">
        <f t="array" ref="K1690">IFERROR(_xlfn.SWITCH(L1690,1,_xlfn.XLOOKUP(C1690,[1]AttributeName!$C:$C,[1]AttributeName!$I:$I),2,_xlfn.XLOOKUP(C1690,[1]ModifierDes!$B:$B,[1]ModifierDes!$C:$C),3,_xlfn.XLOOKUP(C1690,[1]StuntDes!$B:$B,[1]StuntDes!$C:$C)),"")</f>
        <v>感电概率提高增加{0}</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422</v>
      </c>
      <c r="D1691" t="s">
        <v>38</v>
      </c>
      <c r="E1691" s="13" t="s">
        <v>410</v>
      </c>
      <c r="F1691"/>
      <c r="G1691">
        <v>2</v>
      </c>
      <c r="H1691">
        <v>1000</v>
      </c>
      <c r="J1691" cm="1">
        <f t="array" ref="J1691">_xlfn.SWITCH(B1691,1,75,2,61,3,49,4,37,5,25,6,13,7,4,8,1)</f>
        <v>75</v>
      </c>
      <c r="K1691" t="str" cm="1">
        <f t="array" ref="K1691">IFERROR(_xlfn.SWITCH(L1691,1,_xlfn.XLOOKUP(C1691,[1]AttributeName!$C:$C,[1]AttributeName!$I:$I),2,_xlfn.XLOOKUP(C1691,[1]ModifierDes!$B:$B,[1]ModifierDes!$C:$C),3,_xlfn.XLOOKUP(C1691,[1]StuntDes!$B:$B,[1]StuntDes!$C:$C)),"")</f>
        <v>流血效果比例增加{0}</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422</v>
      </c>
      <c r="D1692" t="s">
        <v>38</v>
      </c>
      <c r="E1692" s="13" t="s">
        <v>410</v>
      </c>
      <c r="F1692"/>
      <c r="G1692">
        <v>2</v>
      </c>
      <c r="H1692">
        <v>1000</v>
      </c>
      <c r="J1692" cm="1">
        <f t="array" ref="J1692">_xlfn.SWITCH(B1692,1,75,2,61,3,49,4,37,5,25,6,13,7,4,8,1)</f>
        <v>61</v>
      </c>
      <c r="K1692" t="str" cm="1">
        <f t="array" ref="K1692">IFERROR(_xlfn.SWITCH(L1692,1,_xlfn.XLOOKUP(C1692,[1]AttributeName!$C:$C,[1]AttributeName!$I:$I),2,_xlfn.XLOOKUP(C1692,[1]ModifierDes!$B:$B,[1]ModifierDes!$C:$C),3,_xlfn.XLOOKUP(C1692,[1]StuntDes!$B:$B,[1]StuntDes!$C:$C)),"")</f>
        <v>流血效果比例增加{0}</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422</v>
      </c>
      <c r="D1693" t="s">
        <v>38</v>
      </c>
      <c r="E1693" s="13" t="s">
        <v>410</v>
      </c>
      <c r="F1693"/>
      <c r="G1693">
        <v>2</v>
      </c>
      <c r="H1693">
        <v>1000</v>
      </c>
      <c r="J1693" cm="1">
        <f t="array" ref="J1693">_xlfn.SWITCH(B1693,1,75,2,61,3,49,4,37,5,25,6,13,7,4,8,1)</f>
        <v>49</v>
      </c>
      <c r="K1693" t="str" cm="1">
        <f t="array" ref="K1693">IFERROR(_xlfn.SWITCH(L1693,1,_xlfn.XLOOKUP(C1693,[1]AttributeName!$C:$C,[1]AttributeName!$I:$I),2,_xlfn.XLOOKUP(C1693,[1]ModifierDes!$B:$B,[1]ModifierDes!$C:$C),3,_xlfn.XLOOKUP(C1693,[1]StuntDes!$B:$B,[1]StuntDes!$C:$C)),"")</f>
        <v>流血效果比例增加{0}</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422</v>
      </c>
      <c r="D1694" t="s">
        <v>38</v>
      </c>
      <c r="E1694" s="13" t="s">
        <v>410</v>
      </c>
      <c r="F1694"/>
      <c r="G1694">
        <v>2</v>
      </c>
      <c r="H1694">
        <v>1000</v>
      </c>
      <c r="J1694" cm="1">
        <f t="array" ref="J1694">_xlfn.SWITCH(B1694,1,75,2,61,3,49,4,37,5,25,6,13,7,4,8,1)</f>
        <v>37</v>
      </c>
      <c r="K1694" t="str" cm="1">
        <f t="array" ref="K1694">IFERROR(_xlfn.SWITCH(L1694,1,_xlfn.XLOOKUP(C1694,[1]AttributeName!$C:$C,[1]AttributeName!$I:$I),2,_xlfn.XLOOKUP(C1694,[1]ModifierDes!$B:$B,[1]ModifierDes!$C:$C),3,_xlfn.XLOOKUP(C1694,[1]StuntDes!$B:$B,[1]StuntDes!$C:$C)),"")</f>
        <v>流血效果比例增加{0}</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422</v>
      </c>
      <c r="D1695" t="s">
        <v>38</v>
      </c>
      <c r="E1695" s="13" t="s">
        <v>410</v>
      </c>
      <c r="F1695"/>
      <c r="G1695">
        <v>2</v>
      </c>
      <c r="H1695">
        <v>1000</v>
      </c>
      <c r="J1695" cm="1">
        <f t="array" ref="J1695">_xlfn.SWITCH(B1695,1,75,2,61,3,49,4,37,5,25,6,13,7,4,8,1)</f>
        <v>25</v>
      </c>
      <c r="K1695" t="str" cm="1">
        <f t="array" ref="K1695">IFERROR(_xlfn.SWITCH(L1695,1,_xlfn.XLOOKUP(C1695,[1]AttributeName!$C:$C,[1]AttributeName!$I:$I),2,_xlfn.XLOOKUP(C1695,[1]ModifierDes!$B:$B,[1]ModifierDes!$C:$C),3,_xlfn.XLOOKUP(C1695,[1]StuntDes!$B:$B,[1]StuntDes!$C:$C)),"")</f>
        <v>流血效果比例增加{0}</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422</v>
      </c>
      <c r="D1696" t="s">
        <v>38</v>
      </c>
      <c r="E1696" s="13" t="s">
        <v>410</v>
      </c>
      <c r="F1696"/>
      <c r="G1696">
        <v>2</v>
      </c>
      <c r="H1696">
        <v>1000</v>
      </c>
      <c r="J1696" cm="1">
        <f t="array" ref="J1696">_xlfn.SWITCH(B1696,1,75,2,61,3,49,4,37,5,25,6,13,7,4,8,1)</f>
        <v>13</v>
      </c>
      <c r="K1696" t="str" cm="1">
        <f t="array" ref="K1696">IFERROR(_xlfn.SWITCH(L1696,1,_xlfn.XLOOKUP(C1696,[1]AttributeName!$C:$C,[1]AttributeName!$I:$I),2,_xlfn.XLOOKUP(C1696,[1]ModifierDes!$B:$B,[1]ModifierDes!$C:$C),3,_xlfn.XLOOKUP(C1696,[1]StuntDes!$B:$B,[1]StuntDes!$C:$C)),"")</f>
        <v>流血效果比例增加{0}</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422</v>
      </c>
      <c r="D1697" t="s">
        <v>38</v>
      </c>
      <c r="E1697" s="13" t="s">
        <v>410</v>
      </c>
      <c r="F1697"/>
      <c r="G1697">
        <v>2</v>
      </c>
      <c r="H1697">
        <v>1000</v>
      </c>
      <c r="J1697" cm="1">
        <f t="array" ref="J1697">_xlfn.SWITCH(B1697,1,75,2,61,3,49,4,37,5,25,6,13,7,4,8,1)</f>
        <v>4</v>
      </c>
      <c r="K1697" t="str" cm="1">
        <f t="array" ref="K1697">IFERROR(_xlfn.SWITCH(L1697,1,_xlfn.XLOOKUP(C1697,[1]AttributeName!$C:$C,[1]AttributeName!$I:$I),2,_xlfn.XLOOKUP(C1697,[1]ModifierDes!$B:$B,[1]ModifierDes!$C:$C),3,_xlfn.XLOOKUP(C1697,[1]StuntDes!$B:$B,[1]StuntDes!$C:$C)),"")</f>
        <v>流血效果比例增加{0}</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422</v>
      </c>
      <c r="D1698" t="s">
        <v>38</v>
      </c>
      <c r="E1698" s="13" t="s">
        <v>410</v>
      </c>
      <c r="F1698"/>
      <c r="G1698">
        <v>2</v>
      </c>
      <c r="H1698">
        <v>1000</v>
      </c>
      <c r="J1698" cm="1">
        <f t="array" ref="J1698">_xlfn.SWITCH(B1698,1,75,2,61,3,49,4,37,5,25,6,13,7,4,8,1)</f>
        <v>1</v>
      </c>
      <c r="K1698" t="str" cm="1">
        <f t="array" ref="K1698">IFERROR(_xlfn.SWITCH(L1698,1,_xlfn.XLOOKUP(C1698,[1]AttributeName!$C:$C,[1]AttributeName!$I:$I),2,_xlfn.XLOOKUP(C1698,[1]ModifierDes!$B:$B,[1]ModifierDes!$C:$C),3,_xlfn.XLOOKUP(C1698,[1]StuntDes!$B:$B,[1]StuntDes!$C:$C)),"")</f>
        <v>流血效果比例增加{0}</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423</v>
      </c>
      <c r="D1699" t="s">
        <v>38</v>
      </c>
      <c r="E1699" s="13" t="s">
        <v>410</v>
      </c>
      <c r="F1699"/>
      <c r="G1699">
        <v>2</v>
      </c>
      <c r="H1699">
        <v>1000</v>
      </c>
      <c r="J1699" cm="1">
        <f t="array" ref="J1699">_xlfn.SWITCH(B1699,1,75,2,61,3,49,4,37,5,25,6,13,7,4,8,1)</f>
        <v>75</v>
      </c>
      <c r="K1699" t="str" cm="1">
        <f t="array" ref="K1699">IFERROR(_xlfn.SWITCH(L1699,1,_xlfn.XLOOKUP(C1699,[1]AttributeName!$C:$C,[1]AttributeName!$I:$I),2,_xlfn.XLOOKUP(C1699,[1]ModifierDes!$B:$B,[1]ModifierDes!$C:$C),3,_xlfn.XLOOKUP(C1699,[1]StuntDes!$B:$B,[1]StuntDes!$C:$C)),"")</f>
        <v>中毒效果比例增加{0}</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423</v>
      </c>
      <c r="D1700" t="s">
        <v>38</v>
      </c>
      <c r="E1700" s="13" t="s">
        <v>410</v>
      </c>
      <c r="F1700"/>
      <c r="G1700">
        <v>2</v>
      </c>
      <c r="H1700">
        <v>1000</v>
      </c>
      <c r="J1700" cm="1">
        <f t="array" ref="J1700">_xlfn.SWITCH(B1700,1,75,2,61,3,49,4,37,5,25,6,13,7,4,8,1)</f>
        <v>61</v>
      </c>
      <c r="K1700" t="str" cm="1">
        <f t="array" ref="K1700">IFERROR(_xlfn.SWITCH(L1700,1,_xlfn.XLOOKUP(C1700,[1]AttributeName!$C:$C,[1]AttributeName!$I:$I),2,_xlfn.XLOOKUP(C1700,[1]ModifierDes!$B:$B,[1]ModifierDes!$C:$C),3,_xlfn.XLOOKUP(C1700,[1]StuntDes!$B:$B,[1]StuntDes!$C:$C)),"")</f>
        <v>中毒效果比例增加{0}</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423</v>
      </c>
      <c r="D1701" t="s">
        <v>38</v>
      </c>
      <c r="E1701" s="13" t="s">
        <v>410</v>
      </c>
      <c r="F1701"/>
      <c r="G1701">
        <v>2</v>
      </c>
      <c r="H1701">
        <v>1000</v>
      </c>
      <c r="J1701" cm="1">
        <f t="array" ref="J1701">_xlfn.SWITCH(B1701,1,75,2,61,3,49,4,37,5,25,6,13,7,4,8,1)</f>
        <v>49</v>
      </c>
      <c r="K1701" t="str" cm="1">
        <f t="array" ref="K1701">IFERROR(_xlfn.SWITCH(L1701,1,_xlfn.XLOOKUP(C1701,[1]AttributeName!$C:$C,[1]AttributeName!$I:$I),2,_xlfn.XLOOKUP(C1701,[1]ModifierDes!$B:$B,[1]ModifierDes!$C:$C),3,_xlfn.XLOOKUP(C1701,[1]StuntDes!$B:$B,[1]StuntDes!$C:$C)),"")</f>
        <v>中毒效果比例增加{0}</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423</v>
      </c>
      <c r="D1702" t="s">
        <v>38</v>
      </c>
      <c r="E1702" s="13" t="s">
        <v>410</v>
      </c>
      <c r="F1702"/>
      <c r="G1702">
        <v>2</v>
      </c>
      <c r="H1702">
        <v>1000</v>
      </c>
      <c r="J1702" cm="1">
        <f t="array" ref="J1702">_xlfn.SWITCH(B1702,1,75,2,61,3,49,4,37,5,25,6,13,7,4,8,1)</f>
        <v>37</v>
      </c>
      <c r="K1702" t="str" cm="1">
        <f t="array" ref="K1702">IFERROR(_xlfn.SWITCH(L1702,1,_xlfn.XLOOKUP(C1702,[1]AttributeName!$C:$C,[1]AttributeName!$I:$I),2,_xlfn.XLOOKUP(C1702,[1]ModifierDes!$B:$B,[1]ModifierDes!$C:$C),3,_xlfn.XLOOKUP(C1702,[1]StuntDes!$B:$B,[1]StuntDes!$C:$C)),"")</f>
        <v>中毒效果比例增加{0}</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423</v>
      </c>
      <c r="D1703" t="s">
        <v>38</v>
      </c>
      <c r="E1703" s="13" t="s">
        <v>410</v>
      </c>
      <c r="F1703"/>
      <c r="G1703">
        <v>2</v>
      </c>
      <c r="H1703">
        <v>1000</v>
      </c>
      <c r="J1703" cm="1">
        <f t="array" ref="J1703">_xlfn.SWITCH(B1703,1,75,2,61,3,49,4,37,5,25,6,13,7,4,8,1)</f>
        <v>25</v>
      </c>
      <c r="K1703" t="str" cm="1">
        <f t="array" ref="K1703">IFERROR(_xlfn.SWITCH(L1703,1,_xlfn.XLOOKUP(C1703,[1]AttributeName!$C:$C,[1]AttributeName!$I:$I),2,_xlfn.XLOOKUP(C1703,[1]ModifierDes!$B:$B,[1]ModifierDes!$C:$C),3,_xlfn.XLOOKUP(C1703,[1]StuntDes!$B:$B,[1]StuntDes!$C:$C)),"")</f>
        <v>中毒效果比例增加{0}</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423</v>
      </c>
      <c r="D1704" t="s">
        <v>38</v>
      </c>
      <c r="E1704" s="13" t="s">
        <v>410</v>
      </c>
      <c r="F1704"/>
      <c r="G1704">
        <v>2</v>
      </c>
      <c r="H1704">
        <v>1000</v>
      </c>
      <c r="J1704" cm="1">
        <f t="array" ref="J1704">_xlfn.SWITCH(B1704,1,75,2,61,3,49,4,37,5,25,6,13,7,4,8,1)</f>
        <v>13</v>
      </c>
      <c r="K1704" t="str" cm="1">
        <f t="array" ref="K1704">IFERROR(_xlfn.SWITCH(L1704,1,_xlfn.XLOOKUP(C1704,[1]AttributeName!$C:$C,[1]AttributeName!$I:$I),2,_xlfn.XLOOKUP(C1704,[1]ModifierDes!$B:$B,[1]ModifierDes!$C:$C),3,_xlfn.XLOOKUP(C1704,[1]StuntDes!$B:$B,[1]StuntDes!$C:$C)),"")</f>
        <v>中毒效果比例增加{0}</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423</v>
      </c>
      <c r="D1705" t="s">
        <v>38</v>
      </c>
      <c r="E1705" s="13" t="s">
        <v>410</v>
      </c>
      <c r="F1705"/>
      <c r="G1705">
        <v>2</v>
      </c>
      <c r="H1705">
        <v>1000</v>
      </c>
      <c r="J1705" cm="1">
        <f t="array" ref="J1705">_xlfn.SWITCH(B1705,1,75,2,61,3,49,4,37,5,25,6,13,7,4,8,1)</f>
        <v>4</v>
      </c>
      <c r="K1705" t="str" cm="1">
        <f t="array" ref="K1705">IFERROR(_xlfn.SWITCH(L1705,1,_xlfn.XLOOKUP(C1705,[1]AttributeName!$C:$C,[1]AttributeName!$I:$I),2,_xlfn.XLOOKUP(C1705,[1]ModifierDes!$B:$B,[1]ModifierDes!$C:$C),3,_xlfn.XLOOKUP(C1705,[1]StuntDes!$B:$B,[1]StuntDes!$C:$C)),"")</f>
        <v>中毒效果比例增加{0}</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423</v>
      </c>
      <c r="D1706" t="s">
        <v>38</v>
      </c>
      <c r="E1706" s="13" t="s">
        <v>410</v>
      </c>
      <c r="F1706"/>
      <c r="G1706">
        <v>2</v>
      </c>
      <c r="H1706">
        <v>1000</v>
      </c>
      <c r="J1706" cm="1">
        <f t="array" ref="J1706">_xlfn.SWITCH(B1706,1,75,2,61,3,49,4,37,5,25,6,13,7,4,8,1)</f>
        <v>1</v>
      </c>
      <c r="K1706" t="str" cm="1">
        <f t="array" ref="K1706">IFERROR(_xlfn.SWITCH(L1706,1,_xlfn.XLOOKUP(C1706,[1]AttributeName!$C:$C,[1]AttributeName!$I:$I),2,_xlfn.XLOOKUP(C1706,[1]ModifierDes!$B:$B,[1]ModifierDes!$C:$C),3,_xlfn.XLOOKUP(C1706,[1]StuntDes!$B:$B,[1]StuntDes!$C:$C)),"")</f>
        <v>中毒效果比例增加{0}</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424</v>
      </c>
      <c r="D1707" t="s">
        <v>38</v>
      </c>
      <c r="E1707" s="13" t="s">
        <v>410</v>
      </c>
      <c r="F1707"/>
      <c r="G1707">
        <v>2</v>
      </c>
      <c r="H1707">
        <v>1000</v>
      </c>
      <c r="J1707" cm="1">
        <f t="array" ref="J1707">_xlfn.SWITCH(B1707,1,75,2,61,3,49,4,37,5,25,6,13,7,4,8,1)</f>
        <v>75</v>
      </c>
      <c r="K1707" t="str" cm="1">
        <f t="array" ref="K1707">IFERROR(_xlfn.SWITCH(L1707,1,_xlfn.XLOOKUP(C1707,[1]AttributeName!$C:$C,[1]AttributeName!$I:$I),2,_xlfn.XLOOKUP(C1707,[1]ModifierDes!$B:$B,[1]ModifierDes!$C:$C),3,_xlfn.XLOOKUP(C1707,[1]StuntDes!$B:$B,[1]StuntDes!$C:$C)),"")</f>
        <v>穿戴等级降低增加{0}</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424</v>
      </c>
      <c r="D1708" t="s">
        <v>38</v>
      </c>
      <c r="E1708" s="13" t="s">
        <v>410</v>
      </c>
      <c r="F1708"/>
      <c r="G1708">
        <v>2</v>
      </c>
      <c r="H1708">
        <v>1000</v>
      </c>
      <c r="J1708" cm="1">
        <f t="array" ref="J1708">_xlfn.SWITCH(B1708,1,75,2,61,3,49,4,37,5,25,6,13,7,4,8,1)</f>
        <v>61</v>
      </c>
      <c r="K1708" t="str" cm="1">
        <f t="array" ref="K1708">IFERROR(_xlfn.SWITCH(L1708,1,_xlfn.XLOOKUP(C1708,[1]AttributeName!$C:$C,[1]AttributeName!$I:$I),2,_xlfn.XLOOKUP(C1708,[1]ModifierDes!$B:$B,[1]ModifierDes!$C:$C),3,_xlfn.XLOOKUP(C1708,[1]StuntDes!$B:$B,[1]StuntDes!$C:$C)),"")</f>
        <v>穿戴等级降低增加{0}</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424</v>
      </c>
      <c r="D1709" t="s">
        <v>38</v>
      </c>
      <c r="E1709" s="13" t="s">
        <v>410</v>
      </c>
      <c r="F1709"/>
      <c r="G1709">
        <v>2</v>
      </c>
      <c r="H1709">
        <v>1000</v>
      </c>
      <c r="J1709" cm="1">
        <f t="array" ref="J1709">_xlfn.SWITCH(B1709,1,75,2,61,3,49,4,37,5,25,6,13,7,4,8,1)</f>
        <v>49</v>
      </c>
      <c r="K1709" t="str" cm="1">
        <f t="array" ref="K1709">IFERROR(_xlfn.SWITCH(L1709,1,_xlfn.XLOOKUP(C1709,[1]AttributeName!$C:$C,[1]AttributeName!$I:$I),2,_xlfn.XLOOKUP(C1709,[1]ModifierDes!$B:$B,[1]ModifierDes!$C:$C),3,_xlfn.XLOOKUP(C1709,[1]StuntDes!$B:$B,[1]StuntDes!$C:$C)),"")</f>
        <v>穿戴等级降低增加{0}</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424</v>
      </c>
      <c r="D1710" t="s">
        <v>38</v>
      </c>
      <c r="E1710" s="13" t="s">
        <v>410</v>
      </c>
      <c r="F1710"/>
      <c r="G1710">
        <v>2</v>
      </c>
      <c r="H1710">
        <v>1000</v>
      </c>
      <c r="J1710" cm="1">
        <f t="array" ref="J1710">_xlfn.SWITCH(B1710,1,75,2,61,3,49,4,37,5,25,6,13,7,4,8,1)</f>
        <v>37</v>
      </c>
      <c r="K1710" t="str" cm="1">
        <f t="array" ref="K1710">IFERROR(_xlfn.SWITCH(L1710,1,_xlfn.XLOOKUP(C1710,[1]AttributeName!$C:$C,[1]AttributeName!$I:$I),2,_xlfn.XLOOKUP(C1710,[1]ModifierDes!$B:$B,[1]ModifierDes!$C:$C),3,_xlfn.XLOOKUP(C1710,[1]StuntDes!$B:$B,[1]StuntDes!$C:$C)),"")</f>
        <v>穿戴等级降低增加{0}</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424</v>
      </c>
      <c r="D1711" t="s">
        <v>38</v>
      </c>
      <c r="E1711" s="13" t="s">
        <v>410</v>
      </c>
      <c r="F1711"/>
      <c r="G1711">
        <v>2</v>
      </c>
      <c r="H1711">
        <v>1000</v>
      </c>
      <c r="J1711" cm="1">
        <f t="array" ref="J1711">_xlfn.SWITCH(B1711,1,75,2,61,3,49,4,37,5,25,6,13,7,4,8,1)</f>
        <v>25</v>
      </c>
      <c r="K1711" t="str" cm="1">
        <f t="array" ref="K1711">IFERROR(_xlfn.SWITCH(L1711,1,_xlfn.XLOOKUP(C1711,[1]AttributeName!$C:$C,[1]AttributeName!$I:$I),2,_xlfn.XLOOKUP(C1711,[1]ModifierDes!$B:$B,[1]ModifierDes!$C:$C),3,_xlfn.XLOOKUP(C1711,[1]StuntDes!$B:$B,[1]StuntDes!$C:$C)),"")</f>
        <v>穿戴等级降低增加{0}</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424</v>
      </c>
      <c r="D1712" t="s">
        <v>38</v>
      </c>
      <c r="E1712" s="13" t="s">
        <v>410</v>
      </c>
      <c r="F1712"/>
      <c r="G1712">
        <v>2</v>
      </c>
      <c r="H1712">
        <v>1000</v>
      </c>
      <c r="J1712" cm="1">
        <f t="array" ref="J1712">_xlfn.SWITCH(B1712,1,75,2,61,3,49,4,37,5,25,6,13,7,4,8,1)</f>
        <v>13</v>
      </c>
      <c r="K1712" t="str" cm="1">
        <f t="array" ref="K1712">IFERROR(_xlfn.SWITCH(L1712,1,_xlfn.XLOOKUP(C1712,[1]AttributeName!$C:$C,[1]AttributeName!$I:$I),2,_xlfn.XLOOKUP(C1712,[1]ModifierDes!$B:$B,[1]ModifierDes!$C:$C),3,_xlfn.XLOOKUP(C1712,[1]StuntDes!$B:$B,[1]StuntDes!$C:$C)),"")</f>
        <v>穿戴等级降低增加{0}</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424</v>
      </c>
      <c r="D1713" t="s">
        <v>38</v>
      </c>
      <c r="E1713" s="13" t="s">
        <v>410</v>
      </c>
      <c r="F1713"/>
      <c r="G1713">
        <v>2</v>
      </c>
      <c r="H1713">
        <v>1000</v>
      </c>
      <c r="J1713" cm="1">
        <f t="array" ref="J1713">_xlfn.SWITCH(B1713,1,75,2,61,3,49,4,37,5,25,6,13,7,4,8,1)</f>
        <v>4</v>
      </c>
      <c r="K1713" t="str" cm="1">
        <f t="array" ref="K1713">IFERROR(_xlfn.SWITCH(L1713,1,_xlfn.XLOOKUP(C1713,[1]AttributeName!$C:$C,[1]AttributeName!$I:$I),2,_xlfn.XLOOKUP(C1713,[1]ModifierDes!$B:$B,[1]ModifierDes!$C:$C),3,_xlfn.XLOOKUP(C1713,[1]StuntDes!$B:$B,[1]StuntDes!$C:$C)),"")</f>
        <v>穿戴等级降低增加{0}</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424</v>
      </c>
      <c r="D1714" t="s">
        <v>38</v>
      </c>
      <c r="E1714" s="13" t="s">
        <v>410</v>
      </c>
      <c r="F1714"/>
      <c r="G1714">
        <v>2</v>
      </c>
      <c r="H1714">
        <v>1000</v>
      </c>
      <c r="J1714" cm="1">
        <f t="array" ref="J1714">_xlfn.SWITCH(B1714,1,75,2,61,3,49,4,37,5,25,6,13,7,4,8,1)</f>
        <v>1</v>
      </c>
      <c r="K1714" t="str" cm="1">
        <f t="array" ref="K1714">IFERROR(_xlfn.SWITCH(L1714,1,_xlfn.XLOOKUP(C1714,[1]AttributeName!$C:$C,[1]AttributeName!$I:$I),2,_xlfn.XLOOKUP(C1714,[1]ModifierDes!$B:$B,[1]ModifierDes!$C:$C),3,_xlfn.XLOOKUP(C1714,[1]StuntDes!$B:$B,[1]StuntDes!$C:$C)),"")</f>
        <v>穿戴等级降低增加{0}</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425</v>
      </c>
      <c r="D1715" t="s">
        <v>38</v>
      </c>
      <c r="E1715" s="13" t="s">
        <v>410</v>
      </c>
      <c r="G1715">
        <v>2</v>
      </c>
      <c r="H1715">
        <v>1000</v>
      </c>
      <c r="J1715" cm="1">
        <f t="array" ref="J1715">_xlfn.SWITCH(B1715,1,75,2,61,3,49,4,37,5,25,6,13,7,4,8,1)</f>
        <v>75</v>
      </c>
      <c r="K1715" t="str" cm="1">
        <f t="array" ref="K1715">IFERROR(_xlfn.SWITCH(L1715,1,_xlfn.XLOOKUP(C1715,[1]AttributeName!$C:$C,[1]AttributeName!$I:$I),2,_xlfn.XLOOKUP(C1715,[1]ModifierDes!$B:$B,[1]ModifierDes!$C:$C),3,_xlfn.XLOOKUP(C1715,[1]StuntDes!$B:$B,[1]StuntDes!$C:$C)),"")</f>
        <v>击杀回血增加{0}</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425</v>
      </c>
      <c r="D1716" t="s">
        <v>38</v>
      </c>
      <c r="E1716" s="13" t="s">
        <v>410</v>
      </c>
      <c r="G1716">
        <v>2</v>
      </c>
      <c r="H1716">
        <v>1000</v>
      </c>
      <c r="J1716" cm="1">
        <f t="array" ref="J1716">_xlfn.SWITCH(B1716,1,75,2,61,3,49,4,37,5,25,6,13,7,4,8,1)</f>
        <v>61</v>
      </c>
      <c r="K1716" t="str" cm="1">
        <f t="array" ref="K1716">IFERROR(_xlfn.SWITCH(L1716,1,_xlfn.XLOOKUP(C1716,[1]AttributeName!$C:$C,[1]AttributeName!$I:$I),2,_xlfn.XLOOKUP(C1716,[1]ModifierDes!$B:$B,[1]ModifierDes!$C:$C),3,_xlfn.XLOOKUP(C1716,[1]StuntDes!$B:$B,[1]StuntDes!$C:$C)),"")</f>
        <v>击杀回血增加{0}</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425</v>
      </c>
      <c r="D1717" t="s">
        <v>38</v>
      </c>
      <c r="E1717" s="13" t="s">
        <v>410</v>
      </c>
      <c r="G1717">
        <v>2</v>
      </c>
      <c r="H1717">
        <v>1000</v>
      </c>
      <c r="J1717" cm="1">
        <f t="array" ref="J1717">_xlfn.SWITCH(B1717,1,75,2,61,3,49,4,37,5,25,6,13,7,4,8,1)</f>
        <v>49</v>
      </c>
      <c r="K1717" t="str" cm="1">
        <f t="array" ref="K1717">IFERROR(_xlfn.SWITCH(L1717,1,_xlfn.XLOOKUP(C1717,[1]AttributeName!$C:$C,[1]AttributeName!$I:$I),2,_xlfn.XLOOKUP(C1717,[1]ModifierDes!$B:$B,[1]ModifierDes!$C:$C),3,_xlfn.XLOOKUP(C1717,[1]StuntDes!$B:$B,[1]StuntDes!$C:$C)),"")</f>
        <v>击杀回血增加{0}</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425</v>
      </c>
      <c r="D1718" t="s">
        <v>38</v>
      </c>
      <c r="E1718" s="13" t="s">
        <v>410</v>
      </c>
      <c r="G1718">
        <v>2</v>
      </c>
      <c r="H1718">
        <v>1000</v>
      </c>
      <c r="J1718" cm="1">
        <f t="array" ref="J1718">_xlfn.SWITCH(B1718,1,75,2,61,3,49,4,37,5,25,6,13,7,4,8,1)</f>
        <v>37</v>
      </c>
      <c r="K1718" t="str" cm="1">
        <f t="array" ref="K1718">IFERROR(_xlfn.SWITCH(L1718,1,_xlfn.XLOOKUP(C1718,[1]AttributeName!$C:$C,[1]AttributeName!$I:$I),2,_xlfn.XLOOKUP(C1718,[1]ModifierDes!$B:$B,[1]ModifierDes!$C:$C),3,_xlfn.XLOOKUP(C1718,[1]StuntDes!$B:$B,[1]StuntDes!$C:$C)),"")</f>
        <v>击杀回血增加{0}</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425</v>
      </c>
      <c r="D1719" t="s">
        <v>38</v>
      </c>
      <c r="E1719" s="13" t="s">
        <v>410</v>
      </c>
      <c r="G1719">
        <v>2</v>
      </c>
      <c r="H1719">
        <v>1000</v>
      </c>
      <c r="J1719" cm="1">
        <f t="array" ref="J1719">_xlfn.SWITCH(B1719,1,75,2,61,3,49,4,37,5,25,6,13,7,4,8,1)</f>
        <v>25</v>
      </c>
      <c r="K1719" t="str" cm="1">
        <f t="array" ref="K1719">IFERROR(_xlfn.SWITCH(L1719,1,_xlfn.XLOOKUP(C1719,[1]AttributeName!$C:$C,[1]AttributeName!$I:$I),2,_xlfn.XLOOKUP(C1719,[1]ModifierDes!$B:$B,[1]ModifierDes!$C:$C),3,_xlfn.XLOOKUP(C1719,[1]StuntDes!$B:$B,[1]StuntDes!$C:$C)),"")</f>
        <v>击杀回血增加{0}</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425</v>
      </c>
      <c r="D1720" t="s">
        <v>38</v>
      </c>
      <c r="E1720" s="13" t="s">
        <v>410</v>
      </c>
      <c r="G1720">
        <v>2</v>
      </c>
      <c r="H1720">
        <v>1000</v>
      </c>
      <c r="J1720" cm="1">
        <f t="array" ref="J1720">_xlfn.SWITCH(B1720,1,75,2,61,3,49,4,37,5,25,6,13,7,4,8,1)</f>
        <v>13</v>
      </c>
      <c r="K1720" t="str" cm="1">
        <f t="array" ref="K1720">IFERROR(_xlfn.SWITCH(L1720,1,_xlfn.XLOOKUP(C1720,[1]AttributeName!$C:$C,[1]AttributeName!$I:$I),2,_xlfn.XLOOKUP(C1720,[1]ModifierDes!$B:$B,[1]ModifierDes!$C:$C),3,_xlfn.XLOOKUP(C1720,[1]StuntDes!$B:$B,[1]StuntDes!$C:$C)),"")</f>
        <v>击杀回血增加{0}</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425</v>
      </c>
      <c r="D1721" t="s">
        <v>38</v>
      </c>
      <c r="E1721" s="13" t="s">
        <v>410</v>
      </c>
      <c r="G1721">
        <v>2</v>
      </c>
      <c r="H1721">
        <v>1000</v>
      </c>
      <c r="J1721" cm="1">
        <f t="array" ref="J1721">_xlfn.SWITCH(B1721,1,75,2,61,3,49,4,37,5,25,6,13,7,4,8,1)</f>
        <v>4</v>
      </c>
      <c r="K1721" t="str" cm="1">
        <f t="array" ref="K1721">IFERROR(_xlfn.SWITCH(L1721,1,_xlfn.XLOOKUP(C1721,[1]AttributeName!$C:$C,[1]AttributeName!$I:$I),2,_xlfn.XLOOKUP(C1721,[1]ModifierDes!$B:$B,[1]ModifierDes!$C:$C),3,_xlfn.XLOOKUP(C1721,[1]StuntDes!$B:$B,[1]StuntDes!$C:$C)),"")</f>
        <v>击杀回血增加{0}</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425</v>
      </c>
      <c r="D1722" t="s">
        <v>38</v>
      </c>
      <c r="E1722" s="13" t="s">
        <v>410</v>
      </c>
      <c r="G1722">
        <v>2</v>
      </c>
      <c r="H1722">
        <v>1000</v>
      </c>
      <c r="J1722" cm="1">
        <f t="array" ref="J1722">_xlfn.SWITCH(B1722,1,75,2,61,3,49,4,37,5,25,6,13,7,4,8,1)</f>
        <v>1</v>
      </c>
      <c r="K1722" t="str" cm="1">
        <f t="array" ref="K1722">IFERROR(_xlfn.SWITCH(L1722,1,_xlfn.XLOOKUP(C1722,[1]AttributeName!$C:$C,[1]AttributeName!$I:$I),2,_xlfn.XLOOKUP(C1722,[1]ModifierDes!$B:$B,[1]ModifierDes!$C:$C),3,_xlfn.XLOOKUP(C1722,[1]StuntDes!$B:$B,[1]StuntDes!$C:$C)),"")</f>
        <v>击杀回血增加{0}</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426</v>
      </c>
      <c r="D1723" t="s">
        <v>38</v>
      </c>
      <c r="E1723" s="13" t="s">
        <v>410</v>
      </c>
      <c r="G1723">
        <v>2</v>
      </c>
      <c r="H1723">
        <v>1000</v>
      </c>
      <c r="J1723" cm="1">
        <f t="array" ref="J1723">_xlfn.SWITCH(B1723,1,75,2,61,3,49,4,37,5,25,6,13,7,4,8,1)</f>
        <v>75</v>
      </c>
      <c r="K1723" t="str" cm="1">
        <f t="array" ref="K1723">IFERROR(_xlfn.SWITCH(L1723,1,_xlfn.XLOOKUP(C1723,[1]AttributeName!$C:$C,[1]AttributeName!$I:$I),2,_xlfn.XLOOKUP(C1723,[1]ModifierDes!$B:$B,[1]ModifierDes!$C:$C),3,_xlfn.XLOOKUP(C1723,[1]StuntDes!$B:$B,[1]StuntDes!$C:$C)),"")</f>
        <v>击杀回蓝增加{0}</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426</v>
      </c>
      <c r="D1724" t="s">
        <v>38</v>
      </c>
      <c r="E1724" s="13" t="s">
        <v>410</v>
      </c>
      <c r="G1724">
        <v>2</v>
      </c>
      <c r="H1724">
        <v>1000</v>
      </c>
      <c r="J1724" cm="1">
        <f t="array" ref="J1724">_xlfn.SWITCH(B1724,1,75,2,61,3,49,4,37,5,25,6,13,7,4,8,1)</f>
        <v>61</v>
      </c>
      <c r="K1724" t="str" cm="1">
        <f t="array" ref="K1724">IFERROR(_xlfn.SWITCH(L1724,1,_xlfn.XLOOKUP(C1724,[1]AttributeName!$C:$C,[1]AttributeName!$I:$I),2,_xlfn.XLOOKUP(C1724,[1]ModifierDes!$B:$B,[1]ModifierDes!$C:$C),3,_xlfn.XLOOKUP(C1724,[1]StuntDes!$B:$B,[1]StuntDes!$C:$C)),"")</f>
        <v>击杀回蓝增加{0}</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426</v>
      </c>
      <c r="D1725" t="s">
        <v>38</v>
      </c>
      <c r="E1725" s="13" t="s">
        <v>410</v>
      </c>
      <c r="G1725">
        <v>2</v>
      </c>
      <c r="H1725">
        <v>1000</v>
      </c>
      <c r="J1725" cm="1">
        <f t="array" ref="J1725">_xlfn.SWITCH(B1725,1,75,2,61,3,49,4,37,5,25,6,13,7,4,8,1)</f>
        <v>49</v>
      </c>
      <c r="K1725" t="str" cm="1">
        <f t="array" ref="K1725">IFERROR(_xlfn.SWITCH(L1725,1,_xlfn.XLOOKUP(C1725,[1]AttributeName!$C:$C,[1]AttributeName!$I:$I),2,_xlfn.XLOOKUP(C1725,[1]ModifierDes!$B:$B,[1]ModifierDes!$C:$C),3,_xlfn.XLOOKUP(C1725,[1]StuntDes!$B:$B,[1]StuntDes!$C:$C)),"")</f>
        <v>击杀回蓝增加{0}</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426</v>
      </c>
      <c r="D1726" t="s">
        <v>38</v>
      </c>
      <c r="E1726" s="13" t="s">
        <v>410</v>
      </c>
      <c r="G1726">
        <v>2</v>
      </c>
      <c r="H1726">
        <v>1000</v>
      </c>
      <c r="J1726" cm="1">
        <f t="array" ref="J1726">_xlfn.SWITCH(B1726,1,75,2,61,3,49,4,37,5,25,6,13,7,4,8,1)</f>
        <v>37</v>
      </c>
      <c r="K1726" t="str" cm="1">
        <f t="array" ref="K1726">IFERROR(_xlfn.SWITCH(L1726,1,_xlfn.XLOOKUP(C1726,[1]AttributeName!$C:$C,[1]AttributeName!$I:$I),2,_xlfn.XLOOKUP(C1726,[1]ModifierDes!$B:$B,[1]ModifierDes!$C:$C),3,_xlfn.XLOOKUP(C1726,[1]StuntDes!$B:$B,[1]StuntDes!$C:$C)),"")</f>
        <v>击杀回蓝增加{0}</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426</v>
      </c>
      <c r="D1727" t="s">
        <v>38</v>
      </c>
      <c r="E1727" s="13" t="s">
        <v>410</v>
      </c>
      <c r="G1727">
        <v>2</v>
      </c>
      <c r="H1727">
        <v>1000</v>
      </c>
      <c r="J1727" cm="1">
        <f t="array" ref="J1727">_xlfn.SWITCH(B1727,1,75,2,61,3,49,4,37,5,25,6,13,7,4,8,1)</f>
        <v>25</v>
      </c>
      <c r="K1727" t="str" cm="1">
        <f t="array" ref="K1727">IFERROR(_xlfn.SWITCH(L1727,1,_xlfn.XLOOKUP(C1727,[1]AttributeName!$C:$C,[1]AttributeName!$I:$I),2,_xlfn.XLOOKUP(C1727,[1]ModifierDes!$B:$B,[1]ModifierDes!$C:$C),3,_xlfn.XLOOKUP(C1727,[1]StuntDes!$B:$B,[1]StuntDes!$C:$C)),"")</f>
        <v>击杀回蓝增加{0}</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426</v>
      </c>
      <c r="D1728" t="s">
        <v>38</v>
      </c>
      <c r="E1728" s="13" t="s">
        <v>410</v>
      </c>
      <c r="G1728">
        <v>2</v>
      </c>
      <c r="H1728">
        <v>1000</v>
      </c>
      <c r="J1728" cm="1">
        <f t="array" ref="J1728">_xlfn.SWITCH(B1728,1,75,2,61,3,49,4,37,5,25,6,13,7,4,8,1)</f>
        <v>13</v>
      </c>
      <c r="K1728" t="str" cm="1">
        <f t="array" ref="K1728">IFERROR(_xlfn.SWITCH(L1728,1,_xlfn.XLOOKUP(C1728,[1]AttributeName!$C:$C,[1]AttributeName!$I:$I),2,_xlfn.XLOOKUP(C1728,[1]ModifierDes!$B:$B,[1]ModifierDes!$C:$C),3,_xlfn.XLOOKUP(C1728,[1]StuntDes!$B:$B,[1]StuntDes!$C:$C)),"")</f>
        <v>击杀回蓝增加{0}</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426</v>
      </c>
      <c r="D1729" t="s">
        <v>38</v>
      </c>
      <c r="E1729" s="13" t="s">
        <v>410</v>
      </c>
      <c r="G1729">
        <v>2</v>
      </c>
      <c r="H1729">
        <v>1000</v>
      </c>
      <c r="J1729" cm="1">
        <f t="array" ref="J1729">_xlfn.SWITCH(B1729,1,75,2,61,3,49,4,37,5,25,6,13,7,4,8,1)</f>
        <v>4</v>
      </c>
      <c r="K1729" t="str" cm="1">
        <f t="array" ref="K1729">IFERROR(_xlfn.SWITCH(L1729,1,_xlfn.XLOOKUP(C1729,[1]AttributeName!$C:$C,[1]AttributeName!$I:$I),2,_xlfn.XLOOKUP(C1729,[1]ModifierDes!$B:$B,[1]ModifierDes!$C:$C),3,_xlfn.XLOOKUP(C1729,[1]StuntDes!$B:$B,[1]StuntDes!$C:$C)),"")</f>
        <v>击杀回蓝增加{0}</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426</v>
      </c>
      <c r="D1730" t="s">
        <v>38</v>
      </c>
      <c r="E1730" s="13" t="s">
        <v>410</v>
      </c>
      <c r="G1730">
        <v>2</v>
      </c>
      <c r="H1730">
        <v>1000</v>
      </c>
      <c r="J1730" cm="1">
        <f t="array" ref="J1730">_xlfn.SWITCH(B1730,1,75,2,61,3,49,4,37,5,25,6,13,7,4,8,1)</f>
        <v>1</v>
      </c>
      <c r="K1730" t="str" cm="1">
        <f t="array" ref="K1730">IFERROR(_xlfn.SWITCH(L1730,1,_xlfn.XLOOKUP(C1730,[1]AttributeName!$C:$C,[1]AttributeName!$I:$I),2,_xlfn.XLOOKUP(C1730,[1]ModifierDes!$B:$B,[1]ModifierDes!$C:$C),3,_xlfn.XLOOKUP(C1730,[1]StuntDes!$B:$B,[1]StuntDes!$C:$C)),"")</f>
        <v>击杀回蓝增加{0}</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407</v>
      </c>
      <c r="D1731" t="s">
        <v>39</v>
      </c>
      <c r="E1731" t="s">
        <v>393</v>
      </c>
      <c r="G1731">
        <v>1</v>
      </c>
      <c r="H1731">
        <v>1000</v>
      </c>
      <c r="J1731" cm="1">
        <f t="array" ref="J1731">_xlfn.SWITCH(B1731,1,75,2,61,3,49,4,37,5,25,6,13,7,4,8,1)</f>
        <v>75</v>
      </c>
      <c r="K1731" t="str" cm="1">
        <f t="array" ref="K1731">IFERROR(_xlfn.SWITCH(L1731,1,_xlfn.XLOOKUP(C1731,[1]AttributeName!$C:$C,[1]AttributeName!$I:$I),2,_xlfn.XLOOKUP(C1731,[1]ModifierDes!$B:$B,[1]ModifierDes!$C:$C),3,_xlfn.XLOOKUP(C1731,[1]StuntDes!$B:$B,[1]StuntDes!$C:$C)),"")</f>
        <v>基础生命增加{0}</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407</v>
      </c>
      <c r="D1732" t="s">
        <v>39</v>
      </c>
      <c r="E1732" t="s">
        <v>393</v>
      </c>
      <c r="G1732">
        <v>1</v>
      </c>
      <c r="H1732">
        <v>1000</v>
      </c>
      <c r="J1732" cm="1">
        <f t="array" ref="J1732">_xlfn.SWITCH(B1732,1,75,2,61,3,49,4,37,5,25,6,13,7,4,8,1)</f>
        <v>61</v>
      </c>
      <c r="K1732" t="str" cm="1">
        <f t="array" ref="K1732">IFERROR(_xlfn.SWITCH(L1732,1,_xlfn.XLOOKUP(C1732,[1]AttributeName!$C:$C,[1]AttributeName!$I:$I),2,_xlfn.XLOOKUP(C1732,[1]ModifierDes!$B:$B,[1]ModifierDes!$C:$C),3,_xlfn.XLOOKUP(C1732,[1]StuntDes!$B:$B,[1]StuntDes!$C:$C)),"")</f>
        <v>基础生命增加{0}</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407</v>
      </c>
      <c r="D1733" t="s">
        <v>39</v>
      </c>
      <c r="E1733" t="s">
        <v>393</v>
      </c>
      <c r="G1733">
        <v>1</v>
      </c>
      <c r="H1733">
        <v>1000</v>
      </c>
      <c r="J1733" cm="1">
        <f t="array" ref="J1733">_xlfn.SWITCH(B1733,1,75,2,61,3,49,4,37,5,25,6,13,7,4,8,1)</f>
        <v>49</v>
      </c>
      <c r="K1733" t="str" cm="1">
        <f t="array" ref="K1733">IFERROR(_xlfn.SWITCH(L1733,1,_xlfn.XLOOKUP(C1733,[1]AttributeName!$C:$C,[1]AttributeName!$I:$I),2,_xlfn.XLOOKUP(C1733,[1]ModifierDes!$B:$B,[1]ModifierDes!$C:$C),3,_xlfn.XLOOKUP(C1733,[1]StuntDes!$B:$B,[1]StuntDes!$C:$C)),"")</f>
        <v>基础生命增加{0}</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407</v>
      </c>
      <c r="D1734" t="s">
        <v>39</v>
      </c>
      <c r="E1734" t="s">
        <v>393</v>
      </c>
      <c r="G1734">
        <v>1</v>
      </c>
      <c r="H1734">
        <v>1000</v>
      </c>
      <c r="J1734" cm="1">
        <f t="array" ref="J1734">_xlfn.SWITCH(B1734,1,75,2,61,3,49,4,37,5,25,6,13,7,4,8,1)</f>
        <v>37</v>
      </c>
      <c r="K1734" t="str" cm="1">
        <f t="array" ref="K1734">IFERROR(_xlfn.SWITCH(L1734,1,_xlfn.XLOOKUP(C1734,[1]AttributeName!$C:$C,[1]AttributeName!$I:$I),2,_xlfn.XLOOKUP(C1734,[1]ModifierDes!$B:$B,[1]ModifierDes!$C:$C),3,_xlfn.XLOOKUP(C1734,[1]StuntDes!$B:$B,[1]StuntDes!$C:$C)),"")</f>
        <v>基础生命增加{0}</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407</v>
      </c>
      <c r="D1735" t="s">
        <v>39</v>
      </c>
      <c r="E1735" t="s">
        <v>393</v>
      </c>
      <c r="G1735">
        <v>1</v>
      </c>
      <c r="H1735">
        <v>1000</v>
      </c>
      <c r="J1735" cm="1">
        <f t="array" ref="J1735">_xlfn.SWITCH(B1735,1,75,2,61,3,49,4,37,5,25,6,13,7,4,8,1)</f>
        <v>25</v>
      </c>
      <c r="K1735" t="str" cm="1">
        <f t="array" ref="K1735">IFERROR(_xlfn.SWITCH(L1735,1,_xlfn.XLOOKUP(C1735,[1]AttributeName!$C:$C,[1]AttributeName!$I:$I),2,_xlfn.XLOOKUP(C1735,[1]ModifierDes!$B:$B,[1]ModifierDes!$C:$C),3,_xlfn.XLOOKUP(C1735,[1]StuntDes!$B:$B,[1]StuntDes!$C:$C)),"")</f>
        <v>基础生命增加{0}</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407</v>
      </c>
      <c r="D1736" t="s">
        <v>39</v>
      </c>
      <c r="E1736" t="s">
        <v>393</v>
      </c>
      <c r="G1736">
        <v>1</v>
      </c>
      <c r="H1736">
        <v>1000</v>
      </c>
      <c r="J1736" cm="1">
        <f t="array" ref="J1736">_xlfn.SWITCH(B1736,1,75,2,61,3,49,4,37,5,25,6,13,7,4,8,1)</f>
        <v>13</v>
      </c>
      <c r="K1736" t="str" cm="1">
        <f t="array" ref="K1736">IFERROR(_xlfn.SWITCH(L1736,1,_xlfn.XLOOKUP(C1736,[1]AttributeName!$C:$C,[1]AttributeName!$I:$I),2,_xlfn.XLOOKUP(C1736,[1]ModifierDes!$B:$B,[1]ModifierDes!$C:$C),3,_xlfn.XLOOKUP(C1736,[1]StuntDes!$B:$B,[1]StuntDes!$C:$C)),"")</f>
        <v>基础生命增加{0}</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407</v>
      </c>
      <c r="D1737" t="s">
        <v>39</v>
      </c>
      <c r="E1737" t="s">
        <v>393</v>
      </c>
      <c r="G1737">
        <v>1</v>
      </c>
      <c r="H1737">
        <v>1000</v>
      </c>
      <c r="J1737" cm="1">
        <f t="array" ref="J1737">_xlfn.SWITCH(B1737,1,75,2,61,3,49,4,37,5,25,6,13,7,4,8,1)</f>
        <v>4</v>
      </c>
      <c r="K1737" t="str" cm="1">
        <f t="array" ref="K1737">IFERROR(_xlfn.SWITCH(L1737,1,_xlfn.XLOOKUP(C1737,[1]AttributeName!$C:$C,[1]AttributeName!$I:$I),2,_xlfn.XLOOKUP(C1737,[1]ModifierDes!$B:$B,[1]ModifierDes!$C:$C),3,_xlfn.XLOOKUP(C1737,[1]StuntDes!$B:$B,[1]StuntDes!$C:$C)),"")</f>
        <v>基础生命增加{0}</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407</v>
      </c>
      <c r="D1738" t="s">
        <v>39</v>
      </c>
      <c r="E1738" t="s">
        <v>393</v>
      </c>
      <c r="G1738">
        <v>1</v>
      </c>
      <c r="H1738">
        <v>1000</v>
      </c>
      <c r="J1738" cm="1">
        <f t="array" ref="J1738">_xlfn.SWITCH(B1738,1,75,2,61,3,49,4,37,5,25,6,13,7,4,8,1)</f>
        <v>1</v>
      </c>
      <c r="K1738" t="str" cm="1">
        <f t="array" ref="K1738">IFERROR(_xlfn.SWITCH(L1738,1,_xlfn.XLOOKUP(C1738,[1]AttributeName!$C:$C,[1]AttributeName!$I:$I),2,_xlfn.XLOOKUP(C1738,[1]ModifierDes!$B:$B,[1]ModifierDes!$C:$C),3,_xlfn.XLOOKUP(C1738,[1]StuntDes!$B:$B,[1]StuntDes!$C:$C)),"")</f>
        <v>基础生命增加{0}</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408</v>
      </c>
      <c r="D1739" t="s">
        <v>39</v>
      </c>
      <c r="E1739" t="s">
        <v>393</v>
      </c>
      <c r="G1739">
        <v>1</v>
      </c>
      <c r="H1739">
        <v>1000</v>
      </c>
      <c r="J1739" cm="1">
        <f t="array" ref="J1739">_xlfn.SWITCH(B1739,1,75,2,61,3,49,4,37,5,25,6,13,7,4,8,1)</f>
        <v>75</v>
      </c>
      <c r="K1739" t="str" cm="1">
        <f t="array" ref="K1739">IFERROR(_xlfn.SWITCH(L1739,1,_xlfn.XLOOKUP(C1739,[1]AttributeName!$C:$C,[1]AttributeName!$I:$I),2,_xlfn.XLOOKUP(C1739,[1]ModifierDes!$B:$B,[1]ModifierDes!$C:$C),3,_xlfn.XLOOKUP(C1739,[1]StuntDes!$B:$B,[1]StuntDes!$C:$C)),"")</f>
        <v>基础魔力增加{0}</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408</v>
      </c>
      <c r="D1740" t="s">
        <v>39</v>
      </c>
      <c r="E1740" t="s">
        <v>393</v>
      </c>
      <c r="G1740">
        <v>1</v>
      </c>
      <c r="H1740">
        <v>1000</v>
      </c>
      <c r="J1740" cm="1">
        <f t="array" ref="J1740">_xlfn.SWITCH(B1740,1,75,2,61,3,49,4,37,5,25,6,13,7,4,8,1)</f>
        <v>61</v>
      </c>
      <c r="K1740" t="str" cm="1">
        <f t="array" ref="K1740">IFERROR(_xlfn.SWITCH(L1740,1,_xlfn.XLOOKUP(C1740,[1]AttributeName!$C:$C,[1]AttributeName!$I:$I),2,_xlfn.XLOOKUP(C1740,[1]ModifierDes!$B:$B,[1]ModifierDes!$C:$C),3,_xlfn.XLOOKUP(C1740,[1]StuntDes!$B:$B,[1]StuntDes!$C:$C)),"")</f>
        <v>基础魔力增加{0}</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408</v>
      </c>
      <c r="D1741" t="s">
        <v>39</v>
      </c>
      <c r="E1741" t="s">
        <v>393</v>
      </c>
      <c r="G1741">
        <v>1</v>
      </c>
      <c r="H1741">
        <v>1000</v>
      </c>
      <c r="J1741" cm="1">
        <f t="array" ref="J1741">_xlfn.SWITCH(B1741,1,75,2,61,3,49,4,37,5,25,6,13,7,4,8,1)</f>
        <v>49</v>
      </c>
      <c r="K1741" t="str" cm="1">
        <f t="array" ref="K1741">IFERROR(_xlfn.SWITCH(L1741,1,_xlfn.XLOOKUP(C1741,[1]AttributeName!$C:$C,[1]AttributeName!$I:$I),2,_xlfn.XLOOKUP(C1741,[1]ModifierDes!$B:$B,[1]ModifierDes!$C:$C),3,_xlfn.XLOOKUP(C1741,[1]StuntDes!$B:$B,[1]StuntDes!$C:$C)),"")</f>
        <v>基础魔力增加{0}</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408</v>
      </c>
      <c r="D1742" t="s">
        <v>39</v>
      </c>
      <c r="E1742" t="s">
        <v>393</v>
      </c>
      <c r="G1742">
        <v>1</v>
      </c>
      <c r="H1742">
        <v>1000</v>
      </c>
      <c r="J1742" cm="1">
        <f t="array" ref="J1742">_xlfn.SWITCH(B1742,1,75,2,61,3,49,4,37,5,25,6,13,7,4,8,1)</f>
        <v>37</v>
      </c>
      <c r="K1742" t="str" cm="1">
        <f t="array" ref="K1742">IFERROR(_xlfn.SWITCH(L1742,1,_xlfn.XLOOKUP(C1742,[1]AttributeName!$C:$C,[1]AttributeName!$I:$I),2,_xlfn.XLOOKUP(C1742,[1]ModifierDes!$B:$B,[1]ModifierDes!$C:$C),3,_xlfn.XLOOKUP(C1742,[1]StuntDes!$B:$B,[1]StuntDes!$C:$C)),"")</f>
        <v>基础魔力增加{0}</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408</v>
      </c>
      <c r="D1743" t="s">
        <v>39</v>
      </c>
      <c r="E1743" t="s">
        <v>393</v>
      </c>
      <c r="G1743">
        <v>1</v>
      </c>
      <c r="H1743">
        <v>1000</v>
      </c>
      <c r="J1743" cm="1">
        <f t="array" ref="J1743">_xlfn.SWITCH(B1743,1,75,2,61,3,49,4,37,5,25,6,13,7,4,8,1)</f>
        <v>25</v>
      </c>
      <c r="K1743" t="str" cm="1">
        <f t="array" ref="K1743">IFERROR(_xlfn.SWITCH(L1743,1,_xlfn.XLOOKUP(C1743,[1]AttributeName!$C:$C,[1]AttributeName!$I:$I),2,_xlfn.XLOOKUP(C1743,[1]ModifierDes!$B:$B,[1]ModifierDes!$C:$C),3,_xlfn.XLOOKUP(C1743,[1]StuntDes!$B:$B,[1]StuntDes!$C:$C)),"")</f>
        <v>基础魔力增加{0}</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408</v>
      </c>
      <c r="D1744" t="s">
        <v>39</v>
      </c>
      <c r="E1744" t="s">
        <v>393</v>
      </c>
      <c r="G1744">
        <v>1</v>
      </c>
      <c r="H1744">
        <v>1000</v>
      </c>
      <c r="J1744" cm="1">
        <f t="array" ref="J1744">_xlfn.SWITCH(B1744,1,75,2,61,3,49,4,37,5,25,6,13,7,4,8,1)</f>
        <v>13</v>
      </c>
      <c r="K1744" t="str" cm="1">
        <f t="array" ref="K1744">IFERROR(_xlfn.SWITCH(L1744,1,_xlfn.XLOOKUP(C1744,[1]AttributeName!$C:$C,[1]AttributeName!$I:$I),2,_xlfn.XLOOKUP(C1744,[1]ModifierDes!$B:$B,[1]ModifierDes!$C:$C),3,_xlfn.XLOOKUP(C1744,[1]StuntDes!$B:$B,[1]StuntDes!$C:$C)),"")</f>
        <v>基础魔力增加{0}</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408</v>
      </c>
      <c r="D1745" t="s">
        <v>39</v>
      </c>
      <c r="E1745" t="s">
        <v>393</v>
      </c>
      <c r="G1745">
        <v>1</v>
      </c>
      <c r="H1745">
        <v>1000</v>
      </c>
      <c r="J1745" cm="1">
        <f t="array" ref="J1745">_xlfn.SWITCH(B1745,1,75,2,61,3,49,4,37,5,25,6,13,7,4,8,1)</f>
        <v>4</v>
      </c>
      <c r="K1745" t="str" cm="1">
        <f t="array" ref="K1745">IFERROR(_xlfn.SWITCH(L1745,1,_xlfn.XLOOKUP(C1745,[1]AttributeName!$C:$C,[1]AttributeName!$I:$I),2,_xlfn.XLOOKUP(C1745,[1]ModifierDes!$B:$B,[1]ModifierDes!$C:$C),3,_xlfn.XLOOKUP(C1745,[1]StuntDes!$B:$B,[1]StuntDes!$C:$C)),"")</f>
        <v>基础魔力增加{0}</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408</v>
      </c>
      <c r="D1746" t="s">
        <v>39</v>
      </c>
      <c r="E1746" t="s">
        <v>393</v>
      </c>
      <c r="G1746">
        <v>1</v>
      </c>
      <c r="H1746">
        <v>1000</v>
      </c>
      <c r="J1746" cm="1">
        <f t="array" ref="J1746">_xlfn.SWITCH(B1746,1,75,2,61,3,49,4,37,5,25,6,13,7,4,8,1)</f>
        <v>1</v>
      </c>
      <c r="K1746" t="str" cm="1">
        <f t="array" ref="K1746">IFERROR(_xlfn.SWITCH(L1746,1,_xlfn.XLOOKUP(C1746,[1]AttributeName!$C:$C,[1]AttributeName!$I:$I),2,_xlfn.XLOOKUP(C1746,[1]ModifierDes!$B:$B,[1]ModifierDes!$C:$C),3,_xlfn.XLOOKUP(C1746,[1]StuntDes!$B:$B,[1]StuntDes!$C:$C)),"")</f>
        <v>基础魔力增加{0}</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428</v>
      </c>
      <c r="D1747" t="s">
        <v>39</v>
      </c>
      <c r="E1747" t="s">
        <v>393</v>
      </c>
      <c r="G1747">
        <v>1</v>
      </c>
      <c r="H1747">
        <v>1000</v>
      </c>
      <c r="J1747" cm="1">
        <f t="array" ref="J1747">_xlfn.SWITCH(B1747,1,75,2,61,3,49,4,37,5,25,6,13,7,4,8,1)</f>
        <v>75</v>
      </c>
      <c r="K1747" t="str" cm="1">
        <f t="array" ref="K1747">IFERROR(_xlfn.SWITCH(L1747,1,_xlfn.XLOOKUP(C1747,[1]AttributeName!$C:$C,[1]AttributeName!$I:$I),2,_xlfn.XLOOKUP(C1747,[1]ModifierDes!$B:$B,[1]ModifierDes!$C:$C),3,_xlfn.XLOOKUP(C1747,[1]StuntDes!$B:$B,[1]StuntDes!$C:$C)),"")</f>
        <v>防御力增加{0}</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428</v>
      </c>
      <c r="D1748" t="s">
        <v>39</v>
      </c>
      <c r="E1748" t="s">
        <v>393</v>
      </c>
      <c r="G1748">
        <v>1</v>
      </c>
      <c r="H1748">
        <v>1000</v>
      </c>
      <c r="J1748" cm="1">
        <f t="array" ref="J1748">_xlfn.SWITCH(B1748,1,75,2,61,3,49,4,37,5,25,6,13,7,4,8,1)</f>
        <v>61</v>
      </c>
      <c r="K1748" t="str" cm="1">
        <f t="array" ref="K1748">IFERROR(_xlfn.SWITCH(L1748,1,_xlfn.XLOOKUP(C1748,[1]AttributeName!$C:$C,[1]AttributeName!$I:$I),2,_xlfn.XLOOKUP(C1748,[1]ModifierDes!$B:$B,[1]ModifierDes!$C:$C),3,_xlfn.XLOOKUP(C1748,[1]StuntDes!$B:$B,[1]StuntDes!$C:$C)),"")</f>
        <v>防御力增加{0}</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428</v>
      </c>
      <c r="D1749" t="s">
        <v>39</v>
      </c>
      <c r="E1749" t="s">
        <v>393</v>
      </c>
      <c r="G1749">
        <v>1</v>
      </c>
      <c r="H1749">
        <v>1000</v>
      </c>
      <c r="J1749" cm="1">
        <f t="array" ref="J1749">_xlfn.SWITCH(B1749,1,75,2,61,3,49,4,37,5,25,6,13,7,4,8,1)</f>
        <v>49</v>
      </c>
      <c r="K1749" t="str" cm="1">
        <f t="array" ref="K1749">IFERROR(_xlfn.SWITCH(L1749,1,_xlfn.XLOOKUP(C1749,[1]AttributeName!$C:$C,[1]AttributeName!$I:$I),2,_xlfn.XLOOKUP(C1749,[1]ModifierDes!$B:$B,[1]ModifierDes!$C:$C),3,_xlfn.XLOOKUP(C1749,[1]StuntDes!$B:$B,[1]StuntDes!$C:$C)),"")</f>
        <v>防御力增加{0}</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428</v>
      </c>
      <c r="D1750" t="s">
        <v>39</v>
      </c>
      <c r="E1750" t="s">
        <v>393</v>
      </c>
      <c r="G1750">
        <v>1</v>
      </c>
      <c r="H1750">
        <v>1000</v>
      </c>
      <c r="J1750" cm="1">
        <f t="array" ref="J1750">_xlfn.SWITCH(B1750,1,75,2,61,3,49,4,37,5,25,6,13,7,4,8,1)</f>
        <v>37</v>
      </c>
      <c r="K1750" t="str" cm="1">
        <f t="array" ref="K1750">IFERROR(_xlfn.SWITCH(L1750,1,_xlfn.XLOOKUP(C1750,[1]AttributeName!$C:$C,[1]AttributeName!$I:$I),2,_xlfn.XLOOKUP(C1750,[1]ModifierDes!$B:$B,[1]ModifierDes!$C:$C),3,_xlfn.XLOOKUP(C1750,[1]StuntDes!$B:$B,[1]StuntDes!$C:$C)),"")</f>
        <v>防御力增加{0}</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428</v>
      </c>
      <c r="D1751" t="s">
        <v>39</v>
      </c>
      <c r="E1751" t="s">
        <v>393</v>
      </c>
      <c r="G1751">
        <v>1</v>
      </c>
      <c r="H1751">
        <v>1000</v>
      </c>
      <c r="J1751" cm="1">
        <f t="array" ref="J1751">_xlfn.SWITCH(B1751,1,75,2,61,3,49,4,37,5,25,6,13,7,4,8,1)</f>
        <v>25</v>
      </c>
      <c r="K1751" t="str" cm="1">
        <f t="array" ref="K1751">IFERROR(_xlfn.SWITCH(L1751,1,_xlfn.XLOOKUP(C1751,[1]AttributeName!$C:$C,[1]AttributeName!$I:$I),2,_xlfn.XLOOKUP(C1751,[1]ModifierDes!$B:$B,[1]ModifierDes!$C:$C),3,_xlfn.XLOOKUP(C1751,[1]StuntDes!$B:$B,[1]StuntDes!$C:$C)),"")</f>
        <v>防御力增加{0}</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428</v>
      </c>
      <c r="D1752" t="s">
        <v>39</v>
      </c>
      <c r="E1752" t="s">
        <v>393</v>
      </c>
      <c r="G1752">
        <v>1</v>
      </c>
      <c r="H1752">
        <v>1000</v>
      </c>
      <c r="J1752" cm="1">
        <f t="array" ref="J1752">_xlfn.SWITCH(B1752,1,75,2,61,3,49,4,37,5,25,6,13,7,4,8,1)</f>
        <v>13</v>
      </c>
      <c r="K1752" t="str" cm="1">
        <f t="array" ref="K1752">IFERROR(_xlfn.SWITCH(L1752,1,_xlfn.XLOOKUP(C1752,[1]AttributeName!$C:$C,[1]AttributeName!$I:$I),2,_xlfn.XLOOKUP(C1752,[1]ModifierDes!$B:$B,[1]ModifierDes!$C:$C),3,_xlfn.XLOOKUP(C1752,[1]StuntDes!$B:$B,[1]StuntDes!$C:$C)),"")</f>
        <v>防御力增加{0}</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428</v>
      </c>
      <c r="D1753" t="s">
        <v>39</v>
      </c>
      <c r="E1753" t="s">
        <v>393</v>
      </c>
      <c r="G1753">
        <v>1</v>
      </c>
      <c r="H1753">
        <v>1000</v>
      </c>
      <c r="J1753" cm="1">
        <f t="array" ref="J1753">_xlfn.SWITCH(B1753,1,75,2,61,3,49,4,37,5,25,6,13,7,4,8,1)</f>
        <v>4</v>
      </c>
      <c r="K1753" t="str" cm="1">
        <f t="array" ref="K1753">IFERROR(_xlfn.SWITCH(L1753,1,_xlfn.XLOOKUP(C1753,[1]AttributeName!$C:$C,[1]AttributeName!$I:$I),2,_xlfn.XLOOKUP(C1753,[1]ModifierDes!$B:$B,[1]ModifierDes!$C:$C),3,_xlfn.XLOOKUP(C1753,[1]StuntDes!$B:$B,[1]StuntDes!$C:$C)),"")</f>
        <v>防御力增加{0}</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428</v>
      </c>
      <c r="D1754" t="s">
        <v>39</v>
      </c>
      <c r="E1754" t="s">
        <v>393</v>
      </c>
      <c r="G1754">
        <v>1</v>
      </c>
      <c r="H1754">
        <v>1000</v>
      </c>
      <c r="J1754" cm="1">
        <f t="array" ref="J1754">_xlfn.SWITCH(B1754,1,75,2,61,3,49,4,37,5,25,6,13,7,4,8,1)</f>
        <v>1</v>
      </c>
      <c r="K1754" t="str" cm="1">
        <f t="array" ref="K1754">IFERROR(_xlfn.SWITCH(L1754,1,_xlfn.XLOOKUP(C1754,[1]AttributeName!$C:$C,[1]AttributeName!$I:$I),2,_xlfn.XLOOKUP(C1754,[1]ModifierDes!$B:$B,[1]ModifierDes!$C:$C),3,_xlfn.XLOOKUP(C1754,[1]StuntDes!$B:$B,[1]StuntDes!$C:$C)),"")</f>
        <v>防御力增加{0}</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94</v>
      </c>
      <c r="D1755" t="s">
        <v>39</v>
      </c>
      <c r="E1755" t="s">
        <v>393</v>
      </c>
      <c r="G1755">
        <v>1</v>
      </c>
      <c r="H1755">
        <v>1000</v>
      </c>
      <c r="J1755" cm="1">
        <f t="array" ref="J1755">_xlfn.SWITCH(B1755,1,75,2,61,3,49,4,37,5,25,6,13,7,4,8,1)</f>
        <v>75</v>
      </c>
      <c r="K1755" t="str" cm="1">
        <f t="array" ref="K1755">IFERROR(_xlfn.SWITCH(L1755,1,_xlfn.XLOOKUP(C1755,[1]AttributeName!$C:$C,[1]AttributeName!$I:$I),2,_xlfn.XLOOKUP(C1755,[1]ModifierDes!$B:$B,[1]ModifierDes!$C:$C),3,_xlfn.XLOOKUP(C1755,[1]StuntDes!$B:$B,[1]StuntDes!$C:$C)),"")</f>
        <v>装备稀有度增加{0}</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94</v>
      </c>
      <c r="D1756" t="s">
        <v>39</v>
      </c>
      <c r="E1756" t="s">
        <v>393</v>
      </c>
      <c r="G1756">
        <v>1</v>
      </c>
      <c r="H1756">
        <v>1000</v>
      </c>
      <c r="J1756" cm="1">
        <f t="array" ref="J1756">_xlfn.SWITCH(B1756,1,75,2,61,3,49,4,37,5,25,6,13,7,4,8,1)</f>
        <v>61</v>
      </c>
      <c r="K1756" t="str" cm="1">
        <f t="array" ref="K1756">IFERROR(_xlfn.SWITCH(L1756,1,_xlfn.XLOOKUP(C1756,[1]AttributeName!$C:$C,[1]AttributeName!$I:$I),2,_xlfn.XLOOKUP(C1756,[1]ModifierDes!$B:$B,[1]ModifierDes!$C:$C),3,_xlfn.XLOOKUP(C1756,[1]StuntDes!$B:$B,[1]StuntDes!$C:$C)),"")</f>
        <v>装备稀有度增加{0}</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94</v>
      </c>
      <c r="D1757" t="s">
        <v>39</v>
      </c>
      <c r="E1757" t="s">
        <v>393</v>
      </c>
      <c r="G1757">
        <v>1</v>
      </c>
      <c r="H1757">
        <v>1000</v>
      </c>
      <c r="J1757" cm="1">
        <f t="array" ref="J1757">_xlfn.SWITCH(B1757,1,75,2,61,3,49,4,37,5,25,6,13,7,4,8,1)</f>
        <v>49</v>
      </c>
      <c r="K1757" t="str" cm="1">
        <f t="array" ref="K1757">IFERROR(_xlfn.SWITCH(L1757,1,_xlfn.XLOOKUP(C1757,[1]AttributeName!$C:$C,[1]AttributeName!$I:$I),2,_xlfn.XLOOKUP(C1757,[1]ModifierDes!$B:$B,[1]ModifierDes!$C:$C),3,_xlfn.XLOOKUP(C1757,[1]StuntDes!$B:$B,[1]StuntDes!$C:$C)),"")</f>
        <v>装备稀有度增加{0}</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94</v>
      </c>
      <c r="D1758" t="s">
        <v>39</v>
      </c>
      <c r="E1758" t="s">
        <v>393</v>
      </c>
      <c r="G1758">
        <v>1</v>
      </c>
      <c r="H1758">
        <v>1000</v>
      </c>
      <c r="J1758" cm="1">
        <f t="array" ref="J1758">_xlfn.SWITCH(B1758,1,75,2,61,3,49,4,37,5,25,6,13,7,4,8,1)</f>
        <v>37</v>
      </c>
      <c r="K1758" t="str" cm="1">
        <f t="array" ref="K1758">IFERROR(_xlfn.SWITCH(L1758,1,_xlfn.XLOOKUP(C1758,[1]AttributeName!$C:$C,[1]AttributeName!$I:$I),2,_xlfn.XLOOKUP(C1758,[1]ModifierDes!$B:$B,[1]ModifierDes!$C:$C),3,_xlfn.XLOOKUP(C1758,[1]StuntDes!$B:$B,[1]StuntDes!$C:$C)),"")</f>
        <v>装备稀有度增加{0}</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94</v>
      </c>
      <c r="D1759" t="s">
        <v>39</v>
      </c>
      <c r="E1759" t="s">
        <v>393</v>
      </c>
      <c r="G1759">
        <v>1</v>
      </c>
      <c r="H1759">
        <v>1000</v>
      </c>
      <c r="J1759" cm="1">
        <f t="array" ref="J1759">_xlfn.SWITCH(B1759,1,75,2,61,3,49,4,37,5,25,6,13,7,4,8,1)</f>
        <v>25</v>
      </c>
      <c r="K1759" t="str" cm="1">
        <f t="array" ref="K1759">IFERROR(_xlfn.SWITCH(L1759,1,_xlfn.XLOOKUP(C1759,[1]AttributeName!$C:$C,[1]AttributeName!$I:$I),2,_xlfn.XLOOKUP(C1759,[1]ModifierDes!$B:$B,[1]ModifierDes!$C:$C),3,_xlfn.XLOOKUP(C1759,[1]StuntDes!$B:$B,[1]StuntDes!$C:$C)),"")</f>
        <v>装备稀有度增加{0}</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94</v>
      </c>
      <c r="D1760" t="s">
        <v>39</v>
      </c>
      <c r="E1760" t="s">
        <v>393</v>
      </c>
      <c r="G1760">
        <v>1</v>
      </c>
      <c r="H1760">
        <v>1000</v>
      </c>
      <c r="J1760" cm="1">
        <f t="array" ref="J1760">_xlfn.SWITCH(B1760,1,75,2,61,3,49,4,37,5,25,6,13,7,4,8,1)</f>
        <v>13</v>
      </c>
      <c r="K1760" t="str" cm="1">
        <f t="array" ref="K1760">IFERROR(_xlfn.SWITCH(L1760,1,_xlfn.XLOOKUP(C1760,[1]AttributeName!$C:$C,[1]AttributeName!$I:$I),2,_xlfn.XLOOKUP(C1760,[1]ModifierDes!$B:$B,[1]ModifierDes!$C:$C),3,_xlfn.XLOOKUP(C1760,[1]StuntDes!$B:$B,[1]StuntDes!$C:$C)),"")</f>
        <v>装备稀有度增加{0}</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94</v>
      </c>
      <c r="D1761" t="s">
        <v>39</v>
      </c>
      <c r="E1761" t="s">
        <v>393</v>
      </c>
      <c r="G1761">
        <v>1</v>
      </c>
      <c r="H1761">
        <v>1000</v>
      </c>
      <c r="J1761" cm="1">
        <f t="array" ref="J1761">_xlfn.SWITCH(B1761,1,75,2,61,3,49,4,37,5,25,6,13,7,4,8,1)</f>
        <v>4</v>
      </c>
      <c r="K1761" t="str" cm="1">
        <f t="array" ref="K1761">IFERROR(_xlfn.SWITCH(L1761,1,_xlfn.XLOOKUP(C1761,[1]AttributeName!$C:$C,[1]AttributeName!$I:$I),2,_xlfn.XLOOKUP(C1761,[1]ModifierDes!$B:$B,[1]ModifierDes!$C:$C),3,_xlfn.XLOOKUP(C1761,[1]StuntDes!$B:$B,[1]StuntDes!$C:$C)),"")</f>
        <v>装备稀有度增加{0}</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94</v>
      </c>
      <c r="D1762" t="s">
        <v>39</v>
      </c>
      <c r="E1762" t="s">
        <v>393</v>
      </c>
      <c r="G1762">
        <v>1</v>
      </c>
      <c r="H1762">
        <v>1000</v>
      </c>
      <c r="J1762" cm="1">
        <f t="array" ref="J1762">_xlfn.SWITCH(B1762,1,75,2,61,3,49,4,37,5,25,6,13,7,4,8,1)</f>
        <v>1</v>
      </c>
      <c r="K1762" t="str" cm="1">
        <f t="array" ref="K1762">IFERROR(_xlfn.SWITCH(L1762,1,_xlfn.XLOOKUP(C1762,[1]AttributeName!$C:$C,[1]AttributeName!$I:$I),2,_xlfn.XLOOKUP(C1762,[1]ModifierDes!$B:$B,[1]ModifierDes!$C:$C),3,_xlfn.XLOOKUP(C1762,[1]StuntDes!$B:$B,[1]StuntDes!$C:$C)),"")</f>
        <v>装备稀有度增加{0}</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398</v>
      </c>
      <c r="D1763" t="s">
        <v>39</v>
      </c>
      <c r="E1763" t="s">
        <v>393</v>
      </c>
      <c r="G1763">
        <v>1</v>
      </c>
      <c r="H1763">
        <v>100</v>
      </c>
      <c r="J1763" cm="1">
        <f t="array" ref="J1763">_xlfn.SWITCH(B1763,1,75,2,61,3,49,4,37,5,25,6,13,7,4,8,1)</f>
        <v>75</v>
      </c>
      <c r="K1763" t="str" cm="1">
        <f t="array" ref="K1763">IFERROR(_xlfn.SWITCH(L1763,1,_xlfn.XLOOKUP(C1763,[1]AttributeName!$C:$C,[1]AttributeName!$I:$I),2,_xlfn.XLOOKUP(C1763,[1]ModifierDes!$B:$B,[1]ModifierDes!$C:$C),3,_xlfn.XLOOKUP(C1763,[1]StuntDes!$B:$B,[1]StuntDes!$C:$C)),"")</f>
        <v>获得物理伤害{0}</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398</v>
      </c>
      <c r="D1764" t="s">
        <v>39</v>
      </c>
      <c r="E1764" t="s">
        <v>393</v>
      </c>
      <c r="G1764">
        <v>1</v>
      </c>
      <c r="H1764">
        <v>200</v>
      </c>
      <c r="J1764" cm="1">
        <f t="array" ref="J1764">_xlfn.SWITCH(B1764,1,75,2,61,3,49,4,37,5,25,6,13,7,4,8,1)</f>
        <v>61</v>
      </c>
      <c r="K1764" t="str" cm="1">
        <f t="array" ref="K1764">IFERROR(_xlfn.SWITCH(L1764,1,_xlfn.XLOOKUP(C1764,[1]AttributeName!$C:$C,[1]AttributeName!$I:$I),2,_xlfn.XLOOKUP(C1764,[1]ModifierDes!$B:$B,[1]ModifierDes!$C:$C),3,_xlfn.XLOOKUP(C1764,[1]StuntDes!$B:$B,[1]StuntDes!$C:$C)),"")</f>
        <v>获得物理伤害{0}</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398</v>
      </c>
      <c r="D1765" t="s">
        <v>39</v>
      </c>
      <c r="E1765" t="s">
        <v>393</v>
      </c>
      <c r="G1765">
        <v>1</v>
      </c>
      <c r="H1765">
        <v>400</v>
      </c>
      <c r="J1765" cm="1">
        <f t="array" ref="J1765">_xlfn.SWITCH(B1765,1,75,2,61,3,49,4,37,5,25,6,13,7,4,8,1)</f>
        <v>49</v>
      </c>
      <c r="K1765" t="str" cm="1">
        <f t="array" ref="K1765">IFERROR(_xlfn.SWITCH(L1765,1,_xlfn.XLOOKUP(C1765,[1]AttributeName!$C:$C,[1]AttributeName!$I:$I),2,_xlfn.XLOOKUP(C1765,[1]ModifierDes!$B:$B,[1]ModifierDes!$C:$C),3,_xlfn.XLOOKUP(C1765,[1]StuntDes!$B:$B,[1]StuntDes!$C:$C)),"")</f>
        <v>获得物理伤害{0}</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398</v>
      </c>
      <c r="D1766" t="s">
        <v>39</v>
      </c>
      <c r="E1766" t="s">
        <v>393</v>
      </c>
      <c r="G1766">
        <v>1</v>
      </c>
      <c r="H1766">
        <v>600</v>
      </c>
      <c r="J1766" cm="1">
        <f t="array" ref="J1766">_xlfn.SWITCH(B1766,1,75,2,61,3,49,4,37,5,25,6,13,7,4,8,1)</f>
        <v>37</v>
      </c>
      <c r="K1766" t="str" cm="1">
        <f t="array" ref="K1766">IFERROR(_xlfn.SWITCH(L1766,1,_xlfn.XLOOKUP(C1766,[1]AttributeName!$C:$C,[1]AttributeName!$I:$I),2,_xlfn.XLOOKUP(C1766,[1]ModifierDes!$B:$B,[1]ModifierDes!$C:$C),3,_xlfn.XLOOKUP(C1766,[1]StuntDes!$B:$B,[1]StuntDes!$C:$C)),"")</f>
        <v>获得物理伤害{0}</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398</v>
      </c>
      <c r="D1767" t="s">
        <v>39</v>
      </c>
      <c r="E1767" t="s">
        <v>393</v>
      </c>
      <c r="G1767">
        <v>1</v>
      </c>
      <c r="H1767">
        <v>800</v>
      </c>
      <c r="J1767" cm="1">
        <f t="array" ref="J1767">_xlfn.SWITCH(B1767,1,75,2,61,3,49,4,37,5,25,6,13,7,4,8,1)</f>
        <v>25</v>
      </c>
      <c r="K1767" t="str" cm="1">
        <f t="array" ref="K1767">IFERROR(_xlfn.SWITCH(L1767,1,_xlfn.XLOOKUP(C1767,[1]AttributeName!$C:$C,[1]AttributeName!$I:$I),2,_xlfn.XLOOKUP(C1767,[1]ModifierDes!$B:$B,[1]ModifierDes!$C:$C),3,_xlfn.XLOOKUP(C1767,[1]StuntDes!$B:$B,[1]StuntDes!$C:$C)),"")</f>
        <v>获得物理伤害{0}</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398</v>
      </c>
      <c r="D1768" t="s">
        <v>39</v>
      </c>
      <c r="E1768" t="s">
        <v>393</v>
      </c>
      <c r="G1768">
        <v>1</v>
      </c>
      <c r="H1768">
        <v>1000</v>
      </c>
      <c r="J1768" cm="1">
        <f t="array" ref="J1768">_xlfn.SWITCH(B1768,1,75,2,61,3,49,4,37,5,25,6,13,7,4,8,1)</f>
        <v>13</v>
      </c>
      <c r="K1768" t="str" cm="1">
        <f t="array" ref="K1768">IFERROR(_xlfn.SWITCH(L1768,1,_xlfn.XLOOKUP(C1768,[1]AttributeName!$C:$C,[1]AttributeName!$I:$I),2,_xlfn.XLOOKUP(C1768,[1]ModifierDes!$B:$B,[1]ModifierDes!$C:$C),3,_xlfn.XLOOKUP(C1768,[1]StuntDes!$B:$B,[1]StuntDes!$C:$C)),"")</f>
        <v>获得物理伤害{0}</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398</v>
      </c>
      <c r="D1769" t="s">
        <v>39</v>
      </c>
      <c r="E1769" t="s">
        <v>393</v>
      </c>
      <c r="G1769">
        <v>1</v>
      </c>
      <c r="H1769">
        <v>1000</v>
      </c>
      <c r="J1769" cm="1">
        <f t="array" ref="J1769">_xlfn.SWITCH(B1769,1,75,2,61,3,49,4,37,5,25,6,13,7,4,8,1)</f>
        <v>4</v>
      </c>
      <c r="K1769" t="str" cm="1">
        <f t="array" ref="K1769">IFERROR(_xlfn.SWITCH(L1769,1,_xlfn.XLOOKUP(C1769,[1]AttributeName!$C:$C,[1]AttributeName!$I:$I),2,_xlfn.XLOOKUP(C1769,[1]ModifierDes!$B:$B,[1]ModifierDes!$C:$C),3,_xlfn.XLOOKUP(C1769,[1]StuntDes!$B:$B,[1]StuntDes!$C:$C)),"")</f>
        <v>获得物理伤害{0}</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398</v>
      </c>
      <c r="D1770" t="s">
        <v>39</v>
      </c>
      <c r="E1770" t="s">
        <v>393</v>
      </c>
      <c r="G1770">
        <v>1</v>
      </c>
      <c r="H1770">
        <v>1000</v>
      </c>
      <c r="J1770" cm="1">
        <f t="array" ref="J1770">_xlfn.SWITCH(B1770,1,75,2,61,3,49,4,37,5,25,6,13,7,4,8,1)</f>
        <v>1</v>
      </c>
      <c r="K1770" t="str" cm="1">
        <f t="array" ref="K1770">IFERROR(_xlfn.SWITCH(L1770,1,_xlfn.XLOOKUP(C1770,[1]AttributeName!$C:$C,[1]AttributeName!$I:$I),2,_xlfn.XLOOKUP(C1770,[1]ModifierDes!$B:$B,[1]ModifierDes!$C:$C),3,_xlfn.XLOOKUP(C1770,[1]StuntDes!$B:$B,[1]StuntDes!$C:$C)),"")</f>
        <v>获得物理伤害{0}</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399</v>
      </c>
      <c r="D1771" t="s">
        <v>39</v>
      </c>
      <c r="E1771" t="s">
        <v>393</v>
      </c>
      <c r="G1771">
        <v>1</v>
      </c>
      <c r="H1771">
        <v>100</v>
      </c>
      <c r="J1771" cm="1">
        <f t="array" ref="J1771">_xlfn.SWITCH(B1771,1,75,2,61,3,49,4,37,5,25,6,13,7,4,8,1)</f>
        <v>75</v>
      </c>
      <c r="K1771" t="str" cm="1">
        <f t="array" ref="K1771">IFERROR(_xlfn.SWITCH(L1771,1,_xlfn.XLOOKUP(C1771,[1]AttributeName!$C:$C,[1]AttributeName!$I:$I),2,_xlfn.XLOOKUP(C1771,[1]ModifierDes!$B:$B,[1]ModifierDes!$C:$C),3,_xlfn.XLOOKUP(C1771,[1]StuntDes!$B:$B,[1]StuntDes!$C:$C)),"")</f>
        <v>获得火焰伤害{0}</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399</v>
      </c>
      <c r="D1772" t="s">
        <v>39</v>
      </c>
      <c r="E1772" t="s">
        <v>393</v>
      </c>
      <c r="G1772">
        <v>1</v>
      </c>
      <c r="H1772">
        <v>200</v>
      </c>
      <c r="J1772" cm="1">
        <f t="array" ref="J1772">_xlfn.SWITCH(B1772,1,75,2,61,3,49,4,37,5,25,6,13,7,4,8,1)</f>
        <v>61</v>
      </c>
      <c r="K1772" t="str" cm="1">
        <f t="array" ref="K1772">IFERROR(_xlfn.SWITCH(L1772,1,_xlfn.XLOOKUP(C1772,[1]AttributeName!$C:$C,[1]AttributeName!$I:$I),2,_xlfn.XLOOKUP(C1772,[1]ModifierDes!$B:$B,[1]ModifierDes!$C:$C),3,_xlfn.XLOOKUP(C1772,[1]StuntDes!$B:$B,[1]StuntDes!$C:$C)),"")</f>
        <v>获得火焰伤害{0}</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399</v>
      </c>
      <c r="D1773" t="s">
        <v>39</v>
      </c>
      <c r="E1773" t="s">
        <v>393</v>
      </c>
      <c r="G1773">
        <v>1</v>
      </c>
      <c r="H1773">
        <v>400</v>
      </c>
      <c r="J1773" cm="1">
        <f t="array" ref="J1773">_xlfn.SWITCH(B1773,1,75,2,61,3,49,4,37,5,25,6,13,7,4,8,1)</f>
        <v>49</v>
      </c>
      <c r="K1773" t="str" cm="1">
        <f t="array" ref="K1773">IFERROR(_xlfn.SWITCH(L1773,1,_xlfn.XLOOKUP(C1773,[1]AttributeName!$C:$C,[1]AttributeName!$I:$I),2,_xlfn.XLOOKUP(C1773,[1]ModifierDes!$B:$B,[1]ModifierDes!$C:$C),3,_xlfn.XLOOKUP(C1773,[1]StuntDes!$B:$B,[1]StuntDes!$C:$C)),"")</f>
        <v>获得火焰伤害{0}</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399</v>
      </c>
      <c r="D1774" t="s">
        <v>39</v>
      </c>
      <c r="E1774" t="s">
        <v>393</v>
      </c>
      <c r="G1774">
        <v>1</v>
      </c>
      <c r="H1774">
        <v>600</v>
      </c>
      <c r="J1774" cm="1">
        <f t="array" ref="J1774">_xlfn.SWITCH(B1774,1,75,2,61,3,49,4,37,5,25,6,13,7,4,8,1)</f>
        <v>37</v>
      </c>
      <c r="K1774" t="str" cm="1">
        <f t="array" ref="K1774">IFERROR(_xlfn.SWITCH(L1774,1,_xlfn.XLOOKUP(C1774,[1]AttributeName!$C:$C,[1]AttributeName!$I:$I),2,_xlfn.XLOOKUP(C1774,[1]ModifierDes!$B:$B,[1]ModifierDes!$C:$C),3,_xlfn.XLOOKUP(C1774,[1]StuntDes!$B:$B,[1]StuntDes!$C:$C)),"")</f>
        <v>获得火焰伤害{0}</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399</v>
      </c>
      <c r="D1775" t="s">
        <v>39</v>
      </c>
      <c r="E1775" t="s">
        <v>393</v>
      </c>
      <c r="G1775">
        <v>1</v>
      </c>
      <c r="H1775">
        <v>800</v>
      </c>
      <c r="J1775" cm="1">
        <f t="array" ref="J1775">_xlfn.SWITCH(B1775,1,75,2,61,3,49,4,37,5,25,6,13,7,4,8,1)</f>
        <v>25</v>
      </c>
      <c r="K1775" t="str" cm="1">
        <f t="array" ref="K1775">IFERROR(_xlfn.SWITCH(L1775,1,_xlfn.XLOOKUP(C1775,[1]AttributeName!$C:$C,[1]AttributeName!$I:$I),2,_xlfn.XLOOKUP(C1775,[1]ModifierDes!$B:$B,[1]ModifierDes!$C:$C),3,_xlfn.XLOOKUP(C1775,[1]StuntDes!$B:$B,[1]StuntDes!$C:$C)),"")</f>
        <v>获得火焰伤害{0}</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399</v>
      </c>
      <c r="D1776" t="s">
        <v>39</v>
      </c>
      <c r="E1776" t="s">
        <v>393</v>
      </c>
      <c r="G1776">
        <v>1</v>
      </c>
      <c r="H1776">
        <v>1000</v>
      </c>
      <c r="J1776" cm="1">
        <f t="array" ref="J1776">_xlfn.SWITCH(B1776,1,75,2,61,3,49,4,37,5,25,6,13,7,4,8,1)</f>
        <v>13</v>
      </c>
      <c r="K1776" t="str" cm="1">
        <f t="array" ref="K1776">IFERROR(_xlfn.SWITCH(L1776,1,_xlfn.XLOOKUP(C1776,[1]AttributeName!$C:$C,[1]AttributeName!$I:$I),2,_xlfn.XLOOKUP(C1776,[1]ModifierDes!$B:$B,[1]ModifierDes!$C:$C),3,_xlfn.XLOOKUP(C1776,[1]StuntDes!$B:$B,[1]StuntDes!$C:$C)),"")</f>
        <v>获得火焰伤害{0}</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399</v>
      </c>
      <c r="D1777" t="s">
        <v>39</v>
      </c>
      <c r="E1777" t="s">
        <v>393</v>
      </c>
      <c r="G1777">
        <v>1</v>
      </c>
      <c r="H1777">
        <v>1000</v>
      </c>
      <c r="J1777" cm="1">
        <f t="array" ref="J1777">_xlfn.SWITCH(B1777,1,75,2,61,3,49,4,37,5,25,6,13,7,4,8,1)</f>
        <v>4</v>
      </c>
      <c r="K1777" t="str" cm="1">
        <f t="array" ref="K1777">IFERROR(_xlfn.SWITCH(L1777,1,_xlfn.XLOOKUP(C1777,[1]AttributeName!$C:$C,[1]AttributeName!$I:$I),2,_xlfn.XLOOKUP(C1777,[1]ModifierDes!$B:$B,[1]ModifierDes!$C:$C),3,_xlfn.XLOOKUP(C1777,[1]StuntDes!$B:$B,[1]StuntDes!$C:$C)),"")</f>
        <v>获得火焰伤害{0}</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399</v>
      </c>
      <c r="D1778" t="s">
        <v>39</v>
      </c>
      <c r="E1778" t="s">
        <v>393</v>
      </c>
      <c r="G1778">
        <v>1</v>
      </c>
      <c r="H1778">
        <v>1000</v>
      </c>
      <c r="J1778" cm="1">
        <f t="array" ref="J1778">_xlfn.SWITCH(B1778,1,75,2,61,3,49,4,37,5,25,6,13,7,4,8,1)</f>
        <v>1</v>
      </c>
      <c r="K1778" t="str" cm="1">
        <f t="array" ref="K1778">IFERROR(_xlfn.SWITCH(L1778,1,_xlfn.XLOOKUP(C1778,[1]AttributeName!$C:$C,[1]AttributeName!$I:$I),2,_xlfn.XLOOKUP(C1778,[1]ModifierDes!$B:$B,[1]ModifierDes!$C:$C),3,_xlfn.XLOOKUP(C1778,[1]StuntDes!$B:$B,[1]StuntDes!$C:$C)),"")</f>
        <v>获得火焰伤害{0}</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400</v>
      </c>
      <c r="D1779" t="s">
        <v>39</v>
      </c>
      <c r="E1779" t="s">
        <v>393</v>
      </c>
      <c r="G1779">
        <v>1</v>
      </c>
      <c r="H1779">
        <v>100</v>
      </c>
      <c r="J1779" cm="1">
        <f t="array" ref="J1779">_xlfn.SWITCH(B1779,1,75,2,61,3,49,4,37,5,25,6,13,7,4,8,1)</f>
        <v>75</v>
      </c>
      <c r="K1779" t="str" cm="1">
        <f t="array" ref="K1779">IFERROR(_xlfn.SWITCH(L1779,1,_xlfn.XLOOKUP(C1779,[1]AttributeName!$C:$C,[1]AttributeName!$I:$I),2,_xlfn.XLOOKUP(C1779,[1]ModifierDes!$B:$B,[1]ModifierDes!$C:$C),3,_xlfn.XLOOKUP(C1779,[1]StuntDes!$B:$B,[1]StuntDes!$C:$C)),"")</f>
        <v>获得冰冷伤害{0}</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400</v>
      </c>
      <c r="D1780" t="s">
        <v>39</v>
      </c>
      <c r="E1780" t="s">
        <v>393</v>
      </c>
      <c r="G1780">
        <v>1</v>
      </c>
      <c r="H1780">
        <v>200</v>
      </c>
      <c r="J1780" cm="1">
        <f t="array" ref="J1780">_xlfn.SWITCH(B1780,1,75,2,61,3,49,4,37,5,25,6,13,7,4,8,1)</f>
        <v>61</v>
      </c>
      <c r="K1780" t="str" cm="1">
        <f t="array" ref="K1780">IFERROR(_xlfn.SWITCH(L1780,1,_xlfn.XLOOKUP(C1780,[1]AttributeName!$C:$C,[1]AttributeName!$I:$I),2,_xlfn.XLOOKUP(C1780,[1]ModifierDes!$B:$B,[1]ModifierDes!$C:$C),3,_xlfn.XLOOKUP(C1780,[1]StuntDes!$B:$B,[1]StuntDes!$C:$C)),"")</f>
        <v>获得冰冷伤害{0}</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400</v>
      </c>
      <c r="D1781" t="s">
        <v>39</v>
      </c>
      <c r="E1781" t="s">
        <v>393</v>
      </c>
      <c r="G1781">
        <v>1</v>
      </c>
      <c r="H1781">
        <v>400</v>
      </c>
      <c r="J1781" cm="1">
        <f t="array" ref="J1781">_xlfn.SWITCH(B1781,1,75,2,61,3,49,4,37,5,25,6,13,7,4,8,1)</f>
        <v>49</v>
      </c>
      <c r="K1781" t="str" cm="1">
        <f t="array" ref="K1781">IFERROR(_xlfn.SWITCH(L1781,1,_xlfn.XLOOKUP(C1781,[1]AttributeName!$C:$C,[1]AttributeName!$I:$I),2,_xlfn.XLOOKUP(C1781,[1]ModifierDes!$B:$B,[1]ModifierDes!$C:$C),3,_xlfn.XLOOKUP(C1781,[1]StuntDes!$B:$B,[1]StuntDes!$C:$C)),"")</f>
        <v>获得冰冷伤害{0}</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400</v>
      </c>
      <c r="D1782" t="s">
        <v>39</v>
      </c>
      <c r="E1782" t="s">
        <v>393</v>
      </c>
      <c r="G1782">
        <v>1</v>
      </c>
      <c r="H1782">
        <v>600</v>
      </c>
      <c r="J1782" cm="1">
        <f t="array" ref="J1782">_xlfn.SWITCH(B1782,1,75,2,61,3,49,4,37,5,25,6,13,7,4,8,1)</f>
        <v>37</v>
      </c>
      <c r="K1782" t="str" cm="1">
        <f t="array" ref="K1782">IFERROR(_xlfn.SWITCH(L1782,1,_xlfn.XLOOKUP(C1782,[1]AttributeName!$C:$C,[1]AttributeName!$I:$I),2,_xlfn.XLOOKUP(C1782,[1]ModifierDes!$B:$B,[1]ModifierDes!$C:$C),3,_xlfn.XLOOKUP(C1782,[1]StuntDes!$B:$B,[1]StuntDes!$C:$C)),"")</f>
        <v>获得冰冷伤害{0}</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400</v>
      </c>
      <c r="D1783" t="s">
        <v>39</v>
      </c>
      <c r="E1783" t="s">
        <v>393</v>
      </c>
      <c r="G1783">
        <v>1</v>
      </c>
      <c r="H1783">
        <v>800</v>
      </c>
      <c r="J1783" cm="1">
        <f t="array" ref="J1783">_xlfn.SWITCH(B1783,1,75,2,61,3,49,4,37,5,25,6,13,7,4,8,1)</f>
        <v>25</v>
      </c>
      <c r="K1783" t="str" cm="1">
        <f t="array" ref="K1783">IFERROR(_xlfn.SWITCH(L1783,1,_xlfn.XLOOKUP(C1783,[1]AttributeName!$C:$C,[1]AttributeName!$I:$I),2,_xlfn.XLOOKUP(C1783,[1]ModifierDes!$B:$B,[1]ModifierDes!$C:$C),3,_xlfn.XLOOKUP(C1783,[1]StuntDes!$B:$B,[1]StuntDes!$C:$C)),"")</f>
        <v>获得冰冷伤害{0}</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400</v>
      </c>
      <c r="D1784" t="s">
        <v>39</v>
      </c>
      <c r="E1784" t="s">
        <v>393</v>
      </c>
      <c r="G1784">
        <v>1</v>
      </c>
      <c r="H1784">
        <v>1000</v>
      </c>
      <c r="J1784" cm="1">
        <f t="array" ref="J1784">_xlfn.SWITCH(B1784,1,75,2,61,3,49,4,37,5,25,6,13,7,4,8,1)</f>
        <v>13</v>
      </c>
      <c r="K1784" t="str" cm="1">
        <f t="array" ref="K1784">IFERROR(_xlfn.SWITCH(L1784,1,_xlfn.XLOOKUP(C1784,[1]AttributeName!$C:$C,[1]AttributeName!$I:$I),2,_xlfn.XLOOKUP(C1784,[1]ModifierDes!$B:$B,[1]ModifierDes!$C:$C),3,_xlfn.XLOOKUP(C1784,[1]StuntDes!$B:$B,[1]StuntDes!$C:$C)),"")</f>
        <v>获得冰冷伤害{0}</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400</v>
      </c>
      <c r="D1785" t="s">
        <v>39</v>
      </c>
      <c r="E1785" t="s">
        <v>393</v>
      </c>
      <c r="G1785">
        <v>1</v>
      </c>
      <c r="H1785">
        <v>1000</v>
      </c>
      <c r="J1785" cm="1">
        <f t="array" ref="J1785">_xlfn.SWITCH(B1785,1,75,2,61,3,49,4,37,5,25,6,13,7,4,8,1)</f>
        <v>4</v>
      </c>
      <c r="K1785" t="str" cm="1">
        <f t="array" ref="K1785">IFERROR(_xlfn.SWITCH(L1785,1,_xlfn.XLOOKUP(C1785,[1]AttributeName!$C:$C,[1]AttributeName!$I:$I),2,_xlfn.XLOOKUP(C1785,[1]ModifierDes!$B:$B,[1]ModifierDes!$C:$C),3,_xlfn.XLOOKUP(C1785,[1]StuntDes!$B:$B,[1]StuntDes!$C:$C)),"")</f>
        <v>获得冰冷伤害{0}</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400</v>
      </c>
      <c r="D1786" t="s">
        <v>39</v>
      </c>
      <c r="E1786" t="s">
        <v>393</v>
      </c>
      <c r="G1786">
        <v>1</v>
      </c>
      <c r="H1786">
        <v>1000</v>
      </c>
      <c r="J1786" cm="1">
        <f t="array" ref="J1786">_xlfn.SWITCH(B1786,1,75,2,61,3,49,4,37,5,25,6,13,7,4,8,1)</f>
        <v>1</v>
      </c>
      <c r="K1786" t="str" cm="1">
        <f t="array" ref="K1786">IFERROR(_xlfn.SWITCH(L1786,1,_xlfn.XLOOKUP(C1786,[1]AttributeName!$C:$C,[1]AttributeName!$I:$I),2,_xlfn.XLOOKUP(C1786,[1]ModifierDes!$B:$B,[1]ModifierDes!$C:$C),3,_xlfn.XLOOKUP(C1786,[1]StuntDes!$B:$B,[1]StuntDes!$C:$C)),"")</f>
        <v>获得冰冷伤害{0}</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401</v>
      </c>
      <c r="D1787" t="s">
        <v>39</v>
      </c>
      <c r="E1787" t="s">
        <v>393</v>
      </c>
      <c r="G1787">
        <v>1</v>
      </c>
      <c r="H1787">
        <v>100</v>
      </c>
      <c r="J1787" cm="1">
        <f t="array" ref="J1787">_xlfn.SWITCH(B1787,1,75,2,61,3,49,4,37,5,25,6,13,7,4,8,1)</f>
        <v>75</v>
      </c>
      <c r="K1787" t="str" cm="1">
        <f t="array" ref="K1787">IFERROR(_xlfn.SWITCH(L1787,1,_xlfn.XLOOKUP(C1787,[1]AttributeName!$C:$C,[1]AttributeName!$I:$I),2,_xlfn.XLOOKUP(C1787,[1]ModifierDes!$B:$B,[1]ModifierDes!$C:$C),3,_xlfn.XLOOKUP(C1787,[1]StuntDes!$B:$B,[1]StuntDes!$C:$C)),"")</f>
        <v>获得闪电伤害{0}</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401</v>
      </c>
      <c r="D1788" t="s">
        <v>39</v>
      </c>
      <c r="E1788" t="s">
        <v>393</v>
      </c>
      <c r="G1788">
        <v>1</v>
      </c>
      <c r="H1788">
        <v>200</v>
      </c>
      <c r="J1788" cm="1">
        <f t="array" ref="J1788">_xlfn.SWITCH(B1788,1,75,2,61,3,49,4,37,5,25,6,13,7,4,8,1)</f>
        <v>61</v>
      </c>
      <c r="K1788" t="str" cm="1">
        <f t="array" ref="K1788">IFERROR(_xlfn.SWITCH(L1788,1,_xlfn.XLOOKUP(C1788,[1]AttributeName!$C:$C,[1]AttributeName!$I:$I),2,_xlfn.XLOOKUP(C1788,[1]ModifierDes!$B:$B,[1]ModifierDes!$C:$C),3,_xlfn.XLOOKUP(C1788,[1]StuntDes!$B:$B,[1]StuntDes!$C:$C)),"")</f>
        <v>获得闪电伤害{0}</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401</v>
      </c>
      <c r="D1789" t="s">
        <v>39</v>
      </c>
      <c r="E1789" t="s">
        <v>393</v>
      </c>
      <c r="G1789">
        <v>1</v>
      </c>
      <c r="H1789">
        <v>400</v>
      </c>
      <c r="J1789" cm="1">
        <f t="array" ref="J1789">_xlfn.SWITCH(B1789,1,75,2,61,3,49,4,37,5,25,6,13,7,4,8,1)</f>
        <v>49</v>
      </c>
      <c r="K1789" t="str" cm="1">
        <f t="array" ref="K1789">IFERROR(_xlfn.SWITCH(L1789,1,_xlfn.XLOOKUP(C1789,[1]AttributeName!$C:$C,[1]AttributeName!$I:$I),2,_xlfn.XLOOKUP(C1789,[1]ModifierDes!$B:$B,[1]ModifierDes!$C:$C),3,_xlfn.XLOOKUP(C1789,[1]StuntDes!$B:$B,[1]StuntDes!$C:$C)),"")</f>
        <v>获得闪电伤害{0}</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401</v>
      </c>
      <c r="D1790" t="s">
        <v>39</v>
      </c>
      <c r="E1790" t="s">
        <v>393</v>
      </c>
      <c r="G1790">
        <v>1</v>
      </c>
      <c r="H1790">
        <v>600</v>
      </c>
      <c r="J1790" cm="1">
        <f t="array" ref="J1790">_xlfn.SWITCH(B1790,1,75,2,61,3,49,4,37,5,25,6,13,7,4,8,1)</f>
        <v>37</v>
      </c>
      <c r="K1790" t="str" cm="1">
        <f t="array" ref="K1790">IFERROR(_xlfn.SWITCH(L1790,1,_xlfn.XLOOKUP(C1790,[1]AttributeName!$C:$C,[1]AttributeName!$I:$I),2,_xlfn.XLOOKUP(C1790,[1]ModifierDes!$B:$B,[1]ModifierDes!$C:$C),3,_xlfn.XLOOKUP(C1790,[1]StuntDes!$B:$B,[1]StuntDes!$C:$C)),"")</f>
        <v>获得闪电伤害{0}</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401</v>
      </c>
      <c r="D1791" t="s">
        <v>39</v>
      </c>
      <c r="E1791" t="s">
        <v>393</v>
      </c>
      <c r="G1791">
        <v>1</v>
      </c>
      <c r="H1791">
        <v>800</v>
      </c>
      <c r="J1791" cm="1">
        <f t="array" ref="J1791">_xlfn.SWITCH(B1791,1,75,2,61,3,49,4,37,5,25,6,13,7,4,8,1)</f>
        <v>25</v>
      </c>
      <c r="K1791" t="str" cm="1">
        <f t="array" ref="K1791">IFERROR(_xlfn.SWITCH(L1791,1,_xlfn.XLOOKUP(C1791,[1]AttributeName!$C:$C,[1]AttributeName!$I:$I),2,_xlfn.XLOOKUP(C1791,[1]ModifierDes!$B:$B,[1]ModifierDes!$C:$C),3,_xlfn.XLOOKUP(C1791,[1]StuntDes!$B:$B,[1]StuntDes!$C:$C)),"")</f>
        <v>获得闪电伤害{0}</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401</v>
      </c>
      <c r="D1792" t="s">
        <v>39</v>
      </c>
      <c r="E1792" t="s">
        <v>393</v>
      </c>
      <c r="G1792">
        <v>1</v>
      </c>
      <c r="H1792">
        <v>1000</v>
      </c>
      <c r="J1792" cm="1">
        <f t="array" ref="J1792">_xlfn.SWITCH(B1792,1,75,2,61,3,49,4,37,5,25,6,13,7,4,8,1)</f>
        <v>13</v>
      </c>
      <c r="K1792" t="str" cm="1">
        <f t="array" ref="K1792">IFERROR(_xlfn.SWITCH(L1792,1,_xlfn.XLOOKUP(C1792,[1]AttributeName!$C:$C,[1]AttributeName!$I:$I),2,_xlfn.XLOOKUP(C1792,[1]ModifierDes!$B:$B,[1]ModifierDes!$C:$C),3,_xlfn.XLOOKUP(C1792,[1]StuntDes!$B:$B,[1]StuntDes!$C:$C)),"")</f>
        <v>获得闪电伤害{0}</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401</v>
      </c>
      <c r="D1793" t="s">
        <v>39</v>
      </c>
      <c r="E1793" t="s">
        <v>393</v>
      </c>
      <c r="G1793">
        <v>1</v>
      </c>
      <c r="H1793">
        <v>1000</v>
      </c>
      <c r="J1793" cm="1">
        <f t="array" ref="J1793">_xlfn.SWITCH(B1793,1,75,2,61,3,49,4,37,5,25,6,13,7,4,8,1)</f>
        <v>4</v>
      </c>
      <c r="K1793" t="str" cm="1">
        <f t="array" ref="K1793">IFERROR(_xlfn.SWITCH(L1793,1,_xlfn.XLOOKUP(C1793,[1]AttributeName!$C:$C,[1]AttributeName!$I:$I),2,_xlfn.XLOOKUP(C1793,[1]ModifierDes!$B:$B,[1]ModifierDes!$C:$C),3,_xlfn.XLOOKUP(C1793,[1]StuntDes!$B:$B,[1]StuntDes!$C:$C)),"")</f>
        <v>获得闪电伤害{0}</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401</v>
      </c>
      <c r="D1794" t="s">
        <v>39</v>
      </c>
      <c r="E1794" t="s">
        <v>393</v>
      </c>
      <c r="G1794">
        <v>1</v>
      </c>
      <c r="H1794">
        <v>1000</v>
      </c>
      <c r="J1794" cm="1">
        <f t="array" ref="J1794">_xlfn.SWITCH(B1794,1,75,2,61,3,49,4,37,5,25,6,13,7,4,8,1)</f>
        <v>1</v>
      </c>
      <c r="K1794" t="str" cm="1">
        <f t="array" ref="K1794">IFERROR(_xlfn.SWITCH(L1794,1,_xlfn.XLOOKUP(C1794,[1]AttributeName!$C:$C,[1]AttributeName!$I:$I),2,_xlfn.XLOOKUP(C1794,[1]ModifierDes!$B:$B,[1]ModifierDes!$C:$C),3,_xlfn.XLOOKUP(C1794,[1]StuntDes!$B:$B,[1]StuntDes!$C:$C)),"")</f>
        <v>获得闪电伤害{0}</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402</v>
      </c>
      <c r="D1795" t="s">
        <v>39</v>
      </c>
      <c r="E1795" t="s">
        <v>393</v>
      </c>
      <c r="G1795">
        <v>1</v>
      </c>
      <c r="H1795">
        <v>100</v>
      </c>
      <c r="J1795" cm="1">
        <f t="array" ref="J1795">_xlfn.SWITCH(B1795,1,75,2,61,3,49,4,37,5,25,6,13,7,4,8,1)</f>
        <v>75</v>
      </c>
      <c r="K1795" t="str" cm="1">
        <f t="array" ref="K1795">IFERROR(_xlfn.SWITCH(L1795,1,_xlfn.XLOOKUP(C1795,[1]AttributeName!$C:$C,[1]AttributeName!$I:$I),2,_xlfn.XLOOKUP(C1795,[1]ModifierDes!$B:$B,[1]ModifierDes!$C:$C),3,_xlfn.XLOOKUP(C1795,[1]StuntDes!$B:$B,[1]StuntDes!$C:$C)),"")</f>
        <v>获得混沌伤害{0}</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402</v>
      </c>
      <c r="D1796" t="s">
        <v>39</v>
      </c>
      <c r="E1796" t="s">
        <v>393</v>
      </c>
      <c r="G1796">
        <v>1</v>
      </c>
      <c r="H1796">
        <v>200</v>
      </c>
      <c r="J1796" cm="1">
        <f t="array" ref="J1796">_xlfn.SWITCH(B1796,1,75,2,61,3,49,4,37,5,25,6,13,7,4,8,1)</f>
        <v>61</v>
      </c>
      <c r="K1796" t="str" cm="1">
        <f t="array" ref="K1796">IFERROR(_xlfn.SWITCH(L1796,1,_xlfn.XLOOKUP(C1796,[1]AttributeName!$C:$C,[1]AttributeName!$I:$I),2,_xlfn.XLOOKUP(C1796,[1]ModifierDes!$B:$B,[1]ModifierDes!$C:$C),3,_xlfn.XLOOKUP(C1796,[1]StuntDes!$B:$B,[1]StuntDes!$C:$C)),"")</f>
        <v>获得混沌伤害{0}</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402</v>
      </c>
      <c r="D1797" t="s">
        <v>39</v>
      </c>
      <c r="E1797" t="s">
        <v>393</v>
      </c>
      <c r="G1797">
        <v>1</v>
      </c>
      <c r="H1797">
        <v>400</v>
      </c>
      <c r="J1797" cm="1">
        <f t="array" ref="J1797">_xlfn.SWITCH(B1797,1,75,2,61,3,49,4,37,5,25,6,13,7,4,8,1)</f>
        <v>49</v>
      </c>
      <c r="K1797" t="str" cm="1">
        <f t="array" ref="K1797">IFERROR(_xlfn.SWITCH(L1797,1,_xlfn.XLOOKUP(C1797,[1]AttributeName!$C:$C,[1]AttributeName!$I:$I),2,_xlfn.XLOOKUP(C1797,[1]ModifierDes!$B:$B,[1]ModifierDes!$C:$C),3,_xlfn.XLOOKUP(C1797,[1]StuntDes!$B:$B,[1]StuntDes!$C:$C)),"")</f>
        <v>获得混沌伤害{0}</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402</v>
      </c>
      <c r="D1798" t="s">
        <v>39</v>
      </c>
      <c r="E1798" t="s">
        <v>393</v>
      </c>
      <c r="G1798">
        <v>1</v>
      </c>
      <c r="H1798">
        <v>600</v>
      </c>
      <c r="J1798" cm="1">
        <f t="array" ref="J1798">_xlfn.SWITCH(B1798,1,75,2,61,3,49,4,37,5,25,6,13,7,4,8,1)</f>
        <v>37</v>
      </c>
      <c r="K1798" t="str" cm="1">
        <f t="array" ref="K1798">IFERROR(_xlfn.SWITCH(L1798,1,_xlfn.XLOOKUP(C1798,[1]AttributeName!$C:$C,[1]AttributeName!$I:$I),2,_xlfn.XLOOKUP(C1798,[1]ModifierDes!$B:$B,[1]ModifierDes!$C:$C),3,_xlfn.XLOOKUP(C1798,[1]StuntDes!$B:$B,[1]StuntDes!$C:$C)),"")</f>
        <v>获得混沌伤害{0}</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402</v>
      </c>
      <c r="D1799" t="s">
        <v>39</v>
      </c>
      <c r="E1799" t="s">
        <v>393</v>
      </c>
      <c r="G1799">
        <v>1</v>
      </c>
      <c r="H1799">
        <v>800</v>
      </c>
      <c r="J1799" cm="1">
        <f t="array" ref="J1799">_xlfn.SWITCH(B1799,1,75,2,61,3,49,4,37,5,25,6,13,7,4,8,1)</f>
        <v>25</v>
      </c>
      <c r="K1799" t="str" cm="1">
        <f t="array" ref="K1799">IFERROR(_xlfn.SWITCH(L1799,1,_xlfn.XLOOKUP(C1799,[1]AttributeName!$C:$C,[1]AttributeName!$I:$I),2,_xlfn.XLOOKUP(C1799,[1]ModifierDes!$B:$B,[1]ModifierDes!$C:$C),3,_xlfn.XLOOKUP(C1799,[1]StuntDes!$B:$B,[1]StuntDes!$C:$C)),"")</f>
        <v>获得混沌伤害{0}</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402</v>
      </c>
      <c r="D1800" t="s">
        <v>39</v>
      </c>
      <c r="E1800" t="s">
        <v>393</v>
      </c>
      <c r="G1800">
        <v>1</v>
      </c>
      <c r="H1800">
        <v>1000</v>
      </c>
      <c r="J1800" cm="1">
        <f t="array" ref="J1800">_xlfn.SWITCH(B1800,1,75,2,61,3,49,4,37,5,25,6,13,7,4,8,1)</f>
        <v>13</v>
      </c>
      <c r="K1800" t="str" cm="1">
        <f t="array" ref="K1800">IFERROR(_xlfn.SWITCH(L1800,1,_xlfn.XLOOKUP(C1800,[1]AttributeName!$C:$C,[1]AttributeName!$I:$I),2,_xlfn.XLOOKUP(C1800,[1]ModifierDes!$B:$B,[1]ModifierDes!$C:$C),3,_xlfn.XLOOKUP(C1800,[1]StuntDes!$B:$B,[1]StuntDes!$C:$C)),"")</f>
        <v>获得混沌伤害{0}</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402</v>
      </c>
      <c r="D1801" t="s">
        <v>39</v>
      </c>
      <c r="E1801" t="s">
        <v>393</v>
      </c>
      <c r="G1801">
        <v>1</v>
      </c>
      <c r="H1801">
        <v>1000</v>
      </c>
      <c r="J1801" cm="1">
        <f t="array" ref="J1801">_xlfn.SWITCH(B1801,1,75,2,61,3,49,4,37,5,25,6,13,7,4,8,1)</f>
        <v>4</v>
      </c>
      <c r="K1801" t="str" cm="1">
        <f t="array" ref="K1801">IFERROR(_xlfn.SWITCH(L1801,1,_xlfn.XLOOKUP(C1801,[1]AttributeName!$C:$C,[1]AttributeName!$I:$I),2,_xlfn.XLOOKUP(C1801,[1]ModifierDes!$B:$B,[1]ModifierDes!$C:$C),3,_xlfn.XLOOKUP(C1801,[1]StuntDes!$B:$B,[1]StuntDes!$C:$C)),"")</f>
        <v>获得混沌伤害{0}</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402</v>
      </c>
      <c r="D1802" t="s">
        <v>39</v>
      </c>
      <c r="E1802" t="s">
        <v>393</v>
      </c>
      <c r="G1802">
        <v>1</v>
      </c>
      <c r="H1802">
        <v>1000</v>
      </c>
      <c r="J1802" cm="1">
        <f t="array" ref="J1802">_xlfn.SWITCH(B1802,1,75,2,61,3,49,4,37,5,25,6,13,7,4,8,1)</f>
        <v>1</v>
      </c>
      <c r="K1802" t="str" cm="1">
        <f t="array" ref="K1802">IFERROR(_xlfn.SWITCH(L1802,1,_xlfn.XLOOKUP(C1802,[1]AttributeName!$C:$C,[1]AttributeName!$I:$I),2,_xlfn.XLOOKUP(C1802,[1]ModifierDes!$B:$B,[1]ModifierDes!$C:$C),3,_xlfn.XLOOKUP(C1802,[1]StuntDes!$B:$B,[1]StuntDes!$C:$C)),"")</f>
        <v>获得混沌伤害{0}</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404</v>
      </c>
      <c r="D1803" t="s">
        <v>39</v>
      </c>
      <c r="E1803" t="s">
        <v>393</v>
      </c>
      <c r="G1803">
        <v>1</v>
      </c>
      <c r="H1803">
        <v>1000</v>
      </c>
      <c r="J1803" cm="1">
        <f t="array" ref="J1803">_xlfn.SWITCH(B1803,1,75,2,61,3,49,4,37,5,25,6,13,7,4,8,1)</f>
        <v>75</v>
      </c>
      <c r="K1803" t="str" cm="1">
        <f t="array" ref="K1803">IFERROR(_xlfn.SWITCH(L1803,1,_xlfn.XLOOKUP(C1803,[1]AttributeName!$C:$C,[1]AttributeName!$I:$I),2,_xlfn.XLOOKUP(C1803,[1]ModifierDes!$B:$B,[1]ModifierDes!$C:$C),3,_xlfn.XLOOKUP(C1803,[1]StuntDes!$B:$B,[1]StuntDes!$C:$C)),"")</f>
        <v>物理伤害提高{0}</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404</v>
      </c>
      <c r="D1804" t="s">
        <v>39</v>
      </c>
      <c r="E1804" t="s">
        <v>393</v>
      </c>
      <c r="G1804">
        <v>1</v>
      </c>
      <c r="H1804">
        <v>1000</v>
      </c>
      <c r="J1804" cm="1">
        <f t="array" ref="J1804">_xlfn.SWITCH(B1804,1,75,2,61,3,49,4,37,5,25,6,13,7,4,8,1)</f>
        <v>61</v>
      </c>
      <c r="K1804" t="str" cm="1">
        <f t="array" ref="K1804">IFERROR(_xlfn.SWITCH(L1804,1,_xlfn.XLOOKUP(C1804,[1]AttributeName!$C:$C,[1]AttributeName!$I:$I),2,_xlfn.XLOOKUP(C1804,[1]ModifierDes!$B:$B,[1]ModifierDes!$C:$C),3,_xlfn.XLOOKUP(C1804,[1]StuntDes!$B:$B,[1]StuntDes!$C:$C)),"")</f>
        <v>物理伤害提高{0}</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404</v>
      </c>
      <c r="D1805" t="s">
        <v>39</v>
      </c>
      <c r="E1805" t="s">
        <v>393</v>
      </c>
      <c r="G1805">
        <v>1</v>
      </c>
      <c r="H1805">
        <v>1000</v>
      </c>
      <c r="J1805" cm="1">
        <f t="array" ref="J1805">_xlfn.SWITCH(B1805,1,75,2,61,3,49,4,37,5,25,6,13,7,4,8,1)</f>
        <v>49</v>
      </c>
      <c r="K1805" t="str" cm="1">
        <f t="array" ref="K1805">IFERROR(_xlfn.SWITCH(L1805,1,_xlfn.XLOOKUP(C1805,[1]AttributeName!$C:$C,[1]AttributeName!$I:$I),2,_xlfn.XLOOKUP(C1805,[1]ModifierDes!$B:$B,[1]ModifierDes!$C:$C),3,_xlfn.XLOOKUP(C1805,[1]StuntDes!$B:$B,[1]StuntDes!$C:$C)),"")</f>
        <v>物理伤害提高{0}</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404</v>
      </c>
      <c r="D1806" t="s">
        <v>39</v>
      </c>
      <c r="E1806" t="s">
        <v>393</v>
      </c>
      <c r="G1806">
        <v>1</v>
      </c>
      <c r="H1806">
        <v>1000</v>
      </c>
      <c r="J1806" cm="1">
        <f t="array" ref="J1806">_xlfn.SWITCH(B1806,1,75,2,61,3,49,4,37,5,25,6,13,7,4,8,1)</f>
        <v>37</v>
      </c>
      <c r="K1806" t="str" cm="1">
        <f t="array" ref="K1806">IFERROR(_xlfn.SWITCH(L1806,1,_xlfn.XLOOKUP(C1806,[1]AttributeName!$C:$C,[1]AttributeName!$I:$I),2,_xlfn.XLOOKUP(C1806,[1]ModifierDes!$B:$B,[1]ModifierDes!$C:$C),3,_xlfn.XLOOKUP(C1806,[1]StuntDes!$B:$B,[1]StuntDes!$C:$C)),"")</f>
        <v>物理伤害提高{0}</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404</v>
      </c>
      <c r="D1807" t="s">
        <v>39</v>
      </c>
      <c r="E1807" t="s">
        <v>393</v>
      </c>
      <c r="G1807">
        <v>1</v>
      </c>
      <c r="H1807">
        <v>1000</v>
      </c>
      <c r="J1807" cm="1">
        <f t="array" ref="J1807">_xlfn.SWITCH(B1807,1,75,2,61,3,49,4,37,5,25,6,13,7,4,8,1)</f>
        <v>25</v>
      </c>
      <c r="K1807" t="str" cm="1">
        <f t="array" ref="K1807">IFERROR(_xlfn.SWITCH(L1807,1,_xlfn.XLOOKUP(C1807,[1]AttributeName!$C:$C,[1]AttributeName!$I:$I),2,_xlfn.XLOOKUP(C1807,[1]ModifierDes!$B:$B,[1]ModifierDes!$C:$C),3,_xlfn.XLOOKUP(C1807,[1]StuntDes!$B:$B,[1]StuntDes!$C:$C)),"")</f>
        <v>物理伤害提高{0}</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404</v>
      </c>
      <c r="D1808" t="s">
        <v>39</v>
      </c>
      <c r="E1808" t="s">
        <v>393</v>
      </c>
      <c r="G1808">
        <v>1</v>
      </c>
      <c r="H1808">
        <v>1000</v>
      </c>
      <c r="J1808" cm="1">
        <f t="array" ref="J1808">_xlfn.SWITCH(B1808,1,75,2,61,3,49,4,37,5,25,6,13,7,4,8,1)</f>
        <v>13</v>
      </c>
      <c r="K1808" t="str" cm="1">
        <f t="array" ref="K1808">IFERROR(_xlfn.SWITCH(L1808,1,_xlfn.XLOOKUP(C1808,[1]AttributeName!$C:$C,[1]AttributeName!$I:$I),2,_xlfn.XLOOKUP(C1808,[1]ModifierDes!$B:$B,[1]ModifierDes!$C:$C),3,_xlfn.XLOOKUP(C1808,[1]StuntDes!$B:$B,[1]StuntDes!$C:$C)),"")</f>
        <v>物理伤害提高{0}</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404</v>
      </c>
      <c r="D1809" t="s">
        <v>39</v>
      </c>
      <c r="E1809" t="s">
        <v>393</v>
      </c>
      <c r="G1809">
        <v>1</v>
      </c>
      <c r="H1809">
        <v>1000</v>
      </c>
      <c r="J1809" cm="1">
        <f t="array" ref="J1809">_xlfn.SWITCH(B1809,1,75,2,61,3,49,4,37,5,25,6,13,7,4,8,1)</f>
        <v>4</v>
      </c>
      <c r="K1809" t="str" cm="1">
        <f t="array" ref="K1809">IFERROR(_xlfn.SWITCH(L1809,1,_xlfn.XLOOKUP(C1809,[1]AttributeName!$C:$C,[1]AttributeName!$I:$I),2,_xlfn.XLOOKUP(C1809,[1]ModifierDes!$B:$B,[1]ModifierDes!$C:$C),3,_xlfn.XLOOKUP(C1809,[1]StuntDes!$B:$B,[1]StuntDes!$C:$C)),"")</f>
        <v>物理伤害提高{0}</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404</v>
      </c>
      <c r="D1810" t="s">
        <v>39</v>
      </c>
      <c r="E1810" t="s">
        <v>393</v>
      </c>
      <c r="G1810">
        <v>1</v>
      </c>
      <c r="H1810">
        <v>1000</v>
      </c>
      <c r="J1810" cm="1">
        <f t="array" ref="J1810">_xlfn.SWITCH(B1810,1,75,2,61,3,49,4,37,5,25,6,13,7,4,8,1)</f>
        <v>1</v>
      </c>
      <c r="K1810" t="str" cm="1">
        <f t="array" ref="K1810">IFERROR(_xlfn.SWITCH(L1810,1,_xlfn.XLOOKUP(C1810,[1]AttributeName!$C:$C,[1]AttributeName!$I:$I),2,_xlfn.XLOOKUP(C1810,[1]ModifierDes!$B:$B,[1]ModifierDes!$C:$C),3,_xlfn.XLOOKUP(C1810,[1]StuntDes!$B:$B,[1]StuntDes!$C:$C)),"")</f>
        <v>物理伤害提高{0}</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449</v>
      </c>
      <c r="D1811" t="s">
        <v>39</v>
      </c>
      <c r="E1811" t="s">
        <v>393</v>
      </c>
      <c r="G1811">
        <v>1</v>
      </c>
      <c r="H1811">
        <v>1000</v>
      </c>
      <c r="J1811" cm="1">
        <f t="array" ref="J1811">_xlfn.SWITCH(B1811,1,75,2,61,3,49,4,37,5,25,6,13,7,4,8,1)</f>
        <v>75</v>
      </c>
      <c r="K1811" t="str" cm="1">
        <f t="array" ref="K1811">IFERROR(_xlfn.SWITCH(L1811,1,_xlfn.XLOOKUP(C1811,[1]AttributeName!$C:$C,[1]AttributeName!$I:$I),2,_xlfn.XLOOKUP(C1811,[1]ModifierDes!$B:$B,[1]ModifierDes!$C:$C),3,_xlfn.XLOOKUP(C1811,[1]StuntDes!$B:$B,[1]StuntDes!$C:$C)),"")</f>
        <v>火焰伤害提高{0}</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449</v>
      </c>
      <c r="D1812" t="s">
        <v>39</v>
      </c>
      <c r="E1812" t="s">
        <v>393</v>
      </c>
      <c r="G1812">
        <v>1</v>
      </c>
      <c r="H1812">
        <v>1000</v>
      </c>
      <c r="J1812" cm="1">
        <f t="array" ref="J1812">_xlfn.SWITCH(B1812,1,75,2,61,3,49,4,37,5,25,6,13,7,4,8,1)</f>
        <v>61</v>
      </c>
      <c r="K1812" t="str" cm="1">
        <f t="array" ref="K1812">IFERROR(_xlfn.SWITCH(L1812,1,_xlfn.XLOOKUP(C1812,[1]AttributeName!$C:$C,[1]AttributeName!$I:$I),2,_xlfn.XLOOKUP(C1812,[1]ModifierDes!$B:$B,[1]ModifierDes!$C:$C),3,_xlfn.XLOOKUP(C1812,[1]StuntDes!$B:$B,[1]StuntDes!$C:$C)),"")</f>
        <v>火焰伤害提高{0}</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449</v>
      </c>
      <c r="D1813" t="s">
        <v>39</v>
      </c>
      <c r="E1813" t="s">
        <v>393</v>
      </c>
      <c r="G1813">
        <v>1</v>
      </c>
      <c r="H1813">
        <v>1000</v>
      </c>
      <c r="J1813" cm="1">
        <f t="array" ref="J1813">_xlfn.SWITCH(B1813,1,75,2,61,3,49,4,37,5,25,6,13,7,4,8,1)</f>
        <v>49</v>
      </c>
      <c r="K1813" t="str" cm="1">
        <f t="array" ref="K1813">IFERROR(_xlfn.SWITCH(L1813,1,_xlfn.XLOOKUP(C1813,[1]AttributeName!$C:$C,[1]AttributeName!$I:$I),2,_xlfn.XLOOKUP(C1813,[1]ModifierDes!$B:$B,[1]ModifierDes!$C:$C),3,_xlfn.XLOOKUP(C1813,[1]StuntDes!$B:$B,[1]StuntDes!$C:$C)),"")</f>
        <v>火焰伤害提高{0}</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449</v>
      </c>
      <c r="D1814" t="s">
        <v>39</v>
      </c>
      <c r="E1814" t="s">
        <v>393</v>
      </c>
      <c r="G1814">
        <v>1</v>
      </c>
      <c r="H1814">
        <v>1000</v>
      </c>
      <c r="J1814" cm="1">
        <f t="array" ref="J1814">_xlfn.SWITCH(B1814,1,75,2,61,3,49,4,37,5,25,6,13,7,4,8,1)</f>
        <v>37</v>
      </c>
      <c r="K1814" t="str" cm="1">
        <f t="array" ref="K1814">IFERROR(_xlfn.SWITCH(L1814,1,_xlfn.XLOOKUP(C1814,[1]AttributeName!$C:$C,[1]AttributeName!$I:$I),2,_xlfn.XLOOKUP(C1814,[1]ModifierDes!$B:$B,[1]ModifierDes!$C:$C),3,_xlfn.XLOOKUP(C1814,[1]StuntDes!$B:$B,[1]StuntDes!$C:$C)),"")</f>
        <v>火焰伤害提高{0}</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449</v>
      </c>
      <c r="D1815" t="s">
        <v>39</v>
      </c>
      <c r="E1815" t="s">
        <v>393</v>
      </c>
      <c r="G1815">
        <v>1</v>
      </c>
      <c r="H1815">
        <v>1000</v>
      </c>
      <c r="J1815" cm="1">
        <f t="array" ref="J1815">_xlfn.SWITCH(B1815,1,75,2,61,3,49,4,37,5,25,6,13,7,4,8,1)</f>
        <v>25</v>
      </c>
      <c r="K1815" t="str" cm="1">
        <f t="array" ref="K1815">IFERROR(_xlfn.SWITCH(L1815,1,_xlfn.XLOOKUP(C1815,[1]AttributeName!$C:$C,[1]AttributeName!$I:$I),2,_xlfn.XLOOKUP(C1815,[1]ModifierDes!$B:$B,[1]ModifierDes!$C:$C),3,_xlfn.XLOOKUP(C1815,[1]StuntDes!$B:$B,[1]StuntDes!$C:$C)),"")</f>
        <v>火焰伤害提高{0}</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449</v>
      </c>
      <c r="D1816" t="s">
        <v>39</v>
      </c>
      <c r="E1816" t="s">
        <v>393</v>
      </c>
      <c r="G1816">
        <v>1</v>
      </c>
      <c r="H1816">
        <v>1000</v>
      </c>
      <c r="J1816" cm="1">
        <f t="array" ref="J1816">_xlfn.SWITCH(B1816,1,75,2,61,3,49,4,37,5,25,6,13,7,4,8,1)</f>
        <v>13</v>
      </c>
      <c r="K1816" t="str" cm="1">
        <f t="array" ref="K1816">IFERROR(_xlfn.SWITCH(L1816,1,_xlfn.XLOOKUP(C1816,[1]AttributeName!$C:$C,[1]AttributeName!$I:$I),2,_xlfn.XLOOKUP(C1816,[1]ModifierDes!$B:$B,[1]ModifierDes!$C:$C),3,_xlfn.XLOOKUP(C1816,[1]StuntDes!$B:$B,[1]StuntDes!$C:$C)),"")</f>
        <v>火焰伤害提高{0}</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449</v>
      </c>
      <c r="D1817" t="s">
        <v>39</v>
      </c>
      <c r="E1817" t="s">
        <v>393</v>
      </c>
      <c r="G1817">
        <v>1</v>
      </c>
      <c r="H1817">
        <v>1000</v>
      </c>
      <c r="J1817" cm="1">
        <f t="array" ref="J1817">_xlfn.SWITCH(B1817,1,75,2,61,3,49,4,37,5,25,6,13,7,4,8,1)</f>
        <v>4</v>
      </c>
      <c r="K1817" t="str" cm="1">
        <f t="array" ref="K1817">IFERROR(_xlfn.SWITCH(L1817,1,_xlfn.XLOOKUP(C1817,[1]AttributeName!$C:$C,[1]AttributeName!$I:$I),2,_xlfn.XLOOKUP(C1817,[1]ModifierDes!$B:$B,[1]ModifierDes!$C:$C),3,_xlfn.XLOOKUP(C1817,[1]StuntDes!$B:$B,[1]StuntDes!$C:$C)),"")</f>
        <v>火焰伤害提高{0}</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449</v>
      </c>
      <c r="D1818" t="s">
        <v>39</v>
      </c>
      <c r="E1818" t="s">
        <v>393</v>
      </c>
      <c r="G1818">
        <v>1</v>
      </c>
      <c r="H1818">
        <v>1000</v>
      </c>
      <c r="J1818" cm="1">
        <f t="array" ref="J1818">_xlfn.SWITCH(B1818,1,75,2,61,3,49,4,37,5,25,6,13,7,4,8,1)</f>
        <v>1</v>
      </c>
      <c r="K1818" t="str" cm="1">
        <f t="array" ref="K1818">IFERROR(_xlfn.SWITCH(L1818,1,_xlfn.XLOOKUP(C1818,[1]AttributeName!$C:$C,[1]AttributeName!$I:$I),2,_xlfn.XLOOKUP(C1818,[1]ModifierDes!$B:$B,[1]ModifierDes!$C:$C),3,_xlfn.XLOOKUP(C1818,[1]StuntDes!$B:$B,[1]StuntDes!$C:$C)),"")</f>
        <v>火焰伤害提高{0}</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450</v>
      </c>
      <c r="D1819" t="s">
        <v>39</v>
      </c>
      <c r="E1819" t="s">
        <v>393</v>
      </c>
      <c r="G1819">
        <v>1</v>
      </c>
      <c r="H1819">
        <v>1000</v>
      </c>
      <c r="J1819" cm="1">
        <f t="array" ref="J1819">_xlfn.SWITCH(B1819,1,75,2,61,3,49,4,37,5,25,6,13,7,4,8,1)</f>
        <v>75</v>
      </c>
      <c r="K1819" t="str" cm="1">
        <f t="array" ref="K1819">IFERROR(_xlfn.SWITCH(L1819,1,_xlfn.XLOOKUP(C1819,[1]AttributeName!$C:$C,[1]AttributeName!$I:$I),2,_xlfn.XLOOKUP(C1819,[1]ModifierDes!$B:$B,[1]ModifierDes!$C:$C),3,_xlfn.XLOOKUP(C1819,[1]StuntDes!$B:$B,[1]StuntDes!$C:$C)),"")</f>
        <v>冰冷伤害提高{0}</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450</v>
      </c>
      <c r="D1820" t="s">
        <v>39</v>
      </c>
      <c r="E1820" t="s">
        <v>393</v>
      </c>
      <c r="G1820">
        <v>1</v>
      </c>
      <c r="H1820">
        <v>1000</v>
      </c>
      <c r="J1820" cm="1">
        <f t="array" ref="J1820">_xlfn.SWITCH(B1820,1,75,2,61,3,49,4,37,5,25,6,13,7,4,8,1)</f>
        <v>61</v>
      </c>
      <c r="K1820" t="str" cm="1">
        <f t="array" ref="K1820">IFERROR(_xlfn.SWITCH(L1820,1,_xlfn.XLOOKUP(C1820,[1]AttributeName!$C:$C,[1]AttributeName!$I:$I),2,_xlfn.XLOOKUP(C1820,[1]ModifierDes!$B:$B,[1]ModifierDes!$C:$C),3,_xlfn.XLOOKUP(C1820,[1]StuntDes!$B:$B,[1]StuntDes!$C:$C)),"")</f>
        <v>冰冷伤害提高{0}</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450</v>
      </c>
      <c r="D1821" t="s">
        <v>39</v>
      </c>
      <c r="E1821" t="s">
        <v>393</v>
      </c>
      <c r="G1821">
        <v>1</v>
      </c>
      <c r="H1821">
        <v>1000</v>
      </c>
      <c r="J1821" cm="1">
        <f t="array" ref="J1821">_xlfn.SWITCH(B1821,1,75,2,61,3,49,4,37,5,25,6,13,7,4,8,1)</f>
        <v>49</v>
      </c>
      <c r="K1821" t="str" cm="1">
        <f t="array" ref="K1821">IFERROR(_xlfn.SWITCH(L1821,1,_xlfn.XLOOKUP(C1821,[1]AttributeName!$C:$C,[1]AttributeName!$I:$I),2,_xlfn.XLOOKUP(C1821,[1]ModifierDes!$B:$B,[1]ModifierDes!$C:$C),3,_xlfn.XLOOKUP(C1821,[1]StuntDes!$B:$B,[1]StuntDes!$C:$C)),"")</f>
        <v>冰冷伤害提高{0}</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450</v>
      </c>
      <c r="D1822" t="s">
        <v>39</v>
      </c>
      <c r="E1822" t="s">
        <v>393</v>
      </c>
      <c r="G1822">
        <v>1</v>
      </c>
      <c r="H1822">
        <v>1000</v>
      </c>
      <c r="J1822" cm="1">
        <f t="array" ref="J1822">_xlfn.SWITCH(B1822,1,75,2,61,3,49,4,37,5,25,6,13,7,4,8,1)</f>
        <v>37</v>
      </c>
      <c r="K1822" t="str" cm="1">
        <f t="array" ref="K1822">IFERROR(_xlfn.SWITCH(L1822,1,_xlfn.XLOOKUP(C1822,[1]AttributeName!$C:$C,[1]AttributeName!$I:$I),2,_xlfn.XLOOKUP(C1822,[1]ModifierDes!$B:$B,[1]ModifierDes!$C:$C),3,_xlfn.XLOOKUP(C1822,[1]StuntDes!$B:$B,[1]StuntDes!$C:$C)),"")</f>
        <v>冰冷伤害提高{0}</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450</v>
      </c>
      <c r="D1823" t="s">
        <v>39</v>
      </c>
      <c r="E1823" t="s">
        <v>393</v>
      </c>
      <c r="G1823">
        <v>1</v>
      </c>
      <c r="H1823">
        <v>1000</v>
      </c>
      <c r="J1823" cm="1">
        <f t="array" ref="J1823">_xlfn.SWITCH(B1823,1,75,2,61,3,49,4,37,5,25,6,13,7,4,8,1)</f>
        <v>25</v>
      </c>
      <c r="K1823" t="str" cm="1">
        <f t="array" ref="K1823">IFERROR(_xlfn.SWITCH(L1823,1,_xlfn.XLOOKUP(C1823,[1]AttributeName!$C:$C,[1]AttributeName!$I:$I),2,_xlfn.XLOOKUP(C1823,[1]ModifierDes!$B:$B,[1]ModifierDes!$C:$C),3,_xlfn.XLOOKUP(C1823,[1]StuntDes!$B:$B,[1]StuntDes!$C:$C)),"")</f>
        <v>冰冷伤害提高{0}</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450</v>
      </c>
      <c r="D1824" t="s">
        <v>39</v>
      </c>
      <c r="E1824" t="s">
        <v>393</v>
      </c>
      <c r="G1824">
        <v>1</v>
      </c>
      <c r="H1824">
        <v>1000</v>
      </c>
      <c r="J1824" cm="1">
        <f t="array" ref="J1824">_xlfn.SWITCH(B1824,1,75,2,61,3,49,4,37,5,25,6,13,7,4,8,1)</f>
        <v>13</v>
      </c>
      <c r="K1824" t="str" cm="1">
        <f t="array" ref="K1824">IFERROR(_xlfn.SWITCH(L1824,1,_xlfn.XLOOKUP(C1824,[1]AttributeName!$C:$C,[1]AttributeName!$I:$I),2,_xlfn.XLOOKUP(C1824,[1]ModifierDes!$B:$B,[1]ModifierDes!$C:$C),3,_xlfn.XLOOKUP(C1824,[1]StuntDes!$B:$B,[1]StuntDes!$C:$C)),"")</f>
        <v>冰冷伤害提高{0}</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450</v>
      </c>
      <c r="D1825" t="s">
        <v>39</v>
      </c>
      <c r="E1825" t="s">
        <v>393</v>
      </c>
      <c r="G1825">
        <v>1</v>
      </c>
      <c r="H1825">
        <v>1000</v>
      </c>
      <c r="J1825" cm="1">
        <f t="array" ref="J1825">_xlfn.SWITCH(B1825,1,75,2,61,3,49,4,37,5,25,6,13,7,4,8,1)</f>
        <v>4</v>
      </c>
      <c r="K1825" t="str" cm="1">
        <f t="array" ref="K1825">IFERROR(_xlfn.SWITCH(L1825,1,_xlfn.XLOOKUP(C1825,[1]AttributeName!$C:$C,[1]AttributeName!$I:$I),2,_xlfn.XLOOKUP(C1825,[1]ModifierDes!$B:$B,[1]ModifierDes!$C:$C),3,_xlfn.XLOOKUP(C1825,[1]StuntDes!$B:$B,[1]StuntDes!$C:$C)),"")</f>
        <v>冰冷伤害提高{0}</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450</v>
      </c>
      <c r="D1826" t="s">
        <v>39</v>
      </c>
      <c r="E1826" t="s">
        <v>393</v>
      </c>
      <c r="G1826">
        <v>1</v>
      </c>
      <c r="H1826">
        <v>1000</v>
      </c>
      <c r="J1826" cm="1">
        <f t="array" ref="J1826">_xlfn.SWITCH(B1826,1,75,2,61,3,49,4,37,5,25,6,13,7,4,8,1)</f>
        <v>1</v>
      </c>
      <c r="K1826" t="str" cm="1">
        <f t="array" ref="K1826">IFERROR(_xlfn.SWITCH(L1826,1,_xlfn.XLOOKUP(C1826,[1]AttributeName!$C:$C,[1]AttributeName!$I:$I),2,_xlfn.XLOOKUP(C1826,[1]ModifierDes!$B:$B,[1]ModifierDes!$C:$C),3,_xlfn.XLOOKUP(C1826,[1]StuntDes!$B:$B,[1]StuntDes!$C:$C)),"")</f>
        <v>冰冷伤害提高{0}</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451</v>
      </c>
      <c r="D1827" t="s">
        <v>39</v>
      </c>
      <c r="E1827" t="s">
        <v>393</v>
      </c>
      <c r="G1827">
        <v>1</v>
      </c>
      <c r="H1827">
        <v>1000</v>
      </c>
      <c r="J1827" cm="1">
        <f t="array" ref="J1827">_xlfn.SWITCH(B1827,1,75,2,61,3,49,4,37,5,25,6,13,7,4,8,1)</f>
        <v>75</v>
      </c>
      <c r="K1827" t="str" cm="1">
        <f t="array" ref="K1827">IFERROR(_xlfn.SWITCH(L1827,1,_xlfn.XLOOKUP(C1827,[1]AttributeName!$C:$C,[1]AttributeName!$I:$I),2,_xlfn.XLOOKUP(C1827,[1]ModifierDes!$B:$B,[1]ModifierDes!$C:$C),3,_xlfn.XLOOKUP(C1827,[1]StuntDes!$B:$B,[1]StuntDes!$C:$C)),"")</f>
        <v>闪电伤害提高{0}</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451</v>
      </c>
      <c r="D1828" t="s">
        <v>39</v>
      </c>
      <c r="E1828" t="s">
        <v>393</v>
      </c>
      <c r="G1828">
        <v>1</v>
      </c>
      <c r="H1828">
        <v>1000</v>
      </c>
      <c r="J1828" cm="1">
        <f t="array" ref="J1828">_xlfn.SWITCH(B1828,1,75,2,61,3,49,4,37,5,25,6,13,7,4,8,1)</f>
        <v>61</v>
      </c>
      <c r="K1828" t="str" cm="1">
        <f t="array" ref="K1828">IFERROR(_xlfn.SWITCH(L1828,1,_xlfn.XLOOKUP(C1828,[1]AttributeName!$C:$C,[1]AttributeName!$I:$I),2,_xlfn.XLOOKUP(C1828,[1]ModifierDes!$B:$B,[1]ModifierDes!$C:$C),3,_xlfn.XLOOKUP(C1828,[1]StuntDes!$B:$B,[1]StuntDes!$C:$C)),"")</f>
        <v>闪电伤害提高{0}</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451</v>
      </c>
      <c r="D1829" t="s">
        <v>39</v>
      </c>
      <c r="E1829" t="s">
        <v>393</v>
      </c>
      <c r="G1829">
        <v>1</v>
      </c>
      <c r="H1829">
        <v>1000</v>
      </c>
      <c r="J1829" cm="1">
        <f t="array" ref="J1829">_xlfn.SWITCH(B1829,1,75,2,61,3,49,4,37,5,25,6,13,7,4,8,1)</f>
        <v>49</v>
      </c>
      <c r="K1829" t="str" cm="1">
        <f t="array" ref="K1829">IFERROR(_xlfn.SWITCH(L1829,1,_xlfn.XLOOKUP(C1829,[1]AttributeName!$C:$C,[1]AttributeName!$I:$I),2,_xlfn.XLOOKUP(C1829,[1]ModifierDes!$B:$B,[1]ModifierDes!$C:$C),3,_xlfn.XLOOKUP(C1829,[1]StuntDes!$B:$B,[1]StuntDes!$C:$C)),"")</f>
        <v>闪电伤害提高{0}</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451</v>
      </c>
      <c r="D1830" t="s">
        <v>39</v>
      </c>
      <c r="E1830" t="s">
        <v>393</v>
      </c>
      <c r="G1830">
        <v>1</v>
      </c>
      <c r="H1830">
        <v>1000</v>
      </c>
      <c r="J1830" cm="1">
        <f t="array" ref="J1830">_xlfn.SWITCH(B1830,1,75,2,61,3,49,4,37,5,25,6,13,7,4,8,1)</f>
        <v>37</v>
      </c>
      <c r="K1830" t="str" cm="1">
        <f t="array" ref="K1830">IFERROR(_xlfn.SWITCH(L1830,1,_xlfn.XLOOKUP(C1830,[1]AttributeName!$C:$C,[1]AttributeName!$I:$I),2,_xlfn.XLOOKUP(C1830,[1]ModifierDes!$B:$B,[1]ModifierDes!$C:$C),3,_xlfn.XLOOKUP(C1830,[1]StuntDes!$B:$B,[1]StuntDes!$C:$C)),"")</f>
        <v>闪电伤害提高{0}</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451</v>
      </c>
      <c r="D1831" t="s">
        <v>39</v>
      </c>
      <c r="E1831" t="s">
        <v>393</v>
      </c>
      <c r="G1831">
        <v>1</v>
      </c>
      <c r="H1831">
        <v>1000</v>
      </c>
      <c r="J1831" cm="1">
        <f t="array" ref="J1831">_xlfn.SWITCH(B1831,1,75,2,61,3,49,4,37,5,25,6,13,7,4,8,1)</f>
        <v>25</v>
      </c>
      <c r="K1831" t="str" cm="1">
        <f t="array" ref="K1831">IFERROR(_xlfn.SWITCH(L1831,1,_xlfn.XLOOKUP(C1831,[1]AttributeName!$C:$C,[1]AttributeName!$I:$I),2,_xlfn.XLOOKUP(C1831,[1]ModifierDes!$B:$B,[1]ModifierDes!$C:$C),3,_xlfn.XLOOKUP(C1831,[1]StuntDes!$B:$B,[1]StuntDes!$C:$C)),"")</f>
        <v>闪电伤害提高{0}</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451</v>
      </c>
      <c r="D1832" t="s">
        <v>39</v>
      </c>
      <c r="E1832" t="s">
        <v>393</v>
      </c>
      <c r="G1832">
        <v>1</v>
      </c>
      <c r="H1832">
        <v>1000</v>
      </c>
      <c r="J1832" cm="1">
        <f t="array" ref="J1832">_xlfn.SWITCH(B1832,1,75,2,61,3,49,4,37,5,25,6,13,7,4,8,1)</f>
        <v>13</v>
      </c>
      <c r="K1832" t="str" cm="1">
        <f t="array" ref="K1832">IFERROR(_xlfn.SWITCH(L1832,1,_xlfn.XLOOKUP(C1832,[1]AttributeName!$C:$C,[1]AttributeName!$I:$I),2,_xlfn.XLOOKUP(C1832,[1]ModifierDes!$B:$B,[1]ModifierDes!$C:$C),3,_xlfn.XLOOKUP(C1832,[1]StuntDes!$B:$B,[1]StuntDes!$C:$C)),"")</f>
        <v>闪电伤害提高{0}</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451</v>
      </c>
      <c r="D1833" t="s">
        <v>39</v>
      </c>
      <c r="E1833" t="s">
        <v>393</v>
      </c>
      <c r="G1833">
        <v>1</v>
      </c>
      <c r="H1833">
        <v>1000</v>
      </c>
      <c r="J1833" cm="1">
        <f t="array" ref="J1833">_xlfn.SWITCH(B1833,1,75,2,61,3,49,4,37,5,25,6,13,7,4,8,1)</f>
        <v>4</v>
      </c>
      <c r="K1833" t="str" cm="1">
        <f t="array" ref="K1833">IFERROR(_xlfn.SWITCH(L1833,1,_xlfn.XLOOKUP(C1833,[1]AttributeName!$C:$C,[1]AttributeName!$I:$I),2,_xlfn.XLOOKUP(C1833,[1]ModifierDes!$B:$B,[1]ModifierDes!$C:$C),3,_xlfn.XLOOKUP(C1833,[1]StuntDes!$B:$B,[1]StuntDes!$C:$C)),"")</f>
        <v>闪电伤害提高{0}</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451</v>
      </c>
      <c r="D1834" t="s">
        <v>39</v>
      </c>
      <c r="E1834" t="s">
        <v>393</v>
      </c>
      <c r="G1834">
        <v>1</v>
      </c>
      <c r="H1834">
        <v>1000</v>
      </c>
      <c r="J1834" cm="1">
        <f t="array" ref="J1834">_xlfn.SWITCH(B1834,1,75,2,61,3,49,4,37,5,25,6,13,7,4,8,1)</f>
        <v>1</v>
      </c>
      <c r="K1834" t="str" cm="1">
        <f t="array" ref="K1834">IFERROR(_xlfn.SWITCH(L1834,1,_xlfn.XLOOKUP(C1834,[1]AttributeName!$C:$C,[1]AttributeName!$I:$I),2,_xlfn.XLOOKUP(C1834,[1]ModifierDes!$B:$B,[1]ModifierDes!$C:$C),3,_xlfn.XLOOKUP(C1834,[1]StuntDes!$B:$B,[1]StuntDes!$C:$C)),"")</f>
        <v>闪电伤害提高{0}</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406</v>
      </c>
      <c r="D1835" t="s">
        <v>39</v>
      </c>
      <c r="E1835" t="s">
        <v>393</v>
      </c>
      <c r="G1835">
        <v>1</v>
      </c>
      <c r="H1835">
        <v>1000</v>
      </c>
      <c r="J1835" cm="1">
        <f t="array" ref="J1835">_xlfn.SWITCH(B1835,1,75,2,61,3,49,4,37,5,25,6,13,7,4,8,1)</f>
        <v>75</v>
      </c>
      <c r="K1835" t="str" cm="1">
        <f t="array" ref="K1835">IFERROR(_xlfn.SWITCH(L1835,1,_xlfn.XLOOKUP(C1835,[1]AttributeName!$C:$C,[1]AttributeName!$I:$I),2,_xlfn.XLOOKUP(C1835,[1]ModifierDes!$B:$B,[1]ModifierDes!$C:$C),3,_xlfn.XLOOKUP(C1835,[1]StuntDes!$B:$B,[1]StuntDes!$C:$C)),"")</f>
        <v>混沌伤害提高{0}</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406</v>
      </c>
      <c r="D1836" t="s">
        <v>39</v>
      </c>
      <c r="E1836" t="s">
        <v>393</v>
      </c>
      <c r="G1836">
        <v>1</v>
      </c>
      <c r="H1836">
        <v>1000</v>
      </c>
      <c r="J1836" cm="1">
        <f t="array" ref="J1836">_xlfn.SWITCH(B1836,1,75,2,61,3,49,4,37,5,25,6,13,7,4,8,1)</f>
        <v>61</v>
      </c>
      <c r="K1836" t="str" cm="1">
        <f t="array" ref="K1836">IFERROR(_xlfn.SWITCH(L1836,1,_xlfn.XLOOKUP(C1836,[1]AttributeName!$C:$C,[1]AttributeName!$I:$I),2,_xlfn.XLOOKUP(C1836,[1]ModifierDes!$B:$B,[1]ModifierDes!$C:$C),3,_xlfn.XLOOKUP(C1836,[1]StuntDes!$B:$B,[1]StuntDes!$C:$C)),"")</f>
        <v>混沌伤害提高{0}</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406</v>
      </c>
      <c r="D1837" t="s">
        <v>39</v>
      </c>
      <c r="E1837" t="s">
        <v>393</v>
      </c>
      <c r="G1837">
        <v>1</v>
      </c>
      <c r="H1837">
        <v>1000</v>
      </c>
      <c r="J1837" cm="1">
        <f t="array" ref="J1837">_xlfn.SWITCH(B1837,1,75,2,61,3,49,4,37,5,25,6,13,7,4,8,1)</f>
        <v>49</v>
      </c>
      <c r="K1837" t="str" cm="1">
        <f t="array" ref="K1837">IFERROR(_xlfn.SWITCH(L1837,1,_xlfn.XLOOKUP(C1837,[1]AttributeName!$C:$C,[1]AttributeName!$I:$I),2,_xlfn.XLOOKUP(C1837,[1]ModifierDes!$B:$B,[1]ModifierDes!$C:$C),3,_xlfn.XLOOKUP(C1837,[1]StuntDes!$B:$B,[1]StuntDes!$C:$C)),"")</f>
        <v>混沌伤害提高{0}</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406</v>
      </c>
      <c r="D1838" t="s">
        <v>39</v>
      </c>
      <c r="E1838" t="s">
        <v>393</v>
      </c>
      <c r="G1838">
        <v>1</v>
      </c>
      <c r="H1838">
        <v>1000</v>
      </c>
      <c r="J1838" cm="1">
        <f t="array" ref="J1838">_xlfn.SWITCH(B1838,1,75,2,61,3,49,4,37,5,25,6,13,7,4,8,1)</f>
        <v>37</v>
      </c>
      <c r="K1838" t="str" cm="1">
        <f t="array" ref="K1838">IFERROR(_xlfn.SWITCH(L1838,1,_xlfn.XLOOKUP(C1838,[1]AttributeName!$C:$C,[1]AttributeName!$I:$I),2,_xlfn.XLOOKUP(C1838,[1]ModifierDes!$B:$B,[1]ModifierDes!$C:$C),3,_xlfn.XLOOKUP(C1838,[1]StuntDes!$B:$B,[1]StuntDes!$C:$C)),"")</f>
        <v>混沌伤害提高{0}</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406</v>
      </c>
      <c r="D1839" t="s">
        <v>39</v>
      </c>
      <c r="E1839" t="s">
        <v>393</v>
      </c>
      <c r="G1839">
        <v>1</v>
      </c>
      <c r="H1839">
        <v>1000</v>
      </c>
      <c r="J1839" cm="1">
        <f t="array" ref="J1839">_xlfn.SWITCH(B1839,1,75,2,61,3,49,4,37,5,25,6,13,7,4,8,1)</f>
        <v>25</v>
      </c>
      <c r="K1839" t="str" cm="1">
        <f t="array" ref="K1839">IFERROR(_xlfn.SWITCH(L1839,1,_xlfn.XLOOKUP(C1839,[1]AttributeName!$C:$C,[1]AttributeName!$I:$I),2,_xlfn.XLOOKUP(C1839,[1]ModifierDes!$B:$B,[1]ModifierDes!$C:$C),3,_xlfn.XLOOKUP(C1839,[1]StuntDes!$B:$B,[1]StuntDes!$C:$C)),"")</f>
        <v>混沌伤害提高{0}</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406</v>
      </c>
      <c r="D1840" t="s">
        <v>39</v>
      </c>
      <c r="E1840" t="s">
        <v>393</v>
      </c>
      <c r="G1840">
        <v>1</v>
      </c>
      <c r="H1840">
        <v>1000</v>
      </c>
      <c r="J1840" cm="1">
        <f t="array" ref="J1840">_xlfn.SWITCH(B1840,1,75,2,61,3,49,4,37,5,25,6,13,7,4,8,1)</f>
        <v>13</v>
      </c>
      <c r="K1840" t="str" cm="1">
        <f t="array" ref="K1840">IFERROR(_xlfn.SWITCH(L1840,1,_xlfn.XLOOKUP(C1840,[1]AttributeName!$C:$C,[1]AttributeName!$I:$I),2,_xlfn.XLOOKUP(C1840,[1]ModifierDes!$B:$B,[1]ModifierDes!$C:$C),3,_xlfn.XLOOKUP(C1840,[1]StuntDes!$B:$B,[1]StuntDes!$C:$C)),"")</f>
        <v>混沌伤害提高{0}</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406</v>
      </c>
      <c r="D1841" t="s">
        <v>39</v>
      </c>
      <c r="E1841" t="s">
        <v>393</v>
      </c>
      <c r="G1841">
        <v>1</v>
      </c>
      <c r="H1841">
        <v>1000</v>
      </c>
      <c r="J1841" cm="1">
        <f t="array" ref="J1841">_xlfn.SWITCH(B1841,1,75,2,61,3,49,4,37,5,25,6,13,7,4,8,1)</f>
        <v>4</v>
      </c>
      <c r="K1841" t="str" cm="1">
        <f t="array" ref="K1841">IFERROR(_xlfn.SWITCH(L1841,1,_xlfn.XLOOKUP(C1841,[1]AttributeName!$C:$C,[1]AttributeName!$I:$I),2,_xlfn.XLOOKUP(C1841,[1]ModifierDes!$B:$B,[1]ModifierDes!$C:$C),3,_xlfn.XLOOKUP(C1841,[1]StuntDes!$B:$B,[1]StuntDes!$C:$C)),"")</f>
        <v>混沌伤害提高{0}</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406</v>
      </c>
      <c r="D1842" t="s">
        <v>39</v>
      </c>
      <c r="E1842" t="s">
        <v>393</v>
      </c>
      <c r="G1842">
        <v>1</v>
      </c>
      <c r="H1842">
        <v>1000</v>
      </c>
      <c r="J1842" cm="1">
        <f t="array" ref="J1842">_xlfn.SWITCH(B1842,1,75,2,61,3,49,4,37,5,25,6,13,7,4,8,1)</f>
        <v>1</v>
      </c>
      <c r="K1842" t="str" cm="1">
        <f t="array" ref="K1842">IFERROR(_xlfn.SWITCH(L1842,1,_xlfn.XLOOKUP(C1842,[1]AttributeName!$C:$C,[1]AttributeName!$I:$I),2,_xlfn.XLOOKUP(C1842,[1]ModifierDes!$B:$B,[1]ModifierDes!$C:$C),3,_xlfn.XLOOKUP(C1842,[1]StuntDes!$B:$B,[1]StuntDes!$C:$C)),"")</f>
        <v>混沌伤害提高{0}</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437</v>
      </c>
      <c r="D1843" t="s">
        <v>39</v>
      </c>
      <c r="E1843" t="s">
        <v>410</v>
      </c>
      <c r="G1843">
        <v>2</v>
      </c>
      <c r="H1843">
        <v>1000</v>
      </c>
      <c r="J1843" cm="1">
        <f t="array" ref="J1843">_xlfn.SWITCH(B1843,1,75,2,61,3,49,4,37,5,25,6,13,7,4,8,1)</f>
        <v>75</v>
      </c>
      <c r="K1843" t="str" cm="1">
        <f t="array" ref="K1843">IFERROR(_xlfn.SWITCH(L1843,1,_xlfn.XLOOKUP(C1843,[1]AttributeName!$C:$C,[1]AttributeName!$I:$I),2,_xlfn.XLOOKUP(C1843,[1]ModifierDes!$B:$B,[1]ModifierDes!$C:$C),3,_xlfn.XLOOKUP(C1843,[1]StuntDes!$B:$B,[1]StuntDes!$C:$C)),"")</f>
        <v>物理抗性增加{0}</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437</v>
      </c>
      <c r="D1844" t="s">
        <v>39</v>
      </c>
      <c r="E1844" t="s">
        <v>410</v>
      </c>
      <c r="G1844">
        <v>2</v>
      </c>
      <c r="H1844">
        <v>1000</v>
      </c>
      <c r="J1844" cm="1">
        <f t="array" ref="J1844">_xlfn.SWITCH(B1844,1,75,2,61,3,49,4,37,5,25,6,13,7,4,8,1)</f>
        <v>61</v>
      </c>
      <c r="K1844" t="str" cm="1">
        <f t="array" ref="K1844">IFERROR(_xlfn.SWITCH(L1844,1,_xlfn.XLOOKUP(C1844,[1]AttributeName!$C:$C,[1]AttributeName!$I:$I),2,_xlfn.XLOOKUP(C1844,[1]ModifierDes!$B:$B,[1]ModifierDes!$C:$C),3,_xlfn.XLOOKUP(C1844,[1]StuntDes!$B:$B,[1]StuntDes!$C:$C)),"")</f>
        <v>物理抗性增加{0}</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437</v>
      </c>
      <c r="D1845" t="s">
        <v>39</v>
      </c>
      <c r="E1845" t="s">
        <v>410</v>
      </c>
      <c r="G1845">
        <v>2</v>
      </c>
      <c r="H1845">
        <v>1000</v>
      </c>
      <c r="J1845" cm="1">
        <f t="array" ref="J1845">_xlfn.SWITCH(B1845,1,75,2,61,3,49,4,37,5,25,6,13,7,4,8,1)</f>
        <v>49</v>
      </c>
      <c r="K1845" t="str" cm="1">
        <f t="array" ref="K1845">IFERROR(_xlfn.SWITCH(L1845,1,_xlfn.XLOOKUP(C1845,[1]AttributeName!$C:$C,[1]AttributeName!$I:$I),2,_xlfn.XLOOKUP(C1845,[1]ModifierDes!$B:$B,[1]ModifierDes!$C:$C),3,_xlfn.XLOOKUP(C1845,[1]StuntDes!$B:$B,[1]StuntDes!$C:$C)),"")</f>
        <v>物理抗性增加{0}</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437</v>
      </c>
      <c r="D1846" t="s">
        <v>39</v>
      </c>
      <c r="E1846" t="s">
        <v>410</v>
      </c>
      <c r="G1846">
        <v>2</v>
      </c>
      <c r="H1846">
        <v>1000</v>
      </c>
      <c r="J1846" cm="1">
        <f t="array" ref="J1846">_xlfn.SWITCH(B1846,1,75,2,61,3,49,4,37,5,25,6,13,7,4,8,1)</f>
        <v>37</v>
      </c>
      <c r="K1846" t="str" cm="1">
        <f t="array" ref="K1846">IFERROR(_xlfn.SWITCH(L1846,1,_xlfn.XLOOKUP(C1846,[1]AttributeName!$C:$C,[1]AttributeName!$I:$I),2,_xlfn.XLOOKUP(C1846,[1]ModifierDes!$B:$B,[1]ModifierDes!$C:$C),3,_xlfn.XLOOKUP(C1846,[1]StuntDes!$B:$B,[1]StuntDes!$C:$C)),"")</f>
        <v>物理抗性增加{0}</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437</v>
      </c>
      <c r="D1847" t="s">
        <v>39</v>
      </c>
      <c r="E1847" t="s">
        <v>410</v>
      </c>
      <c r="G1847">
        <v>2</v>
      </c>
      <c r="H1847">
        <v>1000</v>
      </c>
      <c r="J1847" cm="1">
        <f t="array" ref="J1847">_xlfn.SWITCH(B1847,1,75,2,61,3,49,4,37,5,25,6,13,7,4,8,1)</f>
        <v>25</v>
      </c>
      <c r="K1847" t="str" cm="1">
        <f t="array" ref="K1847">IFERROR(_xlfn.SWITCH(L1847,1,_xlfn.XLOOKUP(C1847,[1]AttributeName!$C:$C,[1]AttributeName!$I:$I),2,_xlfn.XLOOKUP(C1847,[1]ModifierDes!$B:$B,[1]ModifierDes!$C:$C),3,_xlfn.XLOOKUP(C1847,[1]StuntDes!$B:$B,[1]StuntDes!$C:$C)),"")</f>
        <v>物理抗性增加{0}</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437</v>
      </c>
      <c r="D1848" t="s">
        <v>39</v>
      </c>
      <c r="E1848" t="s">
        <v>410</v>
      </c>
      <c r="G1848">
        <v>2</v>
      </c>
      <c r="H1848">
        <v>1000</v>
      </c>
      <c r="J1848" cm="1">
        <f t="array" ref="J1848">_xlfn.SWITCH(B1848,1,75,2,61,3,49,4,37,5,25,6,13,7,4,8,1)</f>
        <v>13</v>
      </c>
      <c r="K1848" t="str" cm="1">
        <f t="array" ref="K1848">IFERROR(_xlfn.SWITCH(L1848,1,_xlfn.XLOOKUP(C1848,[1]AttributeName!$C:$C,[1]AttributeName!$I:$I),2,_xlfn.XLOOKUP(C1848,[1]ModifierDes!$B:$B,[1]ModifierDes!$C:$C),3,_xlfn.XLOOKUP(C1848,[1]StuntDes!$B:$B,[1]StuntDes!$C:$C)),"")</f>
        <v>物理抗性增加{0}</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437</v>
      </c>
      <c r="D1849" t="s">
        <v>39</v>
      </c>
      <c r="E1849" t="s">
        <v>410</v>
      </c>
      <c r="G1849">
        <v>2</v>
      </c>
      <c r="H1849">
        <v>1000</v>
      </c>
      <c r="J1849" cm="1">
        <f t="array" ref="J1849">_xlfn.SWITCH(B1849,1,75,2,61,3,49,4,37,5,25,6,13,7,4,8,1)</f>
        <v>4</v>
      </c>
      <c r="K1849" t="str" cm="1">
        <f t="array" ref="K1849">IFERROR(_xlfn.SWITCH(L1849,1,_xlfn.XLOOKUP(C1849,[1]AttributeName!$C:$C,[1]AttributeName!$I:$I),2,_xlfn.XLOOKUP(C1849,[1]ModifierDes!$B:$B,[1]ModifierDes!$C:$C),3,_xlfn.XLOOKUP(C1849,[1]StuntDes!$B:$B,[1]StuntDes!$C:$C)),"")</f>
        <v>物理抗性增加{0}</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437</v>
      </c>
      <c r="D1850" t="s">
        <v>39</v>
      </c>
      <c r="E1850" t="s">
        <v>410</v>
      </c>
      <c r="G1850">
        <v>2</v>
      </c>
      <c r="H1850">
        <v>1000</v>
      </c>
      <c r="J1850" cm="1">
        <f t="array" ref="J1850">_xlfn.SWITCH(B1850,1,75,2,61,3,49,4,37,5,25,6,13,7,4,8,1)</f>
        <v>1</v>
      </c>
      <c r="K1850" t="str" cm="1">
        <f t="array" ref="K1850">IFERROR(_xlfn.SWITCH(L1850,1,_xlfn.XLOOKUP(C1850,[1]AttributeName!$C:$C,[1]AttributeName!$I:$I),2,_xlfn.XLOOKUP(C1850,[1]ModifierDes!$B:$B,[1]ModifierDes!$C:$C),3,_xlfn.XLOOKUP(C1850,[1]StuntDes!$B:$B,[1]StuntDes!$C:$C)),"")</f>
        <v>物理抗性增加{0}</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438</v>
      </c>
      <c r="D1851" t="s">
        <v>39</v>
      </c>
      <c r="E1851" t="s">
        <v>410</v>
      </c>
      <c r="G1851">
        <v>2</v>
      </c>
      <c r="H1851">
        <v>1000</v>
      </c>
      <c r="J1851" cm="1">
        <f t="array" ref="J1851">_xlfn.SWITCH(B1851,1,75,2,61,3,49,4,37,5,25,6,13,7,4,8,1)</f>
        <v>75</v>
      </c>
      <c r="K1851" t="str" cm="1">
        <f t="array" ref="K1851">IFERROR(_xlfn.SWITCH(L1851,1,_xlfn.XLOOKUP(C1851,[1]AttributeName!$C:$C,[1]AttributeName!$I:$I),2,_xlfn.XLOOKUP(C1851,[1]ModifierDes!$B:$B,[1]ModifierDes!$C:$C),3,_xlfn.XLOOKUP(C1851,[1]StuntDes!$B:$B,[1]StuntDes!$C:$C)),"")</f>
        <v>火焰抗性增加{0}</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438</v>
      </c>
      <c r="D1852" t="s">
        <v>39</v>
      </c>
      <c r="E1852" t="s">
        <v>410</v>
      </c>
      <c r="G1852">
        <v>2</v>
      </c>
      <c r="H1852">
        <v>1000</v>
      </c>
      <c r="J1852" cm="1">
        <f t="array" ref="J1852">_xlfn.SWITCH(B1852,1,75,2,61,3,49,4,37,5,25,6,13,7,4,8,1)</f>
        <v>61</v>
      </c>
      <c r="K1852" t="str" cm="1">
        <f t="array" ref="K1852">IFERROR(_xlfn.SWITCH(L1852,1,_xlfn.XLOOKUP(C1852,[1]AttributeName!$C:$C,[1]AttributeName!$I:$I),2,_xlfn.XLOOKUP(C1852,[1]ModifierDes!$B:$B,[1]ModifierDes!$C:$C),3,_xlfn.XLOOKUP(C1852,[1]StuntDes!$B:$B,[1]StuntDes!$C:$C)),"")</f>
        <v>火焰抗性增加{0}</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438</v>
      </c>
      <c r="D1853" t="s">
        <v>39</v>
      </c>
      <c r="E1853" t="s">
        <v>410</v>
      </c>
      <c r="G1853">
        <v>2</v>
      </c>
      <c r="H1853">
        <v>1000</v>
      </c>
      <c r="J1853" cm="1">
        <f t="array" ref="J1853">_xlfn.SWITCH(B1853,1,75,2,61,3,49,4,37,5,25,6,13,7,4,8,1)</f>
        <v>49</v>
      </c>
      <c r="K1853" t="str" cm="1">
        <f t="array" ref="K1853">IFERROR(_xlfn.SWITCH(L1853,1,_xlfn.XLOOKUP(C1853,[1]AttributeName!$C:$C,[1]AttributeName!$I:$I),2,_xlfn.XLOOKUP(C1853,[1]ModifierDes!$B:$B,[1]ModifierDes!$C:$C),3,_xlfn.XLOOKUP(C1853,[1]StuntDes!$B:$B,[1]StuntDes!$C:$C)),"")</f>
        <v>火焰抗性增加{0}</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438</v>
      </c>
      <c r="D1854" t="s">
        <v>39</v>
      </c>
      <c r="E1854" t="s">
        <v>410</v>
      </c>
      <c r="G1854">
        <v>2</v>
      </c>
      <c r="H1854">
        <v>1000</v>
      </c>
      <c r="J1854" cm="1">
        <f t="array" ref="J1854">_xlfn.SWITCH(B1854,1,75,2,61,3,49,4,37,5,25,6,13,7,4,8,1)</f>
        <v>37</v>
      </c>
      <c r="K1854" t="str" cm="1">
        <f t="array" ref="K1854">IFERROR(_xlfn.SWITCH(L1854,1,_xlfn.XLOOKUP(C1854,[1]AttributeName!$C:$C,[1]AttributeName!$I:$I),2,_xlfn.XLOOKUP(C1854,[1]ModifierDes!$B:$B,[1]ModifierDes!$C:$C),3,_xlfn.XLOOKUP(C1854,[1]StuntDes!$B:$B,[1]StuntDes!$C:$C)),"")</f>
        <v>火焰抗性增加{0}</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438</v>
      </c>
      <c r="D1855" t="s">
        <v>39</v>
      </c>
      <c r="E1855" t="s">
        <v>410</v>
      </c>
      <c r="G1855">
        <v>2</v>
      </c>
      <c r="H1855">
        <v>1000</v>
      </c>
      <c r="J1855" cm="1">
        <f t="array" ref="J1855">_xlfn.SWITCH(B1855,1,75,2,61,3,49,4,37,5,25,6,13,7,4,8,1)</f>
        <v>25</v>
      </c>
      <c r="K1855" t="str" cm="1">
        <f t="array" ref="K1855">IFERROR(_xlfn.SWITCH(L1855,1,_xlfn.XLOOKUP(C1855,[1]AttributeName!$C:$C,[1]AttributeName!$I:$I),2,_xlfn.XLOOKUP(C1855,[1]ModifierDes!$B:$B,[1]ModifierDes!$C:$C),3,_xlfn.XLOOKUP(C1855,[1]StuntDes!$B:$B,[1]StuntDes!$C:$C)),"")</f>
        <v>火焰抗性增加{0}</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438</v>
      </c>
      <c r="D1856" t="s">
        <v>39</v>
      </c>
      <c r="E1856" t="s">
        <v>410</v>
      </c>
      <c r="G1856">
        <v>2</v>
      </c>
      <c r="H1856">
        <v>1000</v>
      </c>
      <c r="J1856" cm="1">
        <f t="array" ref="J1856">_xlfn.SWITCH(B1856,1,75,2,61,3,49,4,37,5,25,6,13,7,4,8,1)</f>
        <v>13</v>
      </c>
      <c r="K1856" t="str" cm="1">
        <f t="array" ref="K1856">IFERROR(_xlfn.SWITCH(L1856,1,_xlfn.XLOOKUP(C1856,[1]AttributeName!$C:$C,[1]AttributeName!$I:$I),2,_xlfn.XLOOKUP(C1856,[1]ModifierDes!$B:$B,[1]ModifierDes!$C:$C),3,_xlfn.XLOOKUP(C1856,[1]StuntDes!$B:$B,[1]StuntDes!$C:$C)),"")</f>
        <v>火焰抗性增加{0}</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438</v>
      </c>
      <c r="D1857" t="s">
        <v>39</v>
      </c>
      <c r="E1857" t="s">
        <v>410</v>
      </c>
      <c r="G1857">
        <v>2</v>
      </c>
      <c r="H1857">
        <v>1000</v>
      </c>
      <c r="J1857" cm="1">
        <f t="array" ref="J1857">_xlfn.SWITCH(B1857,1,75,2,61,3,49,4,37,5,25,6,13,7,4,8,1)</f>
        <v>4</v>
      </c>
      <c r="K1857" t="str" cm="1">
        <f t="array" ref="K1857">IFERROR(_xlfn.SWITCH(L1857,1,_xlfn.XLOOKUP(C1857,[1]AttributeName!$C:$C,[1]AttributeName!$I:$I),2,_xlfn.XLOOKUP(C1857,[1]ModifierDes!$B:$B,[1]ModifierDes!$C:$C),3,_xlfn.XLOOKUP(C1857,[1]StuntDes!$B:$B,[1]StuntDes!$C:$C)),"")</f>
        <v>火焰抗性增加{0}</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438</v>
      </c>
      <c r="D1858" t="s">
        <v>39</v>
      </c>
      <c r="E1858" t="s">
        <v>410</v>
      </c>
      <c r="G1858">
        <v>2</v>
      </c>
      <c r="H1858">
        <v>1000</v>
      </c>
      <c r="J1858" cm="1">
        <f t="array" ref="J1858">_xlfn.SWITCH(B1858,1,75,2,61,3,49,4,37,5,25,6,13,7,4,8,1)</f>
        <v>1</v>
      </c>
      <c r="K1858" t="str" cm="1">
        <f t="array" ref="K1858">IFERROR(_xlfn.SWITCH(L1858,1,_xlfn.XLOOKUP(C1858,[1]AttributeName!$C:$C,[1]AttributeName!$I:$I),2,_xlfn.XLOOKUP(C1858,[1]ModifierDes!$B:$B,[1]ModifierDes!$C:$C),3,_xlfn.XLOOKUP(C1858,[1]StuntDes!$B:$B,[1]StuntDes!$C:$C)),"")</f>
        <v>火焰抗性增加{0}</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439</v>
      </c>
      <c r="D1859" t="s">
        <v>39</v>
      </c>
      <c r="E1859" t="s">
        <v>410</v>
      </c>
      <c r="G1859">
        <v>2</v>
      </c>
      <c r="H1859">
        <v>1000</v>
      </c>
      <c r="J1859" cm="1">
        <f t="array" ref="J1859">_xlfn.SWITCH(B1859,1,75,2,61,3,49,4,37,5,25,6,13,7,4,8,1)</f>
        <v>75</v>
      </c>
      <c r="K1859" t="str" cm="1">
        <f t="array" ref="K1859">IFERROR(_xlfn.SWITCH(L1859,1,_xlfn.XLOOKUP(C1859,[1]AttributeName!$C:$C,[1]AttributeName!$I:$I),2,_xlfn.XLOOKUP(C1859,[1]ModifierDes!$B:$B,[1]ModifierDes!$C:$C),3,_xlfn.XLOOKUP(C1859,[1]StuntDes!$B:$B,[1]StuntDes!$C:$C)),"")</f>
        <v>冰冷抗性增加{0}</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439</v>
      </c>
      <c r="D1860" t="s">
        <v>39</v>
      </c>
      <c r="E1860" t="s">
        <v>410</v>
      </c>
      <c r="G1860">
        <v>2</v>
      </c>
      <c r="H1860">
        <v>1000</v>
      </c>
      <c r="J1860" cm="1">
        <f t="array" ref="J1860">_xlfn.SWITCH(B1860,1,75,2,61,3,49,4,37,5,25,6,13,7,4,8,1)</f>
        <v>61</v>
      </c>
      <c r="K1860" t="str" cm="1">
        <f t="array" ref="K1860">IFERROR(_xlfn.SWITCH(L1860,1,_xlfn.XLOOKUP(C1860,[1]AttributeName!$C:$C,[1]AttributeName!$I:$I),2,_xlfn.XLOOKUP(C1860,[1]ModifierDes!$B:$B,[1]ModifierDes!$C:$C),3,_xlfn.XLOOKUP(C1860,[1]StuntDes!$B:$B,[1]StuntDes!$C:$C)),"")</f>
        <v>冰冷抗性增加{0}</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439</v>
      </c>
      <c r="D1861" t="s">
        <v>39</v>
      </c>
      <c r="E1861" t="s">
        <v>410</v>
      </c>
      <c r="G1861">
        <v>2</v>
      </c>
      <c r="H1861">
        <v>1000</v>
      </c>
      <c r="J1861" cm="1">
        <f t="array" ref="J1861">_xlfn.SWITCH(B1861,1,75,2,61,3,49,4,37,5,25,6,13,7,4,8,1)</f>
        <v>49</v>
      </c>
      <c r="K1861" t="str" cm="1">
        <f t="array" ref="K1861">IFERROR(_xlfn.SWITCH(L1861,1,_xlfn.XLOOKUP(C1861,[1]AttributeName!$C:$C,[1]AttributeName!$I:$I),2,_xlfn.XLOOKUP(C1861,[1]ModifierDes!$B:$B,[1]ModifierDes!$C:$C),3,_xlfn.XLOOKUP(C1861,[1]StuntDes!$B:$B,[1]StuntDes!$C:$C)),"")</f>
        <v>冰冷抗性增加{0}</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439</v>
      </c>
      <c r="D1862" t="s">
        <v>39</v>
      </c>
      <c r="E1862" t="s">
        <v>410</v>
      </c>
      <c r="G1862">
        <v>2</v>
      </c>
      <c r="H1862">
        <v>1000</v>
      </c>
      <c r="J1862" cm="1">
        <f t="array" ref="J1862">_xlfn.SWITCH(B1862,1,75,2,61,3,49,4,37,5,25,6,13,7,4,8,1)</f>
        <v>37</v>
      </c>
      <c r="K1862" t="str" cm="1">
        <f t="array" ref="K1862">IFERROR(_xlfn.SWITCH(L1862,1,_xlfn.XLOOKUP(C1862,[1]AttributeName!$C:$C,[1]AttributeName!$I:$I),2,_xlfn.XLOOKUP(C1862,[1]ModifierDes!$B:$B,[1]ModifierDes!$C:$C),3,_xlfn.XLOOKUP(C1862,[1]StuntDes!$B:$B,[1]StuntDes!$C:$C)),"")</f>
        <v>冰冷抗性增加{0}</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439</v>
      </c>
      <c r="D1863" t="s">
        <v>39</v>
      </c>
      <c r="E1863" t="s">
        <v>410</v>
      </c>
      <c r="G1863">
        <v>2</v>
      </c>
      <c r="H1863">
        <v>1000</v>
      </c>
      <c r="J1863" cm="1">
        <f t="array" ref="J1863">_xlfn.SWITCH(B1863,1,75,2,61,3,49,4,37,5,25,6,13,7,4,8,1)</f>
        <v>25</v>
      </c>
      <c r="K1863" t="str" cm="1">
        <f t="array" ref="K1863">IFERROR(_xlfn.SWITCH(L1863,1,_xlfn.XLOOKUP(C1863,[1]AttributeName!$C:$C,[1]AttributeName!$I:$I),2,_xlfn.XLOOKUP(C1863,[1]ModifierDes!$B:$B,[1]ModifierDes!$C:$C),3,_xlfn.XLOOKUP(C1863,[1]StuntDes!$B:$B,[1]StuntDes!$C:$C)),"")</f>
        <v>冰冷抗性增加{0}</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439</v>
      </c>
      <c r="D1864" t="s">
        <v>39</v>
      </c>
      <c r="E1864" t="s">
        <v>410</v>
      </c>
      <c r="G1864">
        <v>2</v>
      </c>
      <c r="H1864">
        <v>1000</v>
      </c>
      <c r="J1864" cm="1">
        <f t="array" ref="J1864">_xlfn.SWITCH(B1864,1,75,2,61,3,49,4,37,5,25,6,13,7,4,8,1)</f>
        <v>13</v>
      </c>
      <c r="K1864" t="str" cm="1">
        <f t="array" ref="K1864">IFERROR(_xlfn.SWITCH(L1864,1,_xlfn.XLOOKUP(C1864,[1]AttributeName!$C:$C,[1]AttributeName!$I:$I),2,_xlfn.XLOOKUP(C1864,[1]ModifierDes!$B:$B,[1]ModifierDes!$C:$C),3,_xlfn.XLOOKUP(C1864,[1]StuntDes!$B:$B,[1]StuntDes!$C:$C)),"")</f>
        <v>冰冷抗性增加{0}</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439</v>
      </c>
      <c r="D1865" t="s">
        <v>39</v>
      </c>
      <c r="E1865" t="s">
        <v>410</v>
      </c>
      <c r="G1865">
        <v>2</v>
      </c>
      <c r="H1865">
        <v>1000</v>
      </c>
      <c r="J1865" cm="1">
        <f t="array" ref="J1865">_xlfn.SWITCH(B1865,1,75,2,61,3,49,4,37,5,25,6,13,7,4,8,1)</f>
        <v>4</v>
      </c>
      <c r="K1865" t="str" cm="1">
        <f t="array" ref="K1865">IFERROR(_xlfn.SWITCH(L1865,1,_xlfn.XLOOKUP(C1865,[1]AttributeName!$C:$C,[1]AttributeName!$I:$I),2,_xlfn.XLOOKUP(C1865,[1]ModifierDes!$B:$B,[1]ModifierDes!$C:$C),3,_xlfn.XLOOKUP(C1865,[1]StuntDes!$B:$B,[1]StuntDes!$C:$C)),"")</f>
        <v>冰冷抗性增加{0}</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439</v>
      </c>
      <c r="D1866" t="s">
        <v>39</v>
      </c>
      <c r="E1866" t="s">
        <v>410</v>
      </c>
      <c r="G1866">
        <v>2</v>
      </c>
      <c r="H1866">
        <v>1000</v>
      </c>
      <c r="J1866" cm="1">
        <f t="array" ref="J1866">_xlfn.SWITCH(B1866,1,75,2,61,3,49,4,37,5,25,6,13,7,4,8,1)</f>
        <v>1</v>
      </c>
      <c r="K1866" t="str" cm="1">
        <f t="array" ref="K1866">IFERROR(_xlfn.SWITCH(L1866,1,_xlfn.XLOOKUP(C1866,[1]AttributeName!$C:$C,[1]AttributeName!$I:$I),2,_xlfn.XLOOKUP(C1866,[1]ModifierDes!$B:$B,[1]ModifierDes!$C:$C),3,_xlfn.XLOOKUP(C1866,[1]StuntDes!$B:$B,[1]StuntDes!$C:$C)),"")</f>
        <v>冰冷抗性增加{0}</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440</v>
      </c>
      <c r="D1867" t="s">
        <v>39</v>
      </c>
      <c r="E1867" t="s">
        <v>410</v>
      </c>
      <c r="G1867">
        <v>2</v>
      </c>
      <c r="H1867">
        <v>1000</v>
      </c>
      <c r="J1867" cm="1">
        <f t="array" ref="J1867">_xlfn.SWITCH(B1867,1,75,2,61,3,49,4,37,5,25,6,13,7,4,8,1)</f>
        <v>75</v>
      </c>
      <c r="K1867" t="str" cm="1">
        <f t="array" ref="K1867">IFERROR(_xlfn.SWITCH(L1867,1,_xlfn.XLOOKUP(C1867,[1]AttributeName!$C:$C,[1]AttributeName!$I:$I),2,_xlfn.XLOOKUP(C1867,[1]ModifierDes!$B:$B,[1]ModifierDes!$C:$C),3,_xlfn.XLOOKUP(C1867,[1]StuntDes!$B:$B,[1]StuntDes!$C:$C)),"")</f>
        <v>闪电抗性增加{0}</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440</v>
      </c>
      <c r="D1868" t="s">
        <v>39</v>
      </c>
      <c r="E1868" t="s">
        <v>410</v>
      </c>
      <c r="G1868">
        <v>2</v>
      </c>
      <c r="H1868">
        <v>1000</v>
      </c>
      <c r="J1868" cm="1">
        <f t="array" ref="J1868">_xlfn.SWITCH(B1868,1,75,2,61,3,49,4,37,5,25,6,13,7,4,8,1)</f>
        <v>61</v>
      </c>
      <c r="K1868" t="str" cm="1">
        <f t="array" ref="K1868">IFERROR(_xlfn.SWITCH(L1868,1,_xlfn.XLOOKUP(C1868,[1]AttributeName!$C:$C,[1]AttributeName!$I:$I),2,_xlfn.XLOOKUP(C1868,[1]ModifierDes!$B:$B,[1]ModifierDes!$C:$C),3,_xlfn.XLOOKUP(C1868,[1]StuntDes!$B:$B,[1]StuntDes!$C:$C)),"")</f>
        <v>闪电抗性增加{0}</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440</v>
      </c>
      <c r="D1869" t="s">
        <v>39</v>
      </c>
      <c r="E1869" t="s">
        <v>410</v>
      </c>
      <c r="G1869">
        <v>2</v>
      </c>
      <c r="H1869">
        <v>1000</v>
      </c>
      <c r="J1869" cm="1">
        <f t="array" ref="J1869">_xlfn.SWITCH(B1869,1,75,2,61,3,49,4,37,5,25,6,13,7,4,8,1)</f>
        <v>49</v>
      </c>
      <c r="K1869" t="str" cm="1">
        <f t="array" ref="K1869">IFERROR(_xlfn.SWITCH(L1869,1,_xlfn.XLOOKUP(C1869,[1]AttributeName!$C:$C,[1]AttributeName!$I:$I),2,_xlfn.XLOOKUP(C1869,[1]ModifierDes!$B:$B,[1]ModifierDes!$C:$C),3,_xlfn.XLOOKUP(C1869,[1]StuntDes!$B:$B,[1]StuntDes!$C:$C)),"")</f>
        <v>闪电抗性增加{0}</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440</v>
      </c>
      <c r="D1870" t="s">
        <v>39</v>
      </c>
      <c r="E1870" t="s">
        <v>410</v>
      </c>
      <c r="G1870">
        <v>2</v>
      </c>
      <c r="H1870">
        <v>1000</v>
      </c>
      <c r="J1870" cm="1">
        <f t="array" ref="J1870">_xlfn.SWITCH(B1870,1,75,2,61,3,49,4,37,5,25,6,13,7,4,8,1)</f>
        <v>37</v>
      </c>
      <c r="K1870" t="str" cm="1">
        <f t="array" ref="K1870">IFERROR(_xlfn.SWITCH(L1870,1,_xlfn.XLOOKUP(C1870,[1]AttributeName!$C:$C,[1]AttributeName!$I:$I),2,_xlfn.XLOOKUP(C1870,[1]ModifierDes!$B:$B,[1]ModifierDes!$C:$C),3,_xlfn.XLOOKUP(C1870,[1]StuntDes!$B:$B,[1]StuntDes!$C:$C)),"")</f>
        <v>闪电抗性增加{0}</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440</v>
      </c>
      <c r="D1871" t="s">
        <v>39</v>
      </c>
      <c r="E1871" t="s">
        <v>410</v>
      </c>
      <c r="G1871">
        <v>2</v>
      </c>
      <c r="H1871">
        <v>1000</v>
      </c>
      <c r="J1871" cm="1">
        <f t="array" ref="J1871">_xlfn.SWITCH(B1871,1,75,2,61,3,49,4,37,5,25,6,13,7,4,8,1)</f>
        <v>25</v>
      </c>
      <c r="K1871" t="str" cm="1">
        <f t="array" ref="K1871">IFERROR(_xlfn.SWITCH(L1871,1,_xlfn.XLOOKUP(C1871,[1]AttributeName!$C:$C,[1]AttributeName!$I:$I),2,_xlfn.XLOOKUP(C1871,[1]ModifierDes!$B:$B,[1]ModifierDes!$C:$C),3,_xlfn.XLOOKUP(C1871,[1]StuntDes!$B:$B,[1]StuntDes!$C:$C)),"")</f>
        <v>闪电抗性增加{0}</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440</v>
      </c>
      <c r="D1872" t="s">
        <v>39</v>
      </c>
      <c r="E1872" t="s">
        <v>410</v>
      </c>
      <c r="G1872">
        <v>2</v>
      </c>
      <c r="H1872">
        <v>1000</v>
      </c>
      <c r="J1872" cm="1">
        <f t="array" ref="J1872">_xlfn.SWITCH(B1872,1,75,2,61,3,49,4,37,5,25,6,13,7,4,8,1)</f>
        <v>13</v>
      </c>
      <c r="K1872" t="str" cm="1">
        <f t="array" ref="K1872">IFERROR(_xlfn.SWITCH(L1872,1,_xlfn.XLOOKUP(C1872,[1]AttributeName!$C:$C,[1]AttributeName!$I:$I),2,_xlfn.XLOOKUP(C1872,[1]ModifierDes!$B:$B,[1]ModifierDes!$C:$C),3,_xlfn.XLOOKUP(C1872,[1]StuntDes!$B:$B,[1]StuntDes!$C:$C)),"")</f>
        <v>闪电抗性增加{0}</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440</v>
      </c>
      <c r="D1873" t="s">
        <v>39</v>
      </c>
      <c r="E1873" t="s">
        <v>410</v>
      </c>
      <c r="G1873">
        <v>2</v>
      </c>
      <c r="H1873">
        <v>1000</v>
      </c>
      <c r="J1873" cm="1">
        <f t="array" ref="J1873">_xlfn.SWITCH(B1873,1,75,2,61,3,49,4,37,5,25,6,13,7,4,8,1)</f>
        <v>4</v>
      </c>
      <c r="K1873" t="str" cm="1">
        <f t="array" ref="K1873">IFERROR(_xlfn.SWITCH(L1873,1,_xlfn.XLOOKUP(C1873,[1]AttributeName!$C:$C,[1]AttributeName!$I:$I),2,_xlfn.XLOOKUP(C1873,[1]ModifierDes!$B:$B,[1]ModifierDes!$C:$C),3,_xlfn.XLOOKUP(C1873,[1]StuntDes!$B:$B,[1]StuntDes!$C:$C)),"")</f>
        <v>闪电抗性增加{0}</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440</v>
      </c>
      <c r="D1874" t="s">
        <v>39</v>
      </c>
      <c r="E1874" t="s">
        <v>410</v>
      </c>
      <c r="G1874">
        <v>2</v>
      </c>
      <c r="H1874">
        <v>1000</v>
      </c>
      <c r="J1874" cm="1">
        <f t="array" ref="J1874">_xlfn.SWITCH(B1874,1,75,2,61,3,49,4,37,5,25,6,13,7,4,8,1)</f>
        <v>1</v>
      </c>
      <c r="K1874" t="str" cm="1">
        <f t="array" ref="K1874">IFERROR(_xlfn.SWITCH(L1874,1,_xlfn.XLOOKUP(C1874,[1]AttributeName!$C:$C,[1]AttributeName!$I:$I),2,_xlfn.XLOOKUP(C1874,[1]ModifierDes!$B:$B,[1]ModifierDes!$C:$C),3,_xlfn.XLOOKUP(C1874,[1]StuntDes!$B:$B,[1]StuntDes!$C:$C)),"")</f>
        <v>闪电抗性增加{0}</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441</v>
      </c>
      <c r="D1875" t="s">
        <v>39</v>
      </c>
      <c r="E1875" t="s">
        <v>410</v>
      </c>
      <c r="G1875">
        <v>2</v>
      </c>
      <c r="H1875">
        <v>250</v>
      </c>
      <c r="J1875" cm="1">
        <f t="array" ref="J1875">_xlfn.SWITCH(B1875,1,75,2,61,3,49,4,37,5,25,6,13,7,4,8,1)</f>
        <v>75</v>
      </c>
      <c r="K1875" t="str" cm="1">
        <f t="array" ref="K1875">IFERROR(_xlfn.SWITCH(L1875,1,_xlfn.XLOOKUP(C1875,[1]AttributeName!$C:$C,[1]AttributeName!$I:$I),2,_xlfn.XLOOKUP(C1875,[1]ModifierDes!$B:$B,[1]ModifierDes!$C:$C),3,_xlfn.XLOOKUP(C1875,[1]StuntDes!$B:$B,[1]StuntDes!$C:$C)),"")</f>
        <v>混沌抗性增加{0}</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441</v>
      </c>
      <c r="D1876" t="s">
        <v>39</v>
      </c>
      <c r="E1876" t="s">
        <v>410</v>
      </c>
      <c r="G1876">
        <v>2</v>
      </c>
      <c r="H1876">
        <v>250</v>
      </c>
      <c r="J1876" cm="1">
        <f t="array" ref="J1876">_xlfn.SWITCH(B1876,1,75,2,61,3,49,4,37,5,25,6,13,7,4,8,1)</f>
        <v>61</v>
      </c>
      <c r="K1876" t="str" cm="1">
        <f t="array" ref="K1876">IFERROR(_xlfn.SWITCH(L1876,1,_xlfn.XLOOKUP(C1876,[1]AttributeName!$C:$C,[1]AttributeName!$I:$I),2,_xlfn.XLOOKUP(C1876,[1]ModifierDes!$B:$B,[1]ModifierDes!$C:$C),3,_xlfn.XLOOKUP(C1876,[1]StuntDes!$B:$B,[1]StuntDes!$C:$C)),"")</f>
        <v>混沌抗性增加{0}</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441</v>
      </c>
      <c r="D1877" t="s">
        <v>39</v>
      </c>
      <c r="E1877" t="s">
        <v>410</v>
      </c>
      <c r="G1877">
        <v>2</v>
      </c>
      <c r="H1877">
        <v>250</v>
      </c>
      <c r="J1877" cm="1">
        <f t="array" ref="J1877">_xlfn.SWITCH(B1877,1,75,2,61,3,49,4,37,5,25,6,13,7,4,8,1)</f>
        <v>49</v>
      </c>
      <c r="K1877" t="str" cm="1">
        <f t="array" ref="K1877">IFERROR(_xlfn.SWITCH(L1877,1,_xlfn.XLOOKUP(C1877,[1]AttributeName!$C:$C,[1]AttributeName!$I:$I),2,_xlfn.XLOOKUP(C1877,[1]ModifierDes!$B:$B,[1]ModifierDes!$C:$C),3,_xlfn.XLOOKUP(C1877,[1]StuntDes!$B:$B,[1]StuntDes!$C:$C)),"")</f>
        <v>混沌抗性增加{0}</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441</v>
      </c>
      <c r="D1878" t="s">
        <v>39</v>
      </c>
      <c r="E1878" t="s">
        <v>410</v>
      </c>
      <c r="G1878">
        <v>2</v>
      </c>
      <c r="H1878">
        <v>250</v>
      </c>
      <c r="J1878" cm="1">
        <f t="array" ref="J1878">_xlfn.SWITCH(B1878,1,75,2,61,3,49,4,37,5,25,6,13,7,4,8,1)</f>
        <v>37</v>
      </c>
      <c r="K1878" t="str" cm="1">
        <f t="array" ref="K1878">IFERROR(_xlfn.SWITCH(L1878,1,_xlfn.XLOOKUP(C1878,[1]AttributeName!$C:$C,[1]AttributeName!$I:$I),2,_xlfn.XLOOKUP(C1878,[1]ModifierDes!$B:$B,[1]ModifierDes!$C:$C),3,_xlfn.XLOOKUP(C1878,[1]StuntDes!$B:$B,[1]StuntDes!$C:$C)),"")</f>
        <v>混沌抗性增加{0}</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441</v>
      </c>
      <c r="D1879" t="s">
        <v>39</v>
      </c>
      <c r="E1879" t="s">
        <v>410</v>
      </c>
      <c r="G1879">
        <v>2</v>
      </c>
      <c r="H1879">
        <v>250</v>
      </c>
      <c r="J1879" cm="1">
        <f t="array" ref="J1879">_xlfn.SWITCH(B1879,1,75,2,61,3,49,4,37,5,25,6,13,7,4,8,1)</f>
        <v>25</v>
      </c>
      <c r="K1879" t="str" cm="1">
        <f t="array" ref="K1879">IFERROR(_xlfn.SWITCH(L1879,1,_xlfn.XLOOKUP(C1879,[1]AttributeName!$C:$C,[1]AttributeName!$I:$I),2,_xlfn.XLOOKUP(C1879,[1]ModifierDes!$B:$B,[1]ModifierDes!$C:$C),3,_xlfn.XLOOKUP(C1879,[1]StuntDes!$B:$B,[1]StuntDes!$C:$C)),"")</f>
        <v>混沌抗性增加{0}</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441</v>
      </c>
      <c r="D1880" t="s">
        <v>39</v>
      </c>
      <c r="E1880" t="s">
        <v>410</v>
      </c>
      <c r="G1880">
        <v>2</v>
      </c>
      <c r="H1880">
        <v>250</v>
      </c>
      <c r="J1880" cm="1">
        <f t="array" ref="J1880">_xlfn.SWITCH(B1880,1,75,2,61,3,49,4,37,5,25,6,13,7,4,8,1)</f>
        <v>13</v>
      </c>
      <c r="K1880" t="str" cm="1">
        <f t="array" ref="K1880">IFERROR(_xlfn.SWITCH(L1880,1,_xlfn.XLOOKUP(C1880,[1]AttributeName!$C:$C,[1]AttributeName!$I:$I),2,_xlfn.XLOOKUP(C1880,[1]ModifierDes!$B:$B,[1]ModifierDes!$C:$C),3,_xlfn.XLOOKUP(C1880,[1]StuntDes!$B:$B,[1]StuntDes!$C:$C)),"")</f>
        <v>混沌抗性增加{0}</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441</v>
      </c>
      <c r="D1881" t="s">
        <v>39</v>
      </c>
      <c r="E1881" t="s">
        <v>410</v>
      </c>
      <c r="G1881">
        <v>2</v>
      </c>
      <c r="H1881">
        <v>250</v>
      </c>
      <c r="J1881" cm="1">
        <f t="array" ref="J1881">_xlfn.SWITCH(B1881,1,75,2,61,3,49,4,37,5,25,6,13,7,4,8,1)</f>
        <v>4</v>
      </c>
      <c r="K1881" t="str" cm="1">
        <f t="array" ref="K1881">IFERROR(_xlfn.SWITCH(L1881,1,_xlfn.XLOOKUP(C1881,[1]AttributeName!$C:$C,[1]AttributeName!$I:$I),2,_xlfn.XLOOKUP(C1881,[1]ModifierDes!$B:$B,[1]ModifierDes!$C:$C),3,_xlfn.XLOOKUP(C1881,[1]StuntDes!$B:$B,[1]StuntDes!$C:$C)),"")</f>
        <v>混沌抗性增加{0}</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441</v>
      </c>
      <c r="D1882" t="s">
        <v>39</v>
      </c>
      <c r="E1882" t="s">
        <v>410</v>
      </c>
      <c r="G1882">
        <v>2</v>
      </c>
      <c r="H1882">
        <v>250</v>
      </c>
      <c r="J1882" cm="1">
        <f t="array" ref="J1882">_xlfn.SWITCH(B1882,1,75,2,61,3,49,4,37,5,25,6,13,7,4,8,1)</f>
        <v>1</v>
      </c>
      <c r="K1882" t="str" cm="1">
        <f t="array" ref="K1882">IFERROR(_xlfn.SWITCH(L1882,1,_xlfn.XLOOKUP(C1882,[1]AttributeName!$C:$C,[1]AttributeName!$I:$I),2,_xlfn.XLOOKUP(C1882,[1]ModifierDes!$B:$B,[1]ModifierDes!$C:$C),3,_xlfn.XLOOKUP(C1882,[1]StuntDes!$B:$B,[1]StuntDes!$C:$C)),"")</f>
        <v>混沌抗性增加{0}</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452</v>
      </c>
      <c r="D1883" t="s">
        <v>39</v>
      </c>
      <c r="E1883" t="s">
        <v>410</v>
      </c>
      <c r="G1883">
        <v>2</v>
      </c>
      <c r="H1883">
        <v>250</v>
      </c>
      <c r="J1883" cm="1">
        <f t="array" ref="J1883">_xlfn.SWITCH(B1883,1,75,2,61,3,49,4,37,5,25,6,13,7,4,8,1)</f>
        <v>75</v>
      </c>
      <c r="K1883" t="str" cm="1">
        <f t="array" ref="K1883">IFERROR(_xlfn.SWITCH(L1883,1,_xlfn.XLOOKUP(C1883,[1]AttributeName!$C:$C,[1]AttributeName!$I:$I),2,_xlfn.XLOOKUP(C1883,[1]ModifierDes!$B:$B,[1]ModifierDes!$C:$C),3,_xlfn.XLOOKUP(C1883,[1]StuntDes!$B:$B,[1]StuntDes!$C:$C)),"")</f>
        <v>元素抗性增加{0}</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452</v>
      </c>
      <c r="D1884" t="s">
        <v>39</v>
      </c>
      <c r="E1884" t="s">
        <v>410</v>
      </c>
      <c r="G1884">
        <v>2</v>
      </c>
      <c r="H1884">
        <v>250</v>
      </c>
      <c r="J1884" cm="1">
        <f t="array" ref="J1884">_xlfn.SWITCH(B1884,1,75,2,61,3,49,4,37,5,25,6,13,7,4,8,1)</f>
        <v>61</v>
      </c>
      <c r="K1884" t="str" cm="1">
        <f t="array" ref="K1884">IFERROR(_xlfn.SWITCH(L1884,1,_xlfn.XLOOKUP(C1884,[1]AttributeName!$C:$C,[1]AttributeName!$I:$I),2,_xlfn.XLOOKUP(C1884,[1]ModifierDes!$B:$B,[1]ModifierDes!$C:$C),3,_xlfn.XLOOKUP(C1884,[1]StuntDes!$B:$B,[1]StuntDes!$C:$C)),"")</f>
        <v>元素抗性增加{0}</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452</v>
      </c>
      <c r="D1885" t="s">
        <v>39</v>
      </c>
      <c r="E1885" t="s">
        <v>410</v>
      </c>
      <c r="G1885">
        <v>2</v>
      </c>
      <c r="H1885">
        <v>250</v>
      </c>
      <c r="J1885" cm="1">
        <f t="array" ref="J1885">_xlfn.SWITCH(B1885,1,75,2,61,3,49,4,37,5,25,6,13,7,4,8,1)</f>
        <v>49</v>
      </c>
      <c r="K1885" t="str" cm="1">
        <f t="array" ref="K1885">IFERROR(_xlfn.SWITCH(L1885,1,_xlfn.XLOOKUP(C1885,[1]AttributeName!$C:$C,[1]AttributeName!$I:$I),2,_xlfn.XLOOKUP(C1885,[1]ModifierDes!$B:$B,[1]ModifierDes!$C:$C),3,_xlfn.XLOOKUP(C1885,[1]StuntDes!$B:$B,[1]StuntDes!$C:$C)),"")</f>
        <v>元素抗性增加{0}</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452</v>
      </c>
      <c r="D1886" t="s">
        <v>39</v>
      </c>
      <c r="E1886" t="s">
        <v>410</v>
      </c>
      <c r="G1886">
        <v>2</v>
      </c>
      <c r="H1886">
        <v>250</v>
      </c>
      <c r="J1886" cm="1">
        <f t="array" ref="J1886">_xlfn.SWITCH(B1886,1,75,2,61,3,49,4,37,5,25,6,13,7,4,8,1)</f>
        <v>37</v>
      </c>
      <c r="K1886" t="str" cm="1">
        <f t="array" ref="K1886">IFERROR(_xlfn.SWITCH(L1886,1,_xlfn.XLOOKUP(C1886,[1]AttributeName!$C:$C,[1]AttributeName!$I:$I),2,_xlfn.XLOOKUP(C1886,[1]ModifierDes!$B:$B,[1]ModifierDes!$C:$C),3,_xlfn.XLOOKUP(C1886,[1]StuntDes!$B:$B,[1]StuntDes!$C:$C)),"")</f>
        <v>元素抗性增加{0}</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452</v>
      </c>
      <c r="D1887" t="s">
        <v>39</v>
      </c>
      <c r="E1887" t="s">
        <v>410</v>
      </c>
      <c r="G1887">
        <v>2</v>
      </c>
      <c r="H1887">
        <v>250</v>
      </c>
      <c r="J1887" cm="1">
        <f t="array" ref="J1887">_xlfn.SWITCH(B1887,1,75,2,61,3,49,4,37,5,25,6,13,7,4,8,1)</f>
        <v>25</v>
      </c>
      <c r="K1887" t="str" cm="1">
        <f t="array" ref="K1887">IFERROR(_xlfn.SWITCH(L1887,1,_xlfn.XLOOKUP(C1887,[1]AttributeName!$C:$C,[1]AttributeName!$I:$I),2,_xlfn.XLOOKUP(C1887,[1]ModifierDes!$B:$B,[1]ModifierDes!$C:$C),3,_xlfn.XLOOKUP(C1887,[1]StuntDes!$B:$B,[1]StuntDes!$C:$C)),"")</f>
        <v>元素抗性增加{0}</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452</v>
      </c>
      <c r="D1888" t="s">
        <v>39</v>
      </c>
      <c r="E1888" t="s">
        <v>410</v>
      </c>
      <c r="G1888">
        <v>2</v>
      </c>
      <c r="H1888">
        <v>250</v>
      </c>
      <c r="J1888" cm="1">
        <f t="array" ref="J1888">_xlfn.SWITCH(B1888,1,75,2,61,3,49,4,37,5,25,6,13,7,4,8,1)</f>
        <v>13</v>
      </c>
      <c r="K1888" t="str" cm="1">
        <f t="array" ref="K1888">IFERROR(_xlfn.SWITCH(L1888,1,_xlfn.XLOOKUP(C1888,[1]AttributeName!$C:$C,[1]AttributeName!$I:$I),2,_xlfn.XLOOKUP(C1888,[1]ModifierDes!$B:$B,[1]ModifierDes!$C:$C),3,_xlfn.XLOOKUP(C1888,[1]StuntDes!$B:$B,[1]StuntDes!$C:$C)),"")</f>
        <v>元素抗性增加{0}</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452</v>
      </c>
      <c r="D1889" t="s">
        <v>39</v>
      </c>
      <c r="E1889" t="s">
        <v>410</v>
      </c>
      <c r="G1889">
        <v>2</v>
      </c>
      <c r="H1889">
        <v>250</v>
      </c>
      <c r="J1889" cm="1">
        <f t="array" ref="J1889">_xlfn.SWITCH(B1889,1,75,2,61,3,49,4,37,5,25,6,13,7,4,8,1)</f>
        <v>4</v>
      </c>
      <c r="K1889" t="str" cm="1">
        <f t="array" ref="K1889">IFERROR(_xlfn.SWITCH(L1889,1,_xlfn.XLOOKUP(C1889,[1]AttributeName!$C:$C,[1]AttributeName!$I:$I),2,_xlfn.XLOOKUP(C1889,[1]ModifierDes!$B:$B,[1]ModifierDes!$C:$C),3,_xlfn.XLOOKUP(C1889,[1]StuntDes!$B:$B,[1]StuntDes!$C:$C)),"")</f>
        <v>元素抗性增加{0}</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452</v>
      </c>
      <c r="D1890" t="s">
        <v>39</v>
      </c>
      <c r="E1890" t="s">
        <v>410</v>
      </c>
      <c r="G1890">
        <v>2</v>
      </c>
      <c r="H1890">
        <v>250</v>
      </c>
      <c r="J1890" cm="1">
        <f t="array" ref="J1890">_xlfn.SWITCH(B1890,1,75,2,61,3,49,4,37,5,25,6,13,7,4,8,1)</f>
        <v>1</v>
      </c>
      <c r="K1890" t="str" cm="1">
        <f t="array" ref="K1890">IFERROR(_xlfn.SWITCH(L1890,1,_xlfn.XLOOKUP(C1890,[1]AttributeName!$C:$C,[1]AttributeName!$I:$I),2,_xlfn.XLOOKUP(C1890,[1]ModifierDes!$B:$B,[1]ModifierDes!$C:$C),3,_xlfn.XLOOKUP(C1890,[1]StuntDes!$B:$B,[1]StuntDes!$C:$C)),"")</f>
        <v>元素抗性增加{0}</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416</v>
      </c>
      <c r="D1891" t="s">
        <v>39</v>
      </c>
      <c r="E1891" t="s">
        <v>410</v>
      </c>
      <c r="G1891">
        <v>2</v>
      </c>
      <c r="H1891">
        <v>100</v>
      </c>
      <c r="J1891" cm="1">
        <f t="array" ref="J1891">_xlfn.SWITCH(B1891,1,75,2,61,3,49,4,37,5,25,6,13,7,4,8,1)</f>
        <v>75</v>
      </c>
      <c r="K1891" t="str" cm="1">
        <f t="array" ref="K1891">IFERROR(_xlfn.SWITCH(L1891,1,_xlfn.XLOOKUP(C1891,[1]AttributeName!$C:$C,[1]AttributeName!$I:$I),2,_xlfn.XLOOKUP(C1891,[1]ModifierDes!$B:$B,[1]ModifierDes!$C:$C),3,_xlfn.XLOOKUP(C1891,[1]StuntDes!$B:$B,[1]StuntDes!$C:$C)),"")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416</v>
      </c>
      <c r="D1892" t="s">
        <v>39</v>
      </c>
      <c r="E1892" t="s">
        <v>410</v>
      </c>
      <c r="G1892">
        <v>2</v>
      </c>
      <c r="H1892">
        <v>200</v>
      </c>
      <c r="J1892" cm="1">
        <f t="array" ref="J1892">_xlfn.SWITCH(B1892,1,75,2,61,3,49,4,37,5,25,6,13,7,4,8,1)</f>
        <v>61</v>
      </c>
      <c r="K1892" t="str" cm="1">
        <f t="array" ref="K1892">IFERROR(_xlfn.SWITCH(L1892,1,_xlfn.XLOOKUP(C1892,[1]AttributeName!$C:$C,[1]AttributeName!$I:$I),2,_xlfn.XLOOKUP(C1892,[1]ModifierDes!$B:$B,[1]ModifierDes!$C:$C),3,_xlfn.XLOOKUP(C1892,[1]StuntDes!$B:$B,[1]StuntDes!$C:$C)),"")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416</v>
      </c>
      <c r="D1893" t="s">
        <v>39</v>
      </c>
      <c r="E1893" t="s">
        <v>410</v>
      </c>
      <c r="G1893">
        <v>2</v>
      </c>
      <c r="H1893">
        <v>400</v>
      </c>
      <c r="J1893" cm="1">
        <f t="array" ref="J1893">_xlfn.SWITCH(B1893,1,75,2,61,3,49,4,37,5,25,6,13,7,4,8,1)</f>
        <v>49</v>
      </c>
      <c r="K1893" t="str" cm="1">
        <f t="array" ref="K1893">IFERROR(_xlfn.SWITCH(L1893,1,_xlfn.XLOOKUP(C1893,[1]AttributeName!$C:$C,[1]AttributeName!$I:$I),2,_xlfn.XLOOKUP(C1893,[1]ModifierDes!$B:$B,[1]ModifierDes!$C:$C),3,_xlfn.XLOOKUP(C1893,[1]StuntDes!$B:$B,[1]StuntDes!$C:$C)),"")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416</v>
      </c>
      <c r="D1894" t="s">
        <v>39</v>
      </c>
      <c r="E1894" t="s">
        <v>410</v>
      </c>
      <c r="G1894">
        <v>2</v>
      </c>
      <c r="H1894">
        <v>600</v>
      </c>
      <c r="J1894" cm="1">
        <f t="array" ref="J1894">_xlfn.SWITCH(B1894,1,75,2,61,3,49,4,37,5,25,6,13,7,4,8,1)</f>
        <v>37</v>
      </c>
      <c r="K1894" t="str" cm="1">
        <f t="array" ref="K1894">IFERROR(_xlfn.SWITCH(L1894,1,_xlfn.XLOOKUP(C1894,[1]AttributeName!$C:$C,[1]AttributeName!$I:$I),2,_xlfn.XLOOKUP(C1894,[1]ModifierDes!$B:$B,[1]ModifierDes!$C:$C),3,_xlfn.XLOOKUP(C1894,[1]StuntDes!$B:$B,[1]StuntDes!$C:$C)),"")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416</v>
      </c>
      <c r="D1895" t="s">
        <v>39</v>
      </c>
      <c r="E1895" t="s">
        <v>410</v>
      </c>
      <c r="G1895">
        <v>2</v>
      </c>
      <c r="H1895">
        <v>800</v>
      </c>
      <c r="J1895" cm="1">
        <f t="array" ref="J1895">_xlfn.SWITCH(B1895,1,75,2,61,3,49,4,37,5,25,6,13,7,4,8,1)</f>
        <v>25</v>
      </c>
      <c r="K1895" t="str" cm="1">
        <f t="array" ref="K1895">IFERROR(_xlfn.SWITCH(L1895,1,_xlfn.XLOOKUP(C1895,[1]AttributeName!$C:$C,[1]AttributeName!$I:$I),2,_xlfn.XLOOKUP(C1895,[1]ModifierDes!$B:$B,[1]ModifierDes!$C:$C),3,_xlfn.XLOOKUP(C1895,[1]StuntDes!$B:$B,[1]StuntDes!$C:$C)),"")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416</v>
      </c>
      <c r="D1896" t="s">
        <v>39</v>
      </c>
      <c r="E1896" t="s">
        <v>410</v>
      </c>
      <c r="G1896">
        <v>2</v>
      </c>
      <c r="H1896">
        <v>1000</v>
      </c>
      <c r="J1896" cm="1">
        <f t="array" ref="J1896">_xlfn.SWITCH(B1896,1,75,2,61,3,49,4,37,5,25,6,13,7,4,8,1)</f>
        <v>13</v>
      </c>
      <c r="K1896" t="str" cm="1">
        <f t="array" ref="K1896">IFERROR(_xlfn.SWITCH(L1896,1,_xlfn.XLOOKUP(C1896,[1]AttributeName!$C:$C,[1]AttributeName!$I:$I),2,_xlfn.XLOOKUP(C1896,[1]ModifierDes!$B:$B,[1]ModifierDes!$C:$C),3,_xlfn.XLOOKUP(C1896,[1]StuntDes!$B:$B,[1]StuntDes!$C:$C)),"")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416</v>
      </c>
      <c r="D1897" t="s">
        <v>39</v>
      </c>
      <c r="E1897" t="s">
        <v>410</v>
      </c>
      <c r="G1897">
        <v>2</v>
      </c>
      <c r="H1897">
        <v>1000</v>
      </c>
      <c r="J1897" cm="1">
        <f t="array" ref="J1897">_xlfn.SWITCH(B1897,1,75,2,61,3,49,4,37,5,25,6,13,7,4,8,1)</f>
        <v>4</v>
      </c>
      <c r="K1897" t="str" cm="1">
        <f t="array" ref="K1897">IFERROR(_xlfn.SWITCH(L1897,1,_xlfn.XLOOKUP(C1897,[1]AttributeName!$C:$C,[1]AttributeName!$I:$I),2,_xlfn.XLOOKUP(C1897,[1]ModifierDes!$B:$B,[1]ModifierDes!$C:$C),3,_xlfn.XLOOKUP(C1897,[1]StuntDes!$B:$B,[1]StuntDes!$C:$C)),"")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416</v>
      </c>
      <c r="D1898" t="s">
        <v>39</v>
      </c>
      <c r="E1898" t="s">
        <v>410</v>
      </c>
      <c r="G1898">
        <v>2</v>
      </c>
      <c r="H1898">
        <v>1000</v>
      </c>
      <c r="J1898" cm="1">
        <f t="array" ref="J1898">_xlfn.SWITCH(B1898,1,75,2,61,3,49,4,37,5,25,6,13,7,4,8,1)</f>
        <v>1</v>
      </c>
      <c r="K1898" t="str" cm="1">
        <f t="array" ref="K1898">IFERROR(_xlfn.SWITCH(L1898,1,_xlfn.XLOOKUP(C1898,[1]AttributeName!$C:$C,[1]AttributeName!$I:$I),2,_xlfn.XLOOKUP(C1898,[1]ModifierDes!$B:$B,[1]ModifierDes!$C:$C),3,_xlfn.XLOOKUP(C1898,[1]StuntDes!$B:$B,[1]StuntDes!$C:$C)),"")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442</v>
      </c>
      <c r="D1899" t="s">
        <v>39</v>
      </c>
      <c r="E1899" t="s">
        <v>410</v>
      </c>
      <c r="G1899">
        <v>2</v>
      </c>
      <c r="H1899">
        <v>100</v>
      </c>
      <c r="J1899" cm="1">
        <f t="array" ref="J1899">_xlfn.SWITCH(B1899,1,75,2,61,3,49,4,37,5,25,6,13,7,4,8,1)</f>
        <v>75</v>
      </c>
      <c r="K1899" t="str" cm="1">
        <f t="array" ref="K1899">IFERROR(_xlfn.SWITCH(L1899,1,_xlfn.XLOOKUP(C1899,[1]AttributeName!$C:$C,[1]AttributeName!$I:$I),2,_xlfn.XLOOKUP(C1899,[1]ModifierDes!$B:$B,[1]ModifierDes!$C:$C),3,_xlfn.XLOOKUP(C1899,[1]StuntDes!$B:$B,[1]StuntDes!$C:$C)),"")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442</v>
      </c>
      <c r="D1900" t="s">
        <v>39</v>
      </c>
      <c r="E1900" t="s">
        <v>410</v>
      </c>
      <c r="G1900">
        <v>2</v>
      </c>
      <c r="H1900">
        <v>200</v>
      </c>
      <c r="J1900" cm="1">
        <f t="array" ref="J1900">_xlfn.SWITCH(B1900,1,75,2,61,3,49,4,37,5,25,6,13,7,4,8,1)</f>
        <v>61</v>
      </c>
      <c r="K1900" t="str" cm="1">
        <f t="array" ref="K1900">IFERROR(_xlfn.SWITCH(L1900,1,_xlfn.XLOOKUP(C1900,[1]AttributeName!$C:$C,[1]AttributeName!$I:$I),2,_xlfn.XLOOKUP(C1900,[1]ModifierDes!$B:$B,[1]ModifierDes!$C:$C),3,_xlfn.XLOOKUP(C1900,[1]StuntDes!$B:$B,[1]StuntDes!$C:$C)),"")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442</v>
      </c>
      <c r="D1901" t="s">
        <v>39</v>
      </c>
      <c r="E1901" t="s">
        <v>410</v>
      </c>
      <c r="G1901">
        <v>2</v>
      </c>
      <c r="H1901">
        <v>400</v>
      </c>
      <c r="J1901" cm="1">
        <f t="array" ref="J1901">_xlfn.SWITCH(B1901,1,75,2,61,3,49,4,37,5,25,6,13,7,4,8,1)</f>
        <v>49</v>
      </c>
      <c r="K1901" t="str" cm="1">
        <f t="array" ref="K1901">IFERROR(_xlfn.SWITCH(L1901,1,_xlfn.XLOOKUP(C1901,[1]AttributeName!$C:$C,[1]AttributeName!$I:$I),2,_xlfn.XLOOKUP(C1901,[1]ModifierDes!$B:$B,[1]ModifierDes!$C:$C),3,_xlfn.XLOOKUP(C1901,[1]StuntDes!$B:$B,[1]StuntDes!$C:$C)),"")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442</v>
      </c>
      <c r="D1902" t="s">
        <v>39</v>
      </c>
      <c r="E1902" t="s">
        <v>410</v>
      </c>
      <c r="G1902">
        <v>2</v>
      </c>
      <c r="H1902">
        <v>600</v>
      </c>
      <c r="J1902" cm="1">
        <f t="array" ref="J1902">_xlfn.SWITCH(B1902,1,75,2,61,3,49,4,37,5,25,6,13,7,4,8,1)</f>
        <v>37</v>
      </c>
      <c r="K1902" t="str" cm="1">
        <f t="array" ref="K1902">IFERROR(_xlfn.SWITCH(L1902,1,_xlfn.XLOOKUP(C1902,[1]AttributeName!$C:$C,[1]AttributeName!$I:$I),2,_xlfn.XLOOKUP(C1902,[1]ModifierDes!$B:$B,[1]ModifierDes!$C:$C),3,_xlfn.XLOOKUP(C1902,[1]StuntDes!$B:$B,[1]StuntDes!$C:$C)),"")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442</v>
      </c>
      <c r="D1903" t="s">
        <v>39</v>
      </c>
      <c r="E1903" t="s">
        <v>410</v>
      </c>
      <c r="G1903">
        <v>2</v>
      </c>
      <c r="H1903">
        <v>800</v>
      </c>
      <c r="J1903" cm="1">
        <f t="array" ref="J1903">_xlfn.SWITCH(B1903,1,75,2,61,3,49,4,37,5,25,6,13,7,4,8,1)</f>
        <v>25</v>
      </c>
      <c r="K1903" t="str" cm="1">
        <f t="array" ref="K1903">IFERROR(_xlfn.SWITCH(L1903,1,_xlfn.XLOOKUP(C1903,[1]AttributeName!$C:$C,[1]AttributeName!$I:$I),2,_xlfn.XLOOKUP(C1903,[1]ModifierDes!$B:$B,[1]ModifierDes!$C:$C),3,_xlfn.XLOOKUP(C1903,[1]StuntDes!$B:$B,[1]StuntDes!$C:$C)),"")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442</v>
      </c>
      <c r="D1904" t="s">
        <v>39</v>
      </c>
      <c r="E1904" t="s">
        <v>410</v>
      </c>
      <c r="G1904">
        <v>2</v>
      </c>
      <c r="H1904">
        <v>1000</v>
      </c>
      <c r="J1904" cm="1">
        <f t="array" ref="J1904">_xlfn.SWITCH(B1904,1,75,2,61,3,49,4,37,5,25,6,13,7,4,8,1)</f>
        <v>13</v>
      </c>
      <c r="K1904" t="str" cm="1">
        <f t="array" ref="K1904">IFERROR(_xlfn.SWITCH(L1904,1,_xlfn.XLOOKUP(C1904,[1]AttributeName!$C:$C,[1]AttributeName!$I:$I),2,_xlfn.XLOOKUP(C1904,[1]ModifierDes!$B:$B,[1]ModifierDes!$C:$C),3,_xlfn.XLOOKUP(C1904,[1]StuntDes!$B:$B,[1]StuntDes!$C:$C)),"")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442</v>
      </c>
      <c r="D1905" t="s">
        <v>39</v>
      </c>
      <c r="E1905" t="s">
        <v>410</v>
      </c>
      <c r="G1905">
        <v>2</v>
      </c>
      <c r="H1905">
        <v>1000</v>
      </c>
      <c r="J1905" cm="1">
        <f t="array" ref="J1905">_xlfn.SWITCH(B1905,1,75,2,61,3,49,4,37,5,25,6,13,7,4,8,1)</f>
        <v>4</v>
      </c>
      <c r="K1905" t="str" cm="1">
        <f t="array" ref="K1905">IFERROR(_xlfn.SWITCH(L1905,1,_xlfn.XLOOKUP(C1905,[1]AttributeName!$C:$C,[1]AttributeName!$I:$I),2,_xlfn.XLOOKUP(C1905,[1]ModifierDes!$B:$B,[1]ModifierDes!$C:$C),3,_xlfn.XLOOKUP(C1905,[1]StuntDes!$B:$B,[1]StuntDes!$C:$C)),"")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442</v>
      </c>
      <c r="D1906" t="s">
        <v>39</v>
      </c>
      <c r="E1906" t="s">
        <v>410</v>
      </c>
      <c r="G1906">
        <v>2</v>
      </c>
      <c r="H1906">
        <v>1000</v>
      </c>
      <c r="J1906" cm="1">
        <f t="array" ref="J1906">_xlfn.SWITCH(B1906,1,75,2,61,3,49,4,37,5,25,6,13,7,4,8,1)</f>
        <v>1</v>
      </c>
      <c r="K1906" t="str" cm="1">
        <f t="array" ref="K1906">IFERROR(_xlfn.SWITCH(L1906,1,_xlfn.XLOOKUP(C1906,[1]AttributeName!$C:$C,[1]AttributeName!$I:$I),2,_xlfn.XLOOKUP(C1906,[1]ModifierDes!$B:$B,[1]ModifierDes!$C:$C),3,_xlfn.XLOOKUP(C1906,[1]StuntDes!$B:$B,[1]StuntDes!$C:$C)),"")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453</v>
      </c>
      <c r="D1907" t="s">
        <v>39</v>
      </c>
      <c r="E1907" t="s">
        <v>410</v>
      </c>
      <c r="G1907">
        <v>2</v>
      </c>
      <c r="H1907">
        <v>100</v>
      </c>
      <c r="J1907" cm="1">
        <f t="array" ref="J1907">_xlfn.SWITCH(B1907,1,75,2,61,3,49,4,37,5,25,6,13,7,4,8,1)</f>
        <v>75</v>
      </c>
      <c r="K1907" t="str" cm="1">
        <f t="array" ref="K1907">IFERROR(_xlfn.SWITCH(L1907,1,_xlfn.XLOOKUP(C1907,[1]AttributeName!$C:$C,[1]AttributeName!$I:$I),2,_xlfn.XLOOKUP(C1907,[1]ModifierDes!$B:$B,[1]ModifierDes!$C:$C),3,_xlfn.XLOOKUP(C1907,[1]StuntDes!$B:$B,[1]StuntDes!$C:$C)),"")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453</v>
      </c>
      <c r="D1908" t="s">
        <v>39</v>
      </c>
      <c r="E1908" t="s">
        <v>410</v>
      </c>
      <c r="G1908">
        <v>2</v>
      </c>
      <c r="H1908">
        <v>200</v>
      </c>
      <c r="J1908" cm="1">
        <f t="array" ref="J1908">_xlfn.SWITCH(B1908,1,75,2,61,3,49,4,37,5,25,6,13,7,4,8,1)</f>
        <v>61</v>
      </c>
      <c r="K1908" t="str" cm="1">
        <f t="array" ref="K1908">IFERROR(_xlfn.SWITCH(L1908,1,_xlfn.XLOOKUP(C1908,[1]AttributeName!$C:$C,[1]AttributeName!$I:$I),2,_xlfn.XLOOKUP(C1908,[1]ModifierDes!$B:$B,[1]ModifierDes!$C:$C),3,_xlfn.XLOOKUP(C1908,[1]StuntDes!$B:$B,[1]StuntDes!$C:$C)),"")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453</v>
      </c>
      <c r="D1909" t="s">
        <v>39</v>
      </c>
      <c r="E1909" t="s">
        <v>410</v>
      </c>
      <c r="G1909">
        <v>2</v>
      </c>
      <c r="H1909">
        <v>400</v>
      </c>
      <c r="J1909" cm="1">
        <f t="array" ref="J1909">_xlfn.SWITCH(B1909,1,75,2,61,3,49,4,37,5,25,6,13,7,4,8,1)</f>
        <v>49</v>
      </c>
      <c r="K1909" t="str" cm="1">
        <f t="array" ref="K1909">IFERROR(_xlfn.SWITCH(L1909,1,_xlfn.XLOOKUP(C1909,[1]AttributeName!$C:$C,[1]AttributeName!$I:$I),2,_xlfn.XLOOKUP(C1909,[1]ModifierDes!$B:$B,[1]ModifierDes!$C:$C),3,_xlfn.XLOOKUP(C1909,[1]StuntDes!$B:$B,[1]StuntDes!$C:$C)),"")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453</v>
      </c>
      <c r="D1910" t="s">
        <v>39</v>
      </c>
      <c r="E1910" t="s">
        <v>410</v>
      </c>
      <c r="G1910">
        <v>2</v>
      </c>
      <c r="H1910">
        <v>600</v>
      </c>
      <c r="J1910" cm="1">
        <f t="array" ref="J1910">_xlfn.SWITCH(B1910,1,75,2,61,3,49,4,37,5,25,6,13,7,4,8,1)</f>
        <v>37</v>
      </c>
      <c r="K1910" t="str" cm="1">
        <f t="array" ref="K1910">IFERROR(_xlfn.SWITCH(L1910,1,_xlfn.XLOOKUP(C1910,[1]AttributeName!$C:$C,[1]AttributeName!$I:$I),2,_xlfn.XLOOKUP(C1910,[1]ModifierDes!$B:$B,[1]ModifierDes!$C:$C),3,_xlfn.XLOOKUP(C1910,[1]StuntDes!$B:$B,[1]StuntDes!$C:$C)),"")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453</v>
      </c>
      <c r="D1911" t="s">
        <v>39</v>
      </c>
      <c r="E1911" t="s">
        <v>410</v>
      </c>
      <c r="G1911">
        <v>2</v>
      </c>
      <c r="H1911">
        <v>800</v>
      </c>
      <c r="J1911" cm="1">
        <f t="array" ref="J1911">_xlfn.SWITCH(B1911,1,75,2,61,3,49,4,37,5,25,6,13,7,4,8,1)</f>
        <v>25</v>
      </c>
      <c r="K1911" t="str" cm="1">
        <f t="array" ref="K1911">IFERROR(_xlfn.SWITCH(L1911,1,_xlfn.XLOOKUP(C1911,[1]AttributeName!$C:$C,[1]AttributeName!$I:$I),2,_xlfn.XLOOKUP(C1911,[1]ModifierDes!$B:$B,[1]ModifierDes!$C:$C),3,_xlfn.XLOOKUP(C1911,[1]StuntDes!$B:$B,[1]StuntDes!$C:$C)),"")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453</v>
      </c>
      <c r="D1912" t="s">
        <v>39</v>
      </c>
      <c r="E1912" t="s">
        <v>410</v>
      </c>
      <c r="G1912">
        <v>2</v>
      </c>
      <c r="H1912">
        <v>1000</v>
      </c>
      <c r="J1912" cm="1">
        <f t="array" ref="J1912">_xlfn.SWITCH(B1912,1,75,2,61,3,49,4,37,5,25,6,13,7,4,8,1)</f>
        <v>13</v>
      </c>
      <c r="K1912" t="str" cm="1">
        <f t="array" ref="K1912">IFERROR(_xlfn.SWITCH(L1912,1,_xlfn.XLOOKUP(C1912,[1]AttributeName!$C:$C,[1]AttributeName!$I:$I),2,_xlfn.XLOOKUP(C1912,[1]ModifierDes!$B:$B,[1]ModifierDes!$C:$C),3,_xlfn.XLOOKUP(C1912,[1]StuntDes!$B:$B,[1]StuntDes!$C:$C)),"")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453</v>
      </c>
      <c r="D1913" t="s">
        <v>39</v>
      </c>
      <c r="E1913" t="s">
        <v>410</v>
      </c>
      <c r="G1913">
        <v>2</v>
      </c>
      <c r="H1913">
        <v>1000</v>
      </c>
      <c r="J1913" cm="1">
        <f t="array" ref="J1913">_xlfn.SWITCH(B1913,1,75,2,61,3,49,4,37,5,25,6,13,7,4,8,1)</f>
        <v>4</v>
      </c>
      <c r="K1913" t="str" cm="1">
        <f t="array" ref="K1913">IFERROR(_xlfn.SWITCH(L1913,1,_xlfn.XLOOKUP(C1913,[1]AttributeName!$C:$C,[1]AttributeName!$I:$I),2,_xlfn.XLOOKUP(C1913,[1]ModifierDes!$B:$B,[1]ModifierDes!$C:$C),3,_xlfn.XLOOKUP(C1913,[1]StuntDes!$B:$B,[1]StuntDes!$C:$C)),"")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453</v>
      </c>
      <c r="D1914" t="s">
        <v>39</v>
      </c>
      <c r="E1914" t="s">
        <v>410</v>
      </c>
      <c r="G1914">
        <v>2</v>
      </c>
      <c r="H1914">
        <v>1000</v>
      </c>
      <c r="J1914" cm="1">
        <f t="array" ref="J1914">_xlfn.SWITCH(B1914,1,75,2,61,3,49,4,37,5,25,6,13,7,4,8,1)</f>
        <v>1</v>
      </c>
      <c r="K1914" t="str" cm="1">
        <f t="array" ref="K1914">IFERROR(_xlfn.SWITCH(L1914,1,_xlfn.XLOOKUP(C1914,[1]AttributeName!$C:$C,[1]AttributeName!$I:$I),2,_xlfn.XLOOKUP(C1914,[1]ModifierDes!$B:$B,[1]ModifierDes!$C:$C),3,_xlfn.XLOOKUP(C1914,[1]StuntDes!$B:$B,[1]StuntDes!$C:$C)),"")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454</v>
      </c>
      <c r="D1915" t="s">
        <v>39</v>
      </c>
      <c r="E1915" t="s">
        <v>410</v>
      </c>
      <c r="G1915">
        <v>2</v>
      </c>
      <c r="H1915">
        <v>100</v>
      </c>
      <c r="J1915" cm="1">
        <f t="array" ref="J1915">_xlfn.SWITCH(B1915,1,75,2,61,3,49,4,37,5,25,6,13,7,4,8,1)</f>
        <v>75</v>
      </c>
      <c r="K1915" t="str" cm="1">
        <f t="array" ref="K1915">IFERROR(_xlfn.SWITCH(L1915,1,_xlfn.XLOOKUP(C1915,[1]AttributeName!$C:$C,[1]AttributeName!$I:$I),2,_xlfn.XLOOKUP(C1915,[1]ModifierDes!$B:$B,[1]ModifierDes!$C:$C),3,_xlfn.XLOOKUP(C1915,[1]StuntDes!$B:$B,[1]StuntDes!$C:$C)),"")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454</v>
      </c>
      <c r="D1916" t="s">
        <v>39</v>
      </c>
      <c r="E1916" t="s">
        <v>410</v>
      </c>
      <c r="G1916">
        <v>2</v>
      </c>
      <c r="H1916">
        <v>200</v>
      </c>
      <c r="J1916" cm="1">
        <f t="array" ref="J1916">_xlfn.SWITCH(B1916,1,75,2,61,3,49,4,37,5,25,6,13,7,4,8,1)</f>
        <v>61</v>
      </c>
      <c r="K1916" t="str" cm="1">
        <f t="array" ref="K1916">IFERROR(_xlfn.SWITCH(L1916,1,_xlfn.XLOOKUP(C1916,[1]AttributeName!$C:$C,[1]AttributeName!$I:$I),2,_xlfn.XLOOKUP(C1916,[1]ModifierDes!$B:$B,[1]ModifierDes!$C:$C),3,_xlfn.XLOOKUP(C1916,[1]StuntDes!$B:$B,[1]StuntDes!$C:$C)),"")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454</v>
      </c>
      <c r="D1917" t="s">
        <v>39</v>
      </c>
      <c r="E1917" t="s">
        <v>410</v>
      </c>
      <c r="G1917">
        <v>2</v>
      </c>
      <c r="H1917">
        <v>400</v>
      </c>
      <c r="J1917" cm="1">
        <f t="array" ref="J1917">_xlfn.SWITCH(B1917,1,75,2,61,3,49,4,37,5,25,6,13,7,4,8,1)</f>
        <v>49</v>
      </c>
      <c r="K1917" t="str" cm="1">
        <f t="array" ref="K1917">IFERROR(_xlfn.SWITCH(L1917,1,_xlfn.XLOOKUP(C1917,[1]AttributeName!$C:$C,[1]AttributeName!$I:$I),2,_xlfn.XLOOKUP(C1917,[1]ModifierDes!$B:$B,[1]ModifierDes!$C:$C),3,_xlfn.XLOOKUP(C1917,[1]StuntDes!$B:$B,[1]StuntDes!$C:$C)),"")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454</v>
      </c>
      <c r="D1918" t="s">
        <v>39</v>
      </c>
      <c r="E1918" t="s">
        <v>410</v>
      </c>
      <c r="G1918">
        <v>2</v>
      </c>
      <c r="H1918">
        <v>600</v>
      </c>
      <c r="J1918" cm="1">
        <f t="array" ref="J1918">_xlfn.SWITCH(B1918,1,75,2,61,3,49,4,37,5,25,6,13,7,4,8,1)</f>
        <v>37</v>
      </c>
      <c r="K1918" t="str" cm="1">
        <f t="array" ref="K1918">IFERROR(_xlfn.SWITCH(L1918,1,_xlfn.XLOOKUP(C1918,[1]AttributeName!$C:$C,[1]AttributeName!$I:$I),2,_xlfn.XLOOKUP(C1918,[1]ModifierDes!$B:$B,[1]ModifierDes!$C:$C),3,_xlfn.XLOOKUP(C1918,[1]StuntDes!$B:$B,[1]StuntDes!$C:$C)),"")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454</v>
      </c>
      <c r="D1919" t="s">
        <v>39</v>
      </c>
      <c r="E1919" t="s">
        <v>410</v>
      </c>
      <c r="G1919">
        <v>2</v>
      </c>
      <c r="H1919">
        <v>800</v>
      </c>
      <c r="J1919" cm="1">
        <f t="array" ref="J1919">_xlfn.SWITCH(B1919,1,75,2,61,3,49,4,37,5,25,6,13,7,4,8,1)</f>
        <v>25</v>
      </c>
      <c r="K1919" t="str" cm="1">
        <f t="array" ref="K1919">IFERROR(_xlfn.SWITCH(L1919,1,_xlfn.XLOOKUP(C1919,[1]AttributeName!$C:$C,[1]AttributeName!$I:$I),2,_xlfn.XLOOKUP(C1919,[1]ModifierDes!$B:$B,[1]ModifierDes!$C:$C),3,_xlfn.XLOOKUP(C1919,[1]StuntDes!$B:$B,[1]StuntDes!$C:$C)),"")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454</v>
      </c>
      <c r="D1920" t="s">
        <v>39</v>
      </c>
      <c r="E1920" t="s">
        <v>410</v>
      </c>
      <c r="G1920">
        <v>2</v>
      </c>
      <c r="H1920">
        <v>1000</v>
      </c>
      <c r="J1920" cm="1">
        <f t="array" ref="J1920">_xlfn.SWITCH(B1920,1,75,2,61,3,49,4,37,5,25,6,13,7,4,8,1)</f>
        <v>13</v>
      </c>
      <c r="K1920" t="str" cm="1">
        <f t="array" ref="K1920">IFERROR(_xlfn.SWITCH(L1920,1,_xlfn.XLOOKUP(C1920,[1]AttributeName!$C:$C,[1]AttributeName!$I:$I),2,_xlfn.XLOOKUP(C1920,[1]ModifierDes!$B:$B,[1]ModifierDes!$C:$C),3,_xlfn.XLOOKUP(C1920,[1]StuntDes!$B:$B,[1]StuntDes!$C:$C)),"")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454</v>
      </c>
      <c r="D1921" t="s">
        <v>39</v>
      </c>
      <c r="E1921" t="s">
        <v>410</v>
      </c>
      <c r="G1921">
        <v>2</v>
      </c>
      <c r="H1921">
        <v>1000</v>
      </c>
      <c r="J1921" cm="1">
        <f t="array" ref="J1921">_xlfn.SWITCH(B1921,1,75,2,61,3,49,4,37,5,25,6,13,7,4,8,1)</f>
        <v>4</v>
      </c>
      <c r="K1921" t="str" cm="1">
        <f t="array" ref="K1921">IFERROR(_xlfn.SWITCH(L1921,1,_xlfn.XLOOKUP(C1921,[1]AttributeName!$C:$C,[1]AttributeName!$I:$I),2,_xlfn.XLOOKUP(C1921,[1]ModifierDes!$B:$B,[1]ModifierDes!$C:$C),3,_xlfn.XLOOKUP(C1921,[1]StuntDes!$B:$B,[1]StuntDes!$C:$C)),"")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454</v>
      </c>
      <c r="D1922" t="s">
        <v>39</v>
      </c>
      <c r="E1922" t="s">
        <v>410</v>
      </c>
      <c r="G1922">
        <v>2</v>
      </c>
      <c r="H1922">
        <v>1000</v>
      </c>
      <c r="J1922" cm="1">
        <f t="array" ref="J1922">_xlfn.SWITCH(B1922,1,75,2,61,3,49,4,37,5,25,6,13,7,4,8,1)</f>
        <v>1</v>
      </c>
      <c r="K1922" t="str" cm="1">
        <f t="array" ref="K1922">IFERROR(_xlfn.SWITCH(L1922,1,_xlfn.XLOOKUP(C1922,[1]AttributeName!$C:$C,[1]AttributeName!$I:$I),2,_xlfn.XLOOKUP(C1922,[1]ModifierDes!$B:$B,[1]ModifierDes!$C:$C),3,_xlfn.XLOOKUP(C1922,[1]StuntDes!$B:$B,[1]StuntDes!$C:$C)),"")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418</v>
      </c>
      <c r="D1923" t="s">
        <v>39</v>
      </c>
      <c r="E1923" t="s">
        <v>410</v>
      </c>
      <c r="G1923">
        <v>2</v>
      </c>
      <c r="H1923">
        <v>100</v>
      </c>
      <c r="J1923" cm="1">
        <f t="array" ref="J1923">_xlfn.SWITCH(B1923,1,75,2,61,3,49,4,37,5,25,6,13,7,4,8,1)</f>
        <v>75</v>
      </c>
      <c r="K1923" t="str" cm="1">
        <f t="array" ref="K1923">IFERROR(_xlfn.SWITCH(L1923,1,_xlfn.XLOOKUP(C1923,[1]AttributeName!$C:$C,[1]AttributeName!$I:$I),2,_xlfn.XLOOKUP(C1923,[1]ModifierDes!$B:$B,[1]ModifierDes!$C:$C),3,_xlfn.XLOOKUP(C1923,[1]StuntDes!$B:$B,[1]StuntDes!$C:$C)),"")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418</v>
      </c>
      <c r="D1924" t="s">
        <v>39</v>
      </c>
      <c r="E1924" t="s">
        <v>410</v>
      </c>
      <c r="G1924">
        <v>2</v>
      </c>
      <c r="H1924">
        <v>200</v>
      </c>
      <c r="J1924" cm="1">
        <f t="array" ref="J1924">_xlfn.SWITCH(B1924,1,75,2,61,3,49,4,37,5,25,6,13,7,4,8,1)</f>
        <v>61</v>
      </c>
      <c r="K1924" t="str" cm="1">
        <f t="array" ref="K1924">IFERROR(_xlfn.SWITCH(L1924,1,_xlfn.XLOOKUP(C1924,[1]AttributeName!$C:$C,[1]AttributeName!$I:$I),2,_xlfn.XLOOKUP(C1924,[1]ModifierDes!$B:$B,[1]ModifierDes!$C:$C),3,_xlfn.XLOOKUP(C1924,[1]StuntDes!$B:$B,[1]StuntDes!$C:$C)),"")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418</v>
      </c>
      <c r="D1925" t="s">
        <v>39</v>
      </c>
      <c r="E1925" t="s">
        <v>410</v>
      </c>
      <c r="G1925">
        <v>2</v>
      </c>
      <c r="H1925">
        <v>400</v>
      </c>
      <c r="J1925" cm="1">
        <f t="array" ref="J1925">_xlfn.SWITCH(B1925,1,75,2,61,3,49,4,37,5,25,6,13,7,4,8,1)</f>
        <v>49</v>
      </c>
      <c r="K1925" t="str" cm="1">
        <f t="array" ref="K1925">IFERROR(_xlfn.SWITCH(L1925,1,_xlfn.XLOOKUP(C1925,[1]AttributeName!$C:$C,[1]AttributeName!$I:$I),2,_xlfn.XLOOKUP(C1925,[1]ModifierDes!$B:$B,[1]ModifierDes!$C:$C),3,_xlfn.XLOOKUP(C1925,[1]StuntDes!$B:$B,[1]StuntDes!$C:$C)),"")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418</v>
      </c>
      <c r="D1926" t="s">
        <v>39</v>
      </c>
      <c r="E1926" t="s">
        <v>410</v>
      </c>
      <c r="G1926">
        <v>2</v>
      </c>
      <c r="H1926">
        <v>600</v>
      </c>
      <c r="J1926" cm="1">
        <f t="array" ref="J1926">_xlfn.SWITCH(B1926,1,75,2,61,3,49,4,37,5,25,6,13,7,4,8,1)</f>
        <v>37</v>
      </c>
      <c r="K1926" t="str" cm="1">
        <f t="array" ref="K1926">IFERROR(_xlfn.SWITCH(L1926,1,_xlfn.XLOOKUP(C1926,[1]AttributeName!$C:$C,[1]AttributeName!$I:$I),2,_xlfn.XLOOKUP(C1926,[1]ModifierDes!$B:$B,[1]ModifierDes!$C:$C),3,_xlfn.XLOOKUP(C1926,[1]StuntDes!$B:$B,[1]StuntDes!$C:$C)),"")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418</v>
      </c>
      <c r="D1927" t="s">
        <v>39</v>
      </c>
      <c r="E1927" t="s">
        <v>410</v>
      </c>
      <c r="G1927">
        <v>2</v>
      </c>
      <c r="H1927">
        <v>800</v>
      </c>
      <c r="J1927" cm="1">
        <f t="array" ref="J1927">_xlfn.SWITCH(B1927,1,75,2,61,3,49,4,37,5,25,6,13,7,4,8,1)</f>
        <v>25</v>
      </c>
      <c r="K1927" t="str" cm="1">
        <f t="array" ref="K1927">IFERROR(_xlfn.SWITCH(L1927,1,_xlfn.XLOOKUP(C1927,[1]AttributeName!$C:$C,[1]AttributeName!$I:$I),2,_xlfn.XLOOKUP(C1927,[1]ModifierDes!$B:$B,[1]ModifierDes!$C:$C),3,_xlfn.XLOOKUP(C1927,[1]StuntDes!$B:$B,[1]StuntDes!$C:$C)),"")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418</v>
      </c>
      <c r="D1928" t="s">
        <v>39</v>
      </c>
      <c r="E1928" t="s">
        <v>410</v>
      </c>
      <c r="G1928">
        <v>2</v>
      </c>
      <c r="H1928">
        <v>1000</v>
      </c>
      <c r="J1928" cm="1">
        <f t="array" ref="J1928">_xlfn.SWITCH(B1928,1,75,2,61,3,49,4,37,5,25,6,13,7,4,8,1)</f>
        <v>13</v>
      </c>
      <c r="K1928" t="str" cm="1">
        <f t="array" ref="K1928">IFERROR(_xlfn.SWITCH(L1928,1,_xlfn.XLOOKUP(C1928,[1]AttributeName!$C:$C,[1]AttributeName!$I:$I),2,_xlfn.XLOOKUP(C1928,[1]ModifierDes!$B:$B,[1]ModifierDes!$C:$C),3,_xlfn.XLOOKUP(C1928,[1]StuntDes!$B:$B,[1]StuntDes!$C:$C)),"")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418</v>
      </c>
      <c r="D1929" t="s">
        <v>39</v>
      </c>
      <c r="E1929" t="s">
        <v>410</v>
      </c>
      <c r="G1929">
        <v>2</v>
      </c>
      <c r="H1929">
        <v>1000</v>
      </c>
      <c r="J1929" cm="1">
        <f t="array" ref="J1929">_xlfn.SWITCH(B1929,1,75,2,61,3,49,4,37,5,25,6,13,7,4,8,1)</f>
        <v>4</v>
      </c>
      <c r="K1929" t="str" cm="1">
        <f t="array" ref="K1929">IFERROR(_xlfn.SWITCH(L1929,1,_xlfn.XLOOKUP(C1929,[1]AttributeName!$C:$C,[1]AttributeName!$I:$I),2,_xlfn.XLOOKUP(C1929,[1]ModifierDes!$B:$B,[1]ModifierDes!$C:$C),3,_xlfn.XLOOKUP(C1929,[1]StuntDes!$B:$B,[1]StuntDes!$C:$C)),"")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418</v>
      </c>
      <c r="D1930" t="s">
        <v>39</v>
      </c>
      <c r="E1930" t="s">
        <v>410</v>
      </c>
      <c r="G1930">
        <v>2</v>
      </c>
      <c r="H1930">
        <v>1000</v>
      </c>
      <c r="J1930" cm="1">
        <f t="array" ref="J1930">_xlfn.SWITCH(B1930,1,75,2,61,3,49,4,37,5,25,6,13,7,4,8,1)</f>
        <v>1</v>
      </c>
      <c r="K1930" t="str" cm="1">
        <f t="array" ref="K1930">IFERROR(_xlfn.SWITCH(L1930,1,_xlfn.XLOOKUP(C1930,[1]AttributeName!$C:$C,[1]AttributeName!$I:$I),2,_xlfn.XLOOKUP(C1930,[1]ModifierDes!$B:$B,[1]ModifierDes!$C:$C),3,_xlfn.XLOOKUP(C1930,[1]StuntDes!$B:$B,[1]StuntDes!$C:$C)),"")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448</v>
      </c>
      <c r="D1931" t="s">
        <v>39</v>
      </c>
      <c r="E1931" t="s">
        <v>410</v>
      </c>
      <c r="G1931">
        <v>2</v>
      </c>
      <c r="H1931">
        <v>100</v>
      </c>
      <c r="J1931" cm="1">
        <f t="array" ref="J1931">_xlfn.SWITCH(B1931,1,75,2,61,3,49,4,37,5,25,6,13,7,4,8,1)</f>
        <v>75</v>
      </c>
      <c r="K1931" t="str" cm="1">
        <f t="array" ref="K1931">IFERROR(_xlfn.SWITCH(L1931,1,_xlfn.XLOOKUP(C1931,[1]AttributeName!$C:$C,[1]AttributeName!$I:$I),2,_xlfn.XLOOKUP(C1931,[1]ModifierDes!$B:$B,[1]ModifierDes!$C:$C),3,_xlfn.XLOOKUP(C1931,[1]StuntDes!$B:$B,[1]StuntDes!$C:$C)),"")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448</v>
      </c>
      <c r="D1932" t="s">
        <v>39</v>
      </c>
      <c r="E1932" t="s">
        <v>410</v>
      </c>
      <c r="G1932">
        <v>2</v>
      </c>
      <c r="H1932">
        <v>200</v>
      </c>
      <c r="J1932" cm="1">
        <f t="array" ref="J1932">_xlfn.SWITCH(B1932,1,75,2,61,3,49,4,37,5,25,6,13,7,4,8,1)</f>
        <v>61</v>
      </c>
      <c r="K1932" t="str" cm="1">
        <f t="array" ref="K1932">IFERROR(_xlfn.SWITCH(L1932,1,_xlfn.XLOOKUP(C1932,[1]AttributeName!$C:$C,[1]AttributeName!$I:$I),2,_xlfn.XLOOKUP(C1932,[1]ModifierDes!$B:$B,[1]ModifierDes!$C:$C),3,_xlfn.XLOOKUP(C1932,[1]StuntDes!$B:$B,[1]StuntDes!$C:$C)),"")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448</v>
      </c>
      <c r="D1933" t="s">
        <v>39</v>
      </c>
      <c r="E1933" t="s">
        <v>410</v>
      </c>
      <c r="G1933">
        <v>2</v>
      </c>
      <c r="H1933">
        <v>400</v>
      </c>
      <c r="J1933" cm="1">
        <f t="array" ref="J1933">_xlfn.SWITCH(B1933,1,75,2,61,3,49,4,37,5,25,6,13,7,4,8,1)</f>
        <v>49</v>
      </c>
      <c r="K1933" t="str" cm="1">
        <f t="array" ref="K1933">IFERROR(_xlfn.SWITCH(L1933,1,_xlfn.XLOOKUP(C1933,[1]AttributeName!$C:$C,[1]AttributeName!$I:$I),2,_xlfn.XLOOKUP(C1933,[1]ModifierDes!$B:$B,[1]ModifierDes!$C:$C),3,_xlfn.XLOOKUP(C1933,[1]StuntDes!$B:$B,[1]StuntDes!$C:$C)),"")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448</v>
      </c>
      <c r="D1934" t="s">
        <v>39</v>
      </c>
      <c r="E1934" t="s">
        <v>410</v>
      </c>
      <c r="G1934">
        <v>2</v>
      </c>
      <c r="H1934">
        <v>600</v>
      </c>
      <c r="J1934" cm="1">
        <f t="array" ref="J1934">_xlfn.SWITCH(B1934,1,75,2,61,3,49,4,37,5,25,6,13,7,4,8,1)</f>
        <v>37</v>
      </c>
      <c r="K1934" t="str" cm="1">
        <f t="array" ref="K1934">IFERROR(_xlfn.SWITCH(L1934,1,_xlfn.XLOOKUP(C1934,[1]AttributeName!$C:$C,[1]AttributeName!$I:$I),2,_xlfn.XLOOKUP(C1934,[1]ModifierDes!$B:$B,[1]ModifierDes!$C:$C),3,_xlfn.XLOOKUP(C1934,[1]StuntDes!$B:$B,[1]StuntDes!$C:$C)),"")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448</v>
      </c>
      <c r="D1935" t="s">
        <v>39</v>
      </c>
      <c r="E1935" t="s">
        <v>410</v>
      </c>
      <c r="G1935">
        <v>2</v>
      </c>
      <c r="H1935">
        <v>800</v>
      </c>
      <c r="J1935" cm="1">
        <f t="array" ref="J1935">_xlfn.SWITCH(B1935,1,75,2,61,3,49,4,37,5,25,6,13,7,4,8,1)</f>
        <v>25</v>
      </c>
      <c r="K1935" t="str" cm="1">
        <f t="array" ref="K1935">IFERROR(_xlfn.SWITCH(L1935,1,_xlfn.XLOOKUP(C1935,[1]AttributeName!$C:$C,[1]AttributeName!$I:$I),2,_xlfn.XLOOKUP(C1935,[1]ModifierDes!$B:$B,[1]ModifierDes!$C:$C),3,_xlfn.XLOOKUP(C1935,[1]StuntDes!$B:$B,[1]StuntDes!$C:$C)),"")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448</v>
      </c>
      <c r="D1936" t="s">
        <v>39</v>
      </c>
      <c r="E1936" t="s">
        <v>410</v>
      </c>
      <c r="G1936">
        <v>2</v>
      </c>
      <c r="H1936">
        <v>1000</v>
      </c>
      <c r="J1936" cm="1">
        <f t="array" ref="J1936">_xlfn.SWITCH(B1936,1,75,2,61,3,49,4,37,5,25,6,13,7,4,8,1)</f>
        <v>13</v>
      </c>
      <c r="K1936" t="str" cm="1">
        <f t="array" ref="K1936">IFERROR(_xlfn.SWITCH(L1936,1,_xlfn.XLOOKUP(C1936,[1]AttributeName!$C:$C,[1]AttributeName!$I:$I),2,_xlfn.XLOOKUP(C1936,[1]ModifierDes!$B:$B,[1]ModifierDes!$C:$C),3,_xlfn.XLOOKUP(C1936,[1]StuntDes!$B:$B,[1]StuntDes!$C:$C)),"")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448</v>
      </c>
      <c r="D1937" t="s">
        <v>39</v>
      </c>
      <c r="E1937" t="s">
        <v>410</v>
      </c>
      <c r="G1937">
        <v>2</v>
      </c>
      <c r="H1937">
        <v>1000</v>
      </c>
      <c r="J1937" cm="1">
        <f t="array" ref="J1937">_xlfn.SWITCH(B1937,1,75,2,61,3,49,4,37,5,25,6,13,7,4,8,1)</f>
        <v>4</v>
      </c>
      <c r="K1937" t="str" cm="1">
        <f t="array" ref="K1937">IFERROR(_xlfn.SWITCH(L1937,1,_xlfn.XLOOKUP(C1937,[1]AttributeName!$C:$C,[1]AttributeName!$I:$I),2,_xlfn.XLOOKUP(C1937,[1]ModifierDes!$B:$B,[1]ModifierDes!$C:$C),3,_xlfn.XLOOKUP(C1937,[1]StuntDes!$B:$B,[1]StuntDes!$C:$C)),"")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448</v>
      </c>
      <c r="D1938" t="s">
        <v>39</v>
      </c>
      <c r="E1938" t="s">
        <v>410</v>
      </c>
      <c r="G1938">
        <v>2</v>
      </c>
      <c r="H1938">
        <v>1000</v>
      </c>
      <c r="J1938" cm="1">
        <f t="array" ref="J1938">_xlfn.SWITCH(B1938,1,75,2,61,3,49,4,37,5,25,6,13,7,4,8,1)</f>
        <v>1</v>
      </c>
      <c r="K1938" t="str" cm="1">
        <f t="array" ref="K1938">IFERROR(_xlfn.SWITCH(L1938,1,_xlfn.XLOOKUP(C1938,[1]AttributeName!$C:$C,[1]AttributeName!$I:$I),2,_xlfn.XLOOKUP(C1938,[1]ModifierDes!$B:$B,[1]ModifierDes!$C:$C),3,_xlfn.XLOOKUP(C1938,[1]StuntDes!$B:$B,[1]StuntDes!$C:$C)),"")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424</v>
      </c>
      <c r="D1939" t="s">
        <v>39</v>
      </c>
      <c r="E1939" t="s">
        <v>410</v>
      </c>
      <c r="G1939">
        <v>2</v>
      </c>
      <c r="H1939">
        <v>1000</v>
      </c>
      <c r="J1939" cm="1">
        <f t="array" ref="J1939">_xlfn.SWITCH(B1939,1,75,2,61,3,49,4,37,5,25,6,13,7,4,8,1)</f>
        <v>75</v>
      </c>
      <c r="K1939" t="str" cm="1">
        <f t="array" ref="K1939">IFERROR(_xlfn.SWITCH(L1939,1,_xlfn.XLOOKUP(C1939,[1]AttributeName!$C:$C,[1]AttributeName!$I:$I),2,_xlfn.XLOOKUP(C1939,[1]ModifierDes!$B:$B,[1]ModifierDes!$C:$C),3,_xlfn.XLOOKUP(C1939,[1]StuntDes!$B:$B,[1]StuntDes!$C:$C)),"")</f>
        <v>穿戴等级降低增加{0}</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424</v>
      </c>
      <c r="D1940" t="s">
        <v>39</v>
      </c>
      <c r="E1940" t="s">
        <v>410</v>
      </c>
      <c r="G1940">
        <v>2</v>
      </c>
      <c r="H1940">
        <v>1000</v>
      </c>
      <c r="J1940" cm="1">
        <f t="array" ref="J1940">_xlfn.SWITCH(B1940,1,75,2,61,3,49,4,37,5,25,6,13,7,4,8,1)</f>
        <v>61</v>
      </c>
      <c r="K1940" t="str" cm="1">
        <f t="array" ref="K1940">IFERROR(_xlfn.SWITCH(L1940,1,_xlfn.XLOOKUP(C1940,[1]AttributeName!$C:$C,[1]AttributeName!$I:$I),2,_xlfn.XLOOKUP(C1940,[1]ModifierDes!$B:$B,[1]ModifierDes!$C:$C),3,_xlfn.XLOOKUP(C1940,[1]StuntDes!$B:$B,[1]StuntDes!$C:$C)),"")</f>
        <v>穿戴等级降低增加{0}</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424</v>
      </c>
      <c r="D1941" t="s">
        <v>39</v>
      </c>
      <c r="E1941" t="s">
        <v>410</v>
      </c>
      <c r="G1941">
        <v>2</v>
      </c>
      <c r="H1941">
        <v>1000</v>
      </c>
      <c r="J1941" cm="1">
        <f t="array" ref="J1941">_xlfn.SWITCH(B1941,1,75,2,61,3,49,4,37,5,25,6,13,7,4,8,1)</f>
        <v>49</v>
      </c>
      <c r="K1941" t="str" cm="1">
        <f t="array" ref="K1941">IFERROR(_xlfn.SWITCH(L1941,1,_xlfn.XLOOKUP(C1941,[1]AttributeName!$C:$C,[1]AttributeName!$I:$I),2,_xlfn.XLOOKUP(C1941,[1]ModifierDes!$B:$B,[1]ModifierDes!$C:$C),3,_xlfn.XLOOKUP(C1941,[1]StuntDes!$B:$B,[1]StuntDes!$C:$C)),"")</f>
        <v>穿戴等级降低增加{0}</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424</v>
      </c>
      <c r="D1942" t="s">
        <v>39</v>
      </c>
      <c r="E1942" t="s">
        <v>410</v>
      </c>
      <c r="G1942">
        <v>2</v>
      </c>
      <c r="H1942">
        <v>1000</v>
      </c>
      <c r="J1942" cm="1">
        <f t="array" ref="J1942">_xlfn.SWITCH(B1942,1,75,2,61,3,49,4,37,5,25,6,13,7,4,8,1)</f>
        <v>37</v>
      </c>
      <c r="K1942" t="str" cm="1">
        <f t="array" ref="K1942">IFERROR(_xlfn.SWITCH(L1942,1,_xlfn.XLOOKUP(C1942,[1]AttributeName!$C:$C,[1]AttributeName!$I:$I),2,_xlfn.XLOOKUP(C1942,[1]ModifierDes!$B:$B,[1]ModifierDes!$C:$C),3,_xlfn.XLOOKUP(C1942,[1]StuntDes!$B:$B,[1]StuntDes!$C:$C)),"")</f>
        <v>穿戴等级降低增加{0}</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424</v>
      </c>
      <c r="D1943" t="s">
        <v>39</v>
      </c>
      <c r="E1943" t="s">
        <v>410</v>
      </c>
      <c r="G1943">
        <v>2</v>
      </c>
      <c r="H1943">
        <v>1000</v>
      </c>
      <c r="J1943" cm="1">
        <f t="array" ref="J1943">_xlfn.SWITCH(B1943,1,75,2,61,3,49,4,37,5,25,6,13,7,4,8,1)</f>
        <v>25</v>
      </c>
      <c r="K1943" t="str" cm="1">
        <f t="array" ref="K1943">IFERROR(_xlfn.SWITCH(L1943,1,_xlfn.XLOOKUP(C1943,[1]AttributeName!$C:$C,[1]AttributeName!$I:$I),2,_xlfn.XLOOKUP(C1943,[1]ModifierDes!$B:$B,[1]ModifierDes!$C:$C),3,_xlfn.XLOOKUP(C1943,[1]StuntDes!$B:$B,[1]StuntDes!$C:$C)),"")</f>
        <v>穿戴等级降低增加{0}</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424</v>
      </c>
      <c r="D1944" t="s">
        <v>39</v>
      </c>
      <c r="E1944" t="s">
        <v>410</v>
      </c>
      <c r="G1944">
        <v>2</v>
      </c>
      <c r="H1944">
        <v>1000</v>
      </c>
      <c r="J1944" cm="1">
        <f t="array" ref="J1944">_xlfn.SWITCH(B1944,1,75,2,61,3,49,4,37,5,25,6,13,7,4,8,1)</f>
        <v>13</v>
      </c>
      <c r="K1944" t="str" cm="1">
        <f t="array" ref="K1944">IFERROR(_xlfn.SWITCH(L1944,1,_xlfn.XLOOKUP(C1944,[1]AttributeName!$C:$C,[1]AttributeName!$I:$I),2,_xlfn.XLOOKUP(C1944,[1]ModifierDes!$B:$B,[1]ModifierDes!$C:$C),3,_xlfn.XLOOKUP(C1944,[1]StuntDes!$B:$B,[1]StuntDes!$C:$C)),"")</f>
        <v>穿戴等级降低增加{0}</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424</v>
      </c>
      <c r="D1945" t="s">
        <v>39</v>
      </c>
      <c r="E1945" t="s">
        <v>410</v>
      </c>
      <c r="G1945">
        <v>2</v>
      </c>
      <c r="H1945">
        <v>1000</v>
      </c>
      <c r="J1945" cm="1">
        <f t="array" ref="J1945">_xlfn.SWITCH(B1945,1,75,2,61,3,49,4,37,5,25,6,13,7,4,8,1)</f>
        <v>4</v>
      </c>
      <c r="K1945" t="str" cm="1">
        <f t="array" ref="K1945">IFERROR(_xlfn.SWITCH(L1945,1,_xlfn.XLOOKUP(C1945,[1]AttributeName!$C:$C,[1]AttributeName!$I:$I),2,_xlfn.XLOOKUP(C1945,[1]ModifierDes!$B:$B,[1]ModifierDes!$C:$C),3,_xlfn.XLOOKUP(C1945,[1]StuntDes!$B:$B,[1]StuntDes!$C:$C)),"")</f>
        <v>穿戴等级降低增加{0}</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424</v>
      </c>
      <c r="D1946" t="s">
        <v>39</v>
      </c>
      <c r="E1946" t="s">
        <v>410</v>
      </c>
      <c r="G1946">
        <v>2</v>
      </c>
      <c r="H1946">
        <v>1000</v>
      </c>
      <c r="J1946" cm="1">
        <f t="array" ref="J1946">_xlfn.SWITCH(B1946,1,75,2,61,3,49,4,37,5,25,6,13,7,4,8,1)</f>
        <v>1</v>
      </c>
      <c r="K1946" t="str" cm="1">
        <f t="array" ref="K1946">IFERROR(_xlfn.SWITCH(L1946,1,_xlfn.XLOOKUP(C1946,[1]AttributeName!$C:$C,[1]AttributeName!$I:$I),2,_xlfn.XLOOKUP(C1946,[1]ModifierDes!$B:$B,[1]ModifierDes!$C:$C),3,_xlfn.XLOOKUP(C1946,[1]StuntDes!$B:$B,[1]StuntDes!$C:$C)),"")</f>
        <v>穿戴等级降低增加{0}</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392</v>
      </c>
      <c r="D1947" t="s">
        <v>24</v>
      </c>
      <c r="E1947" t="s">
        <v>393</v>
      </c>
      <c r="G1947">
        <v>1</v>
      </c>
      <c r="H1947">
        <v>100</v>
      </c>
      <c r="I1947">
        <v>1</v>
      </c>
      <c r="J1947" cm="1">
        <f t="array" ref="J1947">_xlfn.SWITCH(B1947,1,75,2,61,3,49,4,37,5,25,6,13,7,4,8,1)</f>
        <v>75</v>
      </c>
      <c r="K1947" t="str" cm="1">
        <f t="array" ref="K1947">IFERROR(_xlfn.SWITCH(L1947,1,_xlfn.XLOOKUP(C1947,[1]AttributeName!$C:$C,[1]AttributeName!$I:$I),2,_xlfn.XLOOKUP(C1947,[1]ModifierDes!$B:$B,[1]ModifierDes!$C:$C),3,_xlfn.XLOOKUP(C1947,[1]StuntDes!$B:$B,[1]StuntDes!$C:$C)),"")</f>
        <v>物理倍率增加{0}</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392</v>
      </c>
      <c r="D1948" t="s">
        <v>24</v>
      </c>
      <c r="E1948" t="s">
        <v>393</v>
      </c>
      <c r="G1948">
        <v>1</v>
      </c>
      <c r="H1948">
        <v>200</v>
      </c>
      <c r="I1948">
        <v>1</v>
      </c>
      <c r="J1948" cm="1">
        <f t="array" ref="J1948">_xlfn.SWITCH(B1948,1,75,2,61,3,49,4,37,5,25,6,13,7,4,8,1)</f>
        <v>61</v>
      </c>
      <c r="K1948" t="str" cm="1">
        <f t="array" ref="K1948">IFERROR(_xlfn.SWITCH(L1948,1,_xlfn.XLOOKUP(C1948,[1]AttributeName!$C:$C,[1]AttributeName!$I:$I),2,_xlfn.XLOOKUP(C1948,[1]ModifierDes!$B:$B,[1]ModifierDes!$C:$C),3,_xlfn.XLOOKUP(C1948,[1]StuntDes!$B:$B,[1]StuntDes!$C:$C)),"")</f>
        <v>物理倍率增加{0}</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392</v>
      </c>
      <c r="D1949" t="s">
        <v>24</v>
      </c>
      <c r="E1949" t="s">
        <v>393</v>
      </c>
      <c r="G1949">
        <v>1</v>
      </c>
      <c r="H1949">
        <v>400</v>
      </c>
      <c r="I1949">
        <v>1</v>
      </c>
      <c r="J1949" cm="1">
        <f t="array" ref="J1949">_xlfn.SWITCH(B1949,1,75,2,61,3,49,4,37,5,25,6,13,7,4,8,1)</f>
        <v>49</v>
      </c>
      <c r="K1949" t="str" cm="1">
        <f t="array" ref="K1949">IFERROR(_xlfn.SWITCH(L1949,1,_xlfn.XLOOKUP(C1949,[1]AttributeName!$C:$C,[1]AttributeName!$I:$I),2,_xlfn.XLOOKUP(C1949,[1]ModifierDes!$B:$B,[1]ModifierDes!$C:$C),3,_xlfn.XLOOKUP(C1949,[1]StuntDes!$B:$B,[1]StuntDes!$C:$C)),"")</f>
        <v>物理倍率增加{0}</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392</v>
      </c>
      <c r="D1950" t="s">
        <v>24</v>
      </c>
      <c r="E1950" t="s">
        <v>393</v>
      </c>
      <c r="G1950">
        <v>1</v>
      </c>
      <c r="H1950">
        <v>600</v>
      </c>
      <c r="I1950">
        <v>1</v>
      </c>
      <c r="J1950" cm="1">
        <f t="array" ref="J1950">_xlfn.SWITCH(B1950,1,75,2,61,3,49,4,37,5,25,6,13,7,4,8,1)</f>
        <v>37</v>
      </c>
      <c r="K1950" t="str" cm="1">
        <f t="array" ref="K1950">IFERROR(_xlfn.SWITCH(L1950,1,_xlfn.XLOOKUP(C1950,[1]AttributeName!$C:$C,[1]AttributeName!$I:$I),2,_xlfn.XLOOKUP(C1950,[1]ModifierDes!$B:$B,[1]ModifierDes!$C:$C),3,_xlfn.XLOOKUP(C1950,[1]StuntDes!$B:$B,[1]StuntDes!$C:$C)),"")</f>
        <v>物理倍率增加{0}</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392</v>
      </c>
      <c r="D1951" t="s">
        <v>24</v>
      </c>
      <c r="E1951" t="s">
        <v>393</v>
      </c>
      <c r="G1951">
        <v>1</v>
      </c>
      <c r="H1951">
        <v>800</v>
      </c>
      <c r="I1951">
        <v>1</v>
      </c>
      <c r="J1951" cm="1">
        <f t="array" ref="J1951">_xlfn.SWITCH(B1951,1,75,2,61,3,49,4,37,5,25,6,13,7,4,8,1)</f>
        <v>25</v>
      </c>
      <c r="K1951" t="str" cm="1">
        <f t="array" ref="K1951">IFERROR(_xlfn.SWITCH(L1951,1,_xlfn.XLOOKUP(C1951,[1]AttributeName!$C:$C,[1]AttributeName!$I:$I),2,_xlfn.XLOOKUP(C1951,[1]ModifierDes!$B:$B,[1]ModifierDes!$C:$C),3,_xlfn.XLOOKUP(C1951,[1]StuntDes!$B:$B,[1]StuntDes!$C:$C)),"")</f>
        <v>物理倍率增加{0}</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392</v>
      </c>
      <c r="D1952" t="s">
        <v>24</v>
      </c>
      <c r="E1952" t="s">
        <v>393</v>
      </c>
      <c r="G1952">
        <v>1</v>
      </c>
      <c r="H1952">
        <v>1000</v>
      </c>
      <c r="I1952">
        <v>1</v>
      </c>
      <c r="J1952" cm="1">
        <f t="array" ref="J1952">_xlfn.SWITCH(B1952,1,75,2,61,3,49,4,37,5,25,6,13,7,4,8,1)</f>
        <v>13</v>
      </c>
      <c r="K1952" t="str" cm="1">
        <f t="array" ref="K1952">IFERROR(_xlfn.SWITCH(L1952,1,_xlfn.XLOOKUP(C1952,[1]AttributeName!$C:$C,[1]AttributeName!$I:$I),2,_xlfn.XLOOKUP(C1952,[1]ModifierDes!$B:$B,[1]ModifierDes!$C:$C),3,_xlfn.XLOOKUP(C1952,[1]StuntDes!$B:$B,[1]StuntDes!$C:$C)),"")</f>
        <v>物理倍率增加{0}</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392</v>
      </c>
      <c r="D1953" t="s">
        <v>24</v>
      </c>
      <c r="E1953" t="s">
        <v>393</v>
      </c>
      <c r="G1953">
        <v>1</v>
      </c>
      <c r="H1953">
        <v>1000</v>
      </c>
      <c r="I1953">
        <v>1</v>
      </c>
      <c r="J1953" cm="1">
        <f t="array" ref="J1953">_xlfn.SWITCH(B1953,1,75,2,61,3,49,4,37,5,25,6,13,7,4,8,1)</f>
        <v>4</v>
      </c>
      <c r="K1953" t="str" cm="1">
        <f t="array" ref="K1953">IFERROR(_xlfn.SWITCH(L1953,1,_xlfn.XLOOKUP(C1953,[1]AttributeName!$C:$C,[1]AttributeName!$I:$I),2,_xlfn.XLOOKUP(C1953,[1]ModifierDes!$B:$B,[1]ModifierDes!$C:$C),3,_xlfn.XLOOKUP(C1953,[1]StuntDes!$B:$B,[1]StuntDes!$C:$C)),"")</f>
        <v>物理倍率增加{0}</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392</v>
      </c>
      <c r="D1954" t="s">
        <v>24</v>
      </c>
      <c r="E1954" t="s">
        <v>393</v>
      </c>
      <c r="G1954">
        <v>1</v>
      </c>
      <c r="H1954">
        <v>1000</v>
      </c>
      <c r="I1954">
        <v>1</v>
      </c>
      <c r="J1954" cm="1">
        <f t="array" ref="J1954">_xlfn.SWITCH(B1954,1,75,2,61,3,49,4,37,5,25,6,13,7,4,8,1)</f>
        <v>1</v>
      </c>
      <c r="K1954" t="str" cm="1">
        <f t="array" ref="K1954">IFERROR(_xlfn.SWITCH(L1954,1,_xlfn.XLOOKUP(C1954,[1]AttributeName!$C:$C,[1]AttributeName!$I:$I),2,_xlfn.XLOOKUP(C1954,[1]ModifierDes!$B:$B,[1]ModifierDes!$C:$C),3,_xlfn.XLOOKUP(C1954,[1]StuntDes!$B:$B,[1]StuntDes!$C:$C)),"")</f>
        <v>物理倍率增加{0}</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394</v>
      </c>
      <c r="D1955" t="s">
        <v>24</v>
      </c>
      <c r="E1955" t="s">
        <v>393</v>
      </c>
      <c r="G1955">
        <v>1</v>
      </c>
      <c r="H1955">
        <v>100</v>
      </c>
      <c r="I1955">
        <v>1</v>
      </c>
      <c r="J1955" cm="1">
        <f t="array" ref="J1955">_xlfn.SWITCH(B1955,1,75,2,61,3,49,4,37,5,25,6,13,7,4,8,1)</f>
        <v>75</v>
      </c>
      <c r="K1955" t="str" cm="1">
        <f t="array" ref="K1955">IFERROR(_xlfn.SWITCH(L1955,1,_xlfn.XLOOKUP(C1955,[1]AttributeName!$C:$C,[1]AttributeName!$I:$I),2,_xlfn.XLOOKUP(C1955,[1]ModifierDes!$B:$B,[1]ModifierDes!$C:$C),3,_xlfn.XLOOKUP(C1955,[1]StuntDes!$B:$B,[1]StuntDes!$C:$C)),"")</f>
        <v>火焰倍率增加{0}</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394</v>
      </c>
      <c r="D1956" t="s">
        <v>24</v>
      </c>
      <c r="E1956" t="s">
        <v>393</v>
      </c>
      <c r="G1956">
        <v>1</v>
      </c>
      <c r="H1956">
        <v>200</v>
      </c>
      <c r="I1956">
        <v>1</v>
      </c>
      <c r="J1956" cm="1">
        <f t="array" ref="J1956">_xlfn.SWITCH(B1956,1,75,2,61,3,49,4,37,5,25,6,13,7,4,8,1)</f>
        <v>61</v>
      </c>
      <c r="K1956" t="str" cm="1">
        <f t="array" ref="K1956">IFERROR(_xlfn.SWITCH(L1956,1,_xlfn.XLOOKUP(C1956,[1]AttributeName!$C:$C,[1]AttributeName!$I:$I),2,_xlfn.XLOOKUP(C1956,[1]ModifierDes!$B:$B,[1]ModifierDes!$C:$C),3,_xlfn.XLOOKUP(C1956,[1]StuntDes!$B:$B,[1]StuntDes!$C:$C)),"")</f>
        <v>火焰倍率增加{0}</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394</v>
      </c>
      <c r="D1957" t="s">
        <v>24</v>
      </c>
      <c r="E1957" t="s">
        <v>393</v>
      </c>
      <c r="G1957">
        <v>1</v>
      </c>
      <c r="H1957">
        <v>400</v>
      </c>
      <c r="I1957">
        <v>1</v>
      </c>
      <c r="J1957" cm="1">
        <f t="array" ref="J1957">_xlfn.SWITCH(B1957,1,75,2,61,3,49,4,37,5,25,6,13,7,4,8,1)</f>
        <v>49</v>
      </c>
      <c r="K1957" t="str" cm="1">
        <f t="array" ref="K1957">IFERROR(_xlfn.SWITCH(L1957,1,_xlfn.XLOOKUP(C1957,[1]AttributeName!$C:$C,[1]AttributeName!$I:$I),2,_xlfn.XLOOKUP(C1957,[1]ModifierDes!$B:$B,[1]ModifierDes!$C:$C),3,_xlfn.XLOOKUP(C1957,[1]StuntDes!$B:$B,[1]StuntDes!$C:$C)),"")</f>
        <v>火焰倍率增加{0}</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394</v>
      </c>
      <c r="D1958" t="s">
        <v>24</v>
      </c>
      <c r="E1958" t="s">
        <v>393</v>
      </c>
      <c r="G1958">
        <v>1</v>
      </c>
      <c r="H1958">
        <v>600</v>
      </c>
      <c r="I1958">
        <v>1</v>
      </c>
      <c r="J1958" cm="1">
        <f t="array" ref="J1958">_xlfn.SWITCH(B1958,1,75,2,61,3,49,4,37,5,25,6,13,7,4,8,1)</f>
        <v>37</v>
      </c>
      <c r="K1958" t="str" cm="1">
        <f t="array" ref="K1958">IFERROR(_xlfn.SWITCH(L1958,1,_xlfn.XLOOKUP(C1958,[1]AttributeName!$C:$C,[1]AttributeName!$I:$I),2,_xlfn.XLOOKUP(C1958,[1]ModifierDes!$B:$B,[1]ModifierDes!$C:$C),3,_xlfn.XLOOKUP(C1958,[1]StuntDes!$B:$B,[1]StuntDes!$C:$C)),"")</f>
        <v>火焰倍率增加{0}</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394</v>
      </c>
      <c r="D1959" t="s">
        <v>24</v>
      </c>
      <c r="E1959" t="s">
        <v>393</v>
      </c>
      <c r="G1959">
        <v>1</v>
      </c>
      <c r="H1959">
        <v>800</v>
      </c>
      <c r="I1959">
        <v>1</v>
      </c>
      <c r="J1959" cm="1">
        <f t="array" ref="J1959">_xlfn.SWITCH(B1959,1,75,2,61,3,49,4,37,5,25,6,13,7,4,8,1)</f>
        <v>25</v>
      </c>
      <c r="K1959" t="str" cm="1">
        <f t="array" ref="K1959">IFERROR(_xlfn.SWITCH(L1959,1,_xlfn.XLOOKUP(C1959,[1]AttributeName!$C:$C,[1]AttributeName!$I:$I),2,_xlfn.XLOOKUP(C1959,[1]ModifierDes!$B:$B,[1]ModifierDes!$C:$C),3,_xlfn.XLOOKUP(C1959,[1]StuntDes!$B:$B,[1]StuntDes!$C:$C)),"")</f>
        <v>火焰倍率增加{0}</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394</v>
      </c>
      <c r="D1960" t="s">
        <v>24</v>
      </c>
      <c r="E1960" t="s">
        <v>393</v>
      </c>
      <c r="G1960">
        <v>1</v>
      </c>
      <c r="H1960">
        <v>1000</v>
      </c>
      <c r="I1960">
        <v>1</v>
      </c>
      <c r="J1960" cm="1">
        <f t="array" ref="J1960">_xlfn.SWITCH(B1960,1,75,2,61,3,49,4,37,5,25,6,13,7,4,8,1)</f>
        <v>13</v>
      </c>
      <c r="K1960" t="str" cm="1">
        <f t="array" ref="K1960">IFERROR(_xlfn.SWITCH(L1960,1,_xlfn.XLOOKUP(C1960,[1]AttributeName!$C:$C,[1]AttributeName!$I:$I),2,_xlfn.XLOOKUP(C1960,[1]ModifierDes!$B:$B,[1]ModifierDes!$C:$C),3,_xlfn.XLOOKUP(C1960,[1]StuntDes!$B:$B,[1]StuntDes!$C:$C)),"")</f>
        <v>火焰倍率增加{0}</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394</v>
      </c>
      <c r="D1961" t="s">
        <v>24</v>
      </c>
      <c r="E1961" t="s">
        <v>393</v>
      </c>
      <c r="G1961">
        <v>1</v>
      </c>
      <c r="H1961">
        <v>1000</v>
      </c>
      <c r="I1961">
        <v>1</v>
      </c>
      <c r="J1961" cm="1">
        <f t="array" ref="J1961">_xlfn.SWITCH(B1961,1,75,2,61,3,49,4,37,5,25,6,13,7,4,8,1)</f>
        <v>4</v>
      </c>
      <c r="K1961" t="str" cm="1">
        <f t="array" ref="K1961">IFERROR(_xlfn.SWITCH(L1961,1,_xlfn.XLOOKUP(C1961,[1]AttributeName!$C:$C,[1]AttributeName!$I:$I),2,_xlfn.XLOOKUP(C1961,[1]ModifierDes!$B:$B,[1]ModifierDes!$C:$C),3,_xlfn.XLOOKUP(C1961,[1]StuntDes!$B:$B,[1]StuntDes!$C:$C)),"")</f>
        <v>火焰倍率增加{0}</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394</v>
      </c>
      <c r="D1962" t="s">
        <v>24</v>
      </c>
      <c r="E1962" t="s">
        <v>393</v>
      </c>
      <c r="G1962">
        <v>1</v>
      </c>
      <c r="H1962">
        <v>1000</v>
      </c>
      <c r="I1962">
        <v>1</v>
      </c>
      <c r="J1962" cm="1">
        <f t="array" ref="J1962">_xlfn.SWITCH(B1962,1,75,2,61,3,49,4,37,5,25,6,13,7,4,8,1)</f>
        <v>1</v>
      </c>
      <c r="K1962" t="str" cm="1">
        <f t="array" ref="K1962">IFERROR(_xlfn.SWITCH(L1962,1,_xlfn.XLOOKUP(C1962,[1]AttributeName!$C:$C,[1]AttributeName!$I:$I),2,_xlfn.XLOOKUP(C1962,[1]ModifierDes!$B:$B,[1]ModifierDes!$C:$C),3,_xlfn.XLOOKUP(C1962,[1]StuntDes!$B:$B,[1]StuntDes!$C:$C)),"")</f>
        <v>火焰倍率增加{0}</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395</v>
      </c>
      <c r="D1963" t="s">
        <v>24</v>
      </c>
      <c r="E1963" t="s">
        <v>393</v>
      </c>
      <c r="G1963">
        <v>1</v>
      </c>
      <c r="H1963">
        <v>100</v>
      </c>
      <c r="I1963">
        <v>1</v>
      </c>
      <c r="J1963" cm="1">
        <f t="array" ref="J1963">_xlfn.SWITCH(B1963,1,75,2,61,3,49,4,37,5,25,6,13,7,4,8,1)</f>
        <v>75</v>
      </c>
      <c r="K1963" t="str" cm="1">
        <f t="array" ref="K1963">IFERROR(_xlfn.SWITCH(L1963,1,_xlfn.XLOOKUP(C1963,[1]AttributeName!$C:$C,[1]AttributeName!$I:$I),2,_xlfn.XLOOKUP(C1963,[1]ModifierDes!$B:$B,[1]ModifierDes!$C:$C),3,_xlfn.XLOOKUP(C1963,[1]StuntDes!$B:$B,[1]StuntDes!$C:$C)),"")</f>
        <v>冰冷倍率增加{0}</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395</v>
      </c>
      <c r="D1964" t="s">
        <v>24</v>
      </c>
      <c r="E1964" t="s">
        <v>393</v>
      </c>
      <c r="G1964">
        <v>1</v>
      </c>
      <c r="H1964">
        <v>200</v>
      </c>
      <c r="I1964">
        <v>1</v>
      </c>
      <c r="J1964" cm="1">
        <f t="array" ref="J1964">_xlfn.SWITCH(B1964,1,75,2,61,3,49,4,37,5,25,6,13,7,4,8,1)</f>
        <v>61</v>
      </c>
      <c r="K1964" t="str" cm="1">
        <f t="array" ref="K1964">IFERROR(_xlfn.SWITCH(L1964,1,_xlfn.XLOOKUP(C1964,[1]AttributeName!$C:$C,[1]AttributeName!$I:$I),2,_xlfn.XLOOKUP(C1964,[1]ModifierDes!$B:$B,[1]ModifierDes!$C:$C),3,_xlfn.XLOOKUP(C1964,[1]StuntDes!$B:$B,[1]StuntDes!$C:$C)),"")</f>
        <v>冰冷倍率增加{0}</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395</v>
      </c>
      <c r="D1965" t="s">
        <v>24</v>
      </c>
      <c r="E1965" t="s">
        <v>393</v>
      </c>
      <c r="G1965">
        <v>1</v>
      </c>
      <c r="H1965">
        <v>400</v>
      </c>
      <c r="I1965">
        <v>1</v>
      </c>
      <c r="J1965" cm="1">
        <f t="array" ref="J1965">_xlfn.SWITCH(B1965,1,75,2,61,3,49,4,37,5,25,6,13,7,4,8,1)</f>
        <v>49</v>
      </c>
      <c r="K1965" t="str" cm="1">
        <f t="array" ref="K1965">IFERROR(_xlfn.SWITCH(L1965,1,_xlfn.XLOOKUP(C1965,[1]AttributeName!$C:$C,[1]AttributeName!$I:$I),2,_xlfn.XLOOKUP(C1965,[1]ModifierDes!$B:$B,[1]ModifierDes!$C:$C),3,_xlfn.XLOOKUP(C1965,[1]StuntDes!$B:$B,[1]StuntDes!$C:$C)),"")</f>
        <v>冰冷倍率增加{0}</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395</v>
      </c>
      <c r="D1966" t="s">
        <v>24</v>
      </c>
      <c r="E1966" t="s">
        <v>393</v>
      </c>
      <c r="G1966">
        <v>1</v>
      </c>
      <c r="H1966">
        <v>600</v>
      </c>
      <c r="I1966">
        <v>1</v>
      </c>
      <c r="J1966" cm="1">
        <f t="array" ref="J1966">_xlfn.SWITCH(B1966,1,75,2,61,3,49,4,37,5,25,6,13,7,4,8,1)</f>
        <v>37</v>
      </c>
      <c r="K1966" t="str" cm="1">
        <f t="array" ref="K1966">IFERROR(_xlfn.SWITCH(L1966,1,_xlfn.XLOOKUP(C1966,[1]AttributeName!$C:$C,[1]AttributeName!$I:$I),2,_xlfn.XLOOKUP(C1966,[1]ModifierDes!$B:$B,[1]ModifierDes!$C:$C),3,_xlfn.XLOOKUP(C1966,[1]StuntDes!$B:$B,[1]StuntDes!$C:$C)),"")</f>
        <v>冰冷倍率增加{0}</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395</v>
      </c>
      <c r="D1967" t="s">
        <v>24</v>
      </c>
      <c r="E1967" t="s">
        <v>393</v>
      </c>
      <c r="G1967">
        <v>1</v>
      </c>
      <c r="H1967">
        <v>800</v>
      </c>
      <c r="I1967">
        <v>1</v>
      </c>
      <c r="J1967" cm="1">
        <f t="array" ref="J1967">_xlfn.SWITCH(B1967,1,75,2,61,3,49,4,37,5,25,6,13,7,4,8,1)</f>
        <v>25</v>
      </c>
      <c r="K1967" t="str" cm="1">
        <f t="array" ref="K1967">IFERROR(_xlfn.SWITCH(L1967,1,_xlfn.XLOOKUP(C1967,[1]AttributeName!$C:$C,[1]AttributeName!$I:$I),2,_xlfn.XLOOKUP(C1967,[1]ModifierDes!$B:$B,[1]ModifierDes!$C:$C),3,_xlfn.XLOOKUP(C1967,[1]StuntDes!$B:$B,[1]StuntDes!$C:$C)),"")</f>
        <v>冰冷倍率增加{0}</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395</v>
      </c>
      <c r="D1968" t="s">
        <v>24</v>
      </c>
      <c r="E1968" t="s">
        <v>393</v>
      </c>
      <c r="G1968">
        <v>1</v>
      </c>
      <c r="H1968">
        <v>1000</v>
      </c>
      <c r="I1968">
        <v>1</v>
      </c>
      <c r="J1968" cm="1">
        <f t="array" ref="J1968">_xlfn.SWITCH(B1968,1,75,2,61,3,49,4,37,5,25,6,13,7,4,8,1)</f>
        <v>13</v>
      </c>
      <c r="K1968" t="str" cm="1">
        <f t="array" ref="K1968">IFERROR(_xlfn.SWITCH(L1968,1,_xlfn.XLOOKUP(C1968,[1]AttributeName!$C:$C,[1]AttributeName!$I:$I),2,_xlfn.XLOOKUP(C1968,[1]ModifierDes!$B:$B,[1]ModifierDes!$C:$C),3,_xlfn.XLOOKUP(C1968,[1]StuntDes!$B:$B,[1]StuntDes!$C:$C)),"")</f>
        <v>冰冷倍率增加{0}</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395</v>
      </c>
      <c r="D1969" t="s">
        <v>24</v>
      </c>
      <c r="E1969" t="s">
        <v>393</v>
      </c>
      <c r="G1969">
        <v>1</v>
      </c>
      <c r="H1969">
        <v>1000</v>
      </c>
      <c r="I1969">
        <v>1</v>
      </c>
      <c r="J1969" cm="1">
        <f t="array" ref="J1969">_xlfn.SWITCH(B1969,1,75,2,61,3,49,4,37,5,25,6,13,7,4,8,1)</f>
        <v>4</v>
      </c>
      <c r="K1969" t="str" cm="1">
        <f t="array" ref="K1969">IFERROR(_xlfn.SWITCH(L1969,1,_xlfn.XLOOKUP(C1969,[1]AttributeName!$C:$C,[1]AttributeName!$I:$I),2,_xlfn.XLOOKUP(C1969,[1]ModifierDes!$B:$B,[1]ModifierDes!$C:$C),3,_xlfn.XLOOKUP(C1969,[1]StuntDes!$B:$B,[1]StuntDes!$C:$C)),"")</f>
        <v>冰冷倍率增加{0}</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395</v>
      </c>
      <c r="D1970" t="s">
        <v>24</v>
      </c>
      <c r="E1970" t="s">
        <v>393</v>
      </c>
      <c r="G1970">
        <v>1</v>
      </c>
      <c r="H1970">
        <v>1000</v>
      </c>
      <c r="I1970">
        <v>1</v>
      </c>
      <c r="J1970" cm="1">
        <f t="array" ref="J1970">_xlfn.SWITCH(B1970,1,75,2,61,3,49,4,37,5,25,6,13,7,4,8,1)</f>
        <v>1</v>
      </c>
      <c r="K1970" t="str" cm="1">
        <f t="array" ref="K1970">IFERROR(_xlfn.SWITCH(L1970,1,_xlfn.XLOOKUP(C1970,[1]AttributeName!$C:$C,[1]AttributeName!$I:$I),2,_xlfn.XLOOKUP(C1970,[1]ModifierDes!$B:$B,[1]ModifierDes!$C:$C),3,_xlfn.XLOOKUP(C1970,[1]StuntDes!$B:$B,[1]StuntDes!$C:$C)),"")</f>
        <v>冰冷倍率增加{0}</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396</v>
      </c>
      <c r="D1971" t="s">
        <v>24</v>
      </c>
      <c r="E1971" t="s">
        <v>393</v>
      </c>
      <c r="G1971">
        <v>1</v>
      </c>
      <c r="H1971">
        <v>100</v>
      </c>
      <c r="I1971">
        <v>1</v>
      </c>
      <c r="J1971" cm="1">
        <f t="array" ref="J1971">_xlfn.SWITCH(B1971,1,75,2,61,3,49,4,37,5,25,6,13,7,4,8,1)</f>
        <v>75</v>
      </c>
      <c r="K1971" t="str" cm="1">
        <f t="array" ref="K1971">IFERROR(_xlfn.SWITCH(L1971,1,_xlfn.XLOOKUP(C1971,[1]AttributeName!$C:$C,[1]AttributeName!$I:$I),2,_xlfn.XLOOKUP(C1971,[1]ModifierDes!$B:$B,[1]ModifierDes!$C:$C),3,_xlfn.XLOOKUP(C1971,[1]StuntDes!$B:$B,[1]StuntDes!$C:$C)),"")</f>
        <v>闪电倍率增加{0}</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396</v>
      </c>
      <c r="D1972" t="s">
        <v>24</v>
      </c>
      <c r="E1972" t="s">
        <v>393</v>
      </c>
      <c r="G1972">
        <v>1</v>
      </c>
      <c r="H1972">
        <v>200</v>
      </c>
      <c r="I1972">
        <v>1</v>
      </c>
      <c r="J1972" cm="1">
        <f t="array" ref="J1972">_xlfn.SWITCH(B1972,1,75,2,61,3,49,4,37,5,25,6,13,7,4,8,1)</f>
        <v>61</v>
      </c>
      <c r="K1972" t="str" cm="1">
        <f t="array" ref="K1972">IFERROR(_xlfn.SWITCH(L1972,1,_xlfn.XLOOKUP(C1972,[1]AttributeName!$C:$C,[1]AttributeName!$I:$I),2,_xlfn.XLOOKUP(C1972,[1]ModifierDes!$B:$B,[1]ModifierDes!$C:$C),3,_xlfn.XLOOKUP(C1972,[1]StuntDes!$B:$B,[1]StuntDes!$C:$C)),"")</f>
        <v>闪电倍率增加{0}</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396</v>
      </c>
      <c r="D1973" t="s">
        <v>24</v>
      </c>
      <c r="E1973" t="s">
        <v>393</v>
      </c>
      <c r="G1973">
        <v>1</v>
      </c>
      <c r="H1973">
        <v>400</v>
      </c>
      <c r="I1973">
        <v>1</v>
      </c>
      <c r="J1973" cm="1">
        <f t="array" ref="J1973">_xlfn.SWITCH(B1973,1,75,2,61,3,49,4,37,5,25,6,13,7,4,8,1)</f>
        <v>49</v>
      </c>
      <c r="K1973" t="str" cm="1">
        <f t="array" ref="K1973">IFERROR(_xlfn.SWITCH(L1973,1,_xlfn.XLOOKUP(C1973,[1]AttributeName!$C:$C,[1]AttributeName!$I:$I),2,_xlfn.XLOOKUP(C1973,[1]ModifierDes!$B:$B,[1]ModifierDes!$C:$C),3,_xlfn.XLOOKUP(C1973,[1]StuntDes!$B:$B,[1]StuntDes!$C:$C)),"")</f>
        <v>闪电倍率增加{0}</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396</v>
      </c>
      <c r="D1974" t="s">
        <v>24</v>
      </c>
      <c r="E1974" t="s">
        <v>393</v>
      </c>
      <c r="G1974">
        <v>1</v>
      </c>
      <c r="H1974">
        <v>600</v>
      </c>
      <c r="I1974">
        <v>1</v>
      </c>
      <c r="J1974" cm="1">
        <f t="array" ref="J1974">_xlfn.SWITCH(B1974,1,75,2,61,3,49,4,37,5,25,6,13,7,4,8,1)</f>
        <v>37</v>
      </c>
      <c r="K1974" t="str" cm="1">
        <f t="array" ref="K1974">IFERROR(_xlfn.SWITCH(L1974,1,_xlfn.XLOOKUP(C1974,[1]AttributeName!$C:$C,[1]AttributeName!$I:$I),2,_xlfn.XLOOKUP(C1974,[1]ModifierDes!$B:$B,[1]ModifierDes!$C:$C),3,_xlfn.XLOOKUP(C1974,[1]StuntDes!$B:$B,[1]StuntDes!$C:$C)),"")</f>
        <v>闪电倍率增加{0}</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396</v>
      </c>
      <c r="D1975" t="s">
        <v>24</v>
      </c>
      <c r="E1975" t="s">
        <v>393</v>
      </c>
      <c r="G1975">
        <v>1</v>
      </c>
      <c r="H1975">
        <v>800</v>
      </c>
      <c r="I1975">
        <v>1</v>
      </c>
      <c r="J1975" cm="1">
        <f t="array" ref="J1975">_xlfn.SWITCH(B1975,1,75,2,61,3,49,4,37,5,25,6,13,7,4,8,1)</f>
        <v>25</v>
      </c>
      <c r="K1975" t="str" cm="1">
        <f t="array" ref="K1975">IFERROR(_xlfn.SWITCH(L1975,1,_xlfn.XLOOKUP(C1975,[1]AttributeName!$C:$C,[1]AttributeName!$I:$I),2,_xlfn.XLOOKUP(C1975,[1]ModifierDes!$B:$B,[1]ModifierDes!$C:$C),3,_xlfn.XLOOKUP(C1975,[1]StuntDes!$B:$B,[1]StuntDes!$C:$C)),"")</f>
        <v>闪电倍率增加{0}</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396</v>
      </c>
      <c r="D1976" t="s">
        <v>24</v>
      </c>
      <c r="E1976" t="s">
        <v>393</v>
      </c>
      <c r="G1976">
        <v>1</v>
      </c>
      <c r="H1976">
        <v>1000</v>
      </c>
      <c r="I1976">
        <v>1</v>
      </c>
      <c r="J1976" cm="1">
        <f t="array" ref="J1976">_xlfn.SWITCH(B1976,1,75,2,61,3,49,4,37,5,25,6,13,7,4,8,1)</f>
        <v>13</v>
      </c>
      <c r="K1976" t="str" cm="1">
        <f t="array" ref="K1976">IFERROR(_xlfn.SWITCH(L1976,1,_xlfn.XLOOKUP(C1976,[1]AttributeName!$C:$C,[1]AttributeName!$I:$I),2,_xlfn.XLOOKUP(C1976,[1]ModifierDes!$B:$B,[1]ModifierDes!$C:$C),3,_xlfn.XLOOKUP(C1976,[1]StuntDes!$B:$B,[1]StuntDes!$C:$C)),"")</f>
        <v>闪电倍率增加{0}</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396</v>
      </c>
      <c r="D1977" t="s">
        <v>24</v>
      </c>
      <c r="E1977" t="s">
        <v>393</v>
      </c>
      <c r="G1977">
        <v>1</v>
      </c>
      <c r="H1977">
        <v>1000</v>
      </c>
      <c r="I1977">
        <v>1</v>
      </c>
      <c r="J1977" cm="1">
        <f t="array" ref="J1977">_xlfn.SWITCH(B1977,1,75,2,61,3,49,4,37,5,25,6,13,7,4,8,1)</f>
        <v>4</v>
      </c>
      <c r="K1977" t="str" cm="1">
        <f t="array" ref="K1977">IFERROR(_xlfn.SWITCH(L1977,1,_xlfn.XLOOKUP(C1977,[1]AttributeName!$C:$C,[1]AttributeName!$I:$I),2,_xlfn.XLOOKUP(C1977,[1]ModifierDes!$B:$B,[1]ModifierDes!$C:$C),3,_xlfn.XLOOKUP(C1977,[1]StuntDes!$B:$B,[1]StuntDes!$C:$C)),"")</f>
        <v>闪电倍率增加{0}</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396</v>
      </c>
      <c r="D1978" t="s">
        <v>24</v>
      </c>
      <c r="E1978" t="s">
        <v>393</v>
      </c>
      <c r="G1978">
        <v>1</v>
      </c>
      <c r="H1978">
        <v>1000</v>
      </c>
      <c r="I1978">
        <v>1</v>
      </c>
      <c r="J1978" cm="1">
        <f t="array" ref="J1978">_xlfn.SWITCH(B1978,1,75,2,61,3,49,4,37,5,25,6,13,7,4,8,1)</f>
        <v>1</v>
      </c>
      <c r="K1978" t="str" cm="1">
        <f t="array" ref="K1978">IFERROR(_xlfn.SWITCH(L1978,1,_xlfn.XLOOKUP(C1978,[1]AttributeName!$C:$C,[1]AttributeName!$I:$I),2,_xlfn.XLOOKUP(C1978,[1]ModifierDes!$B:$B,[1]ModifierDes!$C:$C),3,_xlfn.XLOOKUP(C1978,[1]StuntDes!$B:$B,[1]StuntDes!$C:$C)),"")</f>
        <v>闪电倍率增加{0}</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397</v>
      </c>
      <c r="D1979" t="s">
        <v>24</v>
      </c>
      <c r="E1979" t="s">
        <v>393</v>
      </c>
      <c r="G1979">
        <v>1</v>
      </c>
      <c r="H1979">
        <v>100</v>
      </c>
      <c r="I1979">
        <v>1</v>
      </c>
      <c r="J1979" cm="1">
        <f t="array" ref="J1979">_xlfn.SWITCH(B1979,1,75,2,61,3,49,4,37,5,25,6,13,7,4,8,1)</f>
        <v>75</v>
      </c>
      <c r="K1979" t="str" cm="1">
        <f t="array" ref="K1979">IFERROR(_xlfn.SWITCH(L1979,1,_xlfn.XLOOKUP(C1979,[1]AttributeName!$C:$C,[1]AttributeName!$I:$I),2,_xlfn.XLOOKUP(C1979,[1]ModifierDes!$B:$B,[1]ModifierDes!$C:$C),3,_xlfn.XLOOKUP(C1979,[1]StuntDes!$B:$B,[1]StuntDes!$C:$C)),"")</f>
        <v>混沌倍率增加{0}</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397</v>
      </c>
      <c r="D1980" t="s">
        <v>24</v>
      </c>
      <c r="E1980" t="s">
        <v>393</v>
      </c>
      <c r="G1980">
        <v>1</v>
      </c>
      <c r="H1980">
        <v>200</v>
      </c>
      <c r="I1980">
        <v>1</v>
      </c>
      <c r="J1980" cm="1">
        <f t="array" ref="J1980">_xlfn.SWITCH(B1980,1,75,2,61,3,49,4,37,5,25,6,13,7,4,8,1)</f>
        <v>61</v>
      </c>
      <c r="K1980" t="str" cm="1">
        <f t="array" ref="K1980">IFERROR(_xlfn.SWITCH(L1980,1,_xlfn.XLOOKUP(C1980,[1]AttributeName!$C:$C,[1]AttributeName!$I:$I),2,_xlfn.XLOOKUP(C1980,[1]ModifierDes!$B:$B,[1]ModifierDes!$C:$C),3,_xlfn.XLOOKUP(C1980,[1]StuntDes!$B:$B,[1]StuntDes!$C:$C)),"")</f>
        <v>混沌倍率增加{0}</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397</v>
      </c>
      <c r="D1981" t="s">
        <v>24</v>
      </c>
      <c r="E1981" t="s">
        <v>393</v>
      </c>
      <c r="G1981">
        <v>1</v>
      </c>
      <c r="H1981">
        <v>400</v>
      </c>
      <c r="I1981">
        <v>1</v>
      </c>
      <c r="J1981" cm="1">
        <f t="array" ref="J1981">_xlfn.SWITCH(B1981,1,75,2,61,3,49,4,37,5,25,6,13,7,4,8,1)</f>
        <v>49</v>
      </c>
      <c r="K1981" t="str" cm="1">
        <f t="array" ref="K1981">IFERROR(_xlfn.SWITCH(L1981,1,_xlfn.XLOOKUP(C1981,[1]AttributeName!$C:$C,[1]AttributeName!$I:$I),2,_xlfn.XLOOKUP(C1981,[1]ModifierDes!$B:$B,[1]ModifierDes!$C:$C),3,_xlfn.XLOOKUP(C1981,[1]StuntDes!$B:$B,[1]StuntDes!$C:$C)),"")</f>
        <v>混沌倍率增加{0}</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397</v>
      </c>
      <c r="D1982" t="s">
        <v>24</v>
      </c>
      <c r="E1982" t="s">
        <v>393</v>
      </c>
      <c r="G1982">
        <v>1</v>
      </c>
      <c r="H1982">
        <v>600</v>
      </c>
      <c r="I1982">
        <v>1</v>
      </c>
      <c r="J1982" cm="1">
        <f t="array" ref="J1982">_xlfn.SWITCH(B1982,1,75,2,61,3,49,4,37,5,25,6,13,7,4,8,1)</f>
        <v>37</v>
      </c>
      <c r="K1982" t="str" cm="1">
        <f t="array" ref="K1982">IFERROR(_xlfn.SWITCH(L1982,1,_xlfn.XLOOKUP(C1982,[1]AttributeName!$C:$C,[1]AttributeName!$I:$I),2,_xlfn.XLOOKUP(C1982,[1]ModifierDes!$B:$B,[1]ModifierDes!$C:$C),3,_xlfn.XLOOKUP(C1982,[1]StuntDes!$B:$B,[1]StuntDes!$C:$C)),"")</f>
        <v>混沌倍率增加{0}</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397</v>
      </c>
      <c r="D1983" t="s">
        <v>24</v>
      </c>
      <c r="E1983" t="s">
        <v>393</v>
      </c>
      <c r="G1983">
        <v>1</v>
      </c>
      <c r="H1983">
        <v>800</v>
      </c>
      <c r="I1983">
        <v>1</v>
      </c>
      <c r="J1983" cm="1">
        <f t="array" ref="J1983">_xlfn.SWITCH(B1983,1,75,2,61,3,49,4,37,5,25,6,13,7,4,8,1)</f>
        <v>25</v>
      </c>
      <c r="K1983" t="str" cm="1">
        <f t="array" ref="K1983">IFERROR(_xlfn.SWITCH(L1983,1,_xlfn.XLOOKUP(C1983,[1]AttributeName!$C:$C,[1]AttributeName!$I:$I),2,_xlfn.XLOOKUP(C1983,[1]ModifierDes!$B:$B,[1]ModifierDes!$C:$C),3,_xlfn.XLOOKUP(C1983,[1]StuntDes!$B:$B,[1]StuntDes!$C:$C)),"")</f>
        <v>混沌倍率增加{0}</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397</v>
      </c>
      <c r="D1984" t="s">
        <v>24</v>
      </c>
      <c r="E1984" t="s">
        <v>393</v>
      </c>
      <c r="G1984">
        <v>1</v>
      </c>
      <c r="H1984">
        <v>1000</v>
      </c>
      <c r="I1984">
        <v>1</v>
      </c>
      <c r="J1984" cm="1">
        <f t="array" ref="J1984">_xlfn.SWITCH(B1984,1,75,2,61,3,49,4,37,5,25,6,13,7,4,8,1)</f>
        <v>13</v>
      </c>
      <c r="K1984" t="str" cm="1">
        <f t="array" ref="K1984">IFERROR(_xlfn.SWITCH(L1984,1,_xlfn.XLOOKUP(C1984,[1]AttributeName!$C:$C,[1]AttributeName!$I:$I),2,_xlfn.XLOOKUP(C1984,[1]ModifierDes!$B:$B,[1]ModifierDes!$C:$C),3,_xlfn.XLOOKUP(C1984,[1]StuntDes!$B:$B,[1]StuntDes!$C:$C)),"")</f>
        <v>混沌倍率增加{0}</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397</v>
      </c>
      <c r="D1985" t="s">
        <v>24</v>
      </c>
      <c r="E1985" t="s">
        <v>393</v>
      </c>
      <c r="G1985">
        <v>1</v>
      </c>
      <c r="H1985">
        <v>1000</v>
      </c>
      <c r="I1985">
        <v>1</v>
      </c>
      <c r="J1985" cm="1">
        <f t="array" ref="J1985">_xlfn.SWITCH(B1985,1,75,2,61,3,49,4,37,5,25,6,13,7,4,8,1)</f>
        <v>4</v>
      </c>
      <c r="K1985" t="str" cm="1">
        <f t="array" ref="K1985">IFERROR(_xlfn.SWITCH(L1985,1,_xlfn.XLOOKUP(C1985,[1]AttributeName!$C:$C,[1]AttributeName!$I:$I),2,_xlfn.XLOOKUP(C1985,[1]ModifierDes!$B:$B,[1]ModifierDes!$C:$C),3,_xlfn.XLOOKUP(C1985,[1]StuntDes!$B:$B,[1]StuntDes!$C:$C)),"")</f>
        <v>混沌倍率增加{0}</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397</v>
      </c>
      <c r="D1986" t="s">
        <v>24</v>
      </c>
      <c r="E1986" t="s">
        <v>393</v>
      </c>
      <c r="G1986">
        <v>1</v>
      </c>
      <c r="H1986">
        <v>1000</v>
      </c>
      <c r="I1986">
        <v>1</v>
      </c>
      <c r="J1986" cm="1">
        <f t="array" ref="J1986">_xlfn.SWITCH(B1986,1,75,2,61,3,49,4,37,5,25,6,13,7,4,8,1)</f>
        <v>1</v>
      </c>
      <c r="K1986" t="str" cm="1">
        <f t="array" ref="K1986">IFERROR(_xlfn.SWITCH(L1986,1,_xlfn.XLOOKUP(C1986,[1]AttributeName!$C:$C,[1]AttributeName!$I:$I),2,_xlfn.XLOOKUP(C1986,[1]ModifierDes!$B:$B,[1]ModifierDes!$C:$C),3,_xlfn.XLOOKUP(C1986,[1]StuntDes!$B:$B,[1]StuntDes!$C:$C)),"")</f>
        <v>混沌倍率增加{0}</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398</v>
      </c>
      <c r="D1987" t="s">
        <v>24</v>
      </c>
      <c r="E1987" t="s">
        <v>393</v>
      </c>
      <c r="G1987">
        <v>1</v>
      </c>
      <c r="H1987">
        <v>1000</v>
      </c>
      <c r="J1987" cm="1">
        <f t="array" ref="J1987">_xlfn.SWITCH(B1987,1,75,2,61,3,49,4,37,5,25,6,13,7,4,8,1)</f>
        <v>75</v>
      </c>
      <c r="K1987" t="str" cm="1">
        <f t="array" ref="K1987">IFERROR(_xlfn.SWITCH(L1987,1,_xlfn.XLOOKUP(C1987,[1]AttributeName!$C:$C,[1]AttributeName!$I:$I),2,_xlfn.XLOOKUP(C1987,[1]ModifierDes!$B:$B,[1]ModifierDes!$C:$C),3,_xlfn.XLOOKUP(C1987,[1]StuntDes!$B:$B,[1]StuntDes!$C:$C)),"")</f>
        <v>获得物理伤害{0}</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398</v>
      </c>
      <c r="D1988" t="s">
        <v>24</v>
      </c>
      <c r="E1988" t="s">
        <v>393</v>
      </c>
      <c r="G1988">
        <v>1</v>
      </c>
      <c r="H1988">
        <v>1000</v>
      </c>
      <c r="J1988" cm="1">
        <f t="array" ref="J1988">_xlfn.SWITCH(B1988,1,75,2,61,3,49,4,37,5,25,6,13,7,4,8,1)</f>
        <v>61</v>
      </c>
      <c r="K1988" t="str" cm="1">
        <f t="array" ref="K1988">IFERROR(_xlfn.SWITCH(L1988,1,_xlfn.XLOOKUP(C1988,[1]AttributeName!$C:$C,[1]AttributeName!$I:$I),2,_xlfn.XLOOKUP(C1988,[1]ModifierDes!$B:$B,[1]ModifierDes!$C:$C),3,_xlfn.XLOOKUP(C1988,[1]StuntDes!$B:$B,[1]StuntDes!$C:$C)),"")</f>
        <v>获得物理伤害{0}</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398</v>
      </c>
      <c r="D1989" t="s">
        <v>24</v>
      </c>
      <c r="E1989" t="s">
        <v>393</v>
      </c>
      <c r="G1989">
        <v>1</v>
      </c>
      <c r="H1989">
        <v>1000</v>
      </c>
      <c r="J1989" cm="1">
        <f t="array" ref="J1989">_xlfn.SWITCH(B1989,1,75,2,61,3,49,4,37,5,25,6,13,7,4,8,1)</f>
        <v>49</v>
      </c>
      <c r="K1989" t="str" cm="1">
        <f t="array" ref="K1989">IFERROR(_xlfn.SWITCH(L1989,1,_xlfn.XLOOKUP(C1989,[1]AttributeName!$C:$C,[1]AttributeName!$I:$I),2,_xlfn.XLOOKUP(C1989,[1]ModifierDes!$B:$B,[1]ModifierDes!$C:$C),3,_xlfn.XLOOKUP(C1989,[1]StuntDes!$B:$B,[1]StuntDes!$C:$C)),"")</f>
        <v>获得物理伤害{0}</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398</v>
      </c>
      <c r="D1990" t="s">
        <v>24</v>
      </c>
      <c r="E1990" t="s">
        <v>393</v>
      </c>
      <c r="G1990">
        <v>1</v>
      </c>
      <c r="H1990">
        <v>1000</v>
      </c>
      <c r="J1990" cm="1">
        <f t="array" ref="J1990">_xlfn.SWITCH(B1990,1,75,2,61,3,49,4,37,5,25,6,13,7,4,8,1)</f>
        <v>37</v>
      </c>
      <c r="K1990" t="str" cm="1">
        <f t="array" ref="K1990">IFERROR(_xlfn.SWITCH(L1990,1,_xlfn.XLOOKUP(C1990,[1]AttributeName!$C:$C,[1]AttributeName!$I:$I),2,_xlfn.XLOOKUP(C1990,[1]ModifierDes!$B:$B,[1]ModifierDes!$C:$C),3,_xlfn.XLOOKUP(C1990,[1]StuntDes!$B:$B,[1]StuntDes!$C:$C)),"")</f>
        <v>获得物理伤害{0}</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398</v>
      </c>
      <c r="D1991" t="s">
        <v>24</v>
      </c>
      <c r="E1991" t="s">
        <v>393</v>
      </c>
      <c r="G1991">
        <v>1</v>
      </c>
      <c r="H1991">
        <v>1000</v>
      </c>
      <c r="J1991" cm="1">
        <f t="array" ref="J1991">_xlfn.SWITCH(B1991,1,75,2,61,3,49,4,37,5,25,6,13,7,4,8,1)</f>
        <v>25</v>
      </c>
      <c r="K1991" t="str" cm="1">
        <f t="array" ref="K1991">IFERROR(_xlfn.SWITCH(L1991,1,_xlfn.XLOOKUP(C1991,[1]AttributeName!$C:$C,[1]AttributeName!$I:$I),2,_xlfn.XLOOKUP(C1991,[1]ModifierDes!$B:$B,[1]ModifierDes!$C:$C),3,_xlfn.XLOOKUP(C1991,[1]StuntDes!$B:$B,[1]StuntDes!$C:$C)),"")</f>
        <v>获得物理伤害{0}</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398</v>
      </c>
      <c r="D1992" t="s">
        <v>24</v>
      </c>
      <c r="E1992" t="s">
        <v>393</v>
      </c>
      <c r="G1992">
        <v>1</v>
      </c>
      <c r="H1992">
        <v>1000</v>
      </c>
      <c r="J1992" cm="1">
        <f t="array" ref="J1992">_xlfn.SWITCH(B1992,1,75,2,61,3,49,4,37,5,25,6,13,7,4,8,1)</f>
        <v>13</v>
      </c>
      <c r="K1992" t="str" cm="1">
        <f t="array" ref="K1992">IFERROR(_xlfn.SWITCH(L1992,1,_xlfn.XLOOKUP(C1992,[1]AttributeName!$C:$C,[1]AttributeName!$I:$I),2,_xlfn.XLOOKUP(C1992,[1]ModifierDes!$B:$B,[1]ModifierDes!$C:$C),3,_xlfn.XLOOKUP(C1992,[1]StuntDes!$B:$B,[1]StuntDes!$C:$C)),"")</f>
        <v>获得物理伤害{0}</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398</v>
      </c>
      <c r="D1993" t="s">
        <v>24</v>
      </c>
      <c r="E1993" t="s">
        <v>393</v>
      </c>
      <c r="G1993">
        <v>1</v>
      </c>
      <c r="H1993">
        <v>1000</v>
      </c>
      <c r="J1993" cm="1">
        <f t="array" ref="J1993">_xlfn.SWITCH(B1993,1,75,2,61,3,49,4,37,5,25,6,13,7,4,8,1)</f>
        <v>4</v>
      </c>
      <c r="K1993" t="str" cm="1">
        <f t="array" ref="K1993">IFERROR(_xlfn.SWITCH(L1993,1,_xlfn.XLOOKUP(C1993,[1]AttributeName!$C:$C,[1]AttributeName!$I:$I),2,_xlfn.XLOOKUP(C1993,[1]ModifierDes!$B:$B,[1]ModifierDes!$C:$C),3,_xlfn.XLOOKUP(C1993,[1]StuntDes!$B:$B,[1]StuntDes!$C:$C)),"")</f>
        <v>获得物理伤害{0}</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398</v>
      </c>
      <c r="D1994" t="s">
        <v>24</v>
      </c>
      <c r="E1994" t="s">
        <v>393</v>
      </c>
      <c r="G1994">
        <v>1</v>
      </c>
      <c r="H1994">
        <v>1000</v>
      </c>
      <c r="J1994" cm="1">
        <f t="array" ref="J1994">_xlfn.SWITCH(B1994,1,75,2,61,3,49,4,37,5,25,6,13,7,4,8,1)</f>
        <v>1</v>
      </c>
      <c r="K1994" t="str" cm="1">
        <f t="array" ref="K1994">IFERROR(_xlfn.SWITCH(L1994,1,_xlfn.XLOOKUP(C1994,[1]AttributeName!$C:$C,[1]AttributeName!$I:$I),2,_xlfn.XLOOKUP(C1994,[1]ModifierDes!$B:$B,[1]ModifierDes!$C:$C),3,_xlfn.XLOOKUP(C1994,[1]StuntDes!$B:$B,[1]StuntDes!$C:$C)),"")</f>
        <v>获得物理伤害{0}</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399</v>
      </c>
      <c r="D1995" t="s">
        <v>24</v>
      </c>
      <c r="E1995" t="s">
        <v>393</v>
      </c>
      <c r="G1995">
        <v>1</v>
      </c>
      <c r="H1995">
        <v>1000</v>
      </c>
      <c r="J1995" cm="1">
        <f t="array" ref="J1995">_xlfn.SWITCH(B1995,1,75,2,61,3,49,4,37,5,25,6,13,7,4,8,1)</f>
        <v>75</v>
      </c>
      <c r="K1995" t="str" cm="1">
        <f t="array" ref="K1995">IFERROR(_xlfn.SWITCH(L1995,1,_xlfn.XLOOKUP(C1995,[1]AttributeName!$C:$C,[1]AttributeName!$I:$I),2,_xlfn.XLOOKUP(C1995,[1]ModifierDes!$B:$B,[1]ModifierDes!$C:$C),3,_xlfn.XLOOKUP(C1995,[1]StuntDes!$B:$B,[1]StuntDes!$C:$C)),"")</f>
        <v>获得火焰伤害{0}</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399</v>
      </c>
      <c r="D1996" t="s">
        <v>24</v>
      </c>
      <c r="E1996" t="s">
        <v>393</v>
      </c>
      <c r="G1996">
        <v>1</v>
      </c>
      <c r="H1996">
        <v>1000</v>
      </c>
      <c r="J1996" cm="1">
        <f t="array" ref="J1996">_xlfn.SWITCH(B1996,1,75,2,61,3,49,4,37,5,25,6,13,7,4,8,1)</f>
        <v>61</v>
      </c>
      <c r="K1996" t="str" cm="1">
        <f t="array" ref="K1996">IFERROR(_xlfn.SWITCH(L1996,1,_xlfn.XLOOKUP(C1996,[1]AttributeName!$C:$C,[1]AttributeName!$I:$I),2,_xlfn.XLOOKUP(C1996,[1]ModifierDes!$B:$B,[1]ModifierDes!$C:$C),3,_xlfn.XLOOKUP(C1996,[1]StuntDes!$B:$B,[1]StuntDes!$C:$C)),"")</f>
        <v>获得火焰伤害{0}</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399</v>
      </c>
      <c r="D1997" t="s">
        <v>24</v>
      </c>
      <c r="E1997" t="s">
        <v>393</v>
      </c>
      <c r="G1997">
        <v>1</v>
      </c>
      <c r="H1997">
        <v>1000</v>
      </c>
      <c r="J1997" cm="1">
        <f t="array" ref="J1997">_xlfn.SWITCH(B1997,1,75,2,61,3,49,4,37,5,25,6,13,7,4,8,1)</f>
        <v>49</v>
      </c>
      <c r="K1997" t="str" cm="1">
        <f t="array" ref="K1997">IFERROR(_xlfn.SWITCH(L1997,1,_xlfn.XLOOKUP(C1997,[1]AttributeName!$C:$C,[1]AttributeName!$I:$I),2,_xlfn.XLOOKUP(C1997,[1]ModifierDes!$B:$B,[1]ModifierDes!$C:$C),3,_xlfn.XLOOKUP(C1997,[1]StuntDes!$B:$B,[1]StuntDes!$C:$C)),"")</f>
        <v>获得火焰伤害{0}</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399</v>
      </c>
      <c r="D1998" t="s">
        <v>24</v>
      </c>
      <c r="E1998" t="s">
        <v>393</v>
      </c>
      <c r="G1998">
        <v>1</v>
      </c>
      <c r="H1998">
        <v>1000</v>
      </c>
      <c r="J1998" cm="1">
        <f t="array" ref="J1998">_xlfn.SWITCH(B1998,1,75,2,61,3,49,4,37,5,25,6,13,7,4,8,1)</f>
        <v>37</v>
      </c>
      <c r="K1998" t="str" cm="1">
        <f t="array" ref="K1998">IFERROR(_xlfn.SWITCH(L1998,1,_xlfn.XLOOKUP(C1998,[1]AttributeName!$C:$C,[1]AttributeName!$I:$I),2,_xlfn.XLOOKUP(C1998,[1]ModifierDes!$B:$B,[1]ModifierDes!$C:$C),3,_xlfn.XLOOKUP(C1998,[1]StuntDes!$B:$B,[1]StuntDes!$C:$C)),"")</f>
        <v>获得火焰伤害{0}</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399</v>
      </c>
      <c r="D1999" t="s">
        <v>24</v>
      </c>
      <c r="E1999" t="s">
        <v>393</v>
      </c>
      <c r="G1999">
        <v>1</v>
      </c>
      <c r="H1999">
        <v>1000</v>
      </c>
      <c r="J1999" cm="1">
        <f t="array" ref="J1999">_xlfn.SWITCH(B1999,1,75,2,61,3,49,4,37,5,25,6,13,7,4,8,1)</f>
        <v>25</v>
      </c>
      <c r="K1999" t="str" cm="1">
        <f t="array" ref="K1999">IFERROR(_xlfn.SWITCH(L1999,1,_xlfn.XLOOKUP(C1999,[1]AttributeName!$C:$C,[1]AttributeName!$I:$I),2,_xlfn.XLOOKUP(C1999,[1]ModifierDes!$B:$B,[1]ModifierDes!$C:$C),3,_xlfn.XLOOKUP(C1999,[1]StuntDes!$B:$B,[1]StuntDes!$C:$C)),"")</f>
        <v>获得火焰伤害{0}</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399</v>
      </c>
      <c r="D2000" t="s">
        <v>24</v>
      </c>
      <c r="E2000" t="s">
        <v>393</v>
      </c>
      <c r="G2000">
        <v>1</v>
      </c>
      <c r="H2000">
        <v>1000</v>
      </c>
      <c r="J2000" cm="1">
        <f t="array" ref="J2000">_xlfn.SWITCH(B2000,1,75,2,61,3,49,4,37,5,25,6,13,7,4,8,1)</f>
        <v>13</v>
      </c>
      <c r="K2000" t="str" cm="1">
        <f t="array" ref="K2000">IFERROR(_xlfn.SWITCH(L2000,1,_xlfn.XLOOKUP(C2000,[1]AttributeName!$C:$C,[1]AttributeName!$I:$I),2,_xlfn.XLOOKUP(C2000,[1]ModifierDes!$B:$B,[1]ModifierDes!$C:$C),3,_xlfn.XLOOKUP(C2000,[1]StuntDes!$B:$B,[1]StuntDes!$C:$C)),"")</f>
        <v>获得火焰伤害{0}</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399</v>
      </c>
      <c r="D2001" t="s">
        <v>24</v>
      </c>
      <c r="E2001" t="s">
        <v>393</v>
      </c>
      <c r="G2001">
        <v>1</v>
      </c>
      <c r="H2001">
        <v>1000</v>
      </c>
      <c r="J2001" cm="1">
        <f t="array" ref="J2001">_xlfn.SWITCH(B2001,1,75,2,61,3,49,4,37,5,25,6,13,7,4,8,1)</f>
        <v>4</v>
      </c>
      <c r="K2001" t="str" cm="1">
        <f t="array" ref="K2001">IFERROR(_xlfn.SWITCH(L2001,1,_xlfn.XLOOKUP(C2001,[1]AttributeName!$C:$C,[1]AttributeName!$I:$I),2,_xlfn.XLOOKUP(C2001,[1]ModifierDes!$B:$B,[1]ModifierDes!$C:$C),3,_xlfn.XLOOKUP(C2001,[1]StuntDes!$B:$B,[1]StuntDes!$C:$C)),"")</f>
        <v>获得火焰伤害{0}</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399</v>
      </c>
      <c r="D2002" t="s">
        <v>24</v>
      </c>
      <c r="E2002" t="s">
        <v>393</v>
      </c>
      <c r="G2002">
        <v>1</v>
      </c>
      <c r="H2002">
        <v>1000</v>
      </c>
      <c r="J2002" cm="1">
        <f t="array" ref="J2002">_xlfn.SWITCH(B2002,1,75,2,61,3,49,4,37,5,25,6,13,7,4,8,1)</f>
        <v>1</v>
      </c>
      <c r="K2002" t="str" cm="1">
        <f t="array" ref="K2002">IFERROR(_xlfn.SWITCH(L2002,1,_xlfn.XLOOKUP(C2002,[1]AttributeName!$C:$C,[1]AttributeName!$I:$I),2,_xlfn.XLOOKUP(C2002,[1]ModifierDes!$B:$B,[1]ModifierDes!$C:$C),3,_xlfn.XLOOKUP(C2002,[1]StuntDes!$B:$B,[1]StuntDes!$C:$C)),"")</f>
        <v>获得火焰伤害{0}</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400</v>
      </c>
      <c r="D2003" t="s">
        <v>24</v>
      </c>
      <c r="E2003" t="s">
        <v>393</v>
      </c>
      <c r="G2003">
        <v>1</v>
      </c>
      <c r="H2003">
        <v>1000</v>
      </c>
      <c r="J2003" cm="1">
        <f t="array" ref="J2003">_xlfn.SWITCH(B2003,1,75,2,61,3,49,4,37,5,25,6,13,7,4,8,1)</f>
        <v>75</v>
      </c>
      <c r="K2003" t="str" cm="1">
        <f t="array" ref="K2003">IFERROR(_xlfn.SWITCH(L2003,1,_xlfn.XLOOKUP(C2003,[1]AttributeName!$C:$C,[1]AttributeName!$I:$I),2,_xlfn.XLOOKUP(C2003,[1]ModifierDes!$B:$B,[1]ModifierDes!$C:$C),3,_xlfn.XLOOKUP(C2003,[1]StuntDes!$B:$B,[1]StuntDes!$C:$C)),"")</f>
        <v>获得冰冷伤害{0}</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400</v>
      </c>
      <c r="D2004" t="s">
        <v>24</v>
      </c>
      <c r="E2004" t="s">
        <v>393</v>
      </c>
      <c r="G2004">
        <v>1</v>
      </c>
      <c r="H2004">
        <v>1000</v>
      </c>
      <c r="J2004" cm="1">
        <f t="array" ref="J2004">_xlfn.SWITCH(B2004,1,75,2,61,3,49,4,37,5,25,6,13,7,4,8,1)</f>
        <v>61</v>
      </c>
      <c r="K2004" t="str" cm="1">
        <f t="array" ref="K2004">IFERROR(_xlfn.SWITCH(L2004,1,_xlfn.XLOOKUP(C2004,[1]AttributeName!$C:$C,[1]AttributeName!$I:$I),2,_xlfn.XLOOKUP(C2004,[1]ModifierDes!$B:$B,[1]ModifierDes!$C:$C),3,_xlfn.XLOOKUP(C2004,[1]StuntDes!$B:$B,[1]StuntDes!$C:$C)),"")</f>
        <v>获得冰冷伤害{0}</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400</v>
      </c>
      <c r="D2005" t="s">
        <v>24</v>
      </c>
      <c r="E2005" t="s">
        <v>393</v>
      </c>
      <c r="G2005">
        <v>1</v>
      </c>
      <c r="H2005">
        <v>1000</v>
      </c>
      <c r="J2005" cm="1">
        <f t="array" ref="J2005">_xlfn.SWITCH(B2005,1,75,2,61,3,49,4,37,5,25,6,13,7,4,8,1)</f>
        <v>49</v>
      </c>
      <c r="K2005" t="str" cm="1">
        <f t="array" ref="K2005">IFERROR(_xlfn.SWITCH(L2005,1,_xlfn.XLOOKUP(C2005,[1]AttributeName!$C:$C,[1]AttributeName!$I:$I),2,_xlfn.XLOOKUP(C2005,[1]ModifierDes!$B:$B,[1]ModifierDes!$C:$C),3,_xlfn.XLOOKUP(C2005,[1]StuntDes!$B:$B,[1]StuntDes!$C:$C)),"")</f>
        <v>获得冰冷伤害{0}</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400</v>
      </c>
      <c r="D2006" t="s">
        <v>24</v>
      </c>
      <c r="E2006" t="s">
        <v>393</v>
      </c>
      <c r="G2006">
        <v>1</v>
      </c>
      <c r="H2006">
        <v>1000</v>
      </c>
      <c r="J2006" cm="1">
        <f t="array" ref="J2006">_xlfn.SWITCH(B2006,1,75,2,61,3,49,4,37,5,25,6,13,7,4,8,1)</f>
        <v>37</v>
      </c>
      <c r="K2006" t="str" cm="1">
        <f t="array" ref="K2006">IFERROR(_xlfn.SWITCH(L2006,1,_xlfn.XLOOKUP(C2006,[1]AttributeName!$C:$C,[1]AttributeName!$I:$I),2,_xlfn.XLOOKUP(C2006,[1]ModifierDes!$B:$B,[1]ModifierDes!$C:$C),3,_xlfn.XLOOKUP(C2006,[1]StuntDes!$B:$B,[1]StuntDes!$C:$C)),"")</f>
        <v>获得冰冷伤害{0}</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400</v>
      </c>
      <c r="D2007" t="s">
        <v>24</v>
      </c>
      <c r="E2007" t="s">
        <v>393</v>
      </c>
      <c r="G2007">
        <v>1</v>
      </c>
      <c r="H2007">
        <v>1000</v>
      </c>
      <c r="J2007" cm="1">
        <f t="array" ref="J2007">_xlfn.SWITCH(B2007,1,75,2,61,3,49,4,37,5,25,6,13,7,4,8,1)</f>
        <v>25</v>
      </c>
      <c r="K2007" t="str" cm="1">
        <f t="array" ref="K2007">IFERROR(_xlfn.SWITCH(L2007,1,_xlfn.XLOOKUP(C2007,[1]AttributeName!$C:$C,[1]AttributeName!$I:$I),2,_xlfn.XLOOKUP(C2007,[1]ModifierDes!$B:$B,[1]ModifierDes!$C:$C),3,_xlfn.XLOOKUP(C2007,[1]StuntDes!$B:$B,[1]StuntDes!$C:$C)),"")</f>
        <v>获得冰冷伤害{0}</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400</v>
      </c>
      <c r="D2008" t="s">
        <v>24</v>
      </c>
      <c r="E2008" t="s">
        <v>393</v>
      </c>
      <c r="G2008">
        <v>1</v>
      </c>
      <c r="H2008">
        <v>1000</v>
      </c>
      <c r="J2008" cm="1">
        <f t="array" ref="J2008">_xlfn.SWITCH(B2008,1,75,2,61,3,49,4,37,5,25,6,13,7,4,8,1)</f>
        <v>13</v>
      </c>
      <c r="K2008" t="str" cm="1">
        <f t="array" ref="K2008">IFERROR(_xlfn.SWITCH(L2008,1,_xlfn.XLOOKUP(C2008,[1]AttributeName!$C:$C,[1]AttributeName!$I:$I),2,_xlfn.XLOOKUP(C2008,[1]ModifierDes!$B:$B,[1]ModifierDes!$C:$C),3,_xlfn.XLOOKUP(C2008,[1]StuntDes!$B:$B,[1]StuntDes!$C:$C)),"")</f>
        <v>获得冰冷伤害{0}</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400</v>
      </c>
      <c r="D2009" t="s">
        <v>24</v>
      </c>
      <c r="E2009" t="s">
        <v>393</v>
      </c>
      <c r="G2009">
        <v>1</v>
      </c>
      <c r="H2009">
        <v>1000</v>
      </c>
      <c r="J2009" cm="1">
        <f t="array" ref="J2009">_xlfn.SWITCH(B2009,1,75,2,61,3,49,4,37,5,25,6,13,7,4,8,1)</f>
        <v>4</v>
      </c>
      <c r="K2009" t="str" cm="1">
        <f t="array" ref="K2009">IFERROR(_xlfn.SWITCH(L2009,1,_xlfn.XLOOKUP(C2009,[1]AttributeName!$C:$C,[1]AttributeName!$I:$I),2,_xlfn.XLOOKUP(C2009,[1]ModifierDes!$B:$B,[1]ModifierDes!$C:$C),3,_xlfn.XLOOKUP(C2009,[1]StuntDes!$B:$B,[1]StuntDes!$C:$C)),"")</f>
        <v>获得冰冷伤害{0}</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400</v>
      </c>
      <c r="D2010" t="s">
        <v>24</v>
      </c>
      <c r="E2010" t="s">
        <v>393</v>
      </c>
      <c r="G2010">
        <v>1</v>
      </c>
      <c r="H2010">
        <v>1000</v>
      </c>
      <c r="J2010" cm="1">
        <f t="array" ref="J2010">_xlfn.SWITCH(B2010,1,75,2,61,3,49,4,37,5,25,6,13,7,4,8,1)</f>
        <v>1</v>
      </c>
      <c r="K2010" t="str" cm="1">
        <f t="array" ref="K2010">IFERROR(_xlfn.SWITCH(L2010,1,_xlfn.XLOOKUP(C2010,[1]AttributeName!$C:$C,[1]AttributeName!$I:$I),2,_xlfn.XLOOKUP(C2010,[1]ModifierDes!$B:$B,[1]ModifierDes!$C:$C),3,_xlfn.XLOOKUP(C2010,[1]StuntDes!$B:$B,[1]StuntDes!$C:$C)),"")</f>
        <v>获得冰冷伤害{0}</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401</v>
      </c>
      <c r="D2011" t="s">
        <v>24</v>
      </c>
      <c r="E2011" t="s">
        <v>393</v>
      </c>
      <c r="G2011">
        <v>1</v>
      </c>
      <c r="H2011">
        <v>1000</v>
      </c>
      <c r="J2011" cm="1">
        <f t="array" ref="J2011">_xlfn.SWITCH(B2011,1,75,2,61,3,49,4,37,5,25,6,13,7,4,8,1)</f>
        <v>75</v>
      </c>
      <c r="K2011" t="str" cm="1">
        <f t="array" ref="K2011">IFERROR(_xlfn.SWITCH(L2011,1,_xlfn.XLOOKUP(C2011,[1]AttributeName!$C:$C,[1]AttributeName!$I:$I),2,_xlfn.XLOOKUP(C2011,[1]ModifierDes!$B:$B,[1]ModifierDes!$C:$C),3,_xlfn.XLOOKUP(C2011,[1]StuntDes!$B:$B,[1]StuntDes!$C:$C)),"")</f>
        <v>获得闪电伤害{0}</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401</v>
      </c>
      <c r="D2012" t="s">
        <v>24</v>
      </c>
      <c r="E2012" t="s">
        <v>393</v>
      </c>
      <c r="G2012">
        <v>1</v>
      </c>
      <c r="H2012">
        <v>1000</v>
      </c>
      <c r="J2012" cm="1">
        <f t="array" ref="J2012">_xlfn.SWITCH(B2012,1,75,2,61,3,49,4,37,5,25,6,13,7,4,8,1)</f>
        <v>61</v>
      </c>
      <c r="K2012" t="str" cm="1">
        <f t="array" ref="K2012">IFERROR(_xlfn.SWITCH(L2012,1,_xlfn.XLOOKUP(C2012,[1]AttributeName!$C:$C,[1]AttributeName!$I:$I),2,_xlfn.XLOOKUP(C2012,[1]ModifierDes!$B:$B,[1]ModifierDes!$C:$C),3,_xlfn.XLOOKUP(C2012,[1]StuntDes!$B:$B,[1]StuntDes!$C:$C)),"")</f>
        <v>获得闪电伤害{0}</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401</v>
      </c>
      <c r="D2013" t="s">
        <v>24</v>
      </c>
      <c r="E2013" t="s">
        <v>393</v>
      </c>
      <c r="G2013">
        <v>1</v>
      </c>
      <c r="H2013">
        <v>1000</v>
      </c>
      <c r="J2013" cm="1">
        <f t="array" ref="J2013">_xlfn.SWITCH(B2013,1,75,2,61,3,49,4,37,5,25,6,13,7,4,8,1)</f>
        <v>49</v>
      </c>
      <c r="K2013" t="str" cm="1">
        <f t="array" ref="K2013">IFERROR(_xlfn.SWITCH(L2013,1,_xlfn.XLOOKUP(C2013,[1]AttributeName!$C:$C,[1]AttributeName!$I:$I),2,_xlfn.XLOOKUP(C2013,[1]ModifierDes!$B:$B,[1]ModifierDes!$C:$C),3,_xlfn.XLOOKUP(C2013,[1]StuntDes!$B:$B,[1]StuntDes!$C:$C)),"")</f>
        <v>获得闪电伤害{0}</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401</v>
      </c>
      <c r="D2014" t="s">
        <v>24</v>
      </c>
      <c r="E2014" t="s">
        <v>393</v>
      </c>
      <c r="G2014">
        <v>1</v>
      </c>
      <c r="H2014">
        <v>1000</v>
      </c>
      <c r="J2014" cm="1">
        <f t="array" ref="J2014">_xlfn.SWITCH(B2014,1,75,2,61,3,49,4,37,5,25,6,13,7,4,8,1)</f>
        <v>37</v>
      </c>
      <c r="K2014" t="str" cm="1">
        <f t="array" ref="K2014">IFERROR(_xlfn.SWITCH(L2014,1,_xlfn.XLOOKUP(C2014,[1]AttributeName!$C:$C,[1]AttributeName!$I:$I),2,_xlfn.XLOOKUP(C2014,[1]ModifierDes!$B:$B,[1]ModifierDes!$C:$C),3,_xlfn.XLOOKUP(C2014,[1]StuntDes!$B:$B,[1]StuntDes!$C:$C)),"")</f>
        <v>获得闪电伤害{0}</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401</v>
      </c>
      <c r="D2015" t="s">
        <v>24</v>
      </c>
      <c r="E2015" t="s">
        <v>393</v>
      </c>
      <c r="G2015">
        <v>1</v>
      </c>
      <c r="H2015">
        <v>1000</v>
      </c>
      <c r="J2015" cm="1">
        <f t="array" ref="J2015">_xlfn.SWITCH(B2015,1,75,2,61,3,49,4,37,5,25,6,13,7,4,8,1)</f>
        <v>25</v>
      </c>
      <c r="K2015" t="str" cm="1">
        <f t="array" ref="K2015">IFERROR(_xlfn.SWITCH(L2015,1,_xlfn.XLOOKUP(C2015,[1]AttributeName!$C:$C,[1]AttributeName!$I:$I),2,_xlfn.XLOOKUP(C2015,[1]ModifierDes!$B:$B,[1]ModifierDes!$C:$C),3,_xlfn.XLOOKUP(C2015,[1]StuntDes!$B:$B,[1]StuntDes!$C:$C)),"")</f>
        <v>获得闪电伤害{0}</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401</v>
      </c>
      <c r="D2016" t="s">
        <v>24</v>
      </c>
      <c r="E2016" t="s">
        <v>393</v>
      </c>
      <c r="G2016">
        <v>1</v>
      </c>
      <c r="H2016">
        <v>1000</v>
      </c>
      <c r="J2016" cm="1">
        <f t="array" ref="J2016">_xlfn.SWITCH(B2016,1,75,2,61,3,49,4,37,5,25,6,13,7,4,8,1)</f>
        <v>13</v>
      </c>
      <c r="K2016" t="str" cm="1">
        <f t="array" ref="K2016">IFERROR(_xlfn.SWITCH(L2016,1,_xlfn.XLOOKUP(C2016,[1]AttributeName!$C:$C,[1]AttributeName!$I:$I),2,_xlfn.XLOOKUP(C2016,[1]ModifierDes!$B:$B,[1]ModifierDes!$C:$C),3,_xlfn.XLOOKUP(C2016,[1]StuntDes!$B:$B,[1]StuntDes!$C:$C)),"")</f>
        <v>获得闪电伤害{0}</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401</v>
      </c>
      <c r="D2017" t="s">
        <v>24</v>
      </c>
      <c r="E2017" t="s">
        <v>393</v>
      </c>
      <c r="G2017">
        <v>1</v>
      </c>
      <c r="H2017">
        <v>1000</v>
      </c>
      <c r="J2017" cm="1">
        <f t="array" ref="J2017">_xlfn.SWITCH(B2017,1,75,2,61,3,49,4,37,5,25,6,13,7,4,8,1)</f>
        <v>4</v>
      </c>
      <c r="K2017" t="str" cm="1">
        <f t="array" ref="K2017">IFERROR(_xlfn.SWITCH(L2017,1,_xlfn.XLOOKUP(C2017,[1]AttributeName!$C:$C,[1]AttributeName!$I:$I),2,_xlfn.XLOOKUP(C2017,[1]ModifierDes!$B:$B,[1]ModifierDes!$C:$C),3,_xlfn.XLOOKUP(C2017,[1]StuntDes!$B:$B,[1]StuntDes!$C:$C)),"")</f>
        <v>获得闪电伤害{0}</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401</v>
      </c>
      <c r="D2018" t="s">
        <v>24</v>
      </c>
      <c r="E2018" t="s">
        <v>393</v>
      </c>
      <c r="G2018">
        <v>1</v>
      </c>
      <c r="H2018">
        <v>1000</v>
      </c>
      <c r="J2018" cm="1">
        <f t="array" ref="J2018">_xlfn.SWITCH(B2018,1,75,2,61,3,49,4,37,5,25,6,13,7,4,8,1)</f>
        <v>1</v>
      </c>
      <c r="K2018" t="str" cm="1">
        <f t="array" ref="K2018">IFERROR(_xlfn.SWITCH(L2018,1,_xlfn.XLOOKUP(C2018,[1]AttributeName!$C:$C,[1]AttributeName!$I:$I),2,_xlfn.XLOOKUP(C2018,[1]ModifierDes!$B:$B,[1]ModifierDes!$C:$C),3,_xlfn.XLOOKUP(C2018,[1]StuntDes!$B:$B,[1]StuntDes!$C:$C)),"")</f>
        <v>获得闪电伤害{0}</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402</v>
      </c>
      <c r="D2019" t="s">
        <v>24</v>
      </c>
      <c r="E2019" t="s">
        <v>393</v>
      </c>
      <c r="G2019">
        <v>1</v>
      </c>
      <c r="H2019">
        <v>1000</v>
      </c>
      <c r="J2019" cm="1">
        <f t="array" ref="J2019">_xlfn.SWITCH(B2019,1,75,2,61,3,49,4,37,5,25,6,13,7,4,8,1)</f>
        <v>75</v>
      </c>
      <c r="K2019" t="str" cm="1">
        <f t="array" ref="K2019">IFERROR(_xlfn.SWITCH(L2019,1,_xlfn.XLOOKUP(C2019,[1]AttributeName!$C:$C,[1]AttributeName!$I:$I),2,_xlfn.XLOOKUP(C2019,[1]ModifierDes!$B:$B,[1]ModifierDes!$C:$C),3,_xlfn.XLOOKUP(C2019,[1]StuntDes!$B:$B,[1]StuntDes!$C:$C)),"")</f>
        <v>获得混沌伤害{0}</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402</v>
      </c>
      <c r="D2020" t="s">
        <v>24</v>
      </c>
      <c r="E2020" t="s">
        <v>393</v>
      </c>
      <c r="G2020">
        <v>1</v>
      </c>
      <c r="H2020">
        <v>1000</v>
      </c>
      <c r="J2020" cm="1">
        <f t="array" ref="J2020">_xlfn.SWITCH(B2020,1,75,2,61,3,49,4,37,5,25,6,13,7,4,8,1)</f>
        <v>61</v>
      </c>
      <c r="K2020" t="str" cm="1">
        <f t="array" ref="K2020">IFERROR(_xlfn.SWITCH(L2020,1,_xlfn.XLOOKUP(C2020,[1]AttributeName!$C:$C,[1]AttributeName!$I:$I),2,_xlfn.XLOOKUP(C2020,[1]ModifierDes!$B:$B,[1]ModifierDes!$C:$C),3,_xlfn.XLOOKUP(C2020,[1]StuntDes!$B:$B,[1]StuntDes!$C:$C)),"")</f>
        <v>获得混沌伤害{0}</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402</v>
      </c>
      <c r="D2021" t="s">
        <v>24</v>
      </c>
      <c r="E2021" t="s">
        <v>393</v>
      </c>
      <c r="G2021">
        <v>1</v>
      </c>
      <c r="H2021">
        <v>1000</v>
      </c>
      <c r="J2021" cm="1">
        <f t="array" ref="J2021">_xlfn.SWITCH(B2021,1,75,2,61,3,49,4,37,5,25,6,13,7,4,8,1)</f>
        <v>49</v>
      </c>
      <c r="K2021" t="str" cm="1">
        <f t="array" ref="K2021">IFERROR(_xlfn.SWITCH(L2021,1,_xlfn.XLOOKUP(C2021,[1]AttributeName!$C:$C,[1]AttributeName!$I:$I),2,_xlfn.XLOOKUP(C2021,[1]ModifierDes!$B:$B,[1]ModifierDes!$C:$C),3,_xlfn.XLOOKUP(C2021,[1]StuntDes!$B:$B,[1]StuntDes!$C:$C)),"")</f>
        <v>获得混沌伤害{0}</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402</v>
      </c>
      <c r="D2022" t="s">
        <v>24</v>
      </c>
      <c r="E2022" t="s">
        <v>393</v>
      </c>
      <c r="G2022">
        <v>1</v>
      </c>
      <c r="H2022">
        <v>1000</v>
      </c>
      <c r="J2022" cm="1">
        <f t="array" ref="J2022">_xlfn.SWITCH(B2022,1,75,2,61,3,49,4,37,5,25,6,13,7,4,8,1)</f>
        <v>37</v>
      </c>
      <c r="K2022" t="str" cm="1">
        <f t="array" ref="K2022">IFERROR(_xlfn.SWITCH(L2022,1,_xlfn.XLOOKUP(C2022,[1]AttributeName!$C:$C,[1]AttributeName!$I:$I),2,_xlfn.XLOOKUP(C2022,[1]ModifierDes!$B:$B,[1]ModifierDes!$C:$C),3,_xlfn.XLOOKUP(C2022,[1]StuntDes!$B:$B,[1]StuntDes!$C:$C)),"")</f>
        <v>获得混沌伤害{0}</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402</v>
      </c>
      <c r="D2023" t="s">
        <v>24</v>
      </c>
      <c r="E2023" t="s">
        <v>393</v>
      </c>
      <c r="G2023">
        <v>1</v>
      </c>
      <c r="H2023">
        <v>1000</v>
      </c>
      <c r="J2023" cm="1">
        <f t="array" ref="J2023">_xlfn.SWITCH(B2023,1,75,2,61,3,49,4,37,5,25,6,13,7,4,8,1)</f>
        <v>25</v>
      </c>
      <c r="K2023" t="str" cm="1">
        <f t="array" ref="K2023">IFERROR(_xlfn.SWITCH(L2023,1,_xlfn.XLOOKUP(C2023,[1]AttributeName!$C:$C,[1]AttributeName!$I:$I),2,_xlfn.XLOOKUP(C2023,[1]ModifierDes!$B:$B,[1]ModifierDes!$C:$C),3,_xlfn.XLOOKUP(C2023,[1]StuntDes!$B:$B,[1]StuntDes!$C:$C)),"")</f>
        <v>获得混沌伤害{0}</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402</v>
      </c>
      <c r="D2024" t="s">
        <v>24</v>
      </c>
      <c r="E2024" t="s">
        <v>393</v>
      </c>
      <c r="G2024">
        <v>1</v>
      </c>
      <c r="H2024">
        <v>1000</v>
      </c>
      <c r="J2024" cm="1">
        <f t="array" ref="J2024">_xlfn.SWITCH(B2024,1,75,2,61,3,49,4,37,5,25,6,13,7,4,8,1)</f>
        <v>13</v>
      </c>
      <c r="K2024" t="str" cm="1">
        <f t="array" ref="K2024">IFERROR(_xlfn.SWITCH(L2024,1,_xlfn.XLOOKUP(C2024,[1]AttributeName!$C:$C,[1]AttributeName!$I:$I),2,_xlfn.XLOOKUP(C2024,[1]ModifierDes!$B:$B,[1]ModifierDes!$C:$C),3,_xlfn.XLOOKUP(C2024,[1]StuntDes!$B:$B,[1]StuntDes!$C:$C)),"")</f>
        <v>获得混沌伤害{0}</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402</v>
      </c>
      <c r="D2025" t="s">
        <v>24</v>
      </c>
      <c r="E2025" t="s">
        <v>393</v>
      </c>
      <c r="G2025">
        <v>1</v>
      </c>
      <c r="H2025">
        <v>1000</v>
      </c>
      <c r="J2025" cm="1">
        <f t="array" ref="J2025">_xlfn.SWITCH(B2025,1,75,2,61,3,49,4,37,5,25,6,13,7,4,8,1)</f>
        <v>4</v>
      </c>
      <c r="K2025" t="str" cm="1">
        <f t="array" ref="K2025">IFERROR(_xlfn.SWITCH(L2025,1,_xlfn.XLOOKUP(C2025,[1]AttributeName!$C:$C,[1]AttributeName!$I:$I),2,_xlfn.XLOOKUP(C2025,[1]ModifierDes!$B:$B,[1]ModifierDes!$C:$C),3,_xlfn.XLOOKUP(C2025,[1]StuntDes!$B:$B,[1]StuntDes!$C:$C)),"")</f>
        <v>获得混沌伤害{0}</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402</v>
      </c>
      <c r="D2026" t="s">
        <v>24</v>
      </c>
      <c r="E2026" t="s">
        <v>393</v>
      </c>
      <c r="G2026">
        <v>1</v>
      </c>
      <c r="H2026">
        <v>1000</v>
      </c>
      <c r="J2026" cm="1">
        <f t="array" ref="J2026">_xlfn.SWITCH(B2026,1,75,2,61,3,49,4,37,5,25,6,13,7,4,8,1)</f>
        <v>1</v>
      </c>
      <c r="K2026" t="str" cm="1">
        <f t="array" ref="K2026">IFERROR(_xlfn.SWITCH(L2026,1,_xlfn.XLOOKUP(C2026,[1]AttributeName!$C:$C,[1]AttributeName!$I:$I),2,_xlfn.XLOOKUP(C2026,[1]ModifierDes!$B:$B,[1]ModifierDes!$C:$C),3,_xlfn.XLOOKUP(C2026,[1]StuntDes!$B:$B,[1]StuntDes!$C:$C)),"")</f>
        <v>获得混沌伤害{0}</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444</v>
      </c>
      <c r="D2027" t="s">
        <v>24</v>
      </c>
      <c r="E2027" t="s">
        <v>393</v>
      </c>
      <c r="G2027">
        <v>1</v>
      </c>
      <c r="H2027">
        <v>1000</v>
      </c>
      <c r="J2027" cm="1">
        <f t="array" ref="J2027">_xlfn.SWITCH(B2027,1,75,2,61,3,49,4,37,5,25,6,13,7,4,8,1)</f>
        <v>75</v>
      </c>
      <c r="K2027" t="str" cm="1">
        <f t="array" ref="K2027">IFERROR(_xlfn.SWITCH(L2027,1,_xlfn.XLOOKUP(C2027,[1]AttributeName!$C:$C,[1]AttributeName!$I:$I),2,_xlfn.XLOOKUP(C2027,[1]ModifierDes!$B:$B,[1]ModifierDes!$C:$C),3,_xlfn.XLOOKUP(C2027,[1]StuntDes!$B:$B,[1]StuntDes!$C:$C)),"")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444</v>
      </c>
      <c r="D2028" t="s">
        <v>24</v>
      </c>
      <c r="E2028" t="s">
        <v>393</v>
      </c>
      <c r="G2028">
        <v>1</v>
      </c>
      <c r="H2028">
        <v>1000</v>
      </c>
      <c r="J2028" cm="1">
        <f t="array" ref="J2028">_xlfn.SWITCH(B2028,1,75,2,61,3,49,4,37,5,25,6,13,7,4,8,1)</f>
        <v>61</v>
      </c>
      <c r="K2028" t="str" cm="1">
        <f t="array" ref="K2028">IFERROR(_xlfn.SWITCH(L2028,1,_xlfn.XLOOKUP(C2028,[1]AttributeName!$C:$C,[1]AttributeName!$I:$I),2,_xlfn.XLOOKUP(C2028,[1]ModifierDes!$B:$B,[1]ModifierDes!$C:$C),3,_xlfn.XLOOKUP(C2028,[1]StuntDes!$B:$B,[1]StuntDes!$C:$C)),"")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444</v>
      </c>
      <c r="D2029" t="s">
        <v>24</v>
      </c>
      <c r="E2029" t="s">
        <v>393</v>
      </c>
      <c r="G2029">
        <v>1</v>
      </c>
      <c r="H2029">
        <v>1000</v>
      </c>
      <c r="J2029" cm="1">
        <f t="array" ref="J2029">_xlfn.SWITCH(B2029,1,75,2,61,3,49,4,37,5,25,6,13,7,4,8,1)</f>
        <v>49</v>
      </c>
      <c r="K2029" t="str" cm="1">
        <f t="array" ref="K2029">IFERROR(_xlfn.SWITCH(L2029,1,_xlfn.XLOOKUP(C2029,[1]AttributeName!$C:$C,[1]AttributeName!$I:$I),2,_xlfn.XLOOKUP(C2029,[1]ModifierDes!$B:$B,[1]ModifierDes!$C:$C),3,_xlfn.XLOOKUP(C2029,[1]StuntDes!$B:$B,[1]StuntDes!$C:$C)),"")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444</v>
      </c>
      <c r="D2030" t="s">
        <v>24</v>
      </c>
      <c r="E2030" t="s">
        <v>393</v>
      </c>
      <c r="G2030">
        <v>1</v>
      </c>
      <c r="H2030">
        <v>1000</v>
      </c>
      <c r="J2030" cm="1">
        <f t="array" ref="J2030">_xlfn.SWITCH(B2030,1,75,2,61,3,49,4,37,5,25,6,13,7,4,8,1)</f>
        <v>37</v>
      </c>
      <c r="K2030" t="str" cm="1">
        <f t="array" ref="K2030">IFERROR(_xlfn.SWITCH(L2030,1,_xlfn.XLOOKUP(C2030,[1]AttributeName!$C:$C,[1]AttributeName!$I:$I),2,_xlfn.XLOOKUP(C2030,[1]ModifierDes!$B:$B,[1]ModifierDes!$C:$C),3,_xlfn.XLOOKUP(C2030,[1]StuntDes!$B:$B,[1]StuntDes!$C:$C)),"")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444</v>
      </c>
      <c r="D2031" t="s">
        <v>24</v>
      </c>
      <c r="E2031" t="s">
        <v>393</v>
      </c>
      <c r="G2031">
        <v>1</v>
      </c>
      <c r="H2031">
        <v>1000</v>
      </c>
      <c r="J2031" cm="1">
        <f t="array" ref="J2031">_xlfn.SWITCH(B2031,1,75,2,61,3,49,4,37,5,25,6,13,7,4,8,1)</f>
        <v>25</v>
      </c>
      <c r="K2031" t="str" cm="1">
        <f t="array" ref="K2031">IFERROR(_xlfn.SWITCH(L2031,1,_xlfn.XLOOKUP(C2031,[1]AttributeName!$C:$C,[1]AttributeName!$I:$I),2,_xlfn.XLOOKUP(C2031,[1]ModifierDes!$B:$B,[1]ModifierDes!$C:$C),3,_xlfn.XLOOKUP(C2031,[1]StuntDes!$B:$B,[1]StuntDes!$C:$C)),"")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444</v>
      </c>
      <c r="D2032" t="s">
        <v>24</v>
      </c>
      <c r="E2032" t="s">
        <v>393</v>
      </c>
      <c r="G2032">
        <v>1</v>
      </c>
      <c r="H2032">
        <v>1000</v>
      </c>
      <c r="J2032" cm="1">
        <f t="array" ref="J2032">_xlfn.SWITCH(B2032,1,75,2,61,3,49,4,37,5,25,6,13,7,4,8,1)</f>
        <v>13</v>
      </c>
      <c r="K2032" t="str" cm="1">
        <f t="array" ref="K2032">IFERROR(_xlfn.SWITCH(L2032,1,_xlfn.XLOOKUP(C2032,[1]AttributeName!$C:$C,[1]AttributeName!$I:$I),2,_xlfn.XLOOKUP(C2032,[1]ModifierDes!$B:$B,[1]ModifierDes!$C:$C),3,_xlfn.XLOOKUP(C2032,[1]StuntDes!$B:$B,[1]StuntDes!$C:$C)),"")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444</v>
      </c>
      <c r="D2033" t="s">
        <v>24</v>
      </c>
      <c r="E2033" t="s">
        <v>393</v>
      </c>
      <c r="G2033">
        <v>1</v>
      </c>
      <c r="H2033">
        <v>1000</v>
      </c>
      <c r="J2033" cm="1">
        <f t="array" ref="J2033">_xlfn.SWITCH(B2033,1,75,2,61,3,49,4,37,5,25,6,13,7,4,8,1)</f>
        <v>4</v>
      </c>
      <c r="K2033" t="str" cm="1">
        <f t="array" ref="K2033">IFERROR(_xlfn.SWITCH(L2033,1,_xlfn.XLOOKUP(C2033,[1]AttributeName!$C:$C,[1]AttributeName!$I:$I),2,_xlfn.XLOOKUP(C2033,[1]ModifierDes!$B:$B,[1]ModifierDes!$C:$C),3,_xlfn.XLOOKUP(C2033,[1]StuntDes!$B:$B,[1]StuntDes!$C:$C)),"")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444</v>
      </c>
      <c r="D2034" t="s">
        <v>24</v>
      </c>
      <c r="E2034" t="s">
        <v>393</v>
      </c>
      <c r="G2034">
        <v>1</v>
      </c>
      <c r="H2034">
        <v>1000</v>
      </c>
      <c r="J2034" cm="1">
        <f t="array" ref="J2034">_xlfn.SWITCH(B2034,1,75,2,61,3,49,4,37,5,25,6,13,7,4,8,1)</f>
        <v>1</v>
      </c>
      <c r="K2034" t="str" cm="1">
        <f t="array" ref="K2034">IFERROR(_xlfn.SWITCH(L2034,1,_xlfn.XLOOKUP(C2034,[1]AttributeName!$C:$C,[1]AttributeName!$I:$I),2,_xlfn.XLOOKUP(C2034,[1]ModifierDes!$B:$B,[1]ModifierDes!$C:$C),3,_xlfn.XLOOKUP(C2034,[1]StuntDes!$B:$B,[1]StuntDes!$C:$C)),"")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404</v>
      </c>
      <c r="D2035" t="s">
        <v>24</v>
      </c>
      <c r="E2035" t="s">
        <v>393</v>
      </c>
      <c r="G2035">
        <v>1</v>
      </c>
      <c r="H2035">
        <v>1000</v>
      </c>
      <c r="J2035" cm="1">
        <f t="array" ref="J2035">_xlfn.SWITCH(B2035,1,75,2,61,3,49,4,37,5,25,6,13,7,4,8,1)</f>
        <v>75</v>
      </c>
      <c r="K2035" t="str" cm="1">
        <f t="array" ref="K2035">IFERROR(_xlfn.SWITCH(L2035,1,_xlfn.XLOOKUP(C2035,[1]AttributeName!$C:$C,[1]AttributeName!$I:$I),2,_xlfn.XLOOKUP(C2035,[1]ModifierDes!$B:$B,[1]ModifierDes!$C:$C),3,_xlfn.XLOOKUP(C2035,[1]StuntDes!$B:$B,[1]StuntDes!$C:$C)),"")</f>
        <v>物理伤害提高{0}</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404</v>
      </c>
      <c r="D2036" t="s">
        <v>24</v>
      </c>
      <c r="E2036" t="s">
        <v>393</v>
      </c>
      <c r="G2036">
        <v>1</v>
      </c>
      <c r="H2036">
        <v>1000</v>
      </c>
      <c r="J2036" cm="1">
        <f t="array" ref="J2036">_xlfn.SWITCH(B2036,1,75,2,61,3,49,4,37,5,25,6,13,7,4,8,1)</f>
        <v>61</v>
      </c>
      <c r="K2036" t="str" cm="1">
        <f t="array" ref="K2036">IFERROR(_xlfn.SWITCH(L2036,1,_xlfn.XLOOKUP(C2036,[1]AttributeName!$C:$C,[1]AttributeName!$I:$I),2,_xlfn.XLOOKUP(C2036,[1]ModifierDes!$B:$B,[1]ModifierDes!$C:$C),3,_xlfn.XLOOKUP(C2036,[1]StuntDes!$B:$B,[1]StuntDes!$C:$C)),"")</f>
        <v>物理伤害提高{0}</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404</v>
      </c>
      <c r="D2037" t="s">
        <v>24</v>
      </c>
      <c r="E2037" t="s">
        <v>393</v>
      </c>
      <c r="G2037">
        <v>1</v>
      </c>
      <c r="H2037">
        <v>1000</v>
      </c>
      <c r="J2037" cm="1">
        <f t="array" ref="J2037">_xlfn.SWITCH(B2037,1,75,2,61,3,49,4,37,5,25,6,13,7,4,8,1)</f>
        <v>49</v>
      </c>
      <c r="K2037" t="str" cm="1">
        <f t="array" ref="K2037">IFERROR(_xlfn.SWITCH(L2037,1,_xlfn.XLOOKUP(C2037,[1]AttributeName!$C:$C,[1]AttributeName!$I:$I),2,_xlfn.XLOOKUP(C2037,[1]ModifierDes!$B:$B,[1]ModifierDes!$C:$C),3,_xlfn.XLOOKUP(C2037,[1]StuntDes!$B:$B,[1]StuntDes!$C:$C)),"")</f>
        <v>物理伤害提高{0}</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404</v>
      </c>
      <c r="D2038" t="s">
        <v>24</v>
      </c>
      <c r="E2038" t="s">
        <v>393</v>
      </c>
      <c r="G2038">
        <v>1</v>
      </c>
      <c r="H2038">
        <v>1000</v>
      </c>
      <c r="J2038" cm="1">
        <f t="array" ref="J2038">_xlfn.SWITCH(B2038,1,75,2,61,3,49,4,37,5,25,6,13,7,4,8,1)</f>
        <v>37</v>
      </c>
      <c r="K2038" t="str" cm="1">
        <f t="array" ref="K2038">IFERROR(_xlfn.SWITCH(L2038,1,_xlfn.XLOOKUP(C2038,[1]AttributeName!$C:$C,[1]AttributeName!$I:$I),2,_xlfn.XLOOKUP(C2038,[1]ModifierDes!$B:$B,[1]ModifierDes!$C:$C),3,_xlfn.XLOOKUP(C2038,[1]StuntDes!$B:$B,[1]StuntDes!$C:$C)),"")</f>
        <v>物理伤害提高{0}</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404</v>
      </c>
      <c r="D2039" t="s">
        <v>24</v>
      </c>
      <c r="E2039" t="s">
        <v>393</v>
      </c>
      <c r="G2039">
        <v>1</v>
      </c>
      <c r="H2039">
        <v>1000</v>
      </c>
      <c r="J2039" cm="1">
        <f t="array" ref="J2039">_xlfn.SWITCH(B2039,1,75,2,61,3,49,4,37,5,25,6,13,7,4,8,1)</f>
        <v>25</v>
      </c>
      <c r="K2039" t="str" cm="1">
        <f t="array" ref="K2039">IFERROR(_xlfn.SWITCH(L2039,1,_xlfn.XLOOKUP(C2039,[1]AttributeName!$C:$C,[1]AttributeName!$I:$I),2,_xlfn.XLOOKUP(C2039,[1]ModifierDes!$B:$B,[1]ModifierDes!$C:$C),3,_xlfn.XLOOKUP(C2039,[1]StuntDes!$B:$B,[1]StuntDes!$C:$C)),"")</f>
        <v>物理伤害提高{0}</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404</v>
      </c>
      <c r="D2040" t="s">
        <v>24</v>
      </c>
      <c r="E2040" t="s">
        <v>393</v>
      </c>
      <c r="G2040">
        <v>1</v>
      </c>
      <c r="H2040">
        <v>1000</v>
      </c>
      <c r="J2040" cm="1">
        <f t="array" ref="J2040">_xlfn.SWITCH(B2040,1,75,2,61,3,49,4,37,5,25,6,13,7,4,8,1)</f>
        <v>13</v>
      </c>
      <c r="K2040" t="str" cm="1">
        <f t="array" ref="K2040">IFERROR(_xlfn.SWITCH(L2040,1,_xlfn.XLOOKUP(C2040,[1]AttributeName!$C:$C,[1]AttributeName!$I:$I),2,_xlfn.XLOOKUP(C2040,[1]ModifierDes!$B:$B,[1]ModifierDes!$C:$C),3,_xlfn.XLOOKUP(C2040,[1]StuntDes!$B:$B,[1]StuntDes!$C:$C)),"")</f>
        <v>物理伤害提高{0}</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404</v>
      </c>
      <c r="D2041" t="s">
        <v>24</v>
      </c>
      <c r="E2041" t="s">
        <v>393</v>
      </c>
      <c r="G2041">
        <v>1</v>
      </c>
      <c r="H2041">
        <v>1000</v>
      </c>
      <c r="J2041" cm="1">
        <f t="array" ref="J2041">_xlfn.SWITCH(B2041,1,75,2,61,3,49,4,37,5,25,6,13,7,4,8,1)</f>
        <v>4</v>
      </c>
      <c r="K2041" t="str" cm="1">
        <f t="array" ref="K2041">IFERROR(_xlfn.SWITCH(L2041,1,_xlfn.XLOOKUP(C2041,[1]AttributeName!$C:$C,[1]AttributeName!$I:$I),2,_xlfn.XLOOKUP(C2041,[1]ModifierDes!$B:$B,[1]ModifierDes!$C:$C),3,_xlfn.XLOOKUP(C2041,[1]StuntDes!$B:$B,[1]StuntDes!$C:$C)),"")</f>
        <v>物理伤害提高{0}</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404</v>
      </c>
      <c r="D2042" t="s">
        <v>24</v>
      </c>
      <c r="E2042" t="s">
        <v>393</v>
      </c>
      <c r="G2042">
        <v>1</v>
      </c>
      <c r="H2042">
        <v>1000</v>
      </c>
      <c r="J2042" cm="1">
        <f t="array" ref="J2042">_xlfn.SWITCH(B2042,1,75,2,61,3,49,4,37,5,25,6,13,7,4,8,1)</f>
        <v>1</v>
      </c>
      <c r="K2042" t="str" cm="1">
        <f t="array" ref="K2042">IFERROR(_xlfn.SWITCH(L2042,1,_xlfn.XLOOKUP(C2042,[1]AttributeName!$C:$C,[1]AttributeName!$I:$I),2,_xlfn.XLOOKUP(C2042,[1]ModifierDes!$B:$B,[1]ModifierDes!$C:$C),3,_xlfn.XLOOKUP(C2042,[1]StuntDes!$B:$B,[1]StuntDes!$C:$C)),"")</f>
        <v>物理伤害提高{0}</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405</v>
      </c>
      <c r="D2043" t="s">
        <v>24</v>
      </c>
      <c r="E2043" t="s">
        <v>393</v>
      </c>
      <c r="G2043">
        <v>1</v>
      </c>
      <c r="H2043">
        <v>1000</v>
      </c>
      <c r="J2043" cm="1">
        <f t="array" ref="J2043">_xlfn.SWITCH(B2043,1,75,2,61,3,49,4,37,5,25,6,13,7,4,8,1)</f>
        <v>75</v>
      </c>
      <c r="K2043" t="str" cm="1">
        <f t="array" ref="K2043">IFERROR(_xlfn.SWITCH(L2043,1,_xlfn.XLOOKUP(C2043,[1]AttributeName!$C:$C,[1]AttributeName!$I:$I),2,_xlfn.XLOOKUP(C2043,[1]ModifierDes!$B:$B,[1]ModifierDes!$C:$C),3,_xlfn.XLOOKUP(C2043,[1]StuntDes!$B:$B,[1]StuntDes!$C:$C)),"")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405</v>
      </c>
      <c r="D2044" t="s">
        <v>24</v>
      </c>
      <c r="E2044" t="s">
        <v>393</v>
      </c>
      <c r="G2044">
        <v>1</v>
      </c>
      <c r="H2044">
        <v>1000</v>
      </c>
      <c r="J2044" cm="1">
        <f t="array" ref="J2044">_xlfn.SWITCH(B2044,1,75,2,61,3,49,4,37,5,25,6,13,7,4,8,1)</f>
        <v>61</v>
      </c>
      <c r="K2044" t="str" cm="1">
        <f t="array" ref="K2044">IFERROR(_xlfn.SWITCH(L2044,1,_xlfn.XLOOKUP(C2044,[1]AttributeName!$C:$C,[1]AttributeName!$I:$I),2,_xlfn.XLOOKUP(C2044,[1]ModifierDes!$B:$B,[1]ModifierDes!$C:$C),3,_xlfn.XLOOKUP(C2044,[1]StuntDes!$B:$B,[1]StuntDes!$C:$C)),"")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405</v>
      </c>
      <c r="D2045" t="s">
        <v>24</v>
      </c>
      <c r="E2045" t="s">
        <v>393</v>
      </c>
      <c r="G2045">
        <v>1</v>
      </c>
      <c r="H2045">
        <v>1000</v>
      </c>
      <c r="J2045" cm="1">
        <f t="array" ref="J2045">_xlfn.SWITCH(B2045,1,75,2,61,3,49,4,37,5,25,6,13,7,4,8,1)</f>
        <v>49</v>
      </c>
      <c r="K2045" t="str" cm="1">
        <f t="array" ref="K2045">IFERROR(_xlfn.SWITCH(L2045,1,_xlfn.XLOOKUP(C2045,[1]AttributeName!$C:$C,[1]AttributeName!$I:$I),2,_xlfn.XLOOKUP(C2045,[1]ModifierDes!$B:$B,[1]ModifierDes!$C:$C),3,_xlfn.XLOOKUP(C2045,[1]StuntDes!$B:$B,[1]StuntDes!$C:$C)),"")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405</v>
      </c>
      <c r="D2046" t="s">
        <v>24</v>
      </c>
      <c r="E2046" t="s">
        <v>393</v>
      </c>
      <c r="G2046">
        <v>1</v>
      </c>
      <c r="H2046">
        <v>1000</v>
      </c>
      <c r="J2046" cm="1">
        <f t="array" ref="J2046">_xlfn.SWITCH(B2046,1,75,2,61,3,49,4,37,5,25,6,13,7,4,8,1)</f>
        <v>37</v>
      </c>
      <c r="K2046" t="str" cm="1">
        <f t="array" ref="K2046">IFERROR(_xlfn.SWITCH(L2046,1,_xlfn.XLOOKUP(C2046,[1]AttributeName!$C:$C,[1]AttributeName!$I:$I),2,_xlfn.XLOOKUP(C2046,[1]ModifierDes!$B:$B,[1]ModifierDes!$C:$C),3,_xlfn.XLOOKUP(C2046,[1]StuntDes!$B:$B,[1]StuntDes!$C:$C)),"")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405</v>
      </c>
      <c r="D2047" t="s">
        <v>24</v>
      </c>
      <c r="E2047" t="s">
        <v>393</v>
      </c>
      <c r="G2047">
        <v>1</v>
      </c>
      <c r="H2047">
        <v>1000</v>
      </c>
      <c r="J2047" cm="1">
        <f t="array" ref="J2047">_xlfn.SWITCH(B2047,1,75,2,61,3,49,4,37,5,25,6,13,7,4,8,1)</f>
        <v>25</v>
      </c>
      <c r="K2047" t="str" cm="1">
        <f t="array" ref="K2047">IFERROR(_xlfn.SWITCH(L2047,1,_xlfn.XLOOKUP(C2047,[1]AttributeName!$C:$C,[1]AttributeName!$I:$I),2,_xlfn.XLOOKUP(C2047,[1]ModifierDes!$B:$B,[1]ModifierDes!$C:$C),3,_xlfn.XLOOKUP(C2047,[1]StuntDes!$B:$B,[1]StuntDes!$C:$C)),"")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405</v>
      </c>
      <c r="D2048" t="s">
        <v>24</v>
      </c>
      <c r="E2048" t="s">
        <v>393</v>
      </c>
      <c r="G2048">
        <v>1</v>
      </c>
      <c r="H2048">
        <v>1000</v>
      </c>
      <c r="J2048" cm="1">
        <f t="array" ref="J2048">_xlfn.SWITCH(B2048,1,75,2,61,3,49,4,37,5,25,6,13,7,4,8,1)</f>
        <v>13</v>
      </c>
      <c r="K2048" t="str" cm="1">
        <f t="array" ref="K2048">IFERROR(_xlfn.SWITCH(L2048,1,_xlfn.XLOOKUP(C2048,[1]AttributeName!$C:$C,[1]AttributeName!$I:$I),2,_xlfn.XLOOKUP(C2048,[1]ModifierDes!$B:$B,[1]ModifierDes!$C:$C),3,_xlfn.XLOOKUP(C2048,[1]StuntDes!$B:$B,[1]StuntDes!$C:$C)),"")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405</v>
      </c>
      <c r="D2049" t="s">
        <v>24</v>
      </c>
      <c r="E2049" t="s">
        <v>393</v>
      </c>
      <c r="G2049">
        <v>1</v>
      </c>
      <c r="H2049">
        <v>1000</v>
      </c>
      <c r="J2049" cm="1">
        <f t="array" ref="J2049">_xlfn.SWITCH(B2049,1,75,2,61,3,49,4,37,5,25,6,13,7,4,8,1)</f>
        <v>4</v>
      </c>
      <c r="K2049" t="str" cm="1">
        <f t="array" ref="K2049">IFERROR(_xlfn.SWITCH(L2049,1,_xlfn.XLOOKUP(C2049,[1]AttributeName!$C:$C,[1]AttributeName!$I:$I),2,_xlfn.XLOOKUP(C2049,[1]ModifierDes!$B:$B,[1]ModifierDes!$C:$C),3,_xlfn.XLOOKUP(C2049,[1]StuntDes!$B:$B,[1]StuntDes!$C:$C)),"")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405</v>
      </c>
      <c r="D2050" t="s">
        <v>24</v>
      </c>
      <c r="E2050" t="s">
        <v>393</v>
      </c>
      <c r="G2050">
        <v>1</v>
      </c>
      <c r="H2050">
        <v>1000</v>
      </c>
      <c r="J2050" cm="1">
        <f t="array" ref="J2050">_xlfn.SWITCH(B2050,1,75,2,61,3,49,4,37,5,25,6,13,7,4,8,1)</f>
        <v>1</v>
      </c>
      <c r="K2050" t="str" cm="1">
        <f t="array" ref="K2050">IFERROR(_xlfn.SWITCH(L2050,1,_xlfn.XLOOKUP(C2050,[1]AttributeName!$C:$C,[1]AttributeName!$I:$I),2,_xlfn.XLOOKUP(C2050,[1]ModifierDes!$B:$B,[1]ModifierDes!$C:$C),3,_xlfn.XLOOKUP(C2050,[1]StuntDes!$B:$B,[1]StuntDes!$C:$C)),"")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406</v>
      </c>
      <c r="D2051" t="s">
        <v>24</v>
      </c>
      <c r="E2051" t="s">
        <v>393</v>
      </c>
      <c r="G2051">
        <v>1</v>
      </c>
      <c r="H2051">
        <v>1000</v>
      </c>
      <c r="J2051" cm="1">
        <f t="array" ref="J2051">_xlfn.SWITCH(B2051,1,75,2,61,3,49,4,37,5,25,6,13,7,4,8,1)</f>
        <v>75</v>
      </c>
      <c r="K2051" t="str" cm="1">
        <f t="array" ref="K2051">IFERROR(_xlfn.SWITCH(L2051,1,_xlfn.XLOOKUP(C2051,[1]AttributeName!$C:$C,[1]AttributeName!$I:$I),2,_xlfn.XLOOKUP(C2051,[1]ModifierDes!$B:$B,[1]ModifierDes!$C:$C),3,_xlfn.XLOOKUP(C2051,[1]StuntDes!$B:$B,[1]StuntDes!$C:$C)),"")</f>
        <v>混沌伤害提高{0}</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406</v>
      </c>
      <c r="D2052" t="s">
        <v>24</v>
      </c>
      <c r="E2052" t="s">
        <v>393</v>
      </c>
      <c r="G2052">
        <v>1</v>
      </c>
      <c r="H2052">
        <v>1000</v>
      </c>
      <c r="J2052" cm="1">
        <f t="array" ref="J2052">_xlfn.SWITCH(B2052,1,75,2,61,3,49,4,37,5,25,6,13,7,4,8,1)</f>
        <v>61</v>
      </c>
      <c r="K2052" t="str" cm="1">
        <f t="array" ref="K2052">IFERROR(_xlfn.SWITCH(L2052,1,_xlfn.XLOOKUP(C2052,[1]AttributeName!$C:$C,[1]AttributeName!$I:$I),2,_xlfn.XLOOKUP(C2052,[1]ModifierDes!$B:$B,[1]ModifierDes!$C:$C),3,_xlfn.XLOOKUP(C2052,[1]StuntDes!$B:$B,[1]StuntDes!$C:$C)),"")</f>
        <v>混沌伤害提高{0}</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406</v>
      </c>
      <c r="D2053" t="s">
        <v>24</v>
      </c>
      <c r="E2053" t="s">
        <v>393</v>
      </c>
      <c r="G2053">
        <v>1</v>
      </c>
      <c r="H2053">
        <v>1000</v>
      </c>
      <c r="J2053" cm="1">
        <f t="array" ref="J2053">_xlfn.SWITCH(B2053,1,75,2,61,3,49,4,37,5,25,6,13,7,4,8,1)</f>
        <v>49</v>
      </c>
      <c r="K2053" t="str" cm="1">
        <f t="array" ref="K2053">IFERROR(_xlfn.SWITCH(L2053,1,_xlfn.XLOOKUP(C2053,[1]AttributeName!$C:$C,[1]AttributeName!$I:$I),2,_xlfn.XLOOKUP(C2053,[1]ModifierDes!$B:$B,[1]ModifierDes!$C:$C),3,_xlfn.XLOOKUP(C2053,[1]StuntDes!$B:$B,[1]StuntDes!$C:$C)),"")</f>
        <v>混沌伤害提高{0}</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406</v>
      </c>
      <c r="D2054" t="s">
        <v>24</v>
      </c>
      <c r="E2054" t="s">
        <v>393</v>
      </c>
      <c r="G2054">
        <v>1</v>
      </c>
      <c r="H2054">
        <v>1000</v>
      </c>
      <c r="J2054" cm="1">
        <f t="array" ref="J2054">_xlfn.SWITCH(B2054,1,75,2,61,3,49,4,37,5,25,6,13,7,4,8,1)</f>
        <v>37</v>
      </c>
      <c r="K2054" t="str" cm="1">
        <f t="array" ref="K2054">IFERROR(_xlfn.SWITCH(L2054,1,_xlfn.XLOOKUP(C2054,[1]AttributeName!$C:$C,[1]AttributeName!$I:$I),2,_xlfn.XLOOKUP(C2054,[1]ModifierDes!$B:$B,[1]ModifierDes!$C:$C),3,_xlfn.XLOOKUP(C2054,[1]StuntDes!$B:$B,[1]StuntDes!$C:$C)),"")</f>
        <v>混沌伤害提高{0}</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406</v>
      </c>
      <c r="D2055" t="s">
        <v>24</v>
      </c>
      <c r="E2055" t="s">
        <v>393</v>
      </c>
      <c r="G2055">
        <v>1</v>
      </c>
      <c r="H2055">
        <v>1000</v>
      </c>
      <c r="J2055" cm="1">
        <f t="array" ref="J2055">_xlfn.SWITCH(B2055,1,75,2,61,3,49,4,37,5,25,6,13,7,4,8,1)</f>
        <v>25</v>
      </c>
      <c r="K2055" t="str" cm="1">
        <f t="array" ref="K2055">IFERROR(_xlfn.SWITCH(L2055,1,_xlfn.XLOOKUP(C2055,[1]AttributeName!$C:$C,[1]AttributeName!$I:$I),2,_xlfn.XLOOKUP(C2055,[1]ModifierDes!$B:$B,[1]ModifierDes!$C:$C),3,_xlfn.XLOOKUP(C2055,[1]StuntDes!$B:$B,[1]StuntDes!$C:$C)),"")</f>
        <v>混沌伤害提高{0}</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406</v>
      </c>
      <c r="D2056" t="s">
        <v>24</v>
      </c>
      <c r="E2056" t="s">
        <v>393</v>
      </c>
      <c r="G2056">
        <v>1</v>
      </c>
      <c r="H2056">
        <v>1000</v>
      </c>
      <c r="J2056" cm="1">
        <f t="array" ref="J2056">_xlfn.SWITCH(B2056,1,75,2,61,3,49,4,37,5,25,6,13,7,4,8,1)</f>
        <v>13</v>
      </c>
      <c r="K2056" t="str" cm="1">
        <f t="array" ref="K2056">IFERROR(_xlfn.SWITCH(L2056,1,_xlfn.XLOOKUP(C2056,[1]AttributeName!$C:$C,[1]AttributeName!$I:$I),2,_xlfn.XLOOKUP(C2056,[1]ModifierDes!$B:$B,[1]ModifierDes!$C:$C),3,_xlfn.XLOOKUP(C2056,[1]StuntDes!$B:$B,[1]StuntDes!$C:$C)),"")</f>
        <v>混沌伤害提高{0}</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406</v>
      </c>
      <c r="D2057" t="s">
        <v>24</v>
      </c>
      <c r="E2057" t="s">
        <v>393</v>
      </c>
      <c r="G2057">
        <v>1</v>
      </c>
      <c r="H2057">
        <v>1000</v>
      </c>
      <c r="J2057" cm="1">
        <f t="array" ref="J2057">_xlfn.SWITCH(B2057,1,75,2,61,3,49,4,37,5,25,6,13,7,4,8,1)</f>
        <v>4</v>
      </c>
      <c r="K2057" t="str" cm="1">
        <f t="array" ref="K2057">IFERROR(_xlfn.SWITCH(L2057,1,_xlfn.XLOOKUP(C2057,[1]AttributeName!$C:$C,[1]AttributeName!$I:$I),2,_xlfn.XLOOKUP(C2057,[1]ModifierDes!$B:$B,[1]ModifierDes!$C:$C),3,_xlfn.XLOOKUP(C2057,[1]StuntDes!$B:$B,[1]StuntDes!$C:$C)),"")</f>
        <v>混沌伤害提高{0}</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406</v>
      </c>
      <c r="D2058" t="s">
        <v>24</v>
      </c>
      <c r="E2058" t="s">
        <v>393</v>
      </c>
      <c r="G2058">
        <v>1</v>
      </c>
      <c r="H2058">
        <v>1000</v>
      </c>
      <c r="J2058" cm="1">
        <f t="array" ref="J2058">_xlfn.SWITCH(B2058,1,75,2,61,3,49,4,37,5,25,6,13,7,4,8,1)</f>
        <v>1</v>
      </c>
      <c r="K2058" t="str" cm="1">
        <f t="array" ref="K2058">IFERROR(_xlfn.SWITCH(L2058,1,_xlfn.XLOOKUP(C2058,[1]AttributeName!$C:$C,[1]AttributeName!$I:$I),2,_xlfn.XLOOKUP(C2058,[1]ModifierDes!$B:$B,[1]ModifierDes!$C:$C),3,_xlfn.XLOOKUP(C2058,[1]StuntDes!$B:$B,[1]StuntDes!$C:$C)),"")</f>
        <v>混沌伤害提高{0}</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407</v>
      </c>
      <c r="D2059" t="s">
        <v>24</v>
      </c>
      <c r="E2059" t="s">
        <v>393</v>
      </c>
      <c r="G2059">
        <v>1</v>
      </c>
      <c r="H2059">
        <v>1000</v>
      </c>
      <c r="J2059" cm="1">
        <f t="array" ref="J2059">_xlfn.SWITCH(B2059,1,75,2,61,3,49,4,37,5,25,6,13,7,4,8,1)</f>
        <v>75</v>
      </c>
      <c r="K2059" t="str" cm="1">
        <f t="array" ref="K2059">IFERROR(_xlfn.SWITCH(L2059,1,_xlfn.XLOOKUP(C2059,[1]AttributeName!$C:$C,[1]AttributeName!$I:$I),2,_xlfn.XLOOKUP(C2059,[1]ModifierDes!$B:$B,[1]ModifierDes!$C:$C),3,_xlfn.XLOOKUP(C2059,[1]StuntDes!$B:$B,[1]StuntDes!$C:$C)),"")</f>
        <v>基础生命增加{0}</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407</v>
      </c>
      <c r="D2060" t="s">
        <v>24</v>
      </c>
      <c r="E2060" t="s">
        <v>393</v>
      </c>
      <c r="G2060">
        <v>1</v>
      </c>
      <c r="H2060">
        <v>1000</v>
      </c>
      <c r="J2060" cm="1">
        <f t="array" ref="J2060">_xlfn.SWITCH(B2060,1,75,2,61,3,49,4,37,5,25,6,13,7,4,8,1)</f>
        <v>61</v>
      </c>
      <c r="K2060" t="str" cm="1">
        <f t="array" ref="K2060">IFERROR(_xlfn.SWITCH(L2060,1,_xlfn.XLOOKUP(C2060,[1]AttributeName!$C:$C,[1]AttributeName!$I:$I),2,_xlfn.XLOOKUP(C2060,[1]ModifierDes!$B:$B,[1]ModifierDes!$C:$C),3,_xlfn.XLOOKUP(C2060,[1]StuntDes!$B:$B,[1]StuntDes!$C:$C)),"")</f>
        <v>基础生命增加{0}</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407</v>
      </c>
      <c r="D2061" t="s">
        <v>24</v>
      </c>
      <c r="E2061" t="s">
        <v>393</v>
      </c>
      <c r="G2061">
        <v>1</v>
      </c>
      <c r="H2061">
        <v>1000</v>
      </c>
      <c r="J2061" cm="1">
        <f t="array" ref="J2061">_xlfn.SWITCH(B2061,1,75,2,61,3,49,4,37,5,25,6,13,7,4,8,1)</f>
        <v>49</v>
      </c>
      <c r="K2061" t="str" cm="1">
        <f t="array" ref="K2061">IFERROR(_xlfn.SWITCH(L2061,1,_xlfn.XLOOKUP(C2061,[1]AttributeName!$C:$C,[1]AttributeName!$I:$I),2,_xlfn.XLOOKUP(C2061,[1]ModifierDes!$B:$B,[1]ModifierDes!$C:$C),3,_xlfn.XLOOKUP(C2061,[1]StuntDes!$B:$B,[1]StuntDes!$C:$C)),"")</f>
        <v>基础生命增加{0}</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407</v>
      </c>
      <c r="D2062" t="s">
        <v>24</v>
      </c>
      <c r="E2062" t="s">
        <v>393</v>
      </c>
      <c r="G2062">
        <v>1</v>
      </c>
      <c r="H2062">
        <v>1000</v>
      </c>
      <c r="J2062" cm="1">
        <f t="array" ref="J2062">_xlfn.SWITCH(B2062,1,75,2,61,3,49,4,37,5,25,6,13,7,4,8,1)</f>
        <v>37</v>
      </c>
      <c r="K2062" t="str" cm="1">
        <f t="array" ref="K2062">IFERROR(_xlfn.SWITCH(L2062,1,_xlfn.XLOOKUP(C2062,[1]AttributeName!$C:$C,[1]AttributeName!$I:$I),2,_xlfn.XLOOKUP(C2062,[1]ModifierDes!$B:$B,[1]ModifierDes!$C:$C),3,_xlfn.XLOOKUP(C2062,[1]StuntDes!$B:$B,[1]StuntDes!$C:$C)),"")</f>
        <v>基础生命增加{0}</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407</v>
      </c>
      <c r="D2063" t="s">
        <v>24</v>
      </c>
      <c r="E2063" t="s">
        <v>393</v>
      </c>
      <c r="G2063">
        <v>1</v>
      </c>
      <c r="H2063">
        <v>1000</v>
      </c>
      <c r="J2063" cm="1">
        <f t="array" ref="J2063">_xlfn.SWITCH(B2063,1,75,2,61,3,49,4,37,5,25,6,13,7,4,8,1)</f>
        <v>25</v>
      </c>
      <c r="K2063" t="str" cm="1">
        <f t="array" ref="K2063">IFERROR(_xlfn.SWITCH(L2063,1,_xlfn.XLOOKUP(C2063,[1]AttributeName!$C:$C,[1]AttributeName!$I:$I),2,_xlfn.XLOOKUP(C2063,[1]ModifierDes!$B:$B,[1]ModifierDes!$C:$C),3,_xlfn.XLOOKUP(C2063,[1]StuntDes!$B:$B,[1]StuntDes!$C:$C)),"")</f>
        <v>基础生命增加{0}</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407</v>
      </c>
      <c r="D2064" t="s">
        <v>24</v>
      </c>
      <c r="E2064" t="s">
        <v>393</v>
      </c>
      <c r="G2064">
        <v>1</v>
      </c>
      <c r="H2064">
        <v>1000</v>
      </c>
      <c r="J2064" cm="1">
        <f t="array" ref="J2064">_xlfn.SWITCH(B2064,1,75,2,61,3,49,4,37,5,25,6,13,7,4,8,1)</f>
        <v>13</v>
      </c>
      <c r="K2064" t="str" cm="1">
        <f t="array" ref="K2064">IFERROR(_xlfn.SWITCH(L2064,1,_xlfn.XLOOKUP(C2064,[1]AttributeName!$C:$C,[1]AttributeName!$I:$I),2,_xlfn.XLOOKUP(C2064,[1]ModifierDes!$B:$B,[1]ModifierDes!$C:$C),3,_xlfn.XLOOKUP(C2064,[1]StuntDes!$B:$B,[1]StuntDes!$C:$C)),"")</f>
        <v>基础生命增加{0}</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407</v>
      </c>
      <c r="D2065" t="s">
        <v>24</v>
      </c>
      <c r="E2065" t="s">
        <v>393</v>
      </c>
      <c r="G2065">
        <v>1</v>
      </c>
      <c r="H2065">
        <v>1000</v>
      </c>
      <c r="J2065" cm="1">
        <f t="array" ref="J2065">_xlfn.SWITCH(B2065,1,75,2,61,3,49,4,37,5,25,6,13,7,4,8,1)</f>
        <v>4</v>
      </c>
      <c r="K2065" t="str" cm="1">
        <f t="array" ref="K2065">IFERROR(_xlfn.SWITCH(L2065,1,_xlfn.XLOOKUP(C2065,[1]AttributeName!$C:$C,[1]AttributeName!$I:$I),2,_xlfn.XLOOKUP(C2065,[1]ModifierDes!$B:$B,[1]ModifierDes!$C:$C),3,_xlfn.XLOOKUP(C2065,[1]StuntDes!$B:$B,[1]StuntDes!$C:$C)),"")</f>
        <v>基础生命增加{0}</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407</v>
      </c>
      <c r="D2066" t="s">
        <v>24</v>
      </c>
      <c r="E2066" t="s">
        <v>393</v>
      </c>
      <c r="G2066">
        <v>1</v>
      </c>
      <c r="H2066">
        <v>1000</v>
      </c>
      <c r="J2066" cm="1">
        <f t="array" ref="J2066">_xlfn.SWITCH(B2066,1,75,2,61,3,49,4,37,5,25,6,13,7,4,8,1)</f>
        <v>1</v>
      </c>
      <c r="K2066" t="str" cm="1">
        <f t="array" ref="K2066">IFERROR(_xlfn.SWITCH(L2066,1,_xlfn.XLOOKUP(C2066,[1]AttributeName!$C:$C,[1]AttributeName!$I:$I),2,_xlfn.XLOOKUP(C2066,[1]ModifierDes!$B:$B,[1]ModifierDes!$C:$C),3,_xlfn.XLOOKUP(C2066,[1]StuntDes!$B:$B,[1]StuntDes!$C:$C)),"")</f>
        <v>基础生命增加{0}</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408</v>
      </c>
      <c r="D2067" t="s">
        <v>24</v>
      </c>
      <c r="E2067" t="s">
        <v>393</v>
      </c>
      <c r="G2067">
        <v>1</v>
      </c>
      <c r="H2067">
        <v>1000</v>
      </c>
      <c r="J2067" cm="1">
        <f t="array" ref="J2067">_xlfn.SWITCH(B2067,1,75,2,61,3,49,4,37,5,25,6,13,7,4,8,1)</f>
        <v>75</v>
      </c>
      <c r="K2067" t="str" cm="1">
        <f t="array" ref="K2067">IFERROR(_xlfn.SWITCH(L2067,1,_xlfn.XLOOKUP(C2067,[1]AttributeName!$C:$C,[1]AttributeName!$I:$I),2,_xlfn.XLOOKUP(C2067,[1]ModifierDes!$B:$B,[1]ModifierDes!$C:$C),3,_xlfn.XLOOKUP(C2067,[1]StuntDes!$B:$B,[1]StuntDes!$C:$C)),"")</f>
        <v>基础魔力增加{0}</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408</v>
      </c>
      <c r="D2068" t="s">
        <v>24</v>
      </c>
      <c r="E2068" t="s">
        <v>393</v>
      </c>
      <c r="G2068">
        <v>1</v>
      </c>
      <c r="H2068">
        <v>1000</v>
      </c>
      <c r="J2068" cm="1">
        <f t="array" ref="J2068">_xlfn.SWITCH(B2068,1,75,2,61,3,49,4,37,5,25,6,13,7,4,8,1)</f>
        <v>61</v>
      </c>
      <c r="K2068" t="str" cm="1">
        <f t="array" ref="K2068">IFERROR(_xlfn.SWITCH(L2068,1,_xlfn.XLOOKUP(C2068,[1]AttributeName!$C:$C,[1]AttributeName!$I:$I),2,_xlfn.XLOOKUP(C2068,[1]ModifierDes!$B:$B,[1]ModifierDes!$C:$C),3,_xlfn.XLOOKUP(C2068,[1]StuntDes!$B:$B,[1]StuntDes!$C:$C)),"")</f>
        <v>基础魔力增加{0}</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408</v>
      </c>
      <c r="D2069" t="s">
        <v>24</v>
      </c>
      <c r="E2069" t="s">
        <v>393</v>
      </c>
      <c r="G2069">
        <v>1</v>
      </c>
      <c r="H2069">
        <v>1000</v>
      </c>
      <c r="J2069" cm="1">
        <f t="array" ref="J2069">_xlfn.SWITCH(B2069,1,75,2,61,3,49,4,37,5,25,6,13,7,4,8,1)</f>
        <v>49</v>
      </c>
      <c r="K2069" t="str" cm="1">
        <f t="array" ref="K2069">IFERROR(_xlfn.SWITCH(L2069,1,_xlfn.XLOOKUP(C2069,[1]AttributeName!$C:$C,[1]AttributeName!$I:$I),2,_xlfn.XLOOKUP(C2069,[1]ModifierDes!$B:$B,[1]ModifierDes!$C:$C),3,_xlfn.XLOOKUP(C2069,[1]StuntDes!$B:$B,[1]StuntDes!$C:$C)),"")</f>
        <v>基础魔力增加{0}</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408</v>
      </c>
      <c r="D2070" t="s">
        <v>24</v>
      </c>
      <c r="E2070" t="s">
        <v>393</v>
      </c>
      <c r="G2070">
        <v>1</v>
      </c>
      <c r="H2070">
        <v>1000</v>
      </c>
      <c r="J2070" cm="1">
        <f t="array" ref="J2070">_xlfn.SWITCH(B2070,1,75,2,61,3,49,4,37,5,25,6,13,7,4,8,1)</f>
        <v>37</v>
      </c>
      <c r="K2070" t="str" cm="1">
        <f t="array" ref="K2070">IFERROR(_xlfn.SWITCH(L2070,1,_xlfn.XLOOKUP(C2070,[1]AttributeName!$C:$C,[1]AttributeName!$I:$I),2,_xlfn.XLOOKUP(C2070,[1]ModifierDes!$B:$B,[1]ModifierDes!$C:$C),3,_xlfn.XLOOKUP(C2070,[1]StuntDes!$B:$B,[1]StuntDes!$C:$C)),"")</f>
        <v>基础魔力增加{0}</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408</v>
      </c>
      <c r="D2071" t="s">
        <v>24</v>
      </c>
      <c r="E2071" t="s">
        <v>393</v>
      </c>
      <c r="G2071">
        <v>1</v>
      </c>
      <c r="H2071">
        <v>1000</v>
      </c>
      <c r="J2071" cm="1">
        <f t="array" ref="J2071">_xlfn.SWITCH(B2071,1,75,2,61,3,49,4,37,5,25,6,13,7,4,8,1)</f>
        <v>25</v>
      </c>
      <c r="K2071" t="str" cm="1">
        <f t="array" ref="K2071">IFERROR(_xlfn.SWITCH(L2071,1,_xlfn.XLOOKUP(C2071,[1]AttributeName!$C:$C,[1]AttributeName!$I:$I),2,_xlfn.XLOOKUP(C2071,[1]ModifierDes!$B:$B,[1]ModifierDes!$C:$C),3,_xlfn.XLOOKUP(C2071,[1]StuntDes!$B:$B,[1]StuntDes!$C:$C)),"")</f>
        <v>基础魔力增加{0}</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408</v>
      </c>
      <c r="D2072" t="s">
        <v>24</v>
      </c>
      <c r="E2072" t="s">
        <v>393</v>
      </c>
      <c r="G2072">
        <v>1</v>
      </c>
      <c r="H2072">
        <v>1000</v>
      </c>
      <c r="J2072" cm="1">
        <f t="array" ref="J2072">_xlfn.SWITCH(B2072,1,75,2,61,3,49,4,37,5,25,6,13,7,4,8,1)</f>
        <v>13</v>
      </c>
      <c r="K2072" t="str" cm="1">
        <f t="array" ref="K2072">IFERROR(_xlfn.SWITCH(L2072,1,_xlfn.XLOOKUP(C2072,[1]AttributeName!$C:$C,[1]AttributeName!$I:$I),2,_xlfn.XLOOKUP(C2072,[1]ModifierDes!$B:$B,[1]ModifierDes!$C:$C),3,_xlfn.XLOOKUP(C2072,[1]StuntDes!$B:$B,[1]StuntDes!$C:$C)),"")</f>
        <v>基础魔力增加{0}</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408</v>
      </c>
      <c r="D2073" t="s">
        <v>24</v>
      </c>
      <c r="E2073" t="s">
        <v>393</v>
      </c>
      <c r="G2073">
        <v>1</v>
      </c>
      <c r="H2073">
        <v>1000</v>
      </c>
      <c r="J2073" cm="1">
        <f t="array" ref="J2073">_xlfn.SWITCH(B2073,1,75,2,61,3,49,4,37,5,25,6,13,7,4,8,1)</f>
        <v>4</v>
      </c>
      <c r="K2073" t="str" cm="1">
        <f t="array" ref="K2073">IFERROR(_xlfn.SWITCH(L2073,1,_xlfn.XLOOKUP(C2073,[1]AttributeName!$C:$C,[1]AttributeName!$I:$I),2,_xlfn.XLOOKUP(C2073,[1]ModifierDes!$B:$B,[1]ModifierDes!$C:$C),3,_xlfn.XLOOKUP(C2073,[1]StuntDes!$B:$B,[1]StuntDes!$C:$C)),"")</f>
        <v>基础魔力增加{0}</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408</v>
      </c>
      <c r="D2074" t="s">
        <v>24</v>
      </c>
      <c r="E2074" t="s">
        <v>393</v>
      </c>
      <c r="G2074">
        <v>1</v>
      </c>
      <c r="H2074">
        <v>1000</v>
      </c>
      <c r="J2074" cm="1">
        <f t="array" ref="J2074">_xlfn.SWITCH(B2074,1,75,2,61,3,49,4,37,5,25,6,13,7,4,8,1)</f>
        <v>1</v>
      </c>
      <c r="K2074" t="str" cm="1">
        <f t="array" ref="K2074">IFERROR(_xlfn.SWITCH(L2074,1,_xlfn.XLOOKUP(C2074,[1]AttributeName!$C:$C,[1]AttributeName!$I:$I),2,_xlfn.XLOOKUP(C2074,[1]ModifierDes!$B:$B,[1]ModifierDes!$C:$C),3,_xlfn.XLOOKUP(C2074,[1]StuntDes!$B:$B,[1]StuntDes!$C:$C)),"")</f>
        <v>基础魔力增加{0}</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409</v>
      </c>
      <c r="D2075" t="s">
        <v>24</v>
      </c>
      <c r="E2075" s="13" t="s">
        <v>410</v>
      </c>
      <c r="G2075">
        <v>2</v>
      </c>
      <c r="H2075">
        <v>1000</v>
      </c>
      <c r="J2075" cm="1">
        <f t="array" ref="J2075">_xlfn.SWITCH(B2075,1,75,2,61,3,49,4,37,5,25,6,13,7,4,8,1)</f>
        <v>75</v>
      </c>
      <c r="K2075" t="str" cm="1">
        <f t="array" ref="K2075">IFERROR(_xlfn.SWITCH(L2075,1,_xlfn.XLOOKUP(C2075,[1]AttributeName!$C:$C,[1]AttributeName!$I:$I),2,_xlfn.XLOOKUP(C2075,[1]ModifierDes!$B:$B,[1]ModifierDes!$C:$C),3,_xlfn.XLOOKUP(C2075,[1]StuntDes!$B:$B,[1]StuntDes!$C:$C)),"")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409</v>
      </c>
      <c r="D2076" t="s">
        <v>24</v>
      </c>
      <c r="E2076" s="13" t="s">
        <v>410</v>
      </c>
      <c r="G2076">
        <v>2</v>
      </c>
      <c r="H2076">
        <v>1000</v>
      </c>
      <c r="J2076" cm="1">
        <f t="array" ref="J2076">_xlfn.SWITCH(B2076,1,75,2,61,3,49,4,37,5,25,6,13,7,4,8,1)</f>
        <v>61</v>
      </c>
      <c r="K2076" t="str" cm="1">
        <f t="array" ref="K2076">IFERROR(_xlfn.SWITCH(L2076,1,_xlfn.XLOOKUP(C2076,[1]AttributeName!$C:$C,[1]AttributeName!$I:$I),2,_xlfn.XLOOKUP(C2076,[1]ModifierDes!$B:$B,[1]ModifierDes!$C:$C),3,_xlfn.XLOOKUP(C2076,[1]StuntDes!$B:$B,[1]StuntDes!$C:$C)),"")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409</v>
      </c>
      <c r="D2077" t="s">
        <v>24</v>
      </c>
      <c r="E2077" s="13" t="s">
        <v>410</v>
      </c>
      <c r="G2077">
        <v>2</v>
      </c>
      <c r="H2077">
        <v>1000</v>
      </c>
      <c r="J2077" cm="1">
        <f t="array" ref="J2077">_xlfn.SWITCH(B2077,1,75,2,61,3,49,4,37,5,25,6,13,7,4,8,1)</f>
        <v>49</v>
      </c>
      <c r="K2077" t="str" cm="1">
        <f t="array" ref="K2077">IFERROR(_xlfn.SWITCH(L2077,1,_xlfn.XLOOKUP(C2077,[1]AttributeName!$C:$C,[1]AttributeName!$I:$I),2,_xlfn.XLOOKUP(C2077,[1]ModifierDes!$B:$B,[1]ModifierDes!$C:$C),3,_xlfn.XLOOKUP(C2077,[1]StuntDes!$B:$B,[1]StuntDes!$C:$C)),"")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409</v>
      </c>
      <c r="D2078" t="s">
        <v>24</v>
      </c>
      <c r="E2078" s="13" t="s">
        <v>410</v>
      </c>
      <c r="G2078">
        <v>2</v>
      </c>
      <c r="H2078">
        <v>1000</v>
      </c>
      <c r="J2078" cm="1">
        <f t="array" ref="J2078">_xlfn.SWITCH(B2078,1,75,2,61,3,49,4,37,5,25,6,13,7,4,8,1)</f>
        <v>37</v>
      </c>
      <c r="K2078" t="str" cm="1">
        <f t="array" ref="K2078">IFERROR(_xlfn.SWITCH(L2078,1,_xlfn.XLOOKUP(C2078,[1]AttributeName!$C:$C,[1]AttributeName!$I:$I),2,_xlfn.XLOOKUP(C2078,[1]ModifierDes!$B:$B,[1]ModifierDes!$C:$C),3,_xlfn.XLOOKUP(C2078,[1]StuntDes!$B:$B,[1]StuntDes!$C:$C)),"")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409</v>
      </c>
      <c r="D2079" t="s">
        <v>24</v>
      </c>
      <c r="E2079" s="13" t="s">
        <v>410</v>
      </c>
      <c r="G2079">
        <v>2</v>
      </c>
      <c r="H2079">
        <v>1000</v>
      </c>
      <c r="J2079" cm="1">
        <f t="array" ref="J2079">_xlfn.SWITCH(B2079,1,75,2,61,3,49,4,37,5,25,6,13,7,4,8,1)</f>
        <v>25</v>
      </c>
      <c r="K2079" t="str" cm="1">
        <f t="array" ref="K2079">IFERROR(_xlfn.SWITCH(L2079,1,_xlfn.XLOOKUP(C2079,[1]AttributeName!$C:$C,[1]AttributeName!$I:$I),2,_xlfn.XLOOKUP(C2079,[1]ModifierDes!$B:$B,[1]ModifierDes!$C:$C),3,_xlfn.XLOOKUP(C2079,[1]StuntDes!$B:$B,[1]StuntDes!$C:$C)),"")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409</v>
      </c>
      <c r="D2080" t="s">
        <v>24</v>
      </c>
      <c r="E2080" s="13" t="s">
        <v>410</v>
      </c>
      <c r="G2080">
        <v>2</v>
      </c>
      <c r="H2080">
        <v>1000</v>
      </c>
      <c r="J2080" cm="1">
        <f t="array" ref="J2080">_xlfn.SWITCH(B2080,1,75,2,61,3,49,4,37,5,25,6,13,7,4,8,1)</f>
        <v>13</v>
      </c>
      <c r="K2080" t="str" cm="1">
        <f t="array" ref="K2080">IFERROR(_xlfn.SWITCH(L2080,1,_xlfn.XLOOKUP(C2080,[1]AttributeName!$C:$C,[1]AttributeName!$I:$I),2,_xlfn.XLOOKUP(C2080,[1]ModifierDes!$B:$B,[1]ModifierDes!$C:$C),3,_xlfn.XLOOKUP(C2080,[1]StuntDes!$B:$B,[1]StuntDes!$C:$C)),"")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409</v>
      </c>
      <c r="D2081" t="s">
        <v>24</v>
      </c>
      <c r="E2081" s="13" t="s">
        <v>410</v>
      </c>
      <c r="G2081">
        <v>2</v>
      </c>
      <c r="H2081">
        <v>1000</v>
      </c>
      <c r="J2081" cm="1">
        <f t="array" ref="J2081">_xlfn.SWITCH(B2081,1,75,2,61,3,49,4,37,5,25,6,13,7,4,8,1)</f>
        <v>4</v>
      </c>
      <c r="K2081" t="str" cm="1">
        <f t="array" ref="K2081">IFERROR(_xlfn.SWITCH(L2081,1,_xlfn.XLOOKUP(C2081,[1]AttributeName!$C:$C,[1]AttributeName!$I:$I),2,_xlfn.XLOOKUP(C2081,[1]ModifierDes!$B:$B,[1]ModifierDes!$C:$C),3,_xlfn.XLOOKUP(C2081,[1]StuntDes!$B:$B,[1]StuntDes!$C:$C)),"")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409</v>
      </c>
      <c r="D2082" t="s">
        <v>24</v>
      </c>
      <c r="E2082" s="13" t="s">
        <v>410</v>
      </c>
      <c r="G2082">
        <v>2</v>
      </c>
      <c r="H2082">
        <v>1000</v>
      </c>
      <c r="J2082" cm="1">
        <f t="array" ref="J2082">_xlfn.SWITCH(B2082,1,75,2,61,3,49,4,37,5,25,6,13,7,4,8,1)</f>
        <v>1</v>
      </c>
      <c r="K2082" t="str" cm="1">
        <f t="array" ref="K2082">IFERROR(_xlfn.SWITCH(L2082,1,_xlfn.XLOOKUP(C2082,[1]AttributeName!$C:$C,[1]AttributeName!$I:$I),2,_xlfn.XLOOKUP(C2082,[1]ModifierDes!$B:$B,[1]ModifierDes!$C:$C),3,_xlfn.XLOOKUP(C2082,[1]StuntDes!$B:$B,[1]StuntDes!$C:$C)),"")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411</v>
      </c>
      <c r="D2083" t="s">
        <v>24</v>
      </c>
      <c r="E2083" s="13" t="s">
        <v>410</v>
      </c>
      <c r="G2083">
        <v>2</v>
      </c>
      <c r="H2083">
        <v>25</v>
      </c>
      <c r="I2083">
        <v>2</v>
      </c>
      <c r="J2083" cm="1">
        <f t="array" ref="J2083">_xlfn.SWITCH(B2083,1,75,2,61,3,49,4,37,5,25,6,13,7,4,8,1)</f>
        <v>75</v>
      </c>
      <c r="K2083" t="str" cm="1">
        <f t="array" ref="K2083">IFERROR(_xlfn.SWITCH(L2083,1,_xlfn.XLOOKUP(C2083,[1]AttributeName!$C:$C,[1]AttributeName!$I:$I),2,_xlfn.XLOOKUP(C2083,[1]ModifierDes!$B:$B,[1]ModifierDes!$C:$C),3,_xlfn.XLOOKUP(C2083,[1]StuntDes!$B:$B,[1]StuntDes!$C:$C)),"")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5</v>
      </c>
      <c r="R2083">
        <v>7</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411</v>
      </c>
      <c r="D2084" t="s">
        <v>24</v>
      </c>
      <c r="E2084" s="13" t="s">
        <v>410</v>
      </c>
      <c r="G2084">
        <v>2</v>
      </c>
      <c r="H2084">
        <v>100</v>
      </c>
      <c r="I2084">
        <v>2</v>
      </c>
      <c r="J2084" cm="1">
        <f t="array" ref="J2084">_xlfn.SWITCH(B2084,1,75,2,61,3,49,4,37,5,25,6,13,7,4,8,1)</f>
        <v>61</v>
      </c>
      <c r="K2084" t="str" cm="1">
        <f t="array" ref="K2084">IFERROR(_xlfn.SWITCH(L2084,1,_xlfn.XLOOKUP(C2084,[1]AttributeName!$C:$C,[1]AttributeName!$I:$I),2,_xlfn.XLOOKUP(C2084,[1]ModifierDes!$B:$B,[1]ModifierDes!$C:$C),3,_xlfn.XLOOKUP(C2084,[1]StuntDes!$B:$B,[1]StuntDes!$C:$C)),"")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4</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411</v>
      </c>
      <c r="D2085" t="s">
        <v>24</v>
      </c>
      <c r="E2085" s="13" t="s">
        <v>410</v>
      </c>
      <c r="G2085">
        <v>2</v>
      </c>
      <c r="H2085">
        <v>400</v>
      </c>
      <c r="I2085">
        <v>2</v>
      </c>
      <c r="J2085" cm="1">
        <f t="array" ref="J2085">_xlfn.SWITCH(B2085,1,75,2,61,3,49,4,37,5,25,6,13,7,4,8,1)</f>
        <v>49</v>
      </c>
      <c r="K2085" t="str" cm="1">
        <f t="array" ref="K2085">IFERROR(_xlfn.SWITCH(L2085,1,_xlfn.XLOOKUP(C2085,[1]AttributeName!$C:$C,[1]AttributeName!$I:$I),2,_xlfn.XLOOKUP(C2085,[1]ModifierDes!$B:$B,[1]ModifierDes!$C:$C),3,_xlfn.XLOOKUP(C2085,[1]StuntDes!$B:$B,[1]StuntDes!$C:$C)),"")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411</v>
      </c>
      <c r="D2086" t="s">
        <v>24</v>
      </c>
      <c r="E2086" s="13" t="s">
        <v>410</v>
      </c>
      <c r="G2086">
        <v>2</v>
      </c>
      <c r="H2086">
        <v>1000</v>
      </c>
      <c r="I2086">
        <v>2</v>
      </c>
      <c r="J2086" cm="1">
        <f t="array" ref="J2086">_xlfn.SWITCH(B2086,1,75,2,61,3,49,4,37,5,25,6,13,7,4,8,1)</f>
        <v>25</v>
      </c>
      <c r="K2086" t="str" cm="1">
        <f t="array" ref="K2086">IFERROR(_xlfn.SWITCH(L2086,1,_xlfn.XLOOKUP(C2086,[1]AttributeName!$C:$C,[1]AttributeName!$I:$I),2,_xlfn.XLOOKUP(C2086,[1]ModifierDes!$B:$B,[1]ModifierDes!$C:$C),3,_xlfn.XLOOKUP(C2086,[1]StuntDes!$B:$B,[1]StuntDes!$C:$C)),"")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412</v>
      </c>
      <c r="D2087" t="s">
        <v>24</v>
      </c>
      <c r="E2087" s="13" t="s">
        <v>410</v>
      </c>
      <c r="G2087">
        <v>2</v>
      </c>
      <c r="H2087">
        <v>25</v>
      </c>
      <c r="I2087">
        <v>2</v>
      </c>
      <c r="J2087" cm="1">
        <f t="array" ref="J2087">_xlfn.SWITCH(B2087,1,75,2,61,3,49,4,37,5,25,6,13,7,4,8,1)</f>
        <v>75</v>
      </c>
      <c r="K2087" t="str" cm="1">
        <f t="array" ref="K2087">IFERROR(_xlfn.SWITCH(L2087,1,_xlfn.XLOOKUP(C2087,[1]AttributeName!$C:$C,[1]AttributeName!$I:$I),2,_xlfn.XLOOKUP(C2087,[1]ModifierDes!$B:$B,[1]ModifierDes!$C:$C),3,_xlfn.XLOOKUP(C2087,[1]StuntDes!$B:$B,[1]StuntDes!$C:$C)),"")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5</v>
      </c>
      <c r="R2087">
        <v>7</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412</v>
      </c>
      <c r="D2088" t="s">
        <v>24</v>
      </c>
      <c r="E2088" s="13" t="s">
        <v>410</v>
      </c>
      <c r="G2088">
        <v>2</v>
      </c>
      <c r="H2088">
        <v>100</v>
      </c>
      <c r="I2088">
        <v>2</v>
      </c>
      <c r="J2088" cm="1">
        <f t="array" ref="J2088">_xlfn.SWITCH(B2088,1,75,2,61,3,49,4,37,5,25,6,13,7,4,8,1)</f>
        <v>61</v>
      </c>
      <c r="K2088" t="str" cm="1">
        <f t="array" ref="K2088">IFERROR(_xlfn.SWITCH(L2088,1,_xlfn.XLOOKUP(C2088,[1]AttributeName!$C:$C,[1]AttributeName!$I:$I),2,_xlfn.XLOOKUP(C2088,[1]ModifierDes!$B:$B,[1]ModifierDes!$C:$C),3,_xlfn.XLOOKUP(C2088,[1]StuntDes!$B:$B,[1]StuntDes!$C:$C)),"")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4</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412</v>
      </c>
      <c r="D2089" t="s">
        <v>24</v>
      </c>
      <c r="E2089" s="13" t="s">
        <v>410</v>
      </c>
      <c r="G2089">
        <v>2</v>
      </c>
      <c r="H2089">
        <v>400</v>
      </c>
      <c r="I2089">
        <v>2</v>
      </c>
      <c r="J2089" cm="1">
        <f t="array" ref="J2089">_xlfn.SWITCH(B2089,1,75,2,61,3,49,4,37,5,25,6,13,7,4,8,1)</f>
        <v>49</v>
      </c>
      <c r="K2089" t="str" cm="1">
        <f t="array" ref="K2089">IFERROR(_xlfn.SWITCH(L2089,1,_xlfn.XLOOKUP(C2089,[1]AttributeName!$C:$C,[1]AttributeName!$I:$I),2,_xlfn.XLOOKUP(C2089,[1]ModifierDes!$B:$B,[1]ModifierDes!$C:$C),3,_xlfn.XLOOKUP(C2089,[1]StuntDes!$B:$B,[1]StuntDes!$C:$C)),"")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412</v>
      </c>
      <c r="D2090" t="s">
        <v>24</v>
      </c>
      <c r="E2090" s="13" t="s">
        <v>410</v>
      </c>
      <c r="G2090">
        <v>2</v>
      </c>
      <c r="H2090">
        <v>1000</v>
      </c>
      <c r="I2090">
        <v>2</v>
      </c>
      <c r="J2090" cm="1">
        <f t="array" ref="J2090">_xlfn.SWITCH(B2090,1,75,2,61,3,49,4,37,5,25,6,13,7,4,8,1)</f>
        <v>25</v>
      </c>
      <c r="K2090" t="str" cm="1">
        <f t="array" ref="K2090">IFERROR(_xlfn.SWITCH(L2090,1,_xlfn.XLOOKUP(C2090,[1]AttributeName!$C:$C,[1]AttributeName!$I:$I),2,_xlfn.XLOOKUP(C2090,[1]ModifierDes!$B:$B,[1]ModifierDes!$C:$C),3,_xlfn.XLOOKUP(C2090,[1]StuntDes!$B:$B,[1]StuntDes!$C:$C)),"")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413</v>
      </c>
      <c r="D2091" t="s">
        <v>24</v>
      </c>
      <c r="E2091" s="13" t="s">
        <v>410</v>
      </c>
      <c r="G2091">
        <v>2</v>
      </c>
      <c r="H2091">
        <v>25</v>
      </c>
      <c r="I2091">
        <v>2</v>
      </c>
      <c r="J2091" cm="1">
        <f t="array" ref="J2091">_xlfn.SWITCH(B2091,1,75,2,61,3,49,4,37,5,25,6,13,7,4,8,1)</f>
        <v>75</v>
      </c>
      <c r="K2091" t="str" cm="1">
        <f t="array" ref="K2091">IFERROR(_xlfn.SWITCH(L2091,1,_xlfn.XLOOKUP(C2091,[1]AttributeName!$C:$C,[1]AttributeName!$I:$I),2,_xlfn.XLOOKUP(C2091,[1]ModifierDes!$B:$B,[1]ModifierDes!$C:$C),3,_xlfn.XLOOKUP(C2091,[1]StuntDes!$B:$B,[1]StuntDes!$C:$C)),"")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5</v>
      </c>
      <c r="R2091">
        <v>7</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413</v>
      </c>
      <c r="D2092" t="s">
        <v>24</v>
      </c>
      <c r="E2092" s="13" t="s">
        <v>410</v>
      </c>
      <c r="G2092">
        <v>2</v>
      </c>
      <c r="H2092">
        <v>100</v>
      </c>
      <c r="I2092">
        <v>2</v>
      </c>
      <c r="J2092" cm="1">
        <f t="array" ref="J2092">_xlfn.SWITCH(B2092,1,75,2,61,3,49,4,37,5,25,6,13,7,4,8,1)</f>
        <v>61</v>
      </c>
      <c r="K2092" t="str" cm="1">
        <f t="array" ref="K2092">IFERROR(_xlfn.SWITCH(L2092,1,_xlfn.XLOOKUP(C2092,[1]AttributeName!$C:$C,[1]AttributeName!$I:$I),2,_xlfn.XLOOKUP(C2092,[1]ModifierDes!$B:$B,[1]ModifierDes!$C:$C),3,_xlfn.XLOOKUP(C2092,[1]StuntDes!$B:$B,[1]StuntDes!$C:$C)),"")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4</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413</v>
      </c>
      <c r="D2093" t="s">
        <v>24</v>
      </c>
      <c r="E2093" s="13" t="s">
        <v>410</v>
      </c>
      <c r="G2093">
        <v>2</v>
      </c>
      <c r="H2093">
        <v>400</v>
      </c>
      <c r="I2093">
        <v>2</v>
      </c>
      <c r="J2093" cm="1">
        <f t="array" ref="J2093">_xlfn.SWITCH(B2093,1,75,2,61,3,49,4,37,5,25,6,13,7,4,8,1)</f>
        <v>49</v>
      </c>
      <c r="K2093" t="str" cm="1">
        <f t="array" ref="K2093">IFERROR(_xlfn.SWITCH(L2093,1,_xlfn.XLOOKUP(C2093,[1]AttributeName!$C:$C,[1]AttributeName!$I:$I),2,_xlfn.XLOOKUP(C2093,[1]ModifierDes!$B:$B,[1]ModifierDes!$C:$C),3,_xlfn.XLOOKUP(C2093,[1]StuntDes!$B:$B,[1]StuntDes!$C:$C)),"")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413</v>
      </c>
      <c r="D2094" t="s">
        <v>24</v>
      </c>
      <c r="E2094" s="13" t="s">
        <v>410</v>
      </c>
      <c r="G2094">
        <v>2</v>
      </c>
      <c r="H2094">
        <v>1000</v>
      </c>
      <c r="I2094">
        <v>2</v>
      </c>
      <c r="J2094" cm="1">
        <f t="array" ref="J2094">_xlfn.SWITCH(B2094,1,75,2,61,3,49,4,37,5,25,6,13,7,4,8,1)</f>
        <v>25</v>
      </c>
      <c r="K2094" t="str" cm="1">
        <f t="array" ref="K2094">IFERROR(_xlfn.SWITCH(L2094,1,_xlfn.XLOOKUP(C2094,[1]AttributeName!$C:$C,[1]AttributeName!$I:$I),2,_xlfn.XLOOKUP(C2094,[1]ModifierDes!$B:$B,[1]ModifierDes!$C:$C),3,_xlfn.XLOOKUP(C2094,[1]StuntDes!$B:$B,[1]StuntDes!$C:$C)),"")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414</v>
      </c>
      <c r="D2095" t="s">
        <v>24</v>
      </c>
      <c r="E2095" s="13" t="s">
        <v>410</v>
      </c>
      <c r="G2095">
        <v>2</v>
      </c>
      <c r="H2095">
        <v>25</v>
      </c>
      <c r="I2095">
        <v>2</v>
      </c>
      <c r="J2095" cm="1">
        <f t="array" ref="J2095">_xlfn.SWITCH(B2095,1,75,2,61,3,49,4,37,5,25,6,13,7,4,8,1)</f>
        <v>75</v>
      </c>
      <c r="K2095" t="str" cm="1">
        <f t="array" ref="K2095">IFERROR(_xlfn.SWITCH(L2095,1,_xlfn.XLOOKUP(C2095,[1]AttributeName!$C:$C,[1]AttributeName!$I:$I),2,_xlfn.XLOOKUP(C2095,[1]ModifierDes!$B:$B,[1]ModifierDes!$C:$C),3,_xlfn.XLOOKUP(C2095,[1]StuntDes!$B:$B,[1]StuntDes!$C:$C)),"")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5</v>
      </c>
      <c r="R2095">
        <v>7</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414</v>
      </c>
      <c r="D2096" t="s">
        <v>24</v>
      </c>
      <c r="E2096" s="13" t="s">
        <v>410</v>
      </c>
      <c r="G2096">
        <v>2</v>
      </c>
      <c r="H2096">
        <v>100</v>
      </c>
      <c r="I2096">
        <v>2</v>
      </c>
      <c r="J2096" cm="1">
        <f t="array" ref="J2096">_xlfn.SWITCH(B2096,1,75,2,61,3,49,4,37,5,25,6,13,7,4,8,1)</f>
        <v>61</v>
      </c>
      <c r="K2096" t="str" cm="1">
        <f t="array" ref="K2096">IFERROR(_xlfn.SWITCH(L2096,1,_xlfn.XLOOKUP(C2096,[1]AttributeName!$C:$C,[1]AttributeName!$I:$I),2,_xlfn.XLOOKUP(C2096,[1]ModifierDes!$B:$B,[1]ModifierDes!$C:$C),3,_xlfn.XLOOKUP(C2096,[1]StuntDes!$B:$B,[1]StuntDes!$C:$C)),"")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4</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414</v>
      </c>
      <c r="D2097" t="s">
        <v>24</v>
      </c>
      <c r="E2097" s="13" t="s">
        <v>410</v>
      </c>
      <c r="G2097">
        <v>2</v>
      </c>
      <c r="H2097">
        <v>400</v>
      </c>
      <c r="I2097">
        <v>2</v>
      </c>
      <c r="J2097" cm="1">
        <f t="array" ref="J2097">_xlfn.SWITCH(B2097,1,75,2,61,3,49,4,37,5,25,6,13,7,4,8,1)</f>
        <v>49</v>
      </c>
      <c r="K2097" t="str" cm="1">
        <f t="array" ref="K2097">IFERROR(_xlfn.SWITCH(L2097,1,_xlfn.XLOOKUP(C2097,[1]AttributeName!$C:$C,[1]AttributeName!$I:$I),2,_xlfn.XLOOKUP(C2097,[1]ModifierDes!$B:$B,[1]ModifierDes!$C:$C),3,_xlfn.XLOOKUP(C2097,[1]StuntDes!$B:$B,[1]StuntDes!$C:$C)),"")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414</v>
      </c>
      <c r="D2098" t="s">
        <v>24</v>
      </c>
      <c r="E2098" s="13" t="s">
        <v>410</v>
      </c>
      <c r="G2098">
        <v>2</v>
      </c>
      <c r="H2098">
        <v>1000</v>
      </c>
      <c r="I2098">
        <v>2</v>
      </c>
      <c r="J2098" cm="1">
        <f t="array" ref="J2098">_xlfn.SWITCH(B2098,1,75,2,61,3,49,4,37,5,25,6,13,7,4,8,1)</f>
        <v>25</v>
      </c>
      <c r="K2098" t="str" cm="1">
        <f t="array" ref="K2098">IFERROR(_xlfn.SWITCH(L2098,1,_xlfn.XLOOKUP(C2098,[1]AttributeName!$C:$C,[1]AttributeName!$I:$I),2,_xlfn.XLOOKUP(C2098,[1]ModifierDes!$B:$B,[1]ModifierDes!$C:$C),3,_xlfn.XLOOKUP(C2098,[1]StuntDes!$B:$B,[1]StuntDes!$C:$C)),"")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415</v>
      </c>
      <c r="D2099" t="s">
        <v>24</v>
      </c>
      <c r="E2099" s="13" t="s">
        <v>410</v>
      </c>
      <c r="G2099">
        <v>2</v>
      </c>
      <c r="H2099">
        <v>25</v>
      </c>
      <c r="I2099">
        <v>2</v>
      </c>
      <c r="J2099" cm="1">
        <f t="array" ref="J2099">_xlfn.SWITCH(B2099,1,75,2,61,3,49,4,37,5,25,6,13,7,4,8,1)</f>
        <v>75</v>
      </c>
      <c r="K2099" t="str" cm="1">
        <f t="array" ref="K2099">IFERROR(_xlfn.SWITCH(L2099,1,_xlfn.XLOOKUP(C2099,[1]AttributeName!$C:$C,[1]AttributeName!$I:$I),2,_xlfn.XLOOKUP(C2099,[1]ModifierDes!$B:$B,[1]ModifierDes!$C:$C),3,_xlfn.XLOOKUP(C2099,[1]StuntDes!$B:$B,[1]StuntDes!$C:$C)),"")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5</v>
      </c>
      <c r="R2099">
        <v>7</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415</v>
      </c>
      <c r="D2100" t="s">
        <v>24</v>
      </c>
      <c r="E2100" s="13" t="s">
        <v>410</v>
      </c>
      <c r="G2100">
        <v>2</v>
      </c>
      <c r="H2100">
        <v>100</v>
      </c>
      <c r="I2100">
        <v>2</v>
      </c>
      <c r="J2100" cm="1">
        <f t="array" ref="J2100">_xlfn.SWITCH(B2100,1,75,2,61,3,49,4,37,5,25,6,13,7,4,8,1)</f>
        <v>61</v>
      </c>
      <c r="K2100" t="str" cm="1">
        <f t="array" ref="K2100">IFERROR(_xlfn.SWITCH(L2100,1,_xlfn.XLOOKUP(C2100,[1]AttributeName!$C:$C,[1]AttributeName!$I:$I),2,_xlfn.XLOOKUP(C2100,[1]ModifierDes!$B:$B,[1]ModifierDes!$C:$C),3,_xlfn.XLOOKUP(C2100,[1]StuntDes!$B:$B,[1]StuntDes!$C:$C)),"")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4</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415</v>
      </c>
      <c r="D2101" t="s">
        <v>24</v>
      </c>
      <c r="E2101" s="13" t="s">
        <v>410</v>
      </c>
      <c r="G2101">
        <v>2</v>
      </c>
      <c r="H2101">
        <v>400</v>
      </c>
      <c r="I2101">
        <v>2</v>
      </c>
      <c r="J2101" cm="1">
        <f t="array" ref="J2101">_xlfn.SWITCH(B2101,1,75,2,61,3,49,4,37,5,25,6,13,7,4,8,1)</f>
        <v>49</v>
      </c>
      <c r="K2101" t="str" cm="1">
        <f t="array" ref="K2101">IFERROR(_xlfn.SWITCH(L2101,1,_xlfn.XLOOKUP(C2101,[1]AttributeName!$C:$C,[1]AttributeName!$I:$I),2,_xlfn.XLOOKUP(C2101,[1]ModifierDes!$B:$B,[1]ModifierDes!$C:$C),3,_xlfn.XLOOKUP(C2101,[1]StuntDes!$B:$B,[1]StuntDes!$C:$C)),"")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415</v>
      </c>
      <c r="D2102" t="s">
        <v>24</v>
      </c>
      <c r="E2102" s="13" t="s">
        <v>410</v>
      </c>
      <c r="G2102">
        <v>2</v>
      </c>
      <c r="H2102">
        <v>1000</v>
      </c>
      <c r="I2102">
        <v>2</v>
      </c>
      <c r="J2102" cm="1">
        <f t="array" ref="J2102">_xlfn.SWITCH(B2102,1,75,2,61,3,49,4,37,5,25,6,13,7,4,8,1)</f>
        <v>25</v>
      </c>
      <c r="K2102" t="str" cm="1">
        <f t="array" ref="K2102">IFERROR(_xlfn.SWITCH(L2102,1,_xlfn.XLOOKUP(C2102,[1]AttributeName!$C:$C,[1]AttributeName!$I:$I),2,_xlfn.XLOOKUP(C2102,[1]ModifierDes!$B:$B,[1]ModifierDes!$C:$C),3,_xlfn.XLOOKUP(C2102,[1]StuntDes!$B:$B,[1]StuntDes!$C:$C)),"")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442</v>
      </c>
      <c r="D2103" t="s">
        <v>24</v>
      </c>
      <c r="E2103" s="13" t="s">
        <v>410</v>
      </c>
      <c r="G2103">
        <v>2</v>
      </c>
      <c r="H2103">
        <v>100</v>
      </c>
      <c r="J2103" cm="1">
        <f t="array" ref="J2103">_xlfn.SWITCH(B2103,1,75,2,61,3,49,4,37,5,25,6,13,7,4,8,1)</f>
        <v>75</v>
      </c>
      <c r="K2103" t="str" cm="1">
        <f t="array" ref="K2103">IFERROR(_xlfn.SWITCH(L2103,1,_xlfn.XLOOKUP(C2103,[1]AttributeName!$C:$C,[1]AttributeName!$I:$I),2,_xlfn.XLOOKUP(C2103,[1]ModifierDes!$B:$B,[1]ModifierDes!$C:$C),3,_xlfn.XLOOKUP(C2103,[1]StuntDes!$B:$B,[1]StuntDes!$C:$C)),"")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442</v>
      </c>
      <c r="D2104" t="s">
        <v>24</v>
      </c>
      <c r="E2104" s="13" t="s">
        <v>410</v>
      </c>
      <c r="G2104">
        <v>2</v>
      </c>
      <c r="H2104">
        <v>200</v>
      </c>
      <c r="J2104" cm="1">
        <f t="array" ref="J2104">_xlfn.SWITCH(B2104,1,75,2,61,3,49,4,37,5,25,6,13,7,4,8,1)</f>
        <v>61</v>
      </c>
      <c r="K2104" t="str" cm="1">
        <f t="array" ref="K2104">IFERROR(_xlfn.SWITCH(L2104,1,_xlfn.XLOOKUP(C2104,[1]AttributeName!$C:$C,[1]AttributeName!$I:$I),2,_xlfn.XLOOKUP(C2104,[1]ModifierDes!$B:$B,[1]ModifierDes!$C:$C),3,_xlfn.XLOOKUP(C2104,[1]StuntDes!$B:$B,[1]StuntDes!$C:$C)),"")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442</v>
      </c>
      <c r="D2105" t="s">
        <v>24</v>
      </c>
      <c r="E2105" s="13" t="s">
        <v>410</v>
      </c>
      <c r="G2105">
        <v>2</v>
      </c>
      <c r="H2105">
        <v>400</v>
      </c>
      <c r="J2105" cm="1">
        <f t="array" ref="J2105">_xlfn.SWITCH(B2105,1,75,2,61,3,49,4,37,5,25,6,13,7,4,8,1)</f>
        <v>49</v>
      </c>
      <c r="K2105" t="str" cm="1">
        <f t="array" ref="K2105">IFERROR(_xlfn.SWITCH(L2105,1,_xlfn.XLOOKUP(C2105,[1]AttributeName!$C:$C,[1]AttributeName!$I:$I),2,_xlfn.XLOOKUP(C2105,[1]ModifierDes!$B:$B,[1]ModifierDes!$C:$C),3,_xlfn.XLOOKUP(C2105,[1]StuntDes!$B:$B,[1]StuntDes!$C:$C)),"")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442</v>
      </c>
      <c r="D2106" t="s">
        <v>24</v>
      </c>
      <c r="E2106" s="13" t="s">
        <v>410</v>
      </c>
      <c r="G2106">
        <v>2</v>
      </c>
      <c r="H2106">
        <v>600</v>
      </c>
      <c r="J2106" cm="1">
        <f t="array" ref="J2106">_xlfn.SWITCH(B2106,1,75,2,61,3,49,4,37,5,25,6,13,7,4,8,1)</f>
        <v>37</v>
      </c>
      <c r="K2106" t="str" cm="1">
        <f t="array" ref="K2106">IFERROR(_xlfn.SWITCH(L2106,1,_xlfn.XLOOKUP(C2106,[1]AttributeName!$C:$C,[1]AttributeName!$I:$I),2,_xlfn.XLOOKUP(C2106,[1]ModifierDes!$B:$B,[1]ModifierDes!$C:$C),3,_xlfn.XLOOKUP(C2106,[1]StuntDes!$B:$B,[1]StuntDes!$C:$C)),"")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442</v>
      </c>
      <c r="D2107" t="s">
        <v>24</v>
      </c>
      <c r="E2107" s="13" t="s">
        <v>410</v>
      </c>
      <c r="G2107">
        <v>2</v>
      </c>
      <c r="H2107">
        <v>800</v>
      </c>
      <c r="J2107" cm="1">
        <f t="array" ref="J2107">_xlfn.SWITCH(B2107,1,75,2,61,3,49,4,37,5,25,6,13,7,4,8,1)</f>
        <v>25</v>
      </c>
      <c r="K2107" t="str" cm="1">
        <f t="array" ref="K2107">IFERROR(_xlfn.SWITCH(L2107,1,_xlfn.XLOOKUP(C2107,[1]AttributeName!$C:$C,[1]AttributeName!$I:$I),2,_xlfn.XLOOKUP(C2107,[1]ModifierDes!$B:$B,[1]ModifierDes!$C:$C),3,_xlfn.XLOOKUP(C2107,[1]StuntDes!$B:$B,[1]StuntDes!$C:$C)),"")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442</v>
      </c>
      <c r="D2108" t="s">
        <v>24</v>
      </c>
      <c r="E2108" s="13" t="s">
        <v>410</v>
      </c>
      <c r="G2108">
        <v>2</v>
      </c>
      <c r="H2108">
        <v>1000</v>
      </c>
      <c r="J2108" cm="1">
        <f t="array" ref="J2108">_xlfn.SWITCH(B2108,1,75,2,61,3,49,4,37,5,25,6,13,7,4,8,1)</f>
        <v>13</v>
      </c>
      <c r="K2108" t="str" cm="1">
        <f t="array" ref="K2108">IFERROR(_xlfn.SWITCH(L2108,1,_xlfn.XLOOKUP(C2108,[1]AttributeName!$C:$C,[1]AttributeName!$I:$I),2,_xlfn.XLOOKUP(C2108,[1]ModifierDes!$B:$B,[1]ModifierDes!$C:$C),3,_xlfn.XLOOKUP(C2108,[1]StuntDes!$B:$B,[1]StuntDes!$C:$C)),"")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442</v>
      </c>
      <c r="D2109" t="s">
        <v>24</v>
      </c>
      <c r="E2109" s="13" t="s">
        <v>410</v>
      </c>
      <c r="G2109">
        <v>2</v>
      </c>
      <c r="H2109">
        <v>1000</v>
      </c>
      <c r="J2109" cm="1">
        <f t="array" ref="J2109">_xlfn.SWITCH(B2109,1,75,2,61,3,49,4,37,5,25,6,13,7,4,8,1)</f>
        <v>4</v>
      </c>
      <c r="K2109" t="str" cm="1">
        <f t="array" ref="K2109">IFERROR(_xlfn.SWITCH(L2109,1,_xlfn.XLOOKUP(C2109,[1]AttributeName!$C:$C,[1]AttributeName!$I:$I),2,_xlfn.XLOOKUP(C2109,[1]ModifierDes!$B:$B,[1]ModifierDes!$C:$C),3,_xlfn.XLOOKUP(C2109,[1]StuntDes!$B:$B,[1]StuntDes!$C:$C)),"")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442</v>
      </c>
      <c r="D2110" t="s">
        <v>24</v>
      </c>
      <c r="E2110" s="13" t="s">
        <v>410</v>
      </c>
      <c r="G2110">
        <v>2</v>
      </c>
      <c r="H2110">
        <v>1000</v>
      </c>
      <c r="J2110" cm="1">
        <f t="array" ref="J2110">_xlfn.SWITCH(B2110,1,75,2,61,3,49,4,37,5,25,6,13,7,4,8,1)</f>
        <v>1</v>
      </c>
      <c r="K2110" t="str" cm="1">
        <f t="array" ref="K2110">IFERROR(_xlfn.SWITCH(L2110,1,_xlfn.XLOOKUP(C2110,[1]AttributeName!$C:$C,[1]AttributeName!$I:$I),2,_xlfn.XLOOKUP(C2110,[1]ModifierDes!$B:$B,[1]ModifierDes!$C:$C),3,_xlfn.XLOOKUP(C2110,[1]StuntDes!$B:$B,[1]StuntDes!$C:$C)),"")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443</v>
      </c>
      <c r="D2111" t="s">
        <v>24</v>
      </c>
      <c r="E2111" s="13" t="s">
        <v>410</v>
      </c>
      <c r="G2111">
        <v>2</v>
      </c>
      <c r="H2111">
        <v>100</v>
      </c>
      <c r="J2111" cm="1">
        <f t="array" ref="J2111">_xlfn.SWITCH(B2111,1,75,2,61,3,49,4,37,5,25,6,13,7,4,8,1)</f>
        <v>75</v>
      </c>
      <c r="K2111" t="str" cm="1">
        <f t="array" ref="K2111">IFERROR(_xlfn.SWITCH(L2111,1,_xlfn.XLOOKUP(C2111,[1]AttributeName!$C:$C,[1]AttributeName!$I:$I),2,_xlfn.XLOOKUP(C2111,[1]ModifierDes!$B:$B,[1]ModifierDes!$C:$C),3,_xlfn.XLOOKUP(C2111,[1]StuntDes!$B:$B,[1]StuntDes!$C:$C)),"")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443</v>
      </c>
      <c r="D2112" t="s">
        <v>24</v>
      </c>
      <c r="E2112" s="13" t="s">
        <v>410</v>
      </c>
      <c r="G2112">
        <v>2</v>
      </c>
      <c r="H2112">
        <v>200</v>
      </c>
      <c r="J2112" cm="1">
        <f t="array" ref="J2112">_xlfn.SWITCH(B2112,1,75,2,61,3,49,4,37,5,25,6,13,7,4,8,1)</f>
        <v>61</v>
      </c>
      <c r="K2112" t="str" cm="1">
        <f t="array" ref="K2112">IFERROR(_xlfn.SWITCH(L2112,1,_xlfn.XLOOKUP(C2112,[1]AttributeName!$C:$C,[1]AttributeName!$I:$I),2,_xlfn.XLOOKUP(C2112,[1]ModifierDes!$B:$B,[1]ModifierDes!$C:$C),3,_xlfn.XLOOKUP(C2112,[1]StuntDes!$B:$B,[1]StuntDes!$C:$C)),"")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443</v>
      </c>
      <c r="D2113" t="s">
        <v>24</v>
      </c>
      <c r="E2113" s="13" t="s">
        <v>410</v>
      </c>
      <c r="G2113">
        <v>2</v>
      </c>
      <c r="H2113">
        <v>400</v>
      </c>
      <c r="J2113" cm="1">
        <f t="array" ref="J2113">_xlfn.SWITCH(B2113,1,75,2,61,3,49,4,37,5,25,6,13,7,4,8,1)</f>
        <v>49</v>
      </c>
      <c r="K2113" t="str" cm="1">
        <f t="array" ref="K2113">IFERROR(_xlfn.SWITCH(L2113,1,_xlfn.XLOOKUP(C2113,[1]AttributeName!$C:$C,[1]AttributeName!$I:$I),2,_xlfn.XLOOKUP(C2113,[1]ModifierDes!$B:$B,[1]ModifierDes!$C:$C),3,_xlfn.XLOOKUP(C2113,[1]StuntDes!$B:$B,[1]StuntDes!$C:$C)),"")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443</v>
      </c>
      <c r="D2114" t="s">
        <v>24</v>
      </c>
      <c r="E2114" s="13" t="s">
        <v>410</v>
      </c>
      <c r="G2114">
        <v>2</v>
      </c>
      <c r="H2114">
        <v>600</v>
      </c>
      <c r="J2114" cm="1">
        <f t="array" ref="J2114">_xlfn.SWITCH(B2114,1,75,2,61,3,49,4,37,5,25,6,13,7,4,8,1)</f>
        <v>37</v>
      </c>
      <c r="K2114" t="str" cm="1">
        <f t="array" ref="K2114">IFERROR(_xlfn.SWITCH(L2114,1,_xlfn.XLOOKUP(C2114,[1]AttributeName!$C:$C,[1]AttributeName!$I:$I),2,_xlfn.XLOOKUP(C2114,[1]ModifierDes!$B:$B,[1]ModifierDes!$C:$C),3,_xlfn.XLOOKUP(C2114,[1]StuntDes!$B:$B,[1]StuntDes!$C:$C)),"")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443</v>
      </c>
      <c r="D2115" t="s">
        <v>24</v>
      </c>
      <c r="E2115" s="13" t="s">
        <v>410</v>
      </c>
      <c r="G2115">
        <v>2</v>
      </c>
      <c r="H2115">
        <v>800</v>
      </c>
      <c r="J2115" cm="1">
        <f t="array" ref="J2115">_xlfn.SWITCH(B2115,1,75,2,61,3,49,4,37,5,25,6,13,7,4,8,1)</f>
        <v>25</v>
      </c>
      <c r="K2115" t="str" cm="1">
        <f t="array" ref="K2115">IFERROR(_xlfn.SWITCH(L2115,1,_xlfn.XLOOKUP(C2115,[1]AttributeName!$C:$C,[1]AttributeName!$I:$I),2,_xlfn.XLOOKUP(C2115,[1]ModifierDes!$B:$B,[1]ModifierDes!$C:$C),3,_xlfn.XLOOKUP(C2115,[1]StuntDes!$B:$B,[1]StuntDes!$C:$C)),"")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443</v>
      </c>
      <c r="D2116" t="s">
        <v>24</v>
      </c>
      <c r="E2116" s="13" t="s">
        <v>410</v>
      </c>
      <c r="G2116">
        <v>2</v>
      </c>
      <c r="H2116">
        <v>1000</v>
      </c>
      <c r="J2116" cm="1">
        <f t="array" ref="J2116">_xlfn.SWITCH(B2116,1,75,2,61,3,49,4,37,5,25,6,13,7,4,8,1)</f>
        <v>13</v>
      </c>
      <c r="K2116" t="str" cm="1">
        <f t="array" ref="K2116">IFERROR(_xlfn.SWITCH(L2116,1,_xlfn.XLOOKUP(C2116,[1]AttributeName!$C:$C,[1]AttributeName!$I:$I),2,_xlfn.XLOOKUP(C2116,[1]ModifierDes!$B:$B,[1]ModifierDes!$C:$C),3,_xlfn.XLOOKUP(C2116,[1]StuntDes!$B:$B,[1]StuntDes!$C:$C)),"")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443</v>
      </c>
      <c r="D2117" t="s">
        <v>24</v>
      </c>
      <c r="E2117" s="13" t="s">
        <v>410</v>
      </c>
      <c r="G2117">
        <v>2</v>
      </c>
      <c r="H2117">
        <v>1000</v>
      </c>
      <c r="J2117" cm="1">
        <f t="array" ref="J2117">_xlfn.SWITCH(B2117,1,75,2,61,3,49,4,37,5,25,6,13,7,4,8,1)</f>
        <v>4</v>
      </c>
      <c r="K2117" t="str" cm="1">
        <f t="array" ref="K2117">IFERROR(_xlfn.SWITCH(L2117,1,_xlfn.XLOOKUP(C2117,[1]AttributeName!$C:$C,[1]AttributeName!$I:$I),2,_xlfn.XLOOKUP(C2117,[1]ModifierDes!$B:$B,[1]ModifierDes!$C:$C),3,_xlfn.XLOOKUP(C2117,[1]StuntDes!$B:$B,[1]StuntDes!$C:$C)),"")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443</v>
      </c>
      <c r="D2118" t="s">
        <v>24</v>
      </c>
      <c r="E2118" s="13" t="s">
        <v>410</v>
      </c>
      <c r="G2118">
        <v>2</v>
      </c>
      <c r="H2118">
        <v>1000</v>
      </c>
      <c r="J2118" cm="1">
        <f t="array" ref="J2118">_xlfn.SWITCH(B2118,1,75,2,61,3,49,4,37,5,25,6,13,7,4,8,1)</f>
        <v>1</v>
      </c>
      <c r="K2118" t="str" cm="1">
        <f t="array" ref="K2118">IFERROR(_xlfn.SWITCH(L2118,1,_xlfn.XLOOKUP(C2118,[1]AttributeName!$C:$C,[1]AttributeName!$I:$I),2,_xlfn.XLOOKUP(C2118,[1]ModifierDes!$B:$B,[1]ModifierDes!$C:$C),3,_xlfn.XLOOKUP(C2118,[1]StuntDes!$B:$B,[1]StuntDes!$C:$C)),"")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448</v>
      </c>
      <c r="D2119" t="s">
        <v>24</v>
      </c>
      <c r="E2119" s="13" t="s">
        <v>410</v>
      </c>
      <c r="G2119">
        <v>2</v>
      </c>
      <c r="H2119">
        <v>100</v>
      </c>
      <c r="J2119" cm="1">
        <f t="array" ref="J2119">_xlfn.SWITCH(B2119,1,75,2,61,3,49,4,37,5,25,6,13,7,4,8,1)</f>
        <v>75</v>
      </c>
      <c r="K2119" t="str" cm="1">
        <f t="array" ref="K2119">IFERROR(_xlfn.SWITCH(L2119,1,_xlfn.XLOOKUP(C2119,[1]AttributeName!$C:$C,[1]AttributeName!$I:$I),2,_xlfn.XLOOKUP(C2119,[1]ModifierDes!$B:$B,[1]ModifierDes!$C:$C),3,_xlfn.XLOOKUP(C2119,[1]StuntDes!$B:$B,[1]StuntDes!$C:$C)),"")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448</v>
      </c>
      <c r="D2120" t="s">
        <v>24</v>
      </c>
      <c r="E2120" s="13" t="s">
        <v>410</v>
      </c>
      <c r="G2120">
        <v>2</v>
      </c>
      <c r="H2120">
        <v>200</v>
      </c>
      <c r="J2120" cm="1">
        <f t="array" ref="J2120">_xlfn.SWITCH(B2120,1,75,2,61,3,49,4,37,5,25,6,13,7,4,8,1)</f>
        <v>61</v>
      </c>
      <c r="K2120" t="str" cm="1">
        <f t="array" ref="K2120">IFERROR(_xlfn.SWITCH(L2120,1,_xlfn.XLOOKUP(C2120,[1]AttributeName!$C:$C,[1]AttributeName!$I:$I),2,_xlfn.XLOOKUP(C2120,[1]ModifierDes!$B:$B,[1]ModifierDes!$C:$C),3,_xlfn.XLOOKUP(C2120,[1]StuntDes!$B:$B,[1]StuntDes!$C:$C)),"")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448</v>
      </c>
      <c r="D2121" t="s">
        <v>24</v>
      </c>
      <c r="E2121" s="13" t="s">
        <v>410</v>
      </c>
      <c r="G2121">
        <v>2</v>
      </c>
      <c r="H2121">
        <v>400</v>
      </c>
      <c r="J2121" cm="1">
        <f t="array" ref="J2121">_xlfn.SWITCH(B2121,1,75,2,61,3,49,4,37,5,25,6,13,7,4,8,1)</f>
        <v>49</v>
      </c>
      <c r="K2121" t="str" cm="1">
        <f t="array" ref="K2121">IFERROR(_xlfn.SWITCH(L2121,1,_xlfn.XLOOKUP(C2121,[1]AttributeName!$C:$C,[1]AttributeName!$I:$I),2,_xlfn.XLOOKUP(C2121,[1]ModifierDes!$B:$B,[1]ModifierDes!$C:$C),3,_xlfn.XLOOKUP(C2121,[1]StuntDes!$B:$B,[1]StuntDes!$C:$C)),"")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448</v>
      </c>
      <c r="D2122" t="s">
        <v>24</v>
      </c>
      <c r="E2122" s="13" t="s">
        <v>410</v>
      </c>
      <c r="G2122">
        <v>2</v>
      </c>
      <c r="H2122">
        <v>600</v>
      </c>
      <c r="J2122" cm="1">
        <f t="array" ref="J2122">_xlfn.SWITCH(B2122,1,75,2,61,3,49,4,37,5,25,6,13,7,4,8,1)</f>
        <v>37</v>
      </c>
      <c r="K2122" t="str" cm="1">
        <f t="array" ref="K2122">IFERROR(_xlfn.SWITCH(L2122,1,_xlfn.XLOOKUP(C2122,[1]AttributeName!$C:$C,[1]AttributeName!$I:$I),2,_xlfn.XLOOKUP(C2122,[1]ModifierDes!$B:$B,[1]ModifierDes!$C:$C),3,_xlfn.XLOOKUP(C2122,[1]StuntDes!$B:$B,[1]StuntDes!$C:$C)),"")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448</v>
      </c>
      <c r="D2123" t="s">
        <v>24</v>
      </c>
      <c r="E2123" s="13" t="s">
        <v>410</v>
      </c>
      <c r="G2123">
        <v>2</v>
      </c>
      <c r="H2123">
        <v>800</v>
      </c>
      <c r="J2123" cm="1">
        <f t="array" ref="J2123">_xlfn.SWITCH(B2123,1,75,2,61,3,49,4,37,5,25,6,13,7,4,8,1)</f>
        <v>25</v>
      </c>
      <c r="K2123" t="str" cm="1">
        <f t="array" ref="K2123">IFERROR(_xlfn.SWITCH(L2123,1,_xlfn.XLOOKUP(C2123,[1]AttributeName!$C:$C,[1]AttributeName!$I:$I),2,_xlfn.XLOOKUP(C2123,[1]ModifierDes!$B:$B,[1]ModifierDes!$C:$C),3,_xlfn.XLOOKUP(C2123,[1]StuntDes!$B:$B,[1]StuntDes!$C:$C)),"")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448</v>
      </c>
      <c r="D2124" t="s">
        <v>24</v>
      </c>
      <c r="E2124" s="13" t="s">
        <v>410</v>
      </c>
      <c r="G2124">
        <v>2</v>
      </c>
      <c r="H2124">
        <v>1000</v>
      </c>
      <c r="J2124" cm="1">
        <f t="array" ref="J2124">_xlfn.SWITCH(B2124,1,75,2,61,3,49,4,37,5,25,6,13,7,4,8,1)</f>
        <v>13</v>
      </c>
      <c r="K2124" t="str" cm="1">
        <f t="array" ref="K2124">IFERROR(_xlfn.SWITCH(L2124,1,_xlfn.XLOOKUP(C2124,[1]AttributeName!$C:$C,[1]AttributeName!$I:$I),2,_xlfn.XLOOKUP(C2124,[1]ModifierDes!$B:$B,[1]ModifierDes!$C:$C),3,_xlfn.XLOOKUP(C2124,[1]StuntDes!$B:$B,[1]StuntDes!$C:$C)),"")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448</v>
      </c>
      <c r="D2125" t="s">
        <v>24</v>
      </c>
      <c r="E2125" s="13" t="s">
        <v>410</v>
      </c>
      <c r="G2125">
        <v>2</v>
      </c>
      <c r="H2125">
        <v>1000</v>
      </c>
      <c r="J2125" cm="1">
        <f t="array" ref="J2125">_xlfn.SWITCH(B2125,1,75,2,61,3,49,4,37,5,25,6,13,7,4,8,1)</f>
        <v>4</v>
      </c>
      <c r="K2125" t="str" cm="1">
        <f t="array" ref="K2125">IFERROR(_xlfn.SWITCH(L2125,1,_xlfn.XLOOKUP(C2125,[1]AttributeName!$C:$C,[1]AttributeName!$I:$I),2,_xlfn.XLOOKUP(C2125,[1]ModifierDes!$B:$B,[1]ModifierDes!$C:$C),3,_xlfn.XLOOKUP(C2125,[1]StuntDes!$B:$B,[1]StuntDes!$C:$C)),"")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448</v>
      </c>
      <c r="D2126" t="s">
        <v>24</v>
      </c>
      <c r="E2126" s="13" t="s">
        <v>410</v>
      </c>
      <c r="G2126">
        <v>2</v>
      </c>
      <c r="H2126">
        <v>1000</v>
      </c>
      <c r="J2126" cm="1">
        <f t="array" ref="J2126">_xlfn.SWITCH(B2126,1,75,2,61,3,49,4,37,5,25,6,13,7,4,8,1)</f>
        <v>1</v>
      </c>
      <c r="K2126" t="str" cm="1">
        <f t="array" ref="K2126">IFERROR(_xlfn.SWITCH(L2126,1,_xlfn.XLOOKUP(C2126,[1]AttributeName!$C:$C,[1]AttributeName!$I:$I),2,_xlfn.XLOOKUP(C2126,[1]ModifierDes!$B:$B,[1]ModifierDes!$C:$C),3,_xlfn.XLOOKUP(C2126,[1]StuntDes!$B:$B,[1]StuntDes!$C:$C)),"")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419</v>
      </c>
      <c r="D2127" t="s">
        <v>24</v>
      </c>
      <c r="E2127" s="13" t="s">
        <v>410</v>
      </c>
      <c r="G2127">
        <v>2</v>
      </c>
      <c r="H2127">
        <v>1000</v>
      </c>
      <c r="J2127" cm="1">
        <f t="array" ref="J2127">_xlfn.SWITCH(B2127,1,75,2,61,3,49,4,37,5,25,6,13,7,4,8,1)</f>
        <v>75</v>
      </c>
      <c r="K2127" t="str" cm="1">
        <f t="array" ref="K2127">IFERROR(_xlfn.SWITCH(L2127,1,_xlfn.XLOOKUP(C2127,[1]AttributeName!$C:$C,[1]AttributeName!$I:$I),2,_xlfn.XLOOKUP(C2127,[1]ModifierDes!$B:$B,[1]ModifierDes!$C:$C),3,_xlfn.XLOOKUP(C2127,[1]StuntDes!$B:$B,[1]StuntDes!$C:$C)),"")</f>
        <v>点燃概率增加{0}</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419</v>
      </c>
      <c r="D2128" t="s">
        <v>24</v>
      </c>
      <c r="E2128" s="13" t="s">
        <v>410</v>
      </c>
      <c r="G2128">
        <v>2</v>
      </c>
      <c r="H2128">
        <v>1000</v>
      </c>
      <c r="J2128" cm="1">
        <f t="array" ref="J2128">_xlfn.SWITCH(B2128,1,75,2,61,3,49,4,37,5,25,6,13,7,4,8,1)</f>
        <v>61</v>
      </c>
      <c r="K2128" t="str" cm="1">
        <f t="array" ref="K2128">IFERROR(_xlfn.SWITCH(L2128,1,_xlfn.XLOOKUP(C2128,[1]AttributeName!$C:$C,[1]AttributeName!$I:$I),2,_xlfn.XLOOKUP(C2128,[1]ModifierDes!$B:$B,[1]ModifierDes!$C:$C),3,_xlfn.XLOOKUP(C2128,[1]StuntDes!$B:$B,[1]StuntDes!$C:$C)),"")</f>
        <v>点燃概率增加{0}</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419</v>
      </c>
      <c r="D2129" t="s">
        <v>24</v>
      </c>
      <c r="E2129" s="13" t="s">
        <v>410</v>
      </c>
      <c r="G2129">
        <v>2</v>
      </c>
      <c r="H2129">
        <v>1000</v>
      </c>
      <c r="J2129" cm="1">
        <f t="array" ref="J2129">_xlfn.SWITCH(B2129,1,75,2,61,3,49,4,37,5,25,6,13,7,4,8,1)</f>
        <v>49</v>
      </c>
      <c r="K2129" t="str" cm="1">
        <f t="array" ref="K2129">IFERROR(_xlfn.SWITCH(L2129,1,_xlfn.XLOOKUP(C2129,[1]AttributeName!$C:$C,[1]AttributeName!$I:$I),2,_xlfn.XLOOKUP(C2129,[1]ModifierDes!$B:$B,[1]ModifierDes!$C:$C),3,_xlfn.XLOOKUP(C2129,[1]StuntDes!$B:$B,[1]StuntDes!$C:$C)),"")</f>
        <v>点燃概率增加{0}</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419</v>
      </c>
      <c r="D2130" t="s">
        <v>24</v>
      </c>
      <c r="E2130" s="13" t="s">
        <v>410</v>
      </c>
      <c r="G2130">
        <v>2</v>
      </c>
      <c r="H2130">
        <v>1000</v>
      </c>
      <c r="J2130" cm="1">
        <f t="array" ref="J2130">_xlfn.SWITCH(B2130,1,75,2,61,3,49,4,37,5,25,6,13,7,4,8,1)</f>
        <v>37</v>
      </c>
      <c r="K2130" t="str" cm="1">
        <f t="array" ref="K2130">IFERROR(_xlfn.SWITCH(L2130,1,_xlfn.XLOOKUP(C2130,[1]AttributeName!$C:$C,[1]AttributeName!$I:$I),2,_xlfn.XLOOKUP(C2130,[1]ModifierDes!$B:$B,[1]ModifierDes!$C:$C),3,_xlfn.XLOOKUP(C2130,[1]StuntDes!$B:$B,[1]StuntDes!$C:$C)),"")</f>
        <v>点燃概率增加{0}</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419</v>
      </c>
      <c r="D2131" t="s">
        <v>24</v>
      </c>
      <c r="E2131" s="13" t="s">
        <v>410</v>
      </c>
      <c r="G2131">
        <v>2</v>
      </c>
      <c r="H2131">
        <v>1000</v>
      </c>
      <c r="J2131" cm="1">
        <f t="array" ref="J2131">_xlfn.SWITCH(B2131,1,75,2,61,3,49,4,37,5,25,6,13,7,4,8,1)</f>
        <v>25</v>
      </c>
      <c r="K2131" t="str" cm="1">
        <f t="array" ref="K2131">IFERROR(_xlfn.SWITCH(L2131,1,_xlfn.XLOOKUP(C2131,[1]AttributeName!$C:$C,[1]AttributeName!$I:$I),2,_xlfn.XLOOKUP(C2131,[1]ModifierDes!$B:$B,[1]ModifierDes!$C:$C),3,_xlfn.XLOOKUP(C2131,[1]StuntDes!$B:$B,[1]StuntDes!$C:$C)),"")</f>
        <v>点燃概率增加{0}</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419</v>
      </c>
      <c r="D2132" t="s">
        <v>24</v>
      </c>
      <c r="E2132" s="13" t="s">
        <v>410</v>
      </c>
      <c r="G2132">
        <v>2</v>
      </c>
      <c r="H2132">
        <v>1000</v>
      </c>
      <c r="J2132" cm="1">
        <f t="array" ref="J2132">_xlfn.SWITCH(B2132,1,75,2,61,3,49,4,37,5,25,6,13,7,4,8,1)</f>
        <v>13</v>
      </c>
      <c r="K2132" t="str" cm="1">
        <f t="array" ref="K2132">IFERROR(_xlfn.SWITCH(L2132,1,_xlfn.XLOOKUP(C2132,[1]AttributeName!$C:$C,[1]AttributeName!$I:$I),2,_xlfn.XLOOKUP(C2132,[1]ModifierDes!$B:$B,[1]ModifierDes!$C:$C),3,_xlfn.XLOOKUP(C2132,[1]StuntDes!$B:$B,[1]StuntDes!$C:$C)),"")</f>
        <v>点燃概率增加{0}</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419</v>
      </c>
      <c r="D2133" t="s">
        <v>24</v>
      </c>
      <c r="E2133" s="13" t="s">
        <v>410</v>
      </c>
      <c r="G2133">
        <v>2</v>
      </c>
      <c r="H2133">
        <v>1000</v>
      </c>
      <c r="J2133" cm="1">
        <f t="array" ref="J2133">_xlfn.SWITCH(B2133,1,75,2,61,3,49,4,37,5,25,6,13,7,4,8,1)</f>
        <v>4</v>
      </c>
      <c r="K2133" t="str" cm="1">
        <f t="array" ref="K2133">IFERROR(_xlfn.SWITCH(L2133,1,_xlfn.XLOOKUP(C2133,[1]AttributeName!$C:$C,[1]AttributeName!$I:$I),2,_xlfn.XLOOKUP(C2133,[1]ModifierDes!$B:$B,[1]ModifierDes!$C:$C),3,_xlfn.XLOOKUP(C2133,[1]StuntDes!$B:$B,[1]StuntDes!$C:$C)),"")</f>
        <v>点燃概率增加{0}</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419</v>
      </c>
      <c r="D2134" t="s">
        <v>24</v>
      </c>
      <c r="E2134" s="13" t="s">
        <v>410</v>
      </c>
      <c r="G2134">
        <v>2</v>
      </c>
      <c r="H2134">
        <v>1000</v>
      </c>
      <c r="J2134" cm="1">
        <f t="array" ref="J2134">_xlfn.SWITCH(B2134,1,75,2,61,3,49,4,37,5,25,6,13,7,4,8,1)</f>
        <v>1</v>
      </c>
      <c r="K2134" t="str" cm="1">
        <f t="array" ref="K2134">IFERROR(_xlfn.SWITCH(L2134,1,_xlfn.XLOOKUP(C2134,[1]AttributeName!$C:$C,[1]AttributeName!$I:$I),2,_xlfn.XLOOKUP(C2134,[1]ModifierDes!$B:$B,[1]ModifierDes!$C:$C),3,_xlfn.XLOOKUP(C2134,[1]StuntDes!$B:$B,[1]StuntDes!$C:$C)),"")</f>
        <v>点燃概率增加{0}</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420</v>
      </c>
      <c r="D2135" t="s">
        <v>24</v>
      </c>
      <c r="E2135" s="13" t="s">
        <v>410</v>
      </c>
      <c r="G2135">
        <v>2</v>
      </c>
      <c r="H2135">
        <v>1000</v>
      </c>
      <c r="J2135" cm="1">
        <f t="array" ref="J2135">_xlfn.SWITCH(B2135,1,75,2,61,3,49,4,37,5,25,6,13,7,4,8,1)</f>
        <v>75</v>
      </c>
      <c r="K2135" t="str" cm="1">
        <f t="array" ref="K2135">IFERROR(_xlfn.SWITCH(L2135,1,_xlfn.XLOOKUP(C2135,[1]AttributeName!$C:$C,[1]AttributeName!$I:$I),2,_xlfn.XLOOKUP(C2135,[1]ModifierDes!$B:$B,[1]ModifierDes!$C:$C),3,_xlfn.XLOOKUP(C2135,[1]StuntDes!$B:$B,[1]StuntDes!$C:$C)),"")</f>
        <v>冻结效果比例增加{0}</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420</v>
      </c>
      <c r="D2136" t="s">
        <v>24</v>
      </c>
      <c r="E2136" s="13" t="s">
        <v>410</v>
      </c>
      <c r="G2136">
        <v>2</v>
      </c>
      <c r="H2136">
        <v>1000</v>
      </c>
      <c r="J2136" cm="1">
        <f t="array" ref="J2136">_xlfn.SWITCH(B2136,1,75,2,61,3,49,4,37,5,25,6,13,7,4,8,1)</f>
        <v>61</v>
      </c>
      <c r="K2136" t="str" cm="1">
        <f t="array" ref="K2136">IFERROR(_xlfn.SWITCH(L2136,1,_xlfn.XLOOKUP(C2136,[1]AttributeName!$C:$C,[1]AttributeName!$I:$I),2,_xlfn.XLOOKUP(C2136,[1]ModifierDes!$B:$B,[1]ModifierDes!$C:$C),3,_xlfn.XLOOKUP(C2136,[1]StuntDes!$B:$B,[1]StuntDes!$C:$C)),"")</f>
        <v>冻结效果比例增加{0}</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420</v>
      </c>
      <c r="D2137" t="s">
        <v>24</v>
      </c>
      <c r="E2137" s="13" t="s">
        <v>410</v>
      </c>
      <c r="G2137">
        <v>2</v>
      </c>
      <c r="H2137">
        <v>1000</v>
      </c>
      <c r="J2137" cm="1">
        <f t="array" ref="J2137">_xlfn.SWITCH(B2137,1,75,2,61,3,49,4,37,5,25,6,13,7,4,8,1)</f>
        <v>49</v>
      </c>
      <c r="K2137" t="str" cm="1">
        <f t="array" ref="K2137">IFERROR(_xlfn.SWITCH(L2137,1,_xlfn.XLOOKUP(C2137,[1]AttributeName!$C:$C,[1]AttributeName!$I:$I),2,_xlfn.XLOOKUP(C2137,[1]ModifierDes!$B:$B,[1]ModifierDes!$C:$C),3,_xlfn.XLOOKUP(C2137,[1]StuntDes!$B:$B,[1]StuntDes!$C:$C)),"")</f>
        <v>冻结效果比例增加{0}</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420</v>
      </c>
      <c r="D2138" t="s">
        <v>24</v>
      </c>
      <c r="E2138" s="13" t="s">
        <v>410</v>
      </c>
      <c r="G2138">
        <v>2</v>
      </c>
      <c r="H2138">
        <v>1000</v>
      </c>
      <c r="J2138" cm="1">
        <f t="array" ref="J2138">_xlfn.SWITCH(B2138,1,75,2,61,3,49,4,37,5,25,6,13,7,4,8,1)</f>
        <v>37</v>
      </c>
      <c r="K2138" t="str" cm="1">
        <f t="array" ref="K2138">IFERROR(_xlfn.SWITCH(L2138,1,_xlfn.XLOOKUP(C2138,[1]AttributeName!$C:$C,[1]AttributeName!$I:$I),2,_xlfn.XLOOKUP(C2138,[1]ModifierDes!$B:$B,[1]ModifierDes!$C:$C),3,_xlfn.XLOOKUP(C2138,[1]StuntDes!$B:$B,[1]StuntDes!$C:$C)),"")</f>
        <v>冻结效果比例增加{0}</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420</v>
      </c>
      <c r="D2139" t="s">
        <v>24</v>
      </c>
      <c r="E2139" s="13" t="s">
        <v>410</v>
      </c>
      <c r="G2139">
        <v>2</v>
      </c>
      <c r="H2139">
        <v>1000</v>
      </c>
      <c r="J2139" cm="1">
        <f t="array" ref="J2139">_xlfn.SWITCH(B2139,1,75,2,61,3,49,4,37,5,25,6,13,7,4,8,1)</f>
        <v>25</v>
      </c>
      <c r="K2139" t="str" cm="1">
        <f t="array" ref="K2139">IFERROR(_xlfn.SWITCH(L2139,1,_xlfn.XLOOKUP(C2139,[1]AttributeName!$C:$C,[1]AttributeName!$I:$I),2,_xlfn.XLOOKUP(C2139,[1]ModifierDes!$B:$B,[1]ModifierDes!$C:$C),3,_xlfn.XLOOKUP(C2139,[1]StuntDes!$B:$B,[1]StuntDes!$C:$C)),"")</f>
        <v>冻结效果比例增加{0}</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420</v>
      </c>
      <c r="D2140" t="s">
        <v>24</v>
      </c>
      <c r="E2140" s="13" t="s">
        <v>410</v>
      </c>
      <c r="G2140">
        <v>2</v>
      </c>
      <c r="H2140">
        <v>1000</v>
      </c>
      <c r="J2140" cm="1">
        <f t="array" ref="J2140">_xlfn.SWITCH(B2140,1,75,2,61,3,49,4,37,5,25,6,13,7,4,8,1)</f>
        <v>13</v>
      </c>
      <c r="K2140" t="str" cm="1">
        <f t="array" ref="K2140">IFERROR(_xlfn.SWITCH(L2140,1,_xlfn.XLOOKUP(C2140,[1]AttributeName!$C:$C,[1]AttributeName!$I:$I),2,_xlfn.XLOOKUP(C2140,[1]ModifierDes!$B:$B,[1]ModifierDes!$C:$C),3,_xlfn.XLOOKUP(C2140,[1]StuntDes!$B:$B,[1]StuntDes!$C:$C)),"")</f>
        <v>冻结效果比例增加{0}</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420</v>
      </c>
      <c r="D2141" t="s">
        <v>24</v>
      </c>
      <c r="E2141" s="13" t="s">
        <v>410</v>
      </c>
      <c r="G2141">
        <v>2</v>
      </c>
      <c r="H2141">
        <v>1000</v>
      </c>
      <c r="J2141" cm="1">
        <f t="array" ref="J2141">_xlfn.SWITCH(B2141,1,75,2,61,3,49,4,37,5,25,6,13,7,4,8,1)</f>
        <v>4</v>
      </c>
      <c r="K2141" t="str" cm="1">
        <f t="array" ref="K2141">IFERROR(_xlfn.SWITCH(L2141,1,_xlfn.XLOOKUP(C2141,[1]AttributeName!$C:$C,[1]AttributeName!$I:$I),2,_xlfn.XLOOKUP(C2141,[1]ModifierDes!$B:$B,[1]ModifierDes!$C:$C),3,_xlfn.XLOOKUP(C2141,[1]StuntDes!$B:$B,[1]StuntDes!$C:$C)),"")</f>
        <v>冻结效果比例增加{0}</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420</v>
      </c>
      <c r="D2142" t="s">
        <v>24</v>
      </c>
      <c r="E2142" s="13" t="s">
        <v>410</v>
      </c>
      <c r="G2142">
        <v>2</v>
      </c>
      <c r="H2142">
        <v>1000</v>
      </c>
      <c r="J2142" cm="1">
        <f t="array" ref="J2142">_xlfn.SWITCH(B2142,1,75,2,61,3,49,4,37,5,25,6,13,7,4,8,1)</f>
        <v>1</v>
      </c>
      <c r="K2142" t="str" cm="1">
        <f t="array" ref="K2142">IFERROR(_xlfn.SWITCH(L2142,1,_xlfn.XLOOKUP(C2142,[1]AttributeName!$C:$C,[1]AttributeName!$I:$I),2,_xlfn.XLOOKUP(C2142,[1]ModifierDes!$B:$B,[1]ModifierDes!$C:$C),3,_xlfn.XLOOKUP(C2142,[1]StuntDes!$B:$B,[1]StuntDes!$C:$C)),"")</f>
        <v>冻结效果比例增加{0}</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421</v>
      </c>
      <c r="D2143" t="s">
        <v>24</v>
      </c>
      <c r="E2143" s="13" t="s">
        <v>410</v>
      </c>
      <c r="G2143">
        <v>2</v>
      </c>
      <c r="H2143">
        <v>1000</v>
      </c>
      <c r="J2143" cm="1">
        <f t="array" ref="J2143">_xlfn.SWITCH(B2143,1,75,2,61,3,49,4,37,5,25,6,13,7,4,8,1)</f>
        <v>75</v>
      </c>
      <c r="K2143" t="str" cm="1">
        <f t="array" ref="K2143">IFERROR(_xlfn.SWITCH(L2143,1,_xlfn.XLOOKUP(C2143,[1]AttributeName!$C:$C,[1]AttributeName!$I:$I),2,_xlfn.XLOOKUP(C2143,[1]ModifierDes!$B:$B,[1]ModifierDes!$C:$C),3,_xlfn.XLOOKUP(C2143,[1]StuntDes!$B:$B,[1]StuntDes!$C:$C)),"")</f>
        <v>感电概率提高增加{0}</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421</v>
      </c>
      <c r="D2144" t="s">
        <v>24</v>
      </c>
      <c r="E2144" s="13" t="s">
        <v>410</v>
      </c>
      <c r="G2144">
        <v>2</v>
      </c>
      <c r="H2144">
        <v>1000</v>
      </c>
      <c r="J2144" cm="1">
        <f t="array" ref="J2144">_xlfn.SWITCH(B2144,1,75,2,61,3,49,4,37,5,25,6,13,7,4,8,1)</f>
        <v>61</v>
      </c>
      <c r="K2144" t="str" cm="1">
        <f t="array" ref="K2144">IFERROR(_xlfn.SWITCH(L2144,1,_xlfn.XLOOKUP(C2144,[1]AttributeName!$C:$C,[1]AttributeName!$I:$I),2,_xlfn.XLOOKUP(C2144,[1]ModifierDes!$B:$B,[1]ModifierDes!$C:$C),3,_xlfn.XLOOKUP(C2144,[1]StuntDes!$B:$B,[1]StuntDes!$C:$C)),"")</f>
        <v>感电概率提高增加{0}</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421</v>
      </c>
      <c r="D2145" t="s">
        <v>24</v>
      </c>
      <c r="E2145" s="13" t="s">
        <v>410</v>
      </c>
      <c r="G2145">
        <v>2</v>
      </c>
      <c r="H2145">
        <v>1000</v>
      </c>
      <c r="J2145" cm="1">
        <f t="array" ref="J2145">_xlfn.SWITCH(B2145,1,75,2,61,3,49,4,37,5,25,6,13,7,4,8,1)</f>
        <v>49</v>
      </c>
      <c r="K2145" t="str" cm="1">
        <f t="array" ref="K2145">IFERROR(_xlfn.SWITCH(L2145,1,_xlfn.XLOOKUP(C2145,[1]AttributeName!$C:$C,[1]AttributeName!$I:$I),2,_xlfn.XLOOKUP(C2145,[1]ModifierDes!$B:$B,[1]ModifierDes!$C:$C),3,_xlfn.XLOOKUP(C2145,[1]StuntDes!$B:$B,[1]StuntDes!$C:$C)),"")</f>
        <v>感电概率提高增加{0}</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421</v>
      </c>
      <c r="D2146" t="s">
        <v>24</v>
      </c>
      <c r="E2146" s="13" t="s">
        <v>410</v>
      </c>
      <c r="G2146">
        <v>2</v>
      </c>
      <c r="H2146">
        <v>1000</v>
      </c>
      <c r="J2146" cm="1">
        <f t="array" ref="J2146">_xlfn.SWITCH(B2146,1,75,2,61,3,49,4,37,5,25,6,13,7,4,8,1)</f>
        <v>37</v>
      </c>
      <c r="K2146" t="str" cm="1">
        <f t="array" ref="K2146">IFERROR(_xlfn.SWITCH(L2146,1,_xlfn.XLOOKUP(C2146,[1]AttributeName!$C:$C,[1]AttributeName!$I:$I),2,_xlfn.XLOOKUP(C2146,[1]ModifierDes!$B:$B,[1]ModifierDes!$C:$C),3,_xlfn.XLOOKUP(C2146,[1]StuntDes!$B:$B,[1]StuntDes!$C:$C)),"")</f>
        <v>感电概率提高增加{0}</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421</v>
      </c>
      <c r="D2147" t="s">
        <v>24</v>
      </c>
      <c r="E2147" s="13" t="s">
        <v>410</v>
      </c>
      <c r="G2147">
        <v>2</v>
      </c>
      <c r="H2147">
        <v>1000</v>
      </c>
      <c r="J2147" cm="1">
        <f t="array" ref="J2147">_xlfn.SWITCH(B2147,1,75,2,61,3,49,4,37,5,25,6,13,7,4,8,1)</f>
        <v>25</v>
      </c>
      <c r="K2147" t="str" cm="1">
        <f t="array" ref="K2147">IFERROR(_xlfn.SWITCH(L2147,1,_xlfn.XLOOKUP(C2147,[1]AttributeName!$C:$C,[1]AttributeName!$I:$I),2,_xlfn.XLOOKUP(C2147,[1]ModifierDes!$B:$B,[1]ModifierDes!$C:$C),3,_xlfn.XLOOKUP(C2147,[1]StuntDes!$B:$B,[1]StuntDes!$C:$C)),"")</f>
        <v>感电概率提高增加{0}</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421</v>
      </c>
      <c r="D2148" t="s">
        <v>24</v>
      </c>
      <c r="E2148" s="13" t="s">
        <v>410</v>
      </c>
      <c r="G2148">
        <v>2</v>
      </c>
      <c r="H2148">
        <v>1000</v>
      </c>
      <c r="J2148" cm="1">
        <f t="array" ref="J2148">_xlfn.SWITCH(B2148,1,75,2,61,3,49,4,37,5,25,6,13,7,4,8,1)</f>
        <v>13</v>
      </c>
      <c r="K2148" t="str" cm="1">
        <f t="array" ref="K2148">IFERROR(_xlfn.SWITCH(L2148,1,_xlfn.XLOOKUP(C2148,[1]AttributeName!$C:$C,[1]AttributeName!$I:$I),2,_xlfn.XLOOKUP(C2148,[1]ModifierDes!$B:$B,[1]ModifierDes!$C:$C),3,_xlfn.XLOOKUP(C2148,[1]StuntDes!$B:$B,[1]StuntDes!$C:$C)),"")</f>
        <v>感电概率提高增加{0}</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421</v>
      </c>
      <c r="D2149" t="s">
        <v>24</v>
      </c>
      <c r="E2149" s="13" t="s">
        <v>410</v>
      </c>
      <c r="G2149">
        <v>2</v>
      </c>
      <c r="H2149">
        <v>1000</v>
      </c>
      <c r="J2149" cm="1">
        <f t="array" ref="J2149">_xlfn.SWITCH(B2149,1,75,2,61,3,49,4,37,5,25,6,13,7,4,8,1)</f>
        <v>4</v>
      </c>
      <c r="K2149" t="str" cm="1">
        <f t="array" ref="K2149">IFERROR(_xlfn.SWITCH(L2149,1,_xlfn.XLOOKUP(C2149,[1]AttributeName!$C:$C,[1]AttributeName!$I:$I),2,_xlfn.XLOOKUP(C2149,[1]ModifierDes!$B:$B,[1]ModifierDes!$C:$C),3,_xlfn.XLOOKUP(C2149,[1]StuntDes!$B:$B,[1]StuntDes!$C:$C)),"")</f>
        <v>感电概率提高增加{0}</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421</v>
      </c>
      <c r="D2150" t="s">
        <v>24</v>
      </c>
      <c r="E2150" s="13" t="s">
        <v>410</v>
      </c>
      <c r="G2150">
        <v>2</v>
      </c>
      <c r="H2150">
        <v>1000</v>
      </c>
      <c r="J2150" cm="1">
        <f t="array" ref="J2150">_xlfn.SWITCH(B2150,1,75,2,61,3,49,4,37,5,25,6,13,7,4,8,1)</f>
        <v>1</v>
      </c>
      <c r="K2150" t="str" cm="1">
        <f t="array" ref="K2150">IFERROR(_xlfn.SWITCH(L2150,1,_xlfn.XLOOKUP(C2150,[1]AttributeName!$C:$C,[1]AttributeName!$I:$I),2,_xlfn.XLOOKUP(C2150,[1]ModifierDes!$B:$B,[1]ModifierDes!$C:$C),3,_xlfn.XLOOKUP(C2150,[1]StuntDes!$B:$B,[1]StuntDes!$C:$C)),"")</f>
        <v>感电概率提高增加{0}</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422</v>
      </c>
      <c r="D2151" t="s">
        <v>24</v>
      </c>
      <c r="E2151" s="13" t="s">
        <v>410</v>
      </c>
      <c r="G2151">
        <v>2</v>
      </c>
      <c r="H2151">
        <v>1000</v>
      </c>
      <c r="J2151" cm="1">
        <f t="array" ref="J2151">_xlfn.SWITCH(B2151,1,75,2,61,3,49,4,37,5,25,6,13,7,4,8,1)</f>
        <v>75</v>
      </c>
      <c r="K2151" t="str" cm="1">
        <f t="array" ref="K2151">IFERROR(_xlfn.SWITCH(L2151,1,_xlfn.XLOOKUP(C2151,[1]AttributeName!$C:$C,[1]AttributeName!$I:$I),2,_xlfn.XLOOKUP(C2151,[1]ModifierDes!$B:$B,[1]ModifierDes!$C:$C),3,_xlfn.XLOOKUP(C2151,[1]StuntDes!$B:$B,[1]StuntDes!$C:$C)),"")</f>
        <v>流血效果比例增加{0}</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422</v>
      </c>
      <c r="D2152" t="s">
        <v>24</v>
      </c>
      <c r="E2152" s="13" t="s">
        <v>410</v>
      </c>
      <c r="G2152">
        <v>2</v>
      </c>
      <c r="H2152">
        <v>1000</v>
      </c>
      <c r="J2152" cm="1">
        <f t="array" ref="J2152">_xlfn.SWITCH(B2152,1,75,2,61,3,49,4,37,5,25,6,13,7,4,8,1)</f>
        <v>61</v>
      </c>
      <c r="K2152" t="str" cm="1">
        <f t="array" ref="K2152">IFERROR(_xlfn.SWITCH(L2152,1,_xlfn.XLOOKUP(C2152,[1]AttributeName!$C:$C,[1]AttributeName!$I:$I),2,_xlfn.XLOOKUP(C2152,[1]ModifierDes!$B:$B,[1]ModifierDes!$C:$C),3,_xlfn.XLOOKUP(C2152,[1]StuntDes!$B:$B,[1]StuntDes!$C:$C)),"")</f>
        <v>流血效果比例增加{0}</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422</v>
      </c>
      <c r="D2153" t="s">
        <v>24</v>
      </c>
      <c r="E2153" s="13" t="s">
        <v>410</v>
      </c>
      <c r="G2153">
        <v>2</v>
      </c>
      <c r="H2153">
        <v>1000</v>
      </c>
      <c r="J2153" cm="1">
        <f t="array" ref="J2153">_xlfn.SWITCH(B2153,1,75,2,61,3,49,4,37,5,25,6,13,7,4,8,1)</f>
        <v>49</v>
      </c>
      <c r="K2153" t="str" cm="1">
        <f t="array" ref="K2153">IFERROR(_xlfn.SWITCH(L2153,1,_xlfn.XLOOKUP(C2153,[1]AttributeName!$C:$C,[1]AttributeName!$I:$I),2,_xlfn.XLOOKUP(C2153,[1]ModifierDes!$B:$B,[1]ModifierDes!$C:$C),3,_xlfn.XLOOKUP(C2153,[1]StuntDes!$B:$B,[1]StuntDes!$C:$C)),"")</f>
        <v>流血效果比例增加{0}</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422</v>
      </c>
      <c r="D2154" t="s">
        <v>24</v>
      </c>
      <c r="E2154" s="13" t="s">
        <v>410</v>
      </c>
      <c r="G2154">
        <v>2</v>
      </c>
      <c r="H2154">
        <v>1000</v>
      </c>
      <c r="J2154" cm="1">
        <f t="array" ref="J2154">_xlfn.SWITCH(B2154,1,75,2,61,3,49,4,37,5,25,6,13,7,4,8,1)</f>
        <v>37</v>
      </c>
      <c r="K2154" t="str" cm="1">
        <f t="array" ref="K2154">IFERROR(_xlfn.SWITCH(L2154,1,_xlfn.XLOOKUP(C2154,[1]AttributeName!$C:$C,[1]AttributeName!$I:$I),2,_xlfn.XLOOKUP(C2154,[1]ModifierDes!$B:$B,[1]ModifierDes!$C:$C),3,_xlfn.XLOOKUP(C2154,[1]StuntDes!$B:$B,[1]StuntDes!$C:$C)),"")</f>
        <v>流血效果比例增加{0}</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422</v>
      </c>
      <c r="D2155" t="s">
        <v>24</v>
      </c>
      <c r="E2155" s="13" t="s">
        <v>410</v>
      </c>
      <c r="G2155">
        <v>2</v>
      </c>
      <c r="H2155">
        <v>1000</v>
      </c>
      <c r="J2155" cm="1">
        <f t="array" ref="J2155">_xlfn.SWITCH(B2155,1,75,2,61,3,49,4,37,5,25,6,13,7,4,8,1)</f>
        <v>25</v>
      </c>
      <c r="K2155" t="str" cm="1">
        <f t="array" ref="K2155">IFERROR(_xlfn.SWITCH(L2155,1,_xlfn.XLOOKUP(C2155,[1]AttributeName!$C:$C,[1]AttributeName!$I:$I),2,_xlfn.XLOOKUP(C2155,[1]ModifierDes!$B:$B,[1]ModifierDes!$C:$C),3,_xlfn.XLOOKUP(C2155,[1]StuntDes!$B:$B,[1]StuntDes!$C:$C)),"")</f>
        <v>流血效果比例增加{0}</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422</v>
      </c>
      <c r="D2156" t="s">
        <v>24</v>
      </c>
      <c r="E2156" s="13" t="s">
        <v>410</v>
      </c>
      <c r="G2156">
        <v>2</v>
      </c>
      <c r="H2156">
        <v>1000</v>
      </c>
      <c r="J2156" cm="1">
        <f t="array" ref="J2156">_xlfn.SWITCH(B2156,1,75,2,61,3,49,4,37,5,25,6,13,7,4,8,1)</f>
        <v>13</v>
      </c>
      <c r="K2156" t="str" cm="1">
        <f t="array" ref="K2156">IFERROR(_xlfn.SWITCH(L2156,1,_xlfn.XLOOKUP(C2156,[1]AttributeName!$C:$C,[1]AttributeName!$I:$I),2,_xlfn.XLOOKUP(C2156,[1]ModifierDes!$B:$B,[1]ModifierDes!$C:$C),3,_xlfn.XLOOKUP(C2156,[1]StuntDes!$B:$B,[1]StuntDes!$C:$C)),"")</f>
        <v>流血效果比例增加{0}</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422</v>
      </c>
      <c r="D2157" t="s">
        <v>24</v>
      </c>
      <c r="E2157" s="13" t="s">
        <v>410</v>
      </c>
      <c r="G2157">
        <v>2</v>
      </c>
      <c r="H2157">
        <v>1000</v>
      </c>
      <c r="J2157" cm="1">
        <f t="array" ref="J2157">_xlfn.SWITCH(B2157,1,75,2,61,3,49,4,37,5,25,6,13,7,4,8,1)</f>
        <v>4</v>
      </c>
      <c r="K2157" t="str" cm="1">
        <f t="array" ref="K2157">IFERROR(_xlfn.SWITCH(L2157,1,_xlfn.XLOOKUP(C2157,[1]AttributeName!$C:$C,[1]AttributeName!$I:$I),2,_xlfn.XLOOKUP(C2157,[1]ModifierDes!$B:$B,[1]ModifierDes!$C:$C),3,_xlfn.XLOOKUP(C2157,[1]StuntDes!$B:$B,[1]StuntDes!$C:$C)),"")</f>
        <v>流血效果比例增加{0}</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422</v>
      </c>
      <c r="D2158" t="s">
        <v>24</v>
      </c>
      <c r="E2158" s="13" t="s">
        <v>410</v>
      </c>
      <c r="G2158">
        <v>2</v>
      </c>
      <c r="H2158">
        <v>1000</v>
      </c>
      <c r="J2158" cm="1">
        <f t="array" ref="J2158">_xlfn.SWITCH(B2158,1,75,2,61,3,49,4,37,5,25,6,13,7,4,8,1)</f>
        <v>1</v>
      </c>
      <c r="K2158" t="str" cm="1">
        <f t="array" ref="K2158">IFERROR(_xlfn.SWITCH(L2158,1,_xlfn.XLOOKUP(C2158,[1]AttributeName!$C:$C,[1]AttributeName!$I:$I),2,_xlfn.XLOOKUP(C2158,[1]ModifierDes!$B:$B,[1]ModifierDes!$C:$C),3,_xlfn.XLOOKUP(C2158,[1]StuntDes!$B:$B,[1]StuntDes!$C:$C)),"")</f>
        <v>流血效果比例增加{0}</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423</v>
      </c>
      <c r="D2159" t="s">
        <v>24</v>
      </c>
      <c r="E2159" s="13" t="s">
        <v>410</v>
      </c>
      <c r="G2159">
        <v>2</v>
      </c>
      <c r="H2159">
        <v>1000</v>
      </c>
      <c r="J2159" cm="1">
        <f t="array" ref="J2159">_xlfn.SWITCH(B2159,1,75,2,61,3,49,4,37,5,25,6,13,7,4,8,1)</f>
        <v>75</v>
      </c>
      <c r="K2159" t="str" cm="1">
        <f t="array" ref="K2159">IFERROR(_xlfn.SWITCH(L2159,1,_xlfn.XLOOKUP(C2159,[1]AttributeName!$C:$C,[1]AttributeName!$I:$I),2,_xlfn.XLOOKUP(C2159,[1]ModifierDes!$B:$B,[1]ModifierDes!$C:$C),3,_xlfn.XLOOKUP(C2159,[1]StuntDes!$B:$B,[1]StuntDes!$C:$C)),"")</f>
        <v>中毒效果比例增加{0}</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423</v>
      </c>
      <c r="D2160" t="s">
        <v>24</v>
      </c>
      <c r="E2160" s="13" t="s">
        <v>410</v>
      </c>
      <c r="G2160">
        <v>2</v>
      </c>
      <c r="H2160">
        <v>1000</v>
      </c>
      <c r="J2160" cm="1">
        <f t="array" ref="J2160">_xlfn.SWITCH(B2160,1,75,2,61,3,49,4,37,5,25,6,13,7,4,8,1)</f>
        <v>61</v>
      </c>
      <c r="K2160" t="str" cm="1">
        <f t="array" ref="K2160">IFERROR(_xlfn.SWITCH(L2160,1,_xlfn.XLOOKUP(C2160,[1]AttributeName!$C:$C,[1]AttributeName!$I:$I),2,_xlfn.XLOOKUP(C2160,[1]ModifierDes!$B:$B,[1]ModifierDes!$C:$C),3,_xlfn.XLOOKUP(C2160,[1]StuntDes!$B:$B,[1]StuntDes!$C:$C)),"")</f>
        <v>中毒效果比例增加{0}</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423</v>
      </c>
      <c r="D2161" t="s">
        <v>24</v>
      </c>
      <c r="E2161" s="13" t="s">
        <v>410</v>
      </c>
      <c r="G2161">
        <v>2</v>
      </c>
      <c r="H2161">
        <v>1000</v>
      </c>
      <c r="J2161" cm="1">
        <f t="array" ref="J2161">_xlfn.SWITCH(B2161,1,75,2,61,3,49,4,37,5,25,6,13,7,4,8,1)</f>
        <v>49</v>
      </c>
      <c r="K2161" t="str" cm="1">
        <f t="array" ref="K2161">IFERROR(_xlfn.SWITCH(L2161,1,_xlfn.XLOOKUP(C2161,[1]AttributeName!$C:$C,[1]AttributeName!$I:$I),2,_xlfn.XLOOKUP(C2161,[1]ModifierDes!$B:$B,[1]ModifierDes!$C:$C),3,_xlfn.XLOOKUP(C2161,[1]StuntDes!$B:$B,[1]StuntDes!$C:$C)),"")</f>
        <v>中毒效果比例增加{0}</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423</v>
      </c>
      <c r="D2162" t="s">
        <v>24</v>
      </c>
      <c r="E2162" s="13" t="s">
        <v>410</v>
      </c>
      <c r="G2162">
        <v>2</v>
      </c>
      <c r="H2162">
        <v>1000</v>
      </c>
      <c r="J2162" cm="1">
        <f t="array" ref="J2162">_xlfn.SWITCH(B2162,1,75,2,61,3,49,4,37,5,25,6,13,7,4,8,1)</f>
        <v>37</v>
      </c>
      <c r="K2162" t="str" cm="1">
        <f t="array" ref="K2162">IFERROR(_xlfn.SWITCH(L2162,1,_xlfn.XLOOKUP(C2162,[1]AttributeName!$C:$C,[1]AttributeName!$I:$I),2,_xlfn.XLOOKUP(C2162,[1]ModifierDes!$B:$B,[1]ModifierDes!$C:$C),3,_xlfn.XLOOKUP(C2162,[1]StuntDes!$B:$B,[1]StuntDes!$C:$C)),"")</f>
        <v>中毒效果比例增加{0}</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423</v>
      </c>
      <c r="D2163" t="s">
        <v>24</v>
      </c>
      <c r="E2163" s="13" t="s">
        <v>410</v>
      </c>
      <c r="G2163">
        <v>2</v>
      </c>
      <c r="H2163">
        <v>1000</v>
      </c>
      <c r="J2163" cm="1">
        <f t="array" ref="J2163">_xlfn.SWITCH(B2163,1,75,2,61,3,49,4,37,5,25,6,13,7,4,8,1)</f>
        <v>25</v>
      </c>
      <c r="K2163" t="str" cm="1">
        <f t="array" ref="K2163">IFERROR(_xlfn.SWITCH(L2163,1,_xlfn.XLOOKUP(C2163,[1]AttributeName!$C:$C,[1]AttributeName!$I:$I),2,_xlfn.XLOOKUP(C2163,[1]ModifierDes!$B:$B,[1]ModifierDes!$C:$C),3,_xlfn.XLOOKUP(C2163,[1]StuntDes!$B:$B,[1]StuntDes!$C:$C)),"")</f>
        <v>中毒效果比例增加{0}</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423</v>
      </c>
      <c r="D2164" t="s">
        <v>24</v>
      </c>
      <c r="E2164" s="13" t="s">
        <v>410</v>
      </c>
      <c r="G2164">
        <v>2</v>
      </c>
      <c r="H2164">
        <v>1000</v>
      </c>
      <c r="J2164" cm="1">
        <f t="array" ref="J2164">_xlfn.SWITCH(B2164,1,75,2,61,3,49,4,37,5,25,6,13,7,4,8,1)</f>
        <v>13</v>
      </c>
      <c r="K2164" t="str" cm="1">
        <f t="array" ref="K2164">IFERROR(_xlfn.SWITCH(L2164,1,_xlfn.XLOOKUP(C2164,[1]AttributeName!$C:$C,[1]AttributeName!$I:$I),2,_xlfn.XLOOKUP(C2164,[1]ModifierDes!$B:$B,[1]ModifierDes!$C:$C),3,_xlfn.XLOOKUP(C2164,[1]StuntDes!$B:$B,[1]StuntDes!$C:$C)),"")</f>
        <v>中毒效果比例增加{0}</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423</v>
      </c>
      <c r="D2165" t="s">
        <v>24</v>
      </c>
      <c r="E2165" s="13" t="s">
        <v>410</v>
      </c>
      <c r="G2165">
        <v>2</v>
      </c>
      <c r="H2165">
        <v>1000</v>
      </c>
      <c r="J2165" cm="1">
        <f t="array" ref="J2165">_xlfn.SWITCH(B2165,1,75,2,61,3,49,4,37,5,25,6,13,7,4,8,1)</f>
        <v>4</v>
      </c>
      <c r="K2165" t="str" cm="1">
        <f t="array" ref="K2165">IFERROR(_xlfn.SWITCH(L2165,1,_xlfn.XLOOKUP(C2165,[1]AttributeName!$C:$C,[1]AttributeName!$I:$I),2,_xlfn.XLOOKUP(C2165,[1]ModifierDes!$B:$B,[1]ModifierDes!$C:$C),3,_xlfn.XLOOKUP(C2165,[1]StuntDes!$B:$B,[1]StuntDes!$C:$C)),"")</f>
        <v>中毒效果比例增加{0}</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423</v>
      </c>
      <c r="D2166" t="s">
        <v>24</v>
      </c>
      <c r="E2166" s="13" t="s">
        <v>410</v>
      </c>
      <c r="G2166">
        <v>2</v>
      </c>
      <c r="H2166">
        <v>1000</v>
      </c>
      <c r="J2166" cm="1">
        <f t="array" ref="J2166">_xlfn.SWITCH(B2166,1,75,2,61,3,49,4,37,5,25,6,13,7,4,8,1)</f>
        <v>1</v>
      </c>
      <c r="K2166" t="str" cm="1">
        <f t="array" ref="K2166">IFERROR(_xlfn.SWITCH(L2166,1,_xlfn.XLOOKUP(C2166,[1]AttributeName!$C:$C,[1]AttributeName!$I:$I),2,_xlfn.XLOOKUP(C2166,[1]ModifierDes!$B:$B,[1]ModifierDes!$C:$C),3,_xlfn.XLOOKUP(C2166,[1]StuntDes!$B:$B,[1]StuntDes!$C:$C)),"")</f>
        <v>中毒效果比例增加{0}</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424</v>
      </c>
      <c r="D2167" t="s">
        <v>24</v>
      </c>
      <c r="E2167" s="13" t="s">
        <v>410</v>
      </c>
      <c r="G2167">
        <v>2</v>
      </c>
      <c r="H2167">
        <v>1000</v>
      </c>
      <c r="J2167" cm="1">
        <f t="array" ref="J2167">_xlfn.SWITCH(B2167,1,75,2,61,3,49,4,37,5,25,6,13,7,4,8,1)</f>
        <v>75</v>
      </c>
      <c r="K2167" t="str" cm="1">
        <f t="array" ref="K2167">IFERROR(_xlfn.SWITCH(L2167,1,_xlfn.XLOOKUP(C2167,[1]AttributeName!$C:$C,[1]AttributeName!$I:$I),2,_xlfn.XLOOKUP(C2167,[1]ModifierDes!$B:$B,[1]ModifierDes!$C:$C),3,_xlfn.XLOOKUP(C2167,[1]StuntDes!$B:$B,[1]StuntDes!$C:$C)),"")</f>
        <v>穿戴等级降低增加{0}</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0.36</v>
      </c>
      <c r="R2167">
        <v>0.4</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424</v>
      </c>
      <c r="D2168" t="s">
        <v>24</v>
      </c>
      <c r="E2168" s="13" t="s">
        <v>410</v>
      </c>
      <c r="G2168">
        <v>2</v>
      </c>
      <c r="H2168">
        <v>1000</v>
      </c>
      <c r="J2168" cm="1">
        <f t="array" ref="J2168">_xlfn.SWITCH(B2168,1,75,2,61,3,49,4,37,5,25,6,13,7,4,8,1)</f>
        <v>61</v>
      </c>
      <c r="K2168" t="str" cm="1">
        <f t="array" ref="K2168">IFERROR(_xlfn.SWITCH(L2168,1,_xlfn.XLOOKUP(C2168,[1]AttributeName!$C:$C,[1]AttributeName!$I:$I),2,_xlfn.XLOOKUP(C2168,[1]ModifierDes!$B:$B,[1]ModifierDes!$C:$C),3,_xlfn.XLOOKUP(C2168,[1]StuntDes!$B:$B,[1]StuntDes!$C:$C)),"")</f>
        <v>穿戴等级降低增加{0}</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0.31</v>
      </c>
      <c r="R2168">
        <v>0.35</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424</v>
      </c>
      <c r="D2169" t="s">
        <v>24</v>
      </c>
      <c r="E2169" s="13" t="s">
        <v>410</v>
      </c>
      <c r="G2169">
        <v>2</v>
      </c>
      <c r="H2169">
        <v>1000</v>
      </c>
      <c r="J2169" cm="1">
        <f t="array" ref="J2169">_xlfn.SWITCH(B2169,1,75,2,61,3,49,4,37,5,25,6,13,7,4,8,1)</f>
        <v>49</v>
      </c>
      <c r="K2169" t="str" cm="1">
        <f t="array" ref="K2169">IFERROR(_xlfn.SWITCH(L2169,1,_xlfn.XLOOKUP(C2169,[1]AttributeName!$C:$C,[1]AttributeName!$I:$I),2,_xlfn.XLOOKUP(C2169,[1]ModifierDes!$B:$B,[1]ModifierDes!$C:$C),3,_xlfn.XLOOKUP(C2169,[1]StuntDes!$B:$B,[1]StuntDes!$C:$C)),"")</f>
        <v>穿戴等级降低增加{0}</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0.26</v>
      </c>
      <c r="R2169">
        <v>0.3</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424</v>
      </c>
      <c r="D2170" t="s">
        <v>24</v>
      </c>
      <c r="E2170" s="13" t="s">
        <v>410</v>
      </c>
      <c r="G2170">
        <v>2</v>
      </c>
      <c r="H2170">
        <v>1000</v>
      </c>
      <c r="J2170" cm="1">
        <f t="array" ref="J2170">_xlfn.SWITCH(B2170,1,75,2,61,3,49,4,37,5,25,6,13,7,4,8,1)</f>
        <v>37</v>
      </c>
      <c r="K2170" t="str" cm="1">
        <f t="array" ref="K2170">IFERROR(_xlfn.SWITCH(L2170,1,_xlfn.XLOOKUP(C2170,[1]AttributeName!$C:$C,[1]AttributeName!$I:$I),2,_xlfn.XLOOKUP(C2170,[1]ModifierDes!$B:$B,[1]ModifierDes!$C:$C),3,_xlfn.XLOOKUP(C2170,[1]StuntDes!$B:$B,[1]StuntDes!$C:$C)),"")</f>
        <v>穿戴等级降低增加{0}</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0.21</v>
      </c>
      <c r="R2170">
        <v>0.25</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424</v>
      </c>
      <c r="D2171" t="s">
        <v>24</v>
      </c>
      <c r="E2171" s="13" t="s">
        <v>410</v>
      </c>
      <c r="G2171">
        <v>2</v>
      </c>
      <c r="H2171">
        <v>1000</v>
      </c>
      <c r="J2171" cm="1">
        <f t="array" ref="J2171">_xlfn.SWITCH(B2171,1,75,2,61,3,49,4,37,5,25,6,13,7,4,8,1)</f>
        <v>25</v>
      </c>
      <c r="K2171" t="str" cm="1">
        <f t="array" ref="K2171">IFERROR(_xlfn.SWITCH(L2171,1,_xlfn.XLOOKUP(C2171,[1]AttributeName!$C:$C,[1]AttributeName!$I:$I),2,_xlfn.XLOOKUP(C2171,[1]ModifierDes!$B:$B,[1]ModifierDes!$C:$C),3,_xlfn.XLOOKUP(C2171,[1]StuntDes!$B:$B,[1]StuntDes!$C:$C)),"")</f>
        <v>穿戴等级降低增加{0}</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0.16</v>
      </c>
      <c r="R2171">
        <v>0.2</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424</v>
      </c>
      <c r="D2172" t="s">
        <v>24</v>
      </c>
      <c r="E2172" s="13" t="s">
        <v>410</v>
      </c>
      <c r="G2172">
        <v>2</v>
      </c>
      <c r="H2172">
        <v>1000</v>
      </c>
      <c r="J2172" cm="1">
        <f t="array" ref="J2172">_xlfn.SWITCH(B2172,1,75,2,61,3,49,4,37,5,25,6,13,7,4,8,1)</f>
        <v>13</v>
      </c>
      <c r="K2172" t="str" cm="1">
        <f t="array" ref="K2172">IFERROR(_xlfn.SWITCH(L2172,1,_xlfn.XLOOKUP(C2172,[1]AttributeName!$C:$C,[1]AttributeName!$I:$I),2,_xlfn.XLOOKUP(C2172,[1]ModifierDes!$B:$B,[1]ModifierDes!$C:$C),3,_xlfn.XLOOKUP(C2172,[1]StuntDes!$B:$B,[1]StuntDes!$C:$C)),"")</f>
        <v>穿戴等级降低增加{0}</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0.11</v>
      </c>
      <c r="R2172">
        <v>0.15</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424</v>
      </c>
      <c r="D2173" t="s">
        <v>24</v>
      </c>
      <c r="E2173" s="13" t="s">
        <v>410</v>
      </c>
      <c r="G2173">
        <v>2</v>
      </c>
      <c r="H2173">
        <v>1000</v>
      </c>
      <c r="J2173" cm="1">
        <f t="array" ref="J2173">_xlfn.SWITCH(B2173,1,75,2,61,3,49,4,37,5,25,6,13,7,4,8,1)</f>
        <v>4</v>
      </c>
      <c r="K2173" t="str" cm="1">
        <f t="array" ref="K2173">IFERROR(_xlfn.SWITCH(L2173,1,_xlfn.XLOOKUP(C2173,[1]AttributeName!$C:$C,[1]AttributeName!$I:$I),2,_xlfn.XLOOKUP(C2173,[1]ModifierDes!$B:$B,[1]ModifierDes!$C:$C),3,_xlfn.XLOOKUP(C2173,[1]StuntDes!$B:$B,[1]StuntDes!$C:$C)),"")</f>
        <v>穿戴等级降低增加{0}</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0.06</v>
      </c>
      <c r="R2173">
        <v>0.1</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424</v>
      </c>
      <c r="D2174" t="s">
        <v>24</v>
      </c>
      <c r="E2174" s="13" t="s">
        <v>410</v>
      </c>
      <c r="G2174">
        <v>2</v>
      </c>
      <c r="H2174">
        <v>1000</v>
      </c>
      <c r="J2174" cm="1">
        <f t="array" ref="J2174">_xlfn.SWITCH(B2174,1,75,2,61,3,49,4,37,5,25,6,13,7,4,8,1)</f>
        <v>1</v>
      </c>
      <c r="K2174" t="str" cm="1">
        <f t="array" ref="K2174">IFERROR(_xlfn.SWITCH(L2174,1,_xlfn.XLOOKUP(C2174,[1]AttributeName!$C:$C,[1]AttributeName!$I:$I),2,_xlfn.XLOOKUP(C2174,[1]ModifierDes!$B:$B,[1]ModifierDes!$C:$C),3,_xlfn.XLOOKUP(C2174,[1]StuntDes!$B:$B,[1]StuntDes!$C:$C)),"")</f>
        <v>穿戴等级降低增加{0}</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0.01</v>
      </c>
      <c r="R2174">
        <v>0.05</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425</v>
      </c>
      <c r="D2175" t="s">
        <v>24</v>
      </c>
      <c r="E2175" s="13" t="s">
        <v>410</v>
      </c>
      <c r="G2175">
        <v>2</v>
      </c>
      <c r="H2175">
        <v>1000</v>
      </c>
      <c r="J2175" cm="1">
        <f t="array" ref="J2175">_xlfn.SWITCH(B2175,1,75,2,61,3,49,4,37,5,25,6,13,7,4,8,1)</f>
        <v>75</v>
      </c>
      <c r="K2175" t="str" cm="1">
        <f t="array" ref="K2175">IFERROR(_xlfn.SWITCH(L2175,1,_xlfn.XLOOKUP(C2175,[1]AttributeName!$C:$C,[1]AttributeName!$I:$I),2,_xlfn.XLOOKUP(C2175,[1]ModifierDes!$B:$B,[1]ModifierDes!$C:$C),3,_xlfn.XLOOKUP(C2175,[1]StuntDes!$B:$B,[1]StuntDes!$C:$C)),"")</f>
        <v>击杀回血增加{0}</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425</v>
      </c>
      <c r="D2176" t="s">
        <v>24</v>
      </c>
      <c r="E2176" s="13" t="s">
        <v>410</v>
      </c>
      <c r="G2176">
        <v>2</v>
      </c>
      <c r="H2176">
        <v>1000</v>
      </c>
      <c r="J2176" cm="1">
        <f t="array" ref="J2176">_xlfn.SWITCH(B2176,1,75,2,61,3,49,4,37,5,25,6,13,7,4,8,1)</f>
        <v>61</v>
      </c>
      <c r="K2176" t="str" cm="1">
        <f t="array" ref="K2176">IFERROR(_xlfn.SWITCH(L2176,1,_xlfn.XLOOKUP(C2176,[1]AttributeName!$C:$C,[1]AttributeName!$I:$I),2,_xlfn.XLOOKUP(C2176,[1]ModifierDes!$B:$B,[1]ModifierDes!$C:$C),3,_xlfn.XLOOKUP(C2176,[1]StuntDes!$B:$B,[1]StuntDes!$C:$C)),"")</f>
        <v>击杀回血增加{0}</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425</v>
      </c>
      <c r="D2177" t="s">
        <v>24</v>
      </c>
      <c r="E2177" s="13" t="s">
        <v>410</v>
      </c>
      <c r="G2177">
        <v>2</v>
      </c>
      <c r="H2177">
        <v>1000</v>
      </c>
      <c r="J2177" cm="1">
        <f t="array" ref="J2177">_xlfn.SWITCH(B2177,1,75,2,61,3,49,4,37,5,25,6,13,7,4,8,1)</f>
        <v>49</v>
      </c>
      <c r="K2177" t="str" cm="1">
        <f t="array" ref="K2177">IFERROR(_xlfn.SWITCH(L2177,1,_xlfn.XLOOKUP(C2177,[1]AttributeName!$C:$C,[1]AttributeName!$I:$I),2,_xlfn.XLOOKUP(C2177,[1]ModifierDes!$B:$B,[1]ModifierDes!$C:$C),3,_xlfn.XLOOKUP(C2177,[1]StuntDes!$B:$B,[1]StuntDes!$C:$C)),"")</f>
        <v>击杀回血增加{0}</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425</v>
      </c>
      <c r="D2178" t="s">
        <v>24</v>
      </c>
      <c r="E2178" s="13" t="s">
        <v>410</v>
      </c>
      <c r="G2178">
        <v>2</v>
      </c>
      <c r="H2178">
        <v>1000</v>
      </c>
      <c r="J2178" cm="1">
        <f t="array" ref="J2178">_xlfn.SWITCH(B2178,1,75,2,61,3,49,4,37,5,25,6,13,7,4,8,1)</f>
        <v>37</v>
      </c>
      <c r="K2178" t="str" cm="1">
        <f t="array" ref="K2178">IFERROR(_xlfn.SWITCH(L2178,1,_xlfn.XLOOKUP(C2178,[1]AttributeName!$C:$C,[1]AttributeName!$I:$I),2,_xlfn.XLOOKUP(C2178,[1]ModifierDes!$B:$B,[1]ModifierDes!$C:$C),3,_xlfn.XLOOKUP(C2178,[1]StuntDes!$B:$B,[1]StuntDes!$C:$C)),"")</f>
        <v>击杀回血增加{0}</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425</v>
      </c>
      <c r="D2179" t="s">
        <v>24</v>
      </c>
      <c r="E2179" s="13" t="s">
        <v>410</v>
      </c>
      <c r="G2179">
        <v>2</v>
      </c>
      <c r="H2179">
        <v>1000</v>
      </c>
      <c r="J2179" cm="1">
        <f t="array" ref="J2179">_xlfn.SWITCH(B2179,1,75,2,61,3,49,4,37,5,25,6,13,7,4,8,1)</f>
        <v>25</v>
      </c>
      <c r="K2179" t="str" cm="1">
        <f t="array" ref="K2179">IFERROR(_xlfn.SWITCH(L2179,1,_xlfn.XLOOKUP(C2179,[1]AttributeName!$C:$C,[1]AttributeName!$I:$I),2,_xlfn.XLOOKUP(C2179,[1]ModifierDes!$B:$B,[1]ModifierDes!$C:$C),3,_xlfn.XLOOKUP(C2179,[1]StuntDes!$B:$B,[1]StuntDes!$C:$C)),"")</f>
        <v>击杀回血增加{0}</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425</v>
      </c>
      <c r="D2180" t="s">
        <v>24</v>
      </c>
      <c r="E2180" s="13" t="s">
        <v>410</v>
      </c>
      <c r="G2180">
        <v>2</v>
      </c>
      <c r="H2180">
        <v>1000</v>
      </c>
      <c r="J2180" cm="1">
        <f t="array" ref="J2180">_xlfn.SWITCH(B2180,1,75,2,61,3,49,4,37,5,25,6,13,7,4,8,1)</f>
        <v>13</v>
      </c>
      <c r="K2180" t="str" cm="1">
        <f t="array" ref="K2180">IFERROR(_xlfn.SWITCH(L2180,1,_xlfn.XLOOKUP(C2180,[1]AttributeName!$C:$C,[1]AttributeName!$I:$I),2,_xlfn.XLOOKUP(C2180,[1]ModifierDes!$B:$B,[1]ModifierDes!$C:$C),3,_xlfn.XLOOKUP(C2180,[1]StuntDes!$B:$B,[1]StuntDes!$C:$C)),"")</f>
        <v>击杀回血增加{0}</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425</v>
      </c>
      <c r="D2181" t="s">
        <v>24</v>
      </c>
      <c r="E2181" s="13" t="s">
        <v>410</v>
      </c>
      <c r="G2181">
        <v>2</v>
      </c>
      <c r="H2181">
        <v>1000</v>
      </c>
      <c r="J2181" cm="1">
        <f t="array" ref="J2181">_xlfn.SWITCH(B2181,1,75,2,61,3,49,4,37,5,25,6,13,7,4,8,1)</f>
        <v>4</v>
      </c>
      <c r="K2181" t="str" cm="1">
        <f t="array" ref="K2181">IFERROR(_xlfn.SWITCH(L2181,1,_xlfn.XLOOKUP(C2181,[1]AttributeName!$C:$C,[1]AttributeName!$I:$I),2,_xlfn.XLOOKUP(C2181,[1]ModifierDes!$B:$B,[1]ModifierDes!$C:$C),3,_xlfn.XLOOKUP(C2181,[1]StuntDes!$B:$B,[1]StuntDes!$C:$C)),"")</f>
        <v>击杀回血增加{0}</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425</v>
      </c>
      <c r="D2182" t="s">
        <v>24</v>
      </c>
      <c r="E2182" s="13" t="s">
        <v>410</v>
      </c>
      <c r="G2182">
        <v>2</v>
      </c>
      <c r="H2182">
        <v>1000</v>
      </c>
      <c r="J2182" cm="1">
        <f t="array" ref="J2182">_xlfn.SWITCH(B2182,1,75,2,61,3,49,4,37,5,25,6,13,7,4,8,1)</f>
        <v>1</v>
      </c>
      <c r="K2182" t="str" cm="1">
        <f t="array" ref="K2182">IFERROR(_xlfn.SWITCH(L2182,1,_xlfn.XLOOKUP(C2182,[1]AttributeName!$C:$C,[1]AttributeName!$I:$I),2,_xlfn.XLOOKUP(C2182,[1]ModifierDes!$B:$B,[1]ModifierDes!$C:$C),3,_xlfn.XLOOKUP(C2182,[1]StuntDes!$B:$B,[1]StuntDes!$C:$C)),"")</f>
        <v>击杀回血增加{0}</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426</v>
      </c>
      <c r="D2183" t="s">
        <v>24</v>
      </c>
      <c r="E2183" s="13" t="s">
        <v>410</v>
      </c>
      <c r="G2183">
        <v>2</v>
      </c>
      <c r="H2183">
        <v>1000</v>
      </c>
      <c r="J2183" cm="1">
        <f t="array" ref="J2183">_xlfn.SWITCH(B2183,1,75,2,61,3,49,4,37,5,25,6,13,7,4,8,1)</f>
        <v>75</v>
      </c>
      <c r="K2183" t="str" cm="1">
        <f t="array" ref="K2183">IFERROR(_xlfn.SWITCH(L2183,1,_xlfn.XLOOKUP(C2183,[1]AttributeName!$C:$C,[1]AttributeName!$I:$I),2,_xlfn.XLOOKUP(C2183,[1]ModifierDes!$B:$B,[1]ModifierDes!$C:$C),3,_xlfn.XLOOKUP(C2183,[1]StuntDes!$B:$B,[1]StuntDes!$C:$C)),"")</f>
        <v>击杀回蓝增加{0}</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426</v>
      </c>
      <c r="D2184" t="s">
        <v>24</v>
      </c>
      <c r="E2184" s="13" t="s">
        <v>410</v>
      </c>
      <c r="G2184">
        <v>2</v>
      </c>
      <c r="H2184">
        <v>1000</v>
      </c>
      <c r="J2184" cm="1">
        <f t="array" ref="J2184">_xlfn.SWITCH(B2184,1,75,2,61,3,49,4,37,5,25,6,13,7,4,8,1)</f>
        <v>61</v>
      </c>
      <c r="K2184" t="str" cm="1">
        <f t="array" ref="K2184">IFERROR(_xlfn.SWITCH(L2184,1,_xlfn.XLOOKUP(C2184,[1]AttributeName!$C:$C,[1]AttributeName!$I:$I),2,_xlfn.XLOOKUP(C2184,[1]ModifierDes!$B:$B,[1]ModifierDes!$C:$C),3,_xlfn.XLOOKUP(C2184,[1]StuntDes!$B:$B,[1]StuntDes!$C:$C)),"")</f>
        <v>击杀回蓝增加{0}</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426</v>
      </c>
      <c r="D2185" t="s">
        <v>24</v>
      </c>
      <c r="E2185" s="13" t="s">
        <v>410</v>
      </c>
      <c r="G2185">
        <v>2</v>
      </c>
      <c r="H2185">
        <v>1000</v>
      </c>
      <c r="J2185" cm="1">
        <f t="array" ref="J2185">_xlfn.SWITCH(B2185,1,75,2,61,3,49,4,37,5,25,6,13,7,4,8,1)</f>
        <v>49</v>
      </c>
      <c r="K2185" t="str" cm="1">
        <f t="array" ref="K2185">IFERROR(_xlfn.SWITCH(L2185,1,_xlfn.XLOOKUP(C2185,[1]AttributeName!$C:$C,[1]AttributeName!$I:$I),2,_xlfn.XLOOKUP(C2185,[1]ModifierDes!$B:$B,[1]ModifierDes!$C:$C),3,_xlfn.XLOOKUP(C2185,[1]StuntDes!$B:$B,[1]StuntDes!$C:$C)),"")</f>
        <v>击杀回蓝增加{0}</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426</v>
      </c>
      <c r="D2186" t="s">
        <v>24</v>
      </c>
      <c r="E2186" s="13" t="s">
        <v>410</v>
      </c>
      <c r="G2186">
        <v>2</v>
      </c>
      <c r="H2186">
        <v>1000</v>
      </c>
      <c r="J2186" cm="1">
        <f t="array" ref="J2186">_xlfn.SWITCH(B2186,1,75,2,61,3,49,4,37,5,25,6,13,7,4,8,1)</f>
        <v>37</v>
      </c>
      <c r="K2186" t="str" cm="1">
        <f t="array" ref="K2186">IFERROR(_xlfn.SWITCH(L2186,1,_xlfn.XLOOKUP(C2186,[1]AttributeName!$C:$C,[1]AttributeName!$I:$I),2,_xlfn.XLOOKUP(C2186,[1]ModifierDes!$B:$B,[1]ModifierDes!$C:$C),3,_xlfn.XLOOKUP(C2186,[1]StuntDes!$B:$B,[1]StuntDes!$C:$C)),"")</f>
        <v>击杀回蓝增加{0}</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426</v>
      </c>
      <c r="D2187" t="s">
        <v>24</v>
      </c>
      <c r="E2187" s="13" t="s">
        <v>410</v>
      </c>
      <c r="G2187">
        <v>2</v>
      </c>
      <c r="H2187">
        <v>1000</v>
      </c>
      <c r="J2187" cm="1">
        <f t="array" ref="J2187">_xlfn.SWITCH(B2187,1,75,2,61,3,49,4,37,5,25,6,13,7,4,8,1)</f>
        <v>25</v>
      </c>
      <c r="K2187" t="str" cm="1">
        <f t="array" ref="K2187">IFERROR(_xlfn.SWITCH(L2187,1,_xlfn.XLOOKUP(C2187,[1]AttributeName!$C:$C,[1]AttributeName!$I:$I),2,_xlfn.XLOOKUP(C2187,[1]ModifierDes!$B:$B,[1]ModifierDes!$C:$C),3,_xlfn.XLOOKUP(C2187,[1]StuntDes!$B:$B,[1]StuntDes!$C:$C)),"")</f>
        <v>击杀回蓝增加{0}</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426</v>
      </c>
      <c r="D2188" t="s">
        <v>24</v>
      </c>
      <c r="E2188" s="13" t="s">
        <v>410</v>
      </c>
      <c r="G2188">
        <v>2</v>
      </c>
      <c r="H2188">
        <v>1000</v>
      </c>
      <c r="J2188" cm="1">
        <f t="array" ref="J2188">_xlfn.SWITCH(B2188,1,75,2,61,3,49,4,37,5,25,6,13,7,4,8,1)</f>
        <v>13</v>
      </c>
      <c r="K2188" t="str" cm="1">
        <f t="array" ref="K2188">IFERROR(_xlfn.SWITCH(L2188,1,_xlfn.XLOOKUP(C2188,[1]AttributeName!$C:$C,[1]AttributeName!$I:$I),2,_xlfn.XLOOKUP(C2188,[1]ModifierDes!$B:$B,[1]ModifierDes!$C:$C),3,_xlfn.XLOOKUP(C2188,[1]StuntDes!$B:$B,[1]StuntDes!$C:$C)),"")</f>
        <v>击杀回蓝增加{0}</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426</v>
      </c>
      <c r="D2189" t="s">
        <v>24</v>
      </c>
      <c r="E2189" s="13" t="s">
        <v>410</v>
      </c>
      <c r="G2189">
        <v>2</v>
      </c>
      <c r="H2189">
        <v>1000</v>
      </c>
      <c r="J2189" cm="1">
        <f t="array" ref="J2189">_xlfn.SWITCH(B2189,1,75,2,61,3,49,4,37,5,25,6,13,7,4,8,1)</f>
        <v>4</v>
      </c>
      <c r="K2189" t="str" cm="1">
        <f t="array" ref="K2189">IFERROR(_xlfn.SWITCH(L2189,1,_xlfn.XLOOKUP(C2189,[1]AttributeName!$C:$C,[1]AttributeName!$I:$I),2,_xlfn.XLOOKUP(C2189,[1]ModifierDes!$B:$B,[1]ModifierDes!$C:$C),3,_xlfn.XLOOKUP(C2189,[1]StuntDes!$B:$B,[1]StuntDes!$C:$C)),"")</f>
        <v>击杀回蓝增加{0}</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426</v>
      </c>
      <c r="D2190" t="s">
        <v>24</v>
      </c>
      <c r="E2190" s="13" t="s">
        <v>410</v>
      </c>
      <c r="G2190">
        <v>2</v>
      </c>
      <c r="H2190">
        <v>1000</v>
      </c>
      <c r="J2190" cm="1">
        <f t="array" ref="J2190">_xlfn.SWITCH(B2190,1,75,2,61,3,49,4,37,5,25,6,13,7,4,8,1)</f>
        <v>1</v>
      </c>
      <c r="K2190" t="str" cm="1">
        <f t="array" ref="K2190">IFERROR(_xlfn.SWITCH(L2190,1,_xlfn.XLOOKUP(C2190,[1]AttributeName!$C:$C,[1]AttributeName!$I:$I),2,_xlfn.XLOOKUP(C2190,[1]ModifierDes!$B:$B,[1]ModifierDes!$C:$C),3,_xlfn.XLOOKUP(C2190,[1]StuntDes!$B:$B,[1]StuntDes!$C:$C)),"")</f>
        <v>击杀回蓝增加{0}</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1301</v>
      </c>
      <c r="B2191">
        <v>1</v>
      </c>
      <c r="C2191" t="s">
        <v>392</v>
      </c>
      <c r="D2191" t="s">
        <v>28</v>
      </c>
      <c r="E2191" t="s">
        <v>393</v>
      </c>
      <c r="G2191">
        <v>1</v>
      </c>
      <c r="H2191">
        <v>100</v>
      </c>
      <c r="I2191">
        <v>1</v>
      </c>
      <c r="J2191" cm="1">
        <f t="array" ref="J2191">_xlfn.SWITCH(B2191,1,75,2,61,3,49,4,37,5,25,6,13,7,4,8,1)</f>
        <v>75</v>
      </c>
      <c r="K2191" t="str" cm="1">
        <f t="array" ref="K2191">IFERROR(_xlfn.SWITCH(L2191,1,_xlfn.XLOOKUP(C2191,[1]AttributeName!$C:$C,[1]AttributeName!$I:$I),2,_xlfn.XLOOKUP(C2191,[1]ModifierDes!$B:$B,[1]ModifierDes!$C:$C),3,_xlfn.XLOOKUP(C2191,[1]StuntDes!$B:$B,[1]StuntDes!$C:$C)),"")</f>
        <v>物理倍率增加{0}</v>
      </c>
      <c r="L2191">
        <f t="shared" si="174"/>
        <v>1</v>
      </c>
      <c r="M2191" s="10" t="str">
        <f>IFERROR(_xlfn.XLOOKUP(C2191,[1]StuntDes!$B:$B,[1]StuntDes!$A:$A),"")</f>
        <v/>
      </c>
      <c r="N2191" s="10" t="str">
        <f>IFERROR(_xlfn.XLOOKUP(C2191,[1]ModifierDes!$B:$B,[1]ModifierDes!$A:$A),"")</f>
        <v/>
      </c>
      <c r="O2191" s="10">
        <f>IFERROR(IF(L2191=1,_xlfn.XLOOKUP(C2191,[1]AttributeName!$C:$C,[1]AttributeName!$B:$B),""),"")</f>
        <v>10601</v>
      </c>
      <c r="P2191" s="10"/>
      <c r="Q2191">
        <v>0.55</v>
      </c>
      <c r="R2191">
        <v>0.77</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1301</v>
      </c>
      <c r="B2192">
        <v>2</v>
      </c>
      <c r="C2192" t="s">
        <v>392</v>
      </c>
      <c r="D2192" t="s">
        <v>28</v>
      </c>
      <c r="E2192" t="s">
        <v>393</v>
      </c>
      <c r="G2192">
        <v>1</v>
      </c>
      <c r="H2192">
        <v>200</v>
      </c>
      <c r="I2192">
        <v>1</v>
      </c>
      <c r="J2192" cm="1">
        <f t="array" ref="J2192">_xlfn.SWITCH(B2192,1,75,2,61,3,49,4,37,5,25,6,13,7,4,8,1)</f>
        <v>61</v>
      </c>
      <c r="K2192" t="str" cm="1">
        <f t="array" ref="K2192">IFERROR(_xlfn.SWITCH(L2192,1,_xlfn.XLOOKUP(C2192,[1]AttributeName!$C:$C,[1]AttributeName!$I:$I),2,_xlfn.XLOOKUP(C2192,[1]ModifierDes!$B:$B,[1]ModifierDes!$C:$C),3,_xlfn.XLOOKUP(C2192,[1]StuntDes!$B:$B,[1]StuntDes!$C:$C)),"")</f>
        <v>物理倍率增加{0}</v>
      </c>
      <c r="L2192">
        <f t="shared" si="174"/>
        <v>1</v>
      </c>
      <c r="M2192" s="10" t="str">
        <f>IFERROR(_xlfn.XLOOKUP(C2192,[1]StuntDes!$B:$B,[1]StuntDes!$A:$A),"")</f>
        <v/>
      </c>
      <c r="N2192" s="10" t="str">
        <f>IFERROR(_xlfn.XLOOKUP(C2192,[1]ModifierDes!$B:$B,[1]ModifierDes!$A:$A),"")</f>
        <v/>
      </c>
      <c r="O2192" s="10">
        <f>IFERROR(_xlfn.XLOOKUP(C2192,[1]AttributeName!$C:$C,[1]AttributeName!$B:$B),"")</f>
        <v>10601</v>
      </c>
      <c r="P2192" s="10"/>
      <c r="Q2192">
        <v>0.48</v>
      </c>
      <c r="R2192">
        <v>0.53</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1301</v>
      </c>
      <c r="B2193">
        <v>3</v>
      </c>
      <c r="C2193" t="s">
        <v>392</v>
      </c>
      <c r="D2193" t="s">
        <v>28</v>
      </c>
      <c r="E2193" t="s">
        <v>393</v>
      </c>
      <c r="G2193">
        <v>1</v>
      </c>
      <c r="H2193">
        <v>400</v>
      </c>
      <c r="I2193">
        <v>1</v>
      </c>
      <c r="J2193" cm="1">
        <f t="array" ref="J2193">_xlfn.SWITCH(B2193,1,75,2,61,3,49,4,37,5,25,6,13,7,4,8,1)</f>
        <v>49</v>
      </c>
      <c r="K2193" t="str" cm="1">
        <f t="array" ref="K2193">IFERROR(_xlfn.SWITCH(L2193,1,_xlfn.XLOOKUP(C2193,[1]AttributeName!$C:$C,[1]AttributeName!$I:$I),2,_xlfn.XLOOKUP(C2193,[1]ModifierDes!$B:$B,[1]ModifierDes!$C:$C),3,_xlfn.XLOOKUP(C2193,[1]StuntDes!$B:$B,[1]StuntDes!$C:$C)),"")</f>
        <v>物理倍率增加{0}</v>
      </c>
      <c r="L2193">
        <f t="shared" si="174"/>
        <v>1</v>
      </c>
      <c r="M2193" s="10" t="str">
        <f>IFERROR(_xlfn.XLOOKUP(C2193,[1]StuntDes!$B:$B,[1]StuntDes!$A:$A),"")</f>
        <v/>
      </c>
      <c r="N2193" s="10" t="str">
        <f>IFERROR(_xlfn.XLOOKUP(C2193,[1]ModifierDes!$B:$B,[1]ModifierDes!$A:$A),"")</f>
        <v/>
      </c>
      <c r="O2193" s="10">
        <f>IFERROR(_xlfn.XLOOKUP(C2193,[1]AttributeName!$C:$C,[1]AttributeName!$B:$B),"")</f>
        <v>10601</v>
      </c>
      <c r="P2193" s="10"/>
      <c r="Q2193">
        <v>0.41</v>
      </c>
      <c r="R2193">
        <v>0.47</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1301</v>
      </c>
      <c r="B2194">
        <v>4</v>
      </c>
      <c r="C2194" t="s">
        <v>392</v>
      </c>
      <c r="D2194" t="s">
        <v>28</v>
      </c>
      <c r="E2194" t="s">
        <v>393</v>
      </c>
      <c r="G2194">
        <v>1</v>
      </c>
      <c r="H2194">
        <v>600</v>
      </c>
      <c r="I2194">
        <v>1</v>
      </c>
      <c r="J2194" cm="1">
        <f t="array" ref="J2194">_xlfn.SWITCH(B2194,1,75,2,61,3,49,4,37,5,25,6,13,7,4,8,1)</f>
        <v>37</v>
      </c>
      <c r="K2194" t="str" cm="1">
        <f t="array" ref="K2194">IFERROR(_xlfn.SWITCH(L2194,1,_xlfn.XLOOKUP(C2194,[1]AttributeName!$C:$C,[1]AttributeName!$I:$I),2,_xlfn.XLOOKUP(C2194,[1]ModifierDes!$B:$B,[1]ModifierDes!$C:$C),3,_xlfn.XLOOKUP(C2194,[1]StuntDes!$B:$B,[1]StuntDes!$C:$C)),"")</f>
        <v>物理倍率增加{0}</v>
      </c>
      <c r="L2194">
        <f t="shared" si="174"/>
        <v>1</v>
      </c>
      <c r="M2194" s="10" t="str">
        <f>IFERROR(_xlfn.XLOOKUP(C2194,[1]StuntDes!$B:$B,[1]StuntDes!$A:$A),"")</f>
        <v/>
      </c>
      <c r="N2194" s="10" t="str">
        <f>IFERROR(_xlfn.XLOOKUP(C2194,[1]ModifierDes!$B:$B,[1]ModifierDes!$A:$A),"")</f>
        <v/>
      </c>
      <c r="O2194" s="10">
        <f>IFERROR(_xlfn.XLOOKUP(C2194,[1]AttributeName!$C:$C,[1]AttributeName!$B:$B),"")</f>
        <v>10601</v>
      </c>
      <c r="P2194" s="10"/>
      <c r="Q2194">
        <v>0.35</v>
      </c>
      <c r="R2194">
        <v>0.4</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1301</v>
      </c>
      <c r="B2195">
        <v>5</v>
      </c>
      <c r="C2195" t="s">
        <v>392</v>
      </c>
      <c r="D2195" t="s">
        <v>28</v>
      </c>
      <c r="E2195" t="s">
        <v>393</v>
      </c>
      <c r="G2195">
        <v>1</v>
      </c>
      <c r="H2195">
        <v>800</v>
      </c>
      <c r="I2195">
        <v>1</v>
      </c>
      <c r="J2195" cm="1">
        <f t="array" ref="J2195">_xlfn.SWITCH(B2195,1,75,2,61,3,49,4,37,5,25,6,13,7,4,8,1)</f>
        <v>25</v>
      </c>
      <c r="K2195" t="str" cm="1">
        <f t="array" ref="K2195">IFERROR(_xlfn.SWITCH(L2195,1,_xlfn.XLOOKUP(C2195,[1]AttributeName!$C:$C,[1]AttributeName!$I:$I),2,_xlfn.XLOOKUP(C2195,[1]ModifierDes!$B:$B,[1]ModifierDes!$C:$C),3,_xlfn.XLOOKUP(C2195,[1]StuntDes!$B:$B,[1]StuntDes!$C:$C)),"")</f>
        <v>物理倍率增加{0}</v>
      </c>
      <c r="L2195">
        <f t="shared" si="174"/>
        <v>1</v>
      </c>
      <c r="M2195" s="10" t="str">
        <f>IFERROR(_xlfn.XLOOKUP(C2195,[1]StuntDes!$B:$B,[1]StuntDes!$A:$A),"")</f>
        <v/>
      </c>
      <c r="N2195" s="10" t="str">
        <f>IFERROR(_xlfn.XLOOKUP(C2195,[1]ModifierDes!$B:$B,[1]ModifierDes!$A:$A),"")</f>
        <v/>
      </c>
      <c r="O2195" s="10">
        <f>IFERROR(_xlfn.XLOOKUP(C2195,[1]AttributeName!$C:$C,[1]AttributeName!$B:$B),"")</f>
        <v>10601</v>
      </c>
      <c r="P2195" s="10"/>
      <c r="Q2195">
        <v>0.28</v>
      </c>
      <c r="R2195">
        <v>0.34</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v>1301</v>
      </c>
      <c r="B2196">
        <v>6</v>
      </c>
      <c r="C2196" t="s">
        <v>392</v>
      </c>
      <c r="D2196" t="s">
        <v>28</v>
      </c>
      <c r="E2196" t="s">
        <v>393</v>
      </c>
      <c r="G2196">
        <v>1</v>
      </c>
      <c r="H2196">
        <v>1000</v>
      </c>
      <c r="I2196">
        <v>1</v>
      </c>
      <c r="J2196" cm="1">
        <f t="array" ref="J2196">_xlfn.SWITCH(B2196,1,75,2,61,3,49,4,37,5,25,6,13,7,4,8,1)</f>
        <v>13</v>
      </c>
      <c r="K2196" t="str" cm="1">
        <f t="array" ref="K2196">IFERROR(_xlfn.SWITCH(L2196,1,_xlfn.XLOOKUP(C2196,[1]AttributeName!$C:$C,[1]AttributeName!$I:$I),2,_xlfn.XLOOKUP(C2196,[1]ModifierDes!$B:$B,[1]ModifierDes!$C:$C),3,_xlfn.XLOOKUP(C2196,[1]StuntDes!$B:$B,[1]StuntDes!$C:$C)),"")</f>
        <v>物理倍率增加{0}</v>
      </c>
      <c r="L2196">
        <f t="shared" si="174"/>
        <v>1</v>
      </c>
      <c r="M2196" s="10" t="str">
        <f>IFERROR(_xlfn.XLOOKUP(C2196,[1]StuntDes!$B:$B,[1]StuntDes!$A:$A),"")</f>
        <v/>
      </c>
      <c r="N2196" s="10" t="str">
        <f>IFERROR(_xlfn.XLOOKUP(C2196,[1]ModifierDes!$B:$B,[1]ModifierDes!$A:$A),"")</f>
        <v/>
      </c>
      <c r="O2196" s="10">
        <f>IFERROR(_xlfn.XLOOKUP(C2196,[1]AttributeName!$C:$C,[1]AttributeName!$B:$B),"")</f>
        <v>10601</v>
      </c>
      <c r="P2196" s="10"/>
      <c r="Q2196">
        <v>0.22</v>
      </c>
      <c r="R2196">
        <v>0.27</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v>1301</v>
      </c>
      <c r="B2197">
        <v>7</v>
      </c>
      <c r="C2197" t="s">
        <v>392</v>
      </c>
      <c r="D2197" t="s">
        <v>28</v>
      </c>
      <c r="E2197" t="s">
        <v>393</v>
      </c>
      <c r="G2197">
        <v>1</v>
      </c>
      <c r="H2197">
        <v>1000</v>
      </c>
      <c r="I2197">
        <v>1</v>
      </c>
      <c r="J2197" cm="1">
        <f t="array" ref="J2197">_xlfn.SWITCH(B2197,1,75,2,61,3,49,4,37,5,25,6,13,7,4,8,1)</f>
        <v>4</v>
      </c>
      <c r="K2197" t="str" cm="1">
        <f t="array" ref="K2197">IFERROR(_xlfn.SWITCH(L2197,1,_xlfn.XLOOKUP(C2197,[1]AttributeName!$C:$C,[1]AttributeName!$I:$I),2,_xlfn.XLOOKUP(C2197,[1]ModifierDes!$B:$B,[1]ModifierDes!$C:$C),3,_xlfn.XLOOKUP(C2197,[1]StuntDes!$B:$B,[1]StuntDes!$C:$C)),"")</f>
        <v>物理倍率增加{0}</v>
      </c>
      <c r="L2197">
        <f t="shared" si="174"/>
        <v>1</v>
      </c>
      <c r="M2197" s="10" t="str">
        <f>IFERROR(_xlfn.XLOOKUP(C2197,[1]StuntDes!$B:$B,[1]StuntDes!$A:$A),"")</f>
        <v/>
      </c>
      <c r="N2197" s="10" t="str">
        <f>IFERROR(_xlfn.XLOOKUP(C2197,[1]ModifierDes!$B:$B,[1]ModifierDes!$A:$A),"")</f>
        <v/>
      </c>
      <c r="O2197" s="10">
        <f>IFERROR(_xlfn.XLOOKUP(C2197,[1]AttributeName!$C:$C,[1]AttributeName!$B:$B),"")</f>
        <v>10601</v>
      </c>
      <c r="P2197" s="10"/>
      <c r="Q2197">
        <v>0.15</v>
      </c>
      <c r="R2197">
        <v>0.2</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v>1301</v>
      </c>
      <c r="B2198">
        <v>8</v>
      </c>
      <c r="C2198" t="s">
        <v>392</v>
      </c>
      <c r="D2198" t="s">
        <v>28</v>
      </c>
      <c r="E2198" t="s">
        <v>393</v>
      </c>
      <c r="G2198">
        <v>1</v>
      </c>
      <c r="H2198">
        <v>1000</v>
      </c>
      <c r="I2198">
        <v>1</v>
      </c>
      <c r="J2198" cm="1">
        <f t="array" ref="J2198">_xlfn.SWITCH(B2198,1,75,2,61,3,49,4,37,5,25,6,13,7,4,8,1)</f>
        <v>1</v>
      </c>
      <c r="K2198" t="str" cm="1">
        <f t="array" ref="K2198">IFERROR(_xlfn.SWITCH(L2198,1,_xlfn.XLOOKUP(C2198,[1]AttributeName!$C:$C,[1]AttributeName!$I:$I),2,_xlfn.XLOOKUP(C2198,[1]ModifierDes!$B:$B,[1]ModifierDes!$C:$C),3,_xlfn.XLOOKUP(C2198,[1]StuntDes!$B:$B,[1]StuntDes!$C:$C)),"")</f>
        <v>物理倍率增加{0}</v>
      </c>
      <c r="L2198">
        <f t="shared" si="174"/>
        <v>1</v>
      </c>
      <c r="M2198" s="10" t="str">
        <f>IFERROR(_xlfn.XLOOKUP(C2198,[1]StuntDes!$B:$B,[1]StuntDes!$A:$A),"")</f>
        <v/>
      </c>
      <c r="N2198" s="10" t="str">
        <f>IFERROR(_xlfn.XLOOKUP(C2198,[1]ModifierDes!$B:$B,[1]ModifierDes!$A:$A),"")</f>
        <v/>
      </c>
      <c r="O2198" s="10">
        <f>IFERROR(_xlfn.XLOOKUP(C2198,[1]AttributeName!$C:$C,[1]AttributeName!$B:$B),"")</f>
        <v>10601</v>
      </c>
      <c r="P2198" s="10"/>
      <c r="Q2198">
        <v>0.08</v>
      </c>
      <c r="R2198">
        <v>0.14</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f t="shared" ref="A2199:A2262" si="176">A2191+1</f>
        <v>1302</v>
      </c>
      <c r="B2199">
        <v>1</v>
      </c>
      <c r="C2199" t="s">
        <v>394</v>
      </c>
      <c r="D2199" t="s">
        <v>28</v>
      </c>
      <c r="E2199" t="s">
        <v>393</v>
      </c>
      <c r="G2199">
        <v>1</v>
      </c>
      <c r="H2199">
        <v>100</v>
      </c>
      <c r="I2199">
        <v>1</v>
      </c>
      <c r="J2199" cm="1">
        <f t="array" ref="J2199">_xlfn.SWITCH(B2199,1,75,2,61,3,49,4,37,5,25,6,13,7,4,8,1)</f>
        <v>75</v>
      </c>
      <c r="K2199" t="str" cm="1">
        <f t="array" ref="K2199">IFERROR(_xlfn.SWITCH(L2199,1,_xlfn.XLOOKUP(C2199,[1]AttributeName!$C:$C,[1]AttributeName!$I:$I),2,_xlfn.XLOOKUP(C2199,[1]ModifierDes!$B:$B,[1]ModifierDes!$C:$C),3,_xlfn.XLOOKUP(C2199,[1]StuntDes!$B:$B,[1]StuntDes!$C:$C)),"")</f>
        <v>火焰倍率增加{0}</v>
      </c>
      <c r="L2199">
        <f t="shared" si="174"/>
        <v>1</v>
      </c>
      <c r="M2199" s="10" t="str">
        <f>IFERROR(_xlfn.XLOOKUP(C2199,[1]StuntDes!$B:$B,[1]StuntDes!$A:$A),"")</f>
        <v/>
      </c>
      <c r="N2199" s="10" t="str">
        <f>IFERROR(_xlfn.XLOOKUP(C2199,[1]ModifierDes!$B:$B,[1]ModifierDes!$A:$A),"")</f>
        <v/>
      </c>
      <c r="O2199" s="10">
        <f>IFERROR(_xlfn.XLOOKUP(C2199,[1]AttributeName!$C:$C,[1]AttributeName!$B:$B),"")</f>
        <v>10602</v>
      </c>
      <c r="P2199" s="10"/>
      <c r="Q2199">
        <v>0.55</v>
      </c>
      <c r="R2199">
        <v>0.77</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si="176"/>
        <v>1302</v>
      </c>
      <c r="B2200">
        <v>2</v>
      </c>
      <c r="C2200" t="s">
        <v>394</v>
      </c>
      <c r="D2200" t="s">
        <v>28</v>
      </c>
      <c r="E2200" t="s">
        <v>393</v>
      </c>
      <c r="G2200">
        <v>1</v>
      </c>
      <c r="H2200">
        <v>200</v>
      </c>
      <c r="I2200">
        <v>1</v>
      </c>
      <c r="J2200" cm="1">
        <f t="array" ref="J2200">_xlfn.SWITCH(B2200,1,75,2,61,3,49,4,37,5,25,6,13,7,4,8,1)</f>
        <v>61</v>
      </c>
      <c r="K2200" t="str" cm="1">
        <f t="array" ref="K2200">IFERROR(_xlfn.SWITCH(L2200,1,_xlfn.XLOOKUP(C2200,[1]AttributeName!$C:$C,[1]AttributeName!$I:$I),2,_xlfn.XLOOKUP(C2200,[1]ModifierDes!$B:$B,[1]ModifierDes!$C:$C),3,_xlfn.XLOOKUP(C2200,[1]StuntDes!$B:$B,[1]StuntDes!$C:$C)),"")</f>
        <v>火焰倍率增加{0}</v>
      </c>
      <c r="L2200">
        <f t="shared" si="174"/>
        <v>1</v>
      </c>
      <c r="M2200" s="10" t="str">
        <f>IFERROR(_xlfn.XLOOKUP(C2200,[1]StuntDes!$B:$B,[1]StuntDes!$A:$A),"")</f>
        <v/>
      </c>
      <c r="N2200" s="10" t="str">
        <f>IFERROR(_xlfn.XLOOKUP(C2200,[1]ModifierDes!$B:$B,[1]ModifierDes!$A:$A),"")</f>
        <v/>
      </c>
      <c r="O2200" s="10">
        <f>IFERROR(_xlfn.XLOOKUP(C2200,[1]AttributeName!$C:$C,[1]AttributeName!$B:$B),"")</f>
        <v>10602</v>
      </c>
      <c r="P2200" s="10"/>
      <c r="Q2200">
        <v>0.48</v>
      </c>
      <c r="R2200">
        <v>0.53</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76"/>
        <v>1302</v>
      </c>
      <c r="B2201">
        <v>3</v>
      </c>
      <c r="C2201" t="s">
        <v>394</v>
      </c>
      <c r="D2201" t="s">
        <v>28</v>
      </c>
      <c r="E2201" t="s">
        <v>393</v>
      </c>
      <c r="G2201">
        <v>1</v>
      </c>
      <c r="H2201">
        <v>400</v>
      </c>
      <c r="I2201">
        <v>1</v>
      </c>
      <c r="J2201" cm="1">
        <f t="array" ref="J2201">_xlfn.SWITCH(B2201,1,75,2,61,3,49,4,37,5,25,6,13,7,4,8,1)</f>
        <v>49</v>
      </c>
      <c r="K2201" t="str" cm="1">
        <f t="array" ref="K2201">IFERROR(_xlfn.SWITCH(L2201,1,_xlfn.XLOOKUP(C2201,[1]AttributeName!$C:$C,[1]AttributeName!$I:$I),2,_xlfn.XLOOKUP(C2201,[1]ModifierDes!$B:$B,[1]ModifierDes!$C:$C),3,_xlfn.XLOOKUP(C2201,[1]StuntDes!$B:$B,[1]StuntDes!$C:$C)),"")</f>
        <v>火焰倍率增加{0}</v>
      </c>
      <c r="L2201">
        <f t="shared" si="174"/>
        <v>1</v>
      </c>
      <c r="M2201" s="10" t="str">
        <f>IFERROR(_xlfn.XLOOKUP(C2201,[1]StuntDes!$B:$B,[1]StuntDes!$A:$A),"")</f>
        <v/>
      </c>
      <c r="N2201" s="10" t="str">
        <f>IFERROR(_xlfn.XLOOKUP(C2201,[1]ModifierDes!$B:$B,[1]ModifierDes!$A:$A),"")</f>
        <v/>
      </c>
      <c r="O2201" s="10">
        <f>IFERROR(_xlfn.XLOOKUP(C2201,[1]AttributeName!$C:$C,[1]AttributeName!$B:$B),"")</f>
        <v>10602</v>
      </c>
      <c r="P2201" s="10"/>
      <c r="Q2201">
        <v>0.41</v>
      </c>
      <c r="R2201">
        <v>0.47</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76"/>
        <v>1302</v>
      </c>
      <c r="B2202">
        <v>4</v>
      </c>
      <c r="C2202" t="s">
        <v>394</v>
      </c>
      <c r="D2202" t="s">
        <v>28</v>
      </c>
      <c r="E2202" t="s">
        <v>393</v>
      </c>
      <c r="G2202">
        <v>1</v>
      </c>
      <c r="H2202">
        <v>600</v>
      </c>
      <c r="I2202">
        <v>1</v>
      </c>
      <c r="J2202" cm="1">
        <f t="array" ref="J2202">_xlfn.SWITCH(B2202,1,75,2,61,3,49,4,37,5,25,6,13,7,4,8,1)</f>
        <v>37</v>
      </c>
      <c r="K2202" t="str" cm="1">
        <f t="array" ref="K2202">IFERROR(_xlfn.SWITCH(L2202,1,_xlfn.XLOOKUP(C2202,[1]AttributeName!$C:$C,[1]AttributeName!$I:$I),2,_xlfn.XLOOKUP(C2202,[1]ModifierDes!$B:$B,[1]ModifierDes!$C:$C),3,_xlfn.XLOOKUP(C2202,[1]StuntDes!$B:$B,[1]StuntDes!$C:$C)),"")</f>
        <v>火焰倍率增加{0}</v>
      </c>
      <c r="L2202">
        <f t="shared" si="174"/>
        <v>1</v>
      </c>
      <c r="M2202" s="10" t="str">
        <f>IFERROR(_xlfn.XLOOKUP(C2202,[1]StuntDes!$B:$B,[1]StuntDes!$A:$A),"")</f>
        <v/>
      </c>
      <c r="N2202" s="10" t="str">
        <f>IFERROR(_xlfn.XLOOKUP(C2202,[1]ModifierDes!$B:$B,[1]ModifierDes!$A:$A),"")</f>
        <v/>
      </c>
      <c r="O2202" s="10">
        <f>IFERROR(_xlfn.XLOOKUP(C2202,[1]AttributeName!$C:$C,[1]AttributeName!$B:$B),"")</f>
        <v>10602</v>
      </c>
      <c r="P2202" s="10"/>
      <c r="Q2202">
        <v>0.35</v>
      </c>
      <c r="R2202">
        <v>0.4</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76"/>
        <v>1302</v>
      </c>
      <c r="B2203">
        <v>5</v>
      </c>
      <c r="C2203" t="s">
        <v>394</v>
      </c>
      <c r="D2203" t="s">
        <v>28</v>
      </c>
      <c r="E2203" t="s">
        <v>393</v>
      </c>
      <c r="G2203">
        <v>1</v>
      </c>
      <c r="H2203">
        <v>800</v>
      </c>
      <c r="I2203">
        <v>1</v>
      </c>
      <c r="J2203" cm="1">
        <f t="array" ref="J2203">_xlfn.SWITCH(B2203,1,75,2,61,3,49,4,37,5,25,6,13,7,4,8,1)</f>
        <v>25</v>
      </c>
      <c r="K2203" t="str" cm="1">
        <f t="array" ref="K2203">IFERROR(_xlfn.SWITCH(L2203,1,_xlfn.XLOOKUP(C2203,[1]AttributeName!$C:$C,[1]AttributeName!$I:$I),2,_xlfn.XLOOKUP(C2203,[1]ModifierDes!$B:$B,[1]ModifierDes!$C:$C),3,_xlfn.XLOOKUP(C2203,[1]StuntDes!$B:$B,[1]StuntDes!$C:$C)),"")</f>
        <v>火焰倍率增加{0}</v>
      </c>
      <c r="L2203">
        <f t="shared" si="174"/>
        <v>1</v>
      </c>
      <c r="M2203" s="10" t="str">
        <f>IFERROR(_xlfn.XLOOKUP(C2203,[1]StuntDes!$B:$B,[1]StuntDes!$A:$A),"")</f>
        <v/>
      </c>
      <c r="N2203" s="10" t="str">
        <f>IFERROR(_xlfn.XLOOKUP(C2203,[1]ModifierDes!$B:$B,[1]ModifierDes!$A:$A),"")</f>
        <v/>
      </c>
      <c r="O2203" s="10">
        <f>IFERROR(_xlfn.XLOOKUP(C2203,[1]AttributeName!$C:$C,[1]AttributeName!$B:$B),"")</f>
        <v>10602</v>
      </c>
      <c r="P2203" s="10"/>
      <c r="Q2203">
        <v>0.28</v>
      </c>
      <c r="R2203">
        <v>0.34</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76"/>
        <v>1302</v>
      </c>
      <c r="B2204">
        <v>6</v>
      </c>
      <c r="C2204" t="s">
        <v>394</v>
      </c>
      <c r="D2204" t="s">
        <v>28</v>
      </c>
      <c r="E2204" t="s">
        <v>393</v>
      </c>
      <c r="G2204">
        <v>1</v>
      </c>
      <c r="H2204">
        <v>1000</v>
      </c>
      <c r="I2204">
        <v>1</v>
      </c>
      <c r="J2204" cm="1">
        <f t="array" ref="J2204">_xlfn.SWITCH(B2204,1,75,2,61,3,49,4,37,5,25,6,13,7,4,8,1)</f>
        <v>13</v>
      </c>
      <c r="K2204" t="str" cm="1">
        <f t="array" ref="K2204">IFERROR(_xlfn.SWITCH(L2204,1,_xlfn.XLOOKUP(C2204,[1]AttributeName!$C:$C,[1]AttributeName!$I:$I),2,_xlfn.XLOOKUP(C2204,[1]ModifierDes!$B:$B,[1]ModifierDes!$C:$C),3,_xlfn.XLOOKUP(C2204,[1]StuntDes!$B:$B,[1]StuntDes!$C:$C)),"")</f>
        <v>火焰倍率增加{0}</v>
      </c>
      <c r="L2204">
        <f t="shared" si="174"/>
        <v>1</v>
      </c>
      <c r="M2204" s="10" t="str">
        <f>IFERROR(_xlfn.XLOOKUP(C2204,[1]StuntDes!$B:$B,[1]StuntDes!$A:$A),"")</f>
        <v/>
      </c>
      <c r="N2204" s="10" t="str">
        <f>IFERROR(_xlfn.XLOOKUP(C2204,[1]ModifierDes!$B:$B,[1]ModifierDes!$A:$A),"")</f>
        <v/>
      </c>
      <c r="O2204" s="10">
        <f>IFERROR(_xlfn.XLOOKUP(C2204,[1]AttributeName!$C:$C,[1]AttributeName!$B:$B),"")</f>
        <v>10602</v>
      </c>
      <c r="P2204" s="10"/>
      <c r="Q2204">
        <v>0.22</v>
      </c>
      <c r="R2204">
        <v>0.27</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76"/>
        <v>1302</v>
      </c>
      <c r="B2205">
        <v>7</v>
      </c>
      <c r="C2205" t="s">
        <v>394</v>
      </c>
      <c r="D2205" t="s">
        <v>28</v>
      </c>
      <c r="E2205" t="s">
        <v>393</v>
      </c>
      <c r="G2205">
        <v>1</v>
      </c>
      <c r="H2205">
        <v>1000</v>
      </c>
      <c r="I2205">
        <v>1</v>
      </c>
      <c r="J2205" cm="1">
        <f t="array" ref="J2205">_xlfn.SWITCH(B2205,1,75,2,61,3,49,4,37,5,25,6,13,7,4,8,1)</f>
        <v>4</v>
      </c>
      <c r="K2205" t="str" cm="1">
        <f t="array" ref="K2205">IFERROR(_xlfn.SWITCH(L2205,1,_xlfn.XLOOKUP(C2205,[1]AttributeName!$C:$C,[1]AttributeName!$I:$I),2,_xlfn.XLOOKUP(C2205,[1]ModifierDes!$B:$B,[1]ModifierDes!$C:$C),3,_xlfn.XLOOKUP(C2205,[1]StuntDes!$B:$B,[1]StuntDes!$C:$C)),"")</f>
        <v>火焰倍率增加{0}</v>
      </c>
      <c r="L2205">
        <f t="shared" si="174"/>
        <v>1</v>
      </c>
      <c r="M2205" s="10" t="str">
        <f>IFERROR(_xlfn.XLOOKUP(C2205,[1]StuntDes!$B:$B,[1]StuntDes!$A:$A),"")</f>
        <v/>
      </c>
      <c r="N2205" s="10" t="str">
        <f>IFERROR(_xlfn.XLOOKUP(C2205,[1]ModifierDes!$B:$B,[1]ModifierDes!$A:$A),"")</f>
        <v/>
      </c>
      <c r="O2205" s="10">
        <f>IFERROR(_xlfn.XLOOKUP(C2205,[1]AttributeName!$C:$C,[1]AttributeName!$B:$B),"")</f>
        <v>10602</v>
      </c>
      <c r="P2205" s="10"/>
      <c r="Q2205">
        <v>0.15</v>
      </c>
      <c r="R2205">
        <v>0.2</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76"/>
        <v>1302</v>
      </c>
      <c r="B2206">
        <v>8</v>
      </c>
      <c r="C2206" t="s">
        <v>394</v>
      </c>
      <c r="D2206" t="s">
        <v>28</v>
      </c>
      <c r="E2206" t="s">
        <v>393</v>
      </c>
      <c r="G2206">
        <v>1</v>
      </c>
      <c r="H2206">
        <v>1000</v>
      </c>
      <c r="I2206">
        <v>1</v>
      </c>
      <c r="J2206" cm="1">
        <f t="array" ref="J2206">_xlfn.SWITCH(B2206,1,75,2,61,3,49,4,37,5,25,6,13,7,4,8,1)</f>
        <v>1</v>
      </c>
      <c r="K2206" t="str" cm="1">
        <f t="array" ref="K2206">IFERROR(_xlfn.SWITCH(L2206,1,_xlfn.XLOOKUP(C2206,[1]AttributeName!$C:$C,[1]AttributeName!$I:$I),2,_xlfn.XLOOKUP(C2206,[1]ModifierDes!$B:$B,[1]ModifierDes!$C:$C),3,_xlfn.XLOOKUP(C2206,[1]StuntDes!$B:$B,[1]StuntDes!$C:$C)),"")</f>
        <v>火焰倍率增加{0}</v>
      </c>
      <c r="L2206">
        <f t="shared" si="174"/>
        <v>1</v>
      </c>
      <c r="M2206" s="10" t="str">
        <f>IFERROR(_xlfn.XLOOKUP(C2206,[1]StuntDes!$B:$B,[1]StuntDes!$A:$A),"")</f>
        <v/>
      </c>
      <c r="N2206" s="10" t="str">
        <f>IFERROR(_xlfn.XLOOKUP(C2206,[1]ModifierDes!$B:$B,[1]ModifierDes!$A:$A),"")</f>
        <v/>
      </c>
      <c r="O2206" s="10">
        <f>IFERROR(_xlfn.XLOOKUP(C2206,[1]AttributeName!$C:$C,[1]AttributeName!$B:$B),"")</f>
        <v>10602</v>
      </c>
      <c r="P2206" s="10"/>
      <c r="Q2206">
        <v>0.08</v>
      </c>
      <c r="R2206">
        <v>0.14</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76"/>
        <v>1303</v>
      </c>
      <c r="B2207">
        <v>1</v>
      </c>
      <c r="C2207" t="s">
        <v>395</v>
      </c>
      <c r="D2207" t="s">
        <v>28</v>
      </c>
      <c r="E2207" t="s">
        <v>393</v>
      </c>
      <c r="G2207">
        <v>1</v>
      </c>
      <c r="H2207">
        <v>100</v>
      </c>
      <c r="I2207">
        <v>1</v>
      </c>
      <c r="J2207" cm="1">
        <f t="array" ref="J2207">_xlfn.SWITCH(B2207,1,75,2,61,3,49,4,37,5,25,6,13,7,4,8,1)</f>
        <v>75</v>
      </c>
      <c r="K2207" t="str" cm="1">
        <f t="array" ref="K2207">IFERROR(_xlfn.SWITCH(L2207,1,_xlfn.XLOOKUP(C2207,[1]AttributeName!$C:$C,[1]AttributeName!$I:$I),2,_xlfn.XLOOKUP(C2207,[1]ModifierDes!$B:$B,[1]ModifierDes!$C:$C),3,_xlfn.XLOOKUP(C2207,[1]StuntDes!$B:$B,[1]StuntDes!$C:$C)),"")</f>
        <v>冰冷倍率增加{0}</v>
      </c>
      <c r="L2207">
        <f t="shared" ref="L2207:L2270" si="177">IF(M2207="",IF(N2207="",1,2),3)</f>
        <v>1</v>
      </c>
      <c r="M2207" s="10" t="str">
        <f>IFERROR(_xlfn.XLOOKUP(C2207,[1]StuntDes!$B:$B,[1]StuntDes!$A:$A),"")</f>
        <v/>
      </c>
      <c r="N2207" s="10" t="str">
        <f>IFERROR(_xlfn.XLOOKUP(C2207,[1]ModifierDes!$B:$B,[1]ModifierDes!$A:$A),"")</f>
        <v/>
      </c>
      <c r="O2207" s="10">
        <f>IFERROR(_xlfn.XLOOKUP(C2207,[1]AttributeName!$C:$C,[1]AttributeName!$B:$B),"")</f>
        <v>10603</v>
      </c>
      <c r="P2207" s="10"/>
      <c r="Q2207">
        <v>0.55</v>
      </c>
      <c r="R2207">
        <v>0.77</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76"/>
        <v>1303</v>
      </c>
      <c r="B2208">
        <v>2</v>
      </c>
      <c r="C2208" t="s">
        <v>395</v>
      </c>
      <c r="D2208" t="s">
        <v>28</v>
      </c>
      <c r="E2208" t="s">
        <v>393</v>
      </c>
      <c r="G2208">
        <v>1</v>
      </c>
      <c r="H2208">
        <v>200</v>
      </c>
      <c r="I2208">
        <v>1</v>
      </c>
      <c r="J2208" cm="1">
        <f t="array" ref="J2208">_xlfn.SWITCH(B2208,1,75,2,61,3,49,4,37,5,25,6,13,7,4,8,1)</f>
        <v>61</v>
      </c>
      <c r="K2208" t="str" cm="1">
        <f t="array" ref="K2208">IFERROR(_xlfn.SWITCH(L2208,1,_xlfn.XLOOKUP(C2208,[1]AttributeName!$C:$C,[1]AttributeName!$I:$I),2,_xlfn.XLOOKUP(C2208,[1]ModifierDes!$B:$B,[1]ModifierDes!$C:$C),3,_xlfn.XLOOKUP(C2208,[1]StuntDes!$B:$B,[1]StuntDes!$C:$C)),"")</f>
        <v>冰冷倍率增加{0}</v>
      </c>
      <c r="L2208">
        <f t="shared" si="177"/>
        <v>1</v>
      </c>
      <c r="M2208" s="10" t="str">
        <f>IFERROR(_xlfn.XLOOKUP(C2208,[1]StuntDes!$B:$B,[1]StuntDes!$A:$A),"")</f>
        <v/>
      </c>
      <c r="N2208" s="10" t="str">
        <f>IFERROR(_xlfn.XLOOKUP(C2208,[1]ModifierDes!$B:$B,[1]ModifierDes!$A:$A),"")</f>
        <v/>
      </c>
      <c r="O2208" s="10">
        <f>IFERROR(_xlfn.XLOOKUP(C2208,[1]AttributeName!$C:$C,[1]AttributeName!$B:$B),"")</f>
        <v>10603</v>
      </c>
      <c r="P2208" s="10"/>
      <c r="Q2208">
        <v>0.48</v>
      </c>
      <c r="R2208">
        <v>0.53</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76"/>
        <v>1303</v>
      </c>
      <c r="B2209">
        <v>3</v>
      </c>
      <c r="C2209" t="s">
        <v>395</v>
      </c>
      <c r="D2209" t="s">
        <v>28</v>
      </c>
      <c r="E2209" t="s">
        <v>393</v>
      </c>
      <c r="G2209">
        <v>1</v>
      </c>
      <c r="H2209">
        <v>400</v>
      </c>
      <c r="I2209">
        <v>1</v>
      </c>
      <c r="J2209" cm="1">
        <f t="array" ref="J2209">_xlfn.SWITCH(B2209,1,75,2,61,3,49,4,37,5,25,6,13,7,4,8,1)</f>
        <v>49</v>
      </c>
      <c r="K2209" t="str" cm="1">
        <f t="array" ref="K2209">IFERROR(_xlfn.SWITCH(L2209,1,_xlfn.XLOOKUP(C2209,[1]AttributeName!$C:$C,[1]AttributeName!$I:$I),2,_xlfn.XLOOKUP(C2209,[1]ModifierDes!$B:$B,[1]ModifierDes!$C:$C),3,_xlfn.XLOOKUP(C2209,[1]StuntDes!$B:$B,[1]StuntDes!$C:$C)),"")</f>
        <v>冰冷倍率增加{0}</v>
      </c>
      <c r="L2209">
        <f t="shared" si="177"/>
        <v>1</v>
      </c>
      <c r="M2209" s="10" t="str">
        <f>IFERROR(_xlfn.XLOOKUP(C2209,[1]StuntDes!$B:$B,[1]StuntDes!$A:$A),"")</f>
        <v/>
      </c>
      <c r="N2209" s="10" t="str">
        <f>IFERROR(_xlfn.XLOOKUP(C2209,[1]ModifierDes!$B:$B,[1]ModifierDes!$A:$A),"")</f>
        <v/>
      </c>
      <c r="O2209" s="10">
        <f>IFERROR(_xlfn.XLOOKUP(C2209,[1]AttributeName!$C:$C,[1]AttributeName!$B:$B),"")</f>
        <v>10603</v>
      </c>
      <c r="P2209" s="10"/>
      <c r="Q2209">
        <v>0.41</v>
      </c>
      <c r="R2209">
        <v>0.47</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76"/>
        <v>1303</v>
      </c>
      <c r="B2210">
        <v>4</v>
      </c>
      <c r="C2210" t="s">
        <v>395</v>
      </c>
      <c r="D2210" t="s">
        <v>28</v>
      </c>
      <c r="E2210" t="s">
        <v>393</v>
      </c>
      <c r="G2210">
        <v>1</v>
      </c>
      <c r="H2210">
        <v>600</v>
      </c>
      <c r="I2210">
        <v>1</v>
      </c>
      <c r="J2210" cm="1">
        <f t="array" ref="J2210">_xlfn.SWITCH(B2210,1,75,2,61,3,49,4,37,5,25,6,13,7,4,8,1)</f>
        <v>37</v>
      </c>
      <c r="K2210" t="str" cm="1">
        <f t="array" ref="K2210">IFERROR(_xlfn.SWITCH(L2210,1,_xlfn.XLOOKUP(C2210,[1]AttributeName!$C:$C,[1]AttributeName!$I:$I),2,_xlfn.XLOOKUP(C2210,[1]ModifierDes!$B:$B,[1]ModifierDes!$C:$C),3,_xlfn.XLOOKUP(C2210,[1]StuntDes!$B:$B,[1]StuntDes!$C:$C)),"")</f>
        <v>冰冷倍率增加{0}</v>
      </c>
      <c r="L2210">
        <f t="shared" si="177"/>
        <v>1</v>
      </c>
      <c r="M2210" s="10" t="str">
        <f>IFERROR(_xlfn.XLOOKUP(C2210,[1]StuntDes!$B:$B,[1]StuntDes!$A:$A),"")</f>
        <v/>
      </c>
      <c r="N2210" s="10" t="str">
        <f>IFERROR(_xlfn.XLOOKUP(C2210,[1]ModifierDes!$B:$B,[1]ModifierDes!$A:$A),"")</f>
        <v/>
      </c>
      <c r="O2210" s="10">
        <f>IFERROR(_xlfn.XLOOKUP(C2210,[1]AttributeName!$C:$C,[1]AttributeName!$B:$B),"")</f>
        <v>10603</v>
      </c>
      <c r="P2210" s="10"/>
      <c r="Q2210">
        <v>0.35</v>
      </c>
      <c r="R2210">
        <v>0.4</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76"/>
        <v>1303</v>
      </c>
      <c r="B2211">
        <v>5</v>
      </c>
      <c r="C2211" t="s">
        <v>395</v>
      </c>
      <c r="D2211" t="s">
        <v>28</v>
      </c>
      <c r="E2211" t="s">
        <v>393</v>
      </c>
      <c r="G2211">
        <v>1</v>
      </c>
      <c r="H2211">
        <v>800</v>
      </c>
      <c r="I2211">
        <v>1</v>
      </c>
      <c r="J2211" cm="1">
        <f t="array" ref="J2211">_xlfn.SWITCH(B2211,1,75,2,61,3,49,4,37,5,25,6,13,7,4,8,1)</f>
        <v>25</v>
      </c>
      <c r="K2211" t="str" cm="1">
        <f t="array" ref="K2211">IFERROR(_xlfn.SWITCH(L2211,1,_xlfn.XLOOKUP(C2211,[1]AttributeName!$C:$C,[1]AttributeName!$I:$I),2,_xlfn.XLOOKUP(C2211,[1]ModifierDes!$B:$B,[1]ModifierDes!$C:$C),3,_xlfn.XLOOKUP(C2211,[1]StuntDes!$B:$B,[1]StuntDes!$C:$C)),"")</f>
        <v>冰冷倍率增加{0}</v>
      </c>
      <c r="L2211">
        <f t="shared" si="177"/>
        <v>1</v>
      </c>
      <c r="M2211" s="10" t="str">
        <f>IFERROR(_xlfn.XLOOKUP(C2211,[1]StuntDes!$B:$B,[1]StuntDes!$A:$A),"")</f>
        <v/>
      </c>
      <c r="N2211" s="10" t="str">
        <f>IFERROR(_xlfn.XLOOKUP(C2211,[1]ModifierDes!$B:$B,[1]ModifierDes!$A:$A),"")</f>
        <v/>
      </c>
      <c r="O2211" s="10">
        <f>IFERROR(_xlfn.XLOOKUP(C2211,[1]AttributeName!$C:$C,[1]AttributeName!$B:$B),"")</f>
        <v>10603</v>
      </c>
      <c r="P2211" s="10"/>
      <c r="Q2211">
        <v>0.28</v>
      </c>
      <c r="R2211">
        <v>0.34</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76"/>
        <v>1303</v>
      </c>
      <c r="B2212">
        <v>6</v>
      </c>
      <c r="C2212" t="s">
        <v>395</v>
      </c>
      <c r="D2212" t="s">
        <v>28</v>
      </c>
      <c r="E2212" t="s">
        <v>393</v>
      </c>
      <c r="G2212">
        <v>1</v>
      </c>
      <c r="H2212">
        <v>1000</v>
      </c>
      <c r="I2212">
        <v>1</v>
      </c>
      <c r="J2212" cm="1">
        <f t="array" ref="J2212">_xlfn.SWITCH(B2212,1,75,2,61,3,49,4,37,5,25,6,13,7,4,8,1)</f>
        <v>13</v>
      </c>
      <c r="K2212" t="str" cm="1">
        <f t="array" ref="K2212">IFERROR(_xlfn.SWITCH(L2212,1,_xlfn.XLOOKUP(C2212,[1]AttributeName!$C:$C,[1]AttributeName!$I:$I),2,_xlfn.XLOOKUP(C2212,[1]ModifierDes!$B:$B,[1]ModifierDes!$C:$C),3,_xlfn.XLOOKUP(C2212,[1]StuntDes!$B:$B,[1]StuntDes!$C:$C)),"")</f>
        <v>冰冷倍率增加{0}</v>
      </c>
      <c r="L2212">
        <f t="shared" si="177"/>
        <v>1</v>
      </c>
      <c r="M2212" s="10" t="str">
        <f>IFERROR(_xlfn.XLOOKUP(C2212,[1]StuntDes!$B:$B,[1]StuntDes!$A:$A),"")</f>
        <v/>
      </c>
      <c r="N2212" s="10" t="str">
        <f>IFERROR(_xlfn.XLOOKUP(C2212,[1]ModifierDes!$B:$B,[1]ModifierDes!$A:$A),"")</f>
        <v/>
      </c>
      <c r="O2212" s="10">
        <f>IFERROR(_xlfn.XLOOKUP(C2212,[1]AttributeName!$C:$C,[1]AttributeName!$B:$B),"")</f>
        <v>10603</v>
      </c>
      <c r="P2212" s="10"/>
      <c r="Q2212">
        <v>0.22</v>
      </c>
      <c r="R2212">
        <v>0.27</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76"/>
        <v>1303</v>
      </c>
      <c r="B2213">
        <v>7</v>
      </c>
      <c r="C2213" t="s">
        <v>395</v>
      </c>
      <c r="D2213" t="s">
        <v>28</v>
      </c>
      <c r="E2213" t="s">
        <v>393</v>
      </c>
      <c r="G2213">
        <v>1</v>
      </c>
      <c r="H2213">
        <v>1000</v>
      </c>
      <c r="I2213">
        <v>1</v>
      </c>
      <c r="J2213" cm="1">
        <f t="array" ref="J2213">_xlfn.SWITCH(B2213,1,75,2,61,3,49,4,37,5,25,6,13,7,4,8,1)</f>
        <v>4</v>
      </c>
      <c r="K2213" t="str" cm="1">
        <f t="array" ref="K2213">IFERROR(_xlfn.SWITCH(L2213,1,_xlfn.XLOOKUP(C2213,[1]AttributeName!$C:$C,[1]AttributeName!$I:$I),2,_xlfn.XLOOKUP(C2213,[1]ModifierDes!$B:$B,[1]ModifierDes!$C:$C),3,_xlfn.XLOOKUP(C2213,[1]StuntDes!$B:$B,[1]StuntDes!$C:$C)),"")</f>
        <v>冰冷倍率增加{0}</v>
      </c>
      <c r="L2213">
        <f t="shared" si="177"/>
        <v>1</v>
      </c>
      <c r="M2213" s="10" t="str">
        <f>IFERROR(_xlfn.XLOOKUP(C2213,[1]StuntDes!$B:$B,[1]StuntDes!$A:$A),"")</f>
        <v/>
      </c>
      <c r="N2213" s="10" t="str">
        <f>IFERROR(_xlfn.XLOOKUP(C2213,[1]ModifierDes!$B:$B,[1]ModifierDes!$A:$A),"")</f>
        <v/>
      </c>
      <c r="O2213" s="10">
        <f>IFERROR(_xlfn.XLOOKUP(C2213,[1]AttributeName!$C:$C,[1]AttributeName!$B:$B),"")</f>
        <v>10603</v>
      </c>
      <c r="P2213" s="10"/>
      <c r="Q2213">
        <v>0.15</v>
      </c>
      <c r="R2213">
        <v>0.2</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76"/>
        <v>1303</v>
      </c>
      <c r="B2214">
        <v>8</v>
      </c>
      <c r="C2214" t="s">
        <v>395</v>
      </c>
      <c r="D2214" t="s">
        <v>28</v>
      </c>
      <c r="E2214" t="s">
        <v>393</v>
      </c>
      <c r="G2214">
        <v>1</v>
      </c>
      <c r="H2214">
        <v>1000</v>
      </c>
      <c r="I2214">
        <v>1</v>
      </c>
      <c r="J2214" cm="1">
        <f t="array" ref="J2214">_xlfn.SWITCH(B2214,1,75,2,61,3,49,4,37,5,25,6,13,7,4,8,1)</f>
        <v>1</v>
      </c>
      <c r="K2214" t="str" cm="1">
        <f t="array" ref="K2214">IFERROR(_xlfn.SWITCH(L2214,1,_xlfn.XLOOKUP(C2214,[1]AttributeName!$C:$C,[1]AttributeName!$I:$I),2,_xlfn.XLOOKUP(C2214,[1]ModifierDes!$B:$B,[1]ModifierDes!$C:$C),3,_xlfn.XLOOKUP(C2214,[1]StuntDes!$B:$B,[1]StuntDes!$C:$C)),"")</f>
        <v>冰冷倍率增加{0}</v>
      </c>
      <c r="L2214">
        <f t="shared" si="177"/>
        <v>1</v>
      </c>
      <c r="M2214" s="10" t="str">
        <f>IFERROR(_xlfn.XLOOKUP(C2214,[1]StuntDes!$B:$B,[1]StuntDes!$A:$A),"")</f>
        <v/>
      </c>
      <c r="N2214" s="10" t="str">
        <f>IFERROR(_xlfn.XLOOKUP(C2214,[1]ModifierDes!$B:$B,[1]ModifierDes!$A:$A),"")</f>
        <v/>
      </c>
      <c r="O2214" s="10">
        <f>IFERROR(_xlfn.XLOOKUP(C2214,[1]AttributeName!$C:$C,[1]AttributeName!$B:$B),"")</f>
        <v>10603</v>
      </c>
      <c r="P2214" s="10"/>
      <c r="Q2214">
        <v>0.08</v>
      </c>
      <c r="R2214">
        <v>0.14</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76"/>
        <v>1304</v>
      </c>
      <c r="B2215">
        <v>1</v>
      </c>
      <c r="C2215" t="s">
        <v>396</v>
      </c>
      <c r="D2215" t="s">
        <v>28</v>
      </c>
      <c r="E2215" t="s">
        <v>393</v>
      </c>
      <c r="G2215">
        <v>1</v>
      </c>
      <c r="H2215">
        <v>100</v>
      </c>
      <c r="I2215">
        <v>1</v>
      </c>
      <c r="J2215" cm="1">
        <f t="array" ref="J2215">_xlfn.SWITCH(B2215,1,75,2,61,3,49,4,37,5,25,6,13,7,4,8,1)</f>
        <v>75</v>
      </c>
      <c r="K2215" t="str" cm="1">
        <f t="array" ref="K2215">IFERROR(_xlfn.SWITCH(L2215,1,_xlfn.XLOOKUP(C2215,[1]AttributeName!$C:$C,[1]AttributeName!$I:$I),2,_xlfn.XLOOKUP(C2215,[1]ModifierDes!$B:$B,[1]ModifierDes!$C:$C),3,_xlfn.XLOOKUP(C2215,[1]StuntDes!$B:$B,[1]StuntDes!$C:$C)),"")</f>
        <v>闪电倍率增加{0}</v>
      </c>
      <c r="L2215">
        <f t="shared" si="177"/>
        <v>1</v>
      </c>
      <c r="M2215" s="10" t="str">
        <f>IFERROR(_xlfn.XLOOKUP(C2215,[1]StuntDes!$B:$B,[1]StuntDes!$A:$A),"")</f>
        <v/>
      </c>
      <c r="N2215" s="10" t="str">
        <f>IFERROR(_xlfn.XLOOKUP(C2215,[1]ModifierDes!$B:$B,[1]ModifierDes!$A:$A),"")</f>
        <v/>
      </c>
      <c r="O2215" s="10">
        <f>IFERROR(_xlfn.XLOOKUP(C2215,[1]AttributeName!$C:$C,[1]AttributeName!$B:$B),"")</f>
        <v>10604</v>
      </c>
      <c r="P2215" s="10"/>
      <c r="Q2215">
        <v>0.55</v>
      </c>
      <c r="R2215">
        <v>0.77</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76"/>
        <v>1304</v>
      </c>
      <c r="B2216">
        <v>2</v>
      </c>
      <c r="C2216" t="s">
        <v>396</v>
      </c>
      <c r="D2216" t="s">
        <v>28</v>
      </c>
      <c r="E2216" t="s">
        <v>393</v>
      </c>
      <c r="G2216">
        <v>1</v>
      </c>
      <c r="H2216">
        <v>200</v>
      </c>
      <c r="I2216">
        <v>1</v>
      </c>
      <c r="J2216" cm="1">
        <f t="array" ref="J2216">_xlfn.SWITCH(B2216,1,75,2,61,3,49,4,37,5,25,6,13,7,4,8,1)</f>
        <v>61</v>
      </c>
      <c r="K2216" t="str" cm="1">
        <f t="array" ref="K2216">IFERROR(_xlfn.SWITCH(L2216,1,_xlfn.XLOOKUP(C2216,[1]AttributeName!$C:$C,[1]AttributeName!$I:$I),2,_xlfn.XLOOKUP(C2216,[1]ModifierDes!$B:$B,[1]ModifierDes!$C:$C),3,_xlfn.XLOOKUP(C2216,[1]StuntDes!$B:$B,[1]StuntDes!$C:$C)),"")</f>
        <v>闪电倍率增加{0}</v>
      </c>
      <c r="L2216">
        <f t="shared" si="177"/>
        <v>1</v>
      </c>
      <c r="M2216" s="10" t="str">
        <f>IFERROR(_xlfn.XLOOKUP(C2216,[1]StuntDes!$B:$B,[1]StuntDes!$A:$A),"")</f>
        <v/>
      </c>
      <c r="N2216" s="10" t="str">
        <f>IFERROR(_xlfn.XLOOKUP(C2216,[1]ModifierDes!$B:$B,[1]ModifierDes!$A:$A),"")</f>
        <v/>
      </c>
      <c r="O2216" s="10">
        <f>IFERROR(_xlfn.XLOOKUP(C2216,[1]AttributeName!$C:$C,[1]AttributeName!$B:$B),"")</f>
        <v>10604</v>
      </c>
      <c r="P2216" s="10"/>
      <c r="Q2216">
        <v>0.48</v>
      </c>
      <c r="R2216">
        <v>0.53</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76"/>
        <v>1304</v>
      </c>
      <c r="B2217">
        <v>3</v>
      </c>
      <c r="C2217" t="s">
        <v>396</v>
      </c>
      <c r="D2217" t="s">
        <v>28</v>
      </c>
      <c r="E2217" t="s">
        <v>393</v>
      </c>
      <c r="G2217">
        <v>1</v>
      </c>
      <c r="H2217">
        <v>400</v>
      </c>
      <c r="I2217">
        <v>1</v>
      </c>
      <c r="J2217" cm="1">
        <f t="array" ref="J2217">_xlfn.SWITCH(B2217,1,75,2,61,3,49,4,37,5,25,6,13,7,4,8,1)</f>
        <v>49</v>
      </c>
      <c r="K2217" t="str" cm="1">
        <f t="array" ref="K2217">IFERROR(_xlfn.SWITCH(L2217,1,_xlfn.XLOOKUP(C2217,[1]AttributeName!$C:$C,[1]AttributeName!$I:$I),2,_xlfn.XLOOKUP(C2217,[1]ModifierDes!$B:$B,[1]ModifierDes!$C:$C),3,_xlfn.XLOOKUP(C2217,[1]StuntDes!$B:$B,[1]StuntDes!$C:$C)),"")</f>
        <v>闪电倍率增加{0}</v>
      </c>
      <c r="L2217">
        <f t="shared" si="177"/>
        <v>1</v>
      </c>
      <c r="M2217" s="10" t="str">
        <f>IFERROR(_xlfn.XLOOKUP(C2217,[1]StuntDes!$B:$B,[1]StuntDes!$A:$A),"")</f>
        <v/>
      </c>
      <c r="N2217" s="10" t="str">
        <f>IFERROR(_xlfn.XLOOKUP(C2217,[1]ModifierDes!$B:$B,[1]ModifierDes!$A:$A),"")</f>
        <v/>
      </c>
      <c r="O2217" s="10">
        <f>IFERROR(_xlfn.XLOOKUP(C2217,[1]AttributeName!$C:$C,[1]AttributeName!$B:$B),"")</f>
        <v>10604</v>
      </c>
      <c r="P2217" s="10"/>
      <c r="Q2217">
        <v>0.41</v>
      </c>
      <c r="R2217">
        <v>0.47</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76"/>
        <v>1304</v>
      </c>
      <c r="B2218">
        <v>4</v>
      </c>
      <c r="C2218" t="s">
        <v>396</v>
      </c>
      <c r="D2218" t="s">
        <v>28</v>
      </c>
      <c r="E2218" t="s">
        <v>393</v>
      </c>
      <c r="G2218">
        <v>1</v>
      </c>
      <c r="H2218">
        <v>600</v>
      </c>
      <c r="I2218">
        <v>1</v>
      </c>
      <c r="J2218" cm="1">
        <f t="array" ref="J2218">_xlfn.SWITCH(B2218,1,75,2,61,3,49,4,37,5,25,6,13,7,4,8,1)</f>
        <v>37</v>
      </c>
      <c r="K2218" t="str" cm="1">
        <f t="array" ref="K2218">IFERROR(_xlfn.SWITCH(L2218,1,_xlfn.XLOOKUP(C2218,[1]AttributeName!$C:$C,[1]AttributeName!$I:$I),2,_xlfn.XLOOKUP(C2218,[1]ModifierDes!$B:$B,[1]ModifierDes!$C:$C),3,_xlfn.XLOOKUP(C2218,[1]StuntDes!$B:$B,[1]StuntDes!$C:$C)),"")</f>
        <v>闪电倍率增加{0}</v>
      </c>
      <c r="L2218">
        <f t="shared" si="177"/>
        <v>1</v>
      </c>
      <c r="M2218" s="10" t="str">
        <f>IFERROR(_xlfn.XLOOKUP(C2218,[1]StuntDes!$B:$B,[1]StuntDes!$A:$A),"")</f>
        <v/>
      </c>
      <c r="N2218" s="10" t="str">
        <f>IFERROR(_xlfn.XLOOKUP(C2218,[1]ModifierDes!$B:$B,[1]ModifierDes!$A:$A),"")</f>
        <v/>
      </c>
      <c r="O2218" s="10">
        <f>IFERROR(_xlfn.XLOOKUP(C2218,[1]AttributeName!$C:$C,[1]AttributeName!$B:$B),"")</f>
        <v>10604</v>
      </c>
      <c r="P2218" s="10"/>
      <c r="Q2218">
        <v>0.35</v>
      </c>
      <c r="R2218">
        <v>0.4</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76"/>
        <v>1304</v>
      </c>
      <c r="B2219">
        <v>5</v>
      </c>
      <c r="C2219" t="s">
        <v>396</v>
      </c>
      <c r="D2219" t="s">
        <v>28</v>
      </c>
      <c r="E2219" t="s">
        <v>393</v>
      </c>
      <c r="G2219">
        <v>1</v>
      </c>
      <c r="H2219">
        <v>800</v>
      </c>
      <c r="I2219">
        <v>1</v>
      </c>
      <c r="J2219" cm="1">
        <f t="array" ref="J2219">_xlfn.SWITCH(B2219,1,75,2,61,3,49,4,37,5,25,6,13,7,4,8,1)</f>
        <v>25</v>
      </c>
      <c r="K2219" t="str" cm="1">
        <f t="array" ref="K2219">IFERROR(_xlfn.SWITCH(L2219,1,_xlfn.XLOOKUP(C2219,[1]AttributeName!$C:$C,[1]AttributeName!$I:$I),2,_xlfn.XLOOKUP(C2219,[1]ModifierDes!$B:$B,[1]ModifierDes!$C:$C),3,_xlfn.XLOOKUP(C2219,[1]StuntDes!$B:$B,[1]StuntDes!$C:$C)),"")</f>
        <v>闪电倍率增加{0}</v>
      </c>
      <c r="L2219">
        <f t="shared" si="177"/>
        <v>1</v>
      </c>
      <c r="M2219" s="10" t="str">
        <f>IFERROR(_xlfn.XLOOKUP(C2219,[1]StuntDes!$B:$B,[1]StuntDes!$A:$A),"")</f>
        <v/>
      </c>
      <c r="N2219" s="10" t="str">
        <f>IFERROR(_xlfn.XLOOKUP(C2219,[1]ModifierDes!$B:$B,[1]ModifierDes!$A:$A),"")</f>
        <v/>
      </c>
      <c r="O2219" s="10">
        <f>IFERROR(_xlfn.XLOOKUP(C2219,[1]AttributeName!$C:$C,[1]AttributeName!$B:$B),"")</f>
        <v>10604</v>
      </c>
      <c r="P2219" s="10"/>
      <c r="Q2219">
        <v>0.28</v>
      </c>
      <c r="R2219">
        <v>0.34</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76"/>
        <v>1304</v>
      </c>
      <c r="B2220">
        <v>6</v>
      </c>
      <c r="C2220" t="s">
        <v>396</v>
      </c>
      <c r="D2220" t="s">
        <v>28</v>
      </c>
      <c r="E2220" t="s">
        <v>393</v>
      </c>
      <c r="G2220">
        <v>1</v>
      </c>
      <c r="H2220">
        <v>1000</v>
      </c>
      <c r="I2220">
        <v>1</v>
      </c>
      <c r="J2220" cm="1">
        <f t="array" ref="J2220">_xlfn.SWITCH(B2220,1,75,2,61,3,49,4,37,5,25,6,13,7,4,8,1)</f>
        <v>13</v>
      </c>
      <c r="K2220" t="str" cm="1">
        <f t="array" ref="K2220">IFERROR(_xlfn.SWITCH(L2220,1,_xlfn.XLOOKUP(C2220,[1]AttributeName!$C:$C,[1]AttributeName!$I:$I),2,_xlfn.XLOOKUP(C2220,[1]ModifierDes!$B:$B,[1]ModifierDes!$C:$C),3,_xlfn.XLOOKUP(C2220,[1]StuntDes!$B:$B,[1]StuntDes!$C:$C)),"")</f>
        <v>闪电倍率增加{0}</v>
      </c>
      <c r="L2220">
        <f t="shared" si="177"/>
        <v>1</v>
      </c>
      <c r="M2220" s="10" t="str">
        <f>IFERROR(_xlfn.XLOOKUP(C2220,[1]StuntDes!$B:$B,[1]StuntDes!$A:$A),"")</f>
        <v/>
      </c>
      <c r="N2220" s="10" t="str">
        <f>IFERROR(_xlfn.XLOOKUP(C2220,[1]ModifierDes!$B:$B,[1]ModifierDes!$A:$A),"")</f>
        <v/>
      </c>
      <c r="O2220" s="10">
        <f>IFERROR(_xlfn.XLOOKUP(C2220,[1]AttributeName!$C:$C,[1]AttributeName!$B:$B),"")</f>
        <v>10604</v>
      </c>
      <c r="P2220" s="10"/>
      <c r="Q2220">
        <v>0.22</v>
      </c>
      <c r="R2220">
        <v>0.27</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76"/>
        <v>1304</v>
      </c>
      <c r="B2221">
        <v>7</v>
      </c>
      <c r="C2221" t="s">
        <v>396</v>
      </c>
      <c r="D2221" t="s">
        <v>28</v>
      </c>
      <c r="E2221" t="s">
        <v>393</v>
      </c>
      <c r="G2221">
        <v>1</v>
      </c>
      <c r="H2221">
        <v>1000</v>
      </c>
      <c r="I2221">
        <v>1</v>
      </c>
      <c r="J2221" cm="1">
        <f t="array" ref="J2221">_xlfn.SWITCH(B2221,1,75,2,61,3,49,4,37,5,25,6,13,7,4,8,1)</f>
        <v>4</v>
      </c>
      <c r="K2221" t="str" cm="1">
        <f t="array" ref="K2221">IFERROR(_xlfn.SWITCH(L2221,1,_xlfn.XLOOKUP(C2221,[1]AttributeName!$C:$C,[1]AttributeName!$I:$I),2,_xlfn.XLOOKUP(C2221,[1]ModifierDes!$B:$B,[1]ModifierDes!$C:$C),3,_xlfn.XLOOKUP(C2221,[1]StuntDes!$B:$B,[1]StuntDes!$C:$C)),"")</f>
        <v>闪电倍率增加{0}</v>
      </c>
      <c r="L2221">
        <f t="shared" si="177"/>
        <v>1</v>
      </c>
      <c r="M2221" s="10" t="str">
        <f>IFERROR(_xlfn.XLOOKUP(C2221,[1]StuntDes!$B:$B,[1]StuntDes!$A:$A),"")</f>
        <v/>
      </c>
      <c r="N2221" s="10" t="str">
        <f>IFERROR(_xlfn.XLOOKUP(C2221,[1]ModifierDes!$B:$B,[1]ModifierDes!$A:$A),"")</f>
        <v/>
      </c>
      <c r="O2221" s="10">
        <f>IFERROR(_xlfn.XLOOKUP(C2221,[1]AttributeName!$C:$C,[1]AttributeName!$B:$B),"")</f>
        <v>10604</v>
      </c>
      <c r="P2221" s="10"/>
      <c r="Q2221">
        <v>0.15</v>
      </c>
      <c r="R2221">
        <v>0.2</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76"/>
        <v>1304</v>
      </c>
      <c r="B2222">
        <v>8</v>
      </c>
      <c r="C2222" t="s">
        <v>396</v>
      </c>
      <c r="D2222" t="s">
        <v>28</v>
      </c>
      <c r="E2222" t="s">
        <v>393</v>
      </c>
      <c r="G2222">
        <v>1</v>
      </c>
      <c r="H2222">
        <v>1000</v>
      </c>
      <c r="I2222">
        <v>1</v>
      </c>
      <c r="J2222" cm="1">
        <f t="array" ref="J2222">_xlfn.SWITCH(B2222,1,75,2,61,3,49,4,37,5,25,6,13,7,4,8,1)</f>
        <v>1</v>
      </c>
      <c r="K2222" t="str" cm="1">
        <f t="array" ref="K2222">IFERROR(_xlfn.SWITCH(L2222,1,_xlfn.XLOOKUP(C2222,[1]AttributeName!$C:$C,[1]AttributeName!$I:$I),2,_xlfn.XLOOKUP(C2222,[1]ModifierDes!$B:$B,[1]ModifierDes!$C:$C),3,_xlfn.XLOOKUP(C2222,[1]StuntDes!$B:$B,[1]StuntDes!$C:$C)),"")</f>
        <v>闪电倍率增加{0}</v>
      </c>
      <c r="L2222">
        <f t="shared" si="177"/>
        <v>1</v>
      </c>
      <c r="M2222" s="10" t="str">
        <f>IFERROR(_xlfn.XLOOKUP(C2222,[1]StuntDes!$B:$B,[1]StuntDes!$A:$A),"")</f>
        <v/>
      </c>
      <c r="N2222" s="10" t="str">
        <f>IFERROR(_xlfn.XLOOKUP(C2222,[1]ModifierDes!$B:$B,[1]ModifierDes!$A:$A),"")</f>
        <v/>
      </c>
      <c r="O2222" s="10">
        <f>IFERROR(_xlfn.XLOOKUP(C2222,[1]AttributeName!$C:$C,[1]AttributeName!$B:$B),"")</f>
        <v>10604</v>
      </c>
      <c r="P2222" s="10"/>
      <c r="Q2222">
        <v>0.08</v>
      </c>
      <c r="R2222">
        <v>0.14</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76"/>
        <v>1305</v>
      </c>
      <c r="B2223">
        <v>1</v>
      </c>
      <c r="C2223" t="s">
        <v>397</v>
      </c>
      <c r="D2223" t="s">
        <v>28</v>
      </c>
      <c r="E2223" t="s">
        <v>393</v>
      </c>
      <c r="G2223">
        <v>1</v>
      </c>
      <c r="H2223">
        <v>100</v>
      </c>
      <c r="I2223">
        <v>1</v>
      </c>
      <c r="J2223" cm="1">
        <f t="array" ref="J2223">_xlfn.SWITCH(B2223,1,75,2,61,3,49,4,37,5,25,6,13,7,4,8,1)</f>
        <v>75</v>
      </c>
      <c r="K2223" t="str" cm="1">
        <f t="array" ref="K2223">IFERROR(_xlfn.SWITCH(L2223,1,_xlfn.XLOOKUP(C2223,[1]AttributeName!$C:$C,[1]AttributeName!$I:$I),2,_xlfn.XLOOKUP(C2223,[1]ModifierDes!$B:$B,[1]ModifierDes!$C:$C),3,_xlfn.XLOOKUP(C2223,[1]StuntDes!$B:$B,[1]StuntDes!$C:$C)),"")</f>
        <v>混沌倍率增加{0}</v>
      </c>
      <c r="L2223">
        <f t="shared" si="177"/>
        <v>1</v>
      </c>
      <c r="M2223" s="10" t="str">
        <f>IFERROR(_xlfn.XLOOKUP(C2223,[1]StuntDes!$B:$B,[1]StuntDes!$A:$A),"")</f>
        <v/>
      </c>
      <c r="N2223" s="10" t="str">
        <f>IFERROR(_xlfn.XLOOKUP(C2223,[1]ModifierDes!$B:$B,[1]ModifierDes!$A:$A),"")</f>
        <v/>
      </c>
      <c r="O2223" s="10">
        <f>IFERROR(_xlfn.XLOOKUP(C2223,[1]AttributeName!$C:$C,[1]AttributeName!$B:$B),"")</f>
        <v>10605</v>
      </c>
      <c r="P2223" s="10"/>
      <c r="Q2223">
        <v>0.55</v>
      </c>
      <c r="R2223">
        <v>0.77</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76"/>
        <v>1305</v>
      </c>
      <c r="B2224">
        <v>2</v>
      </c>
      <c r="C2224" t="s">
        <v>397</v>
      </c>
      <c r="D2224" t="s">
        <v>28</v>
      </c>
      <c r="E2224" t="s">
        <v>393</v>
      </c>
      <c r="G2224">
        <v>1</v>
      </c>
      <c r="H2224">
        <v>200</v>
      </c>
      <c r="I2224">
        <v>1</v>
      </c>
      <c r="J2224" cm="1">
        <f t="array" ref="J2224">_xlfn.SWITCH(B2224,1,75,2,61,3,49,4,37,5,25,6,13,7,4,8,1)</f>
        <v>61</v>
      </c>
      <c r="K2224" t="str" cm="1">
        <f t="array" ref="K2224">IFERROR(_xlfn.SWITCH(L2224,1,_xlfn.XLOOKUP(C2224,[1]AttributeName!$C:$C,[1]AttributeName!$I:$I),2,_xlfn.XLOOKUP(C2224,[1]ModifierDes!$B:$B,[1]ModifierDes!$C:$C),3,_xlfn.XLOOKUP(C2224,[1]StuntDes!$B:$B,[1]StuntDes!$C:$C)),"")</f>
        <v>混沌倍率增加{0}</v>
      </c>
      <c r="L2224">
        <f t="shared" si="177"/>
        <v>1</v>
      </c>
      <c r="M2224" s="10" t="str">
        <f>IFERROR(_xlfn.XLOOKUP(C2224,[1]StuntDes!$B:$B,[1]StuntDes!$A:$A),"")</f>
        <v/>
      </c>
      <c r="N2224" s="10" t="str">
        <f>IFERROR(_xlfn.XLOOKUP(C2224,[1]ModifierDes!$B:$B,[1]ModifierDes!$A:$A),"")</f>
        <v/>
      </c>
      <c r="O2224" s="10">
        <f>IFERROR(_xlfn.XLOOKUP(C2224,[1]AttributeName!$C:$C,[1]AttributeName!$B:$B),"")</f>
        <v>10605</v>
      </c>
      <c r="P2224" s="10"/>
      <c r="Q2224">
        <v>0.48</v>
      </c>
      <c r="R2224">
        <v>0.53</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76"/>
        <v>1305</v>
      </c>
      <c r="B2225">
        <v>3</v>
      </c>
      <c r="C2225" t="s">
        <v>397</v>
      </c>
      <c r="D2225" t="s">
        <v>28</v>
      </c>
      <c r="E2225" t="s">
        <v>393</v>
      </c>
      <c r="G2225">
        <v>1</v>
      </c>
      <c r="H2225">
        <v>400</v>
      </c>
      <c r="I2225">
        <v>1</v>
      </c>
      <c r="J2225" cm="1">
        <f t="array" ref="J2225">_xlfn.SWITCH(B2225,1,75,2,61,3,49,4,37,5,25,6,13,7,4,8,1)</f>
        <v>49</v>
      </c>
      <c r="K2225" t="str" cm="1">
        <f t="array" ref="K2225">IFERROR(_xlfn.SWITCH(L2225,1,_xlfn.XLOOKUP(C2225,[1]AttributeName!$C:$C,[1]AttributeName!$I:$I),2,_xlfn.XLOOKUP(C2225,[1]ModifierDes!$B:$B,[1]ModifierDes!$C:$C),3,_xlfn.XLOOKUP(C2225,[1]StuntDes!$B:$B,[1]StuntDes!$C:$C)),"")</f>
        <v>混沌倍率增加{0}</v>
      </c>
      <c r="L2225">
        <f t="shared" si="177"/>
        <v>1</v>
      </c>
      <c r="M2225" s="10" t="str">
        <f>IFERROR(_xlfn.XLOOKUP(C2225,[1]StuntDes!$B:$B,[1]StuntDes!$A:$A),"")</f>
        <v/>
      </c>
      <c r="N2225" s="10" t="str">
        <f>IFERROR(_xlfn.XLOOKUP(C2225,[1]ModifierDes!$B:$B,[1]ModifierDes!$A:$A),"")</f>
        <v/>
      </c>
      <c r="O2225" s="10">
        <f>IFERROR(_xlfn.XLOOKUP(C2225,[1]AttributeName!$C:$C,[1]AttributeName!$B:$B),"")</f>
        <v>10605</v>
      </c>
      <c r="P2225" s="10"/>
      <c r="Q2225">
        <v>0.41</v>
      </c>
      <c r="R2225">
        <v>0.47</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76"/>
        <v>1305</v>
      </c>
      <c r="B2226">
        <v>4</v>
      </c>
      <c r="C2226" t="s">
        <v>397</v>
      </c>
      <c r="D2226" t="s">
        <v>28</v>
      </c>
      <c r="E2226" t="s">
        <v>393</v>
      </c>
      <c r="G2226">
        <v>1</v>
      </c>
      <c r="H2226">
        <v>600</v>
      </c>
      <c r="I2226">
        <v>1</v>
      </c>
      <c r="J2226" cm="1">
        <f t="array" ref="J2226">_xlfn.SWITCH(B2226,1,75,2,61,3,49,4,37,5,25,6,13,7,4,8,1)</f>
        <v>37</v>
      </c>
      <c r="K2226" t="str" cm="1">
        <f t="array" ref="K2226">IFERROR(_xlfn.SWITCH(L2226,1,_xlfn.XLOOKUP(C2226,[1]AttributeName!$C:$C,[1]AttributeName!$I:$I),2,_xlfn.XLOOKUP(C2226,[1]ModifierDes!$B:$B,[1]ModifierDes!$C:$C),3,_xlfn.XLOOKUP(C2226,[1]StuntDes!$B:$B,[1]StuntDes!$C:$C)),"")</f>
        <v>混沌倍率增加{0}</v>
      </c>
      <c r="L2226">
        <f t="shared" si="177"/>
        <v>1</v>
      </c>
      <c r="M2226" s="10" t="str">
        <f>IFERROR(_xlfn.XLOOKUP(C2226,[1]StuntDes!$B:$B,[1]StuntDes!$A:$A),"")</f>
        <v/>
      </c>
      <c r="N2226" s="10" t="str">
        <f>IFERROR(_xlfn.XLOOKUP(C2226,[1]ModifierDes!$B:$B,[1]ModifierDes!$A:$A),"")</f>
        <v/>
      </c>
      <c r="O2226" s="10">
        <f>IFERROR(_xlfn.XLOOKUP(C2226,[1]AttributeName!$C:$C,[1]AttributeName!$B:$B),"")</f>
        <v>10605</v>
      </c>
      <c r="P2226" s="10"/>
      <c r="Q2226">
        <v>0.35</v>
      </c>
      <c r="R2226">
        <v>0.4</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76"/>
        <v>1305</v>
      </c>
      <c r="B2227">
        <v>5</v>
      </c>
      <c r="C2227" t="s">
        <v>397</v>
      </c>
      <c r="D2227" t="s">
        <v>28</v>
      </c>
      <c r="E2227" t="s">
        <v>393</v>
      </c>
      <c r="G2227">
        <v>1</v>
      </c>
      <c r="H2227">
        <v>800</v>
      </c>
      <c r="I2227">
        <v>1</v>
      </c>
      <c r="J2227" cm="1">
        <f t="array" ref="J2227">_xlfn.SWITCH(B2227,1,75,2,61,3,49,4,37,5,25,6,13,7,4,8,1)</f>
        <v>25</v>
      </c>
      <c r="K2227" t="str" cm="1">
        <f t="array" ref="K2227">IFERROR(_xlfn.SWITCH(L2227,1,_xlfn.XLOOKUP(C2227,[1]AttributeName!$C:$C,[1]AttributeName!$I:$I),2,_xlfn.XLOOKUP(C2227,[1]ModifierDes!$B:$B,[1]ModifierDes!$C:$C),3,_xlfn.XLOOKUP(C2227,[1]StuntDes!$B:$B,[1]StuntDes!$C:$C)),"")</f>
        <v>混沌倍率增加{0}</v>
      </c>
      <c r="L2227">
        <f t="shared" si="177"/>
        <v>1</v>
      </c>
      <c r="M2227" s="10" t="str">
        <f>IFERROR(_xlfn.XLOOKUP(C2227,[1]StuntDes!$B:$B,[1]StuntDes!$A:$A),"")</f>
        <v/>
      </c>
      <c r="N2227" s="10" t="str">
        <f>IFERROR(_xlfn.XLOOKUP(C2227,[1]ModifierDes!$B:$B,[1]ModifierDes!$A:$A),"")</f>
        <v/>
      </c>
      <c r="O2227" s="10">
        <f>IFERROR(_xlfn.XLOOKUP(C2227,[1]AttributeName!$C:$C,[1]AttributeName!$B:$B),"")</f>
        <v>10605</v>
      </c>
      <c r="P2227" s="10"/>
      <c r="Q2227">
        <v>0.28</v>
      </c>
      <c r="R2227">
        <v>0.34</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76"/>
        <v>1305</v>
      </c>
      <c r="B2228">
        <v>6</v>
      </c>
      <c r="C2228" t="s">
        <v>397</v>
      </c>
      <c r="D2228" t="s">
        <v>28</v>
      </c>
      <c r="E2228" t="s">
        <v>393</v>
      </c>
      <c r="G2228">
        <v>1</v>
      </c>
      <c r="H2228">
        <v>1000</v>
      </c>
      <c r="I2228">
        <v>1</v>
      </c>
      <c r="J2228" cm="1">
        <f t="array" ref="J2228">_xlfn.SWITCH(B2228,1,75,2,61,3,49,4,37,5,25,6,13,7,4,8,1)</f>
        <v>13</v>
      </c>
      <c r="K2228" t="str" cm="1">
        <f t="array" ref="K2228">IFERROR(_xlfn.SWITCH(L2228,1,_xlfn.XLOOKUP(C2228,[1]AttributeName!$C:$C,[1]AttributeName!$I:$I),2,_xlfn.XLOOKUP(C2228,[1]ModifierDes!$B:$B,[1]ModifierDes!$C:$C),3,_xlfn.XLOOKUP(C2228,[1]StuntDes!$B:$B,[1]StuntDes!$C:$C)),"")</f>
        <v>混沌倍率增加{0}</v>
      </c>
      <c r="L2228">
        <f t="shared" si="177"/>
        <v>1</v>
      </c>
      <c r="M2228" s="10" t="str">
        <f>IFERROR(_xlfn.XLOOKUP(C2228,[1]StuntDes!$B:$B,[1]StuntDes!$A:$A),"")</f>
        <v/>
      </c>
      <c r="N2228" s="10" t="str">
        <f>IFERROR(_xlfn.XLOOKUP(C2228,[1]ModifierDes!$B:$B,[1]ModifierDes!$A:$A),"")</f>
        <v/>
      </c>
      <c r="O2228" s="10">
        <f>IFERROR(_xlfn.XLOOKUP(C2228,[1]AttributeName!$C:$C,[1]AttributeName!$B:$B),"")</f>
        <v>10605</v>
      </c>
      <c r="P2228" s="10"/>
      <c r="Q2228">
        <v>0.22</v>
      </c>
      <c r="R2228">
        <v>0.27</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76"/>
        <v>1305</v>
      </c>
      <c r="B2229">
        <v>7</v>
      </c>
      <c r="C2229" t="s">
        <v>397</v>
      </c>
      <c r="D2229" t="s">
        <v>28</v>
      </c>
      <c r="E2229" t="s">
        <v>393</v>
      </c>
      <c r="G2229">
        <v>1</v>
      </c>
      <c r="H2229">
        <v>1000</v>
      </c>
      <c r="I2229">
        <v>1</v>
      </c>
      <c r="J2229" cm="1">
        <f t="array" ref="J2229">_xlfn.SWITCH(B2229,1,75,2,61,3,49,4,37,5,25,6,13,7,4,8,1)</f>
        <v>4</v>
      </c>
      <c r="K2229" t="str" cm="1">
        <f t="array" ref="K2229">IFERROR(_xlfn.SWITCH(L2229,1,_xlfn.XLOOKUP(C2229,[1]AttributeName!$C:$C,[1]AttributeName!$I:$I),2,_xlfn.XLOOKUP(C2229,[1]ModifierDes!$B:$B,[1]ModifierDes!$C:$C),3,_xlfn.XLOOKUP(C2229,[1]StuntDes!$B:$B,[1]StuntDes!$C:$C)),"")</f>
        <v>混沌倍率增加{0}</v>
      </c>
      <c r="L2229">
        <f t="shared" si="177"/>
        <v>1</v>
      </c>
      <c r="M2229" s="10" t="str">
        <f>IFERROR(_xlfn.XLOOKUP(C2229,[1]StuntDes!$B:$B,[1]StuntDes!$A:$A),"")</f>
        <v/>
      </c>
      <c r="N2229" s="10" t="str">
        <f>IFERROR(_xlfn.XLOOKUP(C2229,[1]ModifierDes!$B:$B,[1]ModifierDes!$A:$A),"")</f>
        <v/>
      </c>
      <c r="O2229" s="10">
        <f>IFERROR(_xlfn.XLOOKUP(C2229,[1]AttributeName!$C:$C,[1]AttributeName!$B:$B),"")</f>
        <v>10605</v>
      </c>
      <c r="P2229" s="10"/>
      <c r="Q2229">
        <v>0.15</v>
      </c>
      <c r="R2229">
        <v>0.2</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76"/>
        <v>1305</v>
      </c>
      <c r="B2230">
        <v>8</v>
      </c>
      <c r="C2230" t="s">
        <v>397</v>
      </c>
      <c r="D2230" t="s">
        <v>28</v>
      </c>
      <c r="E2230" t="s">
        <v>393</v>
      </c>
      <c r="G2230">
        <v>1</v>
      </c>
      <c r="H2230">
        <v>1000</v>
      </c>
      <c r="I2230">
        <v>1</v>
      </c>
      <c r="J2230" cm="1">
        <f t="array" ref="J2230">_xlfn.SWITCH(B2230,1,75,2,61,3,49,4,37,5,25,6,13,7,4,8,1)</f>
        <v>1</v>
      </c>
      <c r="K2230" t="str" cm="1">
        <f t="array" ref="K2230">IFERROR(_xlfn.SWITCH(L2230,1,_xlfn.XLOOKUP(C2230,[1]AttributeName!$C:$C,[1]AttributeName!$I:$I),2,_xlfn.XLOOKUP(C2230,[1]ModifierDes!$B:$B,[1]ModifierDes!$C:$C),3,_xlfn.XLOOKUP(C2230,[1]StuntDes!$B:$B,[1]StuntDes!$C:$C)),"")</f>
        <v>混沌倍率增加{0}</v>
      </c>
      <c r="L2230">
        <f t="shared" si="177"/>
        <v>1</v>
      </c>
      <c r="M2230" s="10" t="str">
        <f>IFERROR(_xlfn.XLOOKUP(C2230,[1]StuntDes!$B:$B,[1]StuntDes!$A:$A),"")</f>
        <v/>
      </c>
      <c r="N2230" s="10" t="str">
        <f>IFERROR(_xlfn.XLOOKUP(C2230,[1]ModifierDes!$B:$B,[1]ModifierDes!$A:$A),"")</f>
        <v/>
      </c>
      <c r="O2230" s="10">
        <f>IFERROR(_xlfn.XLOOKUP(C2230,[1]AttributeName!$C:$C,[1]AttributeName!$B:$B),"")</f>
        <v>10605</v>
      </c>
      <c r="P2230" s="10"/>
      <c r="Q2230">
        <v>0.08</v>
      </c>
      <c r="R2230">
        <v>0.14</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76"/>
        <v>1306</v>
      </c>
      <c r="B2231">
        <v>1</v>
      </c>
      <c r="C2231" t="s">
        <v>398</v>
      </c>
      <c r="D2231" t="s">
        <v>28</v>
      </c>
      <c r="E2231" t="s">
        <v>393</v>
      </c>
      <c r="G2231">
        <v>1</v>
      </c>
      <c r="H2231">
        <v>1000</v>
      </c>
      <c r="J2231" cm="1">
        <f t="array" ref="J2231">_xlfn.SWITCH(B2231,1,75,2,61,3,49,4,37,5,25,6,13,7,4,8,1)</f>
        <v>75</v>
      </c>
      <c r="K2231" t="str" cm="1">
        <f t="array" ref="K2231">IFERROR(_xlfn.SWITCH(L2231,1,_xlfn.XLOOKUP(C2231,[1]AttributeName!$C:$C,[1]AttributeName!$I:$I),2,_xlfn.XLOOKUP(C2231,[1]ModifierDes!$B:$B,[1]ModifierDes!$C:$C),3,_xlfn.XLOOKUP(C2231,[1]StuntDes!$B:$B,[1]StuntDes!$C:$C)),"")</f>
        <v>获得物理伤害{0}</v>
      </c>
      <c r="L2231">
        <f t="shared" si="177"/>
        <v>1</v>
      </c>
      <c r="M2231" s="10" t="str">
        <f>IFERROR(_xlfn.XLOOKUP(C2231,[1]StuntDes!$B:$B,[1]StuntDes!$A:$A),"")</f>
        <v/>
      </c>
      <c r="N2231" s="10" t="str">
        <f>IFERROR(_xlfn.XLOOKUP(C2231,[1]ModifierDes!$B:$B,[1]ModifierDes!$A:$A),"")</f>
        <v/>
      </c>
      <c r="O2231" s="10">
        <f>IFERROR(_xlfn.XLOOKUP(C2231,[1]AttributeName!$C:$C,[1]AttributeName!$B:$B),"")</f>
        <v>10500</v>
      </c>
      <c r="P2231" s="10"/>
      <c r="Q2231">
        <v>0.5</v>
      </c>
      <c r="R2231">
        <v>0.7</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76"/>
        <v>1306</v>
      </c>
      <c r="B2232">
        <v>2</v>
      </c>
      <c r="C2232" t="s">
        <v>398</v>
      </c>
      <c r="D2232" t="s">
        <v>28</v>
      </c>
      <c r="E2232" t="s">
        <v>393</v>
      </c>
      <c r="G2232">
        <v>1</v>
      </c>
      <c r="H2232">
        <v>1000</v>
      </c>
      <c r="J2232" cm="1">
        <f t="array" ref="J2232">_xlfn.SWITCH(B2232,1,75,2,61,3,49,4,37,5,25,6,13,7,4,8,1)</f>
        <v>61</v>
      </c>
      <c r="K2232" t="str" cm="1">
        <f t="array" ref="K2232">IFERROR(_xlfn.SWITCH(L2232,1,_xlfn.XLOOKUP(C2232,[1]AttributeName!$C:$C,[1]AttributeName!$I:$I),2,_xlfn.XLOOKUP(C2232,[1]ModifierDes!$B:$B,[1]ModifierDes!$C:$C),3,_xlfn.XLOOKUP(C2232,[1]StuntDes!$B:$B,[1]StuntDes!$C:$C)),"")</f>
        <v>获得物理伤害{0}</v>
      </c>
      <c r="L2232">
        <f t="shared" si="177"/>
        <v>1</v>
      </c>
      <c r="M2232" s="10" t="str">
        <f>IFERROR(_xlfn.XLOOKUP(C2232,[1]StuntDes!$B:$B,[1]StuntDes!$A:$A),"")</f>
        <v/>
      </c>
      <c r="N2232" s="10" t="str">
        <f>IFERROR(_xlfn.XLOOKUP(C2232,[1]ModifierDes!$B:$B,[1]ModifierDes!$A:$A),"")</f>
        <v/>
      </c>
      <c r="O2232" s="10">
        <f>IFERROR(_xlfn.XLOOKUP(C2232,[1]AttributeName!$C:$C,[1]AttributeName!$B:$B),"")</f>
        <v>10500</v>
      </c>
      <c r="P2232" s="10"/>
      <c r="Q2232">
        <v>0.44</v>
      </c>
      <c r="R2232">
        <v>0.49</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76"/>
        <v>1306</v>
      </c>
      <c r="B2233">
        <v>3</v>
      </c>
      <c r="C2233" t="s">
        <v>398</v>
      </c>
      <c r="D2233" t="s">
        <v>28</v>
      </c>
      <c r="E2233" t="s">
        <v>393</v>
      </c>
      <c r="G2233">
        <v>1</v>
      </c>
      <c r="H2233">
        <v>1000</v>
      </c>
      <c r="J2233" cm="1">
        <f t="array" ref="J2233">_xlfn.SWITCH(B2233,1,75,2,61,3,49,4,37,5,25,6,13,7,4,8,1)</f>
        <v>49</v>
      </c>
      <c r="K2233" t="str" cm="1">
        <f t="array" ref="K2233">IFERROR(_xlfn.SWITCH(L2233,1,_xlfn.XLOOKUP(C2233,[1]AttributeName!$C:$C,[1]AttributeName!$I:$I),2,_xlfn.XLOOKUP(C2233,[1]ModifierDes!$B:$B,[1]ModifierDes!$C:$C),3,_xlfn.XLOOKUP(C2233,[1]StuntDes!$B:$B,[1]StuntDes!$C:$C)),"")</f>
        <v>获得物理伤害{0}</v>
      </c>
      <c r="L2233">
        <f t="shared" si="177"/>
        <v>1</v>
      </c>
      <c r="M2233" s="10" t="str">
        <f>IFERROR(_xlfn.XLOOKUP(C2233,[1]StuntDes!$B:$B,[1]StuntDes!$A:$A),"")</f>
        <v/>
      </c>
      <c r="N2233" s="10" t="str">
        <f>IFERROR(_xlfn.XLOOKUP(C2233,[1]ModifierDes!$B:$B,[1]ModifierDes!$A:$A),"")</f>
        <v/>
      </c>
      <c r="O2233" s="10">
        <f>IFERROR(_xlfn.XLOOKUP(C2233,[1]AttributeName!$C:$C,[1]AttributeName!$B:$B),"")</f>
        <v>10500</v>
      </c>
      <c r="P2233" s="10"/>
      <c r="Q2233">
        <v>0.38</v>
      </c>
      <c r="R2233">
        <v>0.43</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76"/>
        <v>1306</v>
      </c>
      <c r="B2234">
        <v>4</v>
      </c>
      <c r="C2234" t="s">
        <v>398</v>
      </c>
      <c r="D2234" t="s">
        <v>28</v>
      </c>
      <c r="E2234" t="s">
        <v>393</v>
      </c>
      <c r="G2234">
        <v>1</v>
      </c>
      <c r="H2234">
        <v>1000</v>
      </c>
      <c r="J2234" cm="1">
        <f t="array" ref="J2234">_xlfn.SWITCH(B2234,1,75,2,61,3,49,4,37,5,25,6,13,7,4,8,1)</f>
        <v>37</v>
      </c>
      <c r="K2234" t="str" cm="1">
        <f t="array" ref="K2234">IFERROR(_xlfn.SWITCH(L2234,1,_xlfn.XLOOKUP(C2234,[1]AttributeName!$C:$C,[1]AttributeName!$I:$I),2,_xlfn.XLOOKUP(C2234,[1]ModifierDes!$B:$B,[1]ModifierDes!$C:$C),3,_xlfn.XLOOKUP(C2234,[1]StuntDes!$B:$B,[1]StuntDes!$C:$C)),"")</f>
        <v>获得物理伤害{0}</v>
      </c>
      <c r="L2234">
        <f t="shared" si="177"/>
        <v>1</v>
      </c>
      <c r="M2234" s="10" t="str">
        <f>IFERROR(_xlfn.XLOOKUP(C2234,[1]StuntDes!$B:$B,[1]StuntDes!$A:$A),"")</f>
        <v/>
      </c>
      <c r="N2234" s="10" t="str">
        <f>IFERROR(_xlfn.XLOOKUP(C2234,[1]ModifierDes!$B:$B,[1]ModifierDes!$A:$A),"")</f>
        <v/>
      </c>
      <c r="O2234" s="10">
        <f>IFERROR(_xlfn.XLOOKUP(C2234,[1]AttributeName!$C:$C,[1]AttributeName!$B:$B),"")</f>
        <v>10500</v>
      </c>
      <c r="P2234" s="10"/>
      <c r="Q2234">
        <v>0.32</v>
      </c>
      <c r="R2234">
        <v>0.37</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76"/>
        <v>1306</v>
      </c>
      <c r="B2235">
        <v>5</v>
      </c>
      <c r="C2235" t="s">
        <v>398</v>
      </c>
      <c r="D2235" t="s">
        <v>28</v>
      </c>
      <c r="E2235" t="s">
        <v>393</v>
      </c>
      <c r="G2235">
        <v>1</v>
      </c>
      <c r="H2235">
        <v>1000</v>
      </c>
      <c r="J2235" cm="1">
        <f t="array" ref="J2235">_xlfn.SWITCH(B2235,1,75,2,61,3,49,4,37,5,25,6,13,7,4,8,1)</f>
        <v>25</v>
      </c>
      <c r="K2235" t="str" cm="1">
        <f t="array" ref="K2235">IFERROR(_xlfn.SWITCH(L2235,1,_xlfn.XLOOKUP(C2235,[1]AttributeName!$C:$C,[1]AttributeName!$I:$I),2,_xlfn.XLOOKUP(C2235,[1]ModifierDes!$B:$B,[1]ModifierDes!$C:$C),3,_xlfn.XLOOKUP(C2235,[1]StuntDes!$B:$B,[1]StuntDes!$C:$C)),"")</f>
        <v>获得物理伤害{0}</v>
      </c>
      <c r="L2235">
        <f t="shared" si="177"/>
        <v>1</v>
      </c>
      <c r="M2235" s="10" t="str">
        <f>IFERROR(_xlfn.XLOOKUP(C2235,[1]StuntDes!$B:$B,[1]StuntDes!$A:$A),"")</f>
        <v/>
      </c>
      <c r="N2235" s="10" t="str">
        <f>IFERROR(_xlfn.XLOOKUP(C2235,[1]ModifierDes!$B:$B,[1]ModifierDes!$A:$A),"")</f>
        <v/>
      </c>
      <c r="O2235" s="10">
        <f>IFERROR(_xlfn.XLOOKUP(C2235,[1]AttributeName!$C:$C,[1]AttributeName!$B:$B),"")</f>
        <v>10500</v>
      </c>
      <c r="P2235" s="10"/>
      <c r="Q2235">
        <v>0.26</v>
      </c>
      <c r="R2235">
        <v>0.31</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76"/>
        <v>1306</v>
      </c>
      <c r="B2236">
        <v>6</v>
      </c>
      <c r="C2236" t="s">
        <v>398</v>
      </c>
      <c r="D2236" t="s">
        <v>28</v>
      </c>
      <c r="E2236" t="s">
        <v>393</v>
      </c>
      <c r="G2236">
        <v>1</v>
      </c>
      <c r="H2236">
        <v>1000</v>
      </c>
      <c r="J2236" cm="1">
        <f t="array" ref="J2236">_xlfn.SWITCH(B2236,1,75,2,61,3,49,4,37,5,25,6,13,7,4,8,1)</f>
        <v>13</v>
      </c>
      <c r="K2236" t="str" cm="1">
        <f t="array" ref="K2236">IFERROR(_xlfn.SWITCH(L2236,1,_xlfn.XLOOKUP(C2236,[1]AttributeName!$C:$C,[1]AttributeName!$I:$I),2,_xlfn.XLOOKUP(C2236,[1]ModifierDes!$B:$B,[1]ModifierDes!$C:$C),3,_xlfn.XLOOKUP(C2236,[1]StuntDes!$B:$B,[1]StuntDes!$C:$C)),"")</f>
        <v>获得物理伤害{0}</v>
      </c>
      <c r="L2236">
        <f t="shared" si="177"/>
        <v>1</v>
      </c>
      <c r="M2236" s="10" t="str">
        <f>IFERROR(_xlfn.XLOOKUP(C2236,[1]StuntDes!$B:$B,[1]StuntDes!$A:$A),"")</f>
        <v/>
      </c>
      <c r="N2236" s="10" t="str">
        <f>IFERROR(_xlfn.XLOOKUP(C2236,[1]ModifierDes!$B:$B,[1]ModifierDes!$A:$A),"")</f>
        <v/>
      </c>
      <c r="O2236" s="10">
        <f>IFERROR(_xlfn.XLOOKUP(C2236,[1]AttributeName!$C:$C,[1]AttributeName!$B:$B),"")</f>
        <v>10500</v>
      </c>
      <c r="P2236" s="10"/>
      <c r="Q2236">
        <v>0.2</v>
      </c>
      <c r="R2236">
        <v>0.25</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76"/>
        <v>1306</v>
      </c>
      <c r="B2237">
        <v>7</v>
      </c>
      <c r="C2237" t="s">
        <v>398</v>
      </c>
      <c r="D2237" t="s">
        <v>28</v>
      </c>
      <c r="E2237" t="s">
        <v>393</v>
      </c>
      <c r="G2237">
        <v>1</v>
      </c>
      <c r="H2237">
        <v>1000</v>
      </c>
      <c r="J2237" cm="1">
        <f t="array" ref="J2237">_xlfn.SWITCH(B2237,1,75,2,61,3,49,4,37,5,25,6,13,7,4,8,1)</f>
        <v>4</v>
      </c>
      <c r="K2237" t="str" cm="1">
        <f t="array" ref="K2237">IFERROR(_xlfn.SWITCH(L2237,1,_xlfn.XLOOKUP(C2237,[1]AttributeName!$C:$C,[1]AttributeName!$I:$I),2,_xlfn.XLOOKUP(C2237,[1]ModifierDes!$B:$B,[1]ModifierDes!$C:$C),3,_xlfn.XLOOKUP(C2237,[1]StuntDes!$B:$B,[1]StuntDes!$C:$C)),"")</f>
        <v>获得物理伤害{0}</v>
      </c>
      <c r="L2237">
        <f t="shared" si="177"/>
        <v>1</v>
      </c>
      <c r="M2237" s="10" t="str">
        <f>IFERROR(_xlfn.XLOOKUP(C2237,[1]StuntDes!$B:$B,[1]StuntDes!$A:$A),"")</f>
        <v/>
      </c>
      <c r="N2237" s="10" t="str">
        <f>IFERROR(_xlfn.XLOOKUP(C2237,[1]ModifierDes!$B:$B,[1]ModifierDes!$A:$A),"")</f>
        <v/>
      </c>
      <c r="O2237" s="10">
        <f>IFERROR(_xlfn.XLOOKUP(C2237,[1]AttributeName!$C:$C,[1]AttributeName!$B:$B),"")</f>
        <v>10500</v>
      </c>
      <c r="P2237" s="10"/>
      <c r="Q2237">
        <v>0.14</v>
      </c>
      <c r="R2237">
        <v>0.19</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76"/>
        <v>1306</v>
      </c>
      <c r="B2238">
        <v>8</v>
      </c>
      <c r="C2238" t="s">
        <v>398</v>
      </c>
      <c r="D2238" t="s">
        <v>28</v>
      </c>
      <c r="E2238" t="s">
        <v>393</v>
      </c>
      <c r="G2238">
        <v>1</v>
      </c>
      <c r="H2238">
        <v>1000</v>
      </c>
      <c r="J2238" cm="1">
        <f t="array" ref="J2238">_xlfn.SWITCH(B2238,1,75,2,61,3,49,4,37,5,25,6,13,7,4,8,1)</f>
        <v>1</v>
      </c>
      <c r="K2238" t="str" cm="1">
        <f t="array" ref="K2238">IFERROR(_xlfn.SWITCH(L2238,1,_xlfn.XLOOKUP(C2238,[1]AttributeName!$C:$C,[1]AttributeName!$I:$I),2,_xlfn.XLOOKUP(C2238,[1]ModifierDes!$B:$B,[1]ModifierDes!$C:$C),3,_xlfn.XLOOKUP(C2238,[1]StuntDes!$B:$B,[1]StuntDes!$C:$C)),"")</f>
        <v>获得物理伤害{0}</v>
      </c>
      <c r="L2238">
        <f t="shared" si="177"/>
        <v>1</v>
      </c>
      <c r="M2238" s="10" t="str">
        <f>IFERROR(_xlfn.XLOOKUP(C2238,[1]StuntDes!$B:$B,[1]StuntDes!$A:$A),"")</f>
        <v/>
      </c>
      <c r="N2238" s="10" t="str">
        <f>IFERROR(_xlfn.XLOOKUP(C2238,[1]ModifierDes!$B:$B,[1]ModifierDes!$A:$A),"")</f>
        <v/>
      </c>
      <c r="O2238" s="10">
        <f>IFERROR(_xlfn.XLOOKUP(C2238,[1]AttributeName!$C:$C,[1]AttributeName!$B:$B),"")</f>
        <v>10500</v>
      </c>
      <c r="P2238" s="10"/>
      <c r="Q2238">
        <v>0.08</v>
      </c>
      <c r="R2238">
        <v>0.13</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76"/>
        <v>1307</v>
      </c>
      <c r="B2239">
        <v>1</v>
      </c>
      <c r="C2239" t="s">
        <v>399</v>
      </c>
      <c r="D2239" t="s">
        <v>28</v>
      </c>
      <c r="E2239" t="s">
        <v>393</v>
      </c>
      <c r="G2239">
        <v>1</v>
      </c>
      <c r="H2239">
        <v>1000</v>
      </c>
      <c r="J2239" cm="1">
        <f t="array" ref="J2239">_xlfn.SWITCH(B2239,1,75,2,61,3,49,4,37,5,25,6,13,7,4,8,1)</f>
        <v>75</v>
      </c>
      <c r="K2239" t="str" cm="1">
        <f t="array" ref="K2239">IFERROR(_xlfn.SWITCH(L2239,1,_xlfn.XLOOKUP(C2239,[1]AttributeName!$C:$C,[1]AttributeName!$I:$I),2,_xlfn.XLOOKUP(C2239,[1]ModifierDes!$B:$B,[1]ModifierDes!$C:$C),3,_xlfn.XLOOKUP(C2239,[1]StuntDes!$B:$B,[1]StuntDes!$C:$C)),"")</f>
        <v>获得火焰伤害{0}</v>
      </c>
      <c r="L2239">
        <f t="shared" si="177"/>
        <v>1</v>
      </c>
      <c r="M2239" s="10" t="str">
        <f>IFERROR(_xlfn.XLOOKUP(C2239,[1]StuntDes!$B:$B,[1]StuntDes!$A:$A),"")</f>
        <v/>
      </c>
      <c r="N2239" s="10" t="str">
        <f>IFERROR(_xlfn.XLOOKUP(C2239,[1]ModifierDes!$B:$B,[1]ModifierDes!$A:$A),"")</f>
        <v/>
      </c>
      <c r="O2239" s="10">
        <f>IFERROR(_xlfn.XLOOKUP(C2239,[1]AttributeName!$C:$C,[1]AttributeName!$B:$B),"")</f>
        <v>10501</v>
      </c>
      <c r="P2239" s="10"/>
      <c r="Q2239">
        <v>0.47</v>
      </c>
      <c r="R2239">
        <v>0.66</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76"/>
        <v>1307</v>
      </c>
      <c r="B2240">
        <v>2</v>
      </c>
      <c r="C2240" t="s">
        <v>399</v>
      </c>
      <c r="D2240" t="s">
        <v>28</v>
      </c>
      <c r="E2240" t="s">
        <v>393</v>
      </c>
      <c r="G2240">
        <v>1</v>
      </c>
      <c r="H2240">
        <v>1000</v>
      </c>
      <c r="J2240" cm="1">
        <f t="array" ref="J2240">_xlfn.SWITCH(B2240,1,75,2,61,3,49,4,37,5,25,6,13,7,4,8,1)</f>
        <v>61</v>
      </c>
      <c r="K2240" t="str" cm="1">
        <f t="array" ref="K2240">IFERROR(_xlfn.SWITCH(L2240,1,_xlfn.XLOOKUP(C2240,[1]AttributeName!$C:$C,[1]AttributeName!$I:$I),2,_xlfn.XLOOKUP(C2240,[1]ModifierDes!$B:$B,[1]ModifierDes!$C:$C),3,_xlfn.XLOOKUP(C2240,[1]StuntDes!$B:$B,[1]StuntDes!$C:$C)),"")</f>
        <v>获得火焰伤害{0}</v>
      </c>
      <c r="L2240">
        <f t="shared" si="177"/>
        <v>1</v>
      </c>
      <c r="M2240" s="10" t="str">
        <f>IFERROR(_xlfn.XLOOKUP(C2240,[1]StuntDes!$B:$B,[1]StuntDes!$A:$A),"")</f>
        <v/>
      </c>
      <c r="N2240" s="10" t="str">
        <f>IFERROR(_xlfn.XLOOKUP(C2240,[1]ModifierDes!$B:$B,[1]ModifierDes!$A:$A),"")</f>
        <v/>
      </c>
      <c r="O2240" s="10">
        <f>IFERROR(_xlfn.XLOOKUP(C2240,[1]AttributeName!$C:$C,[1]AttributeName!$B:$B),"")</f>
        <v>10501</v>
      </c>
      <c r="P2240" s="10"/>
      <c r="Q2240">
        <v>0.41</v>
      </c>
      <c r="R2240">
        <v>0.46</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76"/>
        <v>1307</v>
      </c>
      <c r="B2241">
        <v>3</v>
      </c>
      <c r="C2241" t="s">
        <v>399</v>
      </c>
      <c r="D2241" t="s">
        <v>28</v>
      </c>
      <c r="E2241" t="s">
        <v>393</v>
      </c>
      <c r="G2241">
        <v>1</v>
      </c>
      <c r="H2241">
        <v>1000</v>
      </c>
      <c r="J2241" cm="1">
        <f t="array" ref="J2241">_xlfn.SWITCH(B2241,1,75,2,61,3,49,4,37,5,25,6,13,7,4,8,1)</f>
        <v>49</v>
      </c>
      <c r="K2241" t="str" cm="1">
        <f t="array" ref="K2241">IFERROR(_xlfn.SWITCH(L2241,1,_xlfn.XLOOKUP(C2241,[1]AttributeName!$C:$C,[1]AttributeName!$I:$I),2,_xlfn.XLOOKUP(C2241,[1]ModifierDes!$B:$B,[1]ModifierDes!$C:$C),3,_xlfn.XLOOKUP(C2241,[1]StuntDes!$B:$B,[1]StuntDes!$C:$C)),"")</f>
        <v>获得火焰伤害{0}</v>
      </c>
      <c r="L2241">
        <f t="shared" si="177"/>
        <v>1</v>
      </c>
      <c r="M2241" s="10" t="str">
        <f>IFERROR(_xlfn.XLOOKUP(C2241,[1]StuntDes!$B:$B,[1]StuntDes!$A:$A),"")</f>
        <v/>
      </c>
      <c r="N2241" s="10" t="str">
        <f>IFERROR(_xlfn.XLOOKUP(C2241,[1]ModifierDes!$B:$B,[1]ModifierDes!$A:$A),"")</f>
        <v/>
      </c>
      <c r="O2241" s="10">
        <f>IFERROR(_xlfn.XLOOKUP(C2241,[1]AttributeName!$C:$C,[1]AttributeName!$B:$B),"")</f>
        <v>10501</v>
      </c>
      <c r="P2241" s="10"/>
      <c r="Q2241">
        <v>0.36</v>
      </c>
      <c r="R2241">
        <v>0.4</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76"/>
        <v>1307</v>
      </c>
      <c r="B2242">
        <v>4</v>
      </c>
      <c r="C2242" t="s">
        <v>399</v>
      </c>
      <c r="D2242" t="s">
        <v>28</v>
      </c>
      <c r="E2242" t="s">
        <v>393</v>
      </c>
      <c r="G2242">
        <v>1</v>
      </c>
      <c r="H2242">
        <v>1000</v>
      </c>
      <c r="J2242" cm="1">
        <f t="array" ref="J2242">_xlfn.SWITCH(B2242,1,75,2,61,3,49,4,37,5,25,6,13,7,4,8,1)</f>
        <v>37</v>
      </c>
      <c r="K2242" t="str" cm="1">
        <f t="array" ref="K2242">IFERROR(_xlfn.SWITCH(L2242,1,_xlfn.XLOOKUP(C2242,[1]AttributeName!$C:$C,[1]AttributeName!$I:$I),2,_xlfn.XLOOKUP(C2242,[1]ModifierDes!$B:$B,[1]ModifierDes!$C:$C),3,_xlfn.XLOOKUP(C2242,[1]StuntDes!$B:$B,[1]StuntDes!$C:$C)),"")</f>
        <v>获得火焰伤害{0}</v>
      </c>
      <c r="L2242">
        <f t="shared" si="177"/>
        <v>1</v>
      </c>
      <c r="M2242" s="10" t="str">
        <f>IFERROR(_xlfn.XLOOKUP(C2242,[1]StuntDes!$B:$B,[1]StuntDes!$A:$A),"")</f>
        <v/>
      </c>
      <c r="N2242" s="10" t="str">
        <f>IFERROR(_xlfn.XLOOKUP(C2242,[1]ModifierDes!$B:$B,[1]ModifierDes!$A:$A),"")</f>
        <v/>
      </c>
      <c r="O2242" s="10">
        <f>IFERROR(_xlfn.XLOOKUP(C2242,[1]AttributeName!$C:$C,[1]AttributeName!$B:$B),"")</f>
        <v>10501</v>
      </c>
      <c r="P2242" s="10"/>
      <c r="Q2242">
        <v>0.3</v>
      </c>
      <c r="R2242">
        <v>0.35</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76"/>
        <v>1307</v>
      </c>
      <c r="B2243">
        <v>5</v>
      </c>
      <c r="C2243" t="s">
        <v>399</v>
      </c>
      <c r="D2243" t="s">
        <v>28</v>
      </c>
      <c r="E2243" t="s">
        <v>393</v>
      </c>
      <c r="G2243">
        <v>1</v>
      </c>
      <c r="H2243">
        <v>1000</v>
      </c>
      <c r="J2243" cm="1">
        <f t="array" ref="J2243">_xlfn.SWITCH(B2243,1,75,2,61,3,49,4,37,5,25,6,13,7,4,8,1)</f>
        <v>25</v>
      </c>
      <c r="K2243" t="str" cm="1">
        <f t="array" ref="K2243">IFERROR(_xlfn.SWITCH(L2243,1,_xlfn.XLOOKUP(C2243,[1]AttributeName!$C:$C,[1]AttributeName!$I:$I),2,_xlfn.XLOOKUP(C2243,[1]ModifierDes!$B:$B,[1]ModifierDes!$C:$C),3,_xlfn.XLOOKUP(C2243,[1]StuntDes!$B:$B,[1]StuntDes!$C:$C)),"")</f>
        <v>获得火焰伤害{0}</v>
      </c>
      <c r="L2243">
        <f t="shared" si="177"/>
        <v>1</v>
      </c>
      <c r="M2243" s="10" t="str">
        <f>IFERROR(_xlfn.XLOOKUP(C2243,[1]StuntDes!$B:$B,[1]StuntDes!$A:$A),"")</f>
        <v/>
      </c>
      <c r="N2243" s="10" t="str">
        <f>IFERROR(_xlfn.XLOOKUP(C2243,[1]ModifierDes!$B:$B,[1]ModifierDes!$A:$A),"")</f>
        <v/>
      </c>
      <c r="O2243" s="10">
        <f>IFERROR(_xlfn.XLOOKUP(C2243,[1]AttributeName!$C:$C,[1]AttributeName!$B:$B),"")</f>
        <v>10501</v>
      </c>
      <c r="P2243" s="10"/>
      <c r="Q2243">
        <v>0.24</v>
      </c>
      <c r="R2243">
        <v>0.29</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76"/>
        <v>1307</v>
      </c>
      <c r="B2244">
        <v>6</v>
      </c>
      <c r="C2244" t="s">
        <v>399</v>
      </c>
      <c r="D2244" t="s">
        <v>28</v>
      </c>
      <c r="E2244" t="s">
        <v>393</v>
      </c>
      <c r="G2244">
        <v>1</v>
      </c>
      <c r="H2244">
        <v>1000</v>
      </c>
      <c r="J2244" cm="1">
        <f t="array" ref="J2244">_xlfn.SWITCH(B2244,1,75,2,61,3,49,4,37,5,25,6,13,7,4,8,1)</f>
        <v>13</v>
      </c>
      <c r="K2244" t="str" cm="1">
        <f t="array" ref="K2244">IFERROR(_xlfn.SWITCH(L2244,1,_xlfn.XLOOKUP(C2244,[1]AttributeName!$C:$C,[1]AttributeName!$I:$I),2,_xlfn.XLOOKUP(C2244,[1]ModifierDes!$B:$B,[1]ModifierDes!$C:$C),3,_xlfn.XLOOKUP(C2244,[1]StuntDes!$B:$B,[1]StuntDes!$C:$C)),"")</f>
        <v>获得火焰伤害{0}</v>
      </c>
      <c r="L2244">
        <f t="shared" si="177"/>
        <v>1</v>
      </c>
      <c r="M2244" s="10" t="str">
        <f>IFERROR(_xlfn.XLOOKUP(C2244,[1]StuntDes!$B:$B,[1]StuntDes!$A:$A),"")</f>
        <v/>
      </c>
      <c r="N2244" s="10" t="str">
        <f>IFERROR(_xlfn.XLOOKUP(C2244,[1]ModifierDes!$B:$B,[1]ModifierDes!$A:$A),"")</f>
        <v/>
      </c>
      <c r="O2244" s="10">
        <f>IFERROR(_xlfn.XLOOKUP(C2244,[1]AttributeName!$C:$C,[1]AttributeName!$B:$B),"")</f>
        <v>10501</v>
      </c>
      <c r="P2244" s="10"/>
      <c r="Q2244">
        <v>0.19</v>
      </c>
      <c r="R2244">
        <v>0.23</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76"/>
        <v>1307</v>
      </c>
      <c r="B2245">
        <v>7</v>
      </c>
      <c r="C2245" t="s">
        <v>399</v>
      </c>
      <c r="D2245" t="s">
        <v>28</v>
      </c>
      <c r="E2245" t="s">
        <v>393</v>
      </c>
      <c r="G2245">
        <v>1</v>
      </c>
      <c r="H2245">
        <v>1000</v>
      </c>
      <c r="J2245" cm="1">
        <f t="array" ref="J2245">_xlfn.SWITCH(B2245,1,75,2,61,3,49,4,37,5,25,6,13,7,4,8,1)</f>
        <v>4</v>
      </c>
      <c r="K2245" t="str" cm="1">
        <f t="array" ref="K2245">IFERROR(_xlfn.SWITCH(L2245,1,_xlfn.XLOOKUP(C2245,[1]AttributeName!$C:$C,[1]AttributeName!$I:$I),2,_xlfn.XLOOKUP(C2245,[1]ModifierDes!$B:$B,[1]ModifierDes!$C:$C),3,_xlfn.XLOOKUP(C2245,[1]StuntDes!$B:$B,[1]StuntDes!$C:$C)),"")</f>
        <v>获得火焰伤害{0}</v>
      </c>
      <c r="L2245">
        <f t="shared" si="177"/>
        <v>1</v>
      </c>
      <c r="M2245" s="10" t="str">
        <f>IFERROR(_xlfn.XLOOKUP(C2245,[1]StuntDes!$B:$B,[1]StuntDes!$A:$A),"")</f>
        <v/>
      </c>
      <c r="N2245" s="10" t="str">
        <f>IFERROR(_xlfn.XLOOKUP(C2245,[1]ModifierDes!$B:$B,[1]ModifierDes!$A:$A),"")</f>
        <v/>
      </c>
      <c r="O2245" s="10">
        <f>IFERROR(_xlfn.XLOOKUP(C2245,[1]AttributeName!$C:$C,[1]AttributeName!$B:$B),"")</f>
        <v>10501</v>
      </c>
      <c r="P2245" s="10"/>
      <c r="Q2245">
        <v>0.13</v>
      </c>
      <c r="R2245">
        <v>0.18</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76"/>
        <v>1307</v>
      </c>
      <c r="B2246">
        <v>8</v>
      </c>
      <c r="C2246" t="s">
        <v>399</v>
      </c>
      <c r="D2246" t="s">
        <v>28</v>
      </c>
      <c r="E2246" t="s">
        <v>393</v>
      </c>
      <c r="G2246">
        <v>1</v>
      </c>
      <c r="H2246">
        <v>1000</v>
      </c>
      <c r="J2246" cm="1">
        <f t="array" ref="J2246">_xlfn.SWITCH(B2246,1,75,2,61,3,49,4,37,5,25,6,13,7,4,8,1)</f>
        <v>1</v>
      </c>
      <c r="K2246" t="str" cm="1">
        <f t="array" ref="K2246">IFERROR(_xlfn.SWITCH(L2246,1,_xlfn.XLOOKUP(C2246,[1]AttributeName!$C:$C,[1]AttributeName!$I:$I),2,_xlfn.XLOOKUP(C2246,[1]ModifierDes!$B:$B,[1]ModifierDes!$C:$C),3,_xlfn.XLOOKUP(C2246,[1]StuntDes!$B:$B,[1]StuntDes!$C:$C)),"")</f>
        <v>获得火焰伤害{0}</v>
      </c>
      <c r="L2246">
        <f t="shared" si="177"/>
        <v>1</v>
      </c>
      <c r="M2246" s="10" t="str">
        <f>IFERROR(_xlfn.XLOOKUP(C2246,[1]StuntDes!$B:$B,[1]StuntDes!$A:$A),"")</f>
        <v/>
      </c>
      <c r="N2246" s="10" t="str">
        <f>IFERROR(_xlfn.XLOOKUP(C2246,[1]ModifierDes!$B:$B,[1]ModifierDes!$A:$A),"")</f>
        <v/>
      </c>
      <c r="O2246" s="10">
        <f>IFERROR(_xlfn.XLOOKUP(C2246,[1]AttributeName!$C:$C,[1]AttributeName!$B:$B),"")</f>
        <v>10501</v>
      </c>
      <c r="P2246" s="10"/>
      <c r="Q2246">
        <v>0.07</v>
      </c>
      <c r="R2246">
        <v>0.12</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76"/>
        <v>1308</v>
      </c>
      <c r="B2247">
        <v>1</v>
      </c>
      <c r="C2247" t="s">
        <v>400</v>
      </c>
      <c r="D2247" t="s">
        <v>28</v>
      </c>
      <c r="E2247" t="s">
        <v>393</v>
      </c>
      <c r="G2247">
        <v>1</v>
      </c>
      <c r="H2247">
        <v>1000</v>
      </c>
      <c r="J2247" cm="1">
        <f t="array" ref="J2247">_xlfn.SWITCH(B2247,1,75,2,61,3,49,4,37,5,25,6,13,7,4,8,1)</f>
        <v>75</v>
      </c>
      <c r="K2247" t="str" cm="1">
        <f t="array" ref="K2247">IFERROR(_xlfn.SWITCH(L2247,1,_xlfn.XLOOKUP(C2247,[1]AttributeName!$C:$C,[1]AttributeName!$I:$I),2,_xlfn.XLOOKUP(C2247,[1]ModifierDes!$B:$B,[1]ModifierDes!$C:$C),3,_xlfn.XLOOKUP(C2247,[1]StuntDes!$B:$B,[1]StuntDes!$C:$C)),"")</f>
        <v>获得冰冷伤害{0}</v>
      </c>
      <c r="L2247">
        <f t="shared" si="177"/>
        <v>1</v>
      </c>
      <c r="M2247" s="10" t="str">
        <f>IFERROR(_xlfn.XLOOKUP(C2247,[1]StuntDes!$B:$B,[1]StuntDes!$A:$A),"")</f>
        <v/>
      </c>
      <c r="N2247" s="10" t="str">
        <f>IFERROR(_xlfn.XLOOKUP(C2247,[1]ModifierDes!$B:$B,[1]ModifierDes!$A:$A),"")</f>
        <v/>
      </c>
      <c r="O2247" s="10">
        <f>IFERROR(_xlfn.XLOOKUP(C2247,[1]AttributeName!$C:$C,[1]AttributeName!$B:$B),"")</f>
        <v>10502</v>
      </c>
      <c r="P2247" s="10"/>
      <c r="Q2247">
        <v>0.45</v>
      </c>
      <c r="R2247">
        <v>0.63</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76"/>
        <v>1308</v>
      </c>
      <c r="B2248">
        <v>2</v>
      </c>
      <c r="C2248" t="s">
        <v>400</v>
      </c>
      <c r="D2248" t="s">
        <v>28</v>
      </c>
      <c r="E2248" t="s">
        <v>393</v>
      </c>
      <c r="G2248">
        <v>1</v>
      </c>
      <c r="H2248">
        <v>1000</v>
      </c>
      <c r="J2248" cm="1">
        <f t="array" ref="J2248">_xlfn.SWITCH(B2248,1,75,2,61,3,49,4,37,5,25,6,13,7,4,8,1)</f>
        <v>61</v>
      </c>
      <c r="K2248" t="str" cm="1">
        <f t="array" ref="K2248">IFERROR(_xlfn.SWITCH(L2248,1,_xlfn.XLOOKUP(C2248,[1]AttributeName!$C:$C,[1]AttributeName!$I:$I),2,_xlfn.XLOOKUP(C2248,[1]ModifierDes!$B:$B,[1]ModifierDes!$C:$C),3,_xlfn.XLOOKUP(C2248,[1]StuntDes!$B:$B,[1]StuntDes!$C:$C)),"")</f>
        <v>获得冰冷伤害{0}</v>
      </c>
      <c r="L2248">
        <f t="shared" si="177"/>
        <v>1</v>
      </c>
      <c r="M2248" s="10" t="str">
        <f>IFERROR(_xlfn.XLOOKUP(C2248,[1]StuntDes!$B:$B,[1]StuntDes!$A:$A),"")</f>
        <v/>
      </c>
      <c r="N2248" s="10" t="str">
        <f>IFERROR(_xlfn.XLOOKUP(C2248,[1]ModifierDes!$B:$B,[1]ModifierDes!$A:$A),"")</f>
        <v/>
      </c>
      <c r="O2248" s="10">
        <f>IFERROR(_xlfn.XLOOKUP(C2248,[1]AttributeName!$C:$C,[1]AttributeName!$B:$B),"")</f>
        <v>10502</v>
      </c>
      <c r="P2248" s="10"/>
      <c r="Q2248">
        <v>0.39</v>
      </c>
      <c r="R2248">
        <v>0.44</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76"/>
        <v>1308</v>
      </c>
      <c r="B2249">
        <v>3</v>
      </c>
      <c r="C2249" t="s">
        <v>400</v>
      </c>
      <c r="D2249" t="s">
        <v>28</v>
      </c>
      <c r="E2249" t="s">
        <v>393</v>
      </c>
      <c r="G2249">
        <v>1</v>
      </c>
      <c r="H2249">
        <v>1000</v>
      </c>
      <c r="J2249" cm="1">
        <f t="array" ref="J2249">_xlfn.SWITCH(B2249,1,75,2,61,3,49,4,37,5,25,6,13,7,4,8,1)</f>
        <v>49</v>
      </c>
      <c r="K2249" t="str" cm="1">
        <f t="array" ref="K2249">IFERROR(_xlfn.SWITCH(L2249,1,_xlfn.XLOOKUP(C2249,[1]AttributeName!$C:$C,[1]AttributeName!$I:$I),2,_xlfn.XLOOKUP(C2249,[1]ModifierDes!$B:$B,[1]ModifierDes!$C:$C),3,_xlfn.XLOOKUP(C2249,[1]StuntDes!$B:$B,[1]StuntDes!$C:$C)),"")</f>
        <v>获得冰冷伤害{0}</v>
      </c>
      <c r="L2249">
        <f t="shared" si="177"/>
        <v>1</v>
      </c>
      <c r="M2249" s="10" t="str">
        <f>IFERROR(_xlfn.XLOOKUP(C2249,[1]StuntDes!$B:$B,[1]StuntDes!$A:$A),"")</f>
        <v/>
      </c>
      <c r="N2249" s="10" t="str">
        <f>IFERROR(_xlfn.XLOOKUP(C2249,[1]ModifierDes!$B:$B,[1]ModifierDes!$A:$A),"")</f>
        <v/>
      </c>
      <c r="O2249" s="10">
        <f>IFERROR(_xlfn.XLOOKUP(C2249,[1]AttributeName!$C:$C,[1]AttributeName!$B:$B),"")</f>
        <v>10502</v>
      </c>
      <c r="P2249" s="10"/>
      <c r="Q2249">
        <v>0.34</v>
      </c>
      <c r="R2249">
        <v>0.38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76"/>
        <v>1308</v>
      </c>
      <c r="B2250">
        <v>4</v>
      </c>
      <c r="C2250" t="s">
        <v>400</v>
      </c>
      <c r="D2250" t="s">
        <v>28</v>
      </c>
      <c r="E2250" t="s">
        <v>393</v>
      </c>
      <c r="G2250">
        <v>1</v>
      </c>
      <c r="H2250">
        <v>1000</v>
      </c>
      <c r="J2250" cm="1">
        <f t="array" ref="J2250">_xlfn.SWITCH(B2250,1,75,2,61,3,49,4,37,5,25,6,13,7,4,8,1)</f>
        <v>37</v>
      </c>
      <c r="K2250" t="str" cm="1">
        <f t="array" ref="K2250">IFERROR(_xlfn.SWITCH(L2250,1,_xlfn.XLOOKUP(C2250,[1]AttributeName!$C:$C,[1]AttributeName!$I:$I),2,_xlfn.XLOOKUP(C2250,[1]ModifierDes!$B:$B,[1]ModifierDes!$C:$C),3,_xlfn.XLOOKUP(C2250,[1]StuntDes!$B:$B,[1]StuntDes!$C:$C)),"")</f>
        <v>获得冰冷伤害{0}</v>
      </c>
      <c r="L2250">
        <f t="shared" si="177"/>
        <v>1</v>
      </c>
      <c r="M2250" s="10" t="str">
        <f>IFERROR(_xlfn.XLOOKUP(C2250,[1]StuntDes!$B:$B,[1]StuntDes!$A:$A),"")</f>
        <v/>
      </c>
      <c r="N2250" s="10" t="str">
        <f>IFERROR(_xlfn.XLOOKUP(C2250,[1]ModifierDes!$B:$B,[1]ModifierDes!$A:$A),"")</f>
        <v/>
      </c>
      <c r="O2250" s="10">
        <f>IFERROR(_xlfn.XLOOKUP(C2250,[1]AttributeName!$C:$C,[1]AttributeName!$B:$B),"")</f>
        <v>10502</v>
      </c>
      <c r="P2250" s="10"/>
      <c r="Q2250">
        <v>0.28</v>
      </c>
      <c r="R2250">
        <v>0.33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76"/>
        <v>1308</v>
      </c>
      <c r="B2251">
        <v>5</v>
      </c>
      <c r="C2251" t="s">
        <v>400</v>
      </c>
      <c r="D2251" t="s">
        <v>28</v>
      </c>
      <c r="E2251" t="s">
        <v>393</v>
      </c>
      <c r="G2251">
        <v>1</v>
      </c>
      <c r="H2251">
        <v>1000</v>
      </c>
      <c r="J2251" cm="1">
        <f t="array" ref="J2251">_xlfn.SWITCH(B2251,1,75,2,61,3,49,4,37,5,25,6,13,7,4,8,1)</f>
        <v>25</v>
      </c>
      <c r="K2251" t="str" cm="1">
        <f t="array" ref="K2251">IFERROR(_xlfn.SWITCH(L2251,1,_xlfn.XLOOKUP(C2251,[1]AttributeName!$C:$C,[1]AttributeName!$I:$I),2,_xlfn.XLOOKUP(C2251,[1]ModifierDes!$B:$B,[1]ModifierDes!$C:$C),3,_xlfn.XLOOKUP(C2251,[1]StuntDes!$B:$B,[1]StuntDes!$C:$C)),"")</f>
        <v>获得冰冷伤害{0}</v>
      </c>
      <c r="L2251">
        <f t="shared" si="177"/>
        <v>1</v>
      </c>
      <c r="M2251" s="10" t="str">
        <f>IFERROR(_xlfn.XLOOKUP(C2251,[1]StuntDes!$B:$B,[1]StuntDes!$A:$A),"")</f>
        <v/>
      </c>
      <c r="N2251" s="10" t="str">
        <f>IFERROR(_xlfn.XLOOKUP(C2251,[1]ModifierDes!$B:$B,[1]ModifierDes!$A:$A),"")</f>
        <v/>
      </c>
      <c r="O2251" s="10">
        <f>IFERROR(_xlfn.XLOOKUP(C2251,[1]AttributeName!$C:$C,[1]AttributeName!$B:$B),"")</f>
        <v>10502</v>
      </c>
      <c r="P2251" s="10"/>
      <c r="Q2251">
        <v>0.23</v>
      </c>
      <c r="R2251">
        <v>0.27</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76"/>
        <v>1308</v>
      </c>
      <c r="B2252">
        <v>6</v>
      </c>
      <c r="C2252" t="s">
        <v>400</v>
      </c>
      <c r="D2252" t="s">
        <v>28</v>
      </c>
      <c r="E2252" t="s">
        <v>393</v>
      </c>
      <c r="G2252">
        <v>1</v>
      </c>
      <c r="H2252">
        <v>1000</v>
      </c>
      <c r="J2252" cm="1">
        <f t="array" ref="J2252">_xlfn.SWITCH(B2252,1,75,2,61,3,49,4,37,5,25,6,13,7,4,8,1)</f>
        <v>13</v>
      </c>
      <c r="K2252" t="str" cm="1">
        <f t="array" ref="K2252">IFERROR(_xlfn.SWITCH(L2252,1,_xlfn.XLOOKUP(C2252,[1]AttributeName!$C:$C,[1]AttributeName!$I:$I),2,_xlfn.XLOOKUP(C2252,[1]ModifierDes!$B:$B,[1]ModifierDes!$C:$C),3,_xlfn.XLOOKUP(C2252,[1]StuntDes!$B:$B,[1]StuntDes!$C:$C)),"")</f>
        <v>获得冰冷伤害{0}</v>
      </c>
      <c r="L2252">
        <f t="shared" si="177"/>
        <v>1</v>
      </c>
      <c r="M2252" s="10" t="str">
        <f>IFERROR(_xlfn.XLOOKUP(C2252,[1]StuntDes!$B:$B,[1]StuntDes!$A:$A),"")</f>
        <v/>
      </c>
      <c r="N2252" s="10" t="str">
        <f>IFERROR(_xlfn.XLOOKUP(C2252,[1]ModifierDes!$B:$B,[1]ModifierDes!$A:$A),"")</f>
        <v/>
      </c>
      <c r="O2252" s="10">
        <f>IFERROR(_xlfn.XLOOKUP(C2252,[1]AttributeName!$C:$C,[1]AttributeName!$B:$B),"")</f>
        <v>10502</v>
      </c>
      <c r="P2252" s="10"/>
      <c r="Q2252">
        <v>0.18</v>
      </c>
      <c r="R2252">
        <v>0.22</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76"/>
        <v>1308</v>
      </c>
      <c r="B2253">
        <v>7</v>
      </c>
      <c r="C2253" t="s">
        <v>400</v>
      </c>
      <c r="D2253" t="s">
        <v>28</v>
      </c>
      <c r="E2253" t="s">
        <v>393</v>
      </c>
      <c r="G2253">
        <v>1</v>
      </c>
      <c r="H2253">
        <v>1000</v>
      </c>
      <c r="J2253" cm="1">
        <f t="array" ref="J2253">_xlfn.SWITCH(B2253,1,75,2,61,3,49,4,37,5,25,6,13,7,4,8,1)</f>
        <v>4</v>
      </c>
      <c r="K2253" t="str" cm="1">
        <f t="array" ref="K2253">IFERROR(_xlfn.SWITCH(L2253,1,_xlfn.XLOOKUP(C2253,[1]AttributeName!$C:$C,[1]AttributeName!$I:$I),2,_xlfn.XLOOKUP(C2253,[1]ModifierDes!$B:$B,[1]ModifierDes!$C:$C),3,_xlfn.XLOOKUP(C2253,[1]StuntDes!$B:$B,[1]StuntDes!$C:$C)),"")</f>
        <v>获得冰冷伤害{0}</v>
      </c>
      <c r="L2253">
        <f t="shared" si="177"/>
        <v>1</v>
      </c>
      <c r="M2253" s="10" t="str">
        <f>IFERROR(_xlfn.XLOOKUP(C2253,[1]StuntDes!$B:$B,[1]StuntDes!$A:$A),"")</f>
        <v/>
      </c>
      <c r="N2253" s="10" t="str">
        <f>IFERROR(_xlfn.XLOOKUP(C2253,[1]ModifierDes!$B:$B,[1]ModifierDes!$A:$A),"")</f>
        <v/>
      </c>
      <c r="O2253" s="10">
        <f>IFERROR(_xlfn.XLOOKUP(C2253,[1]AttributeName!$C:$C,[1]AttributeName!$B:$B),"")</f>
        <v>10502</v>
      </c>
      <c r="P2253" s="10"/>
      <c r="Q2253">
        <v>0.12</v>
      </c>
      <c r="R2253">
        <v>0.17</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si="176"/>
        <v>1308</v>
      </c>
      <c r="B2254">
        <v>8</v>
      </c>
      <c r="C2254" t="s">
        <v>400</v>
      </c>
      <c r="D2254" t="s">
        <v>28</v>
      </c>
      <c r="E2254" t="s">
        <v>393</v>
      </c>
      <c r="G2254">
        <v>1</v>
      </c>
      <c r="H2254">
        <v>1000</v>
      </c>
      <c r="J2254" cm="1">
        <f t="array" ref="J2254">_xlfn.SWITCH(B2254,1,75,2,61,3,49,4,37,5,25,6,13,7,4,8,1)</f>
        <v>1</v>
      </c>
      <c r="K2254" t="str" cm="1">
        <f t="array" ref="K2254">IFERROR(_xlfn.SWITCH(L2254,1,_xlfn.XLOOKUP(C2254,[1]AttributeName!$C:$C,[1]AttributeName!$I:$I),2,_xlfn.XLOOKUP(C2254,[1]ModifierDes!$B:$B,[1]ModifierDes!$C:$C),3,_xlfn.XLOOKUP(C2254,[1]StuntDes!$B:$B,[1]StuntDes!$C:$C)),"")</f>
        <v>获得冰冷伤害{0}</v>
      </c>
      <c r="L2254">
        <f t="shared" si="177"/>
        <v>1</v>
      </c>
      <c r="M2254" s="10" t="str">
        <f>IFERROR(_xlfn.XLOOKUP(C2254,[1]StuntDes!$B:$B,[1]StuntDes!$A:$A),"")</f>
        <v/>
      </c>
      <c r="N2254" s="10" t="str">
        <f>IFERROR(_xlfn.XLOOKUP(C2254,[1]ModifierDes!$B:$B,[1]ModifierDes!$A:$A),"")</f>
        <v/>
      </c>
      <c r="O2254" s="10">
        <f>IFERROR(_xlfn.XLOOKUP(C2254,[1]AttributeName!$C:$C,[1]AttributeName!$B:$B),"")</f>
        <v>10502</v>
      </c>
      <c r="P2254" s="10"/>
      <c r="Q2254">
        <v>0.07</v>
      </c>
      <c r="R2254">
        <v>0.11</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76"/>
        <v>1309</v>
      </c>
      <c r="B2255">
        <v>1</v>
      </c>
      <c r="C2255" t="s">
        <v>401</v>
      </c>
      <c r="D2255" t="s">
        <v>28</v>
      </c>
      <c r="E2255" t="s">
        <v>393</v>
      </c>
      <c r="G2255">
        <v>1</v>
      </c>
      <c r="H2255">
        <v>1000</v>
      </c>
      <c r="J2255" cm="1">
        <f t="array" ref="J2255">_xlfn.SWITCH(B2255,1,75,2,61,3,49,4,37,5,25,6,13,7,4,8,1)</f>
        <v>75</v>
      </c>
      <c r="K2255" t="str" cm="1">
        <f t="array" ref="K2255">IFERROR(_xlfn.SWITCH(L2255,1,_xlfn.XLOOKUP(C2255,[1]AttributeName!$C:$C,[1]AttributeName!$I:$I),2,_xlfn.XLOOKUP(C2255,[1]ModifierDes!$B:$B,[1]ModifierDes!$C:$C),3,_xlfn.XLOOKUP(C2255,[1]StuntDes!$B:$B,[1]StuntDes!$C:$C)),"")</f>
        <v>获得闪电伤害{0}</v>
      </c>
      <c r="L2255">
        <f t="shared" si="177"/>
        <v>1</v>
      </c>
      <c r="M2255" s="10" t="str">
        <f>IFERROR(_xlfn.XLOOKUP(C2255,[1]StuntDes!$B:$B,[1]StuntDes!$A:$A),"")</f>
        <v/>
      </c>
      <c r="N2255" s="10" t="str">
        <f>IFERROR(_xlfn.XLOOKUP(C2255,[1]ModifierDes!$B:$B,[1]ModifierDes!$A:$A),"")</f>
        <v/>
      </c>
      <c r="O2255" s="10">
        <f>IFERROR(_xlfn.XLOOKUP(C2255,[1]AttributeName!$C:$C,[1]AttributeName!$B:$B),"")</f>
        <v>10503</v>
      </c>
      <c r="P2255" s="10"/>
      <c r="Q2255">
        <v>0.42</v>
      </c>
      <c r="R2255">
        <v>0.59</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76"/>
        <v>1309</v>
      </c>
      <c r="B2256">
        <v>2</v>
      </c>
      <c r="C2256" t="s">
        <v>401</v>
      </c>
      <c r="D2256" t="s">
        <v>28</v>
      </c>
      <c r="E2256" t="s">
        <v>393</v>
      </c>
      <c r="G2256">
        <v>1</v>
      </c>
      <c r="H2256">
        <v>1000</v>
      </c>
      <c r="J2256" cm="1">
        <f t="array" ref="J2256">_xlfn.SWITCH(B2256,1,75,2,61,3,49,4,37,5,25,6,13,7,4,8,1)</f>
        <v>61</v>
      </c>
      <c r="K2256" t="str" cm="1">
        <f t="array" ref="K2256">IFERROR(_xlfn.SWITCH(L2256,1,_xlfn.XLOOKUP(C2256,[1]AttributeName!$C:$C,[1]AttributeName!$I:$I),2,_xlfn.XLOOKUP(C2256,[1]ModifierDes!$B:$B,[1]ModifierDes!$C:$C),3,_xlfn.XLOOKUP(C2256,[1]StuntDes!$B:$B,[1]StuntDes!$C:$C)),"")</f>
        <v>获得闪电伤害{0}</v>
      </c>
      <c r="L2256">
        <f t="shared" si="177"/>
        <v>1</v>
      </c>
      <c r="M2256" s="10" t="str">
        <f>IFERROR(_xlfn.XLOOKUP(C2256,[1]StuntDes!$B:$B,[1]StuntDes!$A:$A),"")</f>
        <v/>
      </c>
      <c r="N2256" s="10" t="str">
        <f>IFERROR(_xlfn.XLOOKUP(C2256,[1]ModifierDes!$B:$B,[1]ModifierDes!$A:$A),"")</f>
        <v/>
      </c>
      <c r="O2256" s="10">
        <f>IFERROR(_xlfn.XLOOKUP(C2256,[1]AttributeName!$C:$C,[1]AttributeName!$B:$B),"")</f>
        <v>10503</v>
      </c>
      <c r="P2256" s="10"/>
      <c r="Q2256">
        <v>0.37</v>
      </c>
      <c r="R2256">
        <v>0.41</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76"/>
        <v>1309</v>
      </c>
      <c r="B2257">
        <v>3</v>
      </c>
      <c r="C2257" t="s">
        <v>401</v>
      </c>
      <c r="D2257" t="s">
        <v>28</v>
      </c>
      <c r="E2257" t="s">
        <v>393</v>
      </c>
      <c r="G2257">
        <v>1</v>
      </c>
      <c r="H2257">
        <v>1000</v>
      </c>
      <c r="J2257" cm="1">
        <f t="array" ref="J2257">_xlfn.SWITCH(B2257,1,75,2,61,3,49,4,37,5,25,6,13,7,4,8,1)</f>
        <v>49</v>
      </c>
      <c r="K2257" t="str" cm="1">
        <f t="array" ref="K2257">IFERROR(_xlfn.SWITCH(L2257,1,_xlfn.XLOOKUP(C2257,[1]AttributeName!$C:$C,[1]AttributeName!$I:$I),2,_xlfn.XLOOKUP(C2257,[1]ModifierDes!$B:$B,[1]ModifierDes!$C:$C),3,_xlfn.XLOOKUP(C2257,[1]StuntDes!$B:$B,[1]StuntDes!$C:$C)),"")</f>
        <v>获得闪电伤害{0}</v>
      </c>
      <c r="L2257">
        <f t="shared" si="177"/>
        <v>1</v>
      </c>
      <c r="M2257" s="10" t="str">
        <f>IFERROR(_xlfn.XLOOKUP(C2257,[1]StuntDes!$B:$B,[1]StuntDes!$A:$A),"")</f>
        <v/>
      </c>
      <c r="N2257" s="10" t="str">
        <f>IFERROR(_xlfn.XLOOKUP(C2257,[1]ModifierDes!$B:$B,[1]ModifierDes!$A:$A),"")</f>
        <v/>
      </c>
      <c r="O2257" s="10">
        <f>IFERROR(_xlfn.XLOOKUP(C2257,[1]AttributeName!$C:$C,[1]AttributeName!$B:$B),"")</f>
        <v>10503</v>
      </c>
      <c r="P2257" s="10"/>
      <c r="Q2257">
        <v>0.32</v>
      </c>
      <c r="R2257">
        <v>0.36</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76"/>
        <v>1309</v>
      </c>
      <c r="B2258">
        <v>4</v>
      </c>
      <c r="C2258" t="s">
        <v>401</v>
      </c>
      <c r="D2258" t="s">
        <v>28</v>
      </c>
      <c r="E2258" t="s">
        <v>393</v>
      </c>
      <c r="G2258">
        <v>1</v>
      </c>
      <c r="H2258">
        <v>1000</v>
      </c>
      <c r="J2258" cm="1">
        <f t="array" ref="J2258">_xlfn.SWITCH(B2258,1,75,2,61,3,49,4,37,5,25,6,13,7,4,8,1)</f>
        <v>37</v>
      </c>
      <c r="K2258" t="str" cm="1">
        <f t="array" ref="K2258">IFERROR(_xlfn.SWITCH(L2258,1,_xlfn.XLOOKUP(C2258,[1]AttributeName!$C:$C,[1]AttributeName!$I:$I),2,_xlfn.XLOOKUP(C2258,[1]ModifierDes!$B:$B,[1]ModifierDes!$C:$C),3,_xlfn.XLOOKUP(C2258,[1]StuntDes!$B:$B,[1]StuntDes!$C:$C)),"")</f>
        <v>获得闪电伤害{0}</v>
      </c>
      <c r="L2258">
        <f t="shared" si="177"/>
        <v>1</v>
      </c>
      <c r="M2258" s="10" t="str">
        <f>IFERROR(_xlfn.XLOOKUP(C2258,[1]StuntDes!$B:$B,[1]StuntDes!$A:$A),"")</f>
        <v/>
      </c>
      <c r="N2258" s="10" t="str">
        <f>IFERROR(_xlfn.XLOOKUP(C2258,[1]ModifierDes!$B:$B,[1]ModifierDes!$A:$A),"")</f>
        <v/>
      </c>
      <c r="O2258" s="10">
        <f>IFERROR(_xlfn.XLOOKUP(C2258,[1]AttributeName!$C:$C,[1]AttributeName!$B:$B),"")</f>
        <v>10503</v>
      </c>
      <c r="P2258" s="10"/>
      <c r="Q2258">
        <v>0.27</v>
      </c>
      <c r="R2258">
        <v>0.31</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76"/>
        <v>1309</v>
      </c>
      <c r="B2259">
        <v>5</v>
      </c>
      <c r="C2259" t="s">
        <v>401</v>
      </c>
      <c r="D2259" t="s">
        <v>28</v>
      </c>
      <c r="E2259" t="s">
        <v>393</v>
      </c>
      <c r="G2259">
        <v>1</v>
      </c>
      <c r="H2259">
        <v>1000</v>
      </c>
      <c r="J2259" cm="1">
        <f t="array" ref="J2259">_xlfn.SWITCH(B2259,1,75,2,61,3,49,4,37,5,25,6,13,7,4,8,1)</f>
        <v>25</v>
      </c>
      <c r="K2259" t="str" cm="1">
        <f t="array" ref="K2259">IFERROR(_xlfn.SWITCH(L2259,1,_xlfn.XLOOKUP(C2259,[1]AttributeName!$C:$C,[1]AttributeName!$I:$I),2,_xlfn.XLOOKUP(C2259,[1]ModifierDes!$B:$B,[1]ModifierDes!$C:$C),3,_xlfn.XLOOKUP(C2259,[1]StuntDes!$B:$B,[1]StuntDes!$C:$C)),"")</f>
        <v>获得闪电伤害{0}</v>
      </c>
      <c r="L2259">
        <f t="shared" si="177"/>
        <v>1</v>
      </c>
      <c r="M2259" s="10" t="str">
        <f>IFERROR(_xlfn.XLOOKUP(C2259,[1]StuntDes!$B:$B,[1]StuntDes!$A:$A),"")</f>
        <v/>
      </c>
      <c r="N2259" s="10" t="str">
        <f>IFERROR(_xlfn.XLOOKUP(C2259,[1]ModifierDes!$B:$B,[1]ModifierDes!$A:$A),"")</f>
        <v/>
      </c>
      <c r="O2259" s="10">
        <f>IFERROR(_xlfn.XLOOKUP(C2259,[1]AttributeName!$C:$C,[1]AttributeName!$B:$B),"")</f>
        <v>10503</v>
      </c>
      <c r="P2259" s="10"/>
      <c r="Q2259">
        <v>0.22</v>
      </c>
      <c r="R2259">
        <v>0.26</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76"/>
        <v>1309</v>
      </c>
      <c r="B2260">
        <v>6</v>
      </c>
      <c r="C2260" t="s">
        <v>401</v>
      </c>
      <c r="D2260" t="s">
        <v>28</v>
      </c>
      <c r="E2260" t="s">
        <v>393</v>
      </c>
      <c r="G2260">
        <v>1</v>
      </c>
      <c r="H2260">
        <v>1000</v>
      </c>
      <c r="J2260" cm="1">
        <f t="array" ref="J2260">_xlfn.SWITCH(B2260,1,75,2,61,3,49,4,37,5,25,6,13,7,4,8,1)</f>
        <v>13</v>
      </c>
      <c r="K2260" t="str" cm="1">
        <f t="array" ref="K2260">IFERROR(_xlfn.SWITCH(L2260,1,_xlfn.XLOOKUP(C2260,[1]AttributeName!$C:$C,[1]AttributeName!$I:$I),2,_xlfn.XLOOKUP(C2260,[1]ModifierDes!$B:$B,[1]ModifierDes!$C:$C),3,_xlfn.XLOOKUP(C2260,[1]StuntDes!$B:$B,[1]StuntDes!$C:$C)),"")</f>
        <v>获得闪电伤害{0}</v>
      </c>
      <c r="L2260">
        <f t="shared" si="177"/>
        <v>1</v>
      </c>
      <c r="M2260" s="10" t="str">
        <f>IFERROR(_xlfn.XLOOKUP(C2260,[1]StuntDes!$B:$B,[1]StuntDes!$A:$A),"")</f>
        <v/>
      </c>
      <c r="N2260" s="10" t="str">
        <f>IFERROR(_xlfn.XLOOKUP(C2260,[1]ModifierDes!$B:$B,[1]ModifierDes!$A:$A),"")</f>
        <v/>
      </c>
      <c r="O2260" s="10">
        <f>IFERROR(_xlfn.XLOOKUP(C2260,[1]AttributeName!$C:$C,[1]AttributeName!$B:$B),"")</f>
        <v>10503</v>
      </c>
      <c r="P2260" s="10"/>
      <c r="Q2260">
        <v>0.17</v>
      </c>
      <c r="R2260">
        <v>0.21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76"/>
        <v>1309</v>
      </c>
      <c r="B2261">
        <v>7</v>
      </c>
      <c r="C2261" t="s">
        <v>401</v>
      </c>
      <c r="D2261" t="s">
        <v>28</v>
      </c>
      <c r="E2261" t="s">
        <v>393</v>
      </c>
      <c r="G2261">
        <v>1</v>
      </c>
      <c r="H2261">
        <v>1000</v>
      </c>
      <c r="J2261" cm="1">
        <f t="array" ref="J2261">_xlfn.SWITCH(B2261,1,75,2,61,3,49,4,37,5,25,6,13,7,4,8,1)</f>
        <v>4</v>
      </c>
      <c r="K2261" t="str" cm="1">
        <f t="array" ref="K2261">IFERROR(_xlfn.SWITCH(L2261,1,_xlfn.XLOOKUP(C2261,[1]AttributeName!$C:$C,[1]AttributeName!$I:$I),2,_xlfn.XLOOKUP(C2261,[1]ModifierDes!$B:$B,[1]ModifierDes!$C:$C),3,_xlfn.XLOOKUP(C2261,[1]StuntDes!$B:$B,[1]StuntDes!$C:$C)),"")</f>
        <v>获得闪电伤害{0}</v>
      </c>
      <c r="L2261">
        <f t="shared" si="177"/>
        <v>1</v>
      </c>
      <c r="M2261" s="10" t="str">
        <f>IFERROR(_xlfn.XLOOKUP(C2261,[1]StuntDes!$B:$B,[1]StuntDes!$A:$A),"")</f>
        <v/>
      </c>
      <c r="N2261" s="10" t="str">
        <f>IFERROR(_xlfn.XLOOKUP(C2261,[1]ModifierDes!$B:$B,[1]ModifierDes!$A:$A),"")</f>
        <v/>
      </c>
      <c r="O2261" s="10">
        <f>IFERROR(_xlfn.XLOOKUP(C2261,[1]AttributeName!$C:$C,[1]AttributeName!$B:$B),"")</f>
        <v>10503</v>
      </c>
      <c r="P2261" s="10"/>
      <c r="Q2261">
        <v>0.11</v>
      </c>
      <c r="R2261">
        <v>0.16</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76"/>
        <v>1309</v>
      </c>
      <c r="B2262">
        <v>8</v>
      </c>
      <c r="C2262" t="s">
        <v>401</v>
      </c>
      <c r="D2262" t="s">
        <v>28</v>
      </c>
      <c r="E2262" t="s">
        <v>393</v>
      </c>
      <c r="G2262">
        <v>1</v>
      </c>
      <c r="H2262">
        <v>1000</v>
      </c>
      <c r="J2262" cm="1">
        <f t="array" ref="J2262">_xlfn.SWITCH(B2262,1,75,2,61,3,49,4,37,5,25,6,13,7,4,8,1)</f>
        <v>1</v>
      </c>
      <c r="K2262" t="str" cm="1">
        <f t="array" ref="K2262">IFERROR(_xlfn.SWITCH(L2262,1,_xlfn.XLOOKUP(C2262,[1]AttributeName!$C:$C,[1]AttributeName!$I:$I),2,_xlfn.XLOOKUP(C2262,[1]ModifierDes!$B:$B,[1]ModifierDes!$C:$C),3,_xlfn.XLOOKUP(C2262,[1]StuntDes!$B:$B,[1]StuntDes!$C:$C)),"")</f>
        <v>获得闪电伤害{0}</v>
      </c>
      <c r="L2262">
        <f t="shared" si="177"/>
        <v>1</v>
      </c>
      <c r="M2262" s="10" t="str">
        <f>IFERROR(_xlfn.XLOOKUP(C2262,[1]StuntDes!$B:$B,[1]StuntDes!$A:$A),"")</f>
        <v/>
      </c>
      <c r="N2262" s="10" t="str">
        <f>IFERROR(_xlfn.XLOOKUP(C2262,[1]ModifierDes!$B:$B,[1]ModifierDes!$A:$A),"")</f>
        <v/>
      </c>
      <c r="O2262" s="10">
        <f>IFERROR(_xlfn.XLOOKUP(C2262,[1]AttributeName!$C:$C,[1]AttributeName!$B:$B),"")</f>
        <v>10503</v>
      </c>
      <c r="P2262" s="10"/>
      <c r="Q2262">
        <v>0.06</v>
      </c>
      <c r="R2262">
        <v>0.11</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ref="A2263:A2318" si="178">A2255+1</f>
        <v>1310</v>
      </c>
      <c r="B2263">
        <v>1</v>
      </c>
      <c r="C2263" t="s">
        <v>402</v>
      </c>
      <c r="D2263" t="s">
        <v>28</v>
      </c>
      <c r="E2263" t="s">
        <v>393</v>
      </c>
      <c r="G2263">
        <v>1</v>
      </c>
      <c r="H2263">
        <v>1000</v>
      </c>
      <c r="J2263" cm="1">
        <f t="array" ref="J2263">_xlfn.SWITCH(B2263,1,75,2,61,3,49,4,37,5,25,6,13,7,4,8,1)</f>
        <v>75</v>
      </c>
      <c r="K2263" t="str" cm="1">
        <f t="array" ref="K2263">IFERROR(_xlfn.SWITCH(L2263,1,_xlfn.XLOOKUP(C2263,[1]AttributeName!$C:$C,[1]AttributeName!$I:$I),2,_xlfn.XLOOKUP(C2263,[1]ModifierDes!$B:$B,[1]ModifierDes!$C:$C),3,_xlfn.XLOOKUP(C2263,[1]StuntDes!$B:$B,[1]StuntDes!$C:$C)),"")</f>
        <v>获得混沌伤害{0}</v>
      </c>
      <c r="L2263">
        <f t="shared" si="177"/>
        <v>1</v>
      </c>
      <c r="M2263" s="10" t="str">
        <f>IFERROR(_xlfn.XLOOKUP(C2263,[1]StuntDes!$B:$B,[1]StuntDes!$A:$A),"")</f>
        <v/>
      </c>
      <c r="N2263" s="10" t="str">
        <f>IFERROR(_xlfn.XLOOKUP(C2263,[1]ModifierDes!$B:$B,[1]ModifierDes!$A:$A),"")</f>
        <v/>
      </c>
      <c r="O2263" s="10">
        <f>IFERROR(_xlfn.XLOOKUP(C2263,[1]AttributeName!$C:$C,[1]AttributeName!$B:$B),"")</f>
        <v>10504</v>
      </c>
      <c r="P2263" s="10"/>
      <c r="Q2263">
        <v>0.5</v>
      </c>
      <c r="R2263">
        <v>0.7</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si="178"/>
        <v>1310</v>
      </c>
      <c r="B2264">
        <v>2</v>
      </c>
      <c r="C2264" t="s">
        <v>402</v>
      </c>
      <c r="D2264" t="s">
        <v>28</v>
      </c>
      <c r="E2264" t="s">
        <v>393</v>
      </c>
      <c r="G2264">
        <v>1</v>
      </c>
      <c r="H2264">
        <v>1000</v>
      </c>
      <c r="J2264" cm="1">
        <f t="array" ref="J2264">_xlfn.SWITCH(B2264,1,75,2,61,3,49,4,37,5,25,6,13,7,4,8,1)</f>
        <v>61</v>
      </c>
      <c r="K2264" t="str" cm="1">
        <f t="array" ref="K2264">IFERROR(_xlfn.SWITCH(L2264,1,_xlfn.XLOOKUP(C2264,[1]AttributeName!$C:$C,[1]AttributeName!$I:$I),2,_xlfn.XLOOKUP(C2264,[1]ModifierDes!$B:$B,[1]ModifierDes!$C:$C),3,_xlfn.XLOOKUP(C2264,[1]StuntDes!$B:$B,[1]StuntDes!$C:$C)),"")</f>
        <v>获得混沌伤害{0}</v>
      </c>
      <c r="L2264">
        <f t="shared" si="177"/>
        <v>1</v>
      </c>
      <c r="M2264" s="10" t="str">
        <f>IFERROR(_xlfn.XLOOKUP(C2264,[1]StuntDes!$B:$B,[1]StuntDes!$A:$A),"")</f>
        <v/>
      </c>
      <c r="N2264" s="10" t="str">
        <f>IFERROR(_xlfn.XLOOKUP(C2264,[1]ModifierDes!$B:$B,[1]ModifierDes!$A:$A),"")</f>
        <v/>
      </c>
      <c r="O2264" s="10">
        <f>IFERROR(_xlfn.XLOOKUP(C2264,[1]AttributeName!$C:$C,[1]AttributeName!$B:$B),"")</f>
        <v>10504</v>
      </c>
      <c r="P2264" s="10"/>
      <c r="Q2264">
        <v>0.44</v>
      </c>
      <c r="R2264">
        <v>0.49</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78"/>
        <v>1310</v>
      </c>
      <c r="B2265">
        <v>3</v>
      </c>
      <c r="C2265" t="s">
        <v>402</v>
      </c>
      <c r="D2265" t="s">
        <v>28</v>
      </c>
      <c r="E2265" t="s">
        <v>393</v>
      </c>
      <c r="G2265">
        <v>1</v>
      </c>
      <c r="H2265">
        <v>1000</v>
      </c>
      <c r="J2265" cm="1">
        <f t="array" ref="J2265">_xlfn.SWITCH(B2265,1,75,2,61,3,49,4,37,5,25,6,13,7,4,8,1)</f>
        <v>49</v>
      </c>
      <c r="K2265" t="str" cm="1">
        <f t="array" ref="K2265">IFERROR(_xlfn.SWITCH(L2265,1,_xlfn.XLOOKUP(C2265,[1]AttributeName!$C:$C,[1]AttributeName!$I:$I),2,_xlfn.XLOOKUP(C2265,[1]ModifierDes!$B:$B,[1]ModifierDes!$C:$C),3,_xlfn.XLOOKUP(C2265,[1]StuntDes!$B:$B,[1]StuntDes!$C:$C)),"")</f>
        <v>获得混沌伤害{0}</v>
      </c>
      <c r="L2265">
        <f t="shared" si="177"/>
        <v>1</v>
      </c>
      <c r="M2265" s="10" t="str">
        <f>IFERROR(_xlfn.XLOOKUP(C2265,[1]StuntDes!$B:$B,[1]StuntDes!$A:$A),"")</f>
        <v/>
      </c>
      <c r="N2265" s="10" t="str">
        <f>IFERROR(_xlfn.XLOOKUP(C2265,[1]ModifierDes!$B:$B,[1]ModifierDes!$A:$A),"")</f>
        <v/>
      </c>
      <c r="O2265" s="10">
        <f>IFERROR(_xlfn.XLOOKUP(C2265,[1]AttributeName!$C:$C,[1]AttributeName!$B:$B),"")</f>
        <v>10504</v>
      </c>
      <c r="P2265" s="10"/>
      <c r="Q2265">
        <v>0.38</v>
      </c>
      <c r="R2265">
        <v>0.43</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78"/>
        <v>1310</v>
      </c>
      <c r="B2266">
        <v>4</v>
      </c>
      <c r="C2266" t="s">
        <v>402</v>
      </c>
      <c r="D2266" t="s">
        <v>28</v>
      </c>
      <c r="E2266" t="s">
        <v>393</v>
      </c>
      <c r="G2266">
        <v>1</v>
      </c>
      <c r="H2266">
        <v>1000</v>
      </c>
      <c r="J2266" cm="1">
        <f t="array" ref="J2266">_xlfn.SWITCH(B2266,1,75,2,61,3,49,4,37,5,25,6,13,7,4,8,1)</f>
        <v>37</v>
      </c>
      <c r="K2266" t="str" cm="1">
        <f t="array" ref="K2266">IFERROR(_xlfn.SWITCH(L2266,1,_xlfn.XLOOKUP(C2266,[1]AttributeName!$C:$C,[1]AttributeName!$I:$I),2,_xlfn.XLOOKUP(C2266,[1]ModifierDes!$B:$B,[1]ModifierDes!$C:$C),3,_xlfn.XLOOKUP(C2266,[1]StuntDes!$B:$B,[1]StuntDes!$C:$C)),"")</f>
        <v>获得混沌伤害{0}</v>
      </c>
      <c r="L2266">
        <f t="shared" si="177"/>
        <v>1</v>
      </c>
      <c r="M2266" s="10" t="str">
        <f>IFERROR(_xlfn.XLOOKUP(C2266,[1]StuntDes!$B:$B,[1]StuntDes!$A:$A),"")</f>
        <v/>
      </c>
      <c r="N2266" s="10" t="str">
        <f>IFERROR(_xlfn.XLOOKUP(C2266,[1]ModifierDes!$B:$B,[1]ModifierDes!$A:$A),"")</f>
        <v/>
      </c>
      <c r="O2266" s="10">
        <f>IFERROR(_xlfn.XLOOKUP(C2266,[1]AttributeName!$C:$C,[1]AttributeName!$B:$B),"")</f>
        <v>10504</v>
      </c>
      <c r="P2266" s="10"/>
      <c r="Q2266">
        <v>0.32</v>
      </c>
      <c r="R2266">
        <v>0.37</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78"/>
        <v>1310</v>
      </c>
      <c r="B2267">
        <v>5</v>
      </c>
      <c r="C2267" t="s">
        <v>402</v>
      </c>
      <c r="D2267" t="s">
        <v>28</v>
      </c>
      <c r="E2267" t="s">
        <v>393</v>
      </c>
      <c r="G2267">
        <v>1</v>
      </c>
      <c r="H2267">
        <v>1000</v>
      </c>
      <c r="J2267" cm="1">
        <f t="array" ref="J2267">_xlfn.SWITCH(B2267,1,75,2,61,3,49,4,37,5,25,6,13,7,4,8,1)</f>
        <v>25</v>
      </c>
      <c r="K2267" t="str" cm="1">
        <f t="array" ref="K2267">IFERROR(_xlfn.SWITCH(L2267,1,_xlfn.XLOOKUP(C2267,[1]AttributeName!$C:$C,[1]AttributeName!$I:$I),2,_xlfn.XLOOKUP(C2267,[1]ModifierDes!$B:$B,[1]ModifierDes!$C:$C),3,_xlfn.XLOOKUP(C2267,[1]StuntDes!$B:$B,[1]StuntDes!$C:$C)),"")</f>
        <v>获得混沌伤害{0}</v>
      </c>
      <c r="L2267">
        <f t="shared" si="177"/>
        <v>1</v>
      </c>
      <c r="M2267" s="10" t="str">
        <f>IFERROR(_xlfn.XLOOKUP(C2267,[1]StuntDes!$B:$B,[1]StuntDes!$A:$A),"")</f>
        <v/>
      </c>
      <c r="N2267" s="10" t="str">
        <f>IFERROR(_xlfn.XLOOKUP(C2267,[1]ModifierDes!$B:$B,[1]ModifierDes!$A:$A),"")</f>
        <v/>
      </c>
      <c r="O2267" s="10">
        <f>IFERROR(_xlfn.XLOOKUP(C2267,[1]AttributeName!$C:$C,[1]AttributeName!$B:$B),"")</f>
        <v>10504</v>
      </c>
      <c r="P2267" s="10"/>
      <c r="Q2267">
        <v>0.26</v>
      </c>
      <c r="R2267">
        <v>0.31</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78"/>
        <v>1310</v>
      </c>
      <c r="B2268">
        <v>6</v>
      </c>
      <c r="C2268" t="s">
        <v>402</v>
      </c>
      <c r="D2268" t="s">
        <v>28</v>
      </c>
      <c r="E2268" t="s">
        <v>393</v>
      </c>
      <c r="G2268">
        <v>1</v>
      </c>
      <c r="H2268">
        <v>1000</v>
      </c>
      <c r="J2268" cm="1">
        <f t="array" ref="J2268">_xlfn.SWITCH(B2268,1,75,2,61,3,49,4,37,5,25,6,13,7,4,8,1)</f>
        <v>13</v>
      </c>
      <c r="K2268" t="str" cm="1">
        <f t="array" ref="K2268">IFERROR(_xlfn.SWITCH(L2268,1,_xlfn.XLOOKUP(C2268,[1]AttributeName!$C:$C,[1]AttributeName!$I:$I),2,_xlfn.XLOOKUP(C2268,[1]ModifierDes!$B:$B,[1]ModifierDes!$C:$C),3,_xlfn.XLOOKUP(C2268,[1]StuntDes!$B:$B,[1]StuntDes!$C:$C)),"")</f>
        <v>获得混沌伤害{0}</v>
      </c>
      <c r="L2268">
        <f t="shared" si="177"/>
        <v>1</v>
      </c>
      <c r="M2268" s="10" t="str">
        <f>IFERROR(_xlfn.XLOOKUP(C2268,[1]StuntDes!$B:$B,[1]StuntDes!$A:$A),"")</f>
        <v/>
      </c>
      <c r="N2268" s="10" t="str">
        <f>IFERROR(_xlfn.XLOOKUP(C2268,[1]ModifierDes!$B:$B,[1]ModifierDes!$A:$A),"")</f>
        <v/>
      </c>
      <c r="O2268" s="10">
        <f>IFERROR(_xlfn.XLOOKUP(C2268,[1]AttributeName!$C:$C,[1]AttributeName!$B:$B),"")</f>
        <v>10504</v>
      </c>
      <c r="P2268" s="10"/>
      <c r="Q2268">
        <v>0.2</v>
      </c>
      <c r="R2268">
        <v>0.25</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78"/>
        <v>1310</v>
      </c>
      <c r="B2269">
        <v>7</v>
      </c>
      <c r="C2269" t="s">
        <v>402</v>
      </c>
      <c r="D2269" t="s">
        <v>28</v>
      </c>
      <c r="E2269" t="s">
        <v>393</v>
      </c>
      <c r="G2269">
        <v>1</v>
      </c>
      <c r="H2269">
        <v>1000</v>
      </c>
      <c r="J2269" cm="1">
        <f t="array" ref="J2269">_xlfn.SWITCH(B2269,1,75,2,61,3,49,4,37,5,25,6,13,7,4,8,1)</f>
        <v>4</v>
      </c>
      <c r="K2269" t="str" cm="1">
        <f t="array" ref="K2269">IFERROR(_xlfn.SWITCH(L2269,1,_xlfn.XLOOKUP(C2269,[1]AttributeName!$C:$C,[1]AttributeName!$I:$I),2,_xlfn.XLOOKUP(C2269,[1]ModifierDes!$B:$B,[1]ModifierDes!$C:$C),3,_xlfn.XLOOKUP(C2269,[1]StuntDes!$B:$B,[1]StuntDes!$C:$C)),"")</f>
        <v>获得混沌伤害{0}</v>
      </c>
      <c r="L2269">
        <f t="shared" si="177"/>
        <v>1</v>
      </c>
      <c r="M2269" s="10" t="str">
        <f>IFERROR(_xlfn.XLOOKUP(C2269,[1]StuntDes!$B:$B,[1]StuntDes!$A:$A),"")</f>
        <v/>
      </c>
      <c r="N2269" s="10" t="str">
        <f>IFERROR(_xlfn.XLOOKUP(C2269,[1]ModifierDes!$B:$B,[1]ModifierDes!$A:$A),"")</f>
        <v/>
      </c>
      <c r="O2269" s="10">
        <f>IFERROR(_xlfn.XLOOKUP(C2269,[1]AttributeName!$C:$C,[1]AttributeName!$B:$B),"")</f>
        <v>10504</v>
      </c>
      <c r="P2269" s="10"/>
      <c r="Q2269">
        <v>0.14</v>
      </c>
      <c r="R2269">
        <v>0.19</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78"/>
        <v>1310</v>
      </c>
      <c r="B2270">
        <v>8</v>
      </c>
      <c r="C2270" t="s">
        <v>402</v>
      </c>
      <c r="D2270" t="s">
        <v>28</v>
      </c>
      <c r="E2270" t="s">
        <v>393</v>
      </c>
      <c r="G2270">
        <v>1</v>
      </c>
      <c r="H2270">
        <v>1000</v>
      </c>
      <c r="J2270" cm="1">
        <f t="array" ref="J2270">_xlfn.SWITCH(B2270,1,75,2,61,3,49,4,37,5,25,6,13,7,4,8,1)</f>
        <v>1</v>
      </c>
      <c r="K2270" t="str" cm="1">
        <f t="array" ref="K2270">IFERROR(_xlfn.SWITCH(L2270,1,_xlfn.XLOOKUP(C2270,[1]AttributeName!$C:$C,[1]AttributeName!$I:$I),2,_xlfn.XLOOKUP(C2270,[1]ModifierDes!$B:$B,[1]ModifierDes!$C:$C),3,_xlfn.XLOOKUP(C2270,[1]StuntDes!$B:$B,[1]StuntDes!$C:$C)),"")</f>
        <v>获得混沌伤害{0}</v>
      </c>
      <c r="L2270">
        <f t="shared" si="177"/>
        <v>1</v>
      </c>
      <c r="M2270" s="10" t="str">
        <f>IFERROR(_xlfn.XLOOKUP(C2270,[1]StuntDes!$B:$B,[1]StuntDes!$A:$A),"")</f>
        <v/>
      </c>
      <c r="N2270" s="10" t="str">
        <f>IFERROR(_xlfn.XLOOKUP(C2270,[1]ModifierDes!$B:$B,[1]ModifierDes!$A:$A),"")</f>
        <v/>
      </c>
      <c r="O2270" s="10">
        <f>IFERROR(_xlfn.XLOOKUP(C2270,[1]AttributeName!$C:$C,[1]AttributeName!$B:$B),"")</f>
        <v>10504</v>
      </c>
      <c r="P2270" s="10"/>
      <c r="Q2270">
        <v>0.08</v>
      </c>
      <c r="R2270">
        <v>0.13</v>
      </c>
      <c r="S2270" cm="1">
        <f t="array" ref="S2270">IFERROR(_xlfn.SWITCH(L2270,1,_xlfn.XLOOKUP(O2270,[1]AttributeName!$B:$B,[1]AttributeName!$D:$D),2,_xlfn.XLOOKUP(C2270,[1]ModifierDes!$B:$B,[1]ModifierDes!$D:$D),3,_xlfn.XLOOKUP(C2270,[1]StuntDes!$B:$B,[1]StuntDes!$D:$D)),0)</f>
        <v>2</v>
      </c>
      <c r="T2270" cm="1">
        <f t="array" ref="T2270">IFERROR(_xlfn.SWITCH(L2270,1,_xlfn.XLOOKUP(O2270,[1]AttributeName!$B:$B,[1]AttributeName!$E:$E),2,_xlfn.XLOOKUP(C2270,[1]ModifierDes!$B:$B,[1]ModifierDes!$E:$E),3,_xlfn.XLOOKUP(C2270,[1]StuntDes!$B:$B,[1]StuntDes!$E:$E)),0)</f>
        <v>2</v>
      </c>
    </row>
    <row r="2271" customFormat="1" spans="1:20">
      <c r="A2271">
        <f t="shared" si="178"/>
        <v>1311</v>
      </c>
      <c r="B2271">
        <v>1</v>
      </c>
      <c r="C2271" t="s">
        <v>444</v>
      </c>
      <c r="D2271" t="s">
        <v>28</v>
      </c>
      <c r="E2271" t="s">
        <v>393</v>
      </c>
      <c r="G2271">
        <v>1</v>
      </c>
      <c r="H2271">
        <v>1000</v>
      </c>
      <c r="J2271" cm="1">
        <f t="array" ref="J2271">_xlfn.SWITCH(B2271,1,75,2,61,3,49,4,37,5,25,6,13,7,4,8,1)</f>
        <v>75</v>
      </c>
      <c r="K2271" t="str" cm="1">
        <f t="array" ref="K2271">IFERROR(_xlfn.SWITCH(L2271,1,_xlfn.XLOOKUP(C2271,[1]AttributeName!$C:$C,[1]AttributeName!$I:$I),2,_xlfn.XLOOKUP(C2271,[1]ModifierDes!$B:$B,[1]ModifierDes!$C:$C),3,_xlfn.XLOOKUP(C2271,[1]StuntDes!$B:$B,[1]StuntDes!$C:$C)),"")</f>
        <v>法术伤害提高{0}</v>
      </c>
      <c r="L2271">
        <f t="shared" ref="L2271:L2334" si="179">IF(M2271="",IF(N2271="",1,2),3)</f>
        <v>2</v>
      </c>
      <c r="M2271" s="10" t="str">
        <f>IFERROR(_xlfn.XLOOKUP(C2271,[1]StuntDes!$B:$B,[1]StuntDes!$A:$A),"")</f>
        <v/>
      </c>
      <c r="N2271" s="10">
        <f>IFERROR(_xlfn.XLOOKUP(C2271,[1]ModifierDes!$B:$B,[1]ModifierDes!$A:$A),"")</f>
        <v>10067</v>
      </c>
      <c r="O2271" s="10" t="str">
        <f>IFERROR(_xlfn.XLOOKUP(C2271,[1]AttributeName!$C:$C,[1]AttributeName!$B:$B),"")</f>
        <v/>
      </c>
      <c r="P2271" s="10"/>
      <c r="Q2271">
        <v>0.76</v>
      </c>
      <c r="R2271">
        <v>1.02</v>
      </c>
      <c r="S2271" cm="1">
        <f t="array" ref="S2271">IFERROR(_xlfn.SWITCH(L2271,1,_xlfn.XLOOKUP(O2271,[1]AttributeName!$B:$B,[1]AttributeName!$D:$D),2,_xlfn.XLOOKUP(C2271,[1]ModifierDes!$B:$B,[1]ModifierDes!$D:$D),3,_xlfn.XLOOKUP(C2271,[1]StuntDes!$B:$B,[1]StuntDes!$D:$D)),0)</f>
        <v>2</v>
      </c>
      <c r="T2271" cm="1">
        <f t="array" ref="T2271">IFERROR(_xlfn.SWITCH(L2271,1,_xlfn.XLOOKUP(O2271,[1]AttributeName!$B:$B,[1]AttributeName!$E:$E),2,_xlfn.XLOOKUP(C2271,[1]ModifierDes!$B:$B,[1]ModifierDes!$E:$E),3,_xlfn.XLOOKUP(C2271,[1]StuntDes!$B:$B,[1]StuntDes!$E:$E)),0)</f>
        <v>2</v>
      </c>
    </row>
    <row r="2272" customFormat="1" spans="1:20">
      <c r="A2272">
        <f t="shared" si="178"/>
        <v>1311</v>
      </c>
      <c r="B2272">
        <v>2</v>
      </c>
      <c r="C2272" t="s">
        <v>444</v>
      </c>
      <c r="D2272" t="s">
        <v>28</v>
      </c>
      <c r="E2272" t="s">
        <v>393</v>
      </c>
      <c r="G2272">
        <v>1</v>
      </c>
      <c r="H2272">
        <v>1000</v>
      </c>
      <c r="J2272" cm="1">
        <f t="array" ref="J2272">_xlfn.SWITCH(B2272,1,75,2,61,3,49,4,37,5,25,6,13,7,4,8,1)</f>
        <v>61</v>
      </c>
      <c r="K2272" t="str" cm="1">
        <f t="array" ref="K2272">IFERROR(_xlfn.SWITCH(L2272,1,_xlfn.XLOOKUP(C2272,[1]AttributeName!$C:$C,[1]AttributeName!$I:$I),2,_xlfn.XLOOKUP(C2272,[1]ModifierDes!$B:$B,[1]ModifierDes!$C:$C),3,_xlfn.XLOOKUP(C2272,[1]StuntDes!$B:$B,[1]StuntDes!$C:$C)),"")</f>
        <v>法术伤害提高{0}</v>
      </c>
      <c r="L2272">
        <f t="shared" si="179"/>
        <v>2</v>
      </c>
      <c r="M2272" s="10" t="str">
        <f>IFERROR(_xlfn.XLOOKUP(C2272,[1]StuntDes!$B:$B,[1]StuntDes!$A:$A),"")</f>
        <v/>
      </c>
      <c r="N2272" s="10">
        <f>IFERROR(_xlfn.XLOOKUP(C2272,[1]ModifierDes!$B:$B,[1]ModifierDes!$A:$A),"")</f>
        <v>10067</v>
      </c>
      <c r="O2272" s="10" t="str">
        <f>IFERROR(_xlfn.XLOOKUP(C2272,[1]AttributeName!$C:$C,[1]AttributeName!$B:$B),"")</f>
        <v/>
      </c>
      <c r="P2272" s="10"/>
      <c r="Q2272">
        <v>0.67</v>
      </c>
      <c r="R2272">
        <v>0.75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f t="shared" si="178"/>
        <v>1311</v>
      </c>
      <c r="B2273">
        <v>3</v>
      </c>
      <c r="C2273" t="s">
        <v>444</v>
      </c>
      <c r="D2273" t="s">
        <v>28</v>
      </c>
      <c r="E2273" t="s">
        <v>393</v>
      </c>
      <c r="G2273">
        <v>1</v>
      </c>
      <c r="H2273">
        <v>1000</v>
      </c>
      <c r="J2273" cm="1">
        <f t="array" ref="J2273">_xlfn.SWITCH(B2273,1,75,2,61,3,49,4,37,5,25,6,13,7,4,8,1)</f>
        <v>49</v>
      </c>
      <c r="K2273" t="str" cm="1">
        <f t="array" ref="K2273">IFERROR(_xlfn.SWITCH(L2273,1,_xlfn.XLOOKUP(C2273,[1]AttributeName!$C:$C,[1]AttributeName!$I:$I),2,_xlfn.XLOOKUP(C2273,[1]ModifierDes!$B:$B,[1]ModifierDes!$C:$C),3,_xlfn.XLOOKUP(C2273,[1]StuntDes!$B:$B,[1]StuntDes!$C:$C)),"")</f>
        <v>法术伤害提高{0}</v>
      </c>
      <c r="L2273">
        <f t="shared" si="179"/>
        <v>2</v>
      </c>
      <c r="M2273" s="10" t="str">
        <f>IFERROR(_xlfn.XLOOKUP(C2273,[1]StuntDes!$B:$B,[1]StuntDes!$A:$A),"")</f>
        <v/>
      </c>
      <c r="N2273" s="10">
        <f>IFERROR(_xlfn.XLOOKUP(C2273,[1]ModifierDes!$B:$B,[1]ModifierDes!$A:$A),"")</f>
        <v>10067</v>
      </c>
      <c r="O2273" s="10" t="str">
        <f>IFERROR(_xlfn.XLOOKUP(C2273,[1]AttributeName!$C:$C,[1]AttributeName!$B:$B),"")</f>
        <v/>
      </c>
      <c r="P2273" s="10"/>
      <c r="Q2273">
        <v>0.58</v>
      </c>
      <c r="R2273">
        <v>0.66</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f t="shared" si="178"/>
        <v>1311</v>
      </c>
      <c r="B2274">
        <v>4</v>
      </c>
      <c r="C2274" t="s">
        <v>444</v>
      </c>
      <c r="D2274" t="s">
        <v>28</v>
      </c>
      <c r="E2274" t="s">
        <v>393</v>
      </c>
      <c r="G2274">
        <v>1</v>
      </c>
      <c r="H2274">
        <v>1000</v>
      </c>
      <c r="J2274" cm="1">
        <f t="array" ref="J2274">_xlfn.SWITCH(B2274,1,75,2,61,3,49,4,37,5,25,6,13,7,4,8,1)</f>
        <v>37</v>
      </c>
      <c r="K2274" t="str" cm="1">
        <f t="array" ref="K2274">IFERROR(_xlfn.SWITCH(L2274,1,_xlfn.XLOOKUP(C2274,[1]AttributeName!$C:$C,[1]AttributeName!$I:$I),2,_xlfn.XLOOKUP(C2274,[1]ModifierDes!$B:$B,[1]ModifierDes!$C:$C),3,_xlfn.XLOOKUP(C2274,[1]StuntDes!$B:$B,[1]StuntDes!$C:$C)),"")</f>
        <v>法术伤害提高{0}</v>
      </c>
      <c r="L2274">
        <f t="shared" si="179"/>
        <v>2</v>
      </c>
      <c r="M2274" s="10" t="str">
        <f>IFERROR(_xlfn.XLOOKUP(C2274,[1]StuntDes!$B:$B,[1]StuntDes!$A:$A),"")</f>
        <v/>
      </c>
      <c r="N2274" s="10">
        <f>IFERROR(_xlfn.XLOOKUP(C2274,[1]ModifierDes!$B:$B,[1]ModifierDes!$A:$A),"")</f>
        <v>10067</v>
      </c>
      <c r="O2274" s="10" t="str">
        <f>IFERROR(_xlfn.XLOOKUP(C2274,[1]AttributeName!$C:$C,[1]AttributeName!$B:$B),"")</f>
        <v/>
      </c>
      <c r="P2274" s="10"/>
      <c r="Q2274">
        <v>0.48</v>
      </c>
      <c r="R2274">
        <v>0.57</v>
      </c>
      <c r="S2274" cm="1">
        <f t="array" ref="S2274">IFERROR(_xlfn.SWITCH(L2274,1,_xlfn.XLOOKUP(O2274,[1]AttributeName!$B:$B,[1]AttributeName!$D:$D),2,_xlfn.XLOOKUP(C2274,[1]ModifierDes!$B:$B,[1]ModifierDes!$D:$D),3,_xlfn.XLOOKUP(C2274,[1]StuntDes!$B:$B,[1]StuntDes!$D:$D)),0)</f>
        <v>2</v>
      </c>
      <c r="T2274" cm="1">
        <f t="array" ref="T2274">IFERROR(_xlfn.SWITCH(L2274,1,_xlfn.XLOOKUP(O2274,[1]AttributeName!$B:$B,[1]AttributeName!$E:$E),2,_xlfn.XLOOKUP(C2274,[1]ModifierDes!$B:$B,[1]ModifierDes!$E:$E),3,_xlfn.XLOOKUP(C2274,[1]StuntDes!$B:$B,[1]StuntDes!$E:$E)),0)</f>
        <v>2</v>
      </c>
    </row>
    <row r="2275" customFormat="1" spans="1:20">
      <c r="A2275">
        <f t="shared" si="178"/>
        <v>1311</v>
      </c>
      <c r="B2275">
        <v>5</v>
      </c>
      <c r="C2275" t="s">
        <v>444</v>
      </c>
      <c r="D2275" t="s">
        <v>28</v>
      </c>
      <c r="E2275" t="s">
        <v>393</v>
      </c>
      <c r="G2275">
        <v>1</v>
      </c>
      <c r="H2275">
        <v>1000</v>
      </c>
      <c r="J2275" cm="1">
        <f t="array" ref="J2275">_xlfn.SWITCH(B2275,1,75,2,61,3,49,4,37,5,25,6,13,7,4,8,1)</f>
        <v>25</v>
      </c>
      <c r="K2275" t="str" cm="1">
        <f t="array" ref="K2275">IFERROR(_xlfn.SWITCH(L2275,1,_xlfn.XLOOKUP(C2275,[1]AttributeName!$C:$C,[1]AttributeName!$I:$I),2,_xlfn.XLOOKUP(C2275,[1]ModifierDes!$B:$B,[1]ModifierDes!$C:$C),3,_xlfn.XLOOKUP(C2275,[1]StuntDes!$B:$B,[1]StuntDes!$C:$C)),"")</f>
        <v>法术伤害提高{0}</v>
      </c>
      <c r="L2275">
        <f t="shared" si="179"/>
        <v>2</v>
      </c>
      <c r="M2275" s="10" t="str">
        <f>IFERROR(_xlfn.XLOOKUP(C2275,[1]StuntDes!$B:$B,[1]StuntDes!$A:$A),"")</f>
        <v/>
      </c>
      <c r="N2275" s="10">
        <f>IFERROR(_xlfn.XLOOKUP(C2275,[1]ModifierDes!$B:$B,[1]ModifierDes!$A:$A),"")</f>
        <v>10067</v>
      </c>
      <c r="O2275" s="10" t="str">
        <f>IFERROR(_xlfn.XLOOKUP(C2275,[1]AttributeName!$C:$C,[1]AttributeName!$B:$B),"")</f>
        <v/>
      </c>
      <c r="P2275" s="10"/>
      <c r="Q2275">
        <v>0.39</v>
      </c>
      <c r="R2275">
        <v>0.47</v>
      </c>
      <c r="S2275" cm="1">
        <f t="array" ref="S2275">IFERROR(_xlfn.SWITCH(L2275,1,_xlfn.XLOOKUP(O2275,[1]AttributeName!$B:$B,[1]AttributeName!$D:$D),2,_xlfn.XLOOKUP(C2275,[1]ModifierDes!$B:$B,[1]ModifierDes!$D:$D),3,_xlfn.XLOOKUP(C2275,[1]StuntDes!$B:$B,[1]StuntDes!$D:$D)),0)</f>
        <v>2</v>
      </c>
      <c r="T2275" cm="1">
        <f t="array" ref="T2275">IFERROR(_xlfn.SWITCH(L2275,1,_xlfn.XLOOKUP(O2275,[1]AttributeName!$B:$B,[1]AttributeName!$E:$E),2,_xlfn.XLOOKUP(C2275,[1]ModifierDes!$B:$B,[1]ModifierDes!$E:$E),3,_xlfn.XLOOKUP(C2275,[1]StuntDes!$B:$B,[1]StuntDes!$E:$E)),0)</f>
        <v>2</v>
      </c>
    </row>
    <row r="2276" customFormat="1" spans="1:20">
      <c r="A2276">
        <f t="shared" si="178"/>
        <v>1311</v>
      </c>
      <c r="B2276">
        <v>6</v>
      </c>
      <c r="C2276" t="s">
        <v>444</v>
      </c>
      <c r="D2276" t="s">
        <v>28</v>
      </c>
      <c r="E2276" t="s">
        <v>393</v>
      </c>
      <c r="G2276">
        <v>1</v>
      </c>
      <c r="H2276">
        <v>1000</v>
      </c>
      <c r="J2276" cm="1">
        <f t="array" ref="J2276">_xlfn.SWITCH(B2276,1,75,2,61,3,49,4,37,5,25,6,13,7,4,8,1)</f>
        <v>13</v>
      </c>
      <c r="K2276" t="str" cm="1">
        <f t="array" ref="K2276">IFERROR(_xlfn.SWITCH(L2276,1,_xlfn.XLOOKUP(C2276,[1]AttributeName!$C:$C,[1]AttributeName!$I:$I),2,_xlfn.XLOOKUP(C2276,[1]ModifierDes!$B:$B,[1]ModifierDes!$C:$C),3,_xlfn.XLOOKUP(C2276,[1]StuntDes!$B:$B,[1]StuntDes!$C:$C)),"")</f>
        <v>法术伤害提高{0}</v>
      </c>
      <c r="L2276">
        <f t="shared" si="179"/>
        <v>2</v>
      </c>
      <c r="M2276" s="10" t="str">
        <f>IFERROR(_xlfn.XLOOKUP(C2276,[1]StuntDes!$B:$B,[1]StuntDes!$A:$A),"")</f>
        <v/>
      </c>
      <c r="N2276" s="10">
        <f>IFERROR(_xlfn.XLOOKUP(C2276,[1]ModifierDes!$B:$B,[1]ModifierDes!$A:$A),"")</f>
        <v>10067</v>
      </c>
      <c r="O2276" s="10" t="str">
        <f>IFERROR(_xlfn.XLOOKUP(C2276,[1]AttributeName!$C:$C,[1]AttributeName!$B:$B),"")</f>
        <v/>
      </c>
      <c r="P2276" s="10"/>
      <c r="Q2276">
        <v>0.3</v>
      </c>
      <c r="R2276">
        <v>0.38</v>
      </c>
      <c r="S2276" cm="1">
        <f t="array" ref="S2276">IFERROR(_xlfn.SWITCH(L2276,1,_xlfn.XLOOKUP(O2276,[1]AttributeName!$B:$B,[1]AttributeName!$D:$D),2,_xlfn.XLOOKUP(C2276,[1]ModifierDes!$B:$B,[1]ModifierDes!$D:$D),3,_xlfn.XLOOKUP(C2276,[1]StuntDes!$B:$B,[1]StuntDes!$D:$D)),0)</f>
        <v>2</v>
      </c>
      <c r="T2276" cm="1">
        <f t="array" ref="T2276">IFERROR(_xlfn.SWITCH(L2276,1,_xlfn.XLOOKUP(O2276,[1]AttributeName!$B:$B,[1]AttributeName!$E:$E),2,_xlfn.XLOOKUP(C2276,[1]ModifierDes!$B:$B,[1]ModifierDes!$E:$E),3,_xlfn.XLOOKUP(C2276,[1]StuntDes!$B:$B,[1]StuntDes!$E:$E)),0)</f>
        <v>2</v>
      </c>
    </row>
    <row r="2277" customFormat="1" spans="1:20">
      <c r="A2277">
        <f t="shared" si="178"/>
        <v>1311</v>
      </c>
      <c r="B2277">
        <v>7</v>
      </c>
      <c r="C2277" t="s">
        <v>444</v>
      </c>
      <c r="D2277" t="s">
        <v>28</v>
      </c>
      <c r="E2277" t="s">
        <v>393</v>
      </c>
      <c r="G2277">
        <v>1</v>
      </c>
      <c r="H2277">
        <v>1000</v>
      </c>
      <c r="J2277" cm="1">
        <f t="array" ref="J2277">_xlfn.SWITCH(B2277,1,75,2,61,3,49,4,37,5,25,6,13,7,4,8,1)</f>
        <v>4</v>
      </c>
      <c r="K2277" t="str" cm="1">
        <f t="array" ref="K2277">IFERROR(_xlfn.SWITCH(L2277,1,_xlfn.XLOOKUP(C2277,[1]AttributeName!$C:$C,[1]AttributeName!$I:$I),2,_xlfn.XLOOKUP(C2277,[1]ModifierDes!$B:$B,[1]ModifierDes!$C:$C),3,_xlfn.XLOOKUP(C2277,[1]StuntDes!$B:$B,[1]StuntDes!$C:$C)),"")</f>
        <v>法术伤害提高{0}</v>
      </c>
      <c r="L2277">
        <f t="shared" si="179"/>
        <v>2</v>
      </c>
      <c r="M2277" s="10" t="str">
        <f>IFERROR(_xlfn.XLOOKUP(C2277,[1]StuntDes!$B:$B,[1]StuntDes!$A:$A),"")</f>
        <v/>
      </c>
      <c r="N2277" s="10">
        <f>IFERROR(_xlfn.XLOOKUP(C2277,[1]ModifierDes!$B:$B,[1]ModifierDes!$A:$A),"")</f>
        <v>10067</v>
      </c>
      <c r="O2277" s="10" t="str">
        <f>IFERROR(_xlfn.XLOOKUP(C2277,[1]AttributeName!$C:$C,[1]AttributeName!$B:$B),"")</f>
        <v/>
      </c>
      <c r="P2277" s="10"/>
      <c r="Q2277">
        <v>0.21</v>
      </c>
      <c r="R2277">
        <v>0.29</v>
      </c>
      <c r="S2277" cm="1">
        <f t="array" ref="S2277">IFERROR(_xlfn.SWITCH(L2277,1,_xlfn.XLOOKUP(O2277,[1]AttributeName!$B:$B,[1]AttributeName!$D:$D),2,_xlfn.XLOOKUP(C2277,[1]ModifierDes!$B:$B,[1]ModifierDes!$D:$D),3,_xlfn.XLOOKUP(C2277,[1]StuntDes!$B:$B,[1]StuntDes!$D:$D)),0)</f>
        <v>2</v>
      </c>
      <c r="T2277" cm="1">
        <f t="array" ref="T2277">IFERROR(_xlfn.SWITCH(L2277,1,_xlfn.XLOOKUP(O2277,[1]AttributeName!$B:$B,[1]AttributeName!$E:$E),2,_xlfn.XLOOKUP(C2277,[1]ModifierDes!$B:$B,[1]ModifierDes!$E:$E),3,_xlfn.XLOOKUP(C2277,[1]StuntDes!$B:$B,[1]StuntDes!$E:$E)),0)</f>
        <v>2</v>
      </c>
    </row>
    <row r="2278" customFormat="1" spans="1:20">
      <c r="A2278">
        <f t="shared" si="178"/>
        <v>1311</v>
      </c>
      <c r="B2278">
        <v>8</v>
      </c>
      <c r="C2278" t="s">
        <v>444</v>
      </c>
      <c r="D2278" t="s">
        <v>28</v>
      </c>
      <c r="E2278" t="s">
        <v>393</v>
      </c>
      <c r="G2278">
        <v>1</v>
      </c>
      <c r="H2278">
        <v>1000</v>
      </c>
      <c r="J2278" cm="1">
        <f t="array" ref="J2278">_xlfn.SWITCH(B2278,1,75,2,61,3,49,4,37,5,25,6,13,7,4,8,1)</f>
        <v>1</v>
      </c>
      <c r="K2278" t="str" cm="1">
        <f t="array" ref="K2278">IFERROR(_xlfn.SWITCH(L2278,1,_xlfn.XLOOKUP(C2278,[1]AttributeName!$C:$C,[1]AttributeName!$I:$I),2,_xlfn.XLOOKUP(C2278,[1]ModifierDes!$B:$B,[1]ModifierDes!$C:$C),3,_xlfn.XLOOKUP(C2278,[1]StuntDes!$B:$B,[1]StuntDes!$C:$C)),"")</f>
        <v>法术伤害提高{0}</v>
      </c>
      <c r="L2278">
        <f t="shared" si="179"/>
        <v>2</v>
      </c>
      <c r="M2278" s="10" t="str">
        <f>IFERROR(_xlfn.XLOOKUP(C2278,[1]StuntDes!$B:$B,[1]StuntDes!$A:$A),"")</f>
        <v/>
      </c>
      <c r="N2278" s="10">
        <f>IFERROR(_xlfn.XLOOKUP(C2278,[1]ModifierDes!$B:$B,[1]ModifierDes!$A:$A),"")</f>
        <v>10067</v>
      </c>
      <c r="O2278" s="10" t="str">
        <f>IFERROR(_xlfn.XLOOKUP(C2278,[1]AttributeName!$C:$C,[1]AttributeName!$B:$B),"")</f>
        <v/>
      </c>
      <c r="P2278" s="10"/>
      <c r="Q2278">
        <v>0.12</v>
      </c>
      <c r="R2278">
        <v>0.2</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78"/>
        <v>1312</v>
      </c>
      <c r="B2279">
        <v>1</v>
      </c>
      <c r="C2279" t="s">
        <v>404</v>
      </c>
      <c r="D2279" t="s">
        <v>28</v>
      </c>
      <c r="E2279" t="s">
        <v>393</v>
      </c>
      <c r="G2279">
        <v>1</v>
      </c>
      <c r="H2279">
        <v>1000</v>
      </c>
      <c r="J2279" cm="1">
        <f t="array" ref="J2279">_xlfn.SWITCH(B2279,1,75,2,61,3,49,4,37,5,25,6,13,7,4,8,1)</f>
        <v>75</v>
      </c>
      <c r="K2279" t="str" cm="1">
        <f t="array" ref="K2279">IFERROR(_xlfn.SWITCH(L2279,1,_xlfn.XLOOKUP(C2279,[1]AttributeName!$C:$C,[1]AttributeName!$I:$I),2,_xlfn.XLOOKUP(C2279,[1]ModifierDes!$B:$B,[1]ModifierDes!$C:$C),3,_xlfn.XLOOKUP(C2279,[1]StuntDes!$B:$B,[1]StuntDes!$C:$C)),"")</f>
        <v>物理伤害提高{0}</v>
      </c>
      <c r="L2279">
        <f t="shared" si="179"/>
        <v>1</v>
      </c>
      <c r="M2279" s="10" t="str">
        <f>IFERROR(_xlfn.XLOOKUP(C2279,[1]StuntDes!$B:$B,[1]StuntDes!$A:$A),"")</f>
        <v/>
      </c>
      <c r="N2279" s="10" t="str">
        <f>IFERROR(_xlfn.XLOOKUP(C2279,[1]ModifierDes!$B:$B,[1]ModifierDes!$A:$A),"")</f>
        <v/>
      </c>
      <c r="O2279" s="10">
        <f>IFERROR(_xlfn.XLOOKUP(C2279,[1]AttributeName!$C:$C,[1]AttributeName!$B:$B),"")</f>
        <v>10303</v>
      </c>
      <c r="P2279" s="10"/>
      <c r="Q2279">
        <v>0.76</v>
      </c>
      <c r="R2279">
        <v>1.02</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78"/>
        <v>1312</v>
      </c>
      <c r="B2280">
        <v>2</v>
      </c>
      <c r="C2280" t="s">
        <v>404</v>
      </c>
      <c r="D2280" t="s">
        <v>28</v>
      </c>
      <c r="E2280" t="s">
        <v>393</v>
      </c>
      <c r="G2280">
        <v>1</v>
      </c>
      <c r="H2280">
        <v>1000</v>
      </c>
      <c r="J2280" cm="1">
        <f t="array" ref="J2280">_xlfn.SWITCH(B2280,1,75,2,61,3,49,4,37,5,25,6,13,7,4,8,1)</f>
        <v>61</v>
      </c>
      <c r="K2280" t="str" cm="1">
        <f t="array" ref="K2280">IFERROR(_xlfn.SWITCH(L2280,1,_xlfn.XLOOKUP(C2280,[1]AttributeName!$C:$C,[1]AttributeName!$I:$I),2,_xlfn.XLOOKUP(C2280,[1]ModifierDes!$B:$B,[1]ModifierDes!$C:$C),3,_xlfn.XLOOKUP(C2280,[1]StuntDes!$B:$B,[1]StuntDes!$C:$C)),"")</f>
        <v>物理伤害提高{0}</v>
      </c>
      <c r="L2280">
        <f t="shared" si="179"/>
        <v>1</v>
      </c>
      <c r="M2280" s="10" t="str">
        <f>IFERROR(_xlfn.XLOOKUP(C2280,[1]StuntDes!$B:$B,[1]StuntDes!$A:$A),"")</f>
        <v/>
      </c>
      <c r="N2280" s="10" t="str">
        <f>IFERROR(_xlfn.XLOOKUP(C2280,[1]ModifierDes!$B:$B,[1]ModifierDes!$A:$A),"")</f>
        <v/>
      </c>
      <c r="O2280" s="10">
        <f>IFERROR(_xlfn.XLOOKUP(C2280,[1]AttributeName!$C:$C,[1]AttributeName!$B:$B),"")</f>
        <v>10303</v>
      </c>
      <c r="P2280" s="10"/>
      <c r="Q2280">
        <v>0.67</v>
      </c>
      <c r="R2280">
        <v>0.75</v>
      </c>
      <c r="S2280" cm="1">
        <f t="array" ref="S2280">IFERROR(_xlfn.SWITCH(L2280,1,_xlfn.XLOOKUP(O2280,[1]AttributeName!$B:$B,[1]AttributeName!$D:$D),2,_xlfn.XLOOKUP(C2280,[1]ModifierDes!$B:$B,[1]ModifierDes!$D:$D),3,_xlfn.XLOOKUP(C2280,[1]StuntDes!$B:$B,[1]StuntDes!$D:$D)),0)</f>
        <v>2</v>
      </c>
      <c r="T2280" cm="1">
        <f t="array" ref="T2280">IFERROR(_xlfn.SWITCH(L2280,1,_xlfn.XLOOKUP(O2280,[1]AttributeName!$B:$B,[1]AttributeName!$E:$E),2,_xlfn.XLOOKUP(C2280,[1]ModifierDes!$B:$B,[1]ModifierDes!$E:$E),3,_xlfn.XLOOKUP(C2280,[1]StuntDes!$B:$B,[1]StuntDes!$E:$E)),0)</f>
        <v>2</v>
      </c>
    </row>
    <row r="2281" customFormat="1" spans="1:20">
      <c r="A2281">
        <f t="shared" si="178"/>
        <v>1312</v>
      </c>
      <c r="B2281">
        <v>3</v>
      </c>
      <c r="C2281" t="s">
        <v>404</v>
      </c>
      <c r="D2281" t="s">
        <v>28</v>
      </c>
      <c r="E2281" t="s">
        <v>393</v>
      </c>
      <c r="G2281">
        <v>1</v>
      </c>
      <c r="H2281">
        <v>1000</v>
      </c>
      <c r="J2281" cm="1">
        <f t="array" ref="J2281">_xlfn.SWITCH(B2281,1,75,2,61,3,49,4,37,5,25,6,13,7,4,8,1)</f>
        <v>49</v>
      </c>
      <c r="K2281" t="str" cm="1">
        <f t="array" ref="K2281">IFERROR(_xlfn.SWITCH(L2281,1,_xlfn.XLOOKUP(C2281,[1]AttributeName!$C:$C,[1]AttributeName!$I:$I),2,_xlfn.XLOOKUP(C2281,[1]ModifierDes!$B:$B,[1]ModifierDes!$C:$C),3,_xlfn.XLOOKUP(C2281,[1]StuntDes!$B:$B,[1]StuntDes!$C:$C)),"")</f>
        <v>物理伤害提高{0}</v>
      </c>
      <c r="L2281">
        <f t="shared" si="179"/>
        <v>1</v>
      </c>
      <c r="M2281" s="10" t="str">
        <f>IFERROR(_xlfn.XLOOKUP(C2281,[1]StuntDes!$B:$B,[1]StuntDes!$A:$A),"")</f>
        <v/>
      </c>
      <c r="N2281" s="10" t="str">
        <f>IFERROR(_xlfn.XLOOKUP(C2281,[1]ModifierDes!$B:$B,[1]ModifierDes!$A:$A),"")</f>
        <v/>
      </c>
      <c r="O2281" s="10">
        <f>IFERROR(_xlfn.XLOOKUP(C2281,[1]AttributeName!$C:$C,[1]AttributeName!$B:$B),"")</f>
        <v>10303</v>
      </c>
      <c r="P2281" s="10"/>
      <c r="Q2281">
        <v>0.58</v>
      </c>
      <c r="R2281">
        <v>0.66</v>
      </c>
      <c r="S2281" cm="1">
        <f t="array" ref="S2281">IFERROR(_xlfn.SWITCH(L2281,1,_xlfn.XLOOKUP(O2281,[1]AttributeName!$B:$B,[1]AttributeName!$D:$D),2,_xlfn.XLOOKUP(C2281,[1]ModifierDes!$B:$B,[1]ModifierDes!$D:$D),3,_xlfn.XLOOKUP(C2281,[1]StuntDes!$B:$B,[1]StuntDes!$D:$D)),0)</f>
        <v>2</v>
      </c>
      <c r="T2281" cm="1">
        <f t="array" ref="T2281">IFERROR(_xlfn.SWITCH(L2281,1,_xlfn.XLOOKUP(O2281,[1]AttributeName!$B:$B,[1]AttributeName!$E:$E),2,_xlfn.XLOOKUP(C2281,[1]ModifierDes!$B:$B,[1]ModifierDes!$E:$E),3,_xlfn.XLOOKUP(C2281,[1]StuntDes!$B:$B,[1]StuntDes!$E:$E)),0)</f>
        <v>2</v>
      </c>
    </row>
    <row r="2282" customFormat="1" spans="1:20">
      <c r="A2282">
        <f t="shared" si="178"/>
        <v>1312</v>
      </c>
      <c r="B2282">
        <v>4</v>
      </c>
      <c r="C2282" t="s">
        <v>404</v>
      </c>
      <c r="D2282" t="s">
        <v>28</v>
      </c>
      <c r="E2282" t="s">
        <v>393</v>
      </c>
      <c r="G2282">
        <v>1</v>
      </c>
      <c r="H2282">
        <v>1000</v>
      </c>
      <c r="J2282" cm="1">
        <f t="array" ref="J2282">_xlfn.SWITCH(B2282,1,75,2,61,3,49,4,37,5,25,6,13,7,4,8,1)</f>
        <v>37</v>
      </c>
      <c r="K2282" t="str" cm="1">
        <f t="array" ref="K2282">IFERROR(_xlfn.SWITCH(L2282,1,_xlfn.XLOOKUP(C2282,[1]AttributeName!$C:$C,[1]AttributeName!$I:$I),2,_xlfn.XLOOKUP(C2282,[1]ModifierDes!$B:$B,[1]ModifierDes!$C:$C),3,_xlfn.XLOOKUP(C2282,[1]StuntDes!$B:$B,[1]StuntDes!$C:$C)),"")</f>
        <v>物理伤害提高{0}</v>
      </c>
      <c r="L2282">
        <f t="shared" si="179"/>
        <v>1</v>
      </c>
      <c r="M2282" s="10" t="str">
        <f>IFERROR(_xlfn.XLOOKUP(C2282,[1]StuntDes!$B:$B,[1]StuntDes!$A:$A),"")</f>
        <v/>
      </c>
      <c r="N2282" s="10" t="str">
        <f>IFERROR(_xlfn.XLOOKUP(C2282,[1]ModifierDes!$B:$B,[1]ModifierDes!$A:$A),"")</f>
        <v/>
      </c>
      <c r="O2282" s="10">
        <f>IFERROR(_xlfn.XLOOKUP(C2282,[1]AttributeName!$C:$C,[1]AttributeName!$B:$B),"")</f>
        <v>10303</v>
      </c>
      <c r="P2282" s="10"/>
      <c r="Q2282">
        <v>0.48</v>
      </c>
      <c r="R2282">
        <v>0.57</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f t="shared" si="178"/>
        <v>1312</v>
      </c>
      <c r="B2283">
        <v>5</v>
      </c>
      <c r="C2283" t="s">
        <v>404</v>
      </c>
      <c r="D2283" t="s">
        <v>28</v>
      </c>
      <c r="E2283" t="s">
        <v>393</v>
      </c>
      <c r="G2283">
        <v>1</v>
      </c>
      <c r="H2283">
        <v>1000</v>
      </c>
      <c r="J2283" cm="1">
        <f t="array" ref="J2283">_xlfn.SWITCH(B2283,1,75,2,61,3,49,4,37,5,25,6,13,7,4,8,1)</f>
        <v>25</v>
      </c>
      <c r="K2283" t="str" cm="1">
        <f t="array" ref="K2283">IFERROR(_xlfn.SWITCH(L2283,1,_xlfn.XLOOKUP(C2283,[1]AttributeName!$C:$C,[1]AttributeName!$I:$I),2,_xlfn.XLOOKUP(C2283,[1]ModifierDes!$B:$B,[1]ModifierDes!$C:$C),3,_xlfn.XLOOKUP(C2283,[1]StuntDes!$B:$B,[1]StuntDes!$C:$C)),"")</f>
        <v>物理伤害提高{0}</v>
      </c>
      <c r="L2283">
        <f t="shared" si="179"/>
        <v>1</v>
      </c>
      <c r="M2283" s="10" t="str">
        <f>IFERROR(_xlfn.XLOOKUP(C2283,[1]StuntDes!$B:$B,[1]StuntDes!$A:$A),"")</f>
        <v/>
      </c>
      <c r="N2283" s="10" t="str">
        <f>IFERROR(_xlfn.XLOOKUP(C2283,[1]ModifierDes!$B:$B,[1]ModifierDes!$A:$A),"")</f>
        <v/>
      </c>
      <c r="O2283" s="10">
        <f>IFERROR(_xlfn.XLOOKUP(C2283,[1]AttributeName!$C:$C,[1]AttributeName!$B:$B),"")</f>
        <v>10303</v>
      </c>
      <c r="P2283" s="10"/>
      <c r="Q2283">
        <v>0.39</v>
      </c>
      <c r="R2283">
        <v>0.47</v>
      </c>
      <c r="S2283" cm="1">
        <f t="array" ref="S2283">IFERROR(_xlfn.SWITCH(L2283,1,_xlfn.XLOOKUP(O2283,[1]AttributeName!$B:$B,[1]AttributeName!$D:$D),2,_xlfn.XLOOKUP(C2283,[1]ModifierDes!$B:$B,[1]ModifierDes!$D:$D),3,_xlfn.XLOOKUP(C2283,[1]StuntDes!$B:$B,[1]StuntDes!$D:$D)),0)</f>
        <v>2</v>
      </c>
      <c r="T2283" cm="1">
        <f t="array" ref="T2283">IFERROR(_xlfn.SWITCH(L2283,1,_xlfn.XLOOKUP(O2283,[1]AttributeName!$B:$B,[1]AttributeName!$E:$E),2,_xlfn.XLOOKUP(C2283,[1]ModifierDes!$B:$B,[1]ModifierDes!$E:$E),3,_xlfn.XLOOKUP(C2283,[1]StuntDes!$B:$B,[1]StuntDes!$E:$E)),0)</f>
        <v>2</v>
      </c>
    </row>
    <row r="2284" customFormat="1" spans="1:20">
      <c r="A2284">
        <f t="shared" si="178"/>
        <v>1312</v>
      </c>
      <c r="B2284">
        <v>6</v>
      </c>
      <c r="C2284" t="s">
        <v>404</v>
      </c>
      <c r="D2284" t="s">
        <v>28</v>
      </c>
      <c r="E2284" t="s">
        <v>393</v>
      </c>
      <c r="G2284">
        <v>1</v>
      </c>
      <c r="H2284">
        <v>1000</v>
      </c>
      <c r="J2284" cm="1">
        <f t="array" ref="J2284">_xlfn.SWITCH(B2284,1,75,2,61,3,49,4,37,5,25,6,13,7,4,8,1)</f>
        <v>13</v>
      </c>
      <c r="K2284" t="str" cm="1">
        <f t="array" ref="K2284">IFERROR(_xlfn.SWITCH(L2284,1,_xlfn.XLOOKUP(C2284,[1]AttributeName!$C:$C,[1]AttributeName!$I:$I),2,_xlfn.XLOOKUP(C2284,[1]ModifierDes!$B:$B,[1]ModifierDes!$C:$C),3,_xlfn.XLOOKUP(C2284,[1]StuntDes!$B:$B,[1]StuntDes!$C:$C)),"")</f>
        <v>物理伤害提高{0}</v>
      </c>
      <c r="L2284">
        <f t="shared" si="179"/>
        <v>1</v>
      </c>
      <c r="M2284" s="10" t="str">
        <f>IFERROR(_xlfn.XLOOKUP(C2284,[1]StuntDes!$B:$B,[1]StuntDes!$A:$A),"")</f>
        <v/>
      </c>
      <c r="N2284" s="10" t="str">
        <f>IFERROR(_xlfn.XLOOKUP(C2284,[1]ModifierDes!$B:$B,[1]ModifierDes!$A:$A),"")</f>
        <v/>
      </c>
      <c r="O2284" s="10">
        <f>IFERROR(_xlfn.XLOOKUP(C2284,[1]AttributeName!$C:$C,[1]AttributeName!$B:$B),"")</f>
        <v>10303</v>
      </c>
      <c r="P2284" s="10"/>
      <c r="Q2284">
        <v>0.3</v>
      </c>
      <c r="R2284">
        <v>0.38</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f t="shared" si="178"/>
        <v>1312</v>
      </c>
      <c r="B2285">
        <v>7</v>
      </c>
      <c r="C2285" t="s">
        <v>404</v>
      </c>
      <c r="D2285" t="s">
        <v>28</v>
      </c>
      <c r="E2285" t="s">
        <v>393</v>
      </c>
      <c r="G2285">
        <v>1</v>
      </c>
      <c r="H2285">
        <v>1000</v>
      </c>
      <c r="J2285" cm="1">
        <f t="array" ref="J2285">_xlfn.SWITCH(B2285,1,75,2,61,3,49,4,37,5,25,6,13,7,4,8,1)</f>
        <v>4</v>
      </c>
      <c r="K2285" t="str" cm="1">
        <f t="array" ref="K2285">IFERROR(_xlfn.SWITCH(L2285,1,_xlfn.XLOOKUP(C2285,[1]AttributeName!$C:$C,[1]AttributeName!$I:$I),2,_xlfn.XLOOKUP(C2285,[1]ModifierDes!$B:$B,[1]ModifierDes!$C:$C),3,_xlfn.XLOOKUP(C2285,[1]StuntDes!$B:$B,[1]StuntDes!$C:$C)),"")</f>
        <v>物理伤害提高{0}</v>
      </c>
      <c r="L2285">
        <f t="shared" si="179"/>
        <v>1</v>
      </c>
      <c r="M2285" s="10" t="str">
        <f>IFERROR(_xlfn.XLOOKUP(C2285,[1]StuntDes!$B:$B,[1]StuntDes!$A:$A),"")</f>
        <v/>
      </c>
      <c r="N2285" s="10" t="str">
        <f>IFERROR(_xlfn.XLOOKUP(C2285,[1]ModifierDes!$B:$B,[1]ModifierDes!$A:$A),"")</f>
        <v/>
      </c>
      <c r="O2285" s="10">
        <f>IFERROR(_xlfn.XLOOKUP(C2285,[1]AttributeName!$C:$C,[1]AttributeName!$B:$B),"")</f>
        <v>10303</v>
      </c>
      <c r="P2285" s="10"/>
      <c r="Q2285">
        <v>0.21</v>
      </c>
      <c r="R2285">
        <v>0.29</v>
      </c>
      <c r="S2285" cm="1">
        <f t="array" ref="S2285">IFERROR(_xlfn.SWITCH(L2285,1,_xlfn.XLOOKUP(O2285,[1]AttributeName!$B:$B,[1]AttributeName!$D:$D),2,_xlfn.XLOOKUP(C2285,[1]ModifierDes!$B:$B,[1]ModifierDes!$D:$D),3,_xlfn.XLOOKUP(C2285,[1]StuntDes!$B:$B,[1]StuntDes!$D:$D)),0)</f>
        <v>2</v>
      </c>
      <c r="T2285" cm="1">
        <f t="array" ref="T2285">IFERROR(_xlfn.SWITCH(L2285,1,_xlfn.XLOOKUP(O2285,[1]AttributeName!$B:$B,[1]AttributeName!$E:$E),2,_xlfn.XLOOKUP(C2285,[1]ModifierDes!$B:$B,[1]ModifierDes!$E:$E),3,_xlfn.XLOOKUP(C2285,[1]StuntDes!$B:$B,[1]StuntDes!$E:$E)),0)</f>
        <v>2</v>
      </c>
    </row>
    <row r="2286" customFormat="1" spans="1:20">
      <c r="A2286">
        <f t="shared" si="178"/>
        <v>1312</v>
      </c>
      <c r="B2286">
        <v>8</v>
      </c>
      <c r="C2286" t="s">
        <v>404</v>
      </c>
      <c r="D2286" t="s">
        <v>28</v>
      </c>
      <c r="E2286" t="s">
        <v>393</v>
      </c>
      <c r="G2286">
        <v>1</v>
      </c>
      <c r="H2286">
        <v>1000</v>
      </c>
      <c r="J2286" cm="1">
        <f t="array" ref="J2286">_xlfn.SWITCH(B2286,1,75,2,61,3,49,4,37,5,25,6,13,7,4,8,1)</f>
        <v>1</v>
      </c>
      <c r="K2286" t="str" cm="1">
        <f t="array" ref="K2286">IFERROR(_xlfn.SWITCH(L2286,1,_xlfn.XLOOKUP(C2286,[1]AttributeName!$C:$C,[1]AttributeName!$I:$I),2,_xlfn.XLOOKUP(C2286,[1]ModifierDes!$B:$B,[1]ModifierDes!$C:$C),3,_xlfn.XLOOKUP(C2286,[1]StuntDes!$B:$B,[1]StuntDes!$C:$C)),"")</f>
        <v>物理伤害提高{0}</v>
      </c>
      <c r="L2286">
        <f t="shared" si="179"/>
        <v>1</v>
      </c>
      <c r="M2286" s="10" t="str">
        <f>IFERROR(_xlfn.XLOOKUP(C2286,[1]StuntDes!$B:$B,[1]StuntDes!$A:$A),"")</f>
        <v/>
      </c>
      <c r="N2286" s="10" t="str">
        <f>IFERROR(_xlfn.XLOOKUP(C2286,[1]ModifierDes!$B:$B,[1]ModifierDes!$A:$A),"")</f>
        <v/>
      </c>
      <c r="O2286" s="10">
        <f>IFERROR(_xlfn.XLOOKUP(C2286,[1]AttributeName!$C:$C,[1]AttributeName!$B:$B),"")</f>
        <v>10303</v>
      </c>
      <c r="P2286" s="10"/>
      <c r="Q2286">
        <v>0.12</v>
      </c>
      <c r="R2286">
        <v>0.2</v>
      </c>
      <c r="S2286" cm="1">
        <f t="array" ref="S2286">IFERROR(_xlfn.SWITCH(L2286,1,_xlfn.XLOOKUP(O2286,[1]AttributeName!$B:$B,[1]AttributeName!$D:$D),2,_xlfn.XLOOKUP(C2286,[1]ModifierDes!$B:$B,[1]ModifierDes!$D:$D),3,_xlfn.XLOOKUP(C2286,[1]StuntDes!$B:$B,[1]StuntDes!$D:$D)),0)</f>
        <v>2</v>
      </c>
      <c r="T2286" cm="1">
        <f t="array" ref="T2286">IFERROR(_xlfn.SWITCH(L2286,1,_xlfn.XLOOKUP(O2286,[1]AttributeName!$B:$B,[1]AttributeName!$E:$E),2,_xlfn.XLOOKUP(C2286,[1]ModifierDes!$B:$B,[1]ModifierDes!$E:$E),3,_xlfn.XLOOKUP(C2286,[1]StuntDes!$B:$B,[1]StuntDes!$E:$E)),0)</f>
        <v>2</v>
      </c>
    </row>
    <row r="2287" customFormat="1" spans="1:20">
      <c r="A2287">
        <f t="shared" si="178"/>
        <v>1313</v>
      </c>
      <c r="B2287">
        <v>1</v>
      </c>
      <c r="C2287" t="s">
        <v>405</v>
      </c>
      <c r="D2287" t="s">
        <v>28</v>
      </c>
      <c r="E2287" t="s">
        <v>393</v>
      </c>
      <c r="G2287">
        <v>1</v>
      </c>
      <c r="H2287">
        <v>1000</v>
      </c>
      <c r="J2287" cm="1">
        <f t="array" ref="J2287">_xlfn.SWITCH(B2287,1,75,2,61,3,49,4,37,5,25,6,13,7,4,8,1)</f>
        <v>75</v>
      </c>
      <c r="K2287" t="str" cm="1">
        <f t="array" ref="K2287">IFERROR(_xlfn.SWITCH(L2287,1,_xlfn.XLOOKUP(C2287,[1]AttributeName!$C:$C,[1]AttributeName!$I:$I),2,_xlfn.XLOOKUP(C2287,[1]ModifierDes!$B:$B,[1]ModifierDes!$C:$C),3,_xlfn.XLOOKUP(C2287,[1]StuntDes!$B:$B,[1]StuntDes!$C:$C)),"")</f>
        <v>元素伤害提高{0}</v>
      </c>
      <c r="L2287">
        <f t="shared" si="179"/>
        <v>2</v>
      </c>
      <c r="M2287" s="10" t="str">
        <f>IFERROR(_xlfn.XLOOKUP(C2287,[1]StuntDes!$B:$B,[1]StuntDes!$A:$A),"")</f>
        <v/>
      </c>
      <c r="N2287" s="10">
        <f>IFERROR(_xlfn.XLOOKUP(C2287,[1]ModifierDes!$B:$B,[1]ModifierDes!$A:$A),"")</f>
        <v>10120</v>
      </c>
      <c r="O2287" s="10">
        <f>IFERROR(_xlfn.XLOOKUP(C2287,[1]AttributeName!$C:$C,[1]AttributeName!$B:$B),"")</f>
        <v>10308</v>
      </c>
      <c r="P2287" s="10"/>
      <c r="Q2287">
        <v>0.76</v>
      </c>
      <c r="R2287">
        <v>1.02</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f t="shared" si="178"/>
        <v>1313</v>
      </c>
      <c r="B2288">
        <v>2</v>
      </c>
      <c r="C2288" t="s">
        <v>405</v>
      </c>
      <c r="D2288" t="s">
        <v>28</v>
      </c>
      <c r="E2288" t="s">
        <v>393</v>
      </c>
      <c r="G2288">
        <v>1</v>
      </c>
      <c r="H2288">
        <v>1000</v>
      </c>
      <c r="J2288" cm="1">
        <f t="array" ref="J2288">_xlfn.SWITCH(B2288,1,75,2,61,3,49,4,37,5,25,6,13,7,4,8,1)</f>
        <v>61</v>
      </c>
      <c r="K2288" t="str" cm="1">
        <f t="array" ref="K2288">IFERROR(_xlfn.SWITCH(L2288,1,_xlfn.XLOOKUP(C2288,[1]AttributeName!$C:$C,[1]AttributeName!$I:$I),2,_xlfn.XLOOKUP(C2288,[1]ModifierDes!$B:$B,[1]ModifierDes!$C:$C),3,_xlfn.XLOOKUP(C2288,[1]StuntDes!$B:$B,[1]StuntDes!$C:$C)),"")</f>
        <v>元素伤害提高{0}</v>
      </c>
      <c r="L2288">
        <f t="shared" si="179"/>
        <v>2</v>
      </c>
      <c r="M2288" s="10" t="str">
        <f>IFERROR(_xlfn.XLOOKUP(C2288,[1]StuntDes!$B:$B,[1]StuntDes!$A:$A),"")</f>
        <v/>
      </c>
      <c r="N2288" s="10">
        <f>IFERROR(_xlfn.XLOOKUP(C2288,[1]ModifierDes!$B:$B,[1]ModifierDes!$A:$A),"")</f>
        <v>10120</v>
      </c>
      <c r="O2288" s="10">
        <f>IFERROR(_xlfn.XLOOKUP(C2288,[1]AttributeName!$C:$C,[1]AttributeName!$B:$B),"")</f>
        <v>10308</v>
      </c>
      <c r="P2288" s="10"/>
      <c r="Q2288">
        <v>0.67</v>
      </c>
      <c r="R2288">
        <v>0.75</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f t="shared" si="178"/>
        <v>1313</v>
      </c>
      <c r="B2289">
        <v>3</v>
      </c>
      <c r="C2289" t="s">
        <v>405</v>
      </c>
      <c r="D2289" t="s">
        <v>28</v>
      </c>
      <c r="E2289" t="s">
        <v>393</v>
      </c>
      <c r="G2289">
        <v>1</v>
      </c>
      <c r="H2289">
        <v>1000</v>
      </c>
      <c r="J2289" cm="1">
        <f t="array" ref="J2289">_xlfn.SWITCH(B2289,1,75,2,61,3,49,4,37,5,25,6,13,7,4,8,1)</f>
        <v>49</v>
      </c>
      <c r="K2289" t="str" cm="1">
        <f t="array" ref="K2289">IFERROR(_xlfn.SWITCH(L2289,1,_xlfn.XLOOKUP(C2289,[1]AttributeName!$C:$C,[1]AttributeName!$I:$I),2,_xlfn.XLOOKUP(C2289,[1]ModifierDes!$B:$B,[1]ModifierDes!$C:$C),3,_xlfn.XLOOKUP(C2289,[1]StuntDes!$B:$B,[1]StuntDes!$C:$C)),"")</f>
        <v>元素伤害提高{0}</v>
      </c>
      <c r="L2289">
        <f t="shared" si="179"/>
        <v>2</v>
      </c>
      <c r="M2289" s="10" t="str">
        <f>IFERROR(_xlfn.XLOOKUP(C2289,[1]StuntDes!$B:$B,[1]StuntDes!$A:$A),"")</f>
        <v/>
      </c>
      <c r="N2289" s="10">
        <f>IFERROR(_xlfn.XLOOKUP(C2289,[1]ModifierDes!$B:$B,[1]ModifierDes!$A:$A),"")</f>
        <v>10120</v>
      </c>
      <c r="O2289" s="10">
        <f>IFERROR(_xlfn.XLOOKUP(C2289,[1]AttributeName!$C:$C,[1]AttributeName!$B:$B),"")</f>
        <v>10308</v>
      </c>
      <c r="P2289" s="10"/>
      <c r="Q2289">
        <v>0.58</v>
      </c>
      <c r="R2289">
        <v>0.66</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f t="shared" si="178"/>
        <v>1313</v>
      </c>
      <c r="B2290">
        <v>4</v>
      </c>
      <c r="C2290" t="s">
        <v>405</v>
      </c>
      <c r="D2290" t="s">
        <v>28</v>
      </c>
      <c r="E2290" t="s">
        <v>393</v>
      </c>
      <c r="G2290">
        <v>1</v>
      </c>
      <c r="H2290">
        <v>1000</v>
      </c>
      <c r="J2290" cm="1">
        <f t="array" ref="J2290">_xlfn.SWITCH(B2290,1,75,2,61,3,49,4,37,5,25,6,13,7,4,8,1)</f>
        <v>37</v>
      </c>
      <c r="K2290" t="str" cm="1">
        <f t="array" ref="K2290">IFERROR(_xlfn.SWITCH(L2290,1,_xlfn.XLOOKUP(C2290,[1]AttributeName!$C:$C,[1]AttributeName!$I:$I),2,_xlfn.XLOOKUP(C2290,[1]ModifierDes!$B:$B,[1]ModifierDes!$C:$C),3,_xlfn.XLOOKUP(C2290,[1]StuntDes!$B:$B,[1]StuntDes!$C:$C)),"")</f>
        <v>元素伤害提高{0}</v>
      </c>
      <c r="L2290">
        <f t="shared" si="179"/>
        <v>2</v>
      </c>
      <c r="M2290" s="10" t="str">
        <f>IFERROR(_xlfn.XLOOKUP(C2290,[1]StuntDes!$B:$B,[1]StuntDes!$A:$A),"")</f>
        <v/>
      </c>
      <c r="N2290" s="10">
        <f>IFERROR(_xlfn.XLOOKUP(C2290,[1]ModifierDes!$B:$B,[1]ModifierDes!$A:$A),"")</f>
        <v>10120</v>
      </c>
      <c r="O2290" s="10">
        <f>IFERROR(_xlfn.XLOOKUP(C2290,[1]AttributeName!$C:$C,[1]AttributeName!$B:$B),"")</f>
        <v>10308</v>
      </c>
      <c r="P2290" s="10"/>
      <c r="Q2290">
        <v>0.48</v>
      </c>
      <c r="R2290">
        <v>0.57</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f t="shared" si="178"/>
        <v>1313</v>
      </c>
      <c r="B2291">
        <v>5</v>
      </c>
      <c r="C2291" t="s">
        <v>405</v>
      </c>
      <c r="D2291" t="s">
        <v>28</v>
      </c>
      <c r="E2291" t="s">
        <v>393</v>
      </c>
      <c r="G2291">
        <v>1</v>
      </c>
      <c r="H2291">
        <v>1000</v>
      </c>
      <c r="J2291" cm="1">
        <f t="array" ref="J2291">_xlfn.SWITCH(B2291,1,75,2,61,3,49,4,37,5,25,6,13,7,4,8,1)</f>
        <v>25</v>
      </c>
      <c r="K2291" t="str" cm="1">
        <f t="array" ref="K2291">IFERROR(_xlfn.SWITCH(L2291,1,_xlfn.XLOOKUP(C2291,[1]AttributeName!$C:$C,[1]AttributeName!$I:$I),2,_xlfn.XLOOKUP(C2291,[1]ModifierDes!$B:$B,[1]ModifierDes!$C:$C),3,_xlfn.XLOOKUP(C2291,[1]StuntDes!$B:$B,[1]StuntDes!$C:$C)),"")</f>
        <v>元素伤害提高{0}</v>
      </c>
      <c r="L2291">
        <f t="shared" si="179"/>
        <v>2</v>
      </c>
      <c r="M2291" s="10" t="str">
        <f>IFERROR(_xlfn.XLOOKUP(C2291,[1]StuntDes!$B:$B,[1]StuntDes!$A:$A),"")</f>
        <v/>
      </c>
      <c r="N2291" s="10">
        <f>IFERROR(_xlfn.XLOOKUP(C2291,[1]ModifierDes!$B:$B,[1]ModifierDes!$A:$A),"")</f>
        <v>10120</v>
      </c>
      <c r="O2291" s="10">
        <f>IFERROR(_xlfn.XLOOKUP(C2291,[1]AttributeName!$C:$C,[1]AttributeName!$B:$B),"")</f>
        <v>10308</v>
      </c>
      <c r="P2291" s="10"/>
      <c r="Q2291">
        <v>0.39</v>
      </c>
      <c r="R2291">
        <v>0.47</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f t="shared" si="178"/>
        <v>1313</v>
      </c>
      <c r="B2292">
        <v>6</v>
      </c>
      <c r="C2292" t="s">
        <v>405</v>
      </c>
      <c r="D2292" t="s">
        <v>28</v>
      </c>
      <c r="E2292" t="s">
        <v>393</v>
      </c>
      <c r="G2292">
        <v>1</v>
      </c>
      <c r="H2292">
        <v>1000</v>
      </c>
      <c r="J2292" cm="1">
        <f t="array" ref="J2292">_xlfn.SWITCH(B2292,1,75,2,61,3,49,4,37,5,25,6,13,7,4,8,1)</f>
        <v>13</v>
      </c>
      <c r="K2292" t="str" cm="1">
        <f t="array" ref="K2292">IFERROR(_xlfn.SWITCH(L2292,1,_xlfn.XLOOKUP(C2292,[1]AttributeName!$C:$C,[1]AttributeName!$I:$I),2,_xlfn.XLOOKUP(C2292,[1]ModifierDes!$B:$B,[1]ModifierDes!$C:$C),3,_xlfn.XLOOKUP(C2292,[1]StuntDes!$B:$B,[1]StuntDes!$C:$C)),"")</f>
        <v>元素伤害提高{0}</v>
      </c>
      <c r="L2292">
        <f t="shared" si="179"/>
        <v>2</v>
      </c>
      <c r="M2292" s="10" t="str">
        <f>IFERROR(_xlfn.XLOOKUP(C2292,[1]StuntDes!$B:$B,[1]StuntDes!$A:$A),"")</f>
        <v/>
      </c>
      <c r="N2292" s="10">
        <f>IFERROR(_xlfn.XLOOKUP(C2292,[1]ModifierDes!$B:$B,[1]ModifierDes!$A:$A),"")</f>
        <v>10120</v>
      </c>
      <c r="O2292" s="10">
        <f>IFERROR(_xlfn.XLOOKUP(C2292,[1]AttributeName!$C:$C,[1]AttributeName!$B:$B),"")</f>
        <v>10308</v>
      </c>
      <c r="P2292" s="10"/>
      <c r="Q2292">
        <v>0.3</v>
      </c>
      <c r="R2292">
        <v>0.38</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f t="shared" si="178"/>
        <v>1313</v>
      </c>
      <c r="B2293">
        <v>7</v>
      </c>
      <c r="C2293" t="s">
        <v>405</v>
      </c>
      <c r="D2293" t="s">
        <v>28</v>
      </c>
      <c r="E2293" t="s">
        <v>393</v>
      </c>
      <c r="G2293">
        <v>1</v>
      </c>
      <c r="H2293">
        <v>1000</v>
      </c>
      <c r="J2293" cm="1">
        <f t="array" ref="J2293">_xlfn.SWITCH(B2293,1,75,2,61,3,49,4,37,5,25,6,13,7,4,8,1)</f>
        <v>4</v>
      </c>
      <c r="K2293" t="str" cm="1">
        <f t="array" ref="K2293">IFERROR(_xlfn.SWITCH(L2293,1,_xlfn.XLOOKUP(C2293,[1]AttributeName!$C:$C,[1]AttributeName!$I:$I),2,_xlfn.XLOOKUP(C2293,[1]ModifierDes!$B:$B,[1]ModifierDes!$C:$C),3,_xlfn.XLOOKUP(C2293,[1]StuntDes!$B:$B,[1]StuntDes!$C:$C)),"")</f>
        <v>元素伤害提高{0}</v>
      </c>
      <c r="L2293">
        <f t="shared" si="179"/>
        <v>2</v>
      </c>
      <c r="M2293" s="10" t="str">
        <f>IFERROR(_xlfn.XLOOKUP(C2293,[1]StuntDes!$B:$B,[1]StuntDes!$A:$A),"")</f>
        <v/>
      </c>
      <c r="N2293" s="10">
        <f>IFERROR(_xlfn.XLOOKUP(C2293,[1]ModifierDes!$B:$B,[1]ModifierDes!$A:$A),"")</f>
        <v>10120</v>
      </c>
      <c r="O2293" s="10">
        <f>IFERROR(_xlfn.XLOOKUP(C2293,[1]AttributeName!$C:$C,[1]AttributeName!$B:$B),"")</f>
        <v>10308</v>
      </c>
      <c r="P2293" s="10"/>
      <c r="Q2293">
        <v>0.21</v>
      </c>
      <c r="R2293">
        <v>0.29</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f t="shared" si="178"/>
        <v>1313</v>
      </c>
      <c r="B2294">
        <v>8</v>
      </c>
      <c r="C2294" t="s">
        <v>405</v>
      </c>
      <c r="D2294" t="s">
        <v>28</v>
      </c>
      <c r="E2294" t="s">
        <v>393</v>
      </c>
      <c r="G2294">
        <v>1</v>
      </c>
      <c r="H2294">
        <v>1000</v>
      </c>
      <c r="J2294" cm="1">
        <f t="array" ref="J2294">_xlfn.SWITCH(B2294,1,75,2,61,3,49,4,37,5,25,6,13,7,4,8,1)</f>
        <v>1</v>
      </c>
      <c r="K2294" t="str" cm="1">
        <f t="array" ref="K2294">IFERROR(_xlfn.SWITCH(L2294,1,_xlfn.XLOOKUP(C2294,[1]AttributeName!$C:$C,[1]AttributeName!$I:$I),2,_xlfn.XLOOKUP(C2294,[1]ModifierDes!$B:$B,[1]ModifierDes!$C:$C),3,_xlfn.XLOOKUP(C2294,[1]StuntDes!$B:$B,[1]StuntDes!$C:$C)),"")</f>
        <v>元素伤害提高{0}</v>
      </c>
      <c r="L2294">
        <f t="shared" si="179"/>
        <v>2</v>
      </c>
      <c r="M2294" s="10" t="str">
        <f>IFERROR(_xlfn.XLOOKUP(C2294,[1]StuntDes!$B:$B,[1]StuntDes!$A:$A),"")</f>
        <v/>
      </c>
      <c r="N2294" s="10">
        <f>IFERROR(_xlfn.XLOOKUP(C2294,[1]ModifierDes!$B:$B,[1]ModifierDes!$A:$A),"")</f>
        <v>10120</v>
      </c>
      <c r="O2294" s="10">
        <f>IFERROR(_xlfn.XLOOKUP(C2294,[1]AttributeName!$C:$C,[1]AttributeName!$B:$B),"")</f>
        <v>10308</v>
      </c>
      <c r="P2294" s="10"/>
      <c r="Q2294">
        <v>0.12</v>
      </c>
      <c r="R2294">
        <v>0.2</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f t="shared" si="178"/>
        <v>1314</v>
      </c>
      <c r="B2295">
        <v>1</v>
      </c>
      <c r="C2295" t="s">
        <v>406</v>
      </c>
      <c r="D2295" t="s">
        <v>28</v>
      </c>
      <c r="E2295" t="s">
        <v>393</v>
      </c>
      <c r="G2295">
        <v>1</v>
      </c>
      <c r="H2295">
        <v>1000</v>
      </c>
      <c r="J2295" cm="1">
        <f t="array" ref="J2295">_xlfn.SWITCH(B2295,1,75,2,61,3,49,4,37,5,25,6,13,7,4,8,1)</f>
        <v>75</v>
      </c>
      <c r="K2295" t="str" cm="1">
        <f t="array" ref="K2295">IFERROR(_xlfn.SWITCH(L2295,1,_xlfn.XLOOKUP(C2295,[1]AttributeName!$C:$C,[1]AttributeName!$I:$I),2,_xlfn.XLOOKUP(C2295,[1]ModifierDes!$B:$B,[1]ModifierDes!$C:$C),3,_xlfn.XLOOKUP(C2295,[1]StuntDes!$B:$B,[1]StuntDes!$C:$C)),"")</f>
        <v>混沌伤害提高{0}</v>
      </c>
      <c r="L2295">
        <f t="shared" si="179"/>
        <v>1</v>
      </c>
      <c r="M2295" s="10" t="str">
        <f>IFERROR(_xlfn.XLOOKUP(C2295,[1]StuntDes!$B:$B,[1]StuntDes!$A:$A),"")</f>
        <v/>
      </c>
      <c r="N2295" s="10" t="str">
        <f>IFERROR(_xlfn.XLOOKUP(C2295,[1]ModifierDes!$B:$B,[1]ModifierDes!$A:$A),"")</f>
        <v/>
      </c>
      <c r="O2295" s="10">
        <f>IFERROR(_xlfn.XLOOKUP(C2295,[1]AttributeName!$C:$C,[1]AttributeName!$B:$B),"")</f>
        <v>10307</v>
      </c>
      <c r="P2295" s="10"/>
      <c r="Q2295">
        <v>0.76</v>
      </c>
      <c r="R2295">
        <v>1.02</v>
      </c>
      <c r="S2295" cm="1">
        <f t="array" ref="S2295">IFERROR(_xlfn.SWITCH(L2295,1,_xlfn.XLOOKUP(O2295,[1]AttributeName!$B:$B,[1]AttributeName!$D:$D),2,_xlfn.XLOOKUP(C2295,[1]ModifierDes!$B:$B,[1]ModifierDes!$D:$D),3,_xlfn.XLOOKUP(C2295,[1]StuntDes!$B:$B,[1]StuntDes!$D:$D)),0)</f>
        <v>2</v>
      </c>
      <c r="T2295" cm="1">
        <f t="array" ref="T2295">IFERROR(_xlfn.SWITCH(L2295,1,_xlfn.XLOOKUP(O2295,[1]AttributeName!$B:$B,[1]AttributeName!$E:$E),2,_xlfn.XLOOKUP(C2295,[1]ModifierDes!$B:$B,[1]ModifierDes!$E:$E),3,_xlfn.XLOOKUP(C2295,[1]StuntDes!$B:$B,[1]StuntDes!$E:$E)),0)</f>
        <v>2</v>
      </c>
    </row>
    <row r="2296" customFormat="1" spans="1:20">
      <c r="A2296">
        <f t="shared" si="178"/>
        <v>1314</v>
      </c>
      <c r="B2296">
        <v>2</v>
      </c>
      <c r="C2296" t="s">
        <v>406</v>
      </c>
      <c r="D2296" t="s">
        <v>28</v>
      </c>
      <c r="E2296" t="s">
        <v>393</v>
      </c>
      <c r="G2296">
        <v>1</v>
      </c>
      <c r="H2296">
        <v>1000</v>
      </c>
      <c r="J2296" cm="1">
        <f t="array" ref="J2296">_xlfn.SWITCH(B2296,1,75,2,61,3,49,4,37,5,25,6,13,7,4,8,1)</f>
        <v>61</v>
      </c>
      <c r="K2296" t="str" cm="1">
        <f t="array" ref="K2296">IFERROR(_xlfn.SWITCH(L2296,1,_xlfn.XLOOKUP(C2296,[1]AttributeName!$C:$C,[1]AttributeName!$I:$I),2,_xlfn.XLOOKUP(C2296,[1]ModifierDes!$B:$B,[1]ModifierDes!$C:$C),3,_xlfn.XLOOKUP(C2296,[1]StuntDes!$B:$B,[1]StuntDes!$C:$C)),"")</f>
        <v>混沌伤害提高{0}</v>
      </c>
      <c r="L2296">
        <f t="shared" si="179"/>
        <v>1</v>
      </c>
      <c r="M2296" s="10" t="str">
        <f>IFERROR(_xlfn.XLOOKUP(C2296,[1]StuntDes!$B:$B,[1]StuntDes!$A:$A),"")</f>
        <v/>
      </c>
      <c r="N2296" s="10" t="str">
        <f>IFERROR(_xlfn.XLOOKUP(C2296,[1]ModifierDes!$B:$B,[1]ModifierDes!$A:$A),"")</f>
        <v/>
      </c>
      <c r="O2296" s="10">
        <f>IFERROR(_xlfn.XLOOKUP(C2296,[1]AttributeName!$C:$C,[1]AttributeName!$B:$B),"")</f>
        <v>10307</v>
      </c>
      <c r="P2296" s="10"/>
      <c r="Q2296">
        <v>0.67</v>
      </c>
      <c r="R2296">
        <v>0.75</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f t="shared" si="178"/>
        <v>1314</v>
      </c>
      <c r="B2297">
        <v>3</v>
      </c>
      <c r="C2297" t="s">
        <v>406</v>
      </c>
      <c r="D2297" t="s">
        <v>28</v>
      </c>
      <c r="E2297" t="s">
        <v>393</v>
      </c>
      <c r="G2297">
        <v>1</v>
      </c>
      <c r="H2297">
        <v>1000</v>
      </c>
      <c r="J2297" cm="1">
        <f t="array" ref="J2297">_xlfn.SWITCH(B2297,1,75,2,61,3,49,4,37,5,25,6,13,7,4,8,1)</f>
        <v>49</v>
      </c>
      <c r="K2297" t="str" cm="1">
        <f t="array" ref="K2297">IFERROR(_xlfn.SWITCH(L2297,1,_xlfn.XLOOKUP(C2297,[1]AttributeName!$C:$C,[1]AttributeName!$I:$I),2,_xlfn.XLOOKUP(C2297,[1]ModifierDes!$B:$B,[1]ModifierDes!$C:$C),3,_xlfn.XLOOKUP(C2297,[1]StuntDes!$B:$B,[1]StuntDes!$C:$C)),"")</f>
        <v>混沌伤害提高{0}</v>
      </c>
      <c r="L2297">
        <f t="shared" si="179"/>
        <v>1</v>
      </c>
      <c r="M2297" s="10" t="str">
        <f>IFERROR(_xlfn.XLOOKUP(C2297,[1]StuntDes!$B:$B,[1]StuntDes!$A:$A),"")</f>
        <v/>
      </c>
      <c r="N2297" s="10" t="str">
        <f>IFERROR(_xlfn.XLOOKUP(C2297,[1]ModifierDes!$B:$B,[1]ModifierDes!$A:$A),"")</f>
        <v/>
      </c>
      <c r="O2297" s="10">
        <f>IFERROR(_xlfn.XLOOKUP(C2297,[1]AttributeName!$C:$C,[1]AttributeName!$B:$B),"")</f>
        <v>10307</v>
      </c>
      <c r="P2297" s="10"/>
      <c r="Q2297">
        <v>0.58</v>
      </c>
      <c r="R2297">
        <v>0.66</v>
      </c>
      <c r="S2297" cm="1">
        <f t="array" ref="S2297">IFERROR(_xlfn.SWITCH(L2297,1,_xlfn.XLOOKUP(O2297,[1]AttributeName!$B:$B,[1]AttributeName!$D:$D),2,_xlfn.XLOOKUP(C2297,[1]ModifierDes!$B:$B,[1]ModifierDes!$D:$D),3,_xlfn.XLOOKUP(C2297,[1]StuntDes!$B:$B,[1]StuntDes!$D:$D)),0)</f>
        <v>2</v>
      </c>
      <c r="T2297" cm="1">
        <f t="array" ref="T2297">IFERROR(_xlfn.SWITCH(L2297,1,_xlfn.XLOOKUP(O2297,[1]AttributeName!$B:$B,[1]AttributeName!$E:$E),2,_xlfn.XLOOKUP(C2297,[1]ModifierDes!$B:$B,[1]ModifierDes!$E:$E),3,_xlfn.XLOOKUP(C2297,[1]StuntDes!$B:$B,[1]StuntDes!$E:$E)),0)</f>
        <v>2</v>
      </c>
    </row>
    <row r="2298" customFormat="1" spans="1:20">
      <c r="A2298">
        <f t="shared" si="178"/>
        <v>1314</v>
      </c>
      <c r="B2298">
        <v>4</v>
      </c>
      <c r="C2298" t="s">
        <v>406</v>
      </c>
      <c r="D2298" t="s">
        <v>28</v>
      </c>
      <c r="E2298" t="s">
        <v>393</v>
      </c>
      <c r="G2298">
        <v>1</v>
      </c>
      <c r="H2298">
        <v>1000</v>
      </c>
      <c r="J2298" cm="1">
        <f t="array" ref="J2298">_xlfn.SWITCH(B2298,1,75,2,61,3,49,4,37,5,25,6,13,7,4,8,1)</f>
        <v>37</v>
      </c>
      <c r="K2298" t="str" cm="1">
        <f t="array" ref="K2298">IFERROR(_xlfn.SWITCH(L2298,1,_xlfn.XLOOKUP(C2298,[1]AttributeName!$C:$C,[1]AttributeName!$I:$I),2,_xlfn.XLOOKUP(C2298,[1]ModifierDes!$B:$B,[1]ModifierDes!$C:$C),3,_xlfn.XLOOKUP(C2298,[1]StuntDes!$B:$B,[1]StuntDes!$C:$C)),"")</f>
        <v>混沌伤害提高{0}</v>
      </c>
      <c r="L2298">
        <f t="shared" si="179"/>
        <v>1</v>
      </c>
      <c r="M2298" s="10" t="str">
        <f>IFERROR(_xlfn.XLOOKUP(C2298,[1]StuntDes!$B:$B,[1]StuntDes!$A:$A),"")</f>
        <v/>
      </c>
      <c r="N2298" s="10" t="str">
        <f>IFERROR(_xlfn.XLOOKUP(C2298,[1]ModifierDes!$B:$B,[1]ModifierDes!$A:$A),"")</f>
        <v/>
      </c>
      <c r="O2298" s="10">
        <f>IFERROR(_xlfn.XLOOKUP(C2298,[1]AttributeName!$C:$C,[1]AttributeName!$B:$B),"")</f>
        <v>10307</v>
      </c>
      <c r="P2298" s="10"/>
      <c r="Q2298">
        <v>0.48</v>
      </c>
      <c r="R2298">
        <v>0.57</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f t="shared" si="178"/>
        <v>1314</v>
      </c>
      <c r="B2299">
        <v>5</v>
      </c>
      <c r="C2299" t="s">
        <v>406</v>
      </c>
      <c r="D2299" t="s">
        <v>28</v>
      </c>
      <c r="E2299" t="s">
        <v>393</v>
      </c>
      <c r="G2299">
        <v>1</v>
      </c>
      <c r="H2299">
        <v>1000</v>
      </c>
      <c r="J2299" cm="1">
        <f t="array" ref="J2299">_xlfn.SWITCH(B2299,1,75,2,61,3,49,4,37,5,25,6,13,7,4,8,1)</f>
        <v>25</v>
      </c>
      <c r="K2299" t="str" cm="1">
        <f t="array" ref="K2299">IFERROR(_xlfn.SWITCH(L2299,1,_xlfn.XLOOKUP(C2299,[1]AttributeName!$C:$C,[1]AttributeName!$I:$I),2,_xlfn.XLOOKUP(C2299,[1]ModifierDes!$B:$B,[1]ModifierDes!$C:$C),3,_xlfn.XLOOKUP(C2299,[1]StuntDes!$B:$B,[1]StuntDes!$C:$C)),"")</f>
        <v>混沌伤害提高{0}</v>
      </c>
      <c r="L2299">
        <f t="shared" si="179"/>
        <v>1</v>
      </c>
      <c r="M2299" s="10" t="str">
        <f>IFERROR(_xlfn.XLOOKUP(C2299,[1]StuntDes!$B:$B,[1]StuntDes!$A:$A),"")</f>
        <v/>
      </c>
      <c r="N2299" s="10" t="str">
        <f>IFERROR(_xlfn.XLOOKUP(C2299,[1]ModifierDes!$B:$B,[1]ModifierDes!$A:$A),"")</f>
        <v/>
      </c>
      <c r="O2299" s="10">
        <f>IFERROR(_xlfn.XLOOKUP(C2299,[1]AttributeName!$C:$C,[1]AttributeName!$B:$B),"")</f>
        <v>10307</v>
      </c>
      <c r="P2299" s="10"/>
      <c r="Q2299">
        <v>0.39</v>
      </c>
      <c r="R2299">
        <v>0.47</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f t="shared" si="178"/>
        <v>1314</v>
      </c>
      <c r="B2300">
        <v>6</v>
      </c>
      <c r="C2300" t="s">
        <v>406</v>
      </c>
      <c r="D2300" t="s">
        <v>28</v>
      </c>
      <c r="E2300" t="s">
        <v>393</v>
      </c>
      <c r="G2300">
        <v>1</v>
      </c>
      <c r="H2300">
        <v>1000</v>
      </c>
      <c r="J2300" cm="1">
        <f t="array" ref="J2300">_xlfn.SWITCH(B2300,1,75,2,61,3,49,4,37,5,25,6,13,7,4,8,1)</f>
        <v>13</v>
      </c>
      <c r="K2300" t="str" cm="1">
        <f t="array" ref="K2300">IFERROR(_xlfn.SWITCH(L2300,1,_xlfn.XLOOKUP(C2300,[1]AttributeName!$C:$C,[1]AttributeName!$I:$I),2,_xlfn.XLOOKUP(C2300,[1]ModifierDes!$B:$B,[1]ModifierDes!$C:$C),3,_xlfn.XLOOKUP(C2300,[1]StuntDes!$B:$B,[1]StuntDes!$C:$C)),"")</f>
        <v>混沌伤害提高{0}</v>
      </c>
      <c r="L2300">
        <f t="shared" si="179"/>
        <v>1</v>
      </c>
      <c r="M2300" s="10" t="str">
        <f>IFERROR(_xlfn.XLOOKUP(C2300,[1]StuntDes!$B:$B,[1]StuntDes!$A:$A),"")</f>
        <v/>
      </c>
      <c r="N2300" s="10" t="str">
        <f>IFERROR(_xlfn.XLOOKUP(C2300,[1]ModifierDes!$B:$B,[1]ModifierDes!$A:$A),"")</f>
        <v/>
      </c>
      <c r="O2300" s="10">
        <f>IFERROR(_xlfn.XLOOKUP(C2300,[1]AttributeName!$C:$C,[1]AttributeName!$B:$B),"")</f>
        <v>10307</v>
      </c>
      <c r="P2300" s="10"/>
      <c r="Q2300">
        <v>0.3</v>
      </c>
      <c r="R2300">
        <v>0.38</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f t="shared" si="178"/>
        <v>1314</v>
      </c>
      <c r="B2301">
        <v>7</v>
      </c>
      <c r="C2301" t="s">
        <v>406</v>
      </c>
      <c r="D2301" t="s">
        <v>28</v>
      </c>
      <c r="E2301" t="s">
        <v>393</v>
      </c>
      <c r="G2301">
        <v>1</v>
      </c>
      <c r="H2301">
        <v>1000</v>
      </c>
      <c r="J2301" cm="1">
        <f t="array" ref="J2301">_xlfn.SWITCH(B2301,1,75,2,61,3,49,4,37,5,25,6,13,7,4,8,1)</f>
        <v>4</v>
      </c>
      <c r="K2301" t="str" cm="1">
        <f t="array" ref="K2301">IFERROR(_xlfn.SWITCH(L2301,1,_xlfn.XLOOKUP(C2301,[1]AttributeName!$C:$C,[1]AttributeName!$I:$I),2,_xlfn.XLOOKUP(C2301,[1]ModifierDes!$B:$B,[1]ModifierDes!$C:$C),3,_xlfn.XLOOKUP(C2301,[1]StuntDes!$B:$B,[1]StuntDes!$C:$C)),"")</f>
        <v>混沌伤害提高{0}</v>
      </c>
      <c r="L2301">
        <f t="shared" si="179"/>
        <v>1</v>
      </c>
      <c r="M2301" s="10" t="str">
        <f>IFERROR(_xlfn.XLOOKUP(C2301,[1]StuntDes!$B:$B,[1]StuntDes!$A:$A),"")</f>
        <v/>
      </c>
      <c r="N2301" s="10" t="str">
        <f>IFERROR(_xlfn.XLOOKUP(C2301,[1]ModifierDes!$B:$B,[1]ModifierDes!$A:$A),"")</f>
        <v/>
      </c>
      <c r="O2301" s="10">
        <f>IFERROR(_xlfn.XLOOKUP(C2301,[1]AttributeName!$C:$C,[1]AttributeName!$B:$B),"")</f>
        <v>10307</v>
      </c>
      <c r="P2301" s="10"/>
      <c r="Q2301">
        <v>0.21</v>
      </c>
      <c r="R2301">
        <v>0.29</v>
      </c>
      <c r="S2301" cm="1">
        <f t="array" ref="S2301">IFERROR(_xlfn.SWITCH(L2301,1,_xlfn.XLOOKUP(O2301,[1]AttributeName!$B:$B,[1]AttributeName!$D:$D),2,_xlfn.XLOOKUP(C2301,[1]ModifierDes!$B:$B,[1]ModifierDes!$D:$D),3,_xlfn.XLOOKUP(C2301,[1]StuntDes!$B:$B,[1]StuntDes!$D:$D)),0)</f>
        <v>2</v>
      </c>
      <c r="T2301" cm="1">
        <f t="array" ref="T2301">IFERROR(_xlfn.SWITCH(L2301,1,_xlfn.XLOOKUP(O2301,[1]AttributeName!$B:$B,[1]AttributeName!$E:$E),2,_xlfn.XLOOKUP(C2301,[1]ModifierDes!$B:$B,[1]ModifierDes!$E:$E),3,_xlfn.XLOOKUP(C2301,[1]StuntDes!$B:$B,[1]StuntDes!$E:$E)),0)</f>
        <v>2</v>
      </c>
    </row>
    <row r="2302" customFormat="1" spans="1:20">
      <c r="A2302">
        <f t="shared" si="178"/>
        <v>1314</v>
      </c>
      <c r="B2302">
        <v>8</v>
      </c>
      <c r="C2302" t="s">
        <v>406</v>
      </c>
      <c r="D2302" t="s">
        <v>28</v>
      </c>
      <c r="E2302" t="s">
        <v>393</v>
      </c>
      <c r="G2302">
        <v>1</v>
      </c>
      <c r="H2302">
        <v>1000</v>
      </c>
      <c r="J2302" cm="1">
        <f t="array" ref="J2302">_xlfn.SWITCH(B2302,1,75,2,61,3,49,4,37,5,25,6,13,7,4,8,1)</f>
        <v>1</v>
      </c>
      <c r="K2302" t="str" cm="1">
        <f t="array" ref="K2302">IFERROR(_xlfn.SWITCH(L2302,1,_xlfn.XLOOKUP(C2302,[1]AttributeName!$C:$C,[1]AttributeName!$I:$I),2,_xlfn.XLOOKUP(C2302,[1]ModifierDes!$B:$B,[1]ModifierDes!$C:$C),3,_xlfn.XLOOKUP(C2302,[1]StuntDes!$B:$B,[1]StuntDes!$C:$C)),"")</f>
        <v>混沌伤害提高{0}</v>
      </c>
      <c r="L2302">
        <f t="shared" si="179"/>
        <v>1</v>
      </c>
      <c r="M2302" s="10" t="str">
        <f>IFERROR(_xlfn.XLOOKUP(C2302,[1]StuntDes!$B:$B,[1]StuntDes!$A:$A),"")</f>
        <v/>
      </c>
      <c r="N2302" s="10" t="str">
        <f>IFERROR(_xlfn.XLOOKUP(C2302,[1]ModifierDes!$B:$B,[1]ModifierDes!$A:$A),"")</f>
        <v/>
      </c>
      <c r="O2302" s="10">
        <f>IFERROR(_xlfn.XLOOKUP(C2302,[1]AttributeName!$C:$C,[1]AttributeName!$B:$B),"")</f>
        <v>10307</v>
      </c>
      <c r="P2302" s="10"/>
      <c r="Q2302">
        <v>0.12</v>
      </c>
      <c r="R2302">
        <v>0.2</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f t="shared" si="178"/>
        <v>1315</v>
      </c>
      <c r="B2303">
        <v>1</v>
      </c>
      <c r="C2303" t="s">
        <v>407</v>
      </c>
      <c r="D2303" t="s">
        <v>28</v>
      </c>
      <c r="E2303" t="s">
        <v>393</v>
      </c>
      <c r="G2303">
        <v>1</v>
      </c>
      <c r="H2303">
        <v>1000</v>
      </c>
      <c r="J2303" cm="1">
        <f t="array" ref="J2303">_xlfn.SWITCH(B2303,1,75,2,61,3,49,4,37,5,25,6,13,7,4,8,1)</f>
        <v>75</v>
      </c>
      <c r="K2303" t="str" cm="1">
        <f t="array" ref="K2303">IFERROR(_xlfn.SWITCH(L2303,1,_xlfn.XLOOKUP(C2303,[1]AttributeName!$C:$C,[1]AttributeName!$I:$I),2,_xlfn.XLOOKUP(C2303,[1]ModifierDes!$B:$B,[1]ModifierDes!$C:$C),3,_xlfn.XLOOKUP(C2303,[1]StuntDes!$B:$B,[1]StuntDes!$C:$C)),"")</f>
        <v>基础生命增加{0}</v>
      </c>
      <c r="L2303">
        <f t="shared" si="179"/>
        <v>1</v>
      </c>
      <c r="M2303" s="10" t="str">
        <f>IFERROR(_xlfn.XLOOKUP(C2303,[1]StuntDes!$B:$B,[1]StuntDes!$A:$A),"")</f>
        <v/>
      </c>
      <c r="N2303" s="10" t="str">
        <f>IFERROR(_xlfn.XLOOKUP(C2303,[1]ModifierDes!$B:$B,[1]ModifierDes!$A:$A),"")</f>
        <v/>
      </c>
      <c r="O2303" s="10">
        <f>IFERROR(_xlfn.XLOOKUP(C2303,[1]AttributeName!$C:$C,[1]AttributeName!$B:$B),"")</f>
        <v>10001</v>
      </c>
      <c r="P2303" s="10"/>
      <c r="Q2303">
        <v>355</v>
      </c>
      <c r="R2303">
        <v>405</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1</v>
      </c>
    </row>
    <row r="2304" customFormat="1" spans="1:20">
      <c r="A2304">
        <f t="shared" si="178"/>
        <v>1315</v>
      </c>
      <c r="B2304">
        <v>2</v>
      </c>
      <c r="C2304" t="s">
        <v>407</v>
      </c>
      <c r="D2304" t="s">
        <v>28</v>
      </c>
      <c r="E2304" t="s">
        <v>393</v>
      </c>
      <c r="G2304">
        <v>1</v>
      </c>
      <c r="H2304">
        <v>1000</v>
      </c>
      <c r="J2304" cm="1">
        <f t="array" ref="J2304">_xlfn.SWITCH(B2304,1,75,2,61,3,49,4,37,5,25,6,13,7,4,8,1)</f>
        <v>61</v>
      </c>
      <c r="K2304" t="str" cm="1">
        <f t="array" ref="K2304">IFERROR(_xlfn.SWITCH(L2304,1,_xlfn.XLOOKUP(C2304,[1]AttributeName!$C:$C,[1]AttributeName!$I:$I),2,_xlfn.XLOOKUP(C2304,[1]ModifierDes!$B:$B,[1]ModifierDes!$C:$C),3,_xlfn.XLOOKUP(C2304,[1]StuntDes!$B:$B,[1]StuntDes!$C:$C)),"")</f>
        <v>基础生命增加{0}</v>
      </c>
      <c r="L2304">
        <f t="shared" si="179"/>
        <v>1</v>
      </c>
      <c r="M2304" s="10" t="str">
        <f>IFERROR(_xlfn.XLOOKUP(C2304,[1]StuntDes!$B:$B,[1]StuntDes!$A:$A),"")</f>
        <v/>
      </c>
      <c r="N2304" s="10" t="str">
        <f>IFERROR(_xlfn.XLOOKUP(C2304,[1]ModifierDes!$B:$B,[1]ModifierDes!$A:$A),"")</f>
        <v/>
      </c>
      <c r="O2304" s="10">
        <f>IFERROR(_xlfn.XLOOKUP(C2304,[1]AttributeName!$C:$C,[1]AttributeName!$B:$B),"")</f>
        <v>10001</v>
      </c>
      <c r="P2304" s="10"/>
      <c r="Q2304">
        <v>211</v>
      </c>
      <c r="R2304">
        <v>261</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1</v>
      </c>
    </row>
    <row r="2305" customFormat="1" spans="1:20">
      <c r="A2305">
        <f t="shared" si="178"/>
        <v>1315</v>
      </c>
      <c r="B2305">
        <v>3</v>
      </c>
      <c r="C2305" t="s">
        <v>407</v>
      </c>
      <c r="D2305" t="s">
        <v>28</v>
      </c>
      <c r="E2305" t="s">
        <v>393</v>
      </c>
      <c r="G2305">
        <v>1</v>
      </c>
      <c r="H2305">
        <v>1000</v>
      </c>
      <c r="J2305" cm="1">
        <f t="array" ref="J2305">_xlfn.SWITCH(B2305,1,75,2,61,3,49,4,37,5,25,6,13,7,4,8,1)</f>
        <v>49</v>
      </c>
      <c r="K2305" t="str" cm="1">
        <f t="array" ref="K2305">IFERROR(_xlfn.SWITCH(L2305,1,_xlfn.XLOOKUP(C2305,[1]AttributeName!$C:$C,[1]AttributeName!$I:$I),2,_xlfn.XLOOKUP(C2305,[1]ModifierDes!$B:$B,[1]ModifierDes!$C:$C),3,_xlfn.XLOOKUP(C2305,[1]StuntDes!$B:$B,[1]StuntDes!$C:$C)),"")</f>
        <v>基础生命增加{0}</v>
      </c>
      <c r="L2305">
        <f t="shared" si="179"/>
        <v>1</v>
      </c>
      <c r="M2305" s="10" t="str">
        <f>IFERROR(_xlfn.XLOOKUP(C2305,[1]StuntDes!$B:$B,[1]StuntDes!$A:$A),"")</f>
        <v/>
      </c>
      <c r="N2305" s="10" t="str">
        <f>IFERROR(_xlfn.XLOOKUP(C2305,[1]ModifierDes!$B:$B,[1]ModifierDes!$A:$A),"")</f>
        <v/>
      </c>
      <c r="O2305" s="10">
        <f>IFERROR(_xlfn.XLOOKUP(C2305,[1]AttributeName!$C:$C,[1]AttributeName!$B:$B),"")</f>
        <v>10001</v>
      </c>
      <c r="P2305" s="10"/>
      <c r="Q2305">
        <v>130</v>
      </c>
      <c r="R2305">
        <v>180</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1</v>
      </c>
    </row>
    <row r="2306" customFormat="1" spans="1:20">
      <c r="A2306">
        <f t="shared" si="178"/>
        <v>1315</v>
      </c>
      <c r="B2306">
        <v>4</v>
      </c>
      <c r="C2306" t="s">
        <v>407</v>
      </c>
      <c r="D2306" t="s">
        <v>28</v>
      </c>
      <c r="E2306" t="s">
        <v>393</v>
      </c>
      <c r="G2306">
        <v>1</v>
      </c>
      <c r="H2306">
        <v>1000</v>
      </c>
      <c r="J2306" cm="1">
        <f t="array" ref="J2306">_xlfn.SWITCH(B2306,1,75,2,61,3,49,4,37,5,25,6,13,7,4,8,1)</f>
        <v>37</v>
      </c>
      <c r="K2306" t="str" cm="1">
        <f t="array" ref="K2306">IFERROR(_xlfn.SWITCH(L2306,1,_xlfn.XLOOKUP(C2306,[1]AttributeName!$C:$C,[1]AttributeName!$I:$I),2,_xlfn.XLOOKUP(C2306,[1]ModifierDes!$B:$B,[1]ModifierDes!$C:$C),3,_xlfn.XLOOKUP(C2306,[1]StuntDes!$B:$B,[1]StuntDes!$C:$C)),"")</f>
        <v>基础生命增加{0}</v>
      </c>
      <c r="L2306">
        <f t="shared" si="179"/>
        <v>1</v>
      </c>
      <c r="M2306" s="10" t="str">
        <f>IFERROR(_xlfn.XLOOKUP(C2306,[1]StuntDes!$B:$B,[1]StuntDes!$A:$A),"")</f>
        <v/>
      </c>
      <c r="N2306" s="10" t="str">
        <f>IFERROR(_xlfn.XLOOKUP(C2306,[1]ModifierDes!$B:$B,[1]ModifierDes!$A:$A),"")</f>
        <v/>
      </c>
      <c r="O2306" s="10">
        <f>IFERROR(_xlfn.XLOOKUP(C2306,[1]AttributeName!$C:$C,[1]AttributeName!$B:$B),"")</f>
        <v>10001</v>
      </c>
      <c r="P2306" s="10"/>
      <c r="Q2306">
        <v>76</v>
      </c>
      <c r="R2306">
        <v>126</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1</v>
      </c>
    </row>
    <row r="2307" customFormat="1" spans="1:20">
      <c r="A2307">
        <f t="shared" si="178"/>
        <v>1315</v>
      </c>
      <c r="B2307">
        <v>5</v>
      </c>
      <c r="C2307" t="s">
        <v>407</v>
      </c>
      <c r="D2307" t="s">
        <v>28</v>
      </c>
      <c r="E2307" t="s">
        <v>393</v>
      </c>
      <c r="G2307">
        <v>1</v>
      </c>
      <c r="H2307">
        <v>1000</v>
      </c>
      <c r="J2307" cm="1">
        <f t="array" ref="J2307">_xlfn.SWITCH(B2307,1,75,2,61,3,49,4,37,5,25,6,13,7,4,8,1)</f>
        <v>25</v>
      </c>
      <c r="K2307" t="str" cm="1">
        <f t="array" ref="K2307">IFERROR(_xlfn.SWITCH(L2307,1,_xlfn.XLOOKUP(C2307,[1]AttributeName!$C:$C,[1]AttributeName!$I:$I),2,_xlfn.XLOOKUP(C2307,[1]ModifierDes!$B:$B,[1]ModifierDes!$C:$C),3,_xlfn.XLOOKUP(C2307,[1]StuntDes!$B:$B,[1]StuntDes!$C:$C)),"")</f>
        <v>基础生命增加{0}</v>
      </c>
      <c r="L2307">
        <f t="shared" si="179"/>
        <v>1</v>
      </c>
      <c r="M2307" s="10" t="str">
        <f>IFERROR(_xlfn.XLOOKUP(C2307,[1]StuntDes!$B:$B,[1]StuntDes!$A:$A),"")</f>
        <v/>
      </c>
      <c r="N2307" s="10" t="str">
        <f>IFERROR(_xlfn.XLOOKUP(C2307,[1]ModifierDes!$B:$B,[1]ModifierDes!$A:$A),"")</f>
        <v/>
      </c>
      <c r="O2307" s="10">
        <f>IFERROR(_xlfn.XLOOKUP(C2307,[1]AttributeName!$C:$C,[1]AttributeName!$B:$B),"")</f>
        <v>10001</v>
      </c>
      <c r="P2307" s="10"/>
      <c r="Q2307">
        <v>48</v>
      </c>
      <c r="R2307">
        <v>88</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1</v>
      </c>
    </row>
    <row r="2308" customFormat="1" spans="1:20">
      <c r="A2308">
        <f t="shared" si="178"/>
        <v>1315</v>
      </c>
      <c r="B2308">
        <v>6</v>
      </c>
      <c r="C2308" t="s">
        <v>407</v>
      </c>
      <c r="D2308" t="s">
        <v>28</v>
      </c>
      <c r="E2308" t="s">
        <v>393</v>
      </c>
      <c r="G2308">
        <v>1</v>
      </c>
      <c r="H2308">
        <v>1000</v>
      </c>
      <c r="J2308" cm="1">
        <f t="array" ref="J2308">_xlfn.SWITCH(B2308,1,75,2,61,3,49,4,37,5,25,6,13,7,4,8,1)</f>
        <v>13</v>
      </c>
      <c r="K2308" t="str" cm="1">
        <f t="array" ref="K2308">IFERROR(_xlfn.SWITCH(L2308,1,_xlfn.XLOOKUP(C2308,[1]AttributeName!$C:$C,[1]AttributeName!$I:$I),2,_xlfn.XLOOKUP(C2308,[1]ModifierDes!$B:$B,[1]ModifierDes!$C:$C),3,_xlfn.XLOOKUP(C2308,[1]StuntDes!$B:$B,[1]StuntDes!$C:$C)),"")</f>
        <v>基础生命增加{0}</v>
      </c>
      <c r="L2308">
        <f t="shared" si="179"/>
        <v>1</v>
      </c>
      <c r="M2308" s="10" t="str">
        <f>IFERROR(_xlfn.XLOOKUP(C2308,[1]StuntDes!$B:$B,[1]StuntDes!$A:$A),"")</f>
        <v/>
      </c>
      <c r="N2308" s="10" t="str">
        <f>IFERROR(_xlfn.XLOOKUP(C2308,[1]ModifierDes!$B:$B,[1]ModifierDes!$A:$A),"")</f>
        <v/>
      </c>
      <c r="O2308" s="10">
        <f>IFERROR(_xlfn.XLOOKUP(C2308,[1]AttributeName!$C:$C,[1]AttributeName!$B:$B),"")</f>
        <v>10001</v>
      </c>
      <c r="P2308" s="10"/>
      <c r="Q2308">
        <v>32</v>
      </c>
      <c r="R2308">
        <v>62</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1</v>
      </c>
    </row>
    <row r="2309" customFormat="1" spans="1:20">
      <c r="A2309">
        <f t="shared" si="178"/>
        <v>1315</v>
      </c>
      <c r="B2309">
        <v>7</v>
      </c>
      <c r="C2309" t="s">
        <v>407</v>
      </c>
      <c r="D2309" t="s">
        <v>28</v>
      </c>
      <c r="E2309" t="s">
        <v>393</v>
      </c>
      <c r="G2309">
        <v>1</v>
      </c>
      <c r="H2309">
        <v>1000</v>
      </c>
      <c r="J2309" cm="1">
        <f t="array" ref="J2309">_xlfn.SWITCH(B2309,1,75,2,61,3,49,4,37,5,25,6,13,7,4,8,1)</f>
        <v>4</v>
      </c>
      <c r="K2309" t="str" cm="1">
        <f t="array" ref="K2309">IFERROR(_xlfn.SWITCH(L2309,1,_xlfn.XLOOKUP(C2309,[1]AttributeName!$C:$C,[1]AttributeName!$I:$I),2,_xlfn.XLOOKUP(C2309,[1]ModifierDes!$B:$B,[1]ModifierDes!$C:$C),3,_xlfn.XLOOKUP(C2309,[1]StuntDes!$B:$B,[1]StuntDes!$C:$C)),"")</f>
        <v>基础生命增加{0}</v>
      </c>
      <c r="L2309">
        <f t="shared" si="179"/>
        <v>1</v>
      </c>
      <c r="M2309" s="10" t="str">
        <f>IFERROR(_xlfn.XLOOKUP(C2309,[1]StuntDes!$B:$B,[1]StuntDes!$A:$A),"")</f>
        <v/>
      </c>
      <c r="N2309" s="10" t="str">
        <f>IFERROR(_xlfn.XLOOKUP(C2309,[1]ModifierDes!$B:$B,[1]ModifierDes!$A:$A),"")</f>
        <v/>
      </c>
      <c r="O2309" s="10">
        <f>IFERROR(_xlfn.XLOOKUP(C2309,[1]AttributeName!$C:$C,[1]AttributeName!$B:$B),"")</f>
        <v>10001</v>
      </c>
      <c r="P2309" s="10"/>
      <c r="Q2309">
        <v>23</v>
      </c>
      <c r="R2309">
        <v>43</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1</v>
      </c>
    </row>
    <row r="2310" customFormat="1" spans="1:20">
      <c r="A2310">
        <f t="shared" si="178"/>
        <v>1315</v>
      </c>
      <c r="B2310">
        <v>8</v>
      </c>
      <c r="C2310" t="s">
        <v>407</v>
      </c>
      <c r="D2310" t="s">
        <v>28</v>
      </c>
      <c r="E2310" t="s">
        <v>393</v>
      </c>
      <c r="G2310">
        <v>1</v>
      </c>
      <c r="H2310">
        <v>1000</v>
      </c>
      <c r="J2310" cm="1">
        <f t="array" ref="J2310">_xlfn.SWITCH(B2310,1,75,2,61,3,49,4,37,5,25,6,13,7,4,8,1)</f>
        <v>1</v>
      </c>
      <c r="K2310" t="str" cm="1">
        <f t="array" ref="K2310">IFERROR(_xlfn.SWITCH(L2310,1,_xlfn.XLOOKUP(C2310,[1]AttributeName!$C:$C,[1]AttributeName!$I:$I),2,_xlfn.XLOOKUP(C2310,[1]ModifierDes!$B:$B,[1]ModifierDes!$C:$C),3,_xlfn.XLOOKUP(C2310,[1]StuntDes!$B:$B,[1]StuntDes!$C:$C)),"")</f>
        <v>基础生命增加{0}</v>
      </c>
      <c r="L2310">
        <f t="shared" si="179"/>
        <v>1</v>
      </c>
      <c r="M2310" s="10" t="str">
        <f>IFERROR(_xlfn.XLOOKUP(C2310,[1]StuntDes!$B:$B,[1]StuntDes!$A:$A),"")</f>
        <v/>
      </c>
      <c r="N2310" s="10" t="str">
        <f>IFERROR(_xlfn.XLOOKUP(C2310,[1]ModifierDes!$B:$B,[1]ModifierDes!$A:$A),"")</f>
        <v/>
      </c>
      <c r="O2310" s="10">
        <f>IFERROR(_xlfn.XLOOKUP(C2310,[1]AttributeName!$C:$C,[1]AttributeName!$B:$B),"")</f>
        <v>10001</v>
      </c>
      <c r="P2310" s="10"/>
      <c r="Q2310">
        <v>24</v>
      </c>
      <c r="R2310">
        <v>32</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1</v>
      </c>
    </row>
    <row r="2311" customFormat="1" spans="1:20">
      <c r="A2311">
        <f t="shared" si="178"/>
        <v>1316</v>
      </c>
      <c r="B2311">
        <v>1</v>
      </c>
      <c r="C2311" t="s">
        <v>408</v>
      </c>
      <c r="D2311" t="s">
        <v>28</v>
      </c>
      <c r="E2311" t="s">
        <v>393</v>
      </c>
      <c r="G2311">
        <v>1</v>
      </c>
      <c r="H2311">
        <v>1000</v>
      </c>
      <c r="J2311" cm="1">
        <f t="array" ref="J2311">_xlfn.SWITCH(B2311,1,75,2,61,3,49,4,37,5,25,6,13,7,4,8,1)</f>
        <v>75</v>
      </c>
      <c r="K2311" t="str" cm="1">
        <f t="array" ref="K2311">IFERROR(_xlfn.SWITCH(L2311,1,_xlfn.XLOOKUP(C2311,[1]AttributeName!$C:$C,[1]AttributeName!$I:$I),2,_xlfn.XLOOKUP(C2311,[1]ModifierDes!$B:$B,[1]ModifierDes!$C:$C),3,_xlfn.XLOOKUP(C2311,[1]StuntDes!$B:$B,[1]StuntDes!$C:$C)),"")</f>
        <v>基础魔力增加{0}</v>
      </c>
      <c r="L2311">
        <f t="shared" si="179"/>
        <v>1</v>
      </c>
      <c r="M2311" s="10" t="str">
        <f>IFERROR(_xlfn.XLOOKUP(C2311,[1]StuntDes!$B:$B,[1]StuntDes!$A:$A),"")</f>
        <v/>
      </c>
      <c r="N2311" s="10" t="str">
        <f>IFERROR(_xlfn.XLOOKUP(C2311,[1]ModifierDes!$B:$B,[1]ModifierDes!$A:$A),"")</f>
        <v/>
      </c>
      <c r="O2311" s="10">
        <f>IFERROR(_xlfn.XLOOKUP(C2311,[1]AttributeName!$C:$C,[1]AttributeName!$B:$B),"")</f>
        <v>10002</v>
      </c>
      <c r="P2311" s="10"/>
      <c r="Q2311">
        <v>80</v>
      </c>
      <c r="R2311">
        <v>100</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1</v>
      </c>
    </row>
    <row r="2312" customFormat="1" spans="1:20">
      <c r="A2312">
        <f t="shared" si="178"/>
        <v>1316</v>
      </c>
      <c r="B2312">
        <v>2</v>
      </c>
      <c r="C2312" t="s">
        <v>408</v>
      </c>
      <c r="D2312" t="s">
        <v>28</v>
      </c>
      <c r="E2312" t="s">
        <v>393</v>
      </c>
      <c r="G2312">
        <v>1</v>
      </c>
      <c r="H2312">
        <v>1000</v>
      </c>
      <c r="J2312" cm="1">
        <f t="array" ref="J2312">_xlfn.SWITCH(B2312,1,75,2,61,3,49,4,37,5,25,6,13,7,4,8,1)</f>
        <v>61</v>
      </c>
      <c r="K2312" t="str" cm="1">
        <f t="array" ref="K2312">IFERROR(_xlfn.SWITCH(L2312,1,_xlfn.XLOOKUP(C2312,[1]AttributeName!$C:$C,[1]AttributeName!$I:$I),2,_xlfn.XLOOKUP(C2312,[1]ModifierDes!$B:$B,[1]ModifierDes!$C:$C),3,_xlfn.XLOOKUP(C2312,[1]StuntDes!$B:$B,[1]StuntDes!$C:$C)),"")</f>
        <v>基础魔力增加{0}</v>
      </c>
      <c r="L2312">
        <f t="shared" si="179"/>
        <v>1</v>
      </c>
      <c r="M2312" s="10" t="str">
        <f>IFERROR(_xlfn.XLOOKUP(C2312,[1]StuntDes!$B:$B,[1]StuntDes!$A:$A),"")</f>
        <v/>
      </c>
      <c r="N2312" s="10" t="str">
        <f>IFERROR(_xlfn.XLOOKUP(C2312,[1]ModifierDes!$B:$B,[1]ModifierDes!$A:$A),"")</f>
        <v/>
      </c>
      <c r="O2312" s="10">
        <f>IFERROR(_xlfn.XLOOKUP(C2312,[1]AttributeName!$C:$C,[1]AttributeName!$B:$B),"")</f>
        <v>10002</v>
      </c>
      <c r="P2312" s="10"/>
      <c r="Q2312">
        <v>69</v>
      </c>
      <c r="R2312">
        <v>78</v>
      </c>
      <c r="S2312" cm="1">
        <f t="array" ref="S2312">IFERROR(_xlfn.SWITCH(L2312,1,_xlfn.XLOOKUP(O2312,[1]AttributeName!$B:$B,[1]AttributeName!$D:$D),2,_xlfn.XLOOKUP(C2312,[1]ModifierDes!$B:$B,[1]ModifierDes!$D:$D),3,_xlfn.XLOOKUP(C2312,[1]StuntDes!$B:$B,[1]StuntDes!$D:$D)),0)</f>
        <v>0</v>
      </c>
      <c r="T2312" cm="1">
        <f t="array" ref="T2312">IFERROR(_xlfn.SWITCH(L2312,1,_xlfn.XLOOKUP(O2312,[1]AttributeName!$B:$B,[1]AttributeName!$E:$E),2,_xlfn.XLOOKUP(C2312,[1]ModifierDes!$B:$B,[1]ModifierDes!$E:$E),3,_xlfn.XLOOKUP(C2312,[1]StuntDes!$B:$B,[1]StuntDes!$E:$E)),0)</f>
        <v>1</v>
      </c>
    </row>
    <row r="2313" customFormat="1" spans="1:20">
      <c r="A2313">
        <f t="shared" si="178"/>
        <v>1316</v>
      </c>
      <c r="B2313">
        <v>3</v>
      </c>
      <c r="C2313" t="s">
        <v>408</v>
      </c>
      <c r="D2313" t="s">
        <v>28</v>
      </c>
      <c r="E2313" t="s">
        <v>393</v>
      </c>
      <c r="G2313">
        <v>1</v>
      </c>
      <c r="H2313">
        <v>1000</v>
      </c>
      <c r="J2313" cm="1">
        <f t="array" ref="J2313">_xlfn.SWITCH(B2313,1,75,2,61,3,49,4,37,5,25,6,13,7,4,8,1)</f>
        <v>49</v>
      </c>
      <c r="K2313" t="str" cm="1">
        <f t="array" ref="K2313">IFERROR(_xlfn.SWITCH(L2313,1,_xlfn.XLOOKUP(C2313,[1]AttributeName!$C:$C,[1]AttributeName!$I:$I),2,_xlfn.XLOOKUP(C2313,[1]ModifierDes!$B:$B,[1]ModifierDes!$C:$C),3,_xlfn.XLOOKUP(C2313,[1]StuntDes!$B:$B,[1]StuntDes!$C:$C)),"")</f>
        <v>基础魔力增加{0}</v>
      </c>
      <c r="L2313">
        <f t="shared" si="179"/>
        <v>1</v>
      </c>
      <c r="M2313" s="10" t="str">
        <f>IFERROR(_xlfn.XLOOKUP(C2313,[1]StuntDes!$B:$B,[1]StuntDes!$A:$A),"")</f>
        <v/>
      </c>
      <c r="N2313" s="10" t="str">
        <f>IFERROR(_xlfn.XLOOKUP(C2313,[1]ModifierDes!$B:$B,[1]ModifierDes!$A:$A),"")</f>
        <v/>
      </c>
      <c r="O2313" s="10">
        <f>IFERROR(_xlfn.XLOOKUP(C2313,[1]AttributeName!$C:$C,[1]AttributeName!$B:$B),"")</f>
        <v>10002</v>
      </c>
      <c r="P2313" s="10"/>
      <c r="Q2313">
        <v>59</v>
      </c>
      <c r="R2313">
        <v>68</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1</v>
      </c>
    </row>
    <row r="2314" customFormat="1" spans="1:20">
      <c r="A2314">
        <f t="shared" si="178"/>
        <v>1316</v>
      </c>
      <c r="B2314">
        <v>4</v>
      </c>
      <c r="C2314" t="s">
        <v>408</v>
      </c>
      <c r="D2314" t="s">
        <v>28</v>
      </c>
      <c r="E2314" t="s">
        <v>393</v>
      </c>
      <c r="G2314">
        <v>1</v>
      </c>
      <c r="H2314">
        <v>1000</v>
      </c>
      <c r="J2314" cm="1">
        <f t="array" ref="J2314">_xlfn.SWITCH(B2314,1,75,2,61,3,49,4,37,5,25,6,13,7,4,8,1)</f>
        <v>37</v>
      </c>
      <c r="K2314" t="str" cm="1">
        <f t="array" ref="K2314">IFERROR(_xlfn.SWITCH(L2314,1,_xlfn.XLOOKUP(C2314,[1]AttributeName!$C:$C,[1]AttributeName!$I:$I),2,_xlfn.XLOOKUP(C2314,[1]ModifierDes!$B:$B,[1]ModifierDes!$C:$C),3,_xlfn.XLOOKUP(C2314,[1]StuntDes!$B:$B,[1]StuntDes!$C:$C)),"")</f>
        <v>基础魔力增加{0}</v>
      </c>
      <c r="L2314">
        <f t="shared" si="179"/>
        <v>1</v>
      </c>
      <c r="M2314" s="10" t="str">
        <f>IFERROR(_xlfn.XLOOKUP(C2314,[1]StuntDes!$B:$B,[1]StuntDes!$A:$A),"")</f>
        <v/>
      </c>
      <c r="N2314" s="10" t="str">
        <f>IFERROR(_xlfn.XLOOKUP(C2314,[1]ModifierDes!$B:$B,[1]ModifierDes!$A:$A),"")</f>
        <v/>
      </c>
      <c r="O2314" s="10">
        <f>IFERROR(_xlfn.XLOOKUP(C2314,[1]AttributeName!$C:$C,[1]AttributeName!$B:$B),"")</f>
        <v>10002</v>
      </c>
      <c r="P2314" s="10"/>
      <c r="Q2314">
        <v>49</v>
      </c>
      <c r="R2314">
        <v>58</v>
      </c>
      <c r="S2314" cm="1">
        <f t="array" ref="S2314">IFERROR(_xlfn.SWITCH(L2314,1,_xlfn.XLOOKUP(O2314,[1]AttributeName!$B:$B,[1]AttributeName!$D:$D),2,_xlfn.XLOOKUP(C2314,[1]ModifierDes!$B:$B,[1]ModifierDes!$D:$D),3,_xlfn.XLOOKUP(C2314,[1]StuntDes!$B:$B,[1]StuntDes!$D:$D)),0)</f>
        <v>0</v>
      </c>
      <c r="T2314" cm="1">
        <f t="array" ref="T2314">IFERROR(_xlfn.SWITCH(L2314,1,_xlfn.XLOOKUP(O2314,[1]AttributeName!$B:$B,[1]AttributeName!$E:$E),2,_xlfn.XLOOKUP(C2314,[1]ModifierDes!$B:$B,[1]ModifierDes!$E:$E),3,_xlfn.XLOOKUP(C2314,[1]StuntDes!$B:$B,[1]StuntDes!$E:$E)),0)</f>
        <v>1</v>
      </c>
    </row>
    <row r="2315" customFormat="1" spans="1:20">
      <c r="A2315">
        <f t="shared" si="178"/>
        <v>1316</v>
      </c>
      <c r="B2315">
        <v>5</v>
      </c>
      <c r="C2315" t="s">
        <v>408</v>
      </c>
      <c r="D2315" t="s">
        <v>28</v>
      </c>
      <c r="E2315" t="s">
        <v>393</v>
      </c>
      <c r="G2315">
        <v>1</v>
      </c>
      <c r="H2315">
        <v>1000</v>
      </c>
      <c r="J2315" cm="1">
        <f t="array" ref="J2315">_xlfn.SWITCH(B2315,1,75,2,61,3,49,4,37,5,25,6,13,7,4,8,1)</f>
        <v>25</v>
      </c>
      <c r="K2315" t="str" cm="1">
        <f t="array" ref="K2315">IFERROR(_xlfn.SWITCH(L2315,1,_xlfn.XLOOKUP(C2315,[1]AttributeName!$C:$C,[1]AttributeName!$I:$I),2,_xlfn.XLOOKUP(C2315,[1]ModifierDes!$B:$B,[1]ModifierDes!$C:$C),3,_xlfn.XLOOKUP(C2315,[1]StuntDes!$B:$B,[1]StuntDes!$C:$C)),"")</f>
        <v>基础魔力增加{0}</v>
      </c>
      <c r="L2315">
        <f t="shared" si="179"/>
        <v>1</v>
      </c>
      <c r="M2315" s="10" t="str">
        <f>IFERROR(_xlfn.XLOOKUP(C2315,[1]StuntDes!$B:$B,[1]StuntDes!$A:$A),"")</f>
        <v/>
      </c>
      <c r="N2315" s="10" t="str">
        <f>IFERROR(_xlfn.XLOOKUP(C2315,[1]ModifierDes!$B:$B,[1]ModifierDes!$A:$A),"")</f>
        <v/>
      </c>
      <c r="O2315" s="10">
        <f>IFERROR(_xlfn.XLOOKUP(C2315,[1]AttributeName!$C:$C,[1]AttributeName!$B:$B),"")</f>
        <v>10002</v>
      </c>
      <c r="P2315" s="10"/>
      <c r="Q2315">
        <v>39</v>
      </c>
      <c r="R2315">
        <v>48</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1</v>
      </c>
    </row>
    <row r="2316" customFormat="1" spans="1:20">
      <c r="A2316">
        <f t="shared" si="178"/>
        <v>1316</v>
      </c>
      <c r="B2316">
        <v>6</v>
      </c>
      <c r="C2316" t="s">
        <v>408</v>
      </c>
      <c r="D2316" t="s">
        <v>28</v>
      </c>
      <c r="E2316" t="s">
        <v>393</v>
      </c>
      <c r="G2316">
        <v>1</v>
      </c>
      <c r="H2316">
        <v>1000</v>
      </c>
      <c r="J2316" cm="1">
        <f t="array" ref="J2316">_xlfn.SWITCH(B2316,1,75,2,61,3,49,4,37,5,25,6,13,7,4,8,1)</f>
        <v>13</v>
      </c>
      <c r="K2316" t="str" cm="1">
        <f t="array" ref="K2316">IFERROR(_xlfn.SWITCH(L2316,1,_xlfn.XLOOKUP(C2316,[1]AttributeName!$C:$C,[1]AttributeName!$I:$I),2,_xlfn.XLOOKUP(C2316,[1]ModifierDes!$B:$B,[1]ModifierDes!$C:$C),3,_xlfn.XLOOKUP(C2316,[1]StuntDes!$B:$B,[1]StuntDes!$C:$C)),"")</f>
        <v>基础魔力增加{0}</v>
      </c>
      <c r="L2316">
        <f t="shared" si="179"/>
        <v>1</v>
      </c>
      <c r="M2316" s="10" t="str">
        <f>IFERROR(_xlfn.XLOOKUP(C2316,[1]StuntDes!$B:$B,[1]StuntDes!$A:$A),"")</f>
        <v/>
      </c>
      <c r="N2316" s="10" t="str">
        <f>IFERROR(_xlfn.XLOOKUP(C2316,[1]ModifierDes!$B:$B,[1]ModifierDes!$A:$A),"")</f>
        <v/>
      </c>
      <c r="O2316" s="10">
        <f>IFERROR(_xlfn.XLOOKUP(C2316,[1]AttributeName!$C:$C,[1]AttributeName!$B:$B),"")</f>
        <v>10002</v>
      </c>
      <c r="P2316" s="10"/>
      <c r="Q2316">
        <v>29</v>
      </c>
      <c r="R2316">
        <v>38</v>
      </c>
      <c r="S2316" cm="1">
        <f t="array" ref="S2316">IFERROR(_xlfn.SWITCH(L2316,1,_xlfn.XLOOKUP(O2316,[1]AttributeName!$B:$B,[1]AttributeName!$D:$D),2,_xlfn.XLOOKUP(C2316,[1]ModifierDes!$B:$B,[1]ModifierDes!$D:$D),3,_xlfn.XLOOKUP(C2316,[1]StuntDes!$B:$B,[1]StuntDes!$D:$D)),0)</f>
        <v>0</v>
      </c>
      <c r="T2316" cm="1">
        <f t="array" ref="T2316">IFERROR(_xlfn.SWITCH(L2316,1,_xlfn.XLOOKUP(O2316,[1]AttributeName!$B:$B,[1]AttributeName!$E:$E),2,_xlfn.XLOOKUP(C2316,[1]ModifierDes!$B:$B,[1]ModifierDes!$E:$E),3,_xlfn.XLOOKUP(C2316,[1]StuntDes!$B:$B,[1]StuntDes!$E:$E)),0)</f>
        <v>1</v>
      </c>
    </row>
    <row r="2317" customFormat="1" spans="1:20">
      <c r="A2317">
        <f t="shared" si="178"/>
        <v>1316</v>
      </c>
      <c r="B2317">
        <v>7</v>
      </c>
      <c r="C2317" t="s">
        <v>408</v>
      </c>
      <c r="D2317" t="s">
        <v>28</v>
      </c>
      <c r="E2317" t="s">
        <v>393</v>
      </c>
      <c r="G2317">
        <v>1</v>
      </c>
      <c r="H2317">
        <v>1000</v>
      </c>
      <c r="J2317" cm="1">
        <f t="array" ref="J2317">_xlfn.SWITCH(B2317,1,75,2,61,3,49,4,37,5,25,6,13,7,4,8,1)</f>
        <v>4</v>
      </c>
      <c r="K2317" t="str" cm="1">
        <f t="array" ref="K2317">IFERROR(_xlfn.SWITCH(L2317,1,_xlfn.XLOOKUP(C2317,[1]AttributeName!$C:$C,[1]AttributeName!$I:$I),2,_xlfn.XLOOKUP(C2317,[1]ModifierDes!$B:$B,[1]ModifierDes!$C:$C),3,_xlfn.XLOOKUP(C2317,[1]StuntDes!$B:$B,[1]StuntDes!$C:$C)),"")</f>
        <v>基础魔力增加{0}</v>
      </c>
      <c r="L2317">
        <f t="shared" si="179"/>
        <v>1</v>
      </c>
      <c r="M2317" s="10" t="str">
        <f>IFERROR(_xlfn.XLOOKUP(C2317,[1]StuntDes!$B:$B,[1]StuntDes!$A:$A),"")</f>
        <v/>
      </c>
      <c r="N2317" s="10" t="str">
        <f>IFERROR(_xlfn.XLOOKUP(C2317,[1]ModifierDes!$B:$B,[1]ModifierDes!$A:$A),"")</f>
        <v/>
      </c>
      <c r="O2317" s="10">
        <f>IFERROR(_xlfn.XLOOKUP(C2317,[1]AttributeName!$C:$C,[1]AttributeName!$B:$B),"")</f>
        <v>10002</v>
      </c>
      <c r="P2317" s="10"/>
      <c r="Q2317">
        <v>19</v>
      </c>
      <c r="R2317">
        <v>28</v>
      </c>
      <c r="S2317" cm="1">
        <f t="array" ref="S2317">IFERROR(_xlfn.SWITCH(L2317,1,_xlfn.XLOOKUP(O2317,[1]AttributeName!$B:$B,[1]AttributeName!$D:$D),2,_xlfn.XLOOKUP(C2317,[1]ModifierDes!$B:$B,[1]ModifierDes!$D:$D),3,_xlfn.XLOOKUP(C2317,[1]StuntDes!$B:$B,[1]StuntDes!$D:$D)),0)</f>
        <v>0</v>
      </c>
      <c r="T2317" cm="1">
        <f t="array" ref="T2317">IFERROR(_xlfn.SWITCH(L2317,1,_xlfn.XLOOKUP(O2317,[1]AttributeName!$B:$B,[1]AttributeName!$E:$E),2,_xlfn.XLOOKUP(C2317,[1]ModifierDes!$B:$B,[1]ModifierDes!$E:$E),3,_xlfn.XLOOKUP(C2317,[1]StuntDes!$B:$B,[1]StuntDes!$E:$E)),0)</f>
        <v>1</v>
      </c>
    </row>
    <row r="2318" customFormat="1" spans="1:20">
      <c r="A2318">
        <f t="shared" si="178"/>
        <v>1316</v>
      </c>
      <c r="B2318">
        <v>8</v>
      </c>
      <c r="C2318" t="s">
        <v>408</v>
      </c>
      <c r="D2318" t="s">
        <v>28</v>
      </c>
      <c r="E2318" t="s">
        <v>393</v>
      </c>
      <c r="G2318">
        <v>1</v>
      </c>
      <c r="H2318">
        <v>1000</v>
      </c>
      <c r="J2318" cm="1">
        <f t="array" ref="J2318">_xlfn.SWITCH(B2318,1,75,2,61,3,49,4,37,5,25,6,13,7,4,8,1)</f>
        <v>1</v>
      </c>
      <c r="K2318" t="str" cm="1">
        <f t="array" ref="K2318">IFERROR(_xlfn.SWITCH(L2318,1,_xlfn.XLOOKUP(C2318,[1]AttributeName!$C:$C,[1]AttributeName!$I:$I),2,_xlfn.XLOOKUP(C2318,[1]ModifierDes!$B:$B,[1]ModifierDes!$C:$C),3,_xlfn.XLOOKUP(C2318,[1]StuntDes!$B:$B,[1]StuntDes!$C:$C)),"")</f>
        <v>基础魔力增加{0}</v>
      </c>
      <c r="L2318">
        <f t="shared" si="179"/>
        <v>1</v>
      </c>
      <c r="M2318" s="10" t="str">
        <f>IFERROR(_xlfn.XLOOKUP(C2318,[1]StuntDes!$B:$B,[1]StuntDes!$A:$A),"")</f>
        <v/>
      </c>
      <c r="N2318" s="10" t="str">
        <f>IFERROR(_xlfn.XLOOKUP(C2318,[1]ModifierDes!$B:$B,[1]ModifierDes!$A:$A),"")</f>
        <v/>
      </c>
      <c r="O2318" s="10">
        <f>IFERROR(_xlfn.XLOOKUP(C2318,[1]AttributeName!$C:$C,[1]AttributeName!$B:$B),"")</f>
        <v>10002</v>
      </c>
      <c r="P2318" s="10"/>
      <c r="Q2318">
        <v>9</v>
      </c>
      <c r="R2318">
        <v>18</v>
      </c>
      <c r="S2318" cm="1">
        <f t="array" ref="S2318">IFERROR(_xlfn.SWITCH(L2318,1,_xlfn.XLOOKUP(O2318,[1]AttributeName!$B:$B,[1]AttributeName!$D:$D),2,_xlfn.XLOOKUP(C2318,[1]ModifierDes!$B:$B,[1]ModifierDes!$D:$D),3,_xlfn.XLOOKUP(C2318,[1]StuntDes!$B:$B,[1]StuntDes!$D:$D)),0)</f>
        <v>0</v>
      </c>
      <c r="T2318" cm="1">
        <f t="array" ref="T2318">IFERROR(_xlfn.SWITCH(L2318,1,_xlfn.XLOOKUP(O2318,[1]AttributeName!$B:$B,[1]AttributeName!$E:$E),2,_xlfn.XLOOKUP(C2318,[1]ModifierDes!$B:$B,[1]ModifierDes!$E:$E),3,_xlfn.XLOOKUP(C2318,[1]StuntDes!$B:$B,[1]StuntDes!$E:$E)),0)</f>
        <v>1</v>
      </c>
    </row>
    <row r="2319" customFormat="1" spans="1:20">
      <c r="A2319">
        <v>1351</v>
      </c>
      <c r="B2319">
        <v>1</v>
      </c>
      <c r="C2319" t="s">
        <v>409</v>
      </c>
      <c r="D2319" t="s">
        <v>28</v>
      </c>
      <c r="E2319" s="13" t="s">
        <v>410</v>
      </c>
      <c r="G2319">
        <v>2</v>
      </c>
      <c r="H2319">
        <v>1000</v>
      </c>
      <c r="J2319" cm="1">
        <f t="array" ref="J2319">_xlfn.SWITCH(B2319,1,75,2,61,3,49,4,37,5,25,6,13,7,4,8,1)</f>
        <v>75</v>
      </c>
      <c r="K2319" t="str" cm="1">
        <f t="array" ref="K2319">IFERROR(_xlfn.SWITCH(L2319,1,_xlfn.XLOOKUP(C2319,[1]AttributeName!$C:$C,[1]AttributeName!$I:$I),2,_xlfn.XLOOKUP(C2319,[1]ModifierDes!$B:$B,[1]ModifierDes!$C:$C),3,_xlfn.XLOOKUP(C2319,[1]StuntDes!$B:$B,[1]StuntDes!$C:$C)),"")</f>
        <v>魔力回复率提高{0}</v>
      </c>
      <c r="L2319">
        <f t="shared" si="179"/>
        <v>2</v>
      </c>
      <c r="M2319" s="10" t="str">
        <f>IFERROR(_xlfn.XLOOKUP(C2319,[1]StuntDes!$B:$B,[1]StuntDes!$A:$A),"")</f>
        <v/>
      </c>
      <c r="N2319" s="10">
        <f>IFERROR(_xlfn.XLOOKUP(C2319,[1]ModifierDes!$B:$B,[1]ModifierDes!$A:$A),"")</f>
        <v>10116</v>
      </c>
      <c r="O2319" s="10" t="str">
        <f>IFERROR(_xlfn.XLOOKUP(C2319,[1]AttributeName!$C:$C,[1]AttributeName!$B:$B),"")</f>
        <v/>
      </c>
      <c r="P2319" s="10"/>
      <c r="Q2319">
        <v>0.36</v>
      </c>
      <c r="R2319">
        <v>0.4</v>
      </c>
      <c r="S2319" cm="1">
        <f t="array" ref="S2319">IFERROR(_xlfn.SWITCH(L2319,1,_xlfn.XLOOKUP(O2319,[1]AttributeName!$B:$B,[1]AttributeName!$D:$D),2,_xlfn.XLOOKUP(C2319,[1]ModifierDes!$B:$B,[1]ModifierDes!$D:$D),3,_xlfn.XLOOKUP(C2319,[1]StuntDes!$B:$B,[1]StuntDes!$D:$D)),0)</f>
        <v>2</v>
      </c>
      <c r="T2319" cm="1">
        <f t="array" ref="T2319">IFERROR(_xlfn.SWITCH(L2319,1,_xlfn.XLOOKUP(O2319,[1]AttributeName!$B:$B,[1]AttributeName!$E:$E),2,_xlfn.XLOOKUP(C2319,[1]ModifierDes!$B:$B,[1]ModifierDes!$E:$E),3,_xlfn.XLOOKUP(C2319,[1]StuntDes!$B:$B,[1]StuntDes!$E:$E)),0)</f>
        <v>2</v>
      </c>
    </row>
    <row r="2320" customFormat="1" spans="1:20">
      <c r="A2320">
        <v>1351</v>
      </c>
      <c r="B2320">
        <v>2</v>
      </c>
      <c r="C2320" t="s">
        <v>409</v>
      </c>
      <c r="D2320" t="s">
        <v>28</v>
      </c>
      <c r="E2320" s="13" t="s">
        <v>410</v>
      </c>
      <c r="G2320">
        <v>2</v>
      </c>
      <c r="H2320">
        <v>1000</v>
      </c>
      <c r="J2320" cm="1">
        <f t="array" ref="J2320">_xlfn.SWITCH(B2320,1,75,2,61,3,49,4,37,5,25,6,13,7,4,8,1)</f>
        <v>61</v>
      </c>
      <c r="K2320" t="str" cm="1">
        <f t="array" ref="K2320">IFERROR(_xlfn.SWITCH(L2320,1,_xlfn.XLOOKUP(C2320,[1]AttributeName!$C:$C,[1]AttributeName!$I:$I),2,_xlfn.XLOOKUP(C2320,[1]ModifierDes!$B:$B,[1]ModifierDes!$C:$C),3,_xlfn.XLOOKUP(C2320,[1]StuntDes!$B:$B,[1]StuntDes!$C:$C)),"")</f>
        <v>魔力回复率提高{0}</v>
      </c>
      <c r="L2320">
        <f t="shared" si="179"/>
        <v>2</v>
      </c>
      <c r="M2320" s="10" t="str">
        <f>IFERROR(_xlfn.XLOOKUP(C2320,[1]StuntDes!$B:$B,[1]StuntDes!$A:$A),"")</f>
        <v/>
      </c>
      <c r="N2320" s="10">
        <f>IFERROR(_xlfn.XLOOKUP(C2320,[1]ModifierDes!$B:$B,[1]ModifierDes!$A:$A),"")</f>
        <v>10116</v>
      </c>
      <c r="O2320" s="10" t="str">
        <f>IFERROR(_xlfn.XLOOKUP(C2320,[1]AttributeName!$C:$C,[1]AttributeName!$B:$B),"")</f>
        <v/>
      </c>
      <c r="P2320" s="10"/>
      <c r="Q2320">
        <v>0.31</v>
      </c>
      <c r="R2320">
        <v>0.35</v>
      </c>
      <c r="S2320" cm="1">
        <f t="array" ref="S2320">IFERROR(_xlfn.SWITCH(L2320,1,_xlfn.XLOOKUP(O2320,[1]AttributeName!$B:$B,[1]AttributeName!$D:$D),2,_xlfn.XLOOKUP(C2320,[1]ModifierDes!$B:$B,[1]ModifierDes!$D:$D),3,_xlfn.XLOOKUP(C2320,[1]StuntDes!$B:$B,[1]StuntDes!$D:$D)),0)</f>
        <v>2</v>
      </c>
      <c r="T2320" cm="1">
        <f t="array" ref="T2320">IFERROR(_xlfn.SWITCH(L2320,1,_xlfn.XLOOKUP(O2320,[1]AttributeName!$B:$B,[1]AttributeName!$E:$E),2,_xlfn.XLOOKUP(C2320,[1]ModifierDes!$B:$B,[1]ModifierDes!$E:$E),3,_xlfn.XLOOKUP(C2320,[1]StuntDes!$B:$B,[1]StuntDes!$E:$E)),0)</f>
        <v>2</v>
      </c>
    </row>
    <row r="2321" customFormat="1" spans="1:20">
      <c r="A2321">
        <v>1351</v>
      </c>
      <c r="B2321">
        <v>3</v>
      </c>
      <c r="C2321" t="s">
        <v>409</v>
      </c>
      <c r="D2321" t="s">
        <v>28</v>
      </c>
      <c r="E2321" s="13" t="s">
        <v>410</v>
      </c>
      <c r="G2321">
        <v>2</v>
      </c>
      <c r="H2321">
        <v>1000</v>
      </c>
      <c r="J2321" cm="1">
        <f t="array" ref="J2321">_xlfn.SWITCH(B2321,1,75,2,61,3,49,4,37,5,25,6,13,7,4,8,1)</f>
        <v>49</v>
      </c>
      <c r="K2321" t="str" cm="1">
        <f t="array" ref="K2321">IFERROR(_xlfn.SWITCH(L2321,1,_xlfn.XLOOKUP(C2321,[1]AttributeName!$C:$C,[1]AttributeName!$I:$I),2,_xlfn.XLOOKUP(C2321,[1]ModifierDes!$B:$B,[1]ModifierDes!$C:$C),3,_xlfn.XLOOKUP(C2321,[1]StuntDes!$B:$B,[1]StuntDes!$C:$C)),"")</f>
        <v>魔力回复率提高{0}</v>
      </c>
      <c r="L2321">
        <f t="shared" si="179"/>
        <v>2</v>
      </c>
      <c r="M2321" s="10" t="str">
        <f>IFERROR(_xlfn.XLOOKUP(C2321,[1]StuntDes!$B:$B,[1]StuntDes!$A:$A),"")</f>
        <v/>
      </c>
      <c r="N2321" s="10">
        <f>IFERROR(_xlfn.XLOOKUP(C2321,[1]ModifierDes!$B:$B,[1]ModifierDes!$A:$A),"")</f>
        <v>10116</v>
      </c>
      <c r="O2321" s="10" t="str">
        <f>IFERROR(_xlfn.XLOOKUP(C2321,[1]AttributeName!$C:$C,[1]AttributeName!$B:$B),"")</f>
        <v/>
      </c>
      <c r="P2321" s="10"/>
      <c r="Q2321">
        <v>0.26</v>
      </c>
      <c r="R2321">
        <v>0.3</v>
      </c>
      <c r="S2321" cm="1">
        <f t="array" ref="S2321">IFERROR(_xlfn.SWITCH(L2321,1,_xlfn.XLOOKUP(O2321,[1]AttributeName!$B:$B,[1]AttributeName!$D:$D),2,_xlfn.XLOOKUP(C2321,[1]ModifierDes!$B:$B,[1]ModifierDes!$D:$D),3,_xlfn.XLOOKUP(C2321,[1]StuntDes!$B:$B,[1]StuntDes!$D:$D)),0)</f>
        <v>2</v>
      </c>
      <c r="T2321" cm="1">
        <f t="array" ref="T2321">IFERROR(_xlfn.SWITCH(L2321,1,_xlfn.XLOOKUP(O2321,[1]AttributeName!$B:$B,[1]AttributeName!$E:$E),2,_xlfn.XLOOKUP(C2321,[1]ModifierDes!$B:$B,[1]ModifierDes!$E:$E),3,_xlfn.XLOOKUP(C2321,[1]StuntDes!$B:$B,[1]StuntDes!$E:$E)),0)</f>
        <v>2</v>
      </c>
    </row>
    <row r="2322" customFormat="1" spans="1:20">
      <c r="A2322">
        <v>1351</v>
      </c>
      <c r="B2322">
        <v>4</v>
      </c>
      <c r="C2322" t="s">
        <v>409</v>
      </c>
      <c r="D2322" t="s">
        <v>28</v>
      </c>
      <c r="E2322" s="13" t="s">
        <v>410</v>
      </c>
      <c r="G2322">
        <v>2</v>
      </c>
      <c r="H2322">
        <v>1000</v>
      </c>
      <c r="J2322" cm="1">
        <f t="array" ref="J2322">_xlfn.SWITCH(B2322,1,75,2,61,3,49,4,37,5,25,6,13,7,4,8,1)</f>
        <v>37</v>
      </c>
      <c r="K2322" t="str" cm="1">
        <f t="array" ref="K2322">IFERROR(_xlfn.SWITCH(L2322,1,_xlfn.XLOOKUP(C2322,[1]AttributeName!$C:$C,[1]AttributeName!$I:$I),2,_xlfn.XLOOKUP(C2322,[1]ModifierDes!$B:$B,[1]ModifierDes!$C:$C),3,_xlfn.XLOOKUP(C2322,[1]StuntDes!$B:$B,[1]StuntDes!$C:$C)),"")</f>
        <v>魔力回复率提高{0}</v>
      </c>
      <c r="L2322">
        <f t="shared" si="179"/>
        <v>2</v>
      </c>
      <c r="M2322" s="10" t="str">
        <f>IFERROR(_xlfn.XLOOKUP(C2322,[1]StuntDes!$B:$B,[1]StuntDes!$A:$A),"")</f>
        <v/>
      </c>
      <c r="N2322" s="10">
        <f>IFERROR(_xlfn.XLOOKUP(C2322,[1]ModifierDes!$B:$B,[1]ModifierDes!$A:$A),"")</f>
        <v>10116</v>
      </c>
      <c r="O2322" s="10" t="str">
        <f>IFERROR(_xlfn.XLOOKUP(C2322,[1]AttributeName!$C:$C,[1]AttributeName!$B:$B),"")</f>
        <v/>
      </c>
      <c r="P2322" s="10"/>
      <c r="Q2322">
        <v>0.21</v>
      </c>
      <c r="R2322">
        <v>0.25</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v>1351</v>
      </c>
      <c r="B2323">
        <v>5</v>
      </c>
      <c r="C2323" t="s">
        <v>409</v>
      </c>
      <c r="D2323" t="s">
        <v>28</v>
      </c>
      <c r="E2323" s="13" t="s">
        <v>410</v>
      </c>
      <c r="G2323">
        <v>2</v>
      </c>
      <c r="H2323">
        <v>1000</v>
      </c>
      <c r="J2323" cm="1">
        <f t="array" ref="J2323">_xlfn.SWITCH(B2323,1,75,2,61,3,49,4,37,5,25,6,13,7,4,8,1)</f>
        <v>25</v>
      </c>
      <c r="K2323" t="str" cm="1">
        <f t="array" ref="K2323">IFERROR(_xlfn.SWITCH(L2323,1,_xlfn.XLOOKUP(C2323,[1]AttributeName!$C:$C,[1]AttributeName!$I:$I),2,_xlfn.XLOOKUP(C2323,[1]ModifierDes!$B:$B,[1]ModifierDes!$C:$C),3,_xlfn.XLOOKUP(C2323,[1]StuntDes!$B:$B,[1]StuntDes!$C:$C)),"")</f>
        <v>魔力回复率提高{0}</v>
      </c>
      <c r="L2323">
        <f t="shared" si="179"/>
        <v>2</v>
      </c>
      <c r="M2323" s="10" t="str">
        <f>IFERROR(_xlfn.XLOOKUP(C2323,[1]StuntDes!$B:$B,[1]StuntDes!$A:$A),"")</f>
        <v/>
      </c>
      <c r="N2323" s="10">
        <f>IFERROR(_xlfn.XLOOKUP(C2323,[1]ModifierDes!$B:$B,[1]ModifierDes!$A:$A),"")</f>
        <v>10116</v>
      </c>
      <c r="O2323" s="10" t="str">
        <f>IFERROR(_xlfn.XLOOKUP(C2323,[1]AttributeName!$C:$C,[1]AttributeName!$B:$B),"")</f>
        <v/>
      </c>
      <c r="P2323" s="10"/>
      <c r="Q2323">
        <v>0.16</v>
      </c>
      <c r="R2323">
        <v>0.2</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1351</v>
      </c>
      <c r="B2324">
        <v>6</v>
      </c>
      <c r="C2324" t="s">
        <v>409</v>
      </c>
      <c r="D2324" t="s">
        <v>28</v>
      </c>
      <c r="E2324" s="13" t="s">
        <v>410</v>
      </c>
      <c r="G2324">
        <v>2</v>
      </c>
      <c r="H2324">
        <v>1000</v>
      </c>
      <c r="J2324" cm="1">
        <f t="array" ref="J2324">_xlfn.SWITCH(B2324,1,75,2,61,3,49,4,37,5,25,6,13,7,4,8,1)</f>
        <v>13</v>
      </c>
      <c r="K2324" t="str" cm="1">
        <f t="array" ref="K2324">IFERROR(_xlfn.SWITCH(L2324,1,_xlfn.XLOOKUP(C2324,[1]AttributeName!$C:$C,[1]AttributeName!$I:$I),2,_xlfn.XLOOKUP(C2324,[1]ModifierDes!$B:$B,[1]ModifierDes!$C:$C),3,_xlfn.XLOOKUP(C2324,[1]StuntDes!$B:$B,[1]StuntDes!$C:$C)),"")</f>
        <v>魔力回复率提高{0}</v>
      </c>
      <c r="L2324">
        <f t="shared" si="179"/>
        <v>2</v>
      </c>
      <c r="M2324" s="10" t="str">
        <f>IFERROR(_xlfn.XLOOKUP(C2324,[1]StuntDes!$B:$B,[1]StuntDes!$A:$A),"")</f>
        <v/>
      </c>
      <c r="N2324" s="10">
        <f>IFERROR(_xlfn.XLOOKUP(C2324,[1]ModifierDes!$B:$B,[1]ModifierDes!$A:$A),"")</f>
        <v>10116</v>
      </c>
      <c r="O2324" s="10" t="str">
        <f>IFERROR(_xlfn.XLOOKUP(C2324,[1]AttributeName!$C:$C,[1]AttributeName!$B:$B),"")</f>
        <v/>
      </c>
      <c r="P2324" s="10"/>
      <c r="Q2324">
        <v>0.11</v>
      </c>
      <c r="R2324">
        <v>0.15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1351</v>
      </c>
      <c r="B2325">
        <v>7</v>
      </c>
      <c r="C2325" t="s">
        <v>409</v>
      </c>
      <c r="D2325" t="s">
        <v>28</v>
      </c>
      <c r="E2325" s="13" t="s">
        <v>410</v>
      </c>
      <c r="G2325">
        <v>2</v>
      </c>
      <c r="H2325">
        <v>1000</v>
      </c>
      <c r="J2325" cm="1">
        <f t="array" ref="J2325">_xlfn.SWITCH(B2325,1,75,2,61,3,49,4,37,5,25,6,13,7,4,8,1)</f>
        <v>4</v>
      </c>
      <c r="K2325" t="str" cm="1">
        <f t="array" ref="K2325">IFERROR(_xlfn.SWITCH(L2325,1,_xlfn.XLOOKUP(C2325,[1]AttributeName!$C:$C,[1]AttributeName!$I:$I),2,_xlfn.XLOOKUP(C2325,[1]ModifierDes!$B:$B,[1]ModifierDes!$C:$C),3,_xlfn.XLOOKUP(C2325,[1]StuntDes!$B:$B,[1]StuntDes!$C:$C)),"")</f>
        <v>魔力回复率提高{0}</v>
      </c>
      <c r="L2325">
        <f t="shared" si="179"/>
        <v>2</v>
      </c>
      <c r="M2325" s="10" t="str">
        <f>IFERROR(_xlfn.XLOOKUP(C2325,[1]StuntDes!$B:$B,[1]StuntDes!$A:$A),"")</f>
        <v/>
      </c>
      <c r="N2325" s="10">
        <f>IFERROR(_xlfn.XLOOKUP(C2325,[1]ModifierDes!$B:$B,[1]ModifierDes!$A:$A),"")</f>
        <v>10116</v>
      </c>
      <c r="O2325" s="10" t="str">
        <f>IFERROR(_xlfn.XLOOKUP(C2325,[1]AttributeName!$C:$C,[1]AttributeName!$B:$B),"")</f>
        <v/>
      </c>
      <c r="P2325" s="10"/>
      <c r="Q2325">
        <v>0.05</v>
      </c>
      <c r="R2325">
        <v>0.1</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v>1351</v>
      </c>
      <c r="B2326">
        <v>8</v>
      </c>
      <c r="C2326" t="s">
        <v>409</v>
      </c>
      <c r="D2326" t="s">
        <v>28</v>
      </c>
      <c r="E2326" s="13" t="s">
        <v>410</v>
      </c>
      <c r="G2326">
        <v>2</v>
      </c>
      <c r="H2326">
        <v>1000</v>
      </c>
      <c r="J2326" cm="1">
        <f t="array" ref="J2326">_xlfn.SWITCH(B2326,1,75,2,61,3,49,4,37,5,25,6,13,7,4,8,1)</f>
        <v>1</v>
      </c>
      <c r="K2326" t="str" cm="1">
        <f t="array" ref="K2326">IFERROR(_xlfn.SWITCH(L2326,1,_xlfn.XLOOKUP(C2326,[1]AttributeName!$C:$C,[1]AttributeName!$I:$I),2,_xlfn.XLOOKUP(C2326,[1]ModifierDes!$B:$B,[1]ModifierDes!$C:$C),3,_xlfn.XLOOKUP(C2326,[1]StuntDes!$B:$B,[1]StuntDes!$C:$C)),"")</f>
        <v>魔力回复率提高{0}</v>
      </c>
      <c r="L2326">
        <f t="shared" si="179"/>
        <v>2</v>
      </c>
      <c r="M2326" s="10" t="str">
        <f>IFERROR(_xlfn.XLOOKUP(C2326,[1]StuntDes!$B:$B,[1]StuntDes!$A:$A),"")</f>
        <v/>
      </c>
      <c r="N2326" s="10">
        <f>IFERROR(_xlfn.XLOOKUP(C2326,[1]ModifierDes!$B:$B,[1]ModifierDes!$A:$A),"")</f>
        <v>10116</v>
      </c>
      <c r="O2326" s="10" t="str">
        <f>IFERROR(_xlfn.XLOOKUP(C2326,[1]AttributeName!$C:$C,[1]AttributeName!$B:$B),"")</f>
        <v/>
      </c>
      <c r="P2326" s="10"/>
      <c r="Q2326">
        <v>0.03</v>
      </c>
      <c r="R2326">
        <v>0.04</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1352</v>
      </c>
      <c r="B2327">
        <v>1</v>
      </c>
      <c r="C2327" s="13" t="s">
        <v>411</v>
      </c>
      <c r="D2327" t="s">
        <v>28</v>
      </c>
      <c r="E2327" s="13" t="s">
        <v>410</v>
      </c>
      <c r="G2327">
        <v>2</v>
      </c>
      <c r="H2327">
        <v>25</v>
      </c>
      <c r="I2327">
        <v>2</v>
      </c>
      <c r="J2327" cm="1">
        <f t="array" ref="J2327">_xlfn.SWITCH(B2327,1,75,2,61,3,49,4,37,5,25,6,13,7,4,8,1)</f>
        <v>75</v>
      </c>
      <c r="K2327" t="str" cm="1">
        <f t="array" ref="K2327">IFERROR(_xlfn.SWITCH(L2327,1,_xlfn.XLOOKUP(C2327,[1]AttributeName!$C:$C,[1]AttributeName!$I:$I),2,_xlfn.XLOOKUP(C2327,[1]ModifierDes!$B:$B,[1]ModifierDes!$C:$C),3,_xlfn.XLOOKUP(C2327,[1]StuntDes!$B:$B,[1]StuntDes!$C:$C)),"")</f>
        <v>物理技能等级增加{0}</v>
      </c>
      <c r="L2327">
        <f t="shared" si="179"/>
        <v>2</v>
      </c>
      <c r="M2327" s="10" t="str">
        <f>IFERROR(_xlfn.XLOOKUP(C2327,[1]StuntDes!$B:$B,[1]StuntDes!$A:$A),"")</f>
        <v/>
      </c>
      <c r="N2327" s="10">
        <f>IFERROR(_xlfn.XLOOKUP(C2327,[1]ModifierDes!$B:$B,[1]ModifierDes!$A:$A),"")</f>
        <v>10156</v>
      </c>
      <c r="O2327" s="10" t="str">
        <f>IFERROR(_xlfn.XLOOKUP(C2327,[1]AttributeName!$C:$C,[1]AttributeName!$B:$B),"")</f>
        <v/>
      </c>
      <c r="P2327" s="10"/>
      <c r="Q2327">
        <v>5</v>
      </c>
      <c r="R2327">
        <v>7</v>
      </c>
      <c r="S2327" cm="1">
        <f t="array" ref="S2327">IFERROR(_xlfn.SWITCH(L2327,1,_xlfn.XLOOKUP(O2327,[1]AttributeName!$B:$B,[1]AttributeName!$D:$D),2,_xlfn.XLOOKUP(C2327,[1]ModifierDes!$B:$B,[1]ModifierDes!$D:$D),3,_xlfn.XLOOKUP(C2327,[1]StuntDes!$B:$B,[1]StuntDes!$D:$D)),0)</f>
        <v>0</v>
      </c>
      <c r="T2327" cm="1">
        <f t="array" ref="T2327">IFERROR(_xlfn.SWITCH(L2327,1,_xlfn.XLOOKUP(O2327,[1]AttributeName!$B:$B,[1]AttributeName!$E:$E),2,_xlfn.XLOOKUP(C2327,[1]ModifierDes!$B:$B,[1]ModifierDes!$E:$E),3,_xlfn.XLOOKUP(C2327,[1]StuntDes!$B:$B,[1]StuntDes!$E:$E)),0)</f>
        <v>0</v>
      </c>
    </row>
    <row r="2328" customFormat="1" spans="1:20">
      <c r="A2328">
        <v>1352</v>
      </c>
      <c r="B2328">
        <v>2</v>
      </c>
      <c r="C2328" s="13" t="s">
        <v>411</v>
      </c>
      <c r="D2328" t="s">
        <v>28</v>
      </c>
      <c r="E2328" s="13" t="s">
        <v>410</v>
      </c>
      <c r="G2328">
        <v>2</v>
      </c>
      <c r="H2328">
        <v>100</v>
      </c>
      <c r="I2328">
        <v>2</v>
      </c>
      <c r="J2328" cm="1">
        <f t="array" ref="J2328">_xlfn.SWITCH(B2328,1,75,2,61,3,49,4,37,5,25,6,13,7,4,8,1)</f>
        <v>61</v>
      </c>
      <c r="K2328" t="str" cm="1">
        <f t="array" ref="K2328">IFERROR(_xlfn.SWITCH(L2328,1,_xlfn.XLOOKUP(C2328,[1]AttributeName!$C:$C,[1]AttributeName!$I:$I),2,_xlfn.XLOOKUP(C2328,[1]ModifierDes!$B:$B,[1]ModifierDes!$C:$C),3,_xlfn.XLOOKUP(C2328,[1]StuntDes!$B:$B,[1]StuntDes!$C:$C)),"")</f>
        <v>物理技能等级增加{0}</v>
      </c>
      <c r="L2328">
        <f t="shared" si="179"/>
        <v>2</v>
      </c>
      <c r="M2328" s="10" t="str">
        <f>IFERROR(_xlfn.XLOOKUP(C2328,[1]StuntDes!$B:$B,[1]StuntDes!$A:$A),"")</f>
        <v/>
      </c>
      <c r="N2328" s="10">
        <f>IFERROR(_xlfn.XLOOKUP(C2328,[1]ModifierDes!$B:$B,[1]ModifierDes!$A:$A),"")</f>
        <v>10156</v>
      </c>
      <c r="O2328" s="10" t="str">
        <f>IFERROR(_xlfn.XLOOKUP(C2328,[1]AttributeName!$C:$C,[1]AttributeName!$B:$B),"")</f>
        <v/>
      </c>
      <c r="P2328" s="10"/>
      <c r="Q2328">
        <v>3</v>
      </c>
      <c r="R2328">
        <v>4</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1352</v>
      </c>
      <c r="B2329">
        <v>3</v>
      </c>
      <c r="C2329" s="13" t="s">
        <v>411</v>
      </c>
      <c r="D2329" t="s">
        <v>28</v>
      </c>
      <c r="E2329" s="13" t="s">
        <v>410</v>
      </c>
      <c r="G2329">
        <v>2</v>
      </c>
      <c r="H2329">
        <v>400</v>
      </c>
      <c r="I2329">
        <v>2</v>
      </c>
      <c r="J2329" cm="1">
        <f t="array" ref="J2329">_xlfn.SWITCH(B2329,1,75,2,61,3,49,4,37,5,25,6,13,7,4,8,1)</f>
        <v>49</v>
      </c>
      <c r="K2329" t="str" cm="1">
        <f t="array" ref="K2329">IFERROR(_xlfn.SWITCH(L2329,1,_xlfn.XLOOKUP(C2329,[1]AttributeName!$C:$C,[1]AttributeName!$I:$I),2,_xlfn.XLOOKUP(C2329,[1]ModifierDes!$B:$B,[1]ModifierDes!$C:$C),3,_xlfn.XLOOKUP(C2329,[1]StuntDes!$B:$B,[1]StuntDes!$C:$C)),"")</f>
        <v>物理技能等级增加{0}</v>
      </c>
      <c r="L2329">
        <f t="shared" si="179"/>
        <v>2</v>
      </c>
      <c r="M2329" s="10" t="str">
        <f>IFERROR(_xlfn.XLOOKUP(C2329,[1]StuntDes!$B:$B,[1]StuntDes!$A:$A),"")</f>
        <v/>
      </c>
      <c r="N2329" s="10">
        <f>IFERROR(_xlfn.XLOOKUP(C2329,[1]ModifierDes!$B:$B,[1]ModifierDes!$A:$A),"")</f>
        <v>10156</v>
      </c>
      <c r="O2329" s="10" t="str">
        <f>IFERROR(_xlfn.XLOOKUP(C2329,[1]AttributeName!$C:$C,[1]AttributeName!$B:$B),"")</f>
        <v/>
      </c>
      <c r="P2329" s="10"/>
      <c r="Q2329">
        <v>2</v>
      </c>
      <c r="R2329">
        <v>2</v>
      </c>
      <c r="S2329" cm="1">
        <f t="array" ref="S2329">IFERROR(_xlfn.SWITCH(L2329,1,_xlfn.XLOOKUP(O2329,[1]AttributeName!$B:$B,[1]AttributeName!$D:$D),2,_xlfn.XLOOKUP(C2329,[1]ModifierDes!$B:$B,[1]ModifierDes!$D:$D),3,_xlfn.XLOOKUP(C2329,[1]StuntDes!$B:$B,[1]StuntDes!$D:$D)),0)</f>
        <v>0</v>
      </c>
      <c r="T2329" cm="1">
        <f t="array" ref="T2329">IFERROR(_xlfn.SWITCH(L2329,1,_xlfn.XLOOKUP(O2329,[1]AttributeName!$B:$B,[1]AttributeName!$E:$E),2,_xlfn.XLOOKUP(C2329,[1]ModifierDes!$B:$B,[1]ModifierDes!$E:$E),3,_xlfn.XLOOKUP(C2329,[1]StuntDes!$B:$B,[1]StuntDes!$E:$E)),0)</f>
        <v>0</v>
      </c>
    </row>
    <row r="2330" customFormat="1" spans="1:20">
      <c r="A2330">
        <v>1352</v>
      </c>
      <c r="B2330">
        <v>5</v>
      </c>
      <c r="C2330" s="13" t="s">
        <v>411</v>
      </c>
      <c r="D2330" t="s">
        <v>28</v>
      </c>
      <c r="E2330" s="13" t="s">
        <v>410</v>
      </c>
      <c r="G2330">
        <v>2</v>
      </c>
      <c r="H2330">
        <v>1000</v>
      </c>
      <c r="I2330">
        <v>2</v>
      </c>
      <c r="J2330" cm="1">
        <f t="array" ref="J2330">_xlfn.SWITCH(B2330,1,75,2,61,3,49,4,37,5,25,6,13,7,4,8,1)</f>
        <v>25</v>
      </c>
      <c r="K2330" t="str" cm="1">
        <f t="array" ref="K2330">IFERROR(_xlfn.SWITCH(L2330,1,_xlfn.XLOOKUP(C2330,[1]AttributeName!$C:$C,[1]AttributeName!$I:$I),2,_xlfn.XLOOKUP(C2330,[1]ModifierDes!$B:$B,[1]ModifierDes!$C:$C),3,_xlfn.XLOOKUP(C2330,[1]StuntDes!$B:$B,[1]StuntDes!$C:$C)),"")</f>
        <v>物理技能等级增加{0}</v>
      </c>
      <c r="L2330">
        <f t="shared" si="179"/>
        <v>2</v>
      </c>
      <c r="M2330" s="10" t="str">
        <f>IFERROR(_xlfn.XLOOKUP(C2330,[1]StuntDes!$B:$B,[1]StuntDes!$A:$A),"")</f>
        <v/>
      </c>
      <c r="N2330" s="10">
        <f>IFERROR(_xlfn.XLOOKUP(C2330,[1]ModifierDes!$B:$B,[1]ModifierDes!$A:$A),"")</f>
        <v>10156</v>
      </c>
      <c r="O2330" s="10" t="str">
        <f>IFERROR(_xlfn.XLOOKUP(C2330,[1]AttributeName!$C:$C,[1]AttributeName!$B:$B),"")</f>
        <v/>
      </c>
      <c r="P2330" s="10"/>
      <c r="Q2330">
        <v>1</v>
      </c>
      <c r="R2330">
        <v>1</v>
      </c>
      <c r="S2330" cm="1">
        <f t="array" ref="S2330">IFERROR(_xlfn.SWITCH(L2330,1,_xlfn.XLOOKUP(O2330,[1]AttributeName!$B:$B,[1]AttributeName!$D:$D),2,_xlfn.XLOOKUP(C2330,[1]ModifierDes!$B:$B,[1]ModifierDes!$D:$D),3,_xlfn.XLOOKUP(C2330,[1]StuntDes!$B:$B,[1]StuntDes!$D:$D)),0)</f>
        <v>0</v>
      </c>
      <c r="T2330" cm="1">
        <f t="array" ref="T2330">IFERROR(_xlfn.SWITCH(L2330,1,_xlfn.XLOOKUP(O2330,[1]AttributeName!$B:$B,[1]AttributeName!$E:$E),2,_xlfn.XLOOKUP(C2330,[1]ModifierDes!$B:$B,[1]ModifierDes!$E:$E),3,_xlfn.XLOOKUP(C2330,[1]StuntDes!$B:$B,[1]StuntDes!$E:$E)),0)</f>
        <v>0</v>
      </c>
    </row>
    <row r="2331" customFormat="1" spans="1:20">
      <c r="A2331">
        <f t="shared" ref="A2331:A2346" si="180">A2327+1</f>
        <v>1353</v>
      </c>
      <c r="B2331">
        <f t="shared" ref="B2331:B2346" si="181">B2327</f>
        <v>1</v>
      </c>
      <c r="C2331" s="13" t="s">
        <v>412</v>
      </c>
      <c r="D2331" t="s">
        <v>28</v>
      </c>
      <c r="E2331" s="13" t="s">
        <v>410</v>
      </c>
      <c r="G2331">
        <v>2</v>
      </c>
      <c r="H2331">
        <v>25</v>
      </c>
      <c r="I2331">
        <v>2</v>
      </c>
      <c r="J2331" cm="1">
        <f t="array" ref="J2331">_xlfn.SWITCH(B2331,1,75,2,61,3,49,4,37,5,25,6,13,7,4,8,1)</f>
        <v>75</v>
      </c>
      <c r="K2331" t="str" cm="1">
        <f t="array" ref="K2331">IFERROR(_xlfn.SWITCH(L2331,1,_xlfn.XLOOKUP(C2331,[1]AttributeName!$C:$C,[1]AttributeName!$I:$I),2,_xlfn.XLOOKUP(C2331,[1]ModifierDes!$B:$B,[1]ModifierDes!$C:$C),3,_xlfn.XLOOKUP(C2331,[1]StuntDes!$B:$B,[1]StuntDes!$C:$C)),"")</f>
        <v>火焰技能等级增加{0}</v>
      </c>
      <c r="L2331">
        <f t="shared" si="179"/>
        <v>2</v>
      </c>
      <c r="M2331" s="10" t="str">
        <f>IFERROR(_xlfn.XLOOKUP(C2331,[1]StuntDes!$B:$B,[1]StuntDes!$A:$A),"")</f>
        <v/>
      </c>
      <c r="N2331" s="10">
        <f>IFERROR(_xlfn.XLOOKUP(C2331,[1]ModifierDes!$B:$B,[1]ModifierDes!$A:$A),"")</f>
        <v>10157</v>
      </c>
      <c r="O2331" s="10" t="str">
        <f>IFERROR(_xlfn.XLOOKUP(C2331,[1]AttributeName!$C:$C,[1]AttributeName!$B:$B),"")</f>
        <v/>
      </c>
      <c r="P2331" s="10"/>
      <c r="Q2331">
        <v>5</v>
      </c>
      <c r="R2331">
        <v>7</v>
      </c>
      <c r="S2331" cm="1">
        <f t="array" ref="S2331">IFERROR(_xlfn.SWITCH(L2331,1,_xlfn.XLOOKUP(O2331,[1]AttributeName!$B:$B,[1]AttributeName!$D:$D),2,_xlfn.XLOOKUP(C2331,[1]ModifierDes!$B:$B,[1]ModifierDes!$D:$D),3,_xlfn.XLOOKUP(C2331,[1]StuntDes!$B:$B,[1]StuntDes!$D:$D)),0)</f>
        <v>0</v>
      </c>
      <c r="T2331" cm="1">
        <f t="array" ref="T2331">IFERROR(_xlfn.SWITCH(L2331,1,_xlfn.XLOOKUP(O2331,[1]AttributeName!$B:$B,[1]AttributeName!$E:$E),2,_xlfn.XLOOKUP(C2331,[1]ModifierDes!$B:$B,[1]ModifierDes!$E:$E),3,_xlfn.XLOOKUP(C2331,[1]StuntDes!$B:$B,[1]StuntDes!$E:$E)),0)</f>
        <v>0</v>
      </c>
    </row>
    <row r="2332" customFormat="1" spans="1:20">
      <c r="A2332">
        <f t="shared" si="180"/>
        <v>1353</v>
      </c>
      <c r="B2332">
        <f t="shared" si="181"/>
        <v>2</v>
      </c>
      <c r="C2332" s="13" t="s">
        <v>412</v>
      </c>
      <c r="D2332" t="s">
        <v>28</v>
      </c>
      <c r="E2332" s="13" t="s">
        <v>410</v>
      </c>
      <c r="G2332">
        <v>2</v>
      </c>
      <c r="H2332">
        <v>100</v>
      </c>
      <c r="I2332">
        <v>2</v>
      </c>
      <c r="J2332" cm="1">
        <f t="array" ref="J2332">_xlfn.SWITCH(B2332,1,75,2,61,3,49,4,37,5,25,6,13,7,4,8,1)</f>
        <v>61</v>
      </c>
      <c r="K2332" t="str" cm="1">
        <f t="array" ref="K2332">IFERROR(_xlfn.SWITCH(L2332,1,_xlfn.XLOOKUP(C2332,[1]AttributeName!$C:$C,[1]AttributeName!$I:$I),2,_xlfn.XLOOKUP(C2332,[1]ModifierDes!$B:$B,[1]ModifierDes!$C:$C),3,_xlfn.XLOOKUP(C2332,[1]StuntDes!$B:$B,[1]StuntDes!$C:$C)),"")</f>
        <v>火焰技能等级增加{0}</v>
      </c>
      <c r="L2332">
        <f t="shared" si="179"/>
        <v>2</v>
      </c>
      <c r="M2332" s="10" t="str">
        <f>IFERROR(_xlfn.XLOOKUP(C2332,[1]StuntDes!$B:$B,[1]StuntDes!$A:$A),"")</f>
        <v/>
      </c>
      <c r="N2332" s="10">
        <f>IFERROR(_xlfn.XLOOKUP(C2332,[1]ModifierDes!$B:$B,[1]ModifierDes!$A:$A),"")</f>
        <v>10157</v>
      </c>
      <c r="O2332" s="10" t="str">
        <f>IFERROR(_xlfn.XLOOKUP(C2332,[1]AttributeName!$C:$C,[1]AttributeName!$B:$B),"")</f>
        <v/>
      </c>
      <c r="P2332" s="10"/>
      <c r="Q2332">
        <v>3</v>
      </c>
      <c r="R2332">
        <v>4</v>
      </c>
      <c r="S2332" cm="1">
        <f t="array" ref="S2332">IFERROR(_xlfn.SWITCH(L2332,1,_xlfn.XLOOKUP(O2332,[1]AttributeName!$B:$B,[1]AttributeName!$D:$D),2,_xlfn.XLOOKUP(C2332,[1]ModifierDes!$B:$B,[1]ModifierDes!$D:$D),3,_xlfn.XLOOKUP(C2332,[1]StuntDes!$B:$B,[1]StuntDes!$D:$D)),0)</f>
        <v>0</v>
      </c>
      <c r="T2332" cm="1">
        <f t="array" ref="T2332">IFERROR(_xlfn.SWITCH(L2332,1,_xlfn.XLOOKUP(O2332,[1]AttributeName!$B:$B,[1]AttributeName!$E:$E),2,_xlfn.XLOOKUP(C2332,[1]ModifierDes!$B:$B,[1]ModifierDes!$E:$E),3,_xlfn.XLOOKUP(C2332,[1]StuntDes!$B:$B,[1]StuntDes!$E:$E)),0)</f>
        <v>0</v>
      </c>
    </row>
    <row r="2333" customFormat="1" spans="1:20">
      <c r="A2333">
        <f t="shared" si="180"/>
        <v>1353</v>
      </c>
      <c r="B2333">
        <f t="shared" si="181"/>
        <v>3</v>
      </c>
      <c r="C2333" s="13" t="s">
        <v>412</v>
      </c>
      <c r="D2333" t="s">
        <v>28</v>
      </c>
      <c r="E2333" s="13" t="s">
        <v>410</v>
      </c>
      <c r="G2333">
        <v>2</v>
      </c>
      <c r="H2333">
        <v>400</v>
      </c>
      <c r="I2333">
        <v>2</v>
      </c>
      <c r="J2333" cm="1">
        <f t="array" ref="J2333">_xlfn.SWITCH(B2333,1,75,2,61,3,49,4,37,5,25,6,13,7,4,8,1)</f>
        <v>49</v>
      </c>
      <c r="K2333" t="str" cm="1">
        <f t="array" ref="K2333">IFERROR(_xlfn.SWITCH(L2333,1,_xlfn.XLOOKUP(C2333,[1]AttributeName!$C:$C,[1]AttributeName!$I:$I),2,_xlfn.XLOOKUP(C2333,[1]ModifierDes!$B:$B,[1]ModifierDes!$C:$C),3,_xlfn.XLOOKUP(C2333,[1]StuntDes!$B:$B,[1]StuntDes!$C:$C)),"")</f>
        <v>火焰技能等级增加{0}</v>
      </c>
      <c r="L2333">
        <f t="shared" si="179"/>
        <v>2</v>
      </c>
      <c r="M2333" s="10" t="str">
        <f>IFERROR(_xlfn.XLOOKUP(C2333,[1]StuntDes!$B:$B,[1]StuntDes!$A:$A),"")</f>
        <v/>
      </c>
      <c r="N2333" s="10">
        <f>IFERROR(_xlfn.XLOOKUP(C2333,[1]ModifierDes!$B:$B,[1]ModifierDes!$A:$A),"")</f>
        <v>10157</v>
      </c>
      <c r="O2333" s="10" t="str">
        <f>IFERROR(_xlfn.XLOOKUP(C2333,[1]AttributeName!$C:$C,[1]AttributeName!$B:$B),"")</f>
        <v/>
      </c>
      <c r="P2333" s="10"/>
      <c r="Q2333">
        <v>2</v>
      </c>
      <c r="R2333">
        <v>2</v>
      </c>
      <c r="S2333" cm="1">
        <f t="array" ref="S2333">IFERROR(_xlfn.SWITCH(L2333,1,_xlfn.XLOOKUP(O2333,[1]AttributeName!$B:$B,[1]AttributeName!$D:$D),2,_xlfn.XLOOKUP(C2333,[1]ModifierDes!$B:$B,[1]ModifierDes!$D:$D),3,_xlfn.XLOOKUP(C2333,[1]StuntDes!$B:$B,[1]StuntDes!$D:$D)),0)</f>
        <v>0</v>
      </c>
      <c r="T2333" cm="1">
        <f t="array" ref="T2333">IFERROR(_xlfn.SWITCH(L2333,1,_xlfn.XLOOKUP(O2333,[1]AttributeName!$B:$B,[1]AttributeName!$E:$E),2,_xlfn.XLOOKUP(C2333,[1]ModifierDes!$B:$B,[1]ModifierDes!$E:$E),3,_xlfn.XLOOKUP(C2333,[1]StuntDes!$B:$B,[1]StuntDes!$E:$E)),0)</f>
        <v>0</v>
      </c>
    </row>
    <row r="2334" customFormat="1" spans="1:20">
      <c r="A2334">
        <f t="shared" si="180"/>
        <v>1353</v>
      </c>
      <c r="B2334">
        <f t="shared" si="181"/>
        <v>5</v>
      </c>
      <c r="C2334" s="13" t="s">
        <v>412</v>
      </c>
      <c r="D2334" t="s">
        <v>28</v>
      </c>
      <c r="E2334" s="13" t="s">
        <v>410</v>
      </c>
      <c r="G2334">
        <v>2</v>
      </c>
      <c r="H2334">
        <v>1000</v>
      </c>
      <c r="I2334">
        <v>2</v>
      </c>
      <c r="J2334" cm="1">
        <f t="array" ref="J2334">_xlfn.SWITCH(B2334,1,75,2,61,3,49,4,37,5,25,6,13,7,4,8,1)</f>
        <v>25</v>
      </c>
      <c r="K2334" t="str" cm="1">
        <f t="array" ref="K2334">IFERROR(_xlfn.SWITCH(L2334,1,_xlfn.XLOOKUP(C2334,[1]AttributeName!$C:$C,[1]AttributeName!$I:$I),2,_xlfn.XLOOKUP(C2334,[1]ModifierDes!$B:$B,[1]ModifierDes!$C:$C),3,_xlfn.XLOOKUP(C2334,[1]StuntDes!$B:$B,[1]StuntDes!$C:$C)),"")</f>
        <v>火焰技能等级增加{0}</v>
      </c>
      <c r="L2334">
        <f t="shared" si="179"/>
        <v>2</v>
      </c>
      <c r="M2334" s="10" t="str">
        <f>IFERROR(_xlfn.XLOOKUP(C2334,[1]StuntDes!$B:$B,[1]StuntDes!$A:$A),"")</f>
        <v/>
      </c>
      <c r="N2334" s="10">
        <f>IFERROR(_xlfn.XLOOKUP(C2334,[1]ModifierDes!$B:$B,[1]ModifierDes!$A:$A),"")</f>
        <v>10157</v>
      </c>
      <c r="O2334" s="10" t="str">
        <f>IFERROR(_xlfn.XLOOKUP(C2334,[1]AttributeName!$C:$C,[1]AttributeName!$B:$B),"")</f>
        <v/>
      </c>
      <c r="P2334" s="10"/>
      <c r="Q2334">
        <v>1</v>
      </c>
      <c r="R2334">
        <v>1</v>
      </c>
      <c r="S2334" cm="1">
        <f t="array" ref="S2334">IFERROR(_xlfn.SWITCH(L2334,1,_xlfn.XLOOKUP(O2334,[1]AttributeName!$B:$B,[1]AttributeName!$D:$D),2,_xlfn.XLOOKUP(C2334,[1]ModifierDes!$B:$B,[1]ModifierDes!$D:$D),3,_xlfn.XLOOKUP(C2334,[1]StuntDes!$B:$B,[1]StuntDes!$D:$D)),0)</f>
        <v>0</v>
      </c>
      <c r="T2334" cm="1">
        <f t="array" ref="T2334">IFERROR(_xlfn.SWITCH(L2334,1,_xlfn.XLOOKUP(O2334,[1]AttributeName!$B:$B,[1]AttributeName!$E:$E),2,_xlfn.XLOOKUP(C2334,[1]ModifierDes!$B:$B,[1]ModifierDes!$E:$E),3,_xlfn.XLOOKUP(C2334,[1]StuntDes!$B:$B,[1]StuntDes!$E:$E)),0)</f>
        <v>0</v>
      </c>
    </row>
    <row r="2335" customFormat="1" spans="1:20">
      <c r="A2335">
        <f t="shared" si="180"/>
        <v>1354</v>
      </c>
      <c r="B2335">
        <f t="shared" si="181"/>
        <v>1</v>
      </c>
      <c r="C2335" s="13" t="s">
        <v>413</v>
      </c>
      <c r="D2335" t="s">
        <v>28</v>
      </c>
      <c r="E2335" s="13" t="s">
        <v>410</v>
      </c>
      <c r="G2335">
        <v>2</v>
      </c>
      <c r="H2335">
        <v>25</v>
      </c>
      <c r="I2335">
        <v>2</v>
      </c>
      <c r="J2335" cm="1">
        <f t="array" ref="J2335">_xlfn.SWITCH(B2335,1,75,2,61,3,49,4,37,5,25,6,13,7,4,8,1)</f>
        <v>75</v>
      </c>
      <c r="K2335" t="str" cm="1">
        <f t="array" ref="K2335">IFERROR(_xlfn.SWITCH(L2335,1,_xlfn.XLOOKUP(C2335,[1]AttributeName!$C:$C,[1]AttributeName!$I:$I),2,_xlfn.XLOOKUP(C2335,[1]ModifierDes!$B:$B,[1]ModifierDes!$C:$C),3,_xlfn.XLOOKUP(C2335,[1]StuntDes!$B:$B,[1]StuntDes!$C:$C)),"")</f>
        <v>冰冷技能等级增加{0}</v>
      </c>
      <c r="L2335">
        <f t="shared" ref="L2335:L2398" si="182">IF(M2335="",IF(N2335="",1,2),3)</f>
        <v>2</v>
      </c>
      <c r="M2335" s="10" t="str">
        <f>IFERROR(_xlfn.XLOOKUP(C2335,[1]StuntDes!$B:$B,[1]StuntDes!$A:$A),"")</f>
        <v/>
      </c>
      <c r="N2335" s="10">
        <f>IFERROR(_xlfn.XLOOKUP(C2335,[1]ModifierDes!$B:$B,[1]ModifierDes!$A:$A),"")</f>
        <v>10158</v>
      </c>
      <c r="O2335" s="10" t="str">
        <f>IFERROR(_xlfn.XLOOKUP(C2335,[1]AttributeName!$C:$C,[1]AttributeName!$B:$B),"")</f>
        <v/>
      </c>
      <c r="P2335" s="10"/>
      <c r="Q2335">
        <v>5</v>
      </c>
      <c r="R2335">
        <v>7</v>
      </c>
      <c r="S2335" cm="1">
        <f t="array" ref="S2335">IFERROR(_xlfn.SWITCH(L2335,1,_xlfn.XLOOKUP(O2335,[1]AttributeName!$B:$B,[1]AttributeName!$D:$D),2,_xlfn.XLOOKUP(C2335,[1]ModifierDes!$B:$B,[1]ModifierDes!$D:$D),3,_xlfn.XLOOKUP(C2335,[1]StuntDes!$B:$B,[1]StuntDes!$D:$D)),0)</f>
        <v>0</v>
      </c>
      <c r="T2335" cm="1">
        <f t="array" ref="T2335">IFERROR(_xlfn.SWITCH(L2335,1,_xlfn.XLOOKUP(O2335,[1]AttributeName!$B:$B,[1]AttributeName!$E:$E),2,_xlfn.XLOOKUP(C2335,[1]ModifierDes!$B:$B,[1]ModifierDes!$E:$E),3,_xlfn.XLOOKUP(C2335,[1]StuntDes!$B:$B,[1]StuntDes!$E:$E)),0)</f>
        <v>0</v>
      </c>
    </row>
    <row r="2336" customFormat="1" spans="1:20">
      <c r="A2336">
        <f t="shared" si="180"/>
        <v>1354</v>
      </c>
      <c r="B2336">
        <f t="shared" si="181"/>
        <v>2</v>
      </c>
      <c r="C2336" s="13" t="s">
        <v>413</v>
      </c>
      <c r="D2336" t="s">
        <v>28</v>
      </c>
      <c r="E2336" s="13" t="s">
        <v>410</v>
      </c>
      <c r="G2336">
        <v>2</v>
      </c>
      <c r="H2336">
        <v>100</v>
      </c>
      <c r="I2336">
        <v>2</v>
      </c>
      <c r="J2336" cm="1">
        <f t="array" ref="J2336">_xlfn.SWITCH(B2336,1,75,2,61,3,49,4,37,5,25,6,13,7,4,8,1)</f>
        <v>61</v>
      </c>
      <c r="K2336" t="str" cm="1">
        <f t="array" ref="K2336">IFERROR(_xlfn.SWITCH(L2336,1,_xlfn.XLOOKUP(C2336,[1]AttributeName!$C:$C,[1]AttributeName!$I:$I),2,_xlfn.XLOOKUP(C2336,[1]ModifierDes!$B:$B,[1]ModifierDes!$C:$C),3,_xlfn.XLOOKUP(C2336,[1]StuntDes!$B:$B,[1]StuntDes!$C:$C)),"")</f>
        <v>冰冷技能等级增加{0}</v>
      </c>
      <c r="L2336">
        <f t="shared" si="182"/>
        <v>2</v>
      </c>
      <c r="M2336" s="10" t="str">
        <f>IFERROR(_xlfn.XLOOKUP(C2336,[1]StuntDes!$B:$B,[1]StuntDes!$A:$A),"")</f>
        <v/>
      </c>
      <c r="N2336" s="10">
        <f>IFERROR(_xlfn.XLOOKUP(C2336,[1]ModifierDes!$B:$B,[1]ModifierDes!$A:$A),"")</f>
        <v>10158</v>
      </c>
      <c r="O2336" s="10" t="str">
        <f>IFERROR(_xlfn.XLOOKUP(C2336,[1]AttributeName!$C:$C,[1]AttributeName!$B:$B),"")</f>
        <v/>
      </c>
      <c r="P2336" s="10"/>
      <c r="Q2336">
        <v>3</v>
      </c>
      <c r="R2336">
        <v>4</v>
      </c>
      <c r="S2336" cm="1">
        <f t="array" ref="S2336">IFERROR(_xlfn.SWITCH(L2336,1,_xlfn.XLOOKUP(O2336,[1]AttributeName!$B:$B,[1]AttributeName!$D:$D),2,_xlfn.XLOOKUP(C2336,[1]ModifierDes!$B:$B,[1]ModifierDes!$D:$D),3,_xlfn.XLOOKUP(C2336,[1]StuntDes!$B:$B,[1]StuntDes!$D:$D)),0)</f>
        <v>0</v>
      </c>
      <c r="T2336" cm="1">
        <f t="array" ref="T2336">IFERROR(_xlfn.SWITCH(L2336,1,_xlfn.XLOOKUP(O2336,[1]AttributeName!$B:$B,[1]AttributeName!$E:$E),2,_xlfn.XLOOKUP(C2336,[1]ModifierDes!$B:$B,[1]ModifierDes!$E:$E),3,_xlfn.XLOOKUP(C2336,[1]StuntDes!$B:$B,[1]StuntDes!$E:$E)),0)</f>
        <v>0</v>
      </c>
    </row>
    <row r="2337" customFormat="1" spans="1:20">
      <c r="A2337">
        <f t="shared" si="180"/>
        <v>1354</v>
      </c>
      <c r="B2337">
        <f t="shared" si="181"/>
        <v>3</v>
      </c>
      <c r="C2337" s="13" t="s">
        <v>413</v>
      </c>
      <c r="D2337" t="s">
        <v>28</v>
      </c>
      <c r="E2337" s="13" t="s">
        <v>410</v>
      </c>
      <c r="G2337">
        <v>2</v>
      </c>
      <c r="H2337">
        <v>400</v>
      </c>
      <c r="I2337">
        <v>2</v>
      </c>
      <c r="J2337" cm="1">
        <f t="array" ref="J2337">_xlfn.SWITCH(B2337,1,75,2,61,3,49,4,37,5,25,6,13,7,4,8,1)</f>
        <v>49</v>
      </c>
      <c r="K2337" t="str" cm="1">
        <f t="array" ref="K2337">IFERROR(_xlfn.SWITCH(L2337,1,_xlfn.XLOOKUP(C2337,[1]AttributeName!$C:$C,[1]AttributeName!$I:$I),2,_xlfn.XLOOKUP(C2337,[1]ModifierDes!$B:$B,[1]ModifierDes!$C:$C),3,_xlfn.XLOOKUP(C2337,[1]StuntDes!$B:$B,[1]StuntDes!$C:$C)),"")</f>
        <v>冰冷技能等级增加{0}</v>
      </c>
      <c r="L2337">
        <f t="shared" si="182"/>
        <v>2</v>
      </c>
      <c r="M2337" s="10" t="str">
        <f>IFERROR(_xlfn.XLOOKUP(C2337,[1]StuntDes!$B:$B,[1]StuntDes!$A:$A),"")</f>
        <v/>
      </c>
      <c r="N2337" s="10">
        <f>IFERROR(_xlfn.XLOOKUP(C2337,[1]ModifierDes!$B:$B,[1]ModifierDes!$A:$A),"")</f>
        <v>10158</v>
      </c>
      <c r="O2337" s="10" t="str">
        <f>IFERROR(_xlfn.XLOOKUP(C2337,[1]AttributeName!$C:$C,[1]AttributeName!$B:$B),"")</f>
        <v/>
      </c>
      <c r="P2337" s="10"/>
      <c r="Q2337">
        <v>2</v>
      </c>
      <c r="R2337">
        <v>2</v>
      </c>
      <c r="S2337" cm="1">
        <f t="array" ref="S2337">IFERROR(_xlfn.SWITCH(L2337,1,_xlfn.XLOOKUP(O2337,[1]AttributeName!$B:$B,[1]AttributeName!$D:$D),2,_xlfn.XLOOKUP(C2337,[1]ModifierDes!$B:$B,[1]ModifierDes!$D:$D),3,_xlfn.XLOOKUP(C2337,[1]StuntDes!$B:$B,[1]StuntDes!$D:$D)),0)</f>
        <v>0</v>
      </c>
      <c r="T2337" cm="1">
        <f t="array" ref="T2337">IFERROR(_xlfn.SWITCH(L2337,1,_xlfn.XLOOKUP(O2337,[1]AttributeName!$B:$B,[1]AttributeName!$E:$E),2,_xlfn.XLOOKUP(C2337,[1]ModifierDes!$B:$B,[1]ModifierDes!$E:$E),3,_xlfn.XLOOKUP(C2337,[1]StuntDes!$B:$B,[1]StuntDes!$E:$E)),0)</f>
        <v>0</v>
      </c>
    </row>
    <row r="2338" customFormat="1" spans="1:20">
      <c r="A2338">
        <f t="shared" si="180"/>
        <v>1354</v>
      </c>
      <c r="B2338">
        <f t="shared" si="181"/>
        <v>5</v>
      </c>
      <c r="C2338" s="13" t="s">
        <v>413</v>
      </c>
      <c r="D2338" t="s">
        <v>28</v>
      </c>
      <c r="E2338" s="13" t="s">
        <v>410</v>
      </c>
      <c r="G2338">
        <v>2</v>
      </c>
      <c r="H2338">
        <v>1000</v>
      </c>
      <c r="I2338">
        <v>2</v>
      </c>
      <c r="J2338" cm="1">
        <f t="array" ref="J2338">_xlfn.SWITCH(B2338,1,75,2,61,3,49,4,37,5,25,6,13,7,4,8,1)</f>
        <v>25</v>
      </c>
      <c r="K2338" t="str" cm="1">
        <f t="array" ref="K2338">IFERROR(_xlfn.SWITCH(L2338,1,_xlfn.XLOOKUP(C2338,[1]AttributeName!$C:$C,[1]AttributeName!$I:$I),2,_xlfn.XLOOKUP(C2338,[1]ModifierDes!$B:$B,[1]ModifierDes!$C:$C),3,_xlfn.XLOOKUP(C2338,[1]StuntDes!$B:$B,[1]StuntDes!$C:$C)),"")</f>
        <v>冰冷技能等级增加{0}</v>
      </c>
      <c r="L2338">
        <f t="shared" si="182"/>
        <v>2</v>
      </c>
      <c r="M2338" s="10" t="str">
        <f>IFERROR(_xlfn.XLOOKUP(C2338,[1]StuntDes!$B:$B,[1]StuntDes!$A:$A),"")</f>
        <v/>
      </c>
      <c r="N2338" s="10">
        <f>IFERROR(_xlfn.XLOOKUP(C2338,[1]ModifierDes!$B:$B,[1]ModifierDes!$A:$A),"")</f>
        <v>10158</v>
      </c>
      <c r="O2338" s="10" t="str">
        <f>IFERROR(_xlfn.XLOOKUP(C2338,[1]AttributeName!$C:$C,[1]AttributeName!$B:$B),"")</f>
        <v/>
      </c>
      <c r="P2338" s="10"/>
      <c r="Q2338">
        <v>1</v>
      </c>
      <c r="R2338">
        <v>1</v>
      </c>
      <c r="S2338" cm="1">
        <f t="array" ref="S2338">IFERROR(_xlfn.SWITCH(L2338,1,_xlfn.XLOOKUP(O2338,[1]AttributeName!$B:$B,[1]AttributeName!$D:$D),2,_xlfn.XLOOKUP(C2338,[1]ModifierDes!$B:$B,[1]ModifierDes!$D:$D),3,_xlfn.XLOOKUP(C2338,[1]StuntDes!$B:$B,[1]StuntDes!$D:$D)),0)</f>
        <v>0</v>
      </c>
      <c r="T2338" cm="1">
        <f t="array" ref="T2338">IFERROR(_xlfn.SWITCH(L2338,1,_xlfn.XLOOKUP(O2338,[1]AttributeName!$B:$B,[1]AttributeName!$E:$E),2,_xlfn.XLOOKUP(C2338,[1]ModifierDes!$B:$B,[1]ModifierDes!$E:$E),3,_xlfn.XLOOKUP(C2338,[1]StuntDes!$B:$B,[1]StuntDes!$E:$E)),0)</f>
        <v>0</v>
      </c>
    </row>
    <row r="2339" customFormat="1" spans="1:20">
      <c r="A2339">
        <f t="shared" si="180"/>
        <v>1355</v>
      </c>
      <c r="B2339">
        <f t="shared" si="181"/>
        <v>1</v>
      </c>
      <c r="C2339" s="13" t="s">
        <v>414</v>
      </c>
      <c r="D2339" t="s">
        <v>28</v>
      </c>
      <c r="E2339" s="13" t="s">
        <v>410</v>
      </c>
      <c r="G2339">
        <v>2</v>
      </c>
      <c r="H2339">
        <v>25</v>
      </c>
      <c r="I2339">
        <v>2</v>
      </c>
      <c r="J2339" cm="1">
        <f t="array" ref="J2339">_xlfn.SWITCH(B2339,1,75,2,61,3,49,4,37,5,25,6,13,7,4,8,1)</f>
        <v>75</v>
      </c>
      <c r="K2339" t="str" cm="1">
        <f t="array" ref="K2339">IFERROR(_xlfn.SWITCH(L2339,1,_xlfn.XLOOKUP(C2339,[1]AttributeName!$C:$C,[1]AttributeName!$I:$I),2,_xlfn.XLOOKUP(C2339,[1]ModifierDes!$B:$B,[1]ModifierDes!$C:$C),3,_xlfn.XLOOKUP(C2339,[1]StuntDes!$B:$B,[1]StuntDes!$C:$C)),"")</f>
        <v>闪电技能等级增加{0}</v>
      </c>
      <c r="L2339">
        <f t="shared" si="182"/>
        <v>2</v>
      </c>
      <c r="M2339" s="10" t="str">
        <f>IFERROR(_xlfn.XLOOKUP(C2339,[1]StuntDes!$B:$B,[1]StuntDes!$A:$A),"")</f>
        <v/>
      </c>
      <c r="N2339" s="10">
        <f>IFERROR(_xlfn.XLOOKUP(C2339,[1]ModifierDes!$B:$B,[1]ModifierDes!$A:$A),"")</f>
        <v>10159</v>
      </c>
      <c r="O2339" s="10" t="str">
        <f>IFERROR(_xlfn.XLOOKUP(C2339,[1]AttributeName!$C:$C,[1]AttributeName!$B:$B),"")</f>
        <v/>
      </c>
      <c r="P2339" s="10"/>
      <c r="Q2339">
        <v>5</v>
      </c>
      <c r="R2339">
        <v>7</v>
      </c>
      <c r="S2339" cm="1">
        <f t="array" ref="S2339">IFERROR(_xlfn.SWITCH(L2339,1,_xlfn.XLOOKUP(O2339,[1]AttributeName!$B:$B,[1]AttributeName!$D:$D),2,_xlfn.XLOOKUP(C2339,[1]ModifierDes!$B:$B,[1]ModifierDes!$D:$D),3,_xlfn.XLOOKUP(C2339,[1]StuntDes!$B:$B,[1]StuntDes!$D:$D)),0)</f>
        <v>0</v>
      </c>
      <c r="T2339" cm="1">
        <f t="array" ref="T2339">IFERROR(_xlfn.SWITCH(L2339,1,_xlfn.XLOOKUP(O2339,[1]AttributeName!$B:$B,[1]AttributeName!$E:$E),2,_xlfn.XLOOKUP(C2339,[1]ModifierDes!$B:$B,[1]ModifierDes!$E:$E),3,_xlfn.XLOOKUP(C2339,[1]StuntDes!$B:$B,[1]StuntDes!$E:$E)),0)</f>
        <v>0</v>
      </c>
    </row>
    <row r="2340" customFormat="1" spans="1:20">
      <c r="A2340">
        <f t="shared" si="180"/>
        <v>1355</v>
      </c>
      <c r="B2340">
        <f t="shared" si="181"/>
        <v>2</v>
      </c>
      <c r="C2340" s="13" t="s">
        <v>414</v>
      </c>
      <c r="D2340" t="s">
        <v>28</v>
      </c>
      <c r="E2340" s="13" t="s">
        <v>410</v>
      </c>
      <c r="G2340">
        <v>2</v>
      </c>
      <c r="H2340">
        <v>100</v>
      </c>
      <c r="I2340">
        <v>2</v>
      </c>
      <c r="J2340" cm="1">
        <f t="array" ref="J2340">_xlfn.SWITCH(B2340,1,75,2,61,3,49,4,37,5,25,6,13,7,4,8,1)</f>
        <v>61</v>
      </c>
      <c r="K2340" t="str" cm="1">
        <f t="array" ref="K2340">IFERROR(_xlfn.SWITCH(L2340,1,_xlfn.XLOOKUP(C2340,[1]AttributeName!$C:$C,[1]AttributeName!$I:$I),2,_xlfn.XLOOKUP(C2340,[1]ModifierDes!$B:$B,[1]ModifierDes!$C:$C),3,_xlfn.XLOOKUP(C2340,[1]StuntDes!$B:$B,[1]StuntDes!$C:$C)),"")</f>
        <v>闪电技能等级增加{0}</v>
      </c>
      <c r="L2340">
        <f t="shared" si="182"/>
        <v>2</v>
      </c>
      <c r="M2340" s="10" t="str">
        <f>IFERROR(_xlfn.XLOOKUP(C2340,[1]StuntDes!$B:$B,[1]StuntDes!$A:$A),"")</f>
        <v/>
      </c>
      <c r="N2340" s="10">
        <f>IFERROR(_xlfn.XLOOKUP(C2340,[1]ModifierDes!$B:$B,[1]ModifierDes!$A:$A),"")</f>
        <v>10159</v>
      </c>
      <c r="O2340" s="10" t="str">
        <f>IFERROR(_xlfn.XLOOKUP(C2340,[1]AttributeName!$C:$C,[1]AttributeName!$B:$B),"")</f>
        <v/>
      </c>
      <c r="P2340" s="10"/>
      <c r="Q2340">
        <v>3</v>
      </c>
      <c r="R2340">
        <v>4</v>
      </c>
      <c r="S2340" cm="1">
        <f t="array" ref="S2340">IFERROR(_xlfn.SWITCH(L2340,1,_xlfn.XLOOKUP(O2340,[1]AttributeName!$B:$B,[1]AttributeName!$D:$D),2,_xlfn.XLOOKUP(C2340,[1]ModifierDes!$B:$B,[1]ModifierDes!$D:$D),3,_xlfn.XLOOKUP(C2340,[1]StuntDes!$B:$B,[1]StuntDes!$D:$D)),0)</f>
        <v>0</v>
      </c>
      <c r="T2340" cm="1">
        <f t="array" ref="T2340">IFERROR(_xlfn.SWITCH(L2340,1,_xlfn.XLOOKUP(O2340,[1]AttributeName!$B:$B,[1]AttributeName!$E:$E),2,_xlfn.XLOOKUP(C2340,[1]ModifierDes!$B:$B,[1]ModifierDes!$E:$E),3,_xlfn.XLOOKUP(C2340,[1]StuntDes!$B:$B,[1]StuntDes!$E:$E)),0)</f>
        <v>0</v>
      </c>
    </row>
    <row r="2341" customFormat="1" spans="1:20">
      <c r="A2341">
        <f t="shared" si="180"/>
        <v>1355</v>
      </c>
      <c r="B2341">
        <f t="shared" si="181"/>
        <v>3</v>
      </c>
      <c r="C2341" s="13" t="s">
        <v>414</v>
      </c>
      <c r="D2341" t="s">
        <v>28</v>
      </c>
      <c r="E2341" s="13" t="s">
        <v>410</v>
      </c>
      <c r="G2341">
        <v>2</v>
      </c>
      <c r="H2341">
        <v>400</v>
      </c>
      <c r="I2341">
        <v>2</v>
      </c>
      <c r="J2341" cm="1">
        <f t="array" ref="J2341">_xlfn.SWITCH(B2341,1,75,2,61,3,49,4,37,5,25,6,13,7,4,8,1)</f>
        <v>49</v>
      </c>
      <c r="K2341" t="str" cm="1">
        <f t="array" ref="K2341">IFERROR(_xlfn.SWITCH(L2341,1,_xlfn.XLOOKUP(C2341,[1]AttributeName!$C:$C,[1]AttributeName!$I:$I),2,_xlfn.XLOOKUP(C2341,[1]ModifierDes!$B:$B,[1]ModifierDes!$C:$C),3,_xlfn.XLOOKUP(C2341,[1]StuntDes!$B:$B,[1]StuntDes!$C:$C)),"")</f>
        <v>闪电技能等级增加{0}</v>
      </c>
      <c r="L2341">
        <f t="shared" si="182"/>
        <v>2</v>
      </c>
      <c r="M2341" s="10" t="str">
        <f>IFERROR(_xlfn.XLOOKUP(C2341,[1]StuntDes!$B:$B,[1]StuntDes!$A:$A),"")</f>
        <v/>
      </c>
      <c r="N2341" s="10">
        <f>IFERROR(_xlfn.XLOOKUP(C2341,[1]ModifierDes!$B:$B,[1]ModifierDes!$A:$A),"")</f>
        <v>10159</v>
      </c>
      <c r="O2341" s="10" t="str">
        <f>IFERROR(_xlfn.XLOOKUP(C2341,[1]AttributeName!$C:$C,[1]AttributeName!$B:$B),"")</f>
        <v/>
      </c>
      <c r="P2341" s="10"/>
      <c r="Q2341">
        <v>2</v>
      </c>
      <c r="R2341">
        <v>2</v>
      </c>
      <c r="S2341" cm="1">
        <f t="array" ref="S2341">IFERROR(_xlfn.SWITCH(L2341,1,_xlfn.XLOOKUP(O2341,[1]AttributeName!$B:$B,[1]AttributeName!$D:$D),2,_xlfn.XLOOKUP(C2341,[1]ModifierDes!$B:$B,[1]ModifierDes!$D:$D),3,_xlfn.XLOOKUP(C2341,[1]StuntDes!$B:$B,[1]StuntDes!$D:$D)),0)</f>
        <v>0</v>
      </c>
      <c r="T2341" cm="1">
        <f t="array" ref="T2341">IFERROR(_xlfn.SWITCH(L2341,1,_xlfn.XLOOKUP(O2341,[1]AttributeName!$B:$B,[1]AttributeName!$E:$E),2,_xlfn.XLOOKUP(C2341,[1]ModifierDes!$B:$B,[1]ModifierDes!$E:$E),3,_xlfn.XLOOKUP(C2341,[1]StuntDes!$B:$B,[1]StuntDes!$E:$E)),0)</f>
        <v>0</v>
      </c>
    </row>
    <row r="2342" customFormat="1" spans="1:20">
      <c r="A2342">
        <f t="shared" si="180"/>
        <v>1355</v>
      </c>
      <c r="B2342">
        <f t="shared" si="181"/>
        <v>5</v>
      </c>
      <c r="C2342" s="13" t="s">
        <v>414</v>
      </c>
      <c r="D2342" t="s">
        <v>28</v>
      </c>
      <c r="E2342" s="13" t="s">
        <v>410</v>
      </c>
      <c r="G2342">
        <v>2</v>
      </c>
      <c r="H2342">
        <v>1000</v>
      </c>
      <c r="I2342">
        <v>2</v>
      </c>
      <c r="J2342" cm="1">
        <f t="array" ref="J2342">_xlfn.SWITCH(B2342,1,75,2,61,3,49,4,37,5,25,6,13,7,4,8,1)</f>
        <v>25</v>
      </c>
      <c r="K2342" t="str" cm="1">
        <f t="array" ref="K2342">IFERROR(_xlfn.SWITCH(L2342,1,_xlfn.XLOOKUP(C2342,[1]AttributeName!$C:$C,[1]AttributeName!$I:$I),2,_xlfn.XLOOKUP(C2342,[1]ModifierDes!$B:$B,[1]ModifierDes!$C:$C),3,_xlfn.XLOOKUP(C2342,[1]StuntDes!$B:$B,[1]StuntDes!$C:$C)),"")</f>
        <v>闪电技能等级增加{0}</v>
      </c>
      <c r="L2342">
        <f t="shared" si="182"/>
        <v>2</v>
      </c>
      <c r="M2342" s="10" t="str">
        <f>IFERROR(_xlfn.XLOOKUP(C2342,[1]StuntDes!$B:$B,[1]StuntDes!$A:$A),"")</f>
        <v/>
      </c>
      <c r="N2342" s="10">
        <f>IFERROR(_xlfn.XLOOKUP(C2342,[1]ModifierDes!$B:$B,[1]ModifierDes!$A:$A),"")</f>
        <v>10159</v>
      </c>
      <c r="O2342" s="10" t="str">
        <f>IFERROR(_xlfn.XLOOKUP(C2342,[1]AttributeName!$C:$C,[1]AttributeName!$B:$B),"")</f>
        <v/>
      </c>
      <c r="P2342" s="10"/>
      <c r="Q2342">
        <v>1</v>
      </c>
      <c r="R2342">
        <v>1</v>
      </c>
      <c r="S2342" cm="1">
        <f t="array" ref="S2342">IFERROR(_xlfn.SWITCH(L2342,1,_xlfn.XLOOKUP(O2342,[1]AttributeName!$B:$B,[1]AttributeName!$D:$D),2,_xlfn.XLOOKUP(C2342,[1]ModifierDes!$B:$B,[1]ModifierDes!$D:$D),3,_xlfn.XLOOKUP(C2342,[1]StuntDes!$B:$B,[1]StuntDes!$D:$D)),0)</f>
        <v>0</v>
      </c>
      <c r="T2342" cm="1">
        <f t="array" ref="T2342">IFERROR(_xlfn.SWITCH(L2342,1,_xlfn.XLOOKUP(O2342,[1]AttributeName!$B:$B,[1]AttributeName!$E:$E),2,_xlfn.XLOOKUP(C2342,[1]ModifierDes!$B:$B,[1]ModifierDes!$E:$E),3,_xlfn.XLOOKUP(C2342,[1]StuntDes!$B:$B,[1]StuntDes!$E:$E)),0)</f>
        <v>0</v>
      </c>
    </row>
    <row r="2343" customFormat="1" spans="1:20">
      <c r="A2343">
        <f t="shared" si="180"/>
        <v>1356</v>
      </c>
      <c r="B2343">
        <f t="shared" si="181"/>
        <v>1</v>
      </c>
      <c r="C2343" s="13" t="s">
        <v>415</v>
      </c>
      <c r="D2343" t="s">
        <v>28</v>
      </c>
      <c r="E2343" s="13" t="s">
        <v>410</v>
      </c>
      <c r="G2343">
        <v>2</v>
      </c>
      <c r="H2343">
        <v>25</v>
      </c>
      <c r="I2343">
        <v>2</v>
      </c>
      <c r="J2343" cm="1">
        <f t="array" ref="J2343">_xlfn.SWITCH(B2343,1,75,2,61,3,49,4,37,5,25,6,13,7,4,8,1)</f>
        <v>75</v>
      </c>
      <c r="K2343" t="str" cm="1">
        <f t="array" ref="K2343">IFERROR(_xlfn.SWITCH(L2343,1,_xlfn.XLOOKUP(C2343,[1]AttributeName!$C:$C,[1]AttributeName!$I:$I),2,_xlfn.XLOOKUP(C2343,[1]ModifierDes!$B:$B,[1]ModifierDes!$C:$C),3,_xlfn.XLOOKUP(C2343,[1]StuntDes!$B:$B,[1]StuntDes!$C:$C)),"")</f>
        <v>混沌技能等级增加{0}</v>
      </c>
      <c r="L2343">
        <f t="shared" si="182"/>
        <v>2</v>
      </c>
      <c r="M2343" s="10" t="str">
        <f>IFERROR(_xlfn.XLOOKUP(C2343,[1]StuntDes!$B:$B,[1]StuntDes!$A:$A),"")</f>
        <v/>
      </c>
      <c r="N2343" s="10">
        <f>IFERROR(_xlfn.XLOOKUP(C2343,[1]ModifierDes!$B:$B,[1]ModifierDes!$A:$A),"")</f>
        <v>10160</v>
      </c>
      <c r="O2343" s="10" t="str">
        <f>IFERROR(_xlfn.XLOOKUP(C2343,[1]AttributeName!$C:$C,[1]AttributeName!$B:$B),"")</f>
        <v/>
      </c>
      <c r="P2343" s="10"/>
      <c r="Q2343">
        <v>5</v>
      </c>
      <c r="R2343">
        <v>7</v>
      </c>
      <c r="S2343" cm="1">
        <f t="array" ref="S2343">IFERROR(_xlfn.SWITCH(L2343,1,_xlfn.XLOOKUP(O2343,[1]AttributeName!$B:$B,[1]AttributeName!$D:$D),2,_xlfn.XLOOKUP(C2343,[1]ModifierDes!$B:$B,[1]ModifierDes!$D:$D),3,_xlfn.XLOOKUP(C2343,[1]StuntDes!$B:$B,[1]StuntDes!$D:$D)),0)</f>
        <v>0</v>
      </c>
      <c r="T2343" cm="1">
        <f t="array" ref="T2343">IFERROR(_xlfn.SWITCH(L2343,1,_xlfn.XLOOKUP(O2343,[1]AttributeName!$B:$B,[1]AttributeName!$E:$E),2,_xlfn.XLOOKUP(C2343,[1]ModifierDes!$B:$B,[1]ModifierDes!$E:$E),3,_xlfn.XLOOKUP(C2343,[1]StuntDes!$B:$B,[1]StuntDes!$E:$E)),0)</f>
        <v>0</v>
      </c>
    </row>
    <row r="2344" customFormat="1" spans="1:20">
      <c r="A2344">
        <f t="shared" si="180"/>
        <v>1356</v>
      </c>
      <c r="B2344">
        <f t="shared" si="181"/>
        <v>2</v>
      </c>
      <c r="C2344" s="13" t="s">
        <v>415</v>
      </c>
      <c r="D2344" t="s">
        <v>28</v>
      </c>
      <c r="E2344" s="13" t="s">
        <v>410</v>
      </c>
      <c r="G2344">
        <v>2</v>
      </c>
      <c r="H2344">
        <v>100</v>
      </c>
      <c r="I2344">
        <v>2</v>
      </c>
      <c r="J2344" cm="1">
        <f t="array" ref="J2344">_xlfn.SWITCH(B2344,1,75,2,61,3,49,4,37,5,25,6,13,7,4,8,1)</f>
        <v>61</v>
      </c>
      <c r="K2344" t="str" cm="1">
        <f t="array" ref="K2344">IFERROR(_xlfn.SWITCH(L2344,1,_xlfn.XLOOKUP(C2344,[1]AttributeName!$C:$C,[1]AttributeName!$I:$I),2,_xlfn.XLOOKUP(C2344,[1]ModifierDes!$B:$B,[1]ModifierDes!$C:$C),3,_xlfn.XLOOKUP(C2344,[1]StuntDes!$B:$B,[1]StuntDes!$C:$C)),"")</f>
        <v>混沌技能等级增加{0}</v>
      </c>
      <c r="L2344">
        <f t="shared" si="182"/>
        <v>2</v>
      </c>
      <c r="M2344" s="10" t="str">
        <f>IFERROR(_xlfn.XLOOKUP(C2344,[1]StuntDes!$B:$B,[1]StuntDes!$A:$A),"")</f>
        <v/>
      </c>
      <c r="N2344" s="10">
        <f>IFERROR(_xlfn.XLOOKUP(C2344,[1]ModifierDes!$B:$B,[1]ModifierDes!$A:$A),"")</f>
        <v>10160</v>
      </c>
      <c r="O2344" s="10" t="str">
        <f>IFERROR(_xlfn.XLOOKUP(C2344,[1]AttributeName!$C:$C,[1]AttributeName!$B:$B),"")</f>
        <v/>
      </c>
      <c r="P2344" s="10"/>
      <c r="Q2344">
        <v>3</v>
      </c>
      <c r="R2344">
        <v>4</v>
      </c>
      <c r="S2344" cm="1">
        <f t="array" ref="S2344">IFERROR(_xlfn.SWITCH(L2344,1,_xlfn.XLOOKUP(O2344,[1]AttributeName!$B:$B,[1]AttributeName!$D:$D),2,_xlfn.XLOOKUP(C2344,[1]ModifierDes!$B:$B,[1]ModifierDes!$D:$D),3,_xlfn.XLOOKUP(C2344,[1]StuntDes!$B:$B,[1]StuntDes!$D:$D)),0)</f>
        <v>0</v>
      </c>
      <c r="T2344" cm="1">
        <f t="array" ref="T2344">IFERROR(_xlfn.SWITCH(L2344,1,_xlfn.XLOOKUP(O2344,[1]AttributeName!$B:$B,[1]AttributeName!$E:$E),2,_xlfn.XLOOKUP(C2344,[1]ModifierDes!$B:$B,[1]ModifierDes!$E:$E),3,_xlfn.XLOOKUP(C2344,[1]StuntDes!$B:$B,[1]StuntDes!$E:$E)),0)</f>
        <v>0</v>
      </c>
    </row>
    <row r="2345" customFormat="1" spans="1:20">
      <c r="A2345">
        <f t="shared" si="180"/>
        <v>1356</v>
      </c>
      <c r="B2345">
        <f t="shared" si="181"/>
        <v>3</v>
      </c>
      <c r="C2345" s="13" t="s">
        <v>415</v>
      </c>
      <c r="D2345" t="s">
        <v>28</v>
      </c>
      <c r="E2345" s="13" t="s">
        <v>410</v>
      </c>
      <c r="G2345">
        <v>2</v>
      </c>
      <c r="H2345">
        <v>400</v>
      </c>
      <c r="I2345">
        <v>2</v>
      </c>
      <c r="J2345" cm="1">
        <f t="array" ref="J2345">_xlfn.SWITCH(B2345,1,75,2,61,3,49,4,37,5,25,6,13,7,4,8,1)</f>
        <v>49</v>
      </c>
      <c r="K2345" t="str" cm="1">
        <f t="array" ref="K2345">IFERROR(_xlfn.SWITCH(L2345,1,_xlfn.XLOOKUP(C2345,[1]AttributeName!$C:$C,[1]AttributeName!$I:$I),2,_xlfn.XLOOKUP(C2345,[1]ModifierDes!$B:$B,[1]ModifierDes!$C:$C),3,_xlfn.XLOOKUP(C2345,[1]StuntDes!$B:$B,[1]StuntDes!$C:$C)),"")</f>
        <v>混沌技能等级增加{0}</v>
      </c>
      <c r="L2345">
        <f t="shared" si="182"/>
        <v>2</v>
      </c>
      <c r="M2345" s="10" t="str">
        <f>IFERROR(_xlfn.XLOOKUP(C2345,[1]StuntDes!$B:$B,[1]StuntDes!$A:$A),"")</f>
        <v/>
      </c>
      <c r="N2345" s="10">
        <f>IFERROR(_xlfn.XLOOKUP(C2345,[1]ModifierDes!$B:$B,[1]ModifierDes!$A:$A),"")</f>
        <v>10160</v>
      </c>
      <c r="O2345" s="10" t="str">
        <f>IFERROR(_xlfn.XLOOKUP(C2345,[1]AttributeName!$C:$C,[1]AttributeName!$B:$B),"")</f>
        <v/>
      </c>
      <c r="P2345" s="10"/>
      <c r="Q2345">
        <v>2</v>
      </c>
      <c r="R2345">
        <v>2</v>
      </c>
      <c r="S2345" cm="1">
        <f t="array" ref="S2345">IFERROR(_xlfn.SWITCH(L2345,1,_xlfn.XLOOKUP(O2345,[1]AttributeName!$B:$B,[1]AttributeName!$D:$D),2,_xlfn.XLOOKUP(C2345,[1]ModifierDes!$B:$B,[1]ModifierDes!$D:$D),3,_xlfn.XLOOKUP(C2345,[1]StuntDes!$B:$B,[1]StuntDes!$D:$D)),0)</f>
        <v>0</v>
      </c>
      <c r="T2345" cm="1">
        <f t="array" ref="T2345">IFERROR(_xlfn.SWITCH(L2345,1,_xlfn.XLOOKUP(O2345,[1]AttributeName!$B:$B,[1]AttributeName!$E:$E),2,_xlfn.XLOOKUP(C2345,[1]ModifierDes!$B:$B,[1]ModifierDes!$E:$E),3,_xlfn.XLOOKUP(C2345,[1]StuntDes!$B:$B,[1]StuntDes!$E:$E)),0)</f>
        <v>0</v>
      </c>
    </row>
    <row r="2346" customFormat="1" spans="1:20">
      <c r="A2346">
        <f t="shared" si="180"/>
        <v>1356</v>
      </c>
      <c r="B2346">
        <f t="shared" si="181"/>
        <v>5</v>
      </c>
      <c r="C2346" s="13" t="s">
        <v>415</v>
      </c>
      <c r="D2346" t="s">
        <v>28</v>
      </c>
      <c r="E2346" s="13" t="s">
        <v>410</v>
      </c>
      <c r="G2346">
        <v>2</v>
      </c>
      <c r="H2346">
        <v>1000</v>
      </c>
      <c r="I2346">
        <v>2</v>
      </c>
      <c r="J2346" cm="1">
        <f t="array" ref="J2346">_xlfn.SWITCH(B2346,1,75,2,61,3,49,4,37,5,25,6,13,7,4,8,1)</f>
        <v>25</v>
      </c>
      <c r="K2346" t="str" cm="1">
        <f t="array" ref="K2346">IFERROR(_xlfn.SWITCH(L2346,1,_xlfn.XLOOKUP(C2346,[1]AttributeName!$C:$C,[1]AttributeName!$I:$I),2,_xlfn.XLOOKUP(C2346,[1]ModifierDes!$B:$B,[1]ModifierDes!$C:$C),3,_xlfn.XLOOKUP(C2346,[1]StuntDes!$B:$B,[1]StuntDes!$C:$C)),"")</f>
        <v>混沌技能等级增加{0}</v>
      </c>
      <c r="L2346">
        <f t="shared" si="182"/>
        <v>2</v>
      </c>
      <c r="M2346" s="10" t="str">
        <f>IFERROR(_xlfn.XLOOKUP(C2346,[1]StuntDes!$B:$B,[1]StuntDes!$A:$A),"")</f>
        <v/>
      </c>
      <c r="N2346" s="10">
        <f>IFERROR(_xlfn.XLOOKUP(C2346,[1]ModifierDes!$B:$B,[1]ModifierDes!$A:$A),"")</f>
        <v>10160</v>
      </c>
      <c r="O2346" s="10" t="str">
        <f>IFERROR(_xlfn.XLOOKUP(C2346,[1]AttributeName!$C:$C,[1]AttributeName!$B:$B),"")</f>
        <v/>
      </c>
      <c r="P2346" s="10"/>
      <c r="Q2346">
        <v>1</v>
      </c>
      <c r="R2346">
        <v>1</v>
      </c>
      <c r="S2346" cm="1">
        <f t="array" ref="S2346">IFERROR(_xlfn.SWITCH(L2346,1,_xlfn.XLOOKUP(O2346,[1]AttributeName!$B:$B,[1]AttributeName!$D:$D),2,_xlfn.XLOOKUP(C2346,[1]ModifierDes!$B:$B,[1]ModifierDes!$D:$D),3,_xlfn.XLOOKUP(C2346,[1]StuntDes!$B:$B,[1]StuntDes!$D:$D)),0)</f>
        <v>0</v>
      </c>
      <c r="T2346" cm="1">
        <f t="array" ref="T2346">IFERROR(_xlfn.SWITCH(L2346,1,_xlfn.XLOOKUP(O2346,[1]AttributeName!$B:$B,[1]AttributeName!$E:$E),2,_xlfn.XLOOKUP(C2346,[1]ModifierDes!$B:$B,[1]ModifierDes!$E:$E),3,_xlfn.XLOOKUP(C2346,[1]StuntDes!$B:$B,[1]StuntDes!$E:$E)),0)</f>
        <v>0</v>
      </c>
    </row>
    <row r="2347" customFormat="1" spans="1:20">
      <c r="A2347">
        <v>1357</v>
      </c>
      <c r="B2347">
        <v>1</v>
      </c>
      <c r="C2347" t="s">
        <v>442</v>
      </c>
      <c r="D2347" t="s">
        <v>28</v>
      </c>
      <c r="E2347" s="13" t="s">
        <v>410</v>
      </c>
      <c r="G2347">
        <v>2</v>
      </c>
      <c r="H2347">
        <v>100</v>
      </c>
      <c r="J2347" cm="1">
        <f t="array" ref="J2347">_xlfn.SWITCH(B2347,1,75,2,61,3,49,4,37,5,25,6,13,7,4,8,1)</f>
        <v>75</v>
      </c>
      <c r="K2347" t="str" cm="1">
        <f t="array" ref="K2347">IFERROR(_xlfn.SWITCH(L2347,1,_xlfn.XLOOKUP(C2347,[1]AttributeName!$C:$C,[1]AttributeName!$I:$I),2,_xlfn.XLOOKUP(C2347,[1]ModifierDes!$B:$B,[1]ModifierDes!$C:$C),3,_xlfn.XLOOKUP(C2347,[1]StuntDes!$B:$B,[1]StuntDes!$C:$C)),"")</f>
        <v>法术暴击率提高{0}</v>
      </c>
      <c r="L2347">
        <f t="shared" si="182"/>
        <v>2</v>
      </c>
      <c r="M2347" s="10" t="str">
        <f>IFERROR(_xlfn.XLOOKUP(C2347,[1]StuntDes!$B:$B,[1]StuntDes!$A:$A),"")</f>
        <v/>
      </c>
      <c r="N2347" s="10">
        <f>IFERROR(_xlfn.XLOOKUP(C2347,[1]ModifierDes!$B:$B,[1]ModifierDes!$A:$A),"")</f>
        <v>10170</v>
      </c>
      <c r="O2347" s="10" t="str">
        <f>IFERROR(_xlfn.XLOOKUP(C2347,[1]AttributeName!$C:$C,[1]AttributeName!$B:$B),"")</f>
        <v/>
      </c>
      <c r="P2347" s="10"/>
      <c r="Q2347">
        <v>1.49</v>
      </c>
      <c r="R2347">
        <v>2.04</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1357</v>
      </c>
      <c r="B2348">
        <v>2</v>
      </c>
      <c r="C2348" t="s">
        <v>442</v>
      </c>
      <c r="D2348" t="s">
        <v>28</v>
      </c>
      <c r="E2348" s="13" t="s">
        <v>410</v>
      </c>
      <c r="G2348">
        <v>2</v>
      </c>
      <c r="H2348">
        <v>200</v>
      </c>
      <c r="J2348" cm="1">
        <f t="array" ref="J2348">_xlfn.SWITCH(B2348,1,75,2,61,3,49,4,37,5,25,6,13,7,4,8,1)</f>
        <v>61</v>
      </c>
      <c r="K2348" t="str" cm="1">
        <f t="array" ref="K2348">IFERROR(_xlfn.SWITCH(L2348,1,_xlfn.XLOOKUP(C2348,[1]AttributeName!$C:$C,[1]AttributeName!$I:$I),2,_xlfn.XLOOKUP(C2348,[1]ModifierDes!$B:$B,[1]ModifierDes!$C:$C),3,_xlfn.XLOOKUP(C2348,[1]StuntDes!$B:$B,[1]StuntDes!$C:$C)),"")</f>
        <v>法术暴击率提高{0}</v>
      </c>
      <c r="L2348">
        <f t="shared" si="182"/>
        <v>2</v>
      </c>
      <c r="M2348" s="10" t="str">
        <f>IFERROR(_xlfn.XLOOKUP(C2348,[1]StuntDes!$B:$B,[1]StuntDes!$A:$A),"")</f>
        <v/>
      </c>
      <c r="N2348" s="10">
        <f>IFERROR(_xlfn.XLOOKUP(C2348,[1]ModifierDes!$B:$B,[1]ModifierDes!$A:$A),"")</f>
        <v>10170</v>
      </c>
      <c r="O2348" s="10" t="str">
        <f>IFERROR(_xlfn.XLOOKUP(C2348,[1]AttributeName!$C:$C,[1]AttributeName!$B:$B),"")</f>
        <v/>
      </c>
      <c r="P2348" s="10"/>
      <c r="Q2348">
        <v>1.29</v>
      </c>
      <c r="R2348">
        <v>1.48</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v>1357</v>
      </c>
      <c r="B2349">
        <v>3</v>
      </c>
      <c r="C2349" t="s">
        <v>442</v>
      </c>
      <c r="D2349" t="s">
        <v>28</v>
      </c>
      <c r="E2349" s="13" t="s">
        <v>410</v>
      </c>
      <c r="G2349">
        <v>2</v>
      </c>
      <c r="H2349">
        <v>400</v>
      </c>
      <c r="J2349" cm="1">
        <f t="array" ref="J2349">_xlfn.SWITCH(B2349,1,75,2,61,3,49,4,37,5,25,6,13,7,4,8,1)</f>
        <v>49</v>
      </c>
      <c r="K2349" t="str" cm="1">
        <f t="array" ref="K2349">IFERROR(_xlfn.SWITCH(L2349,1,_xlfn.XLOOKUP(C2349,[1]AttributeName!$C:$C,[1]AttributeName!$I:$I),2,_xlfn.XLOOKUP(C2349,[1]ModifierDes!$B:$B,[1]ModifierDes!$C:$C),3,_xlfn.XLOOKUP(C2349,[1]StuntDes!$B:$B,[1]StuntDes!$C:$C)),"")</f>
        <v>法术暴击率提高{0}</v>
      </c>
      <c r="L2349">
        <f t="shared" si="182"/>
        <v>2</v>
      </c>
      <c r="M2349" s="10" t="str">
        <f>IFERROR(_xlfn.XLOOKUP(C2349,[1]StuntDes!$B:$B,[1]StuntDes!$A:$A),"")</f>
        <v/>
      </c>
      <c r="N2349" s="10">
        <f>IFERROR(_xlfn.XLOOKUP(C2349,[1]ModifierDes!$B:$B,[1]ModifierDes!$A:$A),"")</f>
        <v>10170</v>
      </c>
      <c r="O2349" s="10" t="str">
        <f>IFERROR(_xlfn.XLOOKUP(C2349,[1]AttributeName!$C:$C,[1]AttributeName!$B:$B),"")</f>
        <v/>
      </c>
      <c r="P2349" s="10"/>
      <c r="Q2349">
        <v>1.09</v>
      </c>
      <c r="R2349">
        <v>1.28</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v>1357</v>
      </c>
      <c r="B2350">
        <v>4</v>
      </c>
      <c r="C2350" t="s">
        <v>442</v>
      </c>
      <c r="D2350" t="s">
        <v>28</v>
      </c>
      <c r="E2350" s="13" t="s">
        <v>410</v>
      </c>
      <c r="G2350">
        <v>2</v>
      </c>
      <c r="H2350">
        <v>600</v>
      </c>
      <c r="J2350" cm="1">
        <f t="array" ref="J2350">_xlfn.SWITCH(B2350,1,75,2,61,3,49,4,37,5,25,6,13,7,4,8,1)</f>
        <v>37</v>
      </c>
      <c r="K2350" t="str" cm="1">
        <f t="array" ref="K2350">IFERROR(_xlfn.SWITCH(L2350,1,_xlfn.XLOOKUP(C2350,[1]AttributeName!$C:$C,[1]AttributeName!$I:$I),2,_xlfn.XLOOKUP(C2350,[1]ModifierDes!$B:$B,[1]ModifierDes!$C:$C),3,_xlfn.XLOOKUP(C2350,[1]StuntDes!$B:$B,[1]StuntDes!$C:$C)),"")</f>
        <v>法术暴击率提高{0}</v>
      </c>
      <c r="L2350">
        <f t="shared" si="182"/>
        <v>2</v>
      </c>
      <c r="M2350" s="10" t="str">
        <f>IFERROR(_xlfn.XLOOKUP(C2350,[1]StuntDes!$B:$B,[1]StuntDes!$A:$A),"")</f>
        <v/>
      </c>
      <c r="N2350" s="10">
        <f>IFERROR(_xlfn.XLOOKUP(C2350,[1]ModifierDes!$B:$B,[1]ModifierDes!$A:$A),"")</f>
        <v>10170</v>
      </c>
      <c r="O2350" s="10" t="str">
        <f>IFERROR(_xlfn.XLOOKUP(C2350,[1]AttributeName!$C:$C,[1]AttributeName!$B:$B),"")</f>
        <v/>
      </c>
      <c r="P2350" s="10"/>
      <c r="Q2350">
        <v>0.87</v>
      </c>
      <c r="R2350">
        <v>1.08</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1357</v>
      </c>
      <c r="B2351">
        <v>5</v>
      </c>
      <c r="C2351" t="s">
        <v>442</v>
      </c>
      <c r="D2351" t="s">
        <v>28</v>
      </c>
      <c r="E2351" s="13" t="s">
        <v>410</v>
      </c>
      <c r="G2351">
        <v>2</v>
      </c>
      <c r="H2351">
        <v>800</v>
      </c>
      <c r="J2351" cm="1">
        <f t="array" ref="J2351">_xlfn.SWITCH(B2351,1,75,2,61,3,49,4,37,5,25,6,13,7,4,8,1)</f>
        <v>25</v>
      </c>
      <c r="K2351" t="str" cm="1">
        <f t="array" ref="K2351">IFERROR(_xlfn.SWITCH(L2351,1,_xlfn.XLOOKUP(C2351,[1]AttributeName!$C:$C,[1]AttributeName!$I:$I),2,_xlfn.XLOOKUP(C2351,[1]ModifierDes!$B:$B,[1]ModifierDes!$C:$C),3,_xlfn.XLOOKUP(C2351,[1]StuntDes!$B:$B,[1]StuntDes!$C:$C)),"")</f>
        <v>法术暴击率提高{0}</v>
      </c>
      <c r="L2351">
        <f t="shared" si="182"/>
        <v>2</v>
      </c>
      <c r="M2351" s="10" t="str">
        <f>IFERROR(_xlfn.XLOOKUP(C2351,[1]StuntDes!$B:$B,[1]StuntDes!$A:$A),"")</f>
        <v/>
      </c>
      <c r="N2351" s="10">
        <f>IFERROR(_xlfn.XLOOKUP(C2351,[1]ModifierDes!$B:$B,[1]ModifierDes!$A:$A),"")</f>
        <v>10170</v>
      </c>
      <c r="O2351" s="10" t="str">
        <f>IFERROR(_xlfn.XLOOKUP(C2351,[1]AttributeName!$C:$C,[1]AttributeName!$B:$B),"")</f>
        <v/>
      </c>
      <c r="P2351" s="10"/>
      <c r="Q2351">
        <v>0.67</v>
      </c>
      <c r="R2351">
        <v>0.86</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v>1357</v>
      </c>
      <c r="B2352">
        <v>6</v>
      </c>
      <c r="C2352" t="s">
        <v>442</v>
      </c>
      <c r="D2352" t="s">
        <v>28</v>
      </c>
      <c r="E2352" s="13" t="s">
        <v>410</v>
      </c>
      <c r="G2352">
        <v>2</v>
      </c>
      <c r="H2352">
        <v>1000</v>
      </c>
      <c r="J2352" cm="1">
        <f t="array" ref="J2352">_xlfn.SWITCH(B2352,1,75,2,61,3,49,4,37,5,25,6,13,7,4,8,1)</f>
        <v>13</v>
      </c>
      <c r="K2352" t="str" cm="1">
        <f t="array" ref="K2352">IFERROR(_xlfn.SWITCH(L2352,1,_xlfn.XLOOKUP(C2352,[1]AttributeName!$C:$C,[1]AttributeName!$I:$I),2,_xlfn.XLOOKUP(C2352,[1]ModifierDes!$B:$B,[1]ModifierDes!$C:$C),3,_xlfn.XLOOKUP(C2352,[1]StuntDes!$B:$B,[1]StuntDes!$C:$C)),"")</f>
        <v>法术暴击率提高{0}</v>
      </c>
      <c r="L2352">
        <f t="shared" si="182"/>
        <v>2</v>
      </c>
      <c r="M2352" s="10" t="str">
        <f>IFERROR(_xlfn.XLOOKUP(C2352,[1]StuntDes!$B:$B,[1]StuntDes!$A:$A),"")</f>
        <v/>
      </c>
      <c r="N2352" s="10">
        <f>IFERROR(_xlfn.XLOOKUP(C2352,[1]ModifierDes!$B:$B,[1]ModifierDes!$A:$A),"")</f>
        <v>10170</v>
      </c>
      <c r="O2352" s="10" t="str">
        <f>IFERROR(_xlfn.XLOOKUP(C2352,[1]AttributeName!$C:$C,[1]AttributeName!$B:$B),"")</f>
        <v/>
      </c>
      <c r="P2352" s="10"/>
      <c r="Q2352">
        <v>0.47</v>
      </c>
      <c r="R2352">
        <v>0.66</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v>1357</v>
      </c>
      <c r="B2353">
        <v>7</v>
      </c>
      <c r="C2353" t="s">
        <v>442</v>
      </c>
      <c r="D2353" t="s">
        <v>28</v>
      </c>
      <c r="E2353" s="13" t="s">
        <v>410</v>
      </c>
      <c r="G2353">
        <v>2</v>
      </c>
      <c r="H2353">
        <v>1000</v>
      </c>
      <c r="J2353" cm="1">
        <f t="array" ref="J2353">_xlfn.SWITCH(B2353,1,75,2,61,3,49,4,37,5,25,6,13,7,4,8,1)</f>
        <v>4</v>
      </c>
      <c r="K2353" t="str" cm="1">
        <f t="array" ref="K2353">IFERROR(_xlfn.SWITCH(L2353,1,_xlfn.XLOOKUP(C2353,[1]AttributeName!$C:$C,[1]AttributeName!$I:$I),2,_xlfn.XLOOKUP(C2353,[1]ModifierDes!$B:$B,[1]ModifierDes!$C:$C),3,_xlfn.XLOOKUP(C2353,[1]StuntDes!$B:$B,[1]StuntDes!$C:$C)),"")</f>
        <v>法术暴击率提高{0}</v>
      </c>
      <c r="L2353">
        <f t="shared" si="182"/>
        <v>2</v>
      </c>
      <c r="M2353" s="10" t="str">
        <f>IFERROR(_xlfn.XLOOKUP(C2353,[1]StuntDes!$B:$B,[1]StuntDes!$A:$A),"")</f>
        <v/>
      </c>
      <c r="N2353" s="10">
        <f>IFERROR(_xlfn.XLOOKUP(C2353,[1]ModifierDes!$B:$B,[1]ModifierDes!$A:$A),"")</f>
        <v>10170</v>
      </c>
      <c r="O2353" s="10" t="str">
        <f>IFERROR(_xlfn.XLOOKUP(C2353,[1]AttributeName!$C:$C,[1]AttributeName!$B:$B),"")</f>
        <v/>
      </c>
      <c r="P2353" s="10"/>
      <c r="Q2353">
        <v>0.27</v>
      </c>
      <c r="R2353">
        <v>0.46</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1357</v>
      </c>
      <c r="B2354">
        <v>8</v>
      </c>
      <c r="C2354" t="s">
        <v>442</v>
      </c>
      <c r="D2354" t="s">
        <v>28</v>
      </c>
      <c r="E2354" s="13" t="s">
        <v>410</v>
      </c>
      <c r="G2354">
        <v>2</v>
      </c>
      <c r="H2354">
        <v>1000</v>
      </c>
      <c r="J2354" cm="1">
        <f t="array" ref="J2354">_xlfn.SWITCH(B2354,1,75,2,61,3,49,4,37,5,25,6,13,7,4,8,1)</f>
        <v>1</v>
      </c>
      <c r="K2354" t="str" cm="1">
        <f t="array" ref="K2354">IFERROR(_xlfn.SWITCH(L2354,1,_xlfn.XLOOKUP(C2354,[1]AttributeName!$C:$C,[1]AttributeName!$I:$I),2,_xlfn.XLOOKUP(C2354,[1]ModifierDes!$B:$B,[1]ModifierDes!$C:$C),3,_xlfn.XLOOKUP(C2354,[1]StuntDes!$B:$B,[1]StuntDes!$C:$C)),"")</f>
        <v>法术暴击率提高{0}</v>
      </c>
      <c r="L2354">
        <f t="shared" si="182"/>
        <v>2</v>
      </c>
      <c r="M2354" s="10" t="str">
        <f>IFERROR(_xlfn.XLOOKUP(C2354,[1]StuntDes!$B:$B,[1]StuntDes!$A:$A),"")</f>
        <v/>
      </c>
      <c r="N2354" s="10">
        <f>IFERROR(_xlfn.XLOOKUP(C2354,[1]ModifierDes!$B:$B,[1]ModifierDes!$A:$A),"")</f>
        <v>10170</v>
      </c>
      <c r="O2354" s="10" t="str">
        <f>IFERROR(_xlfn.XLOOKUP(C2354,[1]AttributeName!$C:$C,[1]AttributeName!$B:$B),"")</f>
        <v/>
      </c>
      <c r="P2354" s="10"/>
      <c r="Q2354">
        <v>0.08</v>
      </c>
      <c r="R2354">
        <v>0.26</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ref="A2355:A2418" si="183">A2347+1</f>
        <v>1358</v>
      </c>
      <c r="B2355">
        <v>1</v>
      </c>
      <c r="C2355" t="s">
        <v>443</v>
      </c>
      <c r="D2355" t="s">
        <v>28</v>
      </c>
      <c r="E2355" s="13" t="s">
        <v>410</v>
      </c>
      <c r="G2355">
        <v>2</v>
      </c>
      <c r="H2355">
        <v>100</v>
      </c>
      <c r="J2355" cm="1">
        <f t="array" ref="J2355">_xlfn.SWITCH(B2355,1,75,2,61,3,49,4,37,5,25,6,13,7,4,8,1)</f>
        <v>75</v>
      </c>
      <c r="K2355" t="str" cm="1">
        <f t="array" ref="K2355">IFERROR(_xlfn.SWITCH(L2355,1,_xlfn.XLOOKUP(C2355,[1]AttributeName!$C:$C,[1]AttributeName!$I:$I),2,_xlfn.XLOOKUP(C2355,[1]ModifierDes!$B:$B,[1]ModifierDes!$C:$C),3,_xlfn.XLOOKUP(C2355,[1]StuntDes!$B:$B,[1]StuntDes!$C:$C)),"")</f>
        <v>法术暴击伤害增加{0}</v>
      </c>
      <c r="L2355">
        <f t="shared" si="182"/>
        <v>2</v>
      </c>
      <c r="M2355" s="10" t="str">
        <f>IFERROR(_xlfn.XLOOKUP(C2355,[1]StuntDes!$B:$B,[1]StuntDes!$A:$A),"")</f>
        <v/>
      </c>
      <c r="N2355" s="10">
        <f>IFERROR(_xlfn.XLOOKUP(C2355,[1]ModifierDes!$B:$B,[1]ModifierDes!$A:$A),"")</f>
        <v>10061</v>
      </c>
      <c r="O2355" s="10"/>
      <c r="P2355" s="10"/>
      <c r="Q2355">
        <v>1.14</v>
      </c>
      <c r="R2355">
        <v>1.53</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83"/>
        <v>1358</v>
      </c>
      <c r="B2356">
        <v>2</v>
      </c>
      <c r="C2356" t="s">
        <v>443</v>
      </c>
      <c r="D2356" t="s">
        <v>28</v>
      </c>
      <c r="E2356" s="13" t="s">
        <v>410</v>
      </c>
      <c r="G2356">
        <v>2</v>
      </c>
      <c r="H2356">
        <v>200</v>
      </c>
      <c r="J2356" cm="1">
        <f t="array" ref="J2356">_xlfn.SWITCH(B2356,1,75,2,61,3,49,4,37,5,25,6,13,7,4,8,1)</f>
        <v>61</v>
      </c>
      <c r="K2356" t="str" cm="1">
        <f t="array" ref="K2356">IFERROR(_xlfn.SWITCH(L2356,1,_xlfn.XLOOKUP(C2356,[1]AttributeName!$C:$C,[1]AttributeName!$I:$I),2,_xlfn.XLOOKUP(C2356,[1]ModifierDes!$B:$B,[1]ModifierDes!$C:$C),3,_xlfn.XLOOKUP(C2356,[1]StuntDes!$B:$B,[1]StuntDes!$C:$C)),"")</f>
        <v>法术暴击伤害增加{0}</v>
      </c>
      <c r="L2356">
        <f t="shared" si="182"/>
        <v>2</v>
      </c>
      <c r="M2356" s="10" t="str">
        <f>IFERROR(_xlfn.XLOOKUP(C2356,[1]StuntDes!$B:$B,[1]StuntDes!$A:$A),"")</f>
        <v/>
      </c>
      <c r="N2356" s="10">
        <f>IFERROR(_xlfn.XLOOKUP(C2356,[1]ModifierDes!$B:$B,[1]ModifierDes!$A:$A),"")</f>
        <v>10061</v>
      </c>
      <c r="O2356" s="10" t="str">
        <f>IFERROR(_xlfn.XLOOKUP(C2356,[1]AttributeName!$C:$C,[1]AttributeName!$B:$B),"")</f>
        <v/>
      </c>
      <c r="P2356" s="10"/>
      <c r="Q2356">
        <v>0.99</v>
      </c>
      <c r="R2356">
        <v>1.11</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83"/>
        <v>1358</v>
      </c>
      <c r="B2357">
        <v>3</v>
      </c>
      <c r="C2357" t="s">
        <v>443</v>
      </c>
      <c r="D2357" t="s">
        <v>28</v>
      </c>
      <c r="E2357" s="13" t="s">
        <v>410</v>
      </c>
      <c r="G2357">
        <v>2</v>
      </c>
      <c r="H2357">
        <v>400</v>
      </c>
      <c r="J2357" cm="1">
        <f t="array" ref="J2357">_xlfn.SWITCH(B2357,1,75,2,61,3,49,4,37,5,25,6,13,7,4,8,1)</f>
        <v>49</v>
      </c>
      <c r="K2357" t="str" cm="1">
        <f t="array" ref="K2357">IFERROR(_xlfn.SWITCH(L2357,1,_xlfn.XLOOKUP(C2357,[1]AttributeName!$C:$C,[1]AttributeName!$I:$I),2,_xlfn.XLOOKUP(C2357,[1]ModifierDes!$B:$B,[1]ModifierDes!$C:$C),3,_xlfn.XLOOKUP(C2357,[1]StuntDes!$B:$B,[1]StuntDes!$C:$C)),"")</f>
        <v>法术暴击伤害增加{0}</v>
      </c>
      <c r="L2357">
        <f t="shared" si="182"/>
        <v>2</v>
      </c>
      <c r="M2357" s="10" t="str">
        <f>IFERROR(_xlfn.XLOOKUP(C2357,[1]StuntDes!$B:$B,[1]StuntDes!$A:$A),"")</f>
        <v/>
      </c>
      <c r="N2357" s="10">
        <f>IFERROR(_xlfn.XLOOKUP(C2357,[1]ModifierDes!$B:$B,[1]ModifierDes!$A:$A),"")</f>
        <v>10061</v>
      </c>
      <c r="O2357" s="10" t="str">
        <f>IFERROR(_xlfn.XLOOKUP(C2357,[1]AttributeName!$C:$C,[1]AttributeName!$B:$B),"")</f>
        <v/>
      </c>
      <c r="P2357" s="10"/>
      <c r="Q2357">
        <v>0.84</v>
      </c>
      <c r="R2357">
        <v>0.96</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83"/>
        <v>1358</v>
      </c>
      <c r="B2358">
        <v>4</v>
      </c>
      <c r="C2358" t="s">
        <v>443</v>
      </c>
      <c r="D2358" t="s">
        <v>28</v>
      </c>
      <c r="E2358" s="13" t="s">
        <v>410</v>
      </c>
      <c r="G2358">
        <v>2</v>
      </c>
      <c r="H2358">
        <v>600</v>
      </c>
      <c r="J2358" cm="1">
        <f t="array" ref="J2358">_xlfn.SWITCH(B2358,1,75,2,61,3,49,4,37,5,25,6,13,7,4,8,1)</f>
        <v>37</v>
      </c>
      <c r="K2358" t="str" cm="1">
        <f t="array" ref="K2358">IFERROR(_xlfn.SWITCH(L2358,1,_xlfn.XLOOKUP(C2358,[1]AttributeName!$C:$C,[1]AttributeName!$I:$I),2,_xlfn.XLOOKUP(C2358,[1]ModifierDes!$B:$B,[1]ModifierDes!$C:$C),3,_xlfn.XLOOKUP(C2358,[1]StuntDes!$B:$B,[1]StuntDes!$C:$C)),"")</f>
        <v>法术暴击伤害增加{0}</v>
      </c>
      <c r="L2358">
        <f t="shared" si="182"/>
        <v>2</v>
      </c>
      <c r="M2358" s="10" t="str">
        <f>IFERROR(_xlfn.XLOOKUP(C2358,[1]StuntDes!$B:$B,[1]StuntDes!$A:$A),"")</f>
        <v/>
      </c>
      <c r="N2358" s="10">
        <f>IFERROR(_xlfn.XLOOKUP(C2358,[1]ModifierDes!$B:$B,[1]ModifierDes!$A:$A),"")</f>
        <v>10061</v>
      </c>
      <c r="O2358" s="10" t="str">
        <f>IFERROR(_xlfn.XLOOKUP(C2358,[1]AttributeName!$C:$C,[1]AttributeName!$B:$B),"")</f>
        <v/>
      </c>
      <c r="P2358" s="10"/>
      <c r="Q2358">
        <v>0.67</v>
      </c>
      <c r="R2358">
        <v>0.81</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83"/>
        <v>1358</v>
      </c>
      <c r="B2359">
        <v>5</v>
      </c>
      <c r="C2359" t="s">
        <v>443</v>
      </c>
      <c r="D2359" t="s">
        <v>28</v>
      </c>
      <c r="E2359" s="13" t="s">
        <v>410</v>
      </c>
      <c r="G2359">
        <v>2</v>
      </c>
      <c r="H2359">
        <v>800</v>
      </c>
      <c r="J2359" cm="1">
        <f t="array" ref="J2359">_xlfn.SWITCH(B2359,1,75,2,61,3,49,4,37,5,25,6,13,7,4,8,1)</f>
        <v>25</v>
      </c>
      <c r="K2359" t="str" cm="1">
        <f t="array" ref="K2359">IFERROR(_xlfn.SWITCH(L2359,1,_xlfn.XLOOKUP(C2359,[1]AttributeName!$C:$C,[1]AttributeName!$I:$I),2,_xlfn.XLOOKUP(C2359,[1]ModifierDes!$B:$B,[1]ModifierDes!$C:$C),3,_xlfn.XLOOKUP(C2359,[1]StuntDes!$B:$B,[1]StuntDes!$C:$C)),"")</f>
        <v>法术暴击伤害增加{0}</v>
      </c>
      <c r="L2359">
        <f t="shared" si="182"/>
        <v>2</v>
      </c>
      <c r="M2359" s="10" t="str">
        <f>IFERROR(_xlfn.XLOOKUP(C2359,[1]StuntDes!$B:$B,[1]StuntDes!$A:$A),"")</f>
        <v/>
      </c>
      <c r="N2359" s="10">
        <f>IFERROR(_xlfn.XLOOKUP(C2359,[1]ModifierDes!$B:$B,[1]ModifierDes!$A:$A),"")</f>
        <v>10061</v>
      </c>
      <c r="O2359" s="10" t="str">
        <f>IFERROR(_xlfn.XLOOKUP(C2359,[1]AttributeName!$C:$C,[1]AttributeName!$B:$B),"")</f>
        <v/>
      </c>
      <c r="P2359" s="10"/>
      <c r="Q2359">
        <v>0.52</v>
      </c>
      <c r="R2359">
        <v>0.64</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83"/>
        <v>1358</v>
      </c>
      <c r="B2360">
        <v>6</v>
      </c>
      <c r="C2360" t="s">
        <v>443</v>
      </c>
      <c r="D2360" t="s">
        <v>28</v>
      </c>
      <c r="E2360" s="13" t="s">
        <v>410</v>
      </c>
      <c r="G2360">
        <v>2</v>
      </c>
      <c r="H2360">
        <v>1000</v>
      </c>
      <c r="J2360" cm="1">
        <f t="array" ref="J2360">_xlfn.SWITCH(B2360,1,75,2,61,3,49,4,37,5,25,6,13,7,4,8,1)</f>
        <v>13</v>
      </c>
      <c r="K2360" t="str" cm="1">
        <f t="array" ref="K2360">IFERROR(_xlfn.SWITCH(L2360,1,_xlfn.XLOOKUP(C2360,[1]AttributeName!$C:$C,[1]AttributeName!$I:$I),2,_xlfn.XLOOKUP(C2360,[1]ModifierDes!$B:$B,[1]ModifierDes!$C:$C),3,_xlfn.XLOOKUP(C2360,[1]StuntDes!$B:$B,[1]StuntDes!$C:$C)),"")</f>
        <v>法术暴击伤害增加{0}</v>
      </c>
      <c r="L2360">
        <f t="shared" si="182"/>
        <v>2</v>
      </c>
      <c r="M2360" s="10" t="str">
        <f>IFERROR(_xlfn.XLOOKUP(C2360,[1]StuntDes!$B:$B,[1]StuntDes!$A:$A),"")</f>
        <v/>
      </c>
      <c r="N2360" s="10">
        <f>IFERROR(_xlfn.XLOOKUP(C2360,[1]ModifierDes!$B:$B,[1]ModifierDes!$A:$A),"")</f>
        <v>10061</v>
      </c>
      <c r="O2360" s="10" t="str">
        <f>IFERROR(_xlfn.XLOOKUP(C2360,[1]AttributeName!$C:$C,[1]AttributeName!$B:$B),"")</f>
        <v/>
      </c>
      <c r="P2360" s="10"/>
      <c r="Q2360">
        <v>0.37</v>
      </c>
      <c r="R2360">
        <v>0.49</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83"/>
        <v>1358</v>
      </c>
      <c r="B2361">
        <v>7</v>
      </c>
      <c r="C2361" t="s">
        <v>443</v>
      </c>
      <c r="D2361" t="s">
        <v>28</v>
      </c>
      <c r="E2361" s="13" t="s">
        <v>410</v>
      </c>
      <c r="G2361">
        <v>2</v>
      </c>
      <c r="H2361">
        <v>1000</v>
      </c>
      <c r="J2361" cm="1">
        <f t="array" ref="J2361">_xlfn.SWITCH(B2361,1,75,2,61,3,49,4,37,5,25,6,13,7,4,8,1)</f>
        <v>4</v>
      </c>
      <c r="K2361" t="str" cm="1">
        <f t="array" ref="K2361">IFERROR(_xlfn.SWITCH(L2361,1,_xlfn.XLOOKUP(C2361,[1]AttributeName!$C:$C,[1]AttributeName!$I:$I),2,_xlfn.XLOOKUP(C2361,[1]ModifierDes!$B:$B,[1]ModifierDes!$C:$C),3,_xlfn.XLOOKUP(C2361,[1]StuntDes!$B:$B,[1]StuntDes!$C:$C)),"")</f>
        <v>法术暴击伤害增加{0}</v>
      </c>
      <c r="L2361">
        <f t="shared" si="182"/>
        <v>2</v>
      </c>
      <c r="M2361" s="10" t="str">
        <f>IFERROR(_xlfn.XLOOKUP(C2361,[1]StuntDes!$B:$B,[1]StuntDes!$A:$A),"")</f>
        <v/>
      </c>
      <c r="N2361" s="10">
        <f>IFERROR(_xlfn.XLOOKUP(C2361,[1]ModifierDes!$B:$B,[1]ModifierDes!$A:$A),"")</f>
        <v>10061</v>
      </c>
      <c r="O2361" s="10" t="str">
        <f>IFERROR(_xlfn.XLOOKUP(C2361,[1]AttributeName!$C:$C,[1]AttributeName!$B:$B),"")</f>
        <v/>
      </c>
      <c r="P2361" s="10"/>
      <c r="Q2361">
        <v>0.22</v>
      </c>
      <c r="R2361">
        <v>0.34</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83"/>
        <v>1358</v>
      </c>
      <c r="B2362">
        <v>8</v>
      </c>
      <c r="C2362" t="s">
        <v>443</v>
      </c>
      <c r="D2362" t="s">
        <v>28</v>
      </c>
      <c r="E2362" s="13" t="s">
        <v>410</v>
      </c>
      <c r="G2362">
        <v>2</v>
      </c>
      <c r="H2362">
        <v>1000</v>
      </c>
      <c r="J2362" cm="1">
        <f t="array" ref="J2362">_xlfn.SWITCH(B2362,1,75,2,61,3,49,4,37,5,25,6,13,7,4,8,1)</f>
        <v>1</v>
      </c>
      <c r="K2362" t="str" cm="1">
        <f t="array" ref="K2362">IFERROR(_xlfn.SWITCH(L2362,1,_xlfn.XLOOKUP(C2362,[1]AttributeName!$C:$C,[1]AttributeName!$I:$I),2,_xlfn.XLOOKUP(C2362,[1]ModifierDes!$B:$B,[1]ModifierDes!$C:$C),3,_xlfn.XLOOKUP(C2362,[1]StuntDes!$B:$B,[1]StuntDes!$C:$C)),"")</f>
        <v>法术暴击伤害增加{0}</v>
      </c>
      <c r="L2362">
        <f t="shared" si="182"/>
        <v>2</v>
      </c>
      <c r="M2362" s="10" t="str">
        <f>IFERROR(_xlfn.XLOOKUP(C2362,[1]StuntDes!$B:$B,[1]StuntDes!$A:$A),"")</f>
        <v/>
      </c>
      <c r="N2362" s="10">
        <f>IFERROR(_xlfn.XLOOKUP(C2362,[1]ModifierDes!$B:$B,[1]ModifierDes!$A:$A),"")</f>
        <v>10061</v>
      </c>
      <c r="O2362" s="10" t="str">
        <f>IFERROR(_xlfn.XLOOKUP(C2362,[1]AttributeName!$C:$C,[1]AttributeName!$B:$B),"")</f>
        <v/>
      </c>
      <c r="P2362" s="10"/>
      <c r="Q2362">
        <v>0.06</v>
      </c>
      <c r="R2362">
        <v>0.19</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83"/>
        <v>1359</v>
      </c>
      <c r="B2363">
        <v>1</v>
      </c>
      <c r="C2363" t="s">
        <v>448</v>
      </c>
      <c r="D2363" t="s">
        <v>28</v>
      </c>
      <c r="E2363" s="13" t="s">
        <v>410</v>
      </c>
      <c r="G2363">
        <v>2</v>
      </c>
      <c r="H2363">
        <v>100</v>
      </c>
      <c r="J2363" cm="1">
        <f t="array" ref="J2363">_xlfn.SWITCH(B2363,1,75,2,61,3,49,4,37,5,25,6,13,7,4,8,1)</f>
        <v>75</v>
      </c>
      <c r="K2363" t="str" cm="1">
        <f t="array" ref="K2363">IFERROR(_xlfn.SWITCH(L2363,1,_xlfn.XLOOKUP(C2363,[1]AttributeName!$C:$C,[1]AttributeName!$I:$I),2,_xlfn.XLOOKUP(C2363,[1]ModifierDes!$B:$B,[1]ModifierDes!$C:$C),3,_xlfn.XLOOKUP(C2363,[1]StuntDes!$B:$B,[1]StuntDes!$C:$C)),"")</f>
        <v>施法速度提高{0}</v>
      </c>
      <c r="L2363">
        <f t="shared" si="182"/>
        <v>2</v>
      </c>
      <c r="M2363" s="10" t="str">
        <f>IFERROR(_xlfn.XLOOKUP(C2363,[1]StuntDes!$B:$B,[1]StuntDes!$A:$A),"")</f>
        <v/>
      </c>
      <c r="N2363" s="10">
        <f>IFERROR(_xlfn.XLOOKUP(C2363,[1]ModifierDes!$B:$B,[1]ModifierDes!$A:$A),"")</f>
        <v>10050</v>
      </c>
      <c r="O2363" s="10" t="str">
        <f>IFERROR(_xlfn.XLOOKUP(C2363,[1]AttributeName!$C:$C,[1]AttributeName!$B:$B),"")</f>
        <v/>
      </c>
      <c r="P2363" s="10"/>
      <c r="Q2363">
        <v>0.25</v>
      </c>
      <c r="R2363">
        <v>0.34</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83"/>
        <v>1359</v>
      </c>
      <c r="B2364">
        <v>2</v>
      </c>
      <c r="C2364" t="s">
        <v>448</v>
      </c>
      <c r="D2364" t="s">
        <v>28</v>
      </c>
      <c r="E2364" s="13" t="s">
        <v>410</v>
      </c>
      <c r="G2364">
        <v>2</v>
      </c>
      <c r="H2364">
        <v>200</v>
      </c>
      <c r="J2364" cm="1">
        <f t="array" ref="J2364">_xlfn.SWITCH(B2364,1,75,2,61,3,49,4,37,5,25,6,13,7,4,8,1)</f>
        <v>61</v>
      </c>
      <c r="K2364" t="str" cm="1">
        <f t="array" ref="K2364">IFERROR(_xlfn.SWITCH(L2364,1,_xlfn.XLOOKUP(C2364,[1]AttributeName!$C:$C,[1]AttributeName!$I:$I),2,_xlfn.XLOOKUP(C2364,[1]ModifierDes!$B:$B,[1]ModifierDes!$C:$C),3,_xlfn.XLOOKUP(C2364,[1]StuntDes!$B:$B,[1]StuntDes!$C:$C)),"")</f>
        <v>施法速度提高{0}</v>
      </c>
      <c r="L2364">
        <f t="shared" si="182"/>
        <v>2</v>
      </c>
      <c r="M2364" s="10" t="str">
        <f>IFERROR(_xlfn.XLOOKUP(C2364,[1]StuntDes!$B:$B,[1]StuntDes!$A:$A),"")</f>
        <v/>
      </c>
      <c r="N2364" s="10">
        <f>IFERROR(_xlfn.XLOOKUP(C2364,[1]ModifierDes!$B:$B,[1]ModifierDes!$A:$A),"")</f>
        <v>10050</v>
      </c>
      <c r="O2364" s="10" t="str">
        <f>IFERROR(_xlfn.XLOOKUP(C2364,[1]AttributeName!$C:$C,[1]AttributeName!$B:$B),"")</f>
        <v/>
      </c>
      <c r="P2364" s="10"/>
      <c r="Q2364">
        <v>0.22</v>
      </c>
      <c r="R2364">
        <v>0.25</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83"/>
        <v>1359</v>
      </c>
      <c r="B2365">
        <v>3</v>
      </c>
      <c r="C2365" t="s">
        <v>448</v>
      </c>
      <c r="D2365" t="s">
        <v>28</v>
      </c>
      <c r="E2365" s="13" t="s">
        <v>410</v>
      </c>
      <c r="G2365">
        <v>2</v>
      </c>
      <c r="H2365">
        <v>400</v>
      </c>
      <c r="J2365" cm="1">
        <f t="array" ref="J2365">_xlfn.SWITCH(B2365,1,75,2,61,3,49,4,37,5,25,6,13,7,4,8,1)</f>
        <v>49</v>
      </c>
      <c r="K2365" t="str" cm="1">
        <f t="array" ref="K2365">IFERROR(_xlfn.SWITCH(L2365,1,_xlfn.XLOOKUP(C2365,[1]AttributeName!$C:$C,[1]AttributeName!$I:$I),2,_xlfn.XLOOKUP(C2365,[1]ModifierDes!$B:$B,[1]ModifierDes!$C:$C),3,_xlfn.XLOOKUP(C2365,[1]StuntDes!$B:$B,[1]StuntDes!$C:$C)),"")</f>
        <v>施法速度提高{0}</v>
      </c>
      <c r="L2365">
        <f t="shared" si="182"/>
        <v>2</v>
      </c>
      <c r="M2365" s="10" t="str">
        <f>IFERROR(_xlfn.XLOOKUP(C2365,[1]StuntDes!$B:$B,[1]StuntDes!$A:$A),"")</f>
        <v/>
      </c>
      <c r="N2365" s="10">
        <f>IFERROR(_xlfn.XLOOKUP(C2365,[1]ModifierDes!$B:$B,[1]ModifierDes!$A:$A),"")</f>
        <v>10050</v>
      </c>
      <c r="O2365" s="10" t="str">
        <f>IFERROR(_xlfn.XLOOKUP(C2365,[1]AttributeName!$C:$C,[1]AttributeName!$B:$B),"")</f>
        <v/>
      </c>
      <c r="P2365" s="10"/>
      <c r="Q2365">
        <v>0.19</v>
      </c>
      <c r="R2365">
        <v>0.21</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83"/>
        <v>1359</v>
      </c>
      <c r="B2366">
        <v>4</v>
      </c>
      <c r="C2366" t="s">
        <v>448</v>
      </c>
      <c r="D2366" t="s">
        <v>28</v>
      </c>
      <c r="E2366" s="13" t="s">
        <v>410</v>
      </c>
      <c r="G2366">
        <v>2</v>
      </c>
      <c r="H2366">
        <v>600</v>
      </c>
      <c r="J2366" cm="1">
        <f t="array" ref="J2366">_xlfn.SWITCH(B2366,1,75,2,61,3,49,4,37,5,25,6,13,7,4,8,1)</f>
        <v>37</v>
      </c>
      <c r="K2366" t="str" cm="1">
        <f t="array" ref="K2366">IFERROR(_xlfn.SWITCH(L2366,1,_xlfn.XLOOKUP(C2366,[1]AttributeName!$C:$C,[1]AttributeName!$I:$I),2,_xlfn.XLOOKUP(C2366,[1]ModifierDes!$B:$B,[1]ModifierDes!$C:$C),3,_xlfn.XLOOKUP(C2366,[1]StuntDes!$B:$B,[1]StuntDes!$C:$C)),"")</f>
        <v>施法速度提高{0}</v>
      </c>
      <c r="L2366">
        <f t="shared" si="182"/>
        <v>2</v>
      </c>
      <c r="M2366" s="10" t="str">
        <f>IFERROR(_xlfn.XLOOKUP(C2366,[1]StuntDes!$B:$B,[1]StuntDes!$A:$A),"")</f>
        <v/>
      </c>
      <c r="N2366" s="10">
        <f>IFERROR(_xlfn.XLOOKUP(C2366,[1]ModifierDes!$B:$B,[1]ModifierDes!$A:$A),"")</f>
        <v>10050</v>
      </c>
      <c r="O2366" s="10" t="str">
        <f>IFERROR(_xlfn.XLOOKUP(C2366,[1]AttributeName!$C:$C,[1]AttributeName!$B:$B),"")</f>
        <v/>
      </c>
      <c r="P2366" s="10"/>
      <c r="Q2366">
        <v>0.16</v>
      </c>
      <c r="R2366">
        <v>0.18</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83"/>
        <v>1359</v>
      </c>
      <c r="B2367">
        <v>5</v>
      </c>
      <c r="C2367" t="s">
        <v>448</v>
      </c>
      <c r="D2367" t="s">
        <v>28</v>
      </c>
      <c r="E2367" s="13" t="s">
        <v>410</v>
      </c>
      <c r="G2367">
        <v>2</v>
      </c>
      <c r="H2367">
        <v>800</v>
      </c>
      <c r="J2367" cm="1">
        <f t="array" ref="J2367">_xlfn.SWITCH(B2367,1,75,2,61,3,49,4,37,5,25,6,13,7,4,8,1)</f>
        <v>25</v>
      </c>
      <c r="K2367" t="str" cm="1">
        <f t="array" ref="K2367">IFERROR(_xlfn.SWITCH(L2367,1,_xlfn.XLOOKUP(C2367,[1]AttributeName!$C:$C,[1]AttributeName!$I:$I),2,_xlfn.XLOOKUP(C2367,[1]ModifierDes!$B:$B,[1]ModifierDes!$C:$C),3,_xlfn.XLOOKUP(C2367,[1]StuntDes!$B:$B,[1]StuntDes!$C:$C)),"")</f>
        <v>施法速度提高{0}</v>
      </c>
      <c r="L2367">
        <f t="shared" si="182"/>
        <v>2</v>
      </c>
      <c r="M2367" s="10" t="str">
        <f>IFERROR(_xlfn.XLOOKUP(C2367,[1]StuntDes!$B:$B,[1]StuntDes!$A:$A),"")</f>
        <v/>
      </c>
      <c r="N2367" s="10">
        <f>IFERROR(_xlfn.XLOOKUP(C2367,[1]ModifierDes!$B:$B,[1]ModifierDes!$A:$A),"")</f>
        <v>10050</v>
      </c>
      <c r="O2367" s="10" t="str">
        <f>IFERROR(_xlfn.XLOOKUP(C2367,[1]AttributeName!$C:$C,[1]AttributeName!$B:$B),"")</f>
        <v/>
      </c>
      <c r="P2367" s="10"/>
      <c r="Q2367">
        <v>0.13</v>
      </c>
      <c r="R2367">
        <v>0.15</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83"/>
        <v>1359</v>
      </c>
      <c r="B2368">
        <v>6</v>
      </c>
      <c r="C2368" t="s">
        <v>448</v>
      </c>
      <c r="D2368" t="s">
        <v>28</v>
      </c>
      <c r="E2368" s="13" t="s">
        <v>410</v>
      </c>
      <c r="G2368">
        <v>2</v>
      </c>
      <c r="H2368">
        <v>1000</v>
      </c>
      <c r="J2368" cm="1">
        <f t="array" ref="J2368">_xlfn.SWITCH(B2368,1,75,2,61,3,49,4,37,5,25,6,13,7,4,8,1)</f>
        <v>13</v>
      </c>
      <c r="K2368" t="str" cm="1">
        <f t="array" ref="K2368">IFERROR(_xlfn.SWITCH(L2368,1,_xlfn.XLOOKUP(C2368,[1]AttributeName!$C:$C,[1]AttributeName!$I:$I),2,_xlfn.XLOOKUP(C2368,[1]ModifierDes!$B:$B,[1]ModifierDes!$C:$C),3,_xlfn.XLOOKUP(C2368,[1]StuntDes!$B:$B,[1]StuntDes!$C:$C)),"")</f>
        <v>施法速度提高{0}</v>
      </c>
      <c r="L2368">
        <f t="shared" si="182"/>
        <v>2</v>
      </c>
      <c r="M2368" s="10" t="str">
        <f>IFERROR(_xlfn.XLOOKUP(C2368,[1]StuntDes!$B:$B,[1]StuntDes!$A:$A),"")</f>
        <v/>
      </c>
      <c r="N2368" s="10">
        <f>IFERROR(_xlfn.XLOOKUP(C2368,[1]ModifierDes!$B:$B,[1]ModifierDes!$A:$A),"")</f>
        <v>10050</v>
      </c>
      <c r="O2368" s="10" t="str">
        <f>IFERROR(_xlfn.XLOOKUP(C2368,[1]AttributeName!$C:$C,[1]AttributeName!$B:$B),"")</f>
        <v/>
      </c>
      <c r="P2368" s="10"/>
      <c r="Q2368">
        <v>0.1</v>
      </c>
      <c r="R2368">
        <v>0.12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83"/>
        <v>1359</v>
      </c>
      <c r="B2369">
        <v>7</v>
      </c>
      <c r="C2369" t="s">
        <v>448</v>
      </c>
      <c r="D2369" t="s">
        <v>28</v>
      </c>
      <c r="E2369" s="13" t="s">
        <v>410</v>
      </c>
      <c r="G2369">
        <v>2</v>
      </c>
      <c r="H2369">
        <v>1000</v>
      </c>
      <c r="J2369" cm="1">
        <f t="array" ref="J2369">_xlfn.SWITCH(B2369,1,75,2,61,3,49,4,37,5,25,6,13,7,4,8,1)</f>
        <v>4</v>
      </c>
      <c r="K2369" t="str" cm="1">
        <f t="array" ref="K2369">IFERROR(_xlfn.SWITCH(L2369,1,_xlfn.XLOOKUP(C2369,[1]AttributeName!$C:$C,[1]AttributeName!$I:$I),2,_xlfn.XLOOKUP(C2369,[1]ModifierDes!$B:$B,[1]ModifierDes!$C:$C),3,_xlfn.XLOOKUP(C2369,[1]StuntDes!$B:$B,[1]StuntDes!$C:$C)),"")</f>
        <v>施法速度提高{0}</v>
      </c>
      <c r="L2369">
        <f t="shared" si="182"/>
        <v>2</v>
      </c>
      <c r="M2369" s="10" t="str">
        <f>IFERROR(_xlfn.XLOOKUP(C2369,[1]StuntDes!$B:$B,[1]StuntDes!$A:$A),"")</f>
        <v/>
      </c>
      <c r="N2369" s="10">
        <f>IFERROR(_xlfn.XLOOKUP(C2369,[1]ModifierDes!$B:$B,[1]ModifierDes!$A:$A),"")</f>
        <v>10050</v>
      </c>
      <c r="O2369" s="10" t="str">
        <f>IFERROR(_xlfn.XLOOKUP(C2369,[1]AttributeName!$C:$C,[1]AttributeName!$B:$B),"")</f>
        <v/>
      </c>
      <c r="P2369" s="10"/>
      <c r="Q2369">
        <v>0.07</v>
      </c>
      <c r="R2369">
        <v>0.09</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83"/>
        <v>1359</v>
      </c>
      <c r="B2370">
        <v>8</v>
      </c>
      <c r="C2370" t="s">
        <v>448</v>
      </c>
      <c r="D2370" t="s">
        <v>28</v>
      </c>
      <c r="E2370" s="13" t="s">
        <v>410</v>
      </c>
      <c r="G2370">
        <v>2</v>
      </c>
      <c r="H2370">
        <v>1000</v>
      </c>
      <c r="J2370" cm="1">
        <f t="array" ref="J2370">_xlfn.SWITCH(B2370,1,75,2,61,3,49,4,37,5,25,6,13,7,4,8,1)</f>
        <v>1</v>
      </c>
      <c r="K2370" t="str" cm="1">
        <f t="array" ref="K2370">IFERROR(_xlfn.SWITCH(L2370,1,_xlfn.XLOOKUP(C2370,[1]AttributeName!$C:$C,[1]AttributeName!$I:$I),2,_xlfn.XLOOKUP(C2370,[1]ModifierDes!$B:$B,[1]ModifierDes!$C:$C),3,_xlfn.XLOOKUP(C2370,[1]StuntDes!$B:$B,[1]StuntDes!$C:$C)),"")</f>
        <v>施法速度提高{0}</v>
      </c>
      <c r="L2370">
        <f t="shared" si="182"/>
        <v>2</v>
      </c>
      <c r="M2370" s="10" t="str">
        <f>IFERROR(_xlfn.XLOOKUP(C2370,[1]StuntDes!$B:$B,[1]StuntDes!$A:$A),"")</f>
        <v/>
      </c>
      <c r="N2370" s="10">
        <f>IFERROR(_xlfn.XLOOKUP(C2370,[1]ModifierDes!$B:$B,[1]ModifierDes!$A:$A),"")</f>
        <v>10050</v>
      </c>
      <c r="O2370" s="10" t="str">
        <f>IFERROR(_xlfn.XLOOKUP(C2370,[1]AttributeName!$C:$C,[1]AttributeName!$B:$B),"")</f>
        <v/>
      </c>
      <c r="P2370" s="10"/>
      <c r="Q2370">
        <v>0.04</v>
      </c>
      <c r="R2370">
        <v>0.06</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83"/>
        <v>1360</v>
      </c>
      <c r="B2371">
        <v>1</v>
      </c>
      <c r="C2371" t="s">
        <v>419</v>
      </c>
      <c r="D2371" t="s">
        <v>28</v>
      </c>
      <c r="E2371" s="13" t="s">
        <v>410</v>
      </c>
      <c r="G2371">
        <v>2</v>
      </c>
      <c r="H2371">
        <v>1000</v>
      </c>
      <c r="J2371" cm="1">
        <f t="array" ref="J2371">_xlfn.SWITCH(B2371,1,75,2,61,3,49,4,37,5,25,6,13,7,4,8,1)</f>
        <v>75</v>
      </c>
      <c r="K2371" t="str" cm="1">
        <f t="array" ref="K2371">IFERROR(_xlfn.SWITCH(L2371,1,_xlfn.XLOOKUP(C2371,[1]AttributeName!$C:$C,[1]AttributeName!$I:$I),2,_xlfn.XLOOKUP(C2371,[1]ModifierDes!$B:$B,[1]ModifierDes!$C:$C),3,_xlfn.XLOOKUP(C2371,[1]StuntDes!$B:$B,[1]StuntDes!$C:$C)),"")</f>
        <v>点燃概率增加{0}</v>
      </c>
      <c r="L2371">
        <f t="shared" si="182"/>
        <v>1</v>
      </c>
      <c r="M2371" s="10" t="str">
        <f>IFERROR(_xlfn.XLOOKUP(C2371,[1]StuntDes!$B:$B,[1]StuntDes!$A:$A),"")</f>
        <v/>
      </c>
      <c r="N2371" s="10" t="str">
        <f>IFERROR(_xlfn.XLOOKUP(C2371,[1]ModifierDes!$B:$B,[1]ModifierDes!$A:$A),"")</f>
        <v/>
      </c>
      <c r="O2371" s="10">
        <f>IFERROR(_xlfn.XLOOKUP(C2371,[1]AttributeName!$C:$C,[1]AttributeName!$B:$B),"")</f>
        <v>11006</v>
      </c>
      <c r="P2371" s="10"/>
      <c r="Q2371">
        <v>0.15</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83"/>
        <v>1360</v>
      </c>
      <c r="B2372">
        <v>2</v>
      </c>
      <c r="C2372" t="s">
        <v>419</v>
      </c>
      <c r="D2372" t="s">
        <v>28</v>
      </c>
      <c r="E2372" s="13" t="s">
        <v>410</v>
      </c>
      <c r="G2372">
        <v>2</v>
      </c>
      <c r="H2372">
        <v>1000</v>
      </c>
      <c r="J2372" cm="1">
        <f t="array" ref="J2372">_xlfn.SWITCH(B2372,1,75,2,61,3,49,4,37,5,25,6,13,7,4,8,1)</f>
        <v>61</v>
      </c>
      <c r="K2372" t="str" cm="1">
        <f t="array" ref="K2372">IFERROR(_xlfn.SWITCH(L2372,1,_xlfn.XLOOKUP(C2372,[1]AttributeName!$C:$C,[1]AttributeName!$I:$I),2,_xlfn.XLOOKUP(C2372,[1]ModifierDes!$B:$B,[1]ModifierDes!$C:$C),3,_xlfn.XLOOKUP(C2372,[1]StuntDes!$B:$B,[1]StuntDes!$C:$C)),"")</f>
        <v>点燃概率增加{0}</v>
      </c>
      <c r="L2372">
        <f t="shared" si="182"/>
        <v>1</v>
      </c>
      <c r="M2372" s="10" t="str">
        <f>IFERROR(_xlfn.XLOOKUP(C2372,[1]StuntDes!$B:$B,[1]StuntDes!$A:$A),"")</f>
        <v/>
      </c>
      <c r="N2372" s="10" t="str">
        <f>IFERROR(_xlfn.XLOOKUP(C2372,[1]ModifierDes!$B:$B,[1]ModifierDes!$A:$A),"")</f>
        <v/>
      </c>
      <c r="O2372" s="10">
        <f>IFERROR(_xlfn.XLOOKUP(C2372,[1]AttributeName!$C:$C,[1]AttributeName!$B:$B),"")</f>
        <v>11006</v>
      </c>
      <c r="P2372" s="10"/>
      <c r="Q2372">
        <v>0.13</v>
      </c>
      <c r="R2372">
        <v>0.14</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83"/>
        <v>1360</v>
      </c>
      <c r="B2373">
        <v>3</v>
      </c>
      <c r="C2373" t="s">
        <v>419</v>
      </c>
      <c r="D2373" t="s">
        <v>28</v>
      </c>
      <c r="E2373" s="13" t="s">
        <v>410</v>
      </c>
      <c r="G2373">
        <v>2</v>
      </c>
      <c r="H2373">
        <v>1000</v>
      </c>
      <c r="J2373" cm="1">
        <f t="array" ref="J2373">_xlfn.SWITCH(B2373,1,75,2,61,3,49,4,37,5,25,6,13,7,4,8,1)</f>
        <v>49</v>
      </c>
      <c r="K2373" t="str" cm="1">
        <f t="array" ref="K2373">IFERROR(_xlfn.SWITCH(L2373,1,_xlfn.XLOOKUP(C2373,[1]AttributeName!$C:$C,[1]AttributeName!$I:$I),2,_xlfn.XLOOKUP(C2373,[1]ModifierDes!$B:$B,[1]ModifierDes!$C:$C),3,_xlfn.XLOOKUP(C2373,[1]StuntDes!$B:$B,[1]StuntDes!$C:$C)),"")</f>
        <v>点燃概率增加{0}</v>
      </c>
      <c r="L2373">
        <f t="shared" si="182"/>
        <v>1</v>
      </c>
      <c r="M2373" s="10" t="str">
        <f>IFERROR(_xlfn.XLOOKUP(C2373,[1]StuntDes!$B:$B,[1]StuntDes!$A:$A),"")</f>
        <v/>
      </c>
      <c r="N2373" s="10" t="str">
        <f>IFERROR(_xlfn.XLOOKUP(C2373,[1]ModifierDes!$B:$B,[1]ModifierDes!$A:$A),"")</f>
        <v/>
      </c>
      <c r="O2373" s="10">
        <f>IFERROR(_xlfn.XLOOKUP(C2373,[1]AttributeName!$C:$C,[1]AttributeName!$B:$B),"")</f>
        <v>11006</v>
      </c>
      <c r="P2373" s="10"/>
      <c r="Q2373">
        <v>0.11</v>
      </c>
      <c r="R2373">
        <v>0.12</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83"/>
        <v>1360</v>
      </c>
      <c r="B2374">
        <v>4</v>
      </c>
      <c r="C2374" t="s">
        <v>419</v>
      </c>
      <c r="D2374" t="s">
        <v>28</v>
      </c>
      <c r="E2374" s="13" t="s">
        <v>410</v>
      </c>
      <c r="G2374">
        <v>2</v>
      </c>
      <c r="H2374">
        <v>1000</v>
      </c>
      <c r="J2374" cm="1">
        <f t="array" ref="J2374">_xlfn.SWITCH(B2374,1,75,2,61,3,49,4,37,5,25,6,13,7,4,8,1)</f>
        <v>37</v>
      </c>
      <c r="K2374" t="str" cm="1">
        <f t="array" ref="K2374">IFERROR(_xlfn.SWITCH(L2374,1,_xlfn.XLOOKUP(C2374,[1]AttributeName!$C:$C,[1]AttributeName!$I:$I),2,_xlfn.XLOOKUP(C2374,[1]ModifierDes!$B:$B,[1]ModifierDes!$C:$C),3,_xlfn.XLOOKUP(C2374,[1]StuntDes!$B:$B,[1]StuntDes!$C:$C)),"")</f>
        <v>点燃概率增加{0}</v>
      </c>
      <c r="L2374">
        <f t="shared" si="182"/>
        <v>1</v>
      </c>
      <c r="M2374" s="10" t="str">
        <f>IFERROR(_xlfn.XLOOKUP(C2374,[1]StuntDes!$B:$B,[1]StuntDes!$A:$A),"")</f>
        <v/>
      </c>
      <c r="N2374" s="10" t="str">
        <f>IFERROR(_xlfn.XLOOKUP(C2374,[1]ModifierDes!$B:$B,[1]ModifierDes!$A:$A),"")</f>
        <v/>
      </c>
      <c r="O2374" s="10">
        <f>IFERROR(_xlfn.XLOOKUP(C2374,[1]AttributeName!$C:$C,[1]AttributeName!$B:$B),"")</f>
        <v>11006</v>
      </c>
      <c r="P2374" s="10"/>
      <c r="Q2374">
        <v>0.09</v>
      </c>
      <c r="R2374">
        <v>0.1</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83"/>
        <v>1360</v>
      </c>
      <c r="B2375">
        <v>5</v>
      </c>
      <c r="C2375" t="s">
        <v>419</v>
      </c>
      <c r="D2375" t="s">
        <v>28</v>
      </c>
      <c r="E2375" s="13" t="s">
        <v>410</v>
      </c>
      <c r="G2375">
        <v>2</v>
      </c>
      <c r="H2375">
        <v>1000</v>
      </c>
      <c r="J2375" cm="1">
        <f t="array" ref="J2375">_xlfn.SWITCH(B2375,1,75,2,61,3,49,4,37,5,25,6,13,7,4,8,1)</f>
        <v>25</v>
      </c>
      <c r="K2375" t="str" cm="1">
        <f t="array" ref="K2375">IFERROR(_xlfn.SWITCH(L2375,1,_xlfn.XLOOKUP(C2375,[1]AttributeName!$C:$C,[1]AttributeName!$I:$I),2,_xlfn.XLOOKUP(C2375,[1]ModifierDes!$B:$B,[1]ModifierDes!$C:$C),3,_xlfn.XLOOKUP(C2375,[1]StuntDes!$B:$B,[1]StuntDes!$C:$C)),"")</f>
        <v>点燃概率增加{0}</v>
      </c>
      <c r="L2375">
        <f t="shared" si="182"/>
        <v>1</v>
      </c>
      <c r="M2375" s="10" t="str">
        <f>IFERROR(_xlfn.XLOOKUP(C2375,[1]StuntDes!$B:$B,[1]StuntDes!$A:$A),"")</f>
        <v/>
      </c>
      <c r="N2375" s="10" t="str">
        <f>IFERROR(_xlfn.XLOOKUP(C2375,[1]ModifierDes!$B:$B,[1]ModifierDes!$A:$A),"")</f>
        <v/>
      </c>
      <c r="O2375" s="10">
        <f>IFERROR(_xlfn.XLOOKUP(C2375,[1]AttributeName!$C:$C,[1]AttributeName!$B:$B),"")</f>
        <v>11006</v>
      </c>
      <c r="P2375" s="10"/>
      <c r="Q2375">
        <v>0.07</v>
      </c>
      <c r="R2375">
        <v>0.08</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83"/>
        <v>1360</v>
      </c>
      <c r="B2376">
        <v>6</v>
      </c>
      <c r="C2376" t="s">
        <v>419</v>
      </c>
      <c r="D2376" t="s">
        <v>28</v>
      </c>
      <c r="E2376" s="13" t="s">
        <v>410</v>
      </c>
      <c r="G2376">
        <v>2</v>
      </c>
      <c r="H2376">
        <v>1000</v>
      </c>
      <c r="J2376" cm="1">
        <f t="array" ref="J2376">_xlfn.SWITCH(B2376,1,75,2,61,3,49,4,37,5,25,6,13,7,4,8,1)</f>
        <v>13</v>
      </c>
      <c r="K2376" t="str" cm="1">
        <f t="array" ref="K2376">IFERROR(_xlfn.SWITCH(L2376,1,_xlfn.XLOOKUP(C2376,[1]AttributeName!$C:$C,[1]AttributeName!$I:$I),2,_xlfn.XLOOKUP(C2376,[1]ModifierDes!$B:$B,[1]ModifierDes!$C:$C),3,_xlfn.XLOOKUP(C2376,[1]StuntDes!$B:$B,[1]StuntDes!$C:$C)),"")</f>
        <v>点燃概率增加{0}</v>
      </c>
      <c r="L2376">
        <f t="shared" si="182"/>
        <v>1</v>
      </c>
      <c r="M2376" s="10" t="str">
        <f>IFERROR(_xlfn.XLOOKUP(C2376,[1]StuntDes!$B:$B,[1]StuntDes!$A:$A),"")</f>
        <v/>
      </c>
      <c r="N2376" s="10" t="str">
        <f>IFERROR(_xlfn.XLOOKUP(C2376,[1]ModifierDes!$B:$B,[1]ModifierDes!$A:$A),"")</f>
        <v/>
      </c>
      <c r="O2376" s="10">
        <f>IFERROR(_xlfn.XLOOKUP(C2376,[1]AttributeName!$C:$C,[1]AttributeName!$B:$B),"")</f>
        <v>11006</v>
      </c>
      <c r="P2376" s="10"/>
      <c r="Q2376">
        <v>0.05</v>
      </c>
      <c r="R2376">
        <v>0.06</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83"/>
        <v>1360</v>
      </c>
      <c r="B2377">
        <v>7</v>
      </c>
      <c r="C2377" t="s">
        <v>419</v>
      </c>
      <c r="D2377" t="s">
        <v>28</v>
      </c>
      <c r="E2377" s="13" t="s">
        <v>410</v>
      </c>
      <c r="G2377">
        <v>2</v>
      </c>
      <c r="H2377">
        <v>1000</v>
      </c>
      <c r="J2377" cm="1">
        <f t="array" ref="J2377">_xlfn.SWITCH(B2377,1,75,2,61,3,49,4,37,5,25,6,13,7,4,8,1)</f>
        <v>4</v>
      </c>
      <c r="K2377" t="str" cm="1">
        <f t="array" ref="K2377">IFERROR(_xlfn.SWITCH(L2377,1,_xlfn.XLOOKUP(C2377,[1]AttributeName!$C:$C,[1]AttributeName!$I:$I),2,_xlfn.XLOOKUP(C2377,[1]ModifierDes!$B:$B,[1]ModifierDes!$C:$C),3,_xlfn.XLOOKUP(C2377,[1]StuntDes!$B:$B,[1]StuntDes!$C:$C)),"")</f>
        <v>点燃概率增加{0}</v>
      </c>
      <c r="L2377">
        <f t="shared" si="182"/>
        <v>1</v>
      </c>
      <c r="M2377" s="10" t="str">
        <f>IFERROR(_xlfn.XLOOKUP(C2377,[1]StuntDes!$B:$B,[1]StuntDes!$A:$A),"")</f>
        <v/>
      </c>
      <c r="N2377" s="10" t="str">
        <f>IFERROR(_xlfn.XLOOKUP(C2377,[1]ModifierDes!$B:$B,[1]ModifierDes!$A:$A),"")</f>
        <v/>
      </c>
      <c r="O2377" s="10">
        <f>IFERROR(_xlfn.XLOOKUP(C2377,[1]AttributeName!$C:$C,[1]AttributeName!$B:$B),"")</f>
        <v>11006</v>
      </c>
      <c r="P2377" s="10"/>
      <c r="Q2377">
        <v>0.03</v>
      </c>
      <c r="R2377">
        <v>0.04</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83"/>
        <v>1360</v>
      </c>
      <c r="B2378">
        <v>8</v>
      </c>
      <c r="C2378" t="s">
        <v>419</v>
      </c>
      <c r="D2378" t="s">
        <v>28</v>
      </c>
      <c r="E2378" s="13" t="s">
        <v>410</v>
      </c>
      <c r="G2378">
        <v>2</v>
      </c>
      <c r="H2378">
        <v>1000</v>
      </c>
      <c r="J2378" cm="1">
        <f t="array" ref="J2378">_xlfn.SWITCH(B2378,1,75,2,61,3,49,4,37,5,25,6,13,7,4,8,1)</f>
        <v>1</v>
      </c>
      <c r="K2378" t="str" cm="1">
        <f t="array" ref="K2378">IFERROR(_xlfn.SWITCH(L2378,1,_xlfn.XLOOKUP(C2378,[1]AttributeName!$C:$C,[1]AttributeName!$I:$I),2,_xlfn.XLOOKUP(C2378,[1]ModifierDes!$B:$B,[1]ModifierDes!$C:$C),3,_xlfn.XLOOKUP(C2378,[1]StuntDes!$B:$B,[1]StuntDes!$C:$C)),"")</f>
        <v>点燃概率增加{0}</v>
      </c>
      <c r="L2378">
        <f t="shared" si="182"/>
        <v>1</v>
      </c>
      <c r="M2378" s="10" t="str">
        <f>IFERROR(_xlfn.XLOOKUP(C2378,[1]StuntDes!$B:$B,[1]StuntDes!$A:$A),"")</f>
        <v/>
      </c>
      <c r="N2378" s="10" t="str">
        <f>IFERROR(_xlfn.XLOOKUP(C2378,[1]ModifierDes!$B:$B,[1]ModifierDes!$A:$A),"")</f>
        <v/>
      </c>
      <c r="O2378" s="10">
        <f>IFERROR(_xlfn.XLOOKUP(C2378,[1]AttributeName!$C:$C,[1]AttributeName!$B:$B),"")</f>
        <v>11006</v>
      </c>
      <c r="P2378" s="10"/>
      <c r="Q2378">
        <v>0.02</v>
      </c>
      <c r="R2378">
        <v>0.02</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83"/>
        <v>1361</v>
      </c>
      <c r="B2379">
        <v>1</v>
      </c>
      <c r="C2379" t="s">
        <v>420</v>
      </c>
      <c r="D2379" t="s">
        <v>28</v>
      </c>
      <c r="E2379" s="13" t="s">
        <v>410</v>
      </c>
      <c r="G2379">
        <v>2</v>
      </c>
      <c r="H2379">
        <v>1000</v>
      </c>
      <c r="J2379" cm="1">
        <f t="array" ref="J2379">_xlfn.SWITCH(B2379,1,75,2,61,3,49,4,37,5,25,6,13,7,4,8,1)</f>
        <v>75</v>
      </c>
      <c r="K2379" t="str" cm="1">
        <f t="array" ref="K2379">IFERROR(_xlfn.SWITCH(L2379,1,_xlfn.XLOOKUP(C2379,[1]AttributeName!$C:$C,[1]AttributeName!$I:$I),2,_xlfn.XLOOKUP(C2379,[1]ModifierDes!$B:$B,[1]ModifierDes!$C:$C),3,_xlfn.XLOOKUP(C2379,[1]StuntDes!$B:$B,[1]StuntDes!$C:$C)),"")</f>
        <v>冻结效果比例增加{0}</v>
      </c>
      <c r="L2379">
        <f t="shared" si="182"/>
        <v>1</v>
      </c>
      <c r="M2379" s="10" t="str">
        <f>IFERROR(_xlfn.XLOOKUP(C2379,[1]StuntDes!$B:$B,[1]StuntDes!$A:$A),"")</f>
        <v/>
      </c>
      <c r="N2379" s="10" t="str">
        <f>IFERROR(_xlfn.XLOOKUP(C2379,[1]ModifierDes!$B:$B,[1]ModifierDes!$A:$A),"")</f>
        <v/>
      </c>
      <c r="O2379" s="10">
        <f>IFERROR(_xlfn.XLOOKUP(C2379,[1]AttributeName!$C:$C,[1]AttributeName!$B:$B),"")</f>
        <v>11008</v>
      </c>
      <c r="P2379" s="10"/>
      <c r="Q2379">
        <v>0.36</v>
      </c>
      <c r="R2379">
        <v>0.4</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83"/>
        <v>1361</v>
      </c>
      <c r="B2380">
        <v>2</v>
      </c>
      <c r="C2380" t="s">
        <v>420</v>
      </c>
      <c r="D2380" t="s">
        <v>28</v>
      </c>
      <c r="E2380" s="13" t="s">
        <v>410</v>
      </c>
      <c r="G2380">
        <v>2</v>
      </c>
      <c r="H2380">
        <v>1000</v>
      </c>
      <c r="J2380" cm="1">
        <f t="array" ref="J2380">_xlfn.SWITCH(B2380,1,75,2,61,3,49,4,37,5,25,6,13,7,4,8,1)</f>
        <v>61</v>
      </c>
      <c r="K2380" t="str" cm="1">
        <f t="array" ref="K2380">IFERROR(_xlfn.SWITCH(L2380,1,_xlfn.XLOOKUP(C2380,[1]AttributeName!$C:$C,[1]AttributeName!$I:$I),2,_xlfn.XLOOKUP(C2380,[1]ModifierDes!$B:$B,[1]ModifierDes!$C:$C),3,_xlfn.XLOOKUP(C2380,[1]StuntDes!$B:$B,[1]StuntDes!$C:$C)),"")</f>
        <v>冻结效果比例增加{0}</v>
      </c>
      <c r="L2380">
        <f t="shared" si="182"/>
        <v>1</v>
      </c>
      <c r="M2380" s="10" t="str">
        <f>IFERROR(_xlfn.XLOOKUP(C2380,[1]StuntDes!$B:$B,[1]StuntDes!$A:$A),"")</f>
        <v/>
      </c>
      <c r="N2380" s="10" t="str">
        <f>IFERROR(_xlfn.XLOOKUP(C2380,[1]ModifierDes!$B:$B,[1]ModifierDes!$A:$A),"")</f>
        <v/>
      </c>
      <c r="O2380" s="10">
        <f>IFERROR(_xlfn.XLOOKUP(C2380,[1]AttributeName!$C:$C,[1]AttributeName!$B:$B),"")</f>
        <v>11008</v>
      </c>
      <c r="P2380" s="10"/>
      <c r="Q2380">
        <v>0.31</v>
      </c>
      <c r="R2380">
        <v>0.35</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83"/>
        <v>1361</v>
      </c>
      <c r="B2381">
        <v>3</v>
      </c>
      <c r="C2381" t="s">
        <v>420</v>
      </c>
      <c r="D2381" t="s">
        <v>28</v>
      </c>
      <c r="E2381" s="13" t="s">
        <v>410</v>
      </c>
      <c r="G2381">
        <v>2</v>
      </c>
      <c r="H2381">
        <v>1000</v>
      </c>
      <c r="J2381" cm="1">
        <f t="array" ref="J2381">_xlfn.SWITCH(B2381,1,75,2,61,3,49,4,37,5,25,6,13,7,4,8,1)</f>
        <v>49</v>
      </c>
      <c r="K2381" t="str" cm="1">
        <f t="array" ref="K2381">IFERROR(_xlfn.SWITCH(L2381,1,_xlfn.XLOOKUP(C2381,[1]AttributeName!$C:$C,[1]AttributeName!$I:$I),2,_xlfn.XLOOKUP(C2381,[1]ModifierDes!$B:$B,[1]ModifierDes!$C:$C),3,_xlfn.XLOOKUP(C2381,[1]StuntDes!$B:$B,[1]StuntDes!$C:$C)),"")</f>
        <v>冻结效果比例增加{0}</v>
      </c>
      <c r="L2381">
        <f t="shared" si="182"/>
        <v>1</v>
      </c>
      <c r="M2381" s="10" t="str">
        <f>IFERROR(_xlfn.XLOOKUP(C2381,[1]StuntDes!$B:$B,[1]StuntDes!$A:$A),"")</f>
        <v/>
      </c>
      <c r="N2381" s="10" t="str">
        <f>IFERROR(_xlfn.XLOOKUP(C2381,[1]ModifierDes!$B:$B,[1]ModifierDes!$A:$A),"")</f>
        <v/>
      </c>
      <c r="O2381" s="10">
        <f>IFERROR(_xlfn.XLOOKUP(C2381,[1]AttributeName!$C:$C,[1]AttributeName!$B:$B),"")</f>
        <v>11008</v>
      </c>
      <c r="P2381" s="10"/>
      <c r="Q2381">
        <v>0.26</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83"/>
        <v>1361</v>
      </c>
      <c r="B2382">
        <v>4</v>
      </c>
      <c r="C2382" t="s">
        <v>420</v>
      </c>
      <c r="D2382" t="s">
        <v>28</v>
      </c>
      <c r="E2382" s="13" t="s">
        <v>410</v>
      </c>
      <c r="G2382">
        <v>2</v>
      </c>
      <c r="H2382">
        <v>1000</v>
      </c>
      <c r="J2382" cm="1">
        <f t="array" ref="J2382">_xlfn.SWITCH(B2382,1,75,2,61,3,49,4,37,5,25,6,13,7,4,8,1)</f>
        <v>37</v>
      </c>
      <c r="K2382" t="str" cm="1">
        <f t="array" ref="K2382">IFERROR(_xlfn.SWITCH(L2382,1,_xlfn.XLOOKUP(C2382,[1]AttributeName!$C:$C,[1]AttributeName!$I:$I),2,_xlfn.XLOOKUP(C2382,[1]ModifierDes!$B:$B,[1]ModifierDes!$C:$C),3,_xlfn.XLOOKUP(C2382,[1]StuntDes!$B:$B,[1]StuntDes!$C:$C)),"")</f>
        <v>冻结效果比例增加{0}</v>
      </c>
      <c r="L2382">
        <f t="shared" si="182"/>
        <v>1</v>
      </c>
      <c r="M2382" s="10" t="str">
        <f>IFERROR(_xlfn.XLOOKUP(C2382,[1]StuntDes!$B:$B,[1]StuntDes!$A:$A),"")</f>
        <v/>
      </c>
      <c r="N2382" s="10" t="str">
        <f>IFERROR(_xlfn.XLOOKUP(C2382,[1]ModifierDes!$B:$B,[1]ModifierDes!$A:$A),"")</f>
        <v/>
      </c>
      <c r="O2382" s="10">
        <f>IFERROR(_xlfn.XLOOKUP(C2382,[1]AttributeName!$C:$C,[1]AttributeName!$B:$B),"")</f>
        <v>11008</v>
      </c>
      <c r="P2382" s="10"/>
      <c r="Q2382">
        <v>0.21</v>
      </c>
      <c r="R2382">
        <v>0.25</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83"/>
        <v>1361</v>
      </c>
      <c r="B2383">
        <v>5</v>
      </c>
      <c r="C2383" t="s">
        <v>420</v>
      </c>
      <c r="D2383" t="s">
        <v>28</v>
      </c>
      <c r="E2383" s="13" t="s">
        <v>410</v>
      </c>
      <c r="G2383">
        <v>2</v>
      </c>
      <c r="H2383">
        <v>1000</v>
      </c>
      <c r="J2383" cm="1">
        <f t="array" ref="J2383">_xlfn.SWITCH(B2383,1,75,2,61,3,49,4,37,5,25,6,13,7,4,8,1)</f>
        <v>25</v>
      </c>
      <c r="K2383" t="str" cm="1">
        <f t="array" ref="K2383">IFERROR(_xlfn.SWITCH(L2383,1,_xlfn.XLOOKUP(C2383,[1]AttributeName!$C:$C,[1]AttributeName!$I:$I),2,_xlfn.XLOOKUP(C2383,[1]ModifierDes!$B:$B,[1]ModifierDes!$C:$C),3,_xlfn.XLOOKUP(C2383,[1]StuntDes!$B:$B,[1]StuntDes!$C:$C)),"")</f>
        <v>冻结效果比例增加{0}</v>
      </c>
      <c r="L2383">
        <f t="shared" si="182"/>
        <v>1</v>
      </c>
      <c r="M2383" s="10" t="str">
        <f>IFERROR(_xlfn.XLOOKUP(C2383,[1]StuntDes!$B:$B,[1]StuntDes!$A:$A),"")</f>
        <v/>
      </c>
      <c r="N2383" s="10" t="str">
        <f>IFERROR(_xlfn.XLOOKUP(C2383,[1]ModifierDes!$B:$B,[1]ModifierDes!$A:$A),"")</f>
        <v/>
      </c>
      <c r="O2383" s="10">
        <f>IFERROR(_xlfn.XLOOKUP(C2383,[1]AttributeName!$C:$C,[1]AttributeName!$B:$B),"")</f>
        <v>11008</v>
      </c>
      <c r="P2383" s="10"/>
      <c r="Q2383">
        <v>0.16</v>
      </c>
      <c r="R2383">
        <v>0.2</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si="183"/>
        <v>1361</v>
      </c>
      <c r="B2384">
        <v>6</v>
      </c>
      <c r="C2384" t="s">
        <v>420</v>
      </c>
      <c r="D2384" t="s">
        <v>28</v>
      </c>
      <c r="E2384" s="13" t="s">
        <v>410</v>
      </c>
      <c r="G2384">
        <v>2</v>
      </c>
      <c r="H2384">
        <v>1000</v>
      </c>
      <c r="J2384" cm="1">
        <f t="array" ref="J2384">_xlfn.SWITCH(B2384,1,75,2,61,3,49,4,37,5,25,6,13,7,4,8,1)</f>
        <v>13</v>
      </c>
      <c r="K2384" t="str" cm="1">
        <f t="array" ref="K2384">IFERROR(_xlfn.SWITCH(L2384,1,_xlfn.XLOOKUP(C2384,[1]AttributeName!$C:$C,[1]AttributeName!$I:$I),2,_xlfn.XLOOKUP(C2384,[1]ModifierDes!$B:$B,[1]ModifierDes!$C:$C),3,_xlfn.XLOOKUP(C2384,[1]StuntDes!$B:$B,[1]StuntDes!$C:$C)),"")</f>
        <v>冻结效果比例增加{0}</v>
      </c>
      <c r="L2384">
        <f t="shared" si="182"/>
        <v>1</v>
      </c>
      <c r="M2384" s="10" t="str">
        <f>IFERROR(_xlfn.XLOOKUP(C2384,[1]StuntDes!$B:$B,[1]StuntDes!$A:$A),"")</f>
        <v/>
      </c>
      <c r="N2384" s="10" t="str">
        <f>IFERROR(_xlfn.XLOOKUP(C2384,[1]ModifierDes!$B:$B,[1]ModifierDes!$A:$A),"")</f>
        <v/>
      </c>
      <c r="O2384" s="10">
        <f>IFERROR(_xlfn.XLOOKUP(C2384,[1]AttributeName!$C:$C,[1]AttributeName!$B:$B),"")</f>
        <v>11008</v>
      </c>
      <c r="P2384" s="10"/>
      <c r="Q2384">
        <v>0.11</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83"/>
        <v>1361</v>
      </c>
      <c r="B2385">
        <v>7</v>
      </c>
      <c r="C2385" t="s">
        <v>420</v>
      </c>
      <c r="D2385" t="s">
        <v>28</v>
      </c>
      <c r="E2385" s="13" t="s">
        <v>410</v>
      </c>
      <c r="G2385">
        <v>2</v>
      </c>
      <c r="H2385">
        <v>1000</v>
      </c>
      <c r="J2385" cm="1">
        <f t="array" ref="J2385">_xlfn.SWITCH(B2385,1,75,2,61,3,49,4,37,5,25,6,13,7,4,8,1)</f>
        <v>4</v>
      </c>
      <c r="K2385" t="str" cm="1">
        <f t="array" ref="K2385">IFERROR(_xlfn.SWITCH(L2385,1,_xlfn.XLOOKUP(C2385,[1]AttributeName!$C:$C,[1]AttributeName!$I:$I),2,_xlfn.XLOOKUP(C2385,[1]ModifierDes!$B:$B,[1]ModifierDes!$C:$C),3,_xlfn.XLOOKUP(C2385,[1]StuntDes!$B:$B,[1]StuntDes!$C:$C)),"")</f>
        <v>冻结效果比例增加{0}</v>
      </c>
      <c r="L2385">
        <f t="shared" si="182"/>
        <v>1</v>
      </c>
      <c r="M2385" s="10" t="str">
        <f>IFERROR(_xlfn.XLOOKUP(C2385,[1]StuntDes!$B:$B,[1]StuntDes!$A:$A),"")</f>
        <v/>
      </c>
      <c r="N2385" s="10" t="str">
        <f>IFERROR(_xlfn.XLOOKUP(C2385,[1]ModifierDes!$B:$B,[1]ModifierDes!$A:$A),"")</f>
        <v/>
      </c>
      <c r="O2385" s="10">
        <f>IFERROR(_xlfn.XLOOKUP(C2385,[1]AttributeName!$C:$C,[1]AttributeName!$B:$B),"")</f>
        <v>11008</v>
      </c>
      <c r="P2385" s="10"/>
      <c r="Q2385">
        <v>0.06</v>
      </c>
      <c r="R2385">
        <v>0.1</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83"/>
        <v>1361</v>
      </c>
      <c r="B2386">
        <v>8</v>
      </c>
      <c r="C2386" t="s">
        <v>420</v>
      </c>
      <c r="D2386" t="s">
        <v>28</v>
      </c>
      <c r="E2386" s="13" t="s">
        <v>410</v>
      </c>
      <c r="G2386">
        <v>2</v>
      </c>
      <c r="H2386">
        <v>1000</v>
      </c>
      <c r="J2386" cm="1">
        <f t="array" ref="J2386">_xlfn.SWITCH(B2386,1,75,2,61,3,49,4,37,5,25,6,13,7,4,8,1)</f>
        <v>1</v>
      </c>
      <c r="K2386" t="str" cm="1">
        <f t="array" ref="K2386">IFERROR(_xlfn.SWITCH(L2386,1,_xlfn.XLOOKUP(C2386,[1]AttributeName!$C:$C,[1]AttributeName!$I:$I),2,_xlfn.XLOOKUP(C2386,[1]ModifierDes!$B:$B,[1]ModifierDes!$C:$C),3,_xlfn.XLOOKUP(C2386,[1]StuntDes!$B:$B,[1]StuntDes!$C:$C)),"")</f>
        <v>冻结效果比例增加{0}</v>
      </c>
      <c r="L2386">
        <f t="shared" si="182"/>
        <v>1</v>
      </c>
      <c r="M2386" s="10" t="str">
        <f>IFERROR(_xlfn.XLOOKUP(C2386,[1]StuntDes!$B:$B,[1]StuntDes!$A:$A),"")</f>
        <v/>
      </c>
      <c r="N2386" s="10" t="str">
        <f>IFERROR(_xlfn.XLOOKUP(C2386,[1]ModifierDes!$B:$B,[1]ModifierDes!$A:$A),"")</f>
        <v/>
      </c>
      <c r="O2386" s="10">
        <f>IFERROR(_xlfn.XLOOKUP(C2386,[1]AttributeName!$C:$C,[1]AttributeName!$B:$B),"")</f>
        <v>11008</v>
      </c>
      <c r="P2386" s="10"/>
      <c r="Q2386">
        <v>0.01</v>
      </c>
      <c r="R2386">
        <v>0.05</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83"/>
        <v>1362</v>
      </c>
      <c r="B2387">
        <v>1</v>
      </c>
      <c r="C2387" t="s">
        <v>421</v>
      </c>
      <c r="D2387" t="s">
        <v>28</v>
      </c>
      <c r="E2387" s="13" t="s">
        <v>410</v>
      </c>
      <c r="G2387">
        <v>2</v>
      </c>
      <c r="H2387">
        <v>1000</v>
      </c>
      <c r="J2387" cm="1">
        <f t="array" ref="J2387">_xlfn.SWITCH(B2387,1,75,2,61,3,49,4,37,5,25,6,13,7,4,8,1)</f>
        <v>75</v>
      </c>
      <c r="K2387" t="str" cm="1">
        <f t="array" ref="K2387">IFERROR(_xlfn.SWITCH(L2387,1,_xlfn.XLOOKUP(C2387,[1]AttributeName!$C:$C,[1]AttributeName!$I:$I),2,_xlfn.XLOOKUP(C2387,[1]ModifierDes!$B:$B,[1]ModifierDes!$C:$C),3,_xlfn.XLOOKUP(C2387,[1]StuntDes!$B:$B,[1]StuntDes!$C:$C)),"")</f>
        <v>感电概率提高增加{0}</v>
      </c>
      <c r="L2387">
        <f t="shared" si="182"/>
        <v>1</v>
      </c>
      <c r="M2387" s="10" t="str">
        <f>IFERROR(_xlfn.XLOOKUP(C2387,[1]StuntDes!$B:$B,[1]StuntDes!$A:$A),"")</f>
        <v/>
      </c>
      <c r="N2387" s="10" t="str">
        <f>IFERROR(_xlfn.XLOOKUP(C2387,[1]ModifierDes!$B:$B,[1]ModifierDes!$A:$A),"")</f>
        <v/>
      </c>
      <c r="O2387" s="10">
        <f>IFERROR(_xlfn.XLOOKUP(C2387,[1]AttributeName!$C:$C,[1]AttributeName!$B:$B),"")</f>
        <v>11009</v>
      </c>
      <c r="P2387" s="10"/>
      <c r="Q2387">
        <v>0.36</v>
      </c>
      <c r="R2387">
        <v>0.4</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83"/>
        <v>1362</v>
      </c>
      <c r="B2388">
        <v>2</v>
      </c>
      <c r="C2388" t="s">
        <v>421</v>
      </c>
      <c r="D2388" t="s">
        <v>28</v>
      </c>
      <c r="E2388" s="13" t="s">
        <v>410</v>
      </c>
      <c r="G2388">
        <v>2</v>
      </c>
      <c r="H2388">
        <v>1000</v>
      </c>
      <c r="J2388" cm="1">
        <f t="array" ref="J2388">_xlfn.SWITCH(B2388,1,75,2,61,3,49,4,37,5,25,6,13,7,4,8,1)</f>
        <v>61</v>
      </c>
      <c r="K2388" t="str" cm="1">
        <f t="array" ref="K2388">IFERROR(_xlfn.SWITCH(L2388,1,_xlfn.XLOOKUP(C2388,[1]AttributeName!$C:$C,[1]AttributeName!$I:$I),2,_xlfn.XLOOKUP(C2388,[1]ModifierDes!$B:$B,[1]ModifierDes!$C:$C),3,_xlfn.XLOOKUP(C2388,[1]StuntDes!$B:$B,[1]StuntDes!$C:$C)),"")</f>
        <v>感电概率提高增加{0}</v>
      </c>
      <c r="L2388">
        <f t="shared" si="182"/>
        <v>1</v>
      </c>
      <c r="M2388" s="10" t="str">
        <f>IFERROR(_xlfn.XLOOKUP(C2388,[1]StuntDes!$B:$B,[1]StuntDes!$A:$A),"")</f>
        <v/>
      </c>
      <c r="N2388" s="10" t="str">
        <f>IFERROR(_xlfn.XLOOKUP(C2388,[1]ModifierDes!$B:$B,[1]ModifierDes!$A:$A),"")</f>
        <v/>
      </c>
      <c r="O2388" s="10">
        <f>IFERROR(_xlfn.XLOOKUP(C2388,[1]AttributeName!$C:$C,[1]AttributeName!$B:$B),"")</f>
        <v>11009</v>
      </c>
      <c r="P2388" s="10"/>
      <c r="Q2388">
        <v>0.31</v>
      </c>
      <c r="R2388">
        <v>0.35</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83"/>
        <v>1362</v>
      </c>
      <c r="B2389">
        <v>3</v>
      </c>
      <c r="C2389" t="s">
        <v>421</v>
      </c>
      <c r="D2389" t="s">
        <v>28</v>
      </c>
      <c r="E2389" s="13" t="s">
        <v>410</v>
      </c>
      <c r="G2389">
        <v>2</v>
      </c>
      <c r="H2389">
        <v>1000</v>
      </c>
      <c r="J2389" cm="1">
        <f t="array" ref="J2389">_xlfn.SWITCH(B2389,1,75,2,61,3,49,4,37,5,25,6,13,7,4,8,1)</f>
        <v>49</v>
      </c>
      <c r="K2389" t="str" cm="1">
        <f t="array" ref="K2389">IFERROR(_xlfn.SWITCH(L2389,1,_xlfn.XLOOKUP(C2389,[1]AttributeName!$C:$C,[1]AttributeName!$I:$I),2,_xlfn.XLOOKUP(C2389,[1]ModifierDes!$B:$B,[1]ModifierDes!$C:$C),3,_xlfn.XLOOKUP(C2389,[1]StuntDes!$B:$B,[1]StuntDes!$C:$C)),"")</f>
        <v>感电概率提高增加{0}</v>
      </c>
      <c r="L2389">
        <f t="shared" si="182"/>
        <v>1</v>
      </c>
      <c r="M2389" s="10" t="str">
        <f>IFERROR(_xlfn.XLOOKUP(C2389,[1]StuntDes!$B:$B,[1]StuntDes!$A:$A),"")</f>
        <v/>
      </c>
      <c r="N2389" s="10" t="str">
        <f>IFERROR(_xlfn.XLOOKUP(C2389,[1]ModifierDes!$B:$B,[1]ModifierDes!$A:$A),"")</f>
        <v/>
      </c>
      <c r="O2389" s="10">
        <f>IFERROR(_xlfn.XLOOKUP(C2389,[1]AttributeName!$C:$C,[1]AttributeName!$B:$B),"")</f>
        <v>11009</v>
      </c>
      <c r="P2389" s="10"/>
      <c r="Q2389">
        <v>0.26</v>
      </c>
      <c r="R2389">
        <v>0.3</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83"/>
        <v>1362</v>
      </c>
      <c r="B2390">
        <v>4</v>
      </c>
      <c r="C2390" t="s">
        <v>421</v>
      </c>
      <c r="D2390" t="s">
        <v>28</v>
      </c>
      <c r="E2390" s="13" t="s">
        <v>410</v>
      </c>
      <c r="G2390">
        <v>2</v>
      </c>
      <c r="H2390">
        <v>1000</v>
      </c>
      <c r="J2390" cm="1">
        <f t="array" ref="J2390">_xlfn.SWITCH(B2390,1,75,2,61,3,49,4,37,5,25,6,13,7,4,8,1)</f>
        <v>37</v>
      </c>
      <c r="K2390" t="str" cm="1">
        <f t="array" ref="K2390">IFERROR(_xlfn.SWITCH(L2390,1,_xlfn.XLOOKUP(C2390,[1]AttributeName!$C:$C,[1]AttributeName!$I:$I),2,_xlfn.XLOOKUP(C2390,[1]ModifierDes!$B:$B,[1]ModifierDes!$C:$C),3,_xlfn.XLOOKUP(C2390,[1]StuntDes!$B:$B,[1]StuntDes!$C:$C)),"")</f>
        <v>感电概率提高增加{0}</v>
      </c>
      <c r="L2390">
        <f t="shared" si="182"/>
        <v>1</v>
      </c>
      <c r="M2390" s="10" t="str">
        <f>IFERROR(_xlfn.XLOOKUP(C2390,[1]StuntDes!$B:$B,[1]StuntDes!$A:$A),"")</f>
        <v/>
      </c>
      <c r="N2390" s="10" t="str">
        <f>IFERROR(_xlfn.XLOOKUP(C2390,[1]ModifierDes!$B:$B,[1]ModifierDes!$A:$A),"")</f>
        <v/>
      </c>
      <c r="O2390" s="10">
        <f>IFERROR(_xlfn.XLOOKUP(C2390,[1]AttributeName!$C:$C,[1]AttributeName!$B:$B),"")</f>
        <v>11009</v>
      </c>
      <c r="P2390" s="10"/>
      <c r="Q2390">
        <v>0.21</v>
      </c>
      <c r="R2390">
        <v>0.25</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83"/>
        <v>1362</v>
      </c>
      <c r="B2391">
        <v>5</v>
      </c>
      <c r="C2391" t="s">
        <v>421</v>
      </c>
      <c r="D2391" t="s">
        <v>28</v>
      </c>
      <c r="E2391" s="13" t="s">
        <v>410</v>
      </c>
      <c r="G2391">
        <v>2</v>
      </c>
      <c r="H2391">
        <v>1000</v>
      </c>
      <c r="J2391" cm="1">
        <f t="array" ref="J2391">_xlfn.SWITCH(B2391,1,75,2,61,3,49,4,37,5,25,6,13,7,4,8,1)</f>
        <v>25</v>
      </c>
      <c r="K2391" t="str" cm="1">
        <f t="array" ref="K2391">IFERROR(_xlfn.SWITCH(L2391,1,_xlfn.XLOOKUP(C2391,[1]AttributeName!$C:$C,[1]AttributeName!$I:$I),2,_xlfn.XLOOKUP(C2391,[1]ModifierDes!$B:$B,[1]ModifierDes!$C:$C),3,_xlfn.XLOOKUP(C2391,[1]StuntDes!$B:$B,[1]StuntDes!$C:$C)),"")</f>
        <v>感电概率提高增加{0}</v>
      </c>
      <c r="L2391">
        <f t="shared" si="182"/>
        <v>1</v>
      </c>
      <c r="M2391" s="10" t="str">
        <f>IFERROR(_xlfn.XLOOKUP(C2391,[1]StuntDes!$B:$B,[1]StuntDes!$A:$A),"")</f>
        <v/>
      </c>
      <c r="N2391" s="10" t="str">
        <f>IFERROR(_xlfn.XLOOKUP(C2391,[1]ModifierDes!$B:$B,[1]ModifierDes!$A:$A),"")</f>
        <v/>
      </c>
      <c r="O2391" s="10">
        <f>IFERROR(_xlfn.XLOOKUP(C2391,[1]AttributeName!$C:$C,[1]AttributeName!$B:$B),"")</f>
        <v>11009</v>
      </c>
      <c r="P2391" s="10"/>
      <c r="Q2391">
        <v>0.16</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83"/>
        <v>1362</v>
      </c>
      <c r="B2392">
        <v>6</v>
      </c>
      <c r="C2392" t="s">
        <v>421</v>
      </c>
      <c r="D2392" t="s">
        <v>28</v>
      </c>
      <c r="E2392" s="13" t="s">
        <v>410</v>
      </c>
      <c r="G2392">
        <v>2</v>
      </c>
      <c r="H2392">
        <v>1000</v>
      </c>
      <c r="J2392" cm="1">
        <f t="array" ref="J2392">_xlfn.SWITCH(B2392,1,75,2,61,3,49,4,37,5,25,6,13,7,4,8,1)</f>
        <v>13</v>
      </c>
      <c r="K2392" t="str" cm="1">
        <f t="array" ref="K2392">IFERROR(_xlfn.SWITCH(L2392,1,_xlfn.XLOOKUP(C2392,[1]AttributeName!$C:$C,[1]AttributeName!$I:$I),2,_xlfn.XLOOKUP(C2392,[1]ModifierDes!$B:$B,[1]ModifierDes!$C:$C),3,_xlfn.XLOOKUP(C2392,[1]StuntDes!$B:$B,[1]StuntDes!$C:$C)),"")</f>
        <v>感电概率提高增加{0}</v>
      </c>
      <c r="L2392">
        <f t="shared" si="182"/>
        <v>1</v>
      </c>
      <c r="M2392" s="10" t="str">
        <f>IFERROR(_xlfn.XLOOKUP(C2392,[1]StuntDes!$B:$B,[1]StuntDes!$A:$A),"")</f>
        <v/>
      </c>
      <c r="N2392" s="10" t="str">
        <f>IFERROR(_xlfn.XLOOKUP(C2392,[1]ModifierDes!$B:$B,[1]ModifierDes!$A:$A),"")</f>
        <v/>
      </c>
      <c r="O2392" s="10">
        <f>IFERROR(_xlfn.XLOOKUP(C2392,[1]AttributeName!$C:$C,[1]AttributeName!$B:$B),"")</f>
        <v>11009</v>
      </c>
      <c r="P2392" s="10"/>
      <c r="Q2392">
        <v>0.11</v>
      </c>
      <c r="R2392">
        <v>0.15</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83"/>
        <v>1362</v>
      </c>
      <c r="B2393">
        <v>7</v>
      </c>
      <c r="C2393" t="s">
        <v>421</v>
      </c>
      <c r="D2393" t="s">
        <v>28</v>
      </c>
      <c r="E2393" s="13" t="s">
        <v>410</v>
      </c>
      <c r="G2393">
        <v>2</v>
      </c>
      <c r="H2393">
        <v>1000</v>
      </c>
      <c r="J2393" cm="1">
        <f t="array" ref="J2393">_xlfn.SWITCH(B2393,1,75,2,61,3,49,4,37,5,25,6,13,7,4,8,1)</f>
        <v>4</v>
      </c>
      <c r="K2393" t="str" cm="1">
        <f t="array" ref="K2393">IFERROR(_xlfn.SWITCH(L2393,1,_xlfn.XLOOKUP(C2393,[1]AttributeName!$C:$C,[1]AttributeName!$I:$I),2,_xlfn.XLOOKUP(C2393,[1]ModifierDes!$B:$B,[1]ModifierDes!$C:$C),3,_xlfn.XLOOKUP(C2393,[1]StuntDes!$B:$B,[1]StuntDes!$C:$C)),"")</f>
        <v>感电概率提高增加{0}</v>
      </c>
      <c r="L2393">
        <f t="shared" si="182"/>
        <v>1</v>
      </c>
      <c r="M2393" s="10" t="str">
        <f>IFERROR(_xlfn.XLOOKUP(C2393,[1]StuntDes!$B:$B,[1]StuntDes!$A:$A),"")</f>
        <v/>
      </c>
      <c r="N2393" s="10" t="str">
        <f>IFERROR(_xlfn.XLOOKUP(C2393,[1]ModifierDes!$B:$B,[1]ModifierDes!$A:$A),"")</f>
        <v/>
      </c>
      <c r="O2393" s="10">
        <f>IFERROR(_xlfn.XLOOKUP(C2393,[1]AttributeName!$C:$C,[1]AttributeName!$B:$B),"")</f>
        <v>11009</v>
      </c>
      <c r="P2393" s="10"/>
      <c r="Q2393">
        <v>0.06</v>
      </c>
      <c r="R2393">
        <v>0.1</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si="183"/>
        <v>1362</v>
      </c>
      <c r="B2394">
        <v>8</v>
      </c>
      <c r="C2394" t="s">
        <v>421</v>
      </c>
      <c r="D2394" t="s">
        <v>28</v>
      </c>
      <c r="E2394" s="13" t="s">
        <v>410</v>
      </c>
      <c r="G2394">
        <v>2</v>
      </c>
      <c r="H2394">
        <v>1000</v>
      </c>
      <c r="J2394" cm="1">
        <f t="array" ref="J2394">_xlfn.SWITCH(B2394,1,75,2,61,3,49,4,37,5,25,6,13,7,4,8,1)</f>
        <v>1</v>
      </c>
      <c r="K2394" t="str" cm="1">
        <f t="array" ref="K2394">IFERROR(_xlfn.SWITCH(L2394,1,_xlfn.XLOOKUP(C2394,[1]AttributeName!$C:$C,[1]AttributeName!$I:$I),2,_xlfn.XLOOKUP(C2394,[1]ModifierDes!$B:$B,[1]ModifierDes!$C:$C),3,_xlfn.XLOOKUP(C2394,[1]StuntDes!$B:$B,[1]StuntDes!$C:$C)),"")</f>
        <v>感电概率提高增加{0}</v>
      </c>
      <c r="L2394">
        <f t="shared" si="182"/>
        <v>1</v>
      </c>
      <c r="M2394" s="10" t="str">
        <f>IFERROR(_xlfn.XLOOKUP(C2394,[1]StuntDes!$B:$B,[1]StuntDes!$A:$A),"")</f>
        <v/>
      </c>
      <c r="N2394" s="10" t="str">
        <f>IFERROR(_xlfn.XLOOKUP(C2394,[1]ModifierDes!$B:$B,[1]ModifierDes!$A:$A),"")</f>
        <v/>
      </c>
      <c r="O2394" s="10">
        <f>IFERROR(_xlfn.XLOOKUP(C2394,[1]AttributeName!$C:$C,[1]AttributeName!$B:$B),"")</f>
        <v>11009</v>
      </c>
      <c r="P2394" s="10"/>
      <c r="Q2394">
        <v>0.01</v>
      </c>
      <c r="R2394">
        <v>0.05</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83"/>
        <v>1363</v>
      </c>
      <c r="B2395">
        <v>1</v>
      </c>
      <c r="C2395" t="s">
        <v>422</v>
      </c>
      <c r="D2395" t="s">
        <v>28</v>
      </c>
      <c r="E2395" s="13" t="s">
        <v>410</v>
      </c>
      <c r="G2395">
        <v>2</v>
      </c>
      <c r="H2395">
        <v>1000</v>
      </c>
      <c r="J2395" cm="1">
        <f t="array" ref="J2395">_xlfn.SWITCH(B2395,1,75,2,61,3,49,4,37,5,25,6,13,7,4,8,1)</f>
        <v>75</v>
      </c>
      <c r="K2395" t="str" cm="1">
        <f t="array" ref="K2395">IFERROR(_xlfn.SWITCH(L2395,1,_xlfn.XLOOKUP(C2395,[1]AttributeName!$C:$C,[1]AttributeName!$I:$I),2,_xlfn.XLOOKUP(C2395,[1]ModifierDes!$B:$B,[1]ModifierDes!$C:$C),3,_xlfn.XLOOKUP(C2395,[1]StuntDes!$B:$B,[1]StuntDes!$C:$C)),"")</f>
        <v>流血效果比例增加{0}</v>
      </c>
      <c r="L2395">
        <f t="shared" si="182"/>
        <v>1</v>
      </c>
      <c r="M2395" s="10" t="str">
        <f>IFERROR(_xlfn.XLOOKUP(C2395,[1]StuntDes!$B:$B,[1]StuntDes!$A:$A),"")</f>
        <v/>
      </c>
      <c r="N2395" s="10" t="str">
        <f>IFERROR(_xlfn.XLOOKUP(C2395,[1]ModifierDes!$B:$B,[1]ModifierDes!$A:$A),"")</f>
        <v/>
      </c>
      <c r="O2395" s="10">
        <f>IFERROR(_xlfn.XLOOKUP(C2395,[1]AttributeName!$C:$C,[1]AttributeName!$B:$B),"")</f>
        <v>11055</v>
      </c>
      <c r="P2395" s="10"/>
      <c r="Q2395">
        <v>0.36</v>
      </c>
      <c r="R2395">
        <v>0.4</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83"/>
        <v>1363</v>
      </c>
      <c r="B2396">
        <v>2</v>
      </c>
      <c r="C2396" t="s">
        <v>422</v>
      </c>
      <c r="D2396" t="s">
        <v>28</v>
      </c>
      <c r="E2396" s="13" t="s">
        <v>410</v>
      </c>
      <c r="G2396">
        <v>2</v>
      </c>
      <c r="H2396">
        <v>1000</v>
      </c>
      <c r="J2396" cm="1">
        <f t="array" ref="J2396">_xlfn.SWITCH(B2396,1,75,2,61,3,49,4,37,5,25,6,13,7,4,8,1)</f>
        <v>61</v>
      </c>
      <c r="K2396" t="str" cm="1">
        <f t="array" ref="K2396">IFERROR(_xlfn.SWITCH(L2396,1,_xlfn.XLOOKUP(C2396,[1]AttributeName!$C:$C,[1]AttributeName!$I:$I),2,_xlfn.XLOOKUP(C2396,[1]ModifierDes!$B:$B,[1]ModifierDes!$C:$C),3,_xlfn.XLOOKUP(C2396,[1]StuntDes!$B:$B,[1]StuntDes!$C:$C)),"")</f>
        <v>流血效果比例增加{0}</v>
      </c>
      <c r="L2396">
        <f t="shared" si="182"/>
        <v>1</v>
      </c>
      <c r="M2396" s="10" t="str">
        <f>IFERROR(_xlfn.XLOOKUP(C2396,[1]StuntDes!$B:$B,[1]StuntDes!$A:$A),"")</f>
        <v/>
      </c>
      <c r="N2396" s="10" t="str">
        <f>IFERROR(_xlfn.XLOOKUP(C2396,[1]ModifierDes!$B:$B,[1]ModifierDes!$A:$A),"")</f>
        <v/>
      </c>
      <c r="O2396" s="10">
        <f>IFERROR(_xlfn.XLOOKUP(C2396,[1]AttributeName!$C:$C,[1]AttributeName!$B:$B),"")</f>
        <v>11055</v>
      </c>
      <c r="P2396" s="10"/>
      <c r="Q2396">
        <v>0.31</v>
      </c>
      <c r="R2396">
        <v>0.35</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83"/>
        <v>1363</v>
      </c>
      <c r="B2397">
        <v>3</v>
      </c>
      <c r="C2397" t="s">
        <v>422</v>
      </c>
      <c r="D2397" t="s">
        <v>28</v>
      </c>
      <c r="E2397" s="13" t="s">
        <v>410</v>
      </c>
      <c r="G2397">
        <v>2</v>
      </c>
      <c r="H2397">
        <v>1000</v>
      </c>
      <c r="J2397" cm="1">
        <f t="array" ref="J2397">_xlfn.SWITCH(B2397,1,75,2,61,3,49,4,37,5,25,6,13,7,4,8,1)</f>
        <v>49</v>
      </c>
      <c r="K2397" t="str" cm="1">
        <f t="array" ref="K2397">IFERROR(_xlfn.SWITCH(L2397,1,_xlfn.XLOOKUP(C2397,[1]AttributeName!$C:$C,[1]AttributeName!$I:$I),2,_xlfn.XLOOKUP(C2397,[1]ModifierDes!$B:$B,[1]ModifierDes!$C:$C),3,_xlfn.XLOOKUP(C2397,[1]StuntDes!$B:$B,[1]StuntDes!$C:$C)),"")</f>
        <v>流血效果比例增加{0}</v>
      </c>
      <c r="L2397">
        <f t="shared" si="182"/>
        <v>1</v>
      </c>
      <c r="M2397" s="10" t="str">
        <f>IFERROR(_xlfn.XLOOKUP(C2397,[1]StuntDes!$B:$B,[1]StuntDes!$A:$A),"")</f>
        <v/>
      </c>
      <c r="N2397" s="10" t="str">
        <f>IFERROR(_xlfn.XLOOKUP(C2397,[1]ModifierDes!$B:$B,[1]ModifierDes!$A:$A),"")</f>
        <v/>
      </c>
      <c r="O2397" s="10">
        <f>IFERROR(_xlfn.XLOOKUP(C2397,[1]AttributeName!$C:$C,[1]AttributeName!$B:$B),"")</f>
        <v>11055</v>
      </c>
      <c r="P2397" s="10"/>
      <c r="Q2397">
        <v>0.26</v>
      </c>
      <c r="R2397">
        <v>0.3</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83"/>
        <v>1363</v>
      </c>
      <c r="B2398">
        <v>4</v>
      </c>
      <c r="C2398" t="s">
        <v>422</v>
      </c>
      <c r="D2398" t="s">
        <v>28</v>
      </c>
      <c r="E2398" s="13" t="s">
        <v>410</v>
      </c>
      <c r="G2398">
        <v>2</v>
      </c>
      <c r="H2398">
        <v>1000</v>
      </c>
      <c r="J2398" cm="1">
        <f t="array" ref="J2398">_xlfn.SWITCH(B2398,1,75,2,61,3,49,4,37,5,25,6,13,7,4,8,1)</f>
        <v>37</v>
      </c>
      <c r="K2398" t="str" cm="1">
        <f t="array" ref="K2398">IFERROR(_xlfn.SWITCH(L2398,1,_xlfn.XLOOKUP(C2398,[1]AttributeName!$C:$C,[1]AttributeName!$I:$I),2,_xlfn.XLOOKUP(C2398,[1]ModifierDes!$B:$B,[1]ModifierDes!$C:$C),3,_xlfn.XLOOKUP(C2398,[1]StuntDes!$B:$B,[1]StuntDes!$C:$C)),"")</f>
        <v>流血效果比例增加{0}</v>
      </c>
      <c r="L2398">
        <f t="shared" si="182"/>
        <v>1</v>
      </c>
      <c r="M2398" s="10" t="str">
        <f>IFERROR(_xlfn.XLOOKUP(C2398,[1]StuntDes!$B:$B,[1]StuntDes!$A:$A),"")</f>
        <v/>
      </c>
      <c r="N2398" s="10" t="str">
        <f>IFERROR(_xlfn.XLOOKUP(C2398,[1]ModifierDes!$B:$B,[1]ModifierDes!$A:$A),"")</f>
        <v/>
      </c>
      <c r="O2398" s="10">
        <f>IFERROR(_xlfn.XLOOKUP(C2398,[1]AttributeName!$C:$C,[1]AttributeName!$B:$B),"")</f>
        <v>11055</v>
      </c>
      <c r="P2398" s="10"/>
      <c r="Q2398">
        <v>0.21</v>
      </c>
      <c r="R2398">
        <v>0.25</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83"/>
        <v>1363</v>
      </c>
      <c r="B2399">
        <v>5</v>
      </c>
      <c r="C2399" t="s">
        <v>422</v>
      </c>
      <c r="D2399" t="s">
        <v>28</v>
      </c>
      <c r="E2399" s="13" t="s">
        <v>410</v>
      </c>
      <c r="G2399">
        <v>2</v>
      </c>
      <c r="H2399">
        <v>1000</v>
      </c>
      <c r="J2399" cm="1">
        <f t="array" ref="J2399">_xlfn.SWITCH(B2399,1,75,2,61,3,49,4,37,5,25,6,13,7,4,8,1)</f>
        <v>25</v>
      </c>
      <c r="K2399" t="str" cm="1">
        <f t="array" ref="K2399">IFERROR(_xlfn.SWITCH(L2399,1,_xlfn.XLOOKUP(C2399,[1]AttributeName!$C:$C,[1]AttributeName!$I:$I),2,_xlfn.XLOOKUP(C2399,[1]ModifierDes!$B:$B,[1]ModifierDes!$C:$C),3,_xlfn.XLOOKUP(C2399,[1]StuntDes!$B:$B,[1]StuntDes!$C:$C)),"")</f>
        <v>流血效果比例增加{0}</v>
      </c>
      <c r="L2399">
        <f t="shared" ref="L2399:L2455" si="184">IF(M2399="",IF(N2399="",1,2),3)</f>
        <v>1</v>
      </c>
      <c r="M2399" s="10" t="str">
        <f>IFERROR(_xlfn.XLOOKUP(C2399,[1]StuntDes!$B:$B,[1]StuntDes!$A:$A),"")</f>
        <v/>
      </c>
      <c r="N2399" s="10" t="str">
        <f>IFERROR(_xlfn.XLOOKUP(C2399,[1]ModifierDes!$B:$B,[1]ModifierDes!$A:$A),"")</f>
        <v/>
      </c>
      <c r="O2399" s="10">
        <f>IFERROR(_xlfn.XLOOKUP(C2399,[1]AttributeName!$C:$C,[1]AttributeName!$B:$B),"")</f>
        <v>11055</v>
      </c>
      <c r="P2399" s="10"/>
      <c r="Q2399">
        <v>0.16</v>
      </c>
      <c r="R2399">
        <v>0.2</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83"/>
        <v>1363</v>
      </c>
      <c r="B2400">
        <v>6</v>
      </c>
      <c r="C2400" t="s">
        <v>422</v>
      </c>
      <c r="D2400" t="s">
        <v>28</v>
      </c>
      <c r="E2400" s="13" t="s">
        <v>410</v>
      </c>
      <c r="G2400">
        <v>2</v>
      </c>
      <c r="H2400">
        <v>1000</v>
      </c>
      <c r="J2400" cm="1">
        <f t="array" ref="J2400">_xlfn.SWITCH(B2400,1,75,2,61,3,49,4,37,5,25,6,13,7,4,8,1)</f>
        <v>13</v>
      </c>
      <c r="K2400" t="str" cm="1">
        <f t="array" ref="K2400">IFERROR(_xlfn.SWITCH(L2400,1,_xlfn.XLOOKUP(C2400,[1]AttributeName!$C:$C,[1]AttributeName!$I:$I),2,_xlfn.XLOOKUP(C2400,[1]ModifierDes!$B:$B,[1]ModifierDes!$C:$C),3,_xlfn.XLOOKUP(C2400,[1]StuntDes!$B:$B,[1]StuntDes!$C:$C)),"")</f>
        <v>流血效果比例增加{0}</v>
      </c>
      <c r="L2400">
        <f t="shared" si="184"/>
        <v>1</v>
      </c>
      <c r="M2400" s="10" t="str">
        <f>IFERROR(_xlfn.XLOOKUP(C2400,[1]StuntDes!$B:$B,[1]StuntDes!$A:$A),"")</f>
        <v/>
      </c>
      <c r="N2400" s="10" t="str">
        <f>IFERROR(_xlfn.XLOOKUP(C2400,[1]ModifierDes!$B:$B,[1]ModifierDes!$A:$A),"")</f>
        <v/>
      </c>
      <c r="O2400" s="10">
        <f>IFERROR(_xlfn.XLOOKUP(C2400,[1]AttributeName!$C:$C,[1]AttributeName!$B:$B),"")</f>
        <v>11055</v>
      </c>
      <c r="P2400" s="10"/>
      <c r="Q2400">
        <v>0.11</v>
      </c>
      <c r="R2400">
        <v>0.15</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83"/>
        <v>1363</v>
      </c>
      <c r="B2401">
        <v>7</v>
      </c>
      <c r="C2401" t="s">
        <v>422</v>
      </c>
      <c r="D2401" t="s">
        <v>28</v>
      </c>
      <c r="E2401" s="13" t="s">
        <v>410</v>
      </c>
      <c r="G2401">
        <v>2</v>
      </c>
      <c r="H2401">
        <v>1000</v>
      </c>
      <c r="J2401" cm="1">
        <f t="array" ref="J2401">_xlfn.SWITCH(B2401,1,75,2,61,3,49,4,37,5,25,6,13,7,4,8,1)</f>
        <v>4</v>
      </c>
      <c r="K2401" t="str" cm="1">
        <f t="array" ref="K2401">IFERROR(_xlfn.SWITCH(L2401,1,_xlfn.XLOOKUP(C2401,[1]AttributeName!$C:$C,[1]AttributeName!$I:$I),2,_xlfn.XLOOKUP(C2401,[1]ModifierDes!$B:$B,[1]ModifierDes!$C:$C),3,_xlfn.XLOOKUP(C2401,[1]StuntDes!$B:$B,[1]StuntDes!$C:$C)),"")</f>
        <v>流血效果比例增加{0}</v>
      </c>
      <c r="L2401">
        <f t="shared" si="184"/>
        <v>1</v>
      </c>
      <c r="M2401" s="10" t="str">
        <f>IFERROR(_xlfn.XLOOKUP(C2401,[1]StuntDes!$B:$B,[1]StuntDes!$A:$A),"")</f>
        <v/>
      </c>
      <c r="N2401" s="10" t="str">
        <f>IFERROR(_xlfn.XLOOKUP(C2401,[1]ModifierDes!$B:$B,[1]ModifierDes!$A:$A),"")</f>
        <v/>
      </c>
      <c r="O2401" s="10">
        <f>IFERROR(_xlfn.XLOOKUP(C2401,[1]AttributeName!$C:$C,[1]AttributeName!$B:$B),"")</f>
        <v>11055</v>
      </c>
      <c r="P2401" s="10"/>
      <c r="Q2401">
        <v>0.06</v>
      </c>
      <c r="R2401">
        <v>0.1</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83"/>
        <v>1363</v>
      </c>
      <c r="B2402">
        <v>8</v>
      </c>
      <c r="C2402" t="s">
        <v>422</v>
      </c>
      <c r="D2402" t="s">
        <v>28</v>
      </c>
      <c r="E2402" s="13" t="s">
        <v>410</v>
      </c>
      <c r="G2402">
        <v>2</v>
      </c>
      <c r="H2402">
        <v>1000</v>
      </c>
      <c r="J2402" cm="1">
        <f t="array" ref="J2402">_xlfn.SWITCH(B2402,1,75,2,61,3,49,4,37,5,25,6,13,7,4,8,1)</f>
        <v>1</v>
      </c>
      <c r="K2402" t="str" cm="1">
        <f t="array" ref="K2402">IFERROR(_xlfn.SWITCH(L2402,1,_xlfn.XLOOKUP(C2402,[1]AttributeName!$C:$C,[1]AttributeName!$I:$I),2,_xlfn.XLOOKUP(C2402,[1]ModifierDes!$B:$B,[1]ModifierDes!$C:$C),3,_xlfn.XLOOKUP(C2402,[1]StuntDes!$B:$B,[1]StuntDes!$C:$C)),"")</f>
        <v>流血效果比例增加{0}</v>
      </c>
      <c r="L2402">
        <f t="shared" si="184"/>
        <v>1</v>
      </c>
      <c r="M2402" s="10" t="str">
        <f>IFERROR(_xlfn.XLOOKUP(C2402,[1]StuntDes!$B:$B,[1]StuntDes!$A:$A),"")</f>
        <v/>
      </c>
      <c r="N2402" s="10" t="str">
        <f>IFERROR(_xlfn.XLOOKUP(C2402,[1]ModifierDes!$B:$B,[1]ModifierDes!$A:$A),"")</f>
        <v/>
      </c>
      <c r="O2402" s="10">
        <f>IFERROR(_xlfn.XLOOKUP(C2402,[1]AttributeName!$C:$C,[1]AttributeName!$B:$B),"")</f>
        <v>11055</v>
      </c>
      <c r="P2402" s="10"/>
      <c r="Q2402">
        <v>0.01</v>
      </c>
      <c r="R2402">
        <v>0.05</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83"/>
        <v>1364</v>
      </c>
      <c r="B2403">
        <v>1</v>
      </c>
      <c r="C2403" t="s">
        <v>423</v>
      </c>
      <c r="D2403" t="s">
        <v>28</v>
      </c>
      <c r="E2403" s="13" t="s">
        <v>410</v>
      </c>
      <c r="G2403">
        <v>2</v>
      </c>
      <c r="H2403">
        <v>1000</v>
      </c>
      <c r="J2403" cm="1">
        <f t="array" ref="J2403">_xlfn.SWITCH(B2403,1,75,2,61,3,49,4,37,5,25,6,13,7,4,8,1)</f>
        <v>75</v>
      </c>
      <c r="K2403" t="str" cm="1">
        <f t="array" ref="K2403">IFERROR(_xlfn.SWITCH(L2403,1,_xlfn.XLOOKUP(C2403,[1]AttributeName!$C:$C,[1]AttributeName!$I:$I),2,_xlfn.XLOOKUP(C2403,[1]ModifierDes!$B:$B,[1]ModifierDes!$C:$C),3,_xlfn.XLOOKUP(C2403,[1]StuntDes!$B:$B,[1]StuntDes!$C:$C)),"")</f>
        <v>中毒效果比例增加{0}</v>
      </c>
      <c r="L2403">
        <f t="shared" si="184"/>
        <v>1</v>
      </c>
      <c r="M2403" s="10" t="str">
        <f>IFERROR(_xlfn.XLOOKUP(C2403,[1]StuntDes!$B:$B,[1]StuntDes!$A:$A),"")</f>
        <v/>
      </c>
      <c r="N2403" s="10" t="str">
        <f>IFERROR(_xlfn.XLOOKUP(C2403,[1]ModifierDes!$B:$B,[1]ModifierDes!$A:$A),"")</f>
        <v/>
      </c>
      <c r="O2403" s="10">
        <f>IFERROR(_xlfn.XLOOKUP(C2403,[1]AttributeName!$C:$C,[1]AttributeName!$B:$B),"")</f>
        <v>11039</v>
      </c>
      <c r="P2403" s="10"/>
      <c r="Q2403">
        <v>0.36</v>
      </c>
      <c r="R2403">
        <v>0.4</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83"/>
        <v>1364</v>
      </c>
      <c r="B2404">
        <v>2</v>
      </c>
      <c r="C2404" t="s">
        <v>423</v>
      </c>
      <c r="D2404" t="s">
        <v>28</v>
      </c>
      <c r="E2404" s="13" t="s">
        <v>410</v>
      </c>
      <c r="G2404">
        <v>2</v>
      </c>
      <c r="H2404">
        <v>1000</v>
      </c>
      <c r="J2404" cm="1">
        <f t="array" ref="J2404">_xlfn.SWITCH(B2404,1,75,2,61,3,49,4,37,5,25,6,13,7,4,8,1)</f>
        <v>61</v>
      </c>
      <c r="K2404" t="str" cm="1">
        <f t="array" ref="K2404">IFERROR(_xlfn.SWITCH(L2404,1,_xlfn.XLOOKUP(C2404,[1]AttributeName!$C:$C,[1]AttributeName!$I:$I),2,_xlfn.XLOOKUP(C2404,[1]ModifierDes!$B:$B,[1]ModifierDes!$C:$C),3,_xlfn.XLOOKUP(C2404,[1]StuntDes!$B:$B,[1]StuntDes!$C:$C)),"")</f>
        <v>中毒效果比例增加{0}</v>
      </c>
      <c r="L2404">
        <f t="shared" si="184"/>
        <v>1</v>
      </c>
      <c r="M2404" s="10" t="str">
        <f>IFERROR(_xlfn.XLOOKUP(C2404,[1]StuntDes!$B:$B,[1]StuntDes!$A:$A),"")</f>
        <v/>
      </c>
      <c r="N2404" s="10" t="str">
        <f>IFERROR(_xlfn.XLOOKUP(C2404,[1]ModifierDes!$B:$B,[1]ModifierDes!$A:$A),"")</f>
        <v/>
      </c>
      <c r="O2404" s="10">
        <f>IFERROR(_xlfn.XLOOKUP(C2404,[1]AttributeName!$C:$C,[1]AttributeName!$B:$B),"")</f>
        <v>11039</v>
      </c>
      <c r="P2404" s="10"/>
      <c r="Q2404">
        <v>0.31</v>
      </c>
      <c r="R2404">
        <v>0.35</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83"/>
        <v>1364</v>
      </c>
      <c r="B2405">
        <v>3</v>
      </c>
      <c r="C2405" t="s">
        <v>423</v>
      </c>
      <c r="D2405" t="s">
        <v>28</v>
      </c>
      <c r="E2405" s="13" t="s">
        <v>410</v>
      </c>
      <c r="G2405">
        <v>2</v>
      </c>
      <c r="H2405">
        <v>1000</v>
      </c>
      <c r="J2405" cm="1">
        <f t="array" ref="J2405">_xlfn.SWITCH(B2405,1,75,2,61,3,49,4,37,5,25,6,13,7,4,8,1)</f>
        <v>49</v>
      </c>
      <c r="K2405" t="str" cm="1">
        <f t="array" ref="K2405">IFERROR(_xlfn.SWITCH(L2405,1,_xlfn.XLOOKUP(C2405,[1]AttributeName!$C:$C,[1]AttributeName!$I:$I),2,_xlfn.XLOOKUP(C2405,[1]ModifierDes!$B:$B,[1]ModifierDes!$C:$C),3,_xlfn.XLOOKUP(C2405,[1]StuntDes!$B:$B,[1]StuntDes!$C:$C)),"")</f>
        <v>中毒效果比例增加{0}</v>
      </c>
      <c r="L2405">
        <f t="shared" si="184"/>
        <v>1</v>
      </c>
      <c r="M2405" s="10" t="str">
        <f>IFERROR(_xlfn.XLOOKUP(C2405,[1]StuntDes!$B:$B,[1]StuntDes!$A:$A),"")</f>
        <v/>
      </c>
      <c r="N2405" s="10" t="str">
        <f>IFERROR(_xlfn.XLOOKUP(C2405,[1]ModifierDes!$B:$B,[1]ModifierDes!$A:$A),"")</f>
        <v/>
      </c>
      <c r="O2405" s="10">
        <f>IFERROR(_xlfn.XLOOKUP(C2405,[1]AttributeName!$C:$C,[1]AttributeName!$B:$B),"")</f>
        <v>11039</v>
      </c>
      <c r="P2405" s="10"/>
      <c r="Q2405">
        <v>0.26</v>
      </c>
      <c r="R2405">
        <v>0.3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83"/>
        <v>1364</v>
      </c>
      <c r="B2406">
        <v>4</v>
      </c>
      <c r="C2406" t="s">
        <v>423</v>
      </c>
      <c r="D2406" t="s">
        <v>28</v>
      </c>
      <c r="E2406" s="13" t="s">
        <v>410</v>
      </c>
      <c r="G2406">
        <v>2</v>
      </c>
      <c r="H2406">
        <v>1000</v>
      </c>
      <c r="J2406" cm="1">
        <f t="array" ref="J2406">_xlfn.SWITCH(B2406,1,75,2,61,3,49,4,37,5,25,6,13,7,4,8,1)</f>
        <v>37</v>
      </c>
      <c r="K2406" t="str" cm="1">
        <f t="array" ref="K2406">IFERROR(_xlfn.SWITCH(L2406,1,_xlfn.XLOOKUP(C2406,[1]AttributeName!$C:$C,[1]AttributeName!$I:$I),2,_xlfn.XLOOKUP(C2406,[1]ModifierDes!$B:$B,[1]ModifierDes!$C:$C),3,_xlfn.XLOOKUP(C2406,[1]StuntDes!$B:$B,[1]StuntDes!$C:$C)),"")</f>
        <v>中毒效果比例增加{0}</v>
      </c>
      <c r="L2406">
        <f t="shared" si="184"/>
        <v>1</v>
      </c>
      <c r="M2406" s="10" t="str">
        <f>IFERROR(_xlfn.XLOOKUP(C2406,[1]StuntDes!$B:$B,[1]StuntDes!$A:$A),"")</f>
        <v/>
      </c>
      <c r="N2406" s="10" t="str">
        <f>IFERROR(_xlfn.XLOOKUP(C2406,[1]ModifierDes!$B:$B,[1]ModifierDes!$A:$A),"")</f>
        <v/>
      </c>
      <c r="O2406" s="10">
        <f>IFERROR(_xlfn.XLOOKUP(C2406,[1]AttributeName!$C:$C,[1]AttributeName!$B:$B),"")</f>
        <v>11039</v>
      </c>
      <c r="P2406" s="10"/>
      <c r="Q2406">
        <v>0.21</v>
      </c>
      <c r="R2406">
        <v>0.25</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83"/>
        <v>1364</v>
      </c>
      <c r="B2407">
        <v>5</v>
      </c>
      <c r="C2407" t="s">
        <v>423</v>
      </c>
      <c r="D2407" t="s">
        <v>28</v>
      </c>
      <c r="E2407" s="13" t="s">
        <v>410</v>
      </c>
      <c r="G2407">
        <v>2</v>
      </c>
      <c r="H2407">
        <v>1000</v>
      </c>
      <c r="J2407" cm="1">
        <f t="array" ref="J2407">_xlfn.SWITCH(B2407,1,75,2,61,3,49,4,37,5,25,6,13,7,4,8,1)</f>
        <v>25</v>
      </c>
      <c r="K2407" t="str" cm="1">
        <f t="array" ref="K2407">IFERROR(_xlfn.SWITCH(L2407,1,_xlfn.XLOOKUP(C2407,[1]AttributeName!$C:$C,[1]AttributeName!$I:$I),2,_xlfn.XLOOKUP(C2407,[1]ModifierDes!$B:$B,[1]ModifierDes!$C:$C),3,_xlfn.XLOOKUP(C2407,[1]StuntDes!$B:$B,[1]StuntDes!$C:$C)),"")</f>
        <v>中毒效果比例增加{0}</v>
      </c>
      <c r="L2407">
        <f t="shared" si="184"/>
        <v>1</v>
      </c>
      <c r="M2407" s="10" t="str">
        <f>IFERROR(_xlfn.XLOOKUP(C2407,[1]StuntDes!$B:$B,[1]StuntDes!$A:$A),"")</f>
        <v/>
      </c>
      <c r="N2407" s="10" t="str">
        <f>IFERROR(_xlfn.XLOOKUP(C2407,[1]ModifierDes!$B:$B,[1]ModifierDes!$A:$A),"")</f>
        <v/>
      </c>
      <c r="O2407" s="10">
        <f>IFERROR(_xlfn.XLOOKUP(C2407,[1]AttributeName!$C:$C,[1]AttributeName!$B:$B),"")</f>
        <v>11039</v>
      </c>
      <c r="P2407" s="10"/>
      <c r="Q2407">
        <v>0.16</v>
      </c>
      <c r="R2407">
        <v>0.2</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83"/>
        <v>1364</v>
      </c>
      <c r="B2408">
        <v>6</v>
      </c>
      <c r="C2408" t="s">
        <v>423</v>
      </c>
      <c r="D2408" t="s">
        <v>28</v>
      </c>
      <c r="E2408" s="13" t="s">
        <v>410</v>
      </c>
      <c r="G2408">
        <v>2</v>
      </c>
      <c r="H2408">
        <v>1000</v>
      </c>
      <c r="J2408" cm="1">
        <f t="array" ref="J2408">_xlfn.SWITCH(B2408,1,75,2,61,3,49,4,37,5,25,6,13,7,4,8,1)</f>
        <v>13</v>
      </c>
      <c r="K2408" t="str" cm="1">
        <f t="array" ref="K2408">IFERROR(_xlfn.SWITCH(L2408,1,_xlfn.XLOOKUP(C2408,[1]AttributeName!$C:$C,[1]AttributeName!$I:$I),2,_xlfn.XLOOKUP(C2408,[1]ModifierDes!$B:$B,[1]ModifierDes!$C:$C),3,_xlfn.XLOOKUP(C2408,[1]StuntDes!$B:$B,[1]StuntDes!$C:$C)),"")</f>
        <v>中毒效果比例增加{0}</v>
      </c>
      <c r="L2408">
        <f t="shared" si="184"/>
        <v>1</v>
      </c>
      <c r="M2408" s="10" t="str">
        <f>IFERROR(_xlfn.XLOOKUP(C2408,[1]StuntDes!$B:$B,[1]StuntDes!$A:$A),"")</f>
        <v/>
      </c>
      <c r="N2408" s="10" t="str">
        <f>IFERROR(_xlfn.XLOOKUP(C2408,[1]ModifierDes!$B:$B,[1]ModifierDes!$A:$A),"")</f>
        <v/>
      </c>
      <c r="O2408" s="10">
        <f>IFERROR(_xlfn.XLOOKUP(C2408,[1]AttributeName!$C:$C,[1]AttributeName!$B:$B),"")</f>
        <v>11039</v>
      </c>
      <c r="P2408" s="10"/>
      <c r="Q2408">
        <v>0.11</v>
      </c>
      <c r="R2408">
        <v>0.15</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83"/>
        <v>1364</v>
      </c>
      <c r="B2409">
        <v>7</v>
      </c>
      <c r="C2409" t="s">
        <v>423</v>
      </c>
      <c r="D2409" t="s">
        <v>28</v>
      </c>
      <c r="E2409" s="13" t="s">
        <v>410</v>
      </c>
      <c r="G2409">
        <v>2</v>
      </c>
      <c r="H2409">
        <v>1000</v>
      </c>
      <c r="J2409" cm="1">
        <f t="array" ref="J2409">_xlfn.SWITCH(B2409,1,75,2,61,3,49,4,37,5,25,6,13,7,4,8,1)</f>
        <v>4</v>
      </c>
      <c r="K2409" t="str" cm="1">
        <f t="array" ref="K2409">IFERROR(_xlfn.SWITCH(L2409,1,_xlfn.XLOOKUP(C2409,[1]AttributeName!$C:$C,[1]AttributeName!$I:$I),2,_xlfn.XLOOKUP(C2409,[1]ModifierDes!$B:$B,[1]ModifierDes!$C:$C),3,_xlfn.XLOOKUP(C2409,[1]StuntDes!$B:$B,[1]StuntDes!$C:$C)),"")</f>
        <v>中毒效果比例增加{0}</v>
      </c>
      <c r="L2409">
        <f t="shared" si="184"/>
        <v>1</v>
      </c>
      <c r="M2409" s="10" t="str">
        <f>IFERROR(_xlfn.XLOOKUP(C2409,[1]StuntDes!$B:$B,[1]StuntDes!$A:$A),"")</f>
        <v/>
      </c>
      <c r="N2409" s="10" t="str">
        <f>IFERROR(_xlfn.XLOOKUP(C2409,[1]ModifierDes!$B:$B,[1]ModifierDes!$A:$A),"")</f>
        <v/>
      </c>
      <c r="O2409" s="10">
        <f>IFERROR(_xlfn.XLOOKUP(C2409,[1]AttributeName!$C:$C,[1]AttributeName!$B:$B),"")</f>
        <v>11039</v>
      </c>
      <c r="P2409" s="10"/>
      <c r="Q2409">
        <v>0.06</v>
      </c>
      <c r="R2409">
        <v>0.1</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83"/>
        <v>1364</v>
      </c>
      <c r="B2410">
        <v>8</v>
      </c>
      <c r="C2410" t="s">
        <v>423</v>
      </c>
      <c r="D2410" t="s">
        <v>28</v>
      </c>
      <c r="E2410" s="13" t="s">
        <v>410</v>
      </c>
      <c r="G2410">
        <v>2</v>
      </c>
      <c r="H2410">
        <v>1000</v>
      </c>
      <c r="J2410" cm="1">
        <f t="array" ref="J2410">_xlfn.SWITCH(B2410,1,75,2,61,3,49,4,37,5,25,6,13,7,4,8,1)</f>
        <v>1</v>
      </c>
      <c r="K2410" t="str" cm="1">
        <f t="array" ref="K2410">IFERROR(_xlfn.SWITCH(L2410,1,_xlfn.XLOOKUP(C2410,[1]AttributeName!$C:$C,[1]AttributeName!$I:$I),2,_xlfn.XLOOKUP(C2410,[1]ModifierDes!$B:$B,[1]ModifierDes!$C:$C),3,_xlfn.XLOOKUP(C2410,[1]StuntDes!$B:$B,[1]StuntDes!$C:$C)),"")</f>
        <v>中毒效果比例增加{0}</v>
      </c>
      <c r="L2410">
        <f t="shared" si="184"/>
        <v>1</v>
      </c>
      <c r="M2410" s="10" t="str">
        <f>IFERROR(_xlfn.XLOOKUP(C2410,[1]StuntDes!$B:$B,[1]StuntDes!$A:$A),"")</f>
        <v/>
      </c>
      <c r="N2410" s="10" t="str">
        <f>IFERROR(_xlfn.XLOOKUP(C2410,[1]ModifierDes!$B:$B,[1]ModifierDes!$A:$A),"")</f>
        <v/>
      </c>
      <c r="O2410" s="10">
        <f>IFERROR(_xlfn.XLOOKUP(C2410,[1]AttributeName!$C:$C,[1]AttributeName!$B:$B),"")</f>
        <v>11039</v>
      </c>
      <c r="P2410" s="10"/>
      <c r="Q2410">
        <v>0.01</v>
      </c>
      <c r="R2410">
        <v>0.05</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83"/>
        <v>1365</v>
      </c>
      <c r="B2411">
        <v>1</v>
      </c>
      <c r="C2411" t="s">
        <v>424</v>
      </c>
      <c r="D2411" t="s">
        <v>28</v>
      </c>
      <c r="E2411" s="13" t="s">
        <v>410</v>
      </c>
      <c r="G2411">
        <v>2</v>
      </c>
      <c r="H2411">
        <v>1000</v>
      </c>
      <c r="J2411" cm="1">
        <f t="array" ref="J2411">_xlfn.SWITCH(B2411,1,75,2,61,3,49,4,37,5,25,6,13,7,4,8,1)</f>
        <v>75</v>
      </c>
      <c r="K2411" t="str" cm="1">
        <f t="array" ref="K2411">IFERROR(_xlfn.SWITCH(L2411,1,_xlfn.XLOOKUP(C2411,[1]AttributeName!$C:$C,[1]AttributeName!$I:$I),2,_xlfn.XLOOKUP(C2411,[1]ModifierDes!$B:$B,[1]ModifierDes!$C:$C),3,_xlfn.XLOOKUP(C2411,[1]StuntDes!$B:$B,[1]StuntDes!$C:$C)),"")</f>
        <v>穿戴等级降低增加{0}</v>
      </c>
      <c r="L2411">
        <f t="shared" si="184"/>
        <v>1</v>
      </c>
      <c r="M2411" s="10" t="str">
        <f>IFERROR(_xlfn.XLOOKUP(C2411,[1]StuntDes!$B:$B,[1]StuntDes!$A:$A),"")</f>
        <v/>
      </c>
      <c r="N2411" s="10" t="str">
        <f>IFERROR(_xlfn.XLOOKUP(C2411,[1]ModifierDes!$B:$B,[1]ModifierDes!$A:$A),"")</f>
        <v/>
      </c>
      <c r="O2411" s="10">
        <f>IFERROR(_xlfn.XLOOKUP(C2411,[1]AttributeName!$C:$C,[1]AttributeName!$B:$B),"")</f>
        <v>10900</v>
      </c>
      <c r="P2411" s="10"/>
      <c r="Q2411">
        <v>0.36</v>
      </c>
      <c r="R2411">
        <v>0.4</v>
      </c>
      <c r="S2411" cm="1">
        <f t="array" ref="S2411">IFERROR(_xlfn.SWITCH(L2411,1,_xlfn.XLOOKUP(O2411,[1]AttributeName!$B:$B,[1]AttributeName!$D:$D),2,_xlfn.XLOOKUP(C2411,[1]ModifierDes!$B:$B,[1]ModifierDes!$D:$D),3,_xlfn.XLOOKUP(C2411,[1]StuntDes!$B:$B,[1]StuntDes!$D:$D)),0)</f>
        <v>0</v>
      </c>
      <c r="T2411" cm="1">
        <f t="array" ref="T2411">IFERROR(_xlfn.SWITCH(L2411,1,_xlfn.XLOOKUP(O2411,[1]AttributeName!$B:$B,[1]AttributeName!$E:$E),2,_xlfn.XLOOKUP(C2411,[1]ModifierDes!$B:$B,[1]ModifierDes!$E:$E),3,_xlfn.XLOOKUP(C2411,[1]StuntDes!$B:$B,[1]StuntDes!$E:$E)),0)</f>
        <v>1</v>
      </c>
    </row>
    <row r="2412" customFormat="1" spans="1:20">
      <c r="A2412">
        <f t="shared" si="183"/>
        <v>1365</v>
      </c>
      <c r="B2412">
        <v>2</v>
      </c>
      <c r="C2412" t="s">
        <v>424</v>
      </c>
      <c r="D2412" t="s">
        <v>28</v>
      </c>
      <c r="E2412" s="13" t="s">
        <v>410</v>
      </c>
      <c r="G2412">
        <v>2</v>
      </c>
      <c r="H2412">
        <v>1000</v>
      </c>
      <c r="J2412" cm="1">
        <f t="array" ref="J2412">_xlfn.SWITCH(B2412,1,75,2,61,3,49,4,37,5,25,6,13,7,4,8,1)</f>
        <v>61</v>
      </c>
      <c r="K2412" t="str" cm="1">
        <f t="array" ref="K2412">IFERROR(_xlfn.SWITCH(L2412,1,_xlfn.XLOOKUP(C2412,[1]AttributeName!$C:$C,[1]AttributeName!$I:$I),2,_xlfn.XLOOKUP(C2412,[1]ModifierDes!$B:$B,[1]ModifierDes!$C:$C),3,_xlfn.XLOOKUP(C2412,[1]StuntDes!$B:$B,[1]StuntDes!$C:$C)),"")</f>
        <v>穿戴等级降低增加{0}</v>
      </c>
      <c r="L2412">
        <f t="shared" si="184"/>
        <v>1</v>
      </c>
      <c r="M2412" s="10" t="str">
        <f>IFERROR(_xlfn.XLOOKUP(C2412,[1]StuntDes!$B:$B,[1]StuntDes!$A:$A),"")</f>
        <v/>
      </c>
      <c r="N2412" s="10" t="str">
        <f>IFERROR(_xlfn.XLOOKUP(C2412,[1]ModifierDes!$B:$B,[1]ModifierDes!$A:$A),"")</f>
        <v/>
      </c>
      <c r="O2412" s="10">
        <f>IFERROR(_xlfn.XLOOKUP(C2412,[1]AttributeName!$C:$C,[1]AttributeName!$B:$B),"")</f>
        <v>10900</v>
      </c>
      <c r="P2412" s="10"/>
      <c r="Q2412">
        <v>0.31</v>
      </c>
      <c r="R2412">
        <v>0.35</v>
      </c>
      <c r="S2412" cm="1">
        <f t="array" ref="S2412">IFERROR(_xlfn.SWITCH(L2412,1,_xlfn.XLOOKUP(O2412,[1]AttributeName!$B:$B,[1]AttributeName!$D:$D),2,_xlfn.XLOOKUP(C2412,[1]ModifierDes!$B:$B,[1]ModifierDes!$D:$D),3,_xlfn.XLOOKUP(C2412,[1]StuntDes!$B:$B,[1]StuntDes!$D:$D)),0)</f>
        <v>0</v>
      </c>
      <c r="T2412" cm="1">
        <f t="array" ref="T2412">IFERROR(_xlfn.SWITCH(L2412,1,_xlfn.XLOOKUP(O2412,[1]AttributeName!$B:$B,[1]AttributeName!$E:$E),2,_xlfn.XLOOKUP(C2412,[1]ModifierDes!$B:$B,[1]ModifierDes!$E:$E),3,_xlfn.XLOOKUP(C2412,[1]StuntDes!$B:$B,[1]StuntDes!$E:$E)),0)</f>
        <v>1</v>
      </c>
    </row>
    <row r="2413" customFormat="1" spans="1:20">
      <c r="A2413">
        <f t="shared" si="183"/>
        <v>1365</v>
      </c>
      <c r="B2413">
        <v>3</v>
      </c>
      <c r="C2413" t="s">
        <v>424</v>
      </c>
      <c r="D2413" t="s">
        <v>28</v>
      </c>
      <c r="E2413" s="13" t="s">
        <v>410</v>
      </c>
      <c r="G2413">
        <v>2</v>
      </c>
      <c r="H2413">
        <v>1000</v>
      </c>
      <c r="J2413" cm="1">
        <f t="array" ref="J2413">_xlfn.SWITCH(B2413,1,75,2,61,3,49,4,37,5,25,6,13,7,4,8,1)</f>
        <v>49</v>
      </c>
      <c r="K2413" t="str" cm="1">
        <f t="array" ref="K2413">IFERROR(_xlfn.SWITCH(L2413,1,_xlfn.XLOOKUP(C2413,[1]AttributeName!$C:$C,[1]AttributeName!$I:$I),2,_xlfn.XLOOKUP(C2413,[1]ModifierDes!$B:$B,[1]ModifierDes!$C:$C),3,_xlfn.XLOOKUP(C2413,[1]StuntDes!$B:$B,[1]StuntDes!$C:$C)),"")</f>
        <v>穿戴等级降低增加{0}</v>
      </c>
      <c r="L2413">
        <f t="shared" si="184"/>
        <v>1</v>
      </c>
      <c r="M2413" s="10" t="str">
        <f>IFERROR(_xlfn.XLOOKUP(C2413,[1]StuntDes!$B:$B,[1]StuntDes!$A:$A),"")</f>
        <v/>
      </c>
      <c r="N2413" s="10" t="str">
        <f>IFERROR(_xlfn.XLOOKUP(C2413,[1]ModifierDes!$B:$B,[1]ModifierDes!$A:$A),"")</f>
        <v/>
      </c>
      <c r="O2413" s="10">
        <f>IFERROR(_xlfn.XLOOKUP(C2413,[1]AttributeName!$C:$C,[1]AttributeName!$B:$B),"")</f>
        <v>10900</v>
      </c>
      <c r="P2413" s="10"/>
      <c r="Q2413">
        <v>0.26</v>
      </c>
      <c r="R2413">
        <v>0.3</v>
      </c>
      <c r="S2413" cm="1">
        <f t="array" ref="S2413">IFERROR(_xlfn.SWITCH(L2413,1,_xlfn.XLOOKUP(O2413,[1]AttributeName!$B:$B,[1]AttributeName!$D:$D),2,_xlfn.XLOOKUP(C2413,[1]ModifierDes!$B:$B,[1]ModifierDes!$D:$D),3,_xlfn.XLOOKUP(C2413,[1]StuntDes!$B:$B,[1]StuntDes!$D:$D)),0)</f>
        <v>0</v>
      </c>
      <c r="T2413" cm="1">
        <f t="array" ref="T2413">IFERROR(_xlfn.SWITCH(L2413,1,_xlfn.XLOOKUP(O2413,[1]AttributeName!$B:$B,[1]AttributeName!$E:$E),2,_xlfn.XLOOKUP(C2413,[1]ModifierDes!$B:$B,[1]ModifierDes!$E:$E),3,_xlfn.XLOOKUP(C2413,[1]StuntDes!$B:$B,[1]StuntDes!$E:$E)),0)</f>
        <v>1</v>
      </c>
    </row>
    <row r="2414" customFormat="1" spans="1:20">
      <c r="A2414">
        <f t="shared" si="183"/>
        <v>1365</v>
      </c>
      <c r="B2414">
        <v>4</v>
      </c>
      <c r="C2414" t="s">
        <v>424</v>
      </c>
      <c r="D2414" t="s">
        <v>28</v>
      </c>
      <c r="E2414" s="13" t="s">
        <v>410</v>
      </c>
      <c r="G2414">
        <v>2</v>
      </c>
      <c r="H2414">
        <v>1000</v>
      </c>
      <c r="J2414" cm="1">
        <f t="array" ref="J2414">_xlfn.SWITCH(B2414,1,75,2,61,3,49,4,37,5,25,6,13,7,4,8,1)</f>
        <v>37</v>
      </c>
      <c r="K2414" t="str" cm="1">
        <f t="array" ref="K2414">IFERROR(_xlfn.SWITCH(L2414,1,_xlfn.XLOOKUP(C2414,[1]AttributeName!$C:$C,[1]AttributeName!$I:$I),2,_xlfn.XLOOKUP(C2414,[1]ModifierDes!$B:$B,[1]ModifierDes!$C:$C),3,_xlfn.XLOOKUP(C2414,[1]StuntDes!$B:$B,[1]StuntDes!$C:$C)),"")</f>
        <v>穿戴等级降低增加{0}</v>
      </c>
      <c r="L2414">
        <f t="shared" si="184"/>
        <v>1</v>
      </c>
      <c r="M2414" s="10" t="str">
        <f>IFERROR(_xlfn.XLOOKUP(C2414,[1]StuntDes!$B:$B,[1]StuntDes!$A:$A),"")</f>
        <v/>
      </c>
      <c r="N2414" s="10" t="str">
        <f>IFERROR(_xlfn.XLOOKUP(C2414,[1]ModifierDes!$B:$B,[1]ModifierDes!$A:$A),"")</f>
        <v/>
      </c>
      <c r="O2414" s="10">
        <f>IFERROR(_xlfn.XLOOKUP(C2414,[1]AttributeName!$C:$C,[1]AttributeName!$B:$B),"")</f>
        <v>10900</v>
      </c>
      <c r="P2414" s="10"/>
      <c r="Q2414">
        <v>0.21</v>
      </c>
      <c r="R2414">
        <v>0.25</v>
      </c>
      <c r="S2414" cm="1">
        <f t="array" ref="S2414">IFERROR(_xlfn.SWITCH(L2414,1,_xlfn.XLOOKUP(O2414,[1]AttributeName!$B:$B,[1]AttributeName!$D:$D),2,_xlfn.XLOOKUP(C2414,[1]ModifierDes!$B:$B,[1]ModifierDes!$D:$D),3,_xlfn.XLOOKUP(C2414,[1]StuntDes!$B:$B,[1]StuntDes!$D:$D)),0)</f>
        <v>0</v>
      </c>
      <c r="T2414" cm="1">
        <f t="array" ref="T2414">IFERROR(_xlfn.SWITCH(L2414,1,_xlfn.XLOOKUP(O2414,[1]AttributeName!$B:$B,[1]AttributeName!$E:$E),2,_xlfn.XLOOKUP(C2414,[1]ModifierDes!$B:$B,[1]ModifierDes!$E:$E),3,_xlfn.XLOOKUP(C2414,[1]StuntDes!$B:$B,[1]StuntDes!$E:$E)),0)</f>
        <v>1</v>
      </c>
    </row>
    <row r="2415" customFormat="1" spans="1:20">
      <c r="A2415">
        <f t="shared" si="183"/>
        <v>1365</v>
      </c>
      <c r="B2415">
        <v>5</v>
      </c>
      <c r="C2415" t="s">
        <v>424</v>
      </c>
      <c r="D2415" t="s">
        <v>28</v>
      </c>
      <c r="E2415" s="13" t="s">
        <v>410</v>
      </c>
      <c r="G2415">
        <v>2</v>
      </c>
      <c r="H2415">
        <v>1000</v>
      </c>
      <c r="J2415" cm="1">
        <f t="array" ref="J2415">_xlfn.SWITCH(B2415,1,75,2,61,3,49,4,37,5,25,6,13,7,4,8,1)</f>
        <v>25</v>
      </c>
      <c r="K2415" t="str" cm="1">
        <f t="array" ref="K2415">IFERROR(_xlfn.SWITCH(L2415,1,_xlfn.XLOOKUP(C2415,[1]AttributeName!$C:$C,[1]AttributeName!$I:$I),2,_xlfn.XLOOKUP(C2415,[1]ModifierDes!$B:$B,[1]ModifierDes!$C:$C),3,_xlfn.XLOOKUP(C2415,[1]StuntDes!$B:$B,[1]StuntDes!$C:$C)),"")</f>
        <v>穿戴等级降低增加{0}</v>
      </c>
      <c r="L2415">
        <f t="shared" si="184"/>
        <v>1</v>
      </c>
      <c r="M2415" s="10" t="str">
        <f>IFERROR(_xlfn.XLOOKUP(C2415,[1]StuntDes!$B:$B,[1]StuntDes!$A:$A),"")</f>
        <v/>
      </c>
      <c r="N2415" s="10" t="str">
        <f>IFERROR(_xlfn.XLOOKUP(C2415,[1]ModifierDes!$B:$B,[1]ModifierDes!$A:$A),"")</f>
        <v/>
      </c>
      <c r="O2415" s="10">
        <f>IFERROR(_xlfn.XLOOKUP(C2415,[1]AttributeName!$C:$C,[1]AttributeName!$B:$B),"")</f>
        <v>10900</v>
      </c>
      <c r="P2415" s="10"/>
      <c r="Q2415">
        <v>0.16</v>
      </c>
      <c r="R2415">
        <v>0.2</v>
      </c>
      <c r="S2415" cm="1">
        <f t="array" ref="S2415">IFERROR(_xlfn.SWITCH(L2415,1,_xlfn.XLOOKUP(O2415,[1]AttributeName!$B:$B,[1]AttributeName!$D:$D),2,_xlfn.XLOOKUP(C2415,[1]ModifierDes!$B:$B,[1]ModifierDes!$D:$D),3,_xlfn.XLOOKUP(C2415,[1]StuntDes!$B:$B,[1]StuntDes!$D:$D)),0)</f>
        <v>0</v>
      </c>
      <c r="T2415" cm="1">
        <f t="array" ref="T2415">IFERROR(_xlfn.SWITCH(L2415,1,_xlfn.XLOOKUP(O2415,[1]AttributeName!$B:$B,[1]AttributeName!$E:$E),2,_xlfn.XLOOKUP(C2415,[1]ModifierDes!$B:$B,[1]ModifierDes!$E:$E),3,_xlfn.XLOOKUP(C2415,[1]StuntDes!$B:$B,[1]StuntDes!$E:$E)),0)</f>
        <v>1</v>
      </c>
    </row>
    <row r="2416" customFormat="1" spans="1:20">
      <c r="A2416">
        <f t="shared" si="183"/>
        <v>1365</v>
      </c>
      <c r="B2416">
        <v>6</v>
      </c>
      <c r="C2416" t="s">
        <v>424</v>
      </c>
      <c r="D2416" t="s">
        <v>28</v>
      </c>
      <c r="E2416" s="13" t="s">
        <v>410</v>
      </c>
      <c r="G2416">
        <v>2</v>
      </c>
      <c r="H2416">
        <v>1000</v>
      </c>
      <c r="J2416" cm="1">
        <f t="array" ref="J2416">_xlfn.SWITCH(B2416,1,75,2,61,3,49,4,37,5,25,6,13,7,4,8,1)</f>
        <v>13</v>
      </c>
      <c r="K2416" t="str" cm="1">
        <f t="array" ref="K2416">IFERROR(_xlfn.SWITCH(L2416,1,_xlfn.XLOOKUP(C2416,[1]AttributeName!$C:$C,[1]AttributeName!$I:$I),2,_xlfn.XLOOKUP(C2416,[1]ModifierDes!$B:$B,[1]ModifierDes!$C:$C),3,_xlfn.XLOOKUP(C2416,[1]StuntDes!$B:$B,[1]StuntDes!$C:$C)),"")</f>
        <v>穿戴等级降低增加{0}</v>
      </c>
      <c r="L2416">
        <f t="shared" si="184"/>
        <v>1</v>
      </c>
      <c r="M2416" s="10" t="str">
        <f>IFERROR(_xlfn.XLOOKUP(C2416,[1]StuntDes!$B:$B,[1]StuntDes!$A:$A),"")</f>
        <v/>
      </c>
      <c r="N2416" s="10" t="str">
        <f>IFERROR(_xlfn.XLOOKUP(C2416,[1]ModifierDes!$B:$B,[1]ModifierDes!$A:$A),"")</f>
        <v/>
      </c>
      <c r="O2416" s="10">
        <f>IFERROR(_xlfn.XLOOKUP(C2416,[1]AttributeName!$C:$C,[1]AttributeName!$B:$B),"")</f>
        <v>10900</v>
      </c>
      <c r="P2416" s="10"/>
      <c r="Q2416">
        <v>0.11</v>
      </c>
      <c r="R2416">
        <v>0.15</v>
      </c>
      <c r="S2416" cm="1">
        <f t="array" ref="S2416">IFERROR(_xlfn.SWITCH(L2416,1,_xlfn.XLOOKUP(O2416,[1]AttributeName!$B:$B,[1]AttributeName!$D:$D),2,_xlfn.XLOOKUP(C2416,[1]ModifierDes!$B:$B,[1]ModifierDes!$D:$D),3,_xlfn.XLOOKUP(C2416,[1]StuntDes!$B:$B,[1]StuntDes!$D:$D)),0)</f>
        <v>0</v>
      </c>
      <c r="T2416" cm="1">
        <f t="array" ref="T2416">IFERROR(_xlfn.SWITCH(L2416,1,_xlfn.XLOOKUP(O2416,[1]AttributeName!$B:$B,[1]AttributeName!$E:$E),2,_xlfn.XLOOKUP(C2416,[1]ModifierDes!$B:$B,[1]ModifierDes!$E:$E),3,_xlfn.XLOOKUP(C2416,[1]StuntDes!$B:$B,[1]StuntDes!$E:$E)),0)</f>
        <v>1</v>
      </c>
    </row>
    <row r="2417" customFormat="1" spans="1:20">
      <c r="A2417">
        <f t="shared" si="183"/>
        <v>1365</v>
      </c>
      <c r="B2417">
        <v>7</v>
      </c>
      <c r="C2417" t="s">
        <v>424</v>
      </c>
      <c r="D2417" t="s">
        <v>28</v>
      </c>
      <c r="E2417" s="13" t="s">
        <v>410</v>
      </c>
      <c r="G2417">
        <v>2</v>
      </c>
      <c r="H2417">
        <v>1000</v>
      </c>
      <c r="J2417" cm="1">
        <f t="array" ref="J2417">_xlfn.SWITCH(B2417,1,75,2,61,3,49,4,37,5,25,6,13,7,4,8,1)</f>
        <v>4</v>
      </c>
      <c r="K2417" t="str" cm="1">
        <f t="array" ref="K2417">IFERROR(_xlfn.SWITCH(L2417,1,_xlfn.XLOOKUP(C2417,[1]AttributeName!$C:$C,[1]AttributeName!$I:$I),2,_xlfn.XLOOKUP(C2417,[1]ModifierDes!$B:$B,[1]ModifierDes!$C:$C),3,_xlfn.XLOOKUP(C2417,[1]StuntDes!$B:$B,[1]StuntDes!$C:$C)),"")</f>
        <v>穿戴等级降低增加{0}</v>
      </c>
      <c r="L2417">
        <f t="shared" si="184"/>
        <v>1</v>
      </c>
      <c r="M2417" s="10" t="str">
        <f>IFERROR(_xlfn.XLOOKUP(C2417,[1]StuntDes!$B:$B,[1]StuntDes!$A:$A),"")</f>
        <v/>
      </c>
      <c r="N2417" s="10" t="str">
        <f>IFERROR(_xlfn.XLOOKUP(C2417,[1]ModifierDes!$B:$B,[1]ModifierDes!$A:$A),"")</f>
        <v/>
      </c>
      <c r="O2417" s="10">
        <f>IFERROR(_xlfn.XLOOKUP(C2417,[1]AttributeName!$C:$C,[1]AttributeName!$B:$B),"")</f>
        <v>10900</v>
      </c>
      <c r="P2417" s="10"/>
      <c r="Q2417">
        <v>0.06</v>
      </c>
      <c r="R2417">
        <v>0.1</v>
      </c>
      <c r="S2417" cm="1">
        <f t="array" ref="S2417">IFERROR(_xlfn.SWITCH(L2417,1,_xlfn.XLOOKUP(O2417,[1]AttributeName!$B:$B,[1]AttributeName!$D:$D),2,_xlfn.XLOOKUP(C2417,[1]ModifierDes!$B:$B,[1]ModifierDes!$D:$D),3,_xlfn.XLOOKUP(C2417,[1]StuntDes!$B:$B,[1]StuntDes!$D:$D)),0)</f>
        <v>0</v>
      </c>
      <c r="T2417" cm="1">
        <f t="array" ref="T2417">IFERROR(_xlfn.SWITCH(L2417,1,_xlfn.XLOOKUP(O2417,[1]AttributeName!$B:$B,[1]AttributeName!$E:$E),2,_xlfn.XLOOKUP(C2417,[1]ModifierDes!$B:$B,[1]ModifierDes!$E:$E),3,_xlfn.XLOOKUP(C2417,[1]StuntDes!$B:$B,[1]StuntDes!$E:$E)),0)</f>
        <v>1</v>
      </c>
    </row>
    <row r="2418" customFormat="1" spans="1:20">
      <c r="A2418">
        <f t="shared" si="183"/>
        <v>1365</v>
      </c>
      <c r="B2418">
        <v>8</v>
      </c>
      <c r="C2418" t="s">
        <v>424</v>
      </c>
      <c r="D2418" t="s">
        <v>28</v>
      </c>
      <c r="E2418" s="13" t="s">
        <v>410</v>
      </c>
      <c r="G2418">
        <v>2</v>
      </c>
      <c r="H2418">
        <v>1000</v>
      </c>
      <c r="J2418" cm="1">
        <f t="array" ref="J2418">_xlfn.SWITCH(B2418,1,75,2,61,3,49,4,37,5,25,6,13,7,4,8,1)</f>
        <v>1</v>
      </c>
      <c r="K2418" t="str" cm="1">
        <f t="array" ref="K2418">IFERROR(_xlfn.SWITCH(L2418,1,_xlfn.XLOOKUP(C2418,[1]AttributeName!$C:$C,[1]AttributeName!$I:$I),2,_xlfn.XLOOKUP(C2418,[1]ModifierDes!$B:$B,[1]ModifierDes!$C:$C),3,_xlfn.XLOOKUP(C2418,[1]StuntDes!$B:$B,[1]StuntDes!$C:$C)),"")</f>
        <v>穿戴等级降低增加{0}</v>
      </c>
      <c r="L2418">
        <f t="shared" si="184"/>
        <v>1</v>
      </c>
      <c r="M2418" s="10" t="str">
        <f>IFERROR(_xlfn.XLOOKUP(C2418,[1]StuntDes!$B:$B,[1]StuntDes!$A:$A),"")</f>
        <v/>
      </c>
      <c r="N2418" s="10" t="str">
        <f>IFERROR(_xlfn.XLOOKUP(C2418,[1]ModifierDes!$B:$B,[1]ModifierDes!$A:$A),"")</f>
        <v/>
      </c>
      <c r="O2418" s="10">
        <f>IFERROR(_xlfn.XLOOKUP(C2418,[1]AttributeName!$C:$C,[1]AttributeName!$B:$B),"")</f>
        <v>10900</v>
      </c>
      <c r="P2418" s="10"/>
      <c r="Q2418">
        <v>0.01</v>
      </c>
      <c r="R2418">
        <v>0.05</v>
      </c>
      <c r="S2418" cm="1">
        <f t="array" ref="S2418">IFERROR(_xlfn.SWITCH(L2418,1,_xlfn.XLOOKUP(O2418,[1]AttributeName!$B:$B,[1]AttributeName!$D:$D),2,_xlfn.XLOOKUP(C2418,[1]ModifierDes!$B:$B,[1]ModifierDes!$D:$D),3,_xlfn.XLOOKUP(C2418,[1]StuntDes!$B:$B,[1]StuntDes!$D:$D)),0)</f>
        <v>0</v>
      </c>
      <c r="T2418" cm="1">
        <f t="array" ref="T2418">IFERROR(_xlfn.SWITCH(L2418,1,_xlfn.XLOOKUP(O2418,[1]AttributeName!$B:$B,[1]AttributeName!$E:$E),2,_xlfn.XLOOKUP(C2418,[1]ModifierDes!$B:$B,[1]ModifierDes!$E:$E),3,_xlfn.XLOOKUP(C2418,[1]StuntDes!$B:$B,[1]StuntDes!$E:$E)),0)</f>
        <v>1</v>
      </c>
    </row>
    <row r="2419" customFormat="1" spans="1:20">
      <c r="A2419">
        <f t="shared" ref="A2419:A2434" si="185">A2411+1</f>
        <v>1366</v>
      </c>
      <c r="B2419">
        <v>1</v>
      </c>
      <c r="C2419" t="s">
        <v>425</v>
      </c>
      <c r="D2419" t="s">
        <v>28</v>
      </c>
      <c r="E2419" s="13" t="s">
        <v>410</v>
      </c>
      <c r="G2419">
        <v>2</v>
      </c>
      <c r="H2419">
        <v>1000</v>
      </c>
      <c r="J2419" cm="1">
        <f t="array" ref="J2419">_xlfn.SWITCH(B2419,1,75,2,61,3,49,4,37,5,25,6,13,7,4,8,1)</f>
        <v>75</v>
      </c>
      <c r="K2419" t="str" cm="1">
        <f t="array" ref="K2419">IFERROR(_xlfn.SWITCH(L2419,1,_xlfn.XLOOKUP(C2419,[1]AttributeName!$C:$C,[1]AttributeName!$I:$I),2,_xlfn.XLOOKUP(C2419,[1]ModifierDes!$B:$B,[1]ModifierDes!$C:$C),3,_xlfn.XLOOKUP(C2419,[1]StuntDes!$B:$B,[1]StuntDes!$C:$C)),"")</f>
        <v>击杀回血增加{0}</v>
      </c>
      <c r="L2419">
        <f t="shared" si="184"/>
        <v>1</v>
      </c>
      <c r="M2419" s="10" t="str">
        <f>IFERROR(_xlfn.XLOOKUP(C2419,[1]StuntDes!$B:$B,[1]StuntDes!$A:$A),"")</f>
        <v/>
      </c>
      <c r="N2419" s="10" t="str">
        <f>IFERROR(_xlfn.XLOOKUP(C2419,[1]ModifierDes!$B:$B,[1]ModifierDes!$A:$A),"")</f>
        <v/>
      </c>
      <c r="O2419" s="10">
        <f>IFERROR(_xlfn.XLOOKUP(C2419,[1]AttributeName!$C:$C,[1]AttributeName!$B:$B),"")</f>
        <v>10019</v>
      </c>
      <c r="P2419" s="10"/>
      <c r="Q2419">
        <v>177</v>
      </c>
      <c r="R2419">
        <v>202</v>
      </c>
      <c r="S2419" cm="1">
        <f t="array" ref="S2419">IFERROR(_xlfn.SWITCH(L2419,1,_xlfn.XLOOKUP(O2419,[1]AttributeName!$B:$B,[1]AttributeName!$D:$D),2,_xlfn.XLOOKUP(C2419,[1]ModifierDes!$B:$B,[1]ModifierDes!$D:$D),3,_xlfn.XLOOKUP(C2419,[1]StuntDes!$B:$B,[1]StuntDes!$D:$D)),0)</f>
        <v>0</v>
      </c>
      <c r="T2419" cm="1">
        <f t="array" ref="T2419">IFERROR(_xlfn.SWITCH(L2419,1,_xlfn.XLOOKUP(O2419,[1]AttributeName!$B:$B,[1]AttributeName!$E:$E),2,_xlfn.XLOOKUP(C2419,[1]ModifierDes!$B:$B,[1]ModifierDes!$E:$E),3,_xlfn.XLOOKUP(C2419,[1]StuntDes!$B:$B,[1]StuntDes!$E:$E)),0)</f>
        <v>1</v>
      </c>
    </row>
    <row r="2420" customFormat="1" spans="1:20">
      <c r="A2420">
        <f t="shared" si="185"/>
        <v>1366</v>
      </c>
      <c r="B2420">
        <v>2</v>
      </c>
      <c r="C2420" t="s">
        <v>425</v>
      </c>
      <c r="D2420" t="s">
        <v>28</v>
      </c>
      <c r="E2420" s="13" t="s">
        <v>410</v>
      </c>
      <c r="G2420">
        <v>2</v>
      </c>
      <c r="H2420">
        <v>1000</v>
      </c>
      <c r="J2420" cm="1">
        <f t="array" ref="J2420">_xlfn.SWITCH(B2420,1,75,2,61,3,49,4,37,5,25,6,13,7,4,8,1)</f>
        <v>61</v>
      </c>
      <c r="K2420" t="str" cm="1">
        <f t="array" ref="K2420">IFERROR(_xlfn.SWITCH(L2420,1,_xlfn.XLOOKUP(C2420,[1]AttributeName!$C:$C,[1]AttributeName!$I:$I),2,_xlfn.XLOOKUP(C2420,[1]ModifierDes!$B:$B,[1]ModifierDes!$C:$C),3,_xlfn.XLOOKUP(C2420,[1]StuntDes!$B:$B,[1]StuntDes!$C:$C)),"")</f>
        <v>击杀回血增加{0}</v>
      </c>
      <c r="L2420">
        <f t="shared" si="184"/>
        <v>1</v>
      </c>
      <c r="M2420" s="10" t="str">
        <f>IFERROR(_xlfn.XLOOKUP(C2420,[1]StuntDes!$B:$B,[1]StuntDes!$A:$A),"")</f>
        <v/>
      </c>
      <c r="N2420" s="10" t="str">
        <f>IFERROR(_xlfn.XLOOKUP(C2420,[1]ModifierDes!$B:$B,[1]ModifierDes!$A:$A),"")</f>
        <v/>
      </c>
      <c r="O2420" s="10">
        <f>IFERROR(_xlfn.XLOOKUP(C2420,[1]AttributeName!$C:$C,[1]AttributeName!$B:$B),"")</f>
        <v>10019</v>
      </c>
      <c r="P2420" s="10"/>
      <c r="Q2420">
        <v>105</v>
      </c>
      <c r="R2420">
        <v>130</v>
      </c>
      <c r="S2420" cm="1">
        <f t="array" ref="S2420">IFERROR(_xlfn.SWITCH(L2420,1,_xlfn.XLOOKUP(O2420,[1]AttributeName!$B:$B,[1]AttributeName!$D:$D),2,_xlfn.XLOOKUP(C2420,[1]ModifierDes!$B:$B,[1]ModifierDes!$D:$D),3,_xlfn.XLOOKUP(C2420,[1]StuntDes!$B:$B,[1]StuntDes!$D:$D)),0)</f>
        <v>0</v>
      </c>
      <c r="T2420" cm="1">
        <f t="array" ref="T2420">IFERROR(_xlfn.SWITCH(L2420,1,_xlfn.XLOOKUP(O2420,[1]AttributeName!$B:$B,[1]AttributeName!$E:$E),2,_xlfn.XLOOKUP(C2420,[1]ModifierDes!$B:$B,[1]ModifierDes!$E:$E),3,_xlfn.XLOOKUP(C2420,[1]StuntDes!$B:$B,[1]StuntDes!$E:$E)),0)</f>
        <v>1</v>
      </c>
    </row>
    <row r="2421" customFormat="1" spans="1:20">
      <c r="A2421">
        <f t="shared" si="185"/>
        <v>1366</v>
      </c>
      <c r="B2421">
        <v>3</v>
      </c>
      <c r="C2421" t="s">
        <v>425</v>
      </c>
      <c r="D2421" t="s">
        <v>28</v>
      </c>
      <c r="E2421" s="13" t="s">
        <v>410</v>
      </c>
      <c r="G2421">
        <v>2</v>
      </c>
      <c r="H2421">
        <v>1000</v>
      </c>
      <c r="J2421" cm="1">
        <f t="array" ref="J2421">_xlfn.SWITCH(B2421,1,75,2,61,3,49,4,37,5,25,6,13,7,4,8,1)</f>
        <v>49</v>
      </c>
      <c r="K2421" t="str" cm="1">
        <f t="array" ref="K2421">IFERROR(_xlfn.SWITCH(L2421,1,_xlfn.XLOOKUP(C2421,[1]AttributeName!$C:$C,[1]AttributeName!$I:$I),2,_xlfn.XLOOKUP(C2421,[1]ModifierDes!$B:$B,[1]ModifierDes!$C:$C),3,_xlfn.XLOOKUP(C2421,[1]StuntDes!$B:$B,[1]StuntDes!$C:$C)),"")</f>
        <v>击杀回血增加{0}</v>
      </c>
      <c r="L2421">
        <f t="shared" si="184"/>
        <v>1</v>
      </c>
      <c r="M2421" s="10" t="str">
        <f>IFERROR(_xlfn.XLOOKUP(C2421,[1]StuntDes!$B:$B,[1]StuntDes!$A:$A),"")</f>
        <v/>
      </c>
      <c r="N2421" s="10" t="str">
        <f>IFERROR(_xlfn.XLOOKUP(C2421,[1]ModifierDes!$B:$B,[1]ModifierDes!$A:$A),"")</f>
        <v/>
      </c>
      <c r="O2421" s="10">
        <f>IFERROR(_xlfn.XLOOKUP(C2421,[1]AttributeName!$C:$C,[1]AttributeName!$B:$B),"")</f>
        <v>10019</v>
      </c>
      <c r="P2421" s="10"/>
      <c r="Q2421">
        <v>65</v>
      </c>
      <c r="R2421">
        <v>90</v>
      </c>
      <c r="S2421" cm="1">
        <f t="array" ref="S2421">IFERROR(_xlfn.SWITCH(L2421,1,_xlfn.XLOOKUP(O2421,[1]AttributeName!$B:$B,[1]AttributeName!$D:$D),2,_xlfn.XLOOKUP(C2421,[1]ModifierDes!$B:$B,[1]ModifierDes!$D:$D),3,_xlfn.XLOOKUP(C2421,[1]StuntDes!$B:$B,[1]StuntDes!$D:$D)),0)</f>
        <v>0</v>
      </c>
      <c r="T2421" cm="1">
        <f t="array" ref="T2421">IFERROR(_xlfn.SWITCH(L2421,1,_xlfn.XLOOKUP(O2421,[1]AttributeName!$B:$B,[1]AttributeName!$E:$E),2,_xlfn.XLOOKUP(C2421,[1]ModifierDes!$B:$B,[1]ModifierDes!$E:$E),3,_xlfn.XLOOKUP(C2421,[1]StuntDes!$B:$B,[1]StuntDes!$E:$E)),0)</f>
        <v>1</v>
      </c>
    </row>
    <row r="2422" customFormat="1" spans="1:20">
      <c r="A2422">
        <f t="shared" si="185"/>
        <v>1366</v>
      </c>
      <c r="B2422">
        <v>4</v>
      </c>
      <c r="C2422" t="s">
        <v>425</v>
      </c>
      <c r="D2422" t="s">
        <v>28</v>
      </c>
      <c r="E2422" s="13" t="s">
        <v>410</v>
      </c>
      <c r="G2422">
        <v>2</v>
      </c>
      <c r="H2422">
        <v>1000</v>
      </c>
      <c r="J2422" cm="1">
        <f t="array" ref="J2422">_xlfn.SWITCH(B2422,1,75,2,61,3,49,4,37,5,25,6,13,7,4,8,1)</f>
        <v>37</v>
      </c>
      <c r="K2422" t="str" cm="1">
        <f t="array" ref="K2422">IFERROR(_xlfn.SWITCH(L2422,1,_xlfn.XLOOKUP(C2422,[1]AttributeName!$C:$C,[1]AttributeName!$I:$I),2,_xlfn.XLOOKUP(C2422,[1]ModifierDes!$B:$B,[1]ModifierDes!$C:$C),3,_xlfn.XLOOKUP(C2422,[1]StuntDes!$B:$B,[1]StuntDes!$C:$C)),"")</f>
        <v>击杀回血增加{0}</v>
      </c>
      <c r="L2422">
        <f t="shared" si="184"/>
        <v>1</v>
      </c>
      <c r="M2422" s="10" t="str">
        <f>IFERROR(_xlfn.XLOOKUP(C2422,[1]StuntDes!$B:$B,[1]StuntDes!$A:$A),"")</f>
        <v/>
      </c>
      <c r="N2422" s="10" t="str">
        <f>IFERROR(_xlfn.XLOOKUP(C2422,[1]ModifierDes!$B:$B,[1]ModifierDes!$A:$A),"")</f>
        <v/>
      </c>
      <c r="O2422" s="10">
        <f>IFERROR(_xlfn.XLOOKUP(C2422,[1]AttributeName!$C:$C,[1]AttributeName!$B:$B),"")</f>
        <v>10019</v>
      </c>
      <c r="P2422" s="10"/>
      <c r="Q2422">
        <v>38</v>
      </c>
      <c r="R2422">
        <v>63</v>
      </c>
      <c r="S2422" cm="1">
        <f t="array" ref="S2422">IFERROR(_xlfn.SWITCH(L2422,1,_xlfn.XLOOKUP(O2422,[1]AttributeName!$B:$B,[1]AttributeName!$D:$D),2,_xlfn.XLOOKUP(C2422,[1]ModifierDes!$B:$B,[1]ModifierDes!$D:$D),3,_xlfn.XLOOKUP(C2422,[1]StuntDes!$B:$B,[1]StuntDes!$D:$D)),0)</f>
        <v>0</v>
      </c>
      <c r="T2422" cm="1">
        <f t="array" ref="T2422">IFERROR(_xlfn.SWITCH(L2422,1,_xlfn.XLOOKUP(O2422,[1]AttributeName!$B:$B,[1]AttributeName!$E:$E),2,_xlfn.XLOOKUP(C2422,[1]ModifierDes!$B:$B,[1]ModifierDes!$E:$E),3,_xlfn.XLOOKUP(C2422,[1]StuntDes!$B:$B,[1]StuntDes!$E:$E)),0)</f>
        <v>1</v>
      </c>
    </row>
    <row r="2423" customFormat="1" spans="1:20">
      <c r="A2423">
        <f t="shared" si="185"/>
        <v>1366</v>
      </c>
      <c r="B2423">
        <v>5</v>
      </c>
      <c r="C2423" t="s">
        <v>425</v>
      </c>
      <c r="D2423" t="s">
        <v>28</v>
      </c>
      <c r="E2423" s="13" t="s">
        <v>410</v>
      </c>
      <c r="G2423">
        <v>2</v>
      </c>
      <c r="H2423">
        <v>1000</v>
      </c>
      <c r="J2423" cm="1">
        <f t="array" ref="J2423">_xlfn.SWITCH(B2423,1,75,2,61,3,49,4,37,5,25,6,13,7,4,8,1)</f>
        <v>25</v>
      </c>
      <c r="K2423" t="str" cm="1">
        <f t="array" ref="K2423">IFERROR(_xlfn.SWITCH(L2423,1,_xlfn.XLOOKUP(C2423,[1]AttributeName!$C:$C,[1]AttributeName!$I:$I),2,_xlfn.XLOOKUP(C2423,[1]ModifierDes!$B:$B,[1]ModifierDes!$C:$C),3,_xlfn.XLOOKUP(C2423,[1]StuntDes!$B:$B,[1]StuntDes!$C:$C)),"")</f>
        <v>击杀回血增加{0}</v>
      </c>
      <c r="L2423">
        <f t="shared" si="184"/>
        <v>1</v>
      </c>
      <c r="M2423" s="10" t="str">
        <f>IFERROR(_xlfn.XLOOKUP(C2423,[1]StuntDes!$B:$B,[1]StuntDes!$A:$A),"")</f>
        <v/>
      </c>
      <c r="N2423" s="10" t="str">
        <f>IFERROR(_xlfn.XLOOKUP(C2423,[1]ModifierDes!$B:$B,[1]ModifierDes!$A:$A),"")</f>
        <v/>
      </c>
      <c r="O2423" s="10">
        <f>IFERROR(_xlfn.XLOOKUP(C2423,[1]AttributeName!$C:$C,[1]AttributeName!$B:$B),"")</f>
        <v>10019</v>
      </c>
      <c r="P2423" s="10"/>
      <c r="Q2423">
        <v>24</v>
      </c>
      <c r="R2423">
        <v>44</v>
      </c>
      <c r="S2423" cm="1">
        <f t="array" ref="S2423">IFERROR(_xlfn.SWITCH(L2423,1,_xlfn.XLOOKUP(O2423,[1]AttributeName!$B:$B,[1]AttributeName!$D:$D),2,_xlfn.XLOOKUP(C2423,[1]ModifierDes!$B:$B,[1]ModifierDes!$D:$D),3,_xlfn.XLOOKUP(C2423,[1]StuntDes!$B:$B,[1]StuntDes!$D:$D)),0)</f>
        <v>0</v>
      </c>
      <c r="T2423" cm="1">
        <f t="array" ref="T2423">IFERROR(_xlfn.SWITCH(L2423,1,_xlfn.XLOOKUP(O2423,[1]AttributeName!$B:$B,[1]AttributeName!$E:$E),2,_xlfn.XLOOKUP(C2423,[1]ModifierDes!$B:$B,[1]ModifierDes!$E:$E),3,_xlfn.XLOOKUP(C2423,[1]StuntDes!$B:$B,[1]StuntDes!$E:$E)),0)</f>
        <v>1</v>
      </c>
    </row>
    <row r="2424" customFormat="1" spans="1:20">
      <c r="A2424">
        <f t="shared" si="185"/>
        <v>1366</v>
      </c>
      <c r="B2424">
        <v>6</v>
      </c>
      <c r="C2424" t="s">
        <v>425</v>
      </c>
      <c r="D2424" t="s">
        <v>28</v>
      </c>
      <c r="E2424" s="13" t="s">
        <v>410</v>
      </c>
      <c r="G2424">
        <v>2</v>
      </c>
      <c r="H2424">
        <v>1000</v>
      </c>
      <c r="J2424" cm="1">
        <f t="array" ref="J2424">_xlfn.SWITCH(B2424,1,75,2,61,3,49,4,37,5,25,6,13,7,4,8,1)</f>
        <v>13</v>
      </c>
      <c r="K2424" t="str" cm="1">
        <f t="array" ref="K2424">IFERROR(_xlfn.SWITCH(L2424,1,_xlfn.XLOOKUP(C2424,[1]AttributeName!$C:$C,[1]AttributeName!$I:$I),2,_xlfn.XLOOKUP(C2424,[1]ModifierDes!$B:$B,[1]ModifierDes!$C:$C),3,_xlfn.XLOOKUP(C2424,[1]StuntDes!$B:$B,[1]StuntDes!$C:$C)),"")</f>
        <v>击杀回血增加{0}</v>
      </c>
      <c r="L2424">
        <f t="shared" si="184"/>
        <v>1</v>
      </c>
      <c r="M2424" s="10" t="str">
        <f>IFERROR(_xlfn.XLOOKUP(C2424,[1]StuntDes!$B:$B,[1]StuntDes!$A:$A),"")</f>
        <v/>
      </c>
      <c r="N2424" s="10" t="str">
        <f>IFERROR(_xlfn.XLOOKUP(C2424,[1]ModifierDes!$B:$B,[1]ModifierDes!$A:$A),"")</f>
        <v/>
      </c>
      <c r="O2424" s="10">
        <f>IFERROR(_xlfn.XLOOKUP(C2424,[1]AttributeName!$C:$C,[1]AttributeName!$B:$B),"")</f>
        <v>10019</v>
      </c>
      <c r="P2424" s="10"/>
      <c r="Q2424">
        <v>16</v>
      </c>
      <c r="R2424">
        <v>31</v>
      </c>
      <c r="S2424" cm="1">
        <f t="array" ref="S2424">IFERROR(_xlfn.SWITCH(L2424,1,_xlfn.XLOOKUP(O2424,[1]AttributeName!$B:$B,[1]AttributeName!$D:$D),2,_xlfn.XLOOKUP(C2424,[1]ModifierDes!$B:$B,[1]ModifierDes!$D:$D),3,_xlfn.XLOOKUP(C2424,[1]StuntDes!$B:$B,[1]StuntDes!$D:$D)),0)</f>
        <v>0</v>
      </c>
      <c r="T2424" cm="1">
        <f t="array" ref="T2424">IFERROR(_xlfn.SWITCH(L2424,1,_xlfn.XLOOKUP(O2424,[1]AttributeName!$B:$B,[1]AttributeName!$E:$E),2,_xlfn.XLOOKUP(C2424,[1]ModifierDes!$B:$B,[1]ModifierDes!$E:$E),3,_xlfn.XLOOKUP(C2424,[1]StuntDes!$B:$B,[1]StuntDes!$E:$E)),0)</f>
        <v>1</v>
      </c>
    </row>
    <row r="2425" customFormat="1" spans="1:20">
      <c r="A2425">
        <f t="shared" si="185"/>
        <v>1366</v>
      </c>
      <c r="B2425">
        <v>7</v>
      </c>
      <c r="C2425" t="s">
        <v>425</v>
      </c>
      <c r="D2425" t="s">
        <v>28</v>
      </c>
      <c r="E2425" s="13" t="s">
        <v>410</v>
      </c>
      <c r="G2425">
        <v>2</v>
      </c>
      <c r="H2425">
        <v>1000</v>
      </c>
      <c r="J2425" cm="1">
        <f t="array" ref="J2425">_xlfn.SWITCH(B2425,1,75,2,61,3,49,4,37,5,25,6,13,7,4,8,1)</f>
        <v>4</v>
      </c>
      <c r="K2425" t="str" cm="1">
        <f t="array" ref="K2425">IFERROR(_xlfn.SWITCH(L2425,1,_xlfn.XLOOKUP(C2425,[1]AttributeName!$C:$C,[1]AttributeName!$I:$I),2,_xlfn.XLOOKUP(C2425,[1]ModifierDes!$B:$B,[1]ModifierDes!$C:$C),3,_xlfn.XLOOKUP(C2425,[1]StuntDes!$B:$B,[1]StuntDes!$C:$C)),"")</f>
        <v>击杀回血增加{0}</v>
      </c>
      <c r="L2425">
        <f t="shared" si="184"/>
        <v>1</v>
      </c>
      <c r="M2425" s="10" t="str">
        <f>IFERROR(_xlfn.XLOOKUP(C2425,[1]StuntDes!$B:$B,[1]StuntDes!$A:$A),"")</f>
        <v/>
      </c>
      <c r="N2425" s="10" t="str">
        <f>IFERROR(_xlfn.XLOOKUP(C2425,[1]ModifierDes!$B:$B,[1]ModifierDes!$A:$A),"")</f>
        <v/>
      </c>
      <c r="O2425" s="10">
        <f>IFERROR(_xlfn.XLOOKUP(C2425,[1]AttributeName!$C:$C,[1]AttributeName!$B:$B),"")</f>
        <v>10019</v>
      </c>
      <c r="P2425" s="10"/>
      <c r="Q2425">
        <v>11</v>
      </c>
      <c r="R2425">
        <v>21</v>
      </c>
      <c r="S2425" cm="1">
        <f t="array" ref="S2425">IFERROR(_xlfn.SWITCH(L2425,1,_xlfn.XLOOKUP(O2425,[1]AttributeName!$B:$B,[1]AttributeName!$D:$D),2,_xlfn.XLOOKUP(C2425,[1]ModifierDes!$B:$B,[1]ModifierDes!$D:$D),3,_xlfn.XLOOKUP(C2425,[1]StuntDes!$B:$B,[1]StuntDes!$D:$D)),0)</f>
        <v>0</v>
      </c>
      <c r="T2425" cm="1">
        <f t="array" ref="T2425">IFERROR(_xlfn.SWITCH(L2425,1,_xlfn.XLOOKUP(O2425,[1]AttributeName!$B:$B,[1]AttributeName!$E:$E),2,_xlfn.XLOOKUP(C2425,[1]ModifierDes!$B:$B,[1]ModifierDes!$E:$E),3,_xlfn.XLOOKUP(C2425,[1]StuntDes!$B:$B,[1]StuntDes!$E:$E)),0)</f>
        <v>1</v>
      </c>
    </row>
    <row r="2426" customFormat="1" spans="1:20">
      <c r="A2426">
        <f t="shared" si="185"/>
        <v>1366</v>
      </c>
      <c r="B2426">
        <v>8</v>
      </c>
      <c r="C2426" t="s">
        <v>425</v>
      </c>
      <c r="D2426" t="s">
        <v>28</v>
      </c>
      <c r="E2426" s="13" t="s">
        <v>410</v>
      </c>
      <c r="G2426">
        <v>2</v>
      </c>
      <c r="H2426">
        <v>1000</v>
      </c>
      <c r="J2426" cm="1">
        <f t="array" ref="J2426">_xlfn.SWITCH(B2426,1,75,2,61,3,49,4,37,5,25,6,13,7,4,8,1)</f>
        <v>1</v>
      </c>
      <c r="K2426" t="str" cm="1">
        <f t="array" ref="K2426">IFERROR(_xlfn.SWITCH(L2426,1,_xlfn.XLOOKUP(C2426,[1]AttributeName!$C:$C,[1]AttributeName!$I:$I),2,_xlfn.XLOOKUP(C2426,[1]ModifierDes!$B:$B,[1]ModifierDes!$C:$C),3,_xlfn.XLOOKUP(C2426,[1]StuntDes!$B:$B,[1]StuntDes!$C:$C)),"")</f>
        <v>击杀回血增加{0}</v>
      </c>
      <c r="L2426">
        <f t="shared" si="184"/>
        <v>1</v>
      </c>
      <c r="M2426" s="10" t="str">
        <f>IFERROR(_xlfn.XLOOKUP(C2426,[1]StuntDes!$B:$B,[1]StuntDes!$A:$A),"")</f>
        <v/>
      </c>
      <c r="N2426" s="10" t="str">
        <f>IFERROR(_xlfn.XLOOKUP(C2426,[1]ModifierDes!$B:$B,[1]ModifierDes!$A:$A),"")</f>
        <v/>
      </c>
      <c r="O2426" s="10">
        <f>IFERROR(_xlfn.XLOOKUP(C2426,[1]AttributeName!$C:$C,[1]AttributeName!$B:$B),"")</f>
        <v>10019</v>
      </c>
      <c r="P2426" s="10"/>
      <c r="Q2426">
        <v>12</v>
      </c>
      <c r="R2426">
        <v>16</v>
      </c>
      <c r="S2426" cm="1">
        <f t="array" ref="S2426">IFERROR(_xlfn.SWITCH(L2426,1,_xlfn.XLOOKUP(O2426,[1]AttributeName!$B:$B,[1]AttributeName!$D:$D),2,_xlfn.XLOOKUP(C2426,[1]ModifierDes!$B:$B,[1]ModifierDes!$D:$D),3,_xlfn.XLOOKUP(C2426,[1]StuntDes!$B:$B,[1]StuntDes!$D:$D)),0)</f>
        <v>0</v>
      </c>
      <c r="T2426" cm="1">
        <f t="array" ref="T2426">IFERROR(_xlfn.SWITCH(L2426,1,_xlfn.XLOOKUP(O2426,[1]AttributeName!$B:$B,[1]AttributeName!$E:$E),2,_xlfn.XLOOKUP(C2426,[1]ModifierDes!$B:$B,[1]ModifierDes!$E:$E),3,_xlfn.XLOOKUP(C2426,[1]StuntDes!$B:$B,[1]StuntDes!$E:$E)),0)</f>
        <v>1</v>
      </c>
    </row>
    <row r="2427" customFormat="1" spans="1:20">
      <c r="A2427">
        <f t="shared" si="185"/>
        <v>1367</v>
      </c>
      <c r="B2427">
        <v>1</v>
      </c>
      <c r="C2427" t="s">
        <v>426</v>
      </c>
      <c r="D2427" t="s">
        <v>28</v>
      </c>
      <c r="E2427" s="13" t="s">
        <v>410</v>
      </c>
      <c r="G2427">
        <v>2</v>
      </c>
      <c r="H2427">
        <v>1000</v>
      </c>
      <c r="J2427" cm="1">
        <f t="array" ref="J2427">_xlfn.SWITCH(B2427,1,75,2,61,3,49,4,37,5,25,6,13,7,4,8,1)</f>
        <v>75</v>
      </c>
      <c r="K2427" t="str" cm="1">
        <f t="array" ref="K2427">IFERROR(_xlfn.SWITCH(L2427,1,_xlfn.XLOOKUP(C2427,[1]AttributeName!$C:$C,[1]AttributeName!$I:$I),2,_xlfn.XLOOKUP(C2427,[1]ModifierDes!$B:$B,[1]ModifierDes!$C:$C),3,_xlfn.XLOOKUP(C2427,[1]StuntDes!$B:$B,[1]StuntDes!$C:$C)),"")</f>
        <v>击杀回蓝增加{0}</v>
      </c>
      <c r="L2427">
        <f t="shared" si="184"/>
        <v>1</v>
      </c>
      <c r="M2427" s="10" t="str">
        <f>IFERROR(_xlfn.XLOOKUP(C2427,[1]StuntDes!$B:$B,[1]StuntDes!$A:$A),"")</f>
        <v/>
      </c>
      <c r="N2427" s="10" t="str">
        <f>IFERROR(_xlfn.XLOOKUP(C2427,[1]ModifierDes!$B:$B,[1]ModifierDes!$A:$A),"")</f>
        <v/>
      </c>
      <c r="O2427" s="10">
        <f>IFERROR(_xlfn.XLOOKUP(C2427,[1]AttributeName!$C:$C,[1]AttributeName!$B:$B),"")</f>
        <v>10020</v>
      </c>
      <c r="P2427" s="10"/>
      <c r="Q2427">
        <v>8</v>
      </c>
      <c r="R2427">
        <v>12</v>
      </c>
      <c r="S2427" cm="1">
        <f t="array" ref="S2427">IFERROR(_xlfn.SWITCH(L2427,1,_xlfn.XLOOKUP(O2427,[1]AttributeName!$B:$B,[1]AttributeName!$D:$D),2,_xlfn.XLOOKUP(C2427,[1]ModifierDes!$B:$B,[1]ModifierDes!$D:$D),3,_xlfn.XLOOKUP(C2427,[1]StuntDes!$B:$B,[1]StuntDes!$D:$D)),0)</f>
        <v>0</v>
      </c>
      <c r="T2427" cm="1">
        <f t="array" ref="T2427">IFERROR(_xlfn.SWITCH(L2427,1,_xlfn.XLOOKUP(O2427,[1]AttributeName!$B:$B,[1]AttributeName!$E:$E),2,_xlfn.XLOOKUP(C2427,[1]ModifierDes!$B:$B,[1]ModifierDes!$E:$E),3,_xlfn.XLOOKUP(C2427,[1]StuntDes!$B:$B,[1]StuntDes!$E:$E)),0)</f>
        <v>1</v>
      </c>
    </row>
    <row r="2428" customFormat="1" spans="1:20">
      <c r="A2428">
        <f t="shared" si="185"/>
        <v>1367</v>
      </c>
      <c r="B2428">
        <v>2</v>
      </c>
      <c r="C2428" t="s">
        <v>426</v>
      </c>
      <c r="D2428" t="s">
        <v>28</v>
      </c>
      <c r="E2428" s="13" t="s">
        <v>410</v>
      </c>
      <c r="G2428">
        <v>2</v>
      </c>
      <c r="H2428">
        <v>1000</v>
      </c>
      <c r="J2428" cm="1">
        <f t="array" ref="J2428">_xlfn.SWITCH(B2428,1,75,2,61,3,49,4,37,5,25,6,13,7,4,8,1)</f>
        <v>61</v>
      </c>
      <c r="K2428" t="str" cm="1">
        <f t="array" ref="K2428">IFERROR(_xlfn.SWITCH(L2428,1,_xlfn.XLOOKUP(C2428,[1]AttributeName!$C:$C,[1]AttributeName!$I:$I),2,_xlfn.XLOOKUP(C2428,[1]ModifierDes!$B:$B,[1]ModifierDes!$C:$C),3,_xlfn.XLOOKUP(C2428,[1]StuntDes!$B:$B,[1]StuntDes!$C:$C)),"")</f>
        <v>击杀回蓝增加{0}</v>
      </c>
      <c r="L2428">
        <f t="shared" si="184"/>
        <v>1</v>
      </c>
      <c r="M2428" s="10" t="str">
        <f>IFERROR(_xlfn.XLOOKUP(C2428,[1]StuntDes!$B:$B,[1]StuntDes!$A:$A),"")</f>
        <v/>
      </c>
      <c r="N2428" s="10" t="str">
        <f>IFERROR(_xlfn.XLOOKUP(C2428,[1]ModifierDes!$B:$B,[1]ModifierDes!$A:$A),"")</f>
        <v/>
      </c>
      <c r="O2428" s="10">
        <f>IFERROR(_xlfn.XLOOKUP(C2428,[1]AttributeName!$C:$C,[1]AttributeName!$B:$B),"")</f>
        <v>10020</v>
      </c>
      <c r="P2428" s="10"/>
      <c r="Q2428">
        <v>7</v>
      </c>
      <c r="R2428">
        <v>7</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f t="shared" si="185"/>
        <v>1367</v>
      </c>
      <c r="B2429">
        <v>3</v>
      </c>
      <c r="C2429" t="s">
        <v>426</v>
      </c>
      <c r="D2429" t="s">
        <v>28</v>
      </c>
      <c r="E2429" s="13" t="s">
        <v>410</v>
      </c>
      <c r="G2429">
        <v>2</v>
      </c>
      <c r="H2429">
        <v>1000</v>
      </c>
      <c r="J2429" cm="1">
        <f t="array" ref="J2429">_xlfn.SWITCH(B2429,1,75,2,61,3,49,4,37,5,25,6,13,7,4,8,1)</f>
        <v>49</v>
      </c>
      <c r="K2429" t="str" cm="1">
        <f t="array" ref="K2429">IFERROR(_xlfn.SWITCH(L2429,1,_xlfn.XLOOKUP(C2429,[1]AttributeName!$C:$C,[1]AttributeName!$I:$I),2,_xlfn.XLOOKUP(C2429,[1]ModifierDes!$B:$B,[1]ModifierDes!$C:$C),3,_xlfn.XLOOKUP(C2429,[1]StuntDes!$B:$B,[1]StuntDes!$C:$C)),"")</f>
        <v>击杀回蓝增加{0}</v>
      </c>
      <c r="L2429">
        <f t="shared" si="184"/>
        <v>1</v>
      </c>
      <c r="M2429" s="10" t="str">
        <f>IFERROR(_xlfn.XLOOKUP(C2429,[1]StuntDes!$B:$B,[1]StuntDes!$A:$A),"")</f>
        <v/>
      </c>
      <c r="N2429" s="10" t="str">
        <f>IFERROR(_xlfn.XLOOKUP(C2429,[1]ModifierDes!$B:$B,[1]ModifierDes!$A:$A),"")</f>
        <v/>
      </c>
      <c r="O2429" s="10">
        <f>IFERROR(_xlfn.XLOOKUP(C2429,[1]AttributeName!$C:$C,[1]AttributeName!$B:$B),"")</f>
        <v>10020</v>
      </c>
      <c r="P2429" s="10"/>
      <c r="Q2429">
        <v>6</v>
      </c>
      <c r="R2429">
        <v>6</v>
      </c>
      <c r="S2429" cm="1">
        <f t="array" ref="S2429">IFERROR(_xlfn.SWITCH(L2429,1,_xlfn.XLOOKUP(O2429,[1]AttributeName!$B:$B,[1]AttributeName!$D:$D),2,_xlfn.XLOOKUP(C2429,[1]ModifierDes!$B:$B,[1]ModifierDes!$D:$D),3,_xlfn.XLOOKUP(C2429,[1]StuntDes!$B:$B,[1]StuntDes!$D:$D)),0)</f>
        <v>0</v>
      </c>
      <c r="T2429" cm="1">
        <f t="array" ref="T2429">IFERROR(_xlfn.SWITCH(L2429,1,_xlfn.XLOOKUP(O2429,[1]AttributeName!$B:$B,[1]AttributeName!$E:$E),2,_xlfn.XLOOKUP(C2429,[1]ModifierDes!$B:$B,[1]ModifierDes!$E:$E),3,_xlfn.XLOOKUP(C2429,[1]StuntDes!$B:$B,[1]StuntDes!$E:$E)),0)</f>
        <v>1</v>
      </c>
    </row>
    <row r="2430" customFormat="1" spans="1:20">
      <c r="A2430">
        <f t="shared" si="185"/>
        <v>1367</v>
      </c>
      <c r="B2430">
        <v>4</v>
      </c>
      <c r="C2430" t="s">
        <v>426</v>
      </c>
      <c r="D2430" t="s">
        <v>28</v>
      </c>
      <c r="E2430" s="13" t="s">
        <v>410</v>
      </c>
      <c r="G2430">
        <v>2</v>
      </c>
      <c r="H2430">
        <v>1000</v>
      </c>
      <c r="J2430" cm="1">
        <f t="array" ref="J2430">_xlfn.SWITCH(B2430,1,75,2,61,3,49,4,37,5,25,6,13,7,4,8,1)</f>
        <v>37</v>
      </c>
      <c r="K2430" t="str" cm="1">
        <f t="array" ref="K2430">IFERROR(_xlfn.SWITCH(L2430,1,_xlfn.XLOOKUP(C2430,[1]AttributeName!$C:$C,[1]AttributeName!$I:$I),2,_xlfn.XLOOKUP(C2430,[1]ModifierDes!$B:$B,[1]ModifierDes!$C:$C),3,_xlfn.XLOOKUP(C2430,[1]StuntDes!$B:$B,[1]StuntDes!$C:$C)),"")</f>
        <v>击杀回蓝增加{0}</v>
      </c>
      <c r="L2430">
        <f t="shared" si="184"/>
        <v>1</v>
      </c>
      <c r="M2430" s="10" t="str">
        <f>IFERROR(_xlfn.XLOOKUP(C2430,[1]StuntDes!$B:$B,[1]StuntDes!$A:$A),"")</f>
        <v/>
      </c>
      <c r="N2430" s="10" t="str">
        <f>IFERROR(_xlfn.XLOOKUP(C2430,[1]ModifierDes!$B:$B,[1]ModifierDes!$A:$A),"")</f>
        <v/>
      </c>
      <c r="O2430" s="10">
        <f>IFERROR(_xlfn.XLOOKUP(C2430,[1]AttributeName!$C:$C,[1]AttributeName!$B:$B),"")</f>
        <v>10020</v>
      </c>
      <c r="P2430" s="10"/>
      <c r="Q2430">
        <v>5</v>
      </c>
      <c r="R2430">
        <v>5</v>
      </c>
      <c r="S2430" cm="1">
        <f t="array" ref="S2430">IFERROR(_xlfn.SWITCH(L2430,1,_xlfn.XLOOKUP(O2430,[1]AttributeName!$B:$B,[1]AttributeName!$D:$D),2,_xlfn.XLOOKUP(C2430,[1]ModifierDes!$B:$B,[1]ModifierDes!$D:$D),3,_xlfn.XLOOKUP(C2430,[1]StuntDes!$B:$B,[1]StuntDes!$D:$D)),0)</f>
        <v>0</v>
      </c>
      <c r="T2430" cm="1">
        <f t="array" ref="T2430">IFERROR(_xlfn.SWITCH(L2430,1,_xlfn.XLOOKUP(O2430,[1]AttributeName!$B:$B,[1]AttributeName!$E:$E),2,_xlfn.XLOOKUP(C2430,[1]ModifierDes!$B:$B,[1]ModifierDes!$E:$E),3,_xlfn.XLOOKUP(C2430,[1]StuntDes!$B:$B,[1]StuntDes!$E:$E)),0)</f>
        <v>1</v>
      </c>
    </row>
    <row r="2431" customFormat="1" spans="1:20">
      <c r="A2431">
        <f t="shared" si="185"/>
        <v>1367</v>
      </c>
      <c r="B2431">
        <v>5</v>
      </c>
      <c r="C2431" t="s">
        <v>426</v>
      </c>
      <c r="D2431" t="s">
        <v>28</v>
      </c>
      <c r="E2431" s="13" t="s">
        <v>410</v>
      </c>
      <c r="G2431">
        <v>2</v>
      </c>
      <c r="H2431">
        <v>1000</v>
      </c>
      <c r="J2431" cm="1">
        <f t="array" ref="J2431">_xlfn.SWITCH(B2431,1,75,2,61,3,49,4,37,5,25,6,13,7,4,8,1)</f>
        <v>25</v>
      </c>
      <c r="K2431" t="str" cm="1">
        <f t="array" ref="K2431">IFERROR(_xlfn.SWITCH(L2431,1,_xlfn.XLOOKUP(C2431,[1]AttributeName!$C:$C,[1]AttributeName!$I:$I),2,_xlfn.XLOOKUP(C2431,[1]ModifierDes!$B:$B,[1]ModifierDes!$C:$C),3,_xlfn.XLOOKUP(C2431,[1]StuntDes!$B:$B,[1]StuntDes!$C:$C)),"")</f>
        <v>击杀回蓝增加{0}</v>
      </c>
      <c r="L2431">
        <f t="shared" si="184"/>
        <v>1</v>
      </c>
      <c r="M2431" s="10" t="str">
        <f>IFERROR(_xlfn.XLOOKUP(C2431,[1]StuntDes!$B:$B,[1]StuntDes!$A:$A),"")</f>
        <v/>
      </c>
      <c r="N2431" s="10" t="str">
        <f>IFERROR(_xlfn.XLOOKUP(C2431,[1]ModifierDes!$B:$B,[1]ModifierDes!$A:$A),"")</f>
        <v/>
      </c>
      <c r="O2431" s="10">
        <f>IFERROR(_xlfn.XLOOKUP(C2431,[1]AttributeName!$C:$C,[1]AttributeName!$B:$B),"")</f>
        <v>10020</v>
      </c>
      <c r="P2431" s="10"/>
      <c r="Q2431">
        <v>4</v>
      </c>
      <c r="R2431">
        <v>4</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customFormat="1" spans="1:20">
      <c r="A2432">
        <f t="shared" si="185"/>
        <v>1367</v>
      </c>
      <c r="B2432">
        <v>6</v>
      </c>
      <c r="C2432" t="s">
        <v>426</v>
      </c>
      <c r="D2432" t="s">
        <v>28</v>
      </c>
      <c r="E2432" s="13" t="s">
        <v>410</v>
      </c>
      <c r="G2432">
        <v>2</v>
      </c>
      <c r="H2432">
        <v>1000</v>
      </c>
      <c r="J2432" cm="1">
        <f t="array" ref="J2432">_xlfn.SWITCH(B2432,1,75,2,61,3,49,4,37,5,25,6,13,7,4,8,1)</f>
        <v>13</v>
      </c>
      <c r="K2432" t="str" cm="1">
        <f t="array" ref="K2432">IFERROR(_xlfn.SWITCH(L2432,1,_xlfn.XLOOKUP(C2432,[1]AttributeName!$C:$C,[1]AttributeName!$I:$I),2,_xlfn.XLOOKUP(C2432,[1]ModifierDes!$B:$B,[1]ModifierDes!$C:$C),3,_xlfn.XLOOKUP(C2432,[1]StuntDes!$B:$B,[1]StuntDes!$C:$C)),"")</f>
        <v>击杀回蓝增加{0}</v>
      </c>
      <c r="L2432">
        <f t="shared" si="184"/>
        <v>1</v>
      </c>
      <c r="M2432" s="10" t="str">
        <f>IFERROR(_xlfn.XLOOKUP(C2432,[1]StuntDes!$B:$B,[1]StuntDes!$A:$A),"")</f>
        <v/>
      </c>
      <c r="N2432" s="10" t="str">
        <f>IFERROR(_xlfn.XLOOKUP(C2432,[1]ModifierDes!$B:$B,[1]ModifierDes!$A:$A),"")</f>
        <v/>
      </c>
      <c r="O2432" s="10">
        <f>IFERROR(_xlfn.XLOOKUP(C2432,[1]AttributeName!$C:$C,[1]AttributeName!$B:$B),"")</f>
        <v>10020</v>
      </c>
      <c r="P2432" s="10"/>
      <c r="Q2432">
        <v>3</v>
      </c>
      <c r="R2432">
        <v>3</v>
      </c>
      <c r="S2432" cm="1">
        <f t="array" ref="S2432">IFERROR(_xlfn.SWITCH(L2432,1,_xlfn.XLOOKUP(O2432,[1]AttributeName!$B:$B,[1]AttributeName!$D:$D),2,_xlfn.XLOOKUP(C2432,[1]ModifierDes!$B:$B,[1]ModifierDes!$D:$D),3,_xlfn.XLOOKUP(C2432,[1]StuntDes!$B:$B,[1]StuntDes!$D:$D)),0)</f>
        <v>0</v>
      </c>
      <c r="T2432" cm="1">
        <f t="array" ref="T2432">IFERROR(_xlfn.SWITCH(L2432,1,_xlfn.XLOOKUP(O2432,[1]AttributeName!$B:$B,[1]AttributeName!$E:$E),2,_xlfn.XLOOKUP(C2432,[1]ModifierDes!$B:$B,[1]ModifierDes!$E:$E),3,_xlfn.XLOOKUP(C2432,[1]StuntDes!$B:$B,[1]StuntDes!$E:$E)),0)</f>
        <v>1</v>
      </c>
    </row>
    <row r="2433" customFormat="1" spans="1:20">
      <c r="A2433">
        <f t="shared" si="185"/>
        <v>1367</v>
      </c>
      <c r="B2433">
        <v>7</v>
      </c>
      <c r="C2433" t="s">
        <v>426</v>
      </c>
      <c r="D2433" t="s">
        <v>28</v>
      </c>
      <c r="E2433" s="13" t="s">
        <v>410</v>
      </c>
      <c r="G2433">
        <v>2</v>
      </c>
      <c r="H2433">
        <v>1000</v>
      </c>
      <c r="J2433" cm="1">
        <f t="array" ref="J2433">_xlfn.SWITCH(B2433,1,75,2,61,3,49,4,37,5,25,6,13,7,4,8,1)</f>
        <v>4</v>
      </c>
      <c r="K2433" t="str" cm="1">
        <f t="array" ref="K2433">IFERROR(_xlfn.SWITCH(L2433,1,_xlfn.XLOOKUP(C2433,[1]AttributeName!$C:$C,[1]AttributeName!$I:$I),2,_xlfn.XLOOKUP(C2433,[1]ModifierDes!$B:$B,[1]ModifierDes!$C:$C),3,_xlfn.XLOOKUP(C2433,[1]StuntDes!$B:$B,[1]StuntDes!$C:$C)),"")</f>
        <v>击杀回蓝增加{0}</v>
      </c>
      <c r="L2433">
        <f t="shared" si="184"/>
        <v>1</v>
      </c>
      <c r="M2433" s="10" t="str">
        <f>IFERROR(_xlfn.XLOOKUP(C2433,[1]StuntDes!$B:$B,[1]StuntDes!$A:$A),"")</f>
        <v/>
      </c>
      <c r="N2433" s="10" t="str">
        <f>IFERROR(_xlfn.XLOOKUP(C2433,[1]ModifierDes!$B:$B,[1]ModifierDes!$A:$A),"")</f>
        <v/>
      </c>
      <c r="O2433" s="10">
        <f>IFERROR(_xlfn.XLOOKUP(C2433,[1]AttributeName!$C:$C,[1]AttributeName!$B:$B),"")</f>
        <v>10020</v>
      </c>
      <c r="P2433" s="10"/>
      <c r="Q2433">
        <v>2</v>
      </c>
      <c r="R2433">
        <v>2</v>
      </c>
      <c r="S2433" cm="1">
        <f t="array" ref="S2433">IFERROR(_xlfn.SWITCH(L2433,1,_xlfn.XLOOKUP(O2433,[1]AttributeName!$B:$B,[1]AttributeName!$D:$D),2,_xlfn.XLOOKUP(C2433,[1]ModifierDes!$B:$B,[1]ModifierDes!$D:$D),3,_xlfn.XLOOKUP(C2433,[1]StuntDes!$B:$B,[1]StuntDes!$D:$D)),0)</f>
        <v>0</v>
      </c>
      <c r="T2433" cm="1">
        <f t="array" ref="T2433">IFERROR(_xlfn.SWITCH(L2433,1,_xlfn.XLOOKUP(O2433,[1]AttributeName!$B:$B,[1]AttributeName!$E:$E),2,_xlfn.XLOOKUP(C2433,[1]ModifierDes!$B:$B,[1]ModifierDes!$E:$E),3,_xlfn.XLOOKUP(C2433,[1]StuntDes!$B:$B,[1]StuntDes!$E:$E)),0)</f>
        <v>1</v>
      </c>
    </row>
    <row r="2434" customFormat="1" spans="1:20">
      <c r="A2434">
        <f t="shared" si="185"/>
        <v>1367</v>
      </c>
      <c r="B2434">
        <v>8</v>
      </c>
      <c r="C2434" t="s">
        <v>426</v>
      </c>
      <c r="D2434" t="s">
        <v>28</v>
      </c>
      <c r="E2434" s="13" t="s">
        <v>410</v>
      </c>
      <c r="G2434">
        <v>2</v>
      </c>
      <c r="H2434">
        <v>1000</v>
      </c>
      <c r="J2434" cm="1">
        <f t="array" ref="J2434">_xlfn.SWITCH(B2434,1,75,2,61,3,49,4,37,5,25,6,13,7,4,8,1)</f>
        <v>1</v>
      </c>
      <c r="K2434" t="str" cm="1">
        <f t="array" ref="K2434">IFERROR(_xlfn.SWITCH(L2434,1,_xlfn.XLOOKUP(C2434,[1]AttributeName!$C:$C,[1]AttributeName!$I:$I),2,_xlfn.XLOOKUP(C2434,[1]ModifierDes!$B:$B,[1]ModifierDes!$C:$C),3,_xlfn.XLOOKUP(C2434,[1]StuntDes!$B:$B,[1]StuntDes!$C:$C)),"")</f>
        <v>击杀回蓝增加{0}</v>
      </c>
      <c r="L2434">
        <f t="shared" si="184"/>
        <v>1</v>
      </c>
      <c r="M2434" s="10" t="str">
        <f>IFERROR(_xlfn.XLOOKUP(C2434,[1]StuntDes!$B:$B,[1]StuntDes!$A:$A),"")</f>
        <v/>
      </c>
      <c r="N2434" s="10" t="str">
        <f>IFERROR(_xlfn.XLOOKUP(C2434,[1]ModifierDes!$B:$B,[1]ModifierDes!$A:$A),"")</f>
        <v/>
      </c>
      <c r="O2434" s="10">
        <f>IFERROR(_xlfn.XLOOKUP(C2434,[1]AttributeName!$C:$C,[1]AttributeName!$B:$B),"")</f>
        <v>10020</v>
      </c>
      <c r="P2434" s="10"/>
      <c r="Q2434">
        <v>1</v>
      </c>
      <c r="R2434">
        <v>1</v>
      </c>
      <c r="S2434" cm="1">
        <f t="array" ref="S2434">IFERROR(_xlfn.SWITCH(L2434,1,_xlfn.XLOOKUP(O2434,[1]AttributeName!$B:$B,[1]AttributeName!$D:$D),2,_xlfn.XLOOKUP(C2434,[1]ModifierDes!$B:$B,[1]ModifierDes!$D:$D),3,_xlfn.XLOOKUP(C2434,[1]StuntDes!$B:$B,[1]StuntDes!$D:$D)),0)</f>
        <v>0</v>
      </c>
      <c r="T2434" cm="1">
        <f t="array" ref="T2434">IFERROR(_xlfn.SWITCH(L2434,1,_xlfn.XLOOKUP(O2434,[1]AttributeName!$B:$B,[1]AttributeName!$E:$E),2,_xlfn.XLOOKUP(C2434,[1]ModifierDes!$B:$B,[1]ModifierDes!$E:$E),3,_xlfn.XLOOKUP(C2434,[1]StuntDes!$B:$B,[1]StuntDes!$E:$E)),0)</f>
        <v>1</v>
      </c>
    </row>
    <row r="2435" customFormat="1" spans="1:20">
      <c r="A2435">
        <v>10001</v>
      </c>
      <c r="B2435">
        <v>1</v>
      </c>
      <c r="C2435" t="s">
        <v>407</v>
      </c>
      <c r="D2435" t="s">
        <v>26</v>
      </c>
      <c r="E2435" s="13" t="s">
        <v>462</v>
      </c>
      <c r="G2435">
        <v>3</v>
      </c>
      <c r="H2435">
        <v>1000</v>
      </c>
      <c r="J2435" cm="1">
        <f t="array" ref="J2435">_xlfn.SWITCH(B2435,1,75,2,61,3,49,4,37,5,25,6,13,7,4,8,1)</f>
        <v>75</v>
      </c>
      <c r="K2435" t="str" cm="1">
        <f t="array" ref="K2435">IFERROR(_xlfn.SWITCH(L2435,1,_xlfn.XLOOKUP(C2435,[1]AttributeName!$C:$C,[1]AttributeName!$I:$I),2,_xlfn.XLOOKUP(C2435,[1]ModifierDes!$B:$B,[1]ModifierDes!$C:$C),3,_xlfn.XLOOKUP(C2435,[1]StuntDes!$B:$B,[1]StuntDes!$C:$C)),"")</f>
        <v>基础生命增加{0}</v>
      </c>
      <c r="L2435">
        <f t="shared" si="184"/>
        <v>1</v>
      </c>
      <c r="M2435" s="10" t="str">
        <f>IFERROR(_xlfn.XLOOKUP(C2435,[1]StuntDes!$B:$B,[1]StuntDes!$A:$A),"")</f>
        <v/>
      </c>
      <c r="N2435" s="10" t="str">
        <f>IFERROR(_xlfn.XLOOKUP(C2435,[1]ModifierDes!$B:$B,[1]ModifierDes!$A:$A),"")</f>
        <v/>
      </c>
      <c r="O2435" s="10">
        <f>IFERROR(_xlfn.XLOOKUP(C2435,[1]AttributeName!$C:$C,[1]AttributeName!$B:$B),"")</f>
        <v>10001</v>
      </c>
      <c r="P2435" s="10"/>
      <c r="Q2435">
        <v>355</v>
      </c>
      <c r="R2435">
        <v>405</v>
      </c>
      <c r="S2435" cm="1">
        <f t="array" ref="S2435">IFERROR(_xlfn.SWITCH(L2435,1,_xlfn.XLOOKUP(O2435,[1]AttributeName!$B:$B,[1]AttributeName!$D:$D),2,_xlfn.XLOOKUP(C2435,[1]ModifierDes!$B:$B,[1]ModifierDes!$D:$D),3,_xlfn.XLOOKUP(C2435,[1]StuntDes!$B:$B,[1]StuntDes!$D:$D)),0)</f>
        <v>0</v>
      </c>
      <c r="T2435" cm="1">
        <f t="array" ref="T2435">IFERROR(_xlfn.SWITCH(L2435,1,_xlfn.XLOOKUP(O2435,[1]AttributeName!$B:$B,[1]AttributeName!$E:$E),2,_xlfn.XLOOKUP(C2435,[1]ModifierDes!$B:$B,[1]ModifierDes!$E:$E),3,_xlfn.XLOOKUP(C2435,[1]StuntDes!$B:$B,[1]StuntDes!$E:$E)),0)</f>
        <v>1</v>
      </c>
    </row>
    <row r="2436" customFormat="1" spans="1:20">
      <c r="A2436">
        <v>10002</v>
      </c>
      <c r="B2436">
        <v>1</v>
      </c>
      <c r="C2436" t="s">
        <v>408</v>
      </c>
      <c r="D2436" t="s">
        <v>26</v>
      </c>
      <c r="E2436" s="13" t="s">
        <v>462</v>
      </c>
      <c r="G2436">
        <v>3</v>
      </c>
      <c r="H2436">
        <v>1000</v>
      </c>
      <c r="J2436" cm="1">
        <f t="array" ref="J2436">_xlfn.SWITCH(B2436,1,75,2,61,3,49,4,37,5,25,6,13,7,4,8,1)</f>
        <v>75</v>
      </c>
      <c r="K2436" t="str" cm="1">
        <f t="array" ref="K2436">IFERROR(_xlfn.SWITCH(L2436,1,_xlfn.XLOOKUP(C2436,[1]AttributeName!$C:$C,[1]AttributeName!$I:$I),2,_xlfn.XLOOKUP(C2436,[1]ModifierDes!$B:$B,[1]ModifierDes!$C:$C),3,_xlfn.XLOOKUP(C2436,[1]StuntDes!$B:$B,[1]StuntDes!$C:$C)),"")</f>
        <v>基础魔力增加{0}</v>
      </c>
      <c r="L2436">
        <f t="shared" si="184"/>
        <v>1</v>
      </c>
      <c r="M2436" s="10" t="str">
        <f>IFERROR(_xlfn.XLOOKUP(C2436,[1]StuntDes!$B:$B,[1]StuntDes!$A:$A),"")</f>
        <v/>
      </c>
      <c r="N2436" s="10" t="str">
        <f>IFERROR(_xlfn.XLOOKUP(C2436,[1]ModifierDes!$B:$B,[1]ModifierDes!$A:$A),"")</f>
        <v/>
      </c>
      <c r="O2436" s="10">
        <f>IFERROR(_xlfn.XLOOKUP(C2436,[1]AttributeName!$C:$C,[1]AttributeName!$B:$B),"")</f>
        <v>10002</v>
      </c>
      <c r="P2436" s="10"/>
      <c r="Q2436">
        <v>80</v>
      </c>
      <c r="R2436">
        <v>100</v>
      </c>
      <c r="S2436" cm="1">
        <f t="array" ref="S2436">IFERROR(_xlfn.SWITCH(L2436,1,_xlfn.XLOOKUP(O2436,[1]AttributeName!$B:$B,[1]AttributeName!$D:$D),2,_xlfn.XLOOKUP(C2436,[1]ModifierDes!$B:$B,[1]ModifierDes!$D:$D),3,_xlfn.XLOOKUP(C2436,[1]StuntDes!$B:$B,[1]StuntDes!$D:$D)),0)</f>
        <v>0</v>
      </c>
      <c r="T2436" cm="1">
        <f t="array" ref="T2436">IFERROR(_xlfn.SWITCH(L2436,1,_xlfn.XLOOKUP(O2436,[1]AttributeName!$B:$B,[1]AttributeName!$E:$E),2,_xlfn.XLOOKUP(C2436,[1]ModifierDes!$B:$B,[1]ModifierDes!$E:$E),3,_xlfn.XLOOKUP(C2436,[1]StuntDes!$B:$B,[1]StuntDes!$E:$E)),0)</f>
        <v>1</v>
      </c>
    </row>
    <row r="2437" customFormat="1" spans="1:20">
      <c r="A2437">
        <v>10003</v>
      </c>
      <c r="B2437">
        <v>1</v>
      </c>
      <c r="C2437" t="s">
        <v>463</v>
      </c>
      <c r="D2437" t="s">
        <v>26</v>
      </c>
      <c r="E2437" s="13" t="s">
        <v>462</v>
      </c>
      <c r="G2437">
        <v>3</v>
      </c>
      <c r="H2437">
        <v>1000</v>
      </c>
      <c r="J2437" cm="1">
        <f t="array" ref="J2437">_xlfn.SWITCH(B2437,1,75,2,61,3,49,4,37,5,25,6,13,7,4,8,1)</f>
        <v>75</v>
      </c>
      <c r="K2437" t="str" cm="1">
        <f t="array" ref="K2437">IFERROR(_xlfn.SWITCH(L2437,1,_xlfn.XLOOKUP(C2437,[1]AttributeName!$C:$C,[1]AttributeName!$I:$I),2,_xlfn.XLOOKUP(C2437,[1]ModifierDes!$B:$B,[1]ModifierDes!$C:$C),3,_xlfn.XLOOKUP(C2437,[1]StuntDes!$B:$B,[1]StuntDes!$C:$C)),"")</f>
        <v>生命恢复率增加{0}</v>
      </c>
      <c r="L2437">
        <f t="shared" si="184"/>
        <v>1</v>
      </c>
      <c r="M2437" s="10" t="str">
        <f>IFERROR(_xlfn.XLOOKUP(C2437,[1]StuntDes!$B:$B,[1]StuntDes!$A:$A),"")</f>
        <v/>
      </c>
      <c r="N2437" s="10" t="str">
        <f>IFERROR(_xlfn.XLOOKUP(C2437,[1]ModifierDes!$B:$B,[1]ModifierDes!$A:$A),"")</f>
        <v/>
      </c>
      <c r="O2437" s="10">
        <f>IFERROR(_xlfn.XLOOKUP(C2437,[1]AttributeName!$C:$C,[1]AttributeName!$B:$B),"")</f>
        <v>10004</v>
      </c>
      <c r="P2437" s="10"/>
      <c r="Q2437">
        <v>0.01</v>
      </c>
      <c r="R2437">
        <v>0.014</v>
      </c>
      <c r="S2437" cm="1">
        <f t="array" ref="S2437">IFERROR(_xlfn.SWITCH(L2437,1,_xlfn.XLOOKUP(O2437,[1]AttributeName!$B:$B,[1]AttributeName!$D:$D),2,_xlfn.XLOOKUP(C2437,[1]ModifierDes!$B:$B,[1]ModifierDes!$D:$D),3,_xlfn.XLOOKUP(C2437,[1]StuntDes!$B:$B,[1]StuntDes!$D:$D)),0)</f>
        <v>3</v>
      </c>
      <c r="T2437" cm="1">
        <f t="array" ref="T2437">IFERROR(_xlfn.SWITCH(L2437,1,_xlfn.XLOOKUP(O2437,[1]AttributeName!$B:$B,[1]AttributeName!$E:$E),2,_xlfn.XLOOKUP(C2437,[1]ModifierDes!$B:$B,[1]ModifierDes!$E:$E),3,_xlfn.XLOOKUP(C2437,[1]StuntDes!$B:$B,[1]StuntDes!$E:$E)),0)</f>
        <v>2</v>
      </c>
    </row>
    <row r="2438" customFormat="1" spans="1:20">
      <c r="A2438">
        <v>10004</v>
      </c>
      <c r="B2438">
        <v>1</v>
      </c>
      <c r="C2438" t="s">
        <v>464</v>
      </c>
      <c r="D2438" t="s">
        <v>26</v>
      </c>
      <c r="E2438" s="13" t="s">
        <v>462</v>
      </c>
      <c r="G2438">
        <v>3</v>
      </c>
      <c r="H2438">
        <v>1000</v>
      </c>
      <c r="J2438" cm="1">
        <f t="array" ref="J2438">_xlfn.SWITCH(B2438,1,75,2,61,3,49,4,37,5,25,6,13,7,4,8,1)</f>
        <v>75</v>
      </c>
      <c r="K2438" t="str" cm="1">
        <f t="array" ref="K2438">IFERROR(_xlfn.SWITCH(L2438,1,_xlfn.XLOOKUP(C2438,[1]AttributeName!$C:$C,[1]AttributeName!$I:$I),2,_xlfn.XLOOKUP(C2438,[1]ModifierDes!$B:$B,[1]ModifierDes!$C:$C),3,_xlfn.XLOOKUP(C2438,[1]StuntDes!$B:$B,[1]StuntDes!$C:$C)),"")</f>
        <v>魔力恢复率增加{0}</v>
      </c>
      <c r="L2438">
        <f t="shared" si="184"/>
        <v>1</v>
      </c>
      <c r="M2438" s="10" t="str">
        <f>IFERROR(_xlfn.XLOOKUP(C2438,[1]StuntDes!$B:$B,[1]StuntDes!$A:$A),"")</f>
        <v/>
      </c>
      <c r="N2438" s="10" t="str">
        <f>IFERROR(_xlfn.XLOOKUP(C2438,[1]ModifierDes!$B:$B,[1]ModifierDes!$A:$A),"")</f>
        <v/>
      </c>
      <c r="O2438" s="10">
        <f>IFERROR(_xlfn.XLOOKUP(C2438,[1]AttributeName!$C:$C,[1]AttributeName!$B:$B),"")</f>
        <v>10006</v>
      </c>
      <c r="P2438" s="10"/>
      <c r="Q2438">
        <v>0.01</v>
      </c>
      <c r="R2438">
        <v>0.014</v>
      </c>
      <c r="S2438" cm="1">
        <f t="array" ref="S2438">IFERROR(_xlfn.SWITCH(L2438,1,_xlfn.XLOOKUP(O2438,[1]AttributeName!$B:$B,[1]AttributeName!$D:$D),2,_xlfn.XLOOKUP(C2438,[1]ModifierDes!$B:$B,[1]ModifierDes!$D:$D),3,_xlfn.XLOOKUP(C2438,[1]StuntDes!$B:$B,[1]StuntDes!$D:$D)),0)</f>
        <v>3</v>
      </c>
      <c r="T2438" cm="1">
        <f t="array" ref="T2438">IFERROR(_xlfn.SWITCH(L2438,1,_xlfn.XLOOKUP(O2438,[1]AttributeName!$B:$B,[1]AttributeName!$E:$E),2,_xlfn.XLOOKUP(C2438,[1]ModifierDes!$B:$B,[1]ModifierDes!$E:$E),3,_xlfn.XLOOKUP(C2438,[1]StuntDes!$B:$B,[1]StuntDes!$E:$E)),0)</f>
        <v>2</v>
      </c>
    </row>
    <row r="2439" customFormat="1" spans="1:20">
      <c r="A2439">
        <v>10005</v>
      </c>
      <c r="B2439">
        <v>1</v>
      </c>
      <c r="C2439" t="s">
        <v>404</v>
      </c>
      <c r="D2439" t="s">
        <v>26</v>
      </c>
      <c r="E2439" s="13" t="s">
        <v>462</v>
      </c>
      <c r="G2439">
        <v>3</v>
      </c>
      <c r="H2439">
        <v>1000</v>
      </c>
      <c r="J2439" cm="1">
        <f t="array" ref="J2439">_xlfn.SWITCH(B2439,1,75,2,61,3,49,4,37,5,25,6,13,7,4,8,1)</f>
        <v>75</v>
      </c>
      <c r="K2439" t="str" cm="1">
        <f t="array" ref="K2439">IFERROR(_xlfn.SWITCH(L2439,1,_xlfn.XLOOKUP(C2439,[1]AttributeName!$C:$C,[1]AttributeName!$I:$I),2,_xlfn.XLOOKUP(C2439,[1]ModifierDes!$B:$B,[1]ModifierDes!$C:$C),3,_xlfn.XLOOKUP(C2439,[1]StuntDes!$B:$B,[1]StuntDes!$C:$C)),"")</f>
        <v>物理伤害提高{0}</v>
      </c>
      <c r="L2439">
        <f t="shared" si="184"/>
        <v>1</v>
      </c>
      <c r="M2439" s="10" t="str">
        <f>IFERROR(_xlfn.XLOOKUP(C2439,[1]StuntDes!$B:$B,[1]StuntDes!$A:$A),"")</f>
        <v/>
      </c>
      <c r="N2439" s="10" t="str">
        <f>IFERROR(_xlfn.XLOOKUP(C2439,[1]ModifierDes!$B:$B,[1]ModifierDes!$A:$A),"")</f>
        <v/>
      </c>
      <c r="O2439" s="10">
        <f>IFERROR(_xlfn.XLOOKUP(C2439,[1]AttributeName!$C:$C,[1]AttributeName!$B:$B),"")</f>
        <v>10303</v>
      </c>
      <c r="P2439" s="10"/>
      <c r="Q2439">
        <v>0.5</v>
      </c>
      <c r="R2439">
        <v>1</v>
      </c>
      <c r="S2439" cm="1">
        <f t="array" ref="S2439">IFERROR(_xlfn.SWITCH(L2439,1,_xlfn.XLOOKUP(O2439,[1]AttributeName!$B:$B,[1]AttributeName!$D:$D),2,_xlfn.XLOOKUP(C2439,[1]ModifierDes!$B:$B,[1]ModifierDes!$D:$D),3,_xlfn.XLOOKUP(C2439,[1]StuntDes!$B:$B,[1]StuntDes!$D:$D)),0)</f>
        <v>2</v>
      </c>
      <c r="T2439" cm="1">
        <f t="array" ref="T2439">IFERROR(_xlfn.SWITCH(L2439,1,_xlfn.XLOOKUP(O2439,[1]AttributeName!$B:$B,[1]AttributeName!$E:$E),2,_xlfn.XLOOKUP(C2439,[1]ModifierDes!$B:$B,[1]ModifierDes!$E:$E),3,_xlfn.XLOOKUP(C2439,[1]StuntDes!$B:$B,[1]StuntDes!$E:$E)),0)</f>
        <v>2</v>
      </c>
    </row>
    <row r="2440" customFormat="1" spans="1:20">
      <c r="A2440">
        <v>10006</v>
      </c>
      <c r="B2440">
        <v>1</v>
      </c>
      <c r="C2440" t="s">
        <v>405</v>
      </c>
      <c r="D2440" t="s">
        <v>26</v>
      </c>
      <c r="E2440" s="13" t="s">
        <v>462</v>
      </c>
      <c r="G2440">
        <v>3</v>
      </c>
      <c r="H2440">
        <v>1000</v>
      </c>
      <c r="J2440" cm="1">
        <f t="array" ref="J2440">_xlfn.SWITCH(B2440,1,75,2,61,3,49,4,37,5,25,6,13,7,4,8,1)</f>
        <v>75</v>
      </c>
      <c r="K2440" t="str" cm="1">
        <f t="array" ref="K2440">IFERROR(_xlfn.SWITCH(L2440,1,_xlfn.XLOOKUP(C2440,[1]AttributeName!$C:$C,[1]AttributeName!$I:$I),2,_xlfn.XLOOKUP(C2440,[1]ModifierDes!$B:$B,[1]ModifierDes!$C:$C),3,_xlfn.XLOOKUP(C2440,[1]StuntDes!$B:$B,[1]StuntDes!$C:$C)),"")</f>
        <v>元素伤害提高{0}</v>
      </c>
      <c r="L2440">
        <f t="shared" si="184"/>
        <v>2</v>
      </c>
      <c r="M2440" s="10" t="str">
        <f>IFERROR(_xlfn.XLOOKUP(C2440,[1]StuntDes!$B:$B,[1]StuntDes!$A:$A),"")</f>
        <v/>
      </c>
      <c r="N2440" s="10">
        <f>IFERROR(_xlfn.XLOOKUP(C2440,[1]ModifierDes!$B:$B,[1]ModifierDes!$A:$A),"")</f>
        <v>10120</v>
      </c>
      <c r="O2440" s="10">
        <f>IFERROR(_xlfn.XLOOKUP(C2440,[1]AttributeName!$C:$C,[1]AttributeName!$B:$B),"")</f>
        <v>10308</v>
      </c>
      <c r="P2440" s="10"/>
      <c r="Q2440">
        <v>0.5</v>
      </c>
      <c r="R2440">
        <v>1</v>
      </c>
      <c r="S2440" cm="1">
        <f t="array" ref="S2440">IFERROR(_xlfn.SWITCH(L2440,1,_xlfn.XLOOKUP(O2440,[1]AttributeName!$B:$B,[1]AttributeName!$D:$D),2,_xlfn.XLOOKUP(C2440,[1]ModifierDes!$B:$B,[1]ModifierDes!$D:$D),3,_xlfn.XLOOKUP(C2440,[1]StuntDes!$B:$B,[1]StuntDes!$D:$D)),0)</f>
        <v>2</v>
      </c>
      <c r="T2440" cm="1">
        <f t="array" ref="T2440">IFERROR(_xlfn.SWITCH(L2440,1,_xlfn.XLOOKUP(O2440,[1]AttributeName!$B:$B,[1]AttributeName!$E:$E),2,_xlfn.XLOOKUP(C2440,[1]ModifierDes!$B:$B,[1]ModifierDes!$E:$E),3,_xlfn.XLOOKUP(C2440,[1]StuntDes!$B:$B,[1]StuntDes!$E:$E)),0)</f>
        <v>2</v>
      </c>
    </row>
    <row r="2441" customFormat="1" spans="1:20">
      <c r="A2441">
        <v>10007</v>
      </c>
      <c r="B2441">
        <v>1</v>
      </c>
      <c r="C2441" t="s">
        <v>406</v>
      </c>
      <c r="D2441" t="s">
        <v>26</v>
      </c>
      <c r="E2441" s="13" t="s">
        <v>462</v>
      </c>
      <c r="G2441">
        <v>3</v>
      </c>
      <c r="H2441">
        <v>1000</v>
      </c>
      <c r="J2441" cm="1">
        <f t="array" ref="J2441">_xlfn.SWITCH(B2441,1,75,2,61,3,49,4,37,5,25,6,13,7,4,8,1)</f>
        <v>75</v>
      </c>
      <c r="K2441" t="str" cm="1">
        <f t="array" ref="K2441">IFERROR(_xlfn.SWITCH(L2441,1,_xlfn.XLOOKUP(C2441,[1]AttributeName!$C:$C,[1]AttributeName!$I:$I),2,_xlfn.XLOOKUP(C2441,[1]ModifierDes!$B:$B,[1]ModifierDes!$C:$C),3,_xlfn.XLOOKUP(C2441,[1]StuntDes!$B:$B,[1]StuntDes!$C:$C)),"")</f>
        <v>混沌伤害提高{0}</v>
      </c>
      <c r="L2441">
        <f t="shared" si="184"/>
        <v>1</v>
      </c>
      <c r="M2441" s="10" t="str">
        <f>IFERROR(_xlfn.XLOOKUP(C2441,[1]StuntDes!$B:$B,[1]StuntDes!$A:$A),"")</f>
        <v/>
      </c>
      <c r="N2441" s="10" t="str">
        <f>IFERROR(_xlfn.XLOOKUP(C2441,[1]ModifierDes!$B:$B,[1]ModifierDes!$A:$A),"")</f>
        <v/>
      </c>
      <c r="O2441" s="10">
        <f>IFERROR(_xlfn.XLOOKUP(C2441,[1]AttributeName!$C:$C,[1]AttributeName!$B:$B),"")</f>
        <v>10307</v>
      </c>
      <c r="P2441" s="10"/>
      <c r="Q2441">
        <v>0.5</v>
      </c>
      <c r="R2441">
        <v>1</v>
      </c>
      <c r="S2441" cm="1">
        <f t="array" ref="S2441">IFERROR(_xlfn.SWITCH(L2441,1,_xlfn.XLOOKUP(O2441,[1]AttributeName!$B:$B,[1]AttributeName!$D:$D),2,_xlfn.XLOOKUP(C2441,[1]ModifierDes!$B:$B,[1]ModifierDes!$D:$D),3,_xlfn.XLOOKUP(C2441,[1]StuntDes!$B:$B,[1]StuntDes!$D:$D)),0)</f>
        <v>2</v>
      </c>
      <c r="T2441" cm="1">
        <f t="array" ref="T2441">IFERROR(_xlfn.SWITCH(L2441,1,_xlfn.XLOOKUP(O2441,[1]AttributeName!$B:$B,[1]AttributeName!$E:$E),2,_xlfn.XLOOKUP(C2441,[1]ModifierDes!$B:$B,[1]ModifierDes!$E:$E),3,_xlfn.XLOOKUP(C2441,[1]StuntDes!$B:$B,[1]StuntDes!$E:$E)),0)</f>
        <v>2</v>
      </c>
    </row>
    <row r="2442" customFormat="1" spans="1:20">
      <c r="A2442">
        <v>10008</v>
      </c>
      <c r="B2442">
        <v>1</v>
      </c>
      <c r="C2442" t="s">
        <v>418</v>
      </c>
      <c r="D2442" t="s">
        <v>26</v>
      </c>
      <c r="E2442" s="13" t="s">
        <v>462</v>
      </c>
      <c r="G2442">
        <v>3</v>
      </c>
      <c r="H2442">
        <v>1000</v>
      </c>
      <c r="J2442" cm="1">
        <f t="array" ref="J2442">_xlfn.SWITCH(B2442,1,75,2,61,3,49,4,37,5,25,6,13,7,4,8,1)</f>
        <v>75</v>
      </c>
      <c r="K2442" t="str" cm="1">
        <f t="array" ref="K2442">IFERROR(_xlfn.SWITCH(L2442,1,_xlfn.XLOOKUP(C2442,[1]AttributeName!$C:$C,[1]AttributeName!$I:$I),2,_xlfn.XLOOKUP(C2442,[1]ModifierDes!$B:$B,[1]ModifierDes!$C:$C),3,_xlfn.XLOOKUP(C2442,[1]StuntDes!$B:$B,[1]StuntDes!$C:$C)),"")</f>
        <v>攻击速度提高{0}</v>
      </c>
      <c r="L2442">
        <f t="shared" si="184"/>
        <v>2</v>
      </c>
      <c r="M2442" s="10" t="str">
        <f>IFERROR(_xlfn.XLOOKUP(C2442,[1]StuntDes!$B:$B,[1]StuntDes!$A:$A),"")</f>
        <v/>
      </c>
      <c r="N2442" s="10">
        <f>IFERROR(_xlfn.XLOOKUP(C2442,[1]ModifierDes!$B:$B,[1]ModifierDes!$A:$A),"")</f>
        <v>10031</v>
      </c>
      <c r="O2442" s="10" t="str">
        <f>IFERROR(_xlfn.XLOOKUP(C2442,[1]AttributeName!$C:$C,[1]AttributeName!$B:$B),"")</f>
        <v/>
      </c>
      <c r="P2442" s="10"/>
      <c r="Q2442">
        <v>0.15</v>
      </c>
      <c r="R2442">
        <v>0.3</v>
      </c>
      <c r="S2442" cm="1">
        <f t="array" ref="S2442">IFERROR(_xlfn.SWITCH(L2442,1,_xlfn.XLOOKUP(O2442,[1]AttributeName!$B:$B,[1]AttributeName!$D:$D),2,_xlfn.XLOOKUP(C2442,[1]ModifierDes!$B:$B,[1]ModifierDes!$D:$D),3,_xlfn.XLOOKUP(C2442,[1]StuntDes!$B:$B,[1]StuntDes!$D:$D)),0)</f>
        <v>2</v>
      </c>
      <c r="T2442" cm="1">
        <f t="array" ref="T2442">IFERROR(_xlfn.SWITCH(L2442,1,_xlfn.XLOOKUP(O2442,[1]AttributeName!$B:$B,[1]AttributeName!$E:$E),2,_xlfn.XLOOKUP(C2442,[1]ModifierDes!$B:$B,[1]ModifierDes!$E:$E),3,_xlfn.XLOOKUP(C2442,[1]StuntDes!$B:$B,[1]StuntDes!$E:$E)),0)</f>
        <v>2</v>
      </c>
    </row>
    <row r="2443" customFormat="1" spans="1:20">
      <c r="A2443">
        <v>10009</v>
      </c>
      <c r="B2443">
        <v>1</v>
      </c>
      <c r="C2443" t="s">
        <v>398</v>
      </c>
      <c r="D2443" t="s">
        <v>26</v>
      </c>
      <c r="E2443" s="13" t="s">
        <v>462</v>
      </c>
      <c r="G2443">
        <v>3</v>
      </c>
      <c r="H2443">
        <v>1000</v>
      </c>
      <c r="J2443" cm="1">
        <f t="array" ref="J2443">_xlfn.SWITCH(B2443,1,75,2,61,3,49,4,37,5,25,6,13,7,4,8,1)</f>
        <v>75</v>
      </c>
      <c r="K2443" t="str" cm="1">
        <f t="array" ref="K2443">IFERROR(_xlfn.SWITCH(L2443,1,_xlfn.XLOOKUP(C2443,[1]AttributeName!$C:$C,[1]AttributeName!$I:$I),2,_xlfn.XLOOKUP(C2443,[1]ModifierDes!$B:$B,[1]ModifierDes!$C:$C),3,_xlfn.XLOOKUP(C2443,[1]StuntDes!$B:$B,[1]StuntDes!$C:$C)),"")</f>
        <v>获得物理伤害{0}</v>
      </c>
      <c r="L2443">
        <f t="shared" si="184"/>
        <v>1</v>
      </c>
      <c r="M2443" s="10" t="str">
        <f>IFERROR(_xlfn.XLOOKUP(C2443,[1]StuntDes!$B:$B,[1]StuntDes!$A:$A),"")</f>
        <v/>
      </c>
      <c r="N2443" s="10" t="str">
        <f>IFERROR(_xlfn.XLOOKUP(C2443,[1]ModifierDes!$B:$B,[1]ModifierDes!$A:$A),"")</f>
        <v/>
      </c>
      <c r="O2443" s="10">
        <f>IFERROR(_xlfn.XLOOKUP(C2443,[1]AttributeName!$C:$C,[1]AttributeName!$B:$B),"")</f>
        <v>10500</v>
      </c>
      <c r="P2443" s="10"/>
      <c r="Q2443">
        <v>0.25</v>
      </c>
      <c r="R2443">
        <v>0.5</v>
      </c>
      <c r="S2443" cm="1">
        <f t="array" ref="S2443">IFERROR(_xlfn.SWITCH(L2443,1,_xlfn.XLOOKUP(O2443,[1]AttributeName!$B:$B,[1]AttributeName!$D:$D),2,_xlfn.XLOOKUP(C2443,[1]ModifierDes!$B:$B,[1]ModifierDes!$D:$D),3,_xlfn.XLOOKUP(C2443,[1]StuntDes!$B:$B,[1]StuntDes!$D:$D)),0)</f>
        <v>2</v>
      </c>
      <c r="T2443" cm="1">
        <f t="array" ref="T2443">IFERROR(_xlfn.SWITCH(L2443,1,_xlfn.XLOOKUP(O2443,[1]AttributeName!$B:$B,[1]AttributeName!$E:$E),2,_xlfn.XLOOKUP(C2443,[1]ModifierDes!$B:$B,[1]ModifierDes!$E:$E),3,_xlfn.XLOOKUP(C2443,[1]StuntDes!$B:$B,[1]StuntDes!$E:$E)),0)</f>
        <v>2</v>
      </c>
    </row>
    <row r="2444" customFormat="1" spans="1:20">
      <c r="A2444">
        <v>10010</v>
      </c>
      <c r="B2444">
        <v>1</v>
      </c>
      <c r="C2444" t="s">
        <v>399</v>
      </c>
      <c r="D2444" t="s">
        <v>26</v>
      </c>
      <c r="E2444" s="13" t="s">
        <v>462</v>
      </c>
      <c r="G2444">
        <v>3</v>
      </c>
      <c r="H2444">
        <v>1000</v>
      </c>
      <c r="J2444" cm="1">
        <f t="array" ref="J2444">_xlfn.SWITCH(B2444,1,75,2,61,3,49,4,37,5,25,6,13,7,4,8,1)</f>
        <v>75</v>
      </c>
      <c r="K2444" t="str" cm="1">
        <f t="array" ref="K2444">IFERROR(_xlfn.SWITCH(L2444,1,_xlfn.XLOOKUP(C2444,[1]AttributeName!$C:$C,[1]AttributeName!$I:$I),2,_xlfn.XLOOKUP(C2444,[1]ModifierDes!$B:$B,[1]ModifierDes!$C:$C),3,_xlfn.XLOOKUP(C2444,[1]StuntDes!$B:$B,[1]StuntDes!$C:$C)),"")</f>
        <v>获得火焰伤害{0}</v>
      </c>
      <c r="L2444">
        <f t="shared" si="184"/>
        <v>1</v>
      </c>
      <c r="M2444" s="10" t="str">
        <f>IFERROR(_xlfn.XLOOKUP(C2444,[1]StuntDes!$B:$B,[1]StuntDes!$A:$A),"")</f>
        <v/>
      </c>
      <c r="N2444" s="10" t="str">
        <f>IFERROR(_xlfn.XLOOKUP(C2444,[1]ModifierDes!$B:$B,[1]ModifierDes!$A:$A),"")</f>
        <v/>
      </c>
      <c r="O2444" s="10">
        <f>IFERROR(_xlfn.XLOOKUP(C2444,[1]AttributeName!$C:$C,[1]AttributeName!$B:$B),"")</f>
        <v>10501</v>
      </c>
      <c r="P2444" s="10"/>
      <c r="Q2444">
        <v>0.25</v>
      </c>
      <c r="R2444">
        <v>0.5</v>
      </c>
      <c r="S2444" cm="1">
        <f t="array" ref="S2444">IFERROR(_xlfn.SWITCH(L2444,1,_xlfn.XLOOKUP(O2444,[1]AttributeName!$B:$B,[1]AttributeName!$D:$D),2,_xlfn.XLOOKUP(C2444,[1]ModifierDes!$B:$B,[1]ModifierDes!$D:$D),3,_xlfn.XLOOKUP(C2444,[1]StuntDes!$B:$B,[1]StuntDes!$D:$D)),0)</f>
        <v>2</v>
      </c>
      <c r="T2444" cm="1">
        <f t="array" ref="T2444">IFERROR(_xlfn.SWITCH(L2444,1,_xlfn.XLOOKUP(O2444,[1]AttributeName!$B:$B,[1]AttributeName!$E:$E),2,_xlfn.XLOOKUP(C2444,[1]ModifierDes!$B:$B,[1]ModifierDes!$E:$E),3,_xlfn.XLOOKUP(C2444,[1]StuntDes!$B:$B,[1]StuntDes!$E:$E)),0)</f>
        <v>2</v>
      </c>
    </row>
    <row r="2445" customFormat="1" spans="1:20">
      <c r="A2445">
        <v>10011</v>
      </c>
      <c r="B2445">
        <v>1</v>
      </c>
      <c r="C2445" t="s">
        <v>400</v>
      </c>
      <c r="D2445" t="s">
        <v>26</v>
      </c>
      <c r="E2445" s="13" t="s">
        <v>462</v>
      </c>
      <c r="G2445">
        <v>3</v>
      </c>
      <c r="H2445">
        <v>1000</v>
      </c>
      <c r="J2445" cm="1">
        <f t="array" ref="J2445">_xlfn.SWITCH(B2445,1,75,2,61,3,49,4,37,5,25,6,13,7,4,8,1)</f>
        <v>75</v>
      </c>
      <c r="K2445" t="str" cm="1">
        <f t="array" ref="K2445">IFERROR(_xlfn.SWITCH(L2445,1,_xlfn.XLOOKUP(C2445,[1]AttributeName!$C:$C,[1]AttributeName!$I:$I),2,_xlfn.XLOOKUP(C2445,[1]ModifierDes!$B:$B,[1]ModifierDes!$C:$C),3,_xlfn.XLOOKUP(C2445,[1]StuntDes!$B:$B,[1]StuntDes!$C:$C)),"")</f>
        <v>获得冰冷伤害{0}</v>
      </c>
      <c r="L2445">
        <f t="shared" ref="L2445:L2450" si="186">IF(M2445="",IF(N2445="",1,2),3)</f>
        <v>1</v>
      </c>
      <c r="M2445" s="10" t="str">
        <f>IFERROR(_xlfn.XLOOKUP(C2445,[1]StuntDes!$B:$B,[1]StuntDes!$A:$A),"")</f>
        <v/>
      </c>
      <c r="N2445" s="10" t="str">
        <f>IFERROR(_xlfn.XLOOKUP(C2445,[1]ModifierDes!$B:$B,[1]ModifierDes!$A:$A),"")</f>
        <v/>
      </c>
      <c r="O2445" s="10">
        <f>IFERROR(_xlfn.XLOOKUP(C2445,[1]AttributeName!$C:$C,[1]AttributeName!$B:$B),"")</f>
        <v>10502</v>
      </c>
      <c r="P2445" s="10"/>
      <c r="Q2445">
        <v>0.25</v>
      </c>
      <c r="R2445">
        <v>0.5</v>
      </c>
      <c r="S2445" cm="1">
        <f t="array" ref="S2445">IFERROR(_xlfn.SWITCH(L2445,1,_xlfn.XLOOKUP(O2445,[1]AttributeName!$B:$B,[1]AttributeName!$D:$D),2,_xlfn.XLOOKUP(C2445,[1]ModifierDes!$B:$B,[1]ModifierDes!$D:$D),3,_xlfn.XLOOKUP(C2445,[1]StuntDes!$B:$B,[1]StuntDes!$D:$D)),0)</f>
        <v>2</v>
      </c>
      <c r="T2445" cm="1">
        <f t="array" ref="T2445">IFERROR(_xlfn.SWITCH(L2445,1,_xlfn.XLOOKUP(O2445,[1]AttributeName!$B:$B,[1]AttributeName!$E:$E),2,_xlfn.XLOOKUP(C2445,[1]ModifierDes!$B:$B,[1]ModifierDes!$E:$E),3,_xlfn.XLOOKUP(C2445,[1]StuntDes!$B:$B,[1]StuntDes!$E:$E)),0)</f>
        <v>2</v>
      </c>
    </row>
    <row r="2446" customFormat="1" spans="1:20">
      <c r="A2446">
        <v>10012</v>
      </c>
      <c r="B2446">
        <v>1</v>
      </c>
      <c r="C2446" t="s">
        <v>401</v>
      </c>
      <c r="D2446" t="s">
        <v>26</v>
      </c>
      <c r="E2446" s="13" t="s">
        <v>462</v>
      </c>
      <c r="G2446">
        <v>3</v>
      </c>
      <c r="H2446">
        <v>1000</v>
      </c>
      <c r="J2446" cm="1">
        <f t="array" ref="J2446">_xlfn.SWITCH(B2446,1,75,2,61,3,49,4,37,5,25,6,13,7,4,8,1)</f>
        <v>75</v>
      </c>
      <c r="K2446" t="str" cm="1">
        <f t="array" ref="K2446">IFERROR(_xlfn.SWITCH(L2446,1,_xlfn.XLOOKUP(C2446,[1]AttributeName!$C:$C,[1]AttributeName!$I:$I),2,_xlfn.XLOOKUP(C2446,[1]ModifierDes!$B:$B,[1]ModifierDes!$C:$C),3,_xlfn.XLOOKUP(C2446,[1]StuntDes!$B:$B,[1]StuntDes!$C:$C)),"")</f>
        <v>获得闪电伤害{0}</v>
      </c>
      <c r="L2446">
        <f t="shared" si="186"/>
        <v>1</v>
      </c>
      <c r="M2446" s="10" t="str">
        <f>IFERROR(_xlfn.XLOOKUP(C2446,[1]StuntDes!$B:$B,[1]StuntDes!$A:$A),"")</f>
        <v/>
      </c>
      <c r="N2446" s="10" t="str">
        <f>IFERROR(_xlfn.XLOOKUP(C2446,[1]ModifierDes!$B:$B,[1]ModifierDes!$A:$A),"")</f>
        <v/>
      </c>
      <c r="O2446" s="10">
        <f>IFERROR(_xlfn.XLOOKUP(C2446,[1]AttributeName!$C:$C,[1]AttributeName!$B:$B),"")</f>
        <v>10503</v>
      </c>
      <c r="P2446" s="10"/>
      <c r="Q2446">
        <v>0.25</v>
      </c>
      <c r="R2446">
        <v>0.5</v>
      </c>
      <c r="S2446" cm="1">
        <f t="array" ref="S2446">IFERROR(_xlfn.SWITCH(L2446,1,_xlfn.XLOOKUP(O2446,[1]AttributeName!$B:$B,[1]AttributeName!$D:$D),2,_xlfn.XLOOKUP(C2446,[1]ModifierDes!$B:$B,[1]ModifierDes!$D:$D),3,_xlfn.XLOOKUP(C2446,[1]StuntDes!$B:$B,[1]StuntDes!$D:$D)),0)</f>
        <v>2</v>
      </c>
      <c r="T2446" cm="1">
        <f t="array" ref="T2446">IFERROR(_xlfn.SWITCH(L2446,1,_xlfn.XLOOKUP(O2446,[1]AttributeName!$B:$B,[1]AttributeName!$E:$E),2,_xlfn.XLOOKUP(C2446,[1]ModifierDes!$B:$B,[1]ModifierDes!$E:$E),3,_xlfn.XLOOKUP(C2446,[1]StuntDes!$B:$B,[1]StuntDes!$E:$E)),0)</f>
        <v>2</v>
      </c>
    </row>
    <row r="2447" customFormat="1" spans="1:20">
      <c r="A2447">
        <v>10013</v>
      </c>
      <c r="B2447">
        <v>1</v>
      </c>
      <c r="C2447" t="s">
        <v>402</v>
      </c>
      <c r="D2447" t="s">
        <v>26</v>
      </c>
      <c r="E2447" s="13" t="s">
        <v>462</v>
      </c>
      <c r="G2447">
        <v>3</v>
      </c>
      <c r="H2447">
        <v>1000</v>
      </c>
      <c r="J2447" cm="1">
        <f t="array" ref="J2447">_xlfn.SWITCH(B2447,1,75,2,61,3,49,4,37,5,25,6,13,7,4,8,1)</f>
        <v>75</v>
      </c>
      <c r="K2447" t="str" cm="1">
        <f t="array" ref="K2447">IFERROR(_xlfn.SWITCH(L2447,1,_xlfn.XLOOKUP(C2447,[1]AttributeName!$C:$C,[1]AttributeName!$I:$I),2,_xlfn.XLOOKUP(C2447,[1]ModifierDes!$B:$B,[1]ModifierDes!$C:$C),3,_xlfn.XLOOKUP(C2447,[1]StuntDes!$B:$B,[1]StuntDes!$C:$C)),"")</f>
        <v>获得混沌伤害{0}</v>
      </c>
      <c r="L2447">
        <f t="shared" si="186"/>
        <v>1</v>
      </c>
      <c r="M2447" s="10" t="str">
        <f>IFERROR(_xlfn.XLOOKUP(C2447,[1]StuntDes!$B:$B,[1]StuntDes!$A:$A),"")</f>
        <v/>
      </c>
      <c r="N2447" s="10" t="str">
        <f>IFERROR(_xlfn.XLOOKUP(C2447,[1]ModifierDes!$B:$B,[1]ModifierDes!$A:$A),"")</f>
        <v/>
      </c>
      <c r="O2447" s="10">
        <f>IFERROR(_xlfn.XLOOKUP(C2447,[1]AttributeName!$C:$C,[1]AttributeName!$B:$B),"")</f>
        <v>10504</v>
      </c>
      <c r="P2447" s="10"/>
      <c r="Q2447">
        <v>0.25</v>
      </c>
      <c r="R2447">
        <v>0.5</v>
      </c>
      <c r="S2447" cm="1">
        <f t="array" ref="S2447">IFERROR(_xlfn.SWITCH(L2447,1,_xlfn.XLOOKUP(O2447,[1]AttributeName!$B:$B,[1]AttributeName!$D:$D),2,_xlfn.XLOOKUP(C2447,[1]ModifierDes!$B:$B,[1]ModifierDes!$D:$D),3,_xlfn.XLOOKUP(C2447,[1]StuntDes!$B:$B,[1]StuntDes!$D:$D)),0)</f>
        <v>2</v>
      </c>
      <c r="T2447" cm="1">
        <f t="array" ref="T2447">IFERROR(_xlfn.SWITCH(L2447,1,_xlfn.XLOOKUP(O2447,[1]AttributeName!$B:$B,[1]AttributeName!$E:$E),2,_xlfn.XLOOKUP(C2447,[1]ModifierDes!$B:$B,[1]ModifierDes!$E:$E),3,_xlfn.XLOOKUP(C2447,[1]StuntDes!$B:$B,[1]StuntDes!$E:$E)),0)</f>
        <v>2</v>
      </c>
    </row>
    <row r="2448" customFormat="1" spans="1:20">
      <c r="A2448">
        <v>10014</v>
      </c>
      <c r="B2448">
        <v>1</v>
      </c>
      <c r="C2448" t="s">
        <v>465</v>
      </c>
      <c r="D2448" t="s">
        <v>26</v>
      </c>
      <c r="E2448" s="13" t="s">
        <v>462</v>
      </c>
      <c r="G2448">
        <v>3</v>
      </c>
      <c r="H2448">
        <v>1000</v>
      </c>
      <c r="J2448" cm="1">
        <f t="array" ref="J2448">_xlfn.SWITCH(B2448,1,75,2,61,3,49,4,37,5,25,6,13,7,4,8,1)</f>
        <v>75</v>
      </c>
      <c r="K2448" t="str" cm="1">
        <f t="array" ref="K2448">IFERROR(_xlfn.SWITCH(L2448,1,_xlfn.XLOOKUP(C2448,[1]AttributeName!$C:$C,[1]AttributeName!$I:$I),2,_xlfn.XLOOKUP(C2448,[1]ModifierDes!$B:$B,[1]ModifierDes!$C:$C),3,_xlfn.XLOOKUP(C2448,[1]StuntDes!$B:$B,[1]StuntDes!$C:$C)),"")</f>
        <v>基础暴击率增加{0}</v>
      </c>
      <c r="L2448">
        <f t="shared" si="186"/>
        <v>1</v>
      </c>
      <c r="M2448" s="10" t="str">
        <f>IFERROR(_xlfn.XLOOKUP(C2448,[1]StuntDes!$B:$B,[1]StuntDes!$A:$A),"")</f>
        <v/>
      </c>
      <c r="N2448" s="10" t="str">
        <f>IFERROR(_xlfn.XLOOKUP(C2448,[1]ModifierDes!$B:$B,[1]ModifierDes!$A:$A),"")</f>
        <v/>
      </c>
      <c r="O2448" s="10">
        <f>IFERROR(_xlfn.XLOOKUP(C2448,[1]AttributeName!$C:$C,[1]AttributeName!$B:$B),"")</f>
        <v>10100</v>
      </c>
      <c r="P2448" s="10"/>
      <c r="Q2448">
        <v>0.005</v>
      </c>
      <c r="R2448">
        <v>0.01</v>
      </c>
      <c r="S2448" cm="1">
        <f t="array" ref="S2448">IFERROR(_xlfn.SWITCH(L2448,1,_xlfn.XLOOKUP(O2448,[1]AttributeName!$B:$B,[1]AttributeName!$D:$D),2,_xlfn.XLOOKUP(C2448,[1]ModifierDes!$B:$B,[1]ModifierDes!$D:$D),3,_xlfn.XLOOKUP(C2448,[1]StuntDes!$B:$B,[1]StuntDes!$D:$D)),0)</f>
        <v>3</v>
      </c>
      <c r="T2448" cm="1">
        <f t="array" ref="T2448">IFERROR(_xlfn.SWITCH(L2448,1,_xlfn.XLOOKUP(O2448,[1]AttributeName!$B:$B,[1]AttributeName!$E:$E),2,_xlfn.XLOOKUP(C2448,[1]ModifierDes!$B:$B,[1]ModifierDes!$E:$E),3,_xlfn.XLOOKUP(C2448,[1]StuntDes!$B:$B,[1]StuntDes!$E:$E)),0)</f>
        <v>2</v>
      </c>
    </row>
    <row r="2449" customFormat="1" spans="1:20">
      <c r="A2449">
        <v>10015</v>
      </c>
      <c r="B2449">
        <v>1</v>
      </c>
      <c r="C2449" t="s">
        <v>417</v>
      </c>
      <c r="D2449" t="s">
        <v>26</v>
      </c>
      <c r="E2449" s="13" t="s">
        <v>462</v>
      </c>
      <c r="G2449">
        <v>3</v>
      </c>
      <c r="H2449">
        <v>1000</v>
      </c>
      <c r="J2449" cm="1">
        <f t="array" ref="J2449">_xlfn.SWITCH(B2449,1,75,2,61,3,49,4,37,5,25,6,13,7,4,8,1)</f>
        <v>75</v>
      </c>
      <c r="K2449" t="str" cm="1">
        <f t="array" ref="K2449">IFERROR(_xlfn.SWITCH(L2449,1,_xlfn.XLOOKUP(C2449,[1]AttributeName!$C:$C,[1]AttributeName!$I:$I),2,_xlfn.XLOOKUP(C2449,[1]ModifierDes!$B:$B,[1]ModifierDes!$C:$C),3,_xlfn.XLOOKUP(C2449,[1]StuntDes!$B:$B,[1]StuntDes!$C:$C)),"")</f>
        <v>攻击暴击伤害增加{0}</v>
      </c>
      <c r="L2449">
        <f t="shared" si="186"/>
        <v>2</v>
      </c>
      <c r="M2449" s="10" t="str">
        <f>IFERROR(_xlfn.XLOOKUP(C2449,[1]StuntDes!$B:$B,[1]StuntDes!$A:$A),"")</f>
        <v/>
      </c>
      <c r="N2449" s="10">
        <f>IFERROR(_xlfn.XLOOKUP(C2449,[1]ModifierDes!$B:$B,[1]ModifierDes!$A:$A),"")</f>
        <v>10060</v>
      </c>
      <c r="O2449" s="10" t="str">
        <f>IFERROR(_xlfn.XLOOKUP(C2449,[1]AttributeName!$C:$C,[1]AttributeName!$B:$B),"")</f>
        <v/>
      </c>
      <c r="P2449" s="10"/>
      <c r="Q2449">
        <v>0.5</v>
      </c>
      <c r="R2449">
        <v>1</v>
      </c>
      <c r="S2449" cm="1">
        <f t="array" ref="S2449">IFERROR(_xlfn.SWITCH(L2449,1,_xlfn.XLOOKUP(O2449,[1]AttributeName!$B:$B,[1]AttributeName!$D:$D),2,_xlfn.XLOOKUP(C2449,[1]ModifierDes!$B:$B,[1]ModifierDes!$D:$D),3,_xlfn.XLOOKUP(C2449,[1]StuntDes!$B:$B,[1]StuntDes!$D:$D)),0)</f>
        <v>2</v>
      </c>
      <c r="T2449" cm="1">
        <f t="array" ref="T2449">IFERROR(_xlfn.SWITCH(L2449,1,_xlfn.XLOOKUP(O2449,[1]AttributeName!$B:$B,[1]AttributeName!$E:$E),2,_xlfn.XLOOKUP(C2449,[1]ModifierDes!$B:$B,[1]ModifierDes!$E:$E),3,_xlfn.XLOOKUP(C2449,[1]StuntDes!$B:$B,[1]StuntDes!$E:$E)),0)</f>
        <v>2</v>
      </c>
    </row>
    <row r="2450" customFormat="1" spans="1:20">
      <c r="A2450">
        <v>10016</v>
      </c>
      <c r="B2450">
        <v>1</v>
      </c>
      <c r="C2450" t="s">
        <v>466</v>
      </c>
      <c r="D2450" t="s">
        <v>26</v>
      </c>
      <c r="E2450" s="13" t="s">
        <v>462</v>
      </c>
      <c r="G2450">
        <v>3</v>
      </c>
      <c r="H2450">
        <v>1000</v>
      </c>
      <c r="J2450" cm="1">
        <f t="array" ref="J2450">_xlfn.SWITCH(B2450,1,75,2,61,3,49,4,37,5,25,6,13,7,4,8,1)</f>
        <v>75</v>
      </c>
      <c r="K2450" t="str" cm="1">
        <f t="array" ref="K2450">IFERROR(_xlfn.SWITCH(L2450,1,_xlfn.XLOOKUP(C2450,[1]AttributeName!$C:$C,[1]AttributeName!$I:$I),2,_xlfn.XLOOKUP(C2450,[1]ModifierDes!$B:$B,[1]ModifierDes!$C:$C),3,_xlfn.XLOOKUP(C2450,[1]StuntDes!$B:$B,[1]StuntDes!$C:$C)),"")</f>
        <v>攻击伤害额外提高{0}</v>
      </c>
      <c r="L2450">
        <f t="shared" si="186"/>
        <v>2</v>
      </c>
      <c r="M2450" s="10" t="str">
        <f>IFERROR(_xlfn.XLOOKUP(C2450,[1]StuntDes!$B:$B,[1]StuntDes!$A:$A),"")</f>
        <v/>
      </c>
      <c r="N2450" s="10">
        <f>IFERROR(_xlfn.XLOOKUP(C2450,[1]ModifierDes!$B:$B,[1]ModifierDes!$A:$A),"")</f>
        <v>10136</v>
      </c>
      <c r="O2450" s="10" t="str">
        <f>IFERROR(_xlfn.XLOOKUP(C2450,[1]AttributeName!$C:$C,[1]AttributeName!$B:$B),"")</f>
        <v/>
      </c>
      <c r="P2450" s="10"/>
      <c r="Q2450">
        <v>0.06</v>
      </c>
      <c r="R2450">
        <v>0.12</v>
      </c>
      <c r="S2450" cm="1">
        <f t="array" ref="S2450">IFERROR(_xlfn.SWITCH(L2450,1,_xlfn.XLOOKUP(O2450,[1]AttributeName!$B:$B,[1]AttributeName!$D:$D),2,_xlfn.XLOOKUP(C2450,[1]ModifierDes!$B:$B,[1]ModifierDes!$D:$D),3,_xlfn.XLOOKUP(C2450,[1]StuntDes!$B:$B,[1]StuntDes!$D:$D)),0)</f>
        <v>2</v>
      </c>
      <c r="T2450" cm="1">
        <f t="array" ref="T2450">IFERROR(_xlfn.SWITCH(L2450,1,_xlfn.XLOOKUP(O2450,[1]AttributeName!$B:$B,[1]AttributeName!$E:$E),2,_xlfn.XLOOKUP(C2450,[1]ModifierDes!$B:$B,[1]ModifierDes!$E:$E),3,_xlfn.XLOOKUP(C2450,[1]StuntDes!$B:$B,[1]StuntDes!$E:$E)),0)</f>
        <v>2</v>
      </c>
    </row>
    <row r="2451" customFormat="1" spans="1:20">
      <c r="A2451">
        <v>10101</v>
      </c>
      <c r="B2451">
        <v>1</v>
      </c>
      <c r="C2451" t="s">
        <v>407</v>
      </c>
      <c r="D2451" t="s">
        <v>427</v>
      </c>
      <c r="E2451" s="13" t="s">
        <v>462</v>
      </c>
      <c r="G2451">
        <v>3</v>
      </c>
      <c r="H2451">
        <v>1000</v>
      </c>
      <c r="J2451" cm="1">
        <f t="array" ref="J2451">_xlfn.SWITCH(B2451,1,75,2,61,3,49,4,37,5,25,6,13,7,4,8,1)</f>
        <v>75</v>
      </c>
      <c r="K2451" t="str" cm="1">
        <f t="array" ref="K2451">IFERROR(_xlfn.SWITCH(L2451,1,_xlfn.XLOOKUP(C2451,[1]AttributeName!$C:$C,[1]AttributeName!$I:$I),2,_xlfn.XLOOKUP(C2451,[1]ModifierDes!$B:$B,[1]ModifierDes!$C:$C),3,_xlfn.XLOOKUP(C2451,[1]StuntDes!$B:$B,[1]StuntDes!$C:$C)),"")</f>
        <v>基础生命增加{0}</v>
      </c>
      <c r="L2451">
        <f t="shared" ref="L2451:L2456" si="187">IF(M2451="",IF(N2451="",1,2),3)</f>
        <v>1</v>
      </c>
      <c r="M2451" s="10" t="str">
        <f>IFERROR(_xlfn.XLOOKUP(C2451,[1]StuntDes!$B:$B,[1]StuntDes!$A:$A),"")</f>
        <v/>
      </c>
      <c r="N2451" s="10" t="str">
        <f>IFERROR(_xlfn.XLOOKUP(C2451,[1]ModifierDes!$B:$B,[1]ModifierDes!$A:$A),"")</f>
        <v/>
      </c>
      <c r="O2451" s="10">
        <f>IFERROR(_xlfn.XLOOKUP(C2451,[1]AttributeName!$C:$C,[1]AttributeName!$B:$B),"")</f>
        <v>10001</v>
      </c>
      <c r="P2451" s="10"/>
      <c r="Q2451">
        <v>355</v>
      </c>
      <c r="R2451">
        <v>405</v>
      </c>
      <c r="S2451" cm="1">
        <f t="array" ref="S2451">IFERROR(_xlfn.SWITCH(L2451,1,_xlfn.XLOOKUP(O2451,[1]AttributeName!$B:$B,[1]AttributeName!$D:$D),2,_xlfn.XLOOKUP(C2451,[1]ModifierDes!$B:$B,[1]ModifierDes!$D:$D),3,_xlfn.XLOOKUP(C2451,[1]StuntDes!$B:$B,[1]StuntDes!$D:$D)),0)</f>
        <v>0</v>
      </c>
      <c r="T2451" cm="1">
        <f t="array" ref="T2451">IFERROR(_xlfn.SWITCH(L2451,1,_xlfn.XLOOKUP(O2451,[1]AttributeName!$B:$B,[1]AttributeName!$E:$E),2,_xlfn.XLOOKUP(C2451,[1]ModifierDes!$B:$B,[1]ModifierDes!$E:$E),3,_xlfn.XLOOKUP(C2451,[1]StuntDes!$B:$B,[1]StuntDes!$E:$E)),0)</f>
        <v>1</v>
      </c>
    </row>
    <row r="2452" customFormat="1" spans="1:20">
      <c r="A2452">
        <v>10102</v>
      </c>
      <c r="B2452">
        <v>1</v>
      </c>
      <c r="C2452" t="s">
        <v>408</v>
      </c>
      <c r="D2452" t="s">
        <v>427</v>
      </c>
      <c r="E2452" s="13" t="s">
        <v>462</v>
      </c>
      <c r="G2452">
        <v>3</v>
      </c>
      <c r="H2452">
        <v>1000</v>
      </c>
      <c r="J2452" cm="1">
        <f t="array" ref="J2452">_xlfn.SWITCH(B2452,1,75,2,61,3,49,4,37,5,25,6,13,7,4,8,1)</f>
        <v>75</v>
      </c>
      <c r="K2452" t="str" cm="1">
        <f t="array" ref="K2452">IFERROR(_xlfn.SWITCH(L2452,1,_xlfn.XLOOKUP(C2452,[1]AttributeName!$C:$C,[1]AttributeName!$I:$I),2,_xlfn.XLOOKUP(C2452,[1]ModifierDes!$B:$B,[1]ModifierDes!$C:$C),3,_xlfn.XLOOKUP(C2452,[1]StuntDes!$B:$B,[1]StuntDes!$C:$C)),"")</f>
        <v>基础魔力增加{0}</v>
      </c>
      <c r="L2452">
        <f t="shared" si="187"/>
        <v>1</v>
      </c>
      <c r="M2452" s="10" t="str">
        <f>IFERROR(_xlfn.XLOOKUP(C2452,[1]StuntDes!$B:$B,[1]StuntDes!$A:$A),"")</f>
        <v/>
      </c>
      <c r="N2452" s="10" t="str">
        <f>IFERROR(_xlfn.XLOOKUP(C2452,[1]ModifierDes!$B:$B,[1]ModifierDes!$A:$A),"")</f>
        <v/>
      </c>
      <c r="O2452" s="10">
        <f>IFERROR(_xlfn.XLOOKUP(C2452,[1]AttributeName!$C:$C,[1]AttributeName!$B:$B),"")</f>
        <v>10002</v>
      </c>
      <c r="P2452" s="10"/>
      <c r="Q2452">
        <v>80</v>
      </c>
      <c r="R2452">
        <v>100</v>
      </c>
      <c r="S2452" cm="1">
        <f t="array" ref="S2452">IFERROR(_xlfn.SWITCH(L2452,1,_xlfn.XLOOKUP(O2452,[1]AttributeName!$B:$B,[1]AttributeName!$D:$D),2,_xlfn.XLOOKUP(C2452,[1]ModifierDes!$B:$B,[1]ModifierDes!$D:$D),3,_xlfn.XLOOKUP(C2452,[1]StuntDes!$B:$B,[1]StuntDes!$D:$D)),0)</f>
        <v>0</v>
      </c>
      <c r="T2452" cm="1">
        <f t="array" ref="T2452">IFERROR(_xlfn.SWITCH(L2452,1,_xlfn.XLOOKUP(O2452,[1]AttributeName!$B:$B,[1]AttributeName!$E:$E),2,_xlfn.XLOOKUP(C2452,[1]ModifierDes!$B:$B,[1]ModifierDes!$E:$E),3,_xlfn.XLOOKUP(C2452,[1]StuntDes!$B:$B,[1]StuntDes!$E:$E)),0)</f>
        <v>1</v>
      </c>
    </row>
    <row r="2453" customFormat="1" spans="1:20">
      <c r="A2453">
        <v>10103</v>
      </c>
      <c r="B2453">
        <v>1</v>
      </c>
      <c r="C2453" t="s">
        <v>428</v>
      </c>
      <c r="D2453" t="s">
        <v>427</v>
      </c>
      <c r="E2453" s="13" t="s">
        <v>462</v>
      </c>
      <c r="G2453">
        <v>3</v>
      </c>
      <c r="H2453">
        <v>1000</v>
      </c>
      <c r="J2453" cm="1">
        <f t="array" ref="J2453">_xlfn.SWITCH(B2453,1,75,2,61,3,49,4,37,5,25,6,13,7,4,8,1)</f>
        <v>75</v>
      </c>
      <c r="K2453" t="str" cm="1">
        <f t="array" ref="K2453">IFERROR(_xlfn.SWITCH(L2453,1,_xlfn.XLOOKUP(C2453,[1]AttributeName!$C:$C,[1]AttributeName!$I:$I),2,_xlfn.XLOOKUP(C2453,[1]ModifierDes!$B:$B,[1]ModifierDes!$C:$C),3,_xlfn.XLOOKUP(C2453,[1]StuntDes!$B:$B,[1]StuntDes!$C:$C)),"")</f>
        <v>防御力增加{0}</v>
      </c>
      <c r="L2453">
        <f t="shared" si="187"/>
        <v>1</v>
      </c>
      <c r="M2453" s="10" t="str">
        <f>IFERROR(_xlfn.XLOOKUP(C2453,[1]StuntDes!$B:$B,[1]StuntDes!$A:$A),"")</f>
        <v/>
      </c>
      <c r="N2453" s="10" t="str">
        <f>IFERROR(_xlfn.XLOOKUP(C2453,[1]ModifierDes!$B:$B,[1]ModifierDes!$A:$A),"")</f>
        <v/>
      </c>
      <c r="O2453" s="10">
        <f>IFERROR(_xlfn.XLOOKUP(C2453,[1]AttributeName!$C:$C,[1]AttributeName!$B:$B),"")</f>
        <v>10014</v>
      </c>
      <c r="P2453" s="10"/>
      <c r="Q2453" s="13">
        <v>160</v>
      </c>
      <c r="R2453" s="13">
        <v>200</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10104</v>
      </c>
      <c r="B2454">
        <v>1</v>
      </c>
      <c r="C2454" t="s">
        <v>429</v>
      </c>
      <c r="D2454" t="s">
        <v>427</v>
      </c>
      <c r="E2454" s="13" t="s">
        <v>462</v>
      </c>
      <c r="G2454">
        <v>3</v>
      </c>
      <c r="H2454">
        <v>1000</v>
      </c>
      <c r="J2454" cm="1">
        <f t="array" ref="J2454">_xlfn.SWITCH(B2454,1,75,2,61,3,49,4,37,5,25,6,13,7,4,8,1)</f>
        <v>75</v>
      </c>
      <c r="K2454" t="str" cm="1">
        <f t="array" ref="K2454">IFERROR(_xlfn.SWITCH(L2454,1,_xlfn.XLOOKUP(C2454,[1]AttributeName!$C:$C,[1]AttributeName!$I:$I),2,_xlfn.XLOOKUP(C2454,[1]ModifierDes!$B:$B,[1]ModifierDes!$C:$C),3,_xlfn.XLOOKUP(C2454,[1]StuntDes!$B:$B,[1]StuntDes!$C:$C)),"")</f>
        <v>攻击格挡率增加{0}</v>
      </c>
      <c r="L2454">
        <f t="shared" si="187"/>
        <v>1</v>
      </c>
      <c r="M2454" s="10" t="str">
        <f>IFERROR(_xlfn.XLOOKUP(C2454,[1]StuntDes!$B:$B,[1]StuntDes!$A:$A),"")</f>
        <v/>
      </c>
      <c r="N2454" s="10" t="str">
        <f>IFERROR(_xlfn.XLOOKUP(C2454,[1]ModifierDes!$B:$B,[1]ModifierDes!$A:$A),"")</f>
        <v/>
      </c>
      <c r="O2454" s="10">
        <f>IFERROR(_xlfn.XLOOKUP(C2454,[1]AttributeName!$C:$C,[1]AttributeName!$B:$B),"")</f>
        <v>10013</v>
      </c>
      <c r="P2454" s="10"/>
      <c r="Q2454">
        <v>0.07</v>
      </c>
      <c r="R2454">
        <v>0.15</v>
      </c>
      <c r="S2454" cm="1">
        <f t="array" ref="S2454">IFERROR(_xlfn.SWITCH(L2454,1,_xlfn.XLOOKUP(O2454,[1]AttributeName!$B:$B,[1]AttributeName!$D:$D),2,_xlfn.XLOOKUP(C2454,[1]ModifierDes!$B:$B,[1]ModifierDes!$D:$D),3,_xlfn.XLOOKUP(C2454,[1]StuntDes!$B:$B,[1]StuntDes!$D:$D)),0)</f>
        <v>2</v>
      </c>
      <c r="T2454" cm="1">
        <f t="array" ref="T2454">IFERROR(_xlfn.SWITCH(L2454,1,_xlfn.XLOOKUP(O2454,[1]AttributeName!$B:$B,[1]AttributeName!$E:$E),2,_xlfn.XLOOKUP(C2454,[1]ModifierDes!$B:$B,[1]ModifierDes!$E:$E),3,_xlfn.XLOOKUP(C2454,[1]StuntDes!$B:$B,[1]StuntDes!$E:$E)),0)</f>
        <v>2</v>
      </c>
    </row>
    <row r="2455" customFormat="1" spans="1:20">
      <c r="A2455">
        <v>10105</v>
      </c>
      <c r="B2455">
        <v>1</v>
      </c>
      <c r="C2455" t="s">
        <v>430</v>
      </c>
      <c r="D2455" t="s">
        <v>427</v>
      </c>
      <c r="E2455" s="13" t="s">
        <v>462</v>
      </c>
      <c r="G2455">
        <v>3</v>
      </c>
      <c r="H2455">
        <v>1000</v>
      </c>
      <c r="J2455" cm="1">
        <f t="array" ref="J2455">_xlfn.SWITCH(B2455,1,75,2,61,3,49,4,37,5,25,6,13,7,4,8,1)</f>
        <v>75</v>
      </c>
      <c r="K2455" t="str" cm="1">
        <f t="array" ref="K2455">IFERROR(_xlfn.SWITCH(L2455,1,_xlfn.XLOOKUP(C2455,[1]AttributeName!$C:$C,[1]AttributeName!$I:$I),2,_xlfn.XLOOKUP(C2455,[1]ModifierDes!$B:$B,[1]ModifierDes!$C:$C),3,_xlfn.XLOOKUP(C2455,[1]StuntDes!$B:$B,[1]StuntDes!$C:$C)),"")</f>
        <v>法术格挡率增加{0}</v>
      </c>
      <c r="L2455">
        <f t="shared" si="187"/>
        <v>1</v>
      </c>
      <c r="M2455" s="10" t="str">
        <f>IFERROR(_xlfn.XLOOKUP(C2455,[1]StuntDes!$B:$B,[1]StuntDes!$A:$A),"")</f>
        <v/>
      </c>
      <c r="N2455" s="10" t="str">
        <f>IFERROR(_xlfn.XLOOKUP(C2455,[1]ModifierDes!$B:$B,[1]ModifierDes!$A:$A),"")</f>
        <v/>
      </c>
      <c r="O2455" s="10">
        <f>IFERROR(_xlfn.XLOOKUP(C2455,[1]AttributeName!$C:$C,[1]AttributeName!$B:$B),"")</f>
        <v>10011</v>
      </c>
      <c r="P2455" s="10"/>
      <c r="Q2455">
        <v>0.07</v>
      </c>
      <c r="R2455">
        <v>0.15</v>
      </c>
      <c r="S2455" cm="1">
        <f t="array" ref="S2455">IFERROR(_xlfn.SWITCH(L2455,1,_xlfn.XLOOKUP(O2455,[1]AttributeName!$B:$B,[1]AttributeName!$D:$D),2,_xlfn.XLOOKUP(C2455,[1]ModifierDes!$B:$B,[1]ModifierDes!$D:$D),3,_xlfn.XLOOKUP(C2455,[1]StuntDes!$B:$B,[1]StuntDes!$D:$D)),0)</f>
        <v>2</v>
      </c>
      <c r="T2455" cm="1">
        <f t="array" ref="T2455">IFERROR(_xlfn.SWITCH(L2455,1,_xlfn.XLOOKUP(O2455,[1]AttributeName!$B:$B,[1]AttributeName!$E:$E),2,_xlfn.XLOOKUP(C2455,[1]ModifierDes!$B:$B,[1]ModifierDes!$E:$E),3,_xlfn.XLOOKUP(C2455,[1]StuntDes!$B:$B,[1]StuntDes!$E:$E)),0)</f>
        <v>2</v>
      </c>
    </row>
    <row r="2456" customFormat="1" spans="1:20">
      <c r="A2456">
        <v>10106</v>
      </c>
      <c r="B2456">
        <v>1</v>
      </c>
      <c r="C2456" t="s">
        <v>455</v>
      </c>
      <c r="D2456" t="s">
        <v>427</v>
      </c>
      <c r="E2456" s="13" t="s">
        <v>462</v>
      </c>
      <c r="G2456">
        <v>3</v>
      </c>
      <c r="H2456">
        <v>1000</v>
      </c>
      <c r="J2456" cm="1">
        <f t="array" ref="J2456">_xlfn.SWITCH(B2456,1,75,2,61,3,49,4,37,5,25,6,13,7,4,8,1)</f>
        <v>75</v>
      </c>
      <c r="K2456" t="str" cm="1">
        <f t="array" ref="K2456">IFERROR(_xlfn.SWITCH(L2456,1,_xlfn.XLOOKUP(C2456,[1]AttributeName!$C:$C,[1]AttributeName!$I:$I),2,_xlfn.XLOOKUP(C2456,[1]ModifierDes!$B:$B,[1]ModifierDes!$C:$C),3,_xlfn.XLOOKUP(C2456,[1]StuntDes!$B:$B,[1]StuntDes!$C:$C)),"")</f>
        <v>格挡减伤率增加{0}</v>
      </c>
      <c r="L2456">
        <f t="shared" si="187"/>
        <v>1</v>
      </c>
      <c r="M2456" s="10" t="str">
        <f>IFERROR(_xlfn.XLOOKUP(C2456,[1]StuntDes!$B:$B,[1]StuntDes!$A:$A),"")</f>
        <v/>
      </c>
      <c r="N2456" s="10" t="str">
        <f>IFERROR(_xlfn.XLOOKUP(C2456,[1]ModifierDes!$B:$B,[1]ModifierDes!$A:$A),"")</f>
        <v/>
      </c>
      <c r="O2456" s="10">
        <f>IFERROR(_xlfn.XLOOKUP(C2456,[1]AttributeName!$C:$C,[1]AttributeName!$B:$B),"")</f>
        <v>10012</v>
      </c>
      <c r="P2456" s="10"/>
      <c r="Q2456">
        <v>0.07</v>
      </c>
      <c r="R2456">
        <v>0.15</v>
      </c>
      <c r="S2456" cm="1">
        <f t="array" ref="S2456">IFERROR(_xlfn.SWITCH(L2456,1,_xlfn.XLOOKUP(O2456,[1]AttributeName!$B:$B,[1]AttributeName!$D:$D),2,_xlfn.XLOOKUP(C2456,[1]ModifierDes!$B:$B,[1]ModifierDes!$D:$D),3,_xlfn.XLOOKUP(C2456,[1]StuntDes!$B:$B,[1]StuntDes!$D:$D)),0)</f>
        <v>2</v>
      </c>
      <c r="T2456" cm="1">
        <f t="array" ref="T2456">IFERROR(_xlfn.SWITCH(L2456,1,_xlfn.XLOOKUP(O2456,[1]AttributeName!$B:$B,[1]AttributeName!$E:$E),2,_xlfn.XLOOKUP(C2456,[1]ModifierDes!$B:$B,[1]ModifierDes!$E:$E),3,_xlfn.XLOOKUP(C2456,[1]StuntDes!$B:$B,[1]StuntDes!$E:$E)),0)</f>
        <v>2</v>
      </c>
    </row>
    <row r="2457" customFormat="1" spans="1:20">
      <c r="A2457">
        <v>10107</v>
      </c>
      <c r="B2457">
        <v>1</v>
      </c>
      <c r="C2457" t="s">
        <v>463</v>
      </c>
      <c r="D2457" t="s">
        <v>427</v>
      </c>
      <c r="E2457" s="13" t="s">
        <v>462</v>
      </c>
      <c r="G2457">
        <v>3</v>
      </c>
      <c r="H2457">
        <v>1000</v>
      </c>
      <c r="J2457" cm="1">
        <f t="array" ref="J2457">_xlfn.SWITCH(B2457,1,75,2,61,3,49,4,37,5,25,6,13,7,4,8,1)</f>
        <v>75</v>
      </c>
      <c r="K2457" t="str" cm="1">
        <f t="array" ref="K2457">IFERROR(_xlfn.SWITCH(L2457,1,_xlfn.XLOOKUP(C2457,[1]AttributeName!$C:$C,[1]AttributeName!$I:$I),2,_xlfn.XLOOKUP(C2457,[1]ModifierDes!$B:$B,[1]ModifierDes!$C:$C),3,_xlfn.XLOOKUP(C2457,[1]StuntDes!$B:$B,[1]StuntDes!$C:$C)),"")</f>
        <v>生命恢复率增加{0}</v>
      </c>
      <c r="L2457">
        <f t="shared" ref="L2457:L2520" si="188">IF(M2457="",IF(N2457="",1,2),3)</f>
        <v>1</v>
      </c>
      <c r="M2457" s="10" t="str">
        <f>IFERROR(_xlfn.XLOOKUP(C2457,[1]StuntDes!$B:$B,[1]StuntDes!$A:$A),"")</f>
        <v/>
      </c>
      <c r="N2457" s="10" t="str">
        <f>IFERROR(_xlfn.XLOOKUP(C2457,[1]ModifierDes!$B:$B,[1]ModifierDes!$A:$A),"")</f>
        <v/>
      </c>
      <c r="O2457" s="10">
        <f>IFERROR(_xlfn.XLOOKUP(C2457,[1]AttributeName!$C:$C,[1]AttributeName!$B:$B),"")</f>
        <v>10004</v>
      </c>
      <c r="P2457" s="10"/>
      <c r="Q2457">
        <v>0.01</v>
      </c>
      <c r="R2457">
        <v>0.014</v>
      </c>
      <c r="S2457" cm="1">
        <f t="array" ref="S2457">IFERROR(_xlfn.SWITCH(L2457,1,_xlfn.XLOOKUP(O2457,[1]AttributeName!$B:$B,[1]AttributeName!$D:$D),2,_xlfn.XLOOKUP(C2457,[1]ModifierDes!$B:$B,[1]ModifierDes!$D:$D),3,_xlfn.XLOOKUP(C2457,[1]StuntDes!$B:$B,[1]StuntDes!$D:$D)),0)</f>
        <v>3</v>
      </c>
      <c r="T2457" cm="1">
        <f t="array" ref="T2457">IFERROR(_xlfn.SWITCH(L2457,1,_xlfn.XLOOKUP(O2457,[1]AttributeName!$B:$B,[1]AttributeName!$E:$E),2,_xlfn.XLOOKUP(C2457,[1]ModifierDes!$B:$B,[1]ModifierDes!$E:$E),3,_xlfn.XLOOKUP(C2457,[1]StuntDes!$B:$B,[1]StuntDes!$E:$E)),0)</f>
        <v>2</v>
      </c>
    </row>
    <row r="2458" customFormat="1" spans="1:20">
      <c r="A2458">
        <v>10108</v>
      </c>
      <c r="B2458">
        <v>1</v>
      </c>
      <c r="C2458" t="s">
        <v>464</v>
      </c>
      <c r="D2458" t="s">
        <v>427</v>
      </c>
      <c r="E2458" s="13" t="s">
        <v>462</v>
      </c>
      <c r="G2458">
        <v>3</v>
      </c>
      <c r="H2458">
        <v>1000</v>
      </c>
      <c r="J2458" cm="1">
        <f t="array" ref="J2458">_xlfn.SWITCH(B2458,1,75,2,61,3,49,4,37,5,25,6,13,7,4,8,1)</f>
        <v>75</v>
      </c>
      <c r="K2458" t="str" cm="1">
        <f t="array" ref="K2458">IFERROR(_xlfn.SWITCH(L2458,1,_xlfn.XLOOKUP(C2458,[1]AttributeName!$C:$C,[1]AttributeName!$I:$I),2,_xlfn.XLOOKUP(C2458,[1]ModifierDes!$B:$B,[1]ModifierDes!$C:$C),3,_xlfn.XLOOKUP(C2458,[1]StuntDes!$B:$B,[1]StuntDes!$C:$C)),"")</f>
        <v>魔力恢复率增加{0}</v>
      </c>
      <c r="L2458">
        <f t="shared" si="188"/>
        <v>1</v>
      </c>
      <c r="M2458" s="10" t="str">
        <f>IFERROR(_xlfn.XLOOKUP(C2458,[1]StuntDes!$B:$B,[1]StuntDes!$A:$A),"")</f>
        <v/>
      </c>
      <c r="N2458" s="10" t="str">
        <f>IFERROR(_xlfn.XLOOKUP(C2458,[1]ModifierDes!$B:$B,[1]ModifierDes!$A:$A),"")</f>
        <v/>
      </c>
      <c r="O2458" s="10">
        <f>IFERROR(_xlfn.XLOOKUP(C2458,[1]AttributeName!$C:$C,[1]AttributeName!$B:$B),"")</f>
        <v>10006</v>
      </c>
      <c r="P2458" s="10"/>
      <c r="Q2458">
        <v>0.01</v>
      </c>
      <c r="R2458">
        <v>0.014</v>
      </c>
      <c r="S2458" cm="1">
        <f t="array" ref="S2458">IFERROR(_xlfn.SWITCH(L2458,1,_xlfn.XLOOKUP(O2458,[1]AttributeName!$B:$B,[1]AttributeName!$D:$D),2,_xlfn.XLOOKUP(C2458,[1]ModifierDes!$B:$B,[1]ModifierDes!$D:$D),3,_xlfn.XLOOKUP(C2458,[1]StuntDes!$B:$B,[1]StuntDes!$D:$D)),0)</f>
        <v>3</v>
      </c>
      <c r="T2458" cm="1">
        <f t="array" ref="T2458">IFERROR(_xlfn.SWITCH(L2458,1,_xlfn.XLOOKUP(O2458,[1]AttributeName!$B:$B,[1]AttributeName!$E:$E),2,_xlfn.XLOOKUP(C2458,[1]ModifierDes!$B:$B,[1]ModifierDes!$E:$E),3,_xlfn.XLOOKUP(C2458,[1]StuntDes!$B:$B,[1]StuntDes!$E:$E)),0)</f>
        <v>2</v>
      </c>
    </row>
    <row r="2459" customFormat="1" spans="1:20">
      <c r="A2459">
        <v>10109</v>
      </c>
      <c r="B2459">
        <v>1</v>
      </c>
      <c r="C2459" t="s">
        <v>452</v>
      </c>
      <c r="D2459" t="s">
        <v>427</v>
      </c>
      <c r="E2459" s="13" t="s">
        <v>462</v>
      </c>
      <c r="G2459">
        <v>3</v>
      </c>
      <c r="H2459">
        <v>1000</v>
      </c>
      <c r="J2459" cm="1">
        <f t="array" ref="J2459">_xlfn.SWITCH(B2459,1,75,2,61,3,49,4,37,5,25,6,13,7,4,8,1)</f>
        <v>75</v>
      </c>
      <c r="K2459" t="str" cm="1">
        <f t="array" ref="K2459">IFERROR(_xlfn.SWITCH(L2459,1,_xlfn.XLOOKUP(C2459,[1]AttributeName!$C:$C,[1]AttributeName!$I:$I),2,_xlfn.XLOOKUP(C2459,[1]ModifierDes!$B:$B,[1]ModifierDes!$C:$C),3,_xlfn.XLOOKUP(C2459,[1]StuntDes!$B:$B,[1]StuntDes!$C:$C)),"")</f>
        <v>元素抗性增加{0}</v>
      </c>
      <c r="L2459">
        <f t="shared" si="188"/>
        <v>1</v>
      </c>
      <c r="M2459" s="10" t="str">
        <f>IFERROR(_xlfn.XLOOKUP(C2459,[1]StuntDes!$B:$B,[1]StuntDes!$A:$A),"")</f>
        <v/>
      </c>
      <c r="N2459" s="10" t="str">
        <f>IFERROR(_xlfn.XLOOKUP(C2459,[1]ModifierDes!$B:$B,[1]ModifierDes!$A:$A),"")</f>
        <v/>
      </c>
      <c r="O2459" s="10">
        <f>IFERROR(_xlfn.XLOOKUP(C2459,[1]AttributeName!$C:$C,[1]AttributeName!$B:$B),"")</f>
        <v>10316</v>
      </c>
      <c r="P2459" s="10"/>
      <c r="Q2459">
        <v>0.07</v>
      </c>
      <c r="R2459">
        <v>0.15</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10110</v>
      </c>
      <c r="B2460">
        <v>1</v>
      </c>
      <c r="C2460" t="s">
        <v>441</v>
      </c>
      <c r="D2460" t="s">
        <v>427</v>
      </c>
      <c r="E2460" s="13" t="s">
        <v>462</v>
      </c>
      <c r="G2460">
        <v>3</v>
      </c>
      <c r="H2460">
        <v>1000</v>
      </c>
      <c r="J2460" cm="1">
        <f t="array" ref="J2460">_xlfn.SWITCH(B2460,1,75,2,61,3,49,4,37,5,25,6,13,7,4,8,1)</f>
        <v>75</v>
      </c>
      <c r="K2460" t="str" cm="1">
        <f t="array" ref="K2460">IFERROR(_xlfn.SWITCH(L2460,1,_xlfn.XLOOKUP(C2460,[1]AttributeName!$C:$C,[1]AttributeName!$I:$I),2,_xlfn.XLOOKUP(C2460,[1]ModifierDes!$B:$B,[1]ModifierDes!$C:$C),3,_xlfn.XLOOKUP(C2460,[1]StuntDes!$B:$B,[1]StuntDes!$C:$C)),"")</f>
        <v>混沌抗性增加{0}</v>
      </c>
      <c r="L2460">
        <f t="shared" si="188"/>
        <v>1</v>
      </c>
      <c r="M2460" s="10" t="str">
        <f>IFERROR(_xlfn.XLOOKUP(C2460,[1]StuntDes!$B:$B,[1]StuntDes!$A:$A),"")</f>
        <v/>
      </c>
      <c r="N2460" s="10" t="str">
        <f>IFERROR(_xlfn.XLOOKUP(C2460,[1]ModifierDes!$B:$B,[1]ModifierDes!$A:$A),"")</f>
        <v/>
      </c>
      <c r="O2460" s="10">
        <f>IFERROR(_xlfn.XLOOKUP(C2460,[1]AttributeName!$C:$C,[1]AttributeName!$B:$B),"")</f>
        <v>10315</v>
      </c>
      <c r="P2460" s="10"/>
      <c r="Q2460">
        <v>0.13</v>
      </c>
      <c r="R2460">
        <v>0.22</v>
      </c>
      <c r="S2460" cm="1">
        <f t="array" ref="S2460">IFERROR(_xlfn.SWITCH(L2460,1,_xlfn.XLOOKUP(O2460,[1]AttributeName!$B:$B,[1]AttributeName!$D:$D),2,_xlfn.XLOOKUP(C2460,[1]ModifierDes!$B:$B,[1]ModifierDes!$D:$D),3,_xlfn.XLOOKUP(C2460,[1]StuntDes!$B:$B,[1]StuntDes!$D:$D)),0)</f>
        <v>2</v>
      </c>
      <c r="T2460" cm="1">
        <f t="array" ref="T2460">IFERROR(_xlfn.SWITCH(L2460,1,_xlfn.XLOOKUP(O2460,[1]AttributeName!$B:$B,[1]AttributeName!$E:$E),2,_xlfn.XLOOKUP(C2460,[1]ModifierDes!$B:$B,[1]ModifierDes!$E:$E),3,_xlfn.XLOOKUP(C2460,[1]StuntDes!$B:$B,[1]StuntDes!$E:$E)),0)</f>
        <v>2</v>
      </c>
    </row>
    <row r="2461" customFormat="1" spans="1:20">
      <c r="A2461">
        <v>11201</v>
      </c>
      <c r="B2461">
        <v>1</v>
      </c>
      <c r="C2461" t="s">
        <v>407</v>
      </c>
      <c r="D2461" t="s">
        <v>24</v>
      </c>
      <c r="E2461" s="13" t="s">
        <v>462</v>
      </c>
      <c r="G2461">
        <v>3</v>
      </c>
      <c r="H2461">
        <v>1000</v>
      </c>
      <c r="J2461" cm="1">
        <f t="array" ref="J2461">_xlfn.SWITCH(B2461,1,75,2,61,3,49,4,37,5,25,6,13,7,4,8,1)</f>
        <v>75</v>
      </c>
      <c r="K2461" t="str" cm="1">
        <f t="array" ref="K2461">IFERROR(_xlfn.SWITCH(L2461,1,_xlfn.XLOOKUP(C2461,[1]AttributeName!$C:$C,[1]AttributeName!$I:$I),2,_xlfn.XLOOKUP(C2461,[1]ModifierDes!$B:$B,[1]ModifierDes!$C:$C),3,_xlfn.XLOOKUP(C2461,[1]StuntDes!$B:$B,[1]StuntDes!$C:$C)),"")</f>
        <v>基础生命增加{0}</v>
      </c>
      <c r="L2461">
        <f t="shared" si="188"/>
        <v>1</v>
      </c>
      <c r="M2461" s="10" t="str">
        <f>IFERROR(_xlfn.XLOOKUP(C2461,[1]StuntDes!$B:$B,[1]StuntDes!$A:$A),"")</f>
        <v/>
      </c>
      <c r="N2461" s="10" t="str">
        <f>IFERROR(_xlfn.XLOOKUP(C2461,[1]ModifierDes!$B:$B,[1]ModifierDes!$A:$A),"")</f>
        <v/>
      </c>
      <c r="O2461" s="10">
        <f>IFERROR(_xlfn.XLOOKUP(C2461,[1]AttributeName!$C:$C,[1]AttributeName!$B:$B),"")</f>
        <v>10001</v>
      </c>
      <c r="P2461" s="10"/>
      <c r="Q2461">
        <v>355</v>
      </c>
      <c r="R2461">
        <v>405</v>
      </c>
      <c r="S2461" cm="1">
        <f t="array" ref="S2461">IFERROR(_xlfn.SWITCH(L2461,1,_xlfn.XLOOKUP(O2461,[1]AttributeName!$B:$B,[1]AttributeName!$D:$D),2,_xlfn.XLOOKUP(C2461,[1]ModifierDes!$B:$B,[1]ModifierDes!$D:$D),3,_xlfn.XLOOKUP(C2461,[1]StuntDes!$B:$B,[1]StuntDes!$D:$D)),0)</f>
        <v>0</v>
      </c>
      <c r="T2461" cm="1">
        <f t="array" ref="T2461">IFERROR(_xlfn.SWITCH(L2461,1,_xlfn.XLOOKUP(O2461,[1]AttributeName!$B:$B,[1]AttributeName!$E:$E),2,_xlfn.XLOOKUP(C2461,[1]ModifierDes!$B:$B,[1]ModifierDes!$E:$E),3,_xlfn.XLOOKUP(C2461,[1]StuntDes!$B:$B,[1]StuntDes!$E:$E)),0)</f>
        <v>1</v>
      </c>
    </row>
    <row r="2462" customFormat="1" spans="1:20">
      <c r="A2462">
        <v>11202</v>
      </c>
      <c r="B2462">
        <v>1</v>
      </c>
      <c r="C2462" t="s">
        <v>408</v>
      </c>
      <c r="D2462" t="s">
        <v>24</v>
      </c>
      <c r="E2462" s="13" t="s">
        <v>462</v>
      </c>
      <c r="G2462">
        <v>3</v>
      </c>
      <c r="H2462">
        <v>1000</v>
      </c>
      <c r="J2462" cm="1">
        <f t="array" ref="J2462">_xlfn.SWITCH(B2462,1,75,2,61,3,49,4,37,5,25,6,13,7,4,8,1)</f>
        <v>75</v>
      </c>
      <c r="K2462" t="str" cm="1">
        <f t="array" ref="K2462">IFERROR(_xlfn.SWITCH(L2462,1,_xlfn.XLOOKUP(C2462,[1]AttributeName!$C:$C,[1]AttributeName!$I:$I),2,_xlfn.XLOOKUP(C2462,[1]ModifierDes!$B:$B,[1]ModifierDes!$C:$C),3,_xlfn.XLOOKUP(C2462,[1]StuntDes!$B:$B,[1]StuntDes!$C:$C)),"")</f>
        <v>基础魔力增加{0}</v>
      </c>
      <c r="L2462">
        <f t="shared" si="188"/>
        <v>1</v>
      </c>
      <c r="M2462" s="10" t="str">
        <f>IFERROR(_xlfn.XLOOKUP(C2462,[1]StuntDes!$B:$B,[1]StuntDes!$A:$A),"")</f>
        <v/>
      </c>
      <c r="N2462" s="10" t="str">
        <f>IFERROR(_xlfn.XLOOKUP(C2462,[1]ModifierDes!$B:$B,[1]ModifierDes!$A:$A),"")</f>
        <v/>
      </c>
      <c r="O2462" s="10">
        <f>IFERROR(_xlfn.XLOOKUP(C2462,[1]AttributeName!$C:$C,[1]AttributeName!$B:$B),"")</f>
        <v>10002</v>
      </c>
      <c r="P2462" s="10"/>
      <c r="Q2462">
        <v>80</v>
      </c>
      <c r="R2462">
        <v>100</v>
      </c>
      <c r="S2462" cm="1">
        <f t="array" ref="S2462">IFERROR(_xlfn.SWITCH(L2462,1,_xlfn.XLOOKUP(O2462,[1]AttributeName!$B:$B,[1]AttributeName!$D:$D),2,_xlfn.XLOOKUP(C2462,[1]ModifierDes!$B:$B,[1]ModifierDes!$D:$D),3,_xlfn.XLOOKUP(C2462,[1]StuntDes!$B:$B,[1]StuntDes!$D:$D)),0)</f>
        <v>0</v>
      </c>
      <c r="T2462" cm="1">
        <f t="array" ref="T2462">IFERROR(_xlfn.SWITCH(L2462,1,_xlfn.XLOOKUP(O2462,[1]AttributeName!$B:$B,[1]AttributeName!$E:$E),2,_xlfn.XLOOKUP(C2462,[1]ModifierDes!$B:$B,[1]ModifierDes!$E:$E),3,_xlfn.XLOOKUP(C2462,[1]StuntDes!$B:$B,[1]StuntDes!$E:$E)),0)</f>
        <v>1</v>
      </c>
    </row>
    <row r="2463" customFormat="1" spans="1:20">
      <c r="A2463">
        <v>11203</v>
      </c>
      <c r="B2463">
        <v>1</v>
      </c>
      <c r="C2463" t="s">
        <v>463</v>
      </c>
      <c r="D2463" t="s">
        <v>24</v>
      </c>
      <c r="E2463" s="13" t="s">
        <v>462</v>
      </c>
      <c r="G2463">
        <v>3</v>
      </c>
      <c r="H2463">
        <v>1000</v>
      </c>
      <c r="J2463" cm="1">
        <f t="array" ref="J2463">_xlfn.SWITCH(B2463,1,75,2,61,3,49,4,37,5,25,6,13,7,4,8,1)</f>
        <v>75</v>
      </c>
      <c r="K2463" t="str" cm="1">
        <f t="array" ref="K2463">IFERROR(_xlfn.SWITCH(L2463,1,_xlfn.XLOOKUP(C2463,[1]AttributeName!$C:$C,[1]AttributeName!$I:$I),2,_xlfn.XLOOKUP(C2463,[1]ModifierDes!$B:$B,[1]ModifierDes!$C:$C),3,_xlfn.XLOOKUP(C2463,[1]StuntDes!$B:$B,[1]StuntDes!$C:$C)),"")</f>
        <v>生命恢复率增加{0}</v>
      </c>
      <c r="L2463">
        <f t="shared" si="188"/>
        <v>1</v>
      </c>
      <c r="M2463" s="10" t="str">
        <f>IFERROR(_xlfn.XLOOKUP(C2463,[1]StuntDes!$B:$B,[1]StuntDes!$A:$A),"")</f>
        <v/>
      </c>
      <c r="N2463" s="10" t="str">
        <f>IFERROR(_xlfn.XLOOKUP(C2463,[1]ModifierDes!$B:$B,[1]ModifierDes!$A:$A),"")</f>
        <v/>
      </c>
      <c r="O2463" s="10">
        <f>IFERROR(_xlfn.XLOOKUP(C2463,[1]AttributeName!$C:$C,[1]AttributeName!$B:$B),"")</f>
        <v>10004</v>
      </c>
      <c r="P2463" s="10"/>
      <c r="Q2463">
        <v>0.01</v>
      </c>
      <c r="R2463">
        <v>0.014</v>
      </c>
      <c r="S2463" cm="1">
        <f t="array" ref="S2463">IFERROR(_xlfn.SWITCH(L2463,1,_xlfn.XLOOKUP(O2463,[1]AttributeName!$B:$B,[1]AttributeName!$D:$D),2,_xlfn.XLOOKUP(C2463,[1]ModifierDes!$B:$B,[1]ModifierDes!$D:$D),3,_xlfn.XLOOKUP(C2463,[1]StuntDes!$B:$B,[1]StuntDes!$D:$D)),0)</f>
        <v>3</v>
      </c>
      <c r="T2463" cm="1">
        <f t="array" ref="T2463">IFERROR(_xlfn.SWITCH(L2463,1,_xlfn.XLOOKUP(O2463,[1]AttributeName!$B:$B,[1]AttributeName!$E:$E),2,_xlfn.XLOOKUP(C2463,[1]ModifierDes!$B:$B,[1]ModifierDes!$E:$E),3,_xlfn.XLOOKUP(C2463,[1]StuntDes!$B:$B,[1]StuntDes!$E:$E)),0)</f>
        <v>2</v>
      </c>
    </row>
    <row r="2464" customFormat="1" spans="1:20">
      <c r="A2464">
        <v>11204</v>
      </c>
      <c r="B2464">
        <v>1</v>
      </c>
      <c r="C2464" t="s">
        <v>464</v>
      </c>
      <c r="D2464" t="s">
        <v>24</v>
      </c>
      <c r="E2464" s="13" t="s">
        <v>462</v>
      </c>
      <c r="G2464">
        <v>3</v>
      </c>
      <c r="H2464">
        <v>1000</v>
      </c>
      <c r="J2464" cm="1">
        <f t="array" ref="J2464">_xlfn.SWITCH(B2464,1,75,2,61,3,49,4,37,5,25,6,13,7,4,8,1)</f>
        <v>75</v>
      </c>
      <c r="K2464" t="str" cm="1">
        <f t="array" ref="K2464">IFERROR(_xlfn.SWITCH(L2464,1,_xlfn.XLOOKUP(C2464,[1]AttributeName!$C:$C,[1]AttributeName!$I:$I),2,_xlfn.XLOOKUP(C2464,[1]ModifierDes!$B:$B,[1]ModifierDes!$C:$C),3,_xlfn.XLOOKUP(C2464,[1]StuntDes!$B:$B,[1]StuntDes!$C:$C)),"")</f>
        <v>魔力恢复率增加{0}</v>
      </c>
      <c r="L2464">
        <f t="shared" si="188"/>
        <v>1</v>
      </c>
      <c r="M2464" s="10" t="str">
        <f>IFERROR(_xlfn.XLOOKUP(C2464,[1]StuntDes!$B:$B,[1]StuntDes!$A:$A),"")</f>
        <v/>
      </c>
      <c r="N2464" s="10" t="str">
        <f>IFERROR(_xlfn.XLOOKUP(C2464,[1]ModifierDes!$B:$B,[1]ModifierDes!$A:$A),"")</f>
        <v/>
      </c>
      <c r="O2464" s="10">
        <f>IFERROR(_xlfn.XLOOKUP(C2464,[1]AttributeName!$C:$C,[1]AttributeName!$B:$B),"")</f>
        <v>10006</v>
      </c>
      <c r="P2464" s="10"/>
      <c r="Q2464">
        <v>0.01</v>
      </c>
      <c r="R2464">
        <v>0.014</v>
      </c>
      <c r="S2464" cm="1">
        <f t="array" ref="S2464">IFERROR(_xlfn.SWITCH(L2464,1,_xlfn.XLOOKUP(O2464,[1]AttributeName!$B:$B,[1]AttributeName!$D:$D),2,_xlfn.XLOOKUP(C2464,[1]ModifierDes!$B:$B,[1]ModifierDes!$D:$D),3,_xlfn.XLOOKUP(C2464,[1]StuntDes!$B:$B,[1]StuntDes!$D:$D)),0)</f>
        <v>3</v>
      </c>
      <c r="T2464" cm="1">
        <f t="array" ref="T2464">IFERROR(_xlfn.SWITCH(L2464,1,_xlfn.XLOOKUP(O2464,[1]AttributeName!$B:$B,[1]AttributeName!$E:$E),2,_xlfn.XLOOKUP(C2464,[1]ModifierDes!$B:$B,[1]ModifierDes!$E:$E),3,_xlfn.XLOOKUP(C2464,[1]StuntDes!$B:$B,[1]StuntDes!$E:$E)),0)</f>
        <v>2</v>
      </c>
    </row>
    <row r="2465" customFormat="1" spans="1:20">
      <c r="A2465">
        <v>11205</v>
      </c>
      <c r="B2465">
        <v>1</v>
      </c>
      <c r="C2465" t="s">
        <v>404</v>
      </c>
      <c r="D2465" t="s">
        <v>24</v>
      </c>
      <c r="E2465" s="13" t="s">
        <v>462</v>
      </c>
      <c r="G2465">
        <v>3</v>
      </c>
      <c r="H2465">
        <v>1000</v>
      </c>
      <c r="J2465" cm="1">
        <f t="array" ref="J2465">_xlfn.SWITCH(B2465,1,75,2,61,3,49,4,37,5,25,6,13,7,4,8,1)</f>
        <v>75</v>
      </c>
      <c r="K2465" t="str" cm="1">
        <f t="array" ref="K2465">IFERROR(_xlfn.SWITCH(L2465,1,_xlfn.XLOOKUP(C2465,[1]AttributeName!$C:$C,[1]AttributeName!$I:$I),2,_xlfn.XLOOKUP(C2465,[1]ModifierDes!$B:$B,[1]ModifierDes!$C:$C),3,_xlfn.XLOOKUP(C2465,[1]StuntDes!$B:$B,[1]StuntDes!$C:$C)),"")</f>
        <v>物理伤害提高{0}</v>
      </c>
      <c r="L2465">
        <f t="shared" si="188"/>
        <v>1</v>
      </c>
      <c r="M2465" s="10" t="str">
        <f>IFERROR(_xlfn.XLOOKUP(C2465,[1]StuntDes!$B:$B,[1]StuntDes!$A:$A),"")</f>
        <v/>
      </c>
      <c r="N2465" s="10" t="str">
        <f>IFERROR(_xlfn.XLOOKUP(C2465,[1]ModifierDes!$B:$B,[1]ModifierDes!$A:$A),"")</f>
        <v/>
      </c>
      <c r="O2465" s="10">
        <f>IFERROR(_xlfn.XLOOKUP(C2465,[1]AttributeName!$C:$C,[1]AttributeName!$B:$B),"")</f>
        <v>10303</v>
      </c>
      <c r="P2465" s="10"/>
      <c r="Q2465">
        <v>0.5</v>
      </c>
      <c r="R2465">
        <v>1</v>
      </c>
      <c r="S2465" cm="1">
        <f t="array" ref="S2465">IFERROR(_xlfn.SWITCH(L2465,1,_xlfn.XLOOKUP(O2465,[1]AttributeName!$B:$B,[1]AttributeName!$D:$D),2,_xlfn.XLOOKUP(C2465,[1]ModifierDes!$B:$B,[1]ModifierDes!$D:$D),3,_xlfn.XLOOKUP(C2465,[1]StuntDes!$B:$B,[1]StuntDes!$D:$D)),0)</f>
        <v>2</v>
      </c>
      <c r="T2465" cm="1">
        <f t="array" ref="T2465">IFERROR(_xlfn.SWITCH(L2465,1,_xlfn.XLOOKUP(O2465,[1]AttributeName!$B:$B,[1]AttributeName!$E:$E),2,_xlfn.XLOOKUP(C2465,[1]ModifierDes!$B:$B,[1]ModifierDes!$E:$E),3,_xlfn.XLOOKUP(C2465,[1]StuntDes!$B:$B,[1]StuntDes!$E:$E)),0)</f>
        <v>2</v>
      </c>
    </row>
    <row r="2466" customFormat="1" spans="1:20">
      <c r="A2466">
        <v>11206</v>
      </c>
      <c r="B2466">
        <v>1</v>
      </c>
      <c r="C2466" t="s">
        <v>405</v>
      </c>
      <c r="D2466" t="s">
        <v>24</v>
      </c>
      <c r="E2466" s="13" t="s">
        <v>462</v>
      </c>
      <c r="G2466">
        <v>3</v>
      </c>
      <c r="H2466">
        <v>1000</v>
      </c>
      <c r="J2466" cm="1">
        <f t="array" ref="J2466">_xlfn.SWITCH(B2466,1,75,2,61,3,49,4,37,5,25,6,13,7,4,8,1)</f>
        <v>75</v>
      </c>
      <c r="K2466" t="str" cm="1">
        <f t="array" ref="K2466">IFERROR(_xlfn.SWITCH(L2466,1,_xlfn.XLOOKUP(C2466,[1]AttributeName!$C:$C,[1]AttributeName!$I:$I),2,_xlfn.XLOOKUP(C2466,[1]ModifierDes!$B:$B,[1]ModifierDes!$C:$C),3,_xlfn.XLOOKUP(C2466,[1]StuntDes!$B:$B,[1]StuntDes!$C:$C)),"")</f>
        <v>元素伤害提高{0}</v>
      </c>
      <c r="L2466">
        <f t="shared" si="188"/>
        <v>2</v>
      </c>
      <c r="M2466" s="10" t="str">
        <f>IFERROR(_xlfn.XLOOKUP(C2466,[1]StuntDes!$B:$B,[1]StuntDes!$A:$A),"")</f>
        <v/>
      </c>
      <c r="N2466" s="10">
        <f>IFERROR(_xlfn.XLOOKUP(C2466,[1]ModifierDes!$B:$B,[1]ModifierDes!$A:$A),"")</f>
        <v>10120</v>
      </c>
      <c r="O2466" s="10">
        <f>IFERROR(_xlfn.XLOOKUP(C2466,[1]AttributeName!$C:$C,[1]AttributeName!$B:$B),"")</f>
        <v>10308</v>
      </c>
      <c r="P2466" s="10"/>
      <c r="Q2466">
        <v>0.5</v>
      </c>
      <c r="R2466">
        <v>1</v>
      </c>
      <c r="S2466" cm="1">
        <f t="array" ref="S2466">IFERROR(_xlfn.SWITCH(L2466,1,_xlfn.XLOOKUP(O2466,[1]AttributeName!$B:$B,[1]AttributeName!$D:$D),2,_xlfn.XLOOKUP(C2466,[1]ModifierDes!$B:$B,[1]ModifierDes!$D:$D),3,_xlfn.XLOOKUP(C2466,[1]StuntDes!$B:$B,[1]StuntDes!$D:$D)),0)</f>
        <v>2</v>
      </c>
      <c r="T2466" cm="1">
        <f t="array" ref="T2466">IFERROR(_xlfn.SWITCH(L2466,1,_xlfn.XLOOKUP(O2466,[1]AttributeName!$B:$B,[1]AttributeName!$E:$E),2,_xlfn.XLOOKUP(C2466,[1]ModifierDes!$B:$B,[1]ModifierDes!$E:$E),3,_xlfn.XLOOKUP(C2466,[1]StuntDes!$B:$B,[1]StuntDes!$E:$E)),0)</f>
        <v>2</v>
      </c>
    </row>
    <row r="2467" customFormat="1" spans="1:20">
      <c r="A2467">
        <v>11207</v>
      </c>
      <c r="B2467">
        <v>1</v>
      </c>
      <c r="C2467" t="s">
        <v>406</v>
      </c>
      <c r="D2467" t="s">
        <v>24</v>
      </c>
      <c r="E2467" s="13" t="s">
        <v>462</v>
      </c>
      <c r="G2467">
        <v>3</v>
      </c>
      <c r="H2467">
        <v>1000</v>
      </c>
      <c r="J2467" cm="1">
        <f t="array" ref="J2467">_xlfn.SWITCH(B2467,1,75,2,61,3,49,4,37,5,25,6,13,7,4,8,1)</f>
        <v>75</v>
      </c>
      <c r="K2467" t="str" cm="1">
        <f t="array" ref="K2467">IFERROR(_xlfn.SWITCH(L2467,1,_xlfn.XLOOKUP(C2467,[1]AttributeName!$C:$C,[1]AttributeName!$I:$I),2,_xlfn.XLOOKUP(C2467,[1]ModifierDes!$B:$B,[1]ModifierDes!$C:$C),3,_xlfn.XLOOKUP(C2467,[1]StuntDes!$B:$B,[1]StuntDes!$C:$C)),"")</f>
        <v>混沌伤害提高{0}</v>
      </c>
      <c r="L2467">
        <f t="shared" si="188"/>
        <v>1</v>
      </c>
      <c r="M2467" s="10" t="str">
        <f>IFERROR(_xlfn.XLOOKUP(C2467,[1]StuntDes!$B:$B,[1]StuntDes!$A:$A),"")</f>
        <v/>
      </c>
      <c r="N2467" s="10" t="str">
        <f>IFERROR(_xlfn.XLOOKUP(C2467,[1]ModifierDes!$B:$B,[1]ModifierDes!$A:$A),"")</f>
        <v/>
      </c>
      <c r="O2467" s="10">
        <f>IFERROR(_xlfn.XLOOKUP(C2467,[1]AttributeName!$C:$C,[1]AttributeName!$B:$B),"")</f>
        <v>10307</v>
      </c>
      <c r="P2467" s="10"/>
      <c r="Q2467">
        <v>0.5</v>
      </c>
      <c r="R2467">
        <v>1</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11208</v>
      </c>
      <c r="B2468">
        <v>1</v>
      </c>
      <c r="C2468" t="s">
        <v>448</v>
      </c>
      <c r="D2468" t="s">
        <v>24</v>
      </c>
      <c r="E2468" s="13" t="s">
        <v>462</v>
      </c>
      <c r="G2468">
        <v>3</v>
      </c>
      <c r="H2468">
        <v>1000</v>
      </c>
      <c r="J2468" cm="1">
        <f t="array" ref="J2468">_xlfn.SWITCH(B2468,1,75,2,61,3,49,4,37,5,25,6,13,7,4,8,1)</f>
        <v>75</v>
      </c>
      <c r="K2468" t="str" cm="1">
        <f t="array" ref="K2468">IFERROR(_xlfn.SWITCH(L2468,1,_xlfn.XLOOKUP(C2468,[1]AttributeName!$C:$C,[1]AttributeName!$I:$I),2,_xlfn.XLOOKUP(C2468,[1]ModifierDes!$B:$B,[1]ModifierDes!$C:$C),3,_xlfn.XLOOKUP(C2468,[1]StuntDes!$B:$B,[1]StuntDes!$C:$C)),"")</f>
        <v>施法速度提高{0}</v>
      </c>
      <c r="L2468">
        <f t="shared" si="188"/>
        <v>2</v>
      </c>
      <c r="M2468" s="10" t="str">
        <f>IFERROR(_xlfn.XLOOKUP(C2468,[1]StuntDes!$B:$B,[1]StuntDes!$A:$A),"")</f>
        <v/>
      </c>
      <c r="N2468" s="10">
        <f>IFERROR(_xlfn.XLOOKUP(C2468,[1]ModifierDes!$B:$B,[1]ModifierDes!$A:$A),"")</f>
        <v>10050</v>
      </c>
      <c r="O2468" s="10" t="str">
        <f>IFERROR(_xlfn.XLOOKUP(C2468,[1]AttributeName!$C:$C,[1]AttributeName!$B:$B),"")</f>
        <v/>
      </c>
      <c r="P2468" s="10"/>
      <c r="Q2468">
        <v>0.15</v>
      </c>
      <c r="R2468">
        <v>0.3</v>
      </c>
      <c r="S2468" cm="1">
        <f t="array" ref="S2468">IFERROR(_xlfn.SWITCH(L2468,1,_xlfn.XLOOKUP(O2468,[1]AttributeName!$B:$B,[1]AttributeName!$D:$D),2,_xlfn.XLOOKUP(C2468,[1]ModifierDes!$B:$B,[1]ModifierDes!$D:$D),3,_xlfn.XLOOKUP(C2468,[1]StuntDes!$B:$B,[1]StuntDes!$D:$D)),0)</f>
        <v>2</v>
      </c>
      <c r="T2468" cm="1">
        <f t="array" ref="T2468">IFERROR(_xlfn.SWITCH(L2468,1,_xlfn.XLOOKUP(O2468,[1]AttributeName!$B:$B,[1]AttributeName!$E:$E),2,_xlfn.XLOOKUP(C2468,[1]ModifierDes!$B:$B,[1]ModifierDes!$E:$E),3,_xlfn.XLOOKUP(C2468,[1]StuntDes!$B:$B,[1]StuntDes!$E:$E)),0)</f>
        <v>2</v>
      </c>
    </row>
    <row r="2469" customFormat="1" spans="1:20">
      <c r="A2469">
        <v>11209</v>
      </c>
      <c r="B2469">
        <v>1</v>
      </c>
      <c r="C2469" t="s">
        <v>398</v>
      </c>
      <c r="D2469" t="s">
        <v>24</v>
      </c>
      <c r="E2469" s="13" t="s">
        <v>462</v>
      </c>
      <c r="G2469">
        <v>3</v>
      </c>
      <c r="H2469">
        <v>1000</v>
      </c>
      <c r="J2469" cm="1">
        <f t="array" ref="J2469">_xlfn.SWITCH(B2469,1,75,2,61,3,49,4,37,5,25,6,13,7,4,8,1)</f>
        <v>75</v>
      </c>
      <c r="K2469" t="str" cm="1">
        <f t="array" ref="K2469">IFERROR(_xlfn.SWITCH(L2469,1,_xlfn.XLOOKUP(C2469,[1]AttributeName!$C:$C,[1]AttributeName!$I:$I),2,_xlfn.XLOOKUP(C2469,[1]ModifierDes!$B:$B,[1]ModifierDes!$C:$C),3,_xlfn.XLOOKUP(C2469,[1]StuntDes!$B:$B,[1]StuntDes!$C:$C)),"")</f>
        <v>获得物理伤害{0}</v>
      </c>
      <c r="L2469">
        <f t="shared" si="188"/>
        <v>1</v>
      </c>
      <c r="M2469" s="10" t="str">
        <f>IFERROR(_xlfn.XLOOKUP(C2469,[1]StuntDes!$B:$B,[1]StuntDes!$A:$A),"")</f>
        <v/>
      </c>
      <c r="N2469" s="10" t="str">
        <f>IFERROR(_xlfn.XLOOKUP(C2469,[1]ModifierDes!$B:$B,[1]ModifierDes!$A:$A),"")</f>
        <v/>
      </c>
      <c r="O2469" s="10">
        <f>IFERROR(_xlfn.XLOOKUP(C2469,[1]AttributeName!$C:$C,[1]AttributeName!$B:$B),"")</f>
        <v>10500</v>
      </c>
      <c r="P2469" s="10"/>
      <c r="Q2469">
        <v>0.25</v>
      </c>
      <c r="R2469">
        <v>0.5</v>
      </c>
      <c r="S2469" cm="1">
        <f t="array" ref="S2469">IFERROR(_xlfn.SWITCH(L2469,1,_xlfn.XLOOKUP(O2469,[1]AttributeName!$B:$B,[1]AttributeName!$D:$D),2,_xlfn.XLOOKUP(C2469,[1]ModifierDes!$B:$B,[1]ModifierDes!$D:$D),3,_xlfn.XLOOKUP(C2469,[1]StuntDes!$B:$B,[1]StuntDes!$D:$D)),0)</f>
        <v>2</v>
      </c>
      <c r="T2469" cm="1">
        <f t="array" ref="T2469">IFERROR(_xlfn.SWITCH(L2469,1,_xlfn.XLOOKUP(O2469,[1]AttributeName!$B:$B,[1]AttributeName!$E:$E),2,_xlfn.XLOOKUP(C2469,[1]ModifierDes!$B:$B,[1]ModifierDes!$E:$E),3,_xlfn.XLOOKUP(C2469,[1]StuntDes!$B:$B,[1]StuntDes!$E:$E)),0)</f>
        <v>2</v>
      </c>
    </row>
    <row r="2470" customFormat="1" spans="1:20">
      <c r="A2470">
        <v>11210</v>
      </c>
      <c r="B2470">
        <v>1</v>
      </c>
      <c r="C2470" t="s">
        <v>399</v>
      </c>
      <c r="D2470" t="s">
        <v>24</v>
      </c>
      <c r="E2470" s="13" t="s">
        <v>462</v>
      </c>
      <c r="G2470">
        <v>3</v>
      </c>
      <c r="H2470">
        <v>1000</v>
      </c>
      <c r="J2470" cm="1">
        <f t="array" ref="J2470">_xlfn.SWITCH(B2470,1,75,2,61,3,49,4,37,5,25,6,13,7,4,8,1)</f>
        <v>75</v>
      </c>
      <c r="K2470" t="str" cm="1">
        <f t="array" ref="K2470">IFERROR(_xlfn.SWITCH(L2470,1,_xlfn.XLOOKUP(C2470,[1]AttributeName!$C:$C,[1]AttributeName!$I:$I),2,_xlfn.XLOOKUP(C2470,[1]ModifierDes!$B:$B,[1]ModifierDes!$C:$C),3,_xlfn.XLOOKUP(C2470,[1]StuntDes!$B:$B,[1]StuntDes!$C:$C)),"")</f>
        <v>获得火焰伤害{0}</v>
      </c>
      <c r="L2470">
        <f t="shared" si="188"/>
        <v>1</v>
      </c>
      <c r="M2470" s="10" t="str">
        <f>IFERROR(_xlfn.XLOOKUP(C2470,[1]StuntDes!$B:$B,[1]StuntDes!$A:$A),"")</f>
        <v/>
      </c>
      <c r="N2470" s="10" t="str">
        <f>IFERROR(_xlfn.XLOOKUP(C2470,[1]ModifierDes!$B:$B,[1]ModifierDes!$A:$A),"")</f>
        <v/>
      </c>
      <c r="O2470" s="10">
        <f>IFERROR(_xlfn.XLOOKUP(C2470,[1]AttributeName!$C:$C,[1]AttributeName!$B:$B),"")</f>
        <v>10501</v>
      </c>
      <c r="P2470" s="10"/>
      <c r="Q2470">
        <v>0.25</v>
      </c>
      <c r="R2470">
        <v>0.5</v>
      </c>
      <c r="S2470" cm="1">
        <f t="array" ref="S2470">IFERROR(_xlfn.SWITCH(L2470,1,_xlfn.XLOOKUP(O2470,[1]AttributeName!$B:$B,[1]AttributeName!$D:$D),2,_xlfn.XLOOKUP(C2470,[1]ModifierDes!$B:$B,[1]ModifierDes!$D:$D),3,_xlfn.XLOOKUP(C2470,[1]StuntDes!$B:$B,[1]StuntDes!$D:$D)),0)</f>
        <v>2</v>
      </c>
      <c r="T2470" cm="1">
        <f t="array" ref="T2470">IFERROR(_xlfn.SWITCH(L2470,1,_xlfn.XLOOKUP(O2470,[1]AttributeName!$B:$B,[1]AttributeName!$E:$E),2,_xlfn.XLOOKUP(C2470,[1]ModifierDes!$B:$B,[1]ModifierDes!$E:$E),3,_xlfn.XLOOKUP(C2470,[1]StuntDes!$B:$B,[1]StuntDes!$E:$E)),0)</f>
        <v>2</v>
      </c>
    </row>
    <row r="2471" customFormat="1" spans="1:20">
      <c r="A2471">
        <v>11211</v>
      </c>
      <c r="B2471">
        <v>1</v>
      </c>
      <c r="C2471" t="s">
        <v>400</v>
      </c>
      <c r="D2471" t="s">
        <v>24</v>
      </c>
      <c r="E2471" s="13" t="s">
        <v>462</v>
      </c>
      <c r="G2471">
        <v>3</v>
      </c>
      <c r="H2471">
        <v>1000</v>
      </c>
      <c r="J2471" cm="1">
        <f t="array" ref="J2471">_xlfn.SWITCH(B2471,1,75,2,61,3,49,4,37,5,25,6,13,7,4,8,1)</f>
        <v>75</v>
      </c>
      <c r="K2471" t="str" cm="1">
        <f t="array" ref="K2471">IFERROR(_xlfn.SWITCH(L2471,1,_xlfn.XLOOKUP(C2471,[1]AttributeName!$C:$C,[1]AttributeName!$I:$I),2,_xlfn.XLOOKUP(C2471,[1]ModifierDes!$B:$B,[1]ModifierDes!$C:$C),3,_xlfn.XLOOKUP(C2471,[1]StuntDes!$B:$B,[1]StuntDes!$C:$C)),"")</f>
        <v>获得冰冷伤害{0}</v>
      </c>
      <c r="L2471">
        <f t="shared" si="188"/>
        <v>1</v>
      </c>
      <c r="M2471" s="10" t="str">
        <f>IFERROR(_xlfn.XLOOKUP(C2471,[1]StuntDes!$B:$B,[1]StuntDes!$A:$A),"")</f>
        <v/>
      </c>
      <c r="N2471" s="10" t="str">
        <f>IFERROR(_xlfn.XLOOKUP(C2471,[1]ModifierDes!$B:$B,[1]ModifierDes!$A:$A),"")</f>
        <v/>
      </c>
      <c r="O2471" s="10">
        <f>IFERROR(_xlfn.XLOOKUP(C2471,[1]AttributeName!$C:$C,[1]AttributeName!$B:$B),"")</f>
        <v>10502</v>
      </c>
      <c r="P2471" s="10"/>
      <c r="Q2471">
        <v>0.25</v>
      </c>
      <c r="R2471">
        <v>0.5</v>
      </c>
      <c r="S2471" cm="1">
        <f t="array" ref="S2471">IFERROR(_xlfn.SWITCH(L2471,1,_xlfn.XLOOKUP(O2471,[1]AttributeName!$B:$B,[1]AttributeName!$D:$D),2,_xlfn.XLOOKUP(C2471,[1]ModifierDes!$B:$B,[1]ModifierDes!$D:$D),3,_xlfn.XLOOKUP(C2471,[1]StuntDes!$B:$B,[1]StuntDes!$D:$D)),0)</f>
        <v>2</v>
      </c>
      <c r="T2471" cm="1">
        <f t="array" ref="T2471">IFERROR(_xlfn.SWITCH(L2471,1,_xlfn.XLOOKUP(O2471,[1]AttributeName!$B:$B,[1]AttributeName!$E:$E),2,_xlfn.XLOOKUP(C2471,[1]ModifierDes!$B:$B,[1]ModifierDes!$E:$E),3,_xlfn.XLOOKUP(C2471,[1]StuntDes!$B:$B,[1]StuntDes!$E:$E)),0)</f>
        <v>2</v>
      </c>
    </row>
    <row r="2472" customFormat="1" spans="1:20">
      <c r="A2472">
        <v>11212</v>
      </c>
      <c r="B2472">
        <v>1</v>
      </c>
      <c r="C2472" t="s">
        <v>401</v>
      </c>
      <c r="D2472" t="s">
        <v>24</v>
      </c>
      <c r="E2472" s="13" t="s">
        <v>462</v>
      </c>
      <c r="G2472">
        <v>3</v>
      </c>
      <c r="H2472">
        <v>1000</v>
      </c>
      <c r="J2472" cm="1">
        <f t="array" ref="J2472">_xlfn.SWITCH(B2472,1,75,2,61,3,49,4,37,5,25,6,13,7,4,8,1)</f>
        <v>75</v>
      </c>
      <c r="K2472" t="str" cm="1">
        <f t="array" ref="K2472">IFERROR(_xlfn.SWITCH(L2472,1,_xlfn.XLOOKUP(C2472,[1]AttributeName!$C:$C,[1]AttributeName!$I:$I),2,_xlfn.XLOOKUP(C2472,[1]ModifierDes!$B:$B,[1]ModifierDes!$C:$C),3,_xlfn.XLOOKUP(C2472,[1]StuntDes!$B:$B,[1]StuntDes!$C:$C)),"")</f>
        <v>获得闪电伤害{0}</v>
      </c>
      <c r="L2472">
        <f t="shared" si="188"/>
        <v>1</v>
      </c>
      <c r="M2472" s="10" t="str">
        <f>IFERROR(_xlfn.XLOOKUP(C2472,[1]StuntDes!$B:$B,[1]StuntDes!$A:$A),"")</f>
        <v/>
      </c>
      <c r="N2472" s="10" t="str">
        <f>IFERROR(_xlfn.XLOOKUP(C2472,[1]ModifierDes!$B:$B,[1]ModifierDes!$A:$A),"")</f>
        <v/>
      </c>
      <c r="O2472" s="10">
        <f>IFERROR(_xlfn.XLOOKUP(C2472,[1]AttributeName!$C:$C,[1]AttributeName!$B:$B),"")</f>
        <v>10503</v>
      </c>
      <c r="P2472" s="10"/>
      <c r="Q2472">
        <v>0.25</v>
      </c>
      <c r="R2472">
        <v>0.5</v>
      </c>
      <c r="S2472" cm="1">
        <f t="array" ref="S2472">IFERROR(_xlfn.SWITCH(L2472,1,_xlfn.XLOOKUP(O2472,[1]AttributeName!$B:$B,[1]AttributeName!$D:$D),2,_xlfn.XLOOKUP(C2472,[1]ModifierDes!$B:$B,[1]ModifierDes!$D:$D),3,_xlfn.XLOOKUP(C2472,[1]StuntDes!$B:$B,[1]StuntDes!$D:$D)),0)</f>
        <v>2</v>
      </c>
      <c r="T2472" cm="1">
        <f t="array" ref="T2472">IFERROR(_xlfn.SWITCH(L2472,1,_xlfn.XLOOKUP(O2472,[1]AttributeName!$B:$B,[1]AttributeName!$E:$E),2,_xlfn.XLOOKUP(C2472,[1]ModifierDes!$B:$B,[1]ModifierDes!$E:$E),3,_xlfn.XLOOKUP(C2472,[1]StuntDes!$B:$B,[1]StuntDes!$E:$E)),0)</f>
        <v>2</v>
      </c>
    </row>
    <row r="2473" customFormat="1" spans="1:20">
      <c r="A2473">
        <v>11213</v>
      </c>
      <c r="B2473">
        <v>1</v>
      </c>
      <c r="C2473" t="s">
        <v>402</v>
      </c>
      <c r="D2473" t="s">
        <v>24</v>
      </c>
      <c r="E2473" s="13" t="s">
        <v>462</v>
      </c>
      <c r="G2473">
        <v>3</v>
      </c>
      <c r="H2473">
        <v>1000</v>
      </c>
      <c r="J2473" cm="1">
        <f t="array" ref="J2473">_xlfn.SWITCH(B2473,1,75,2,61,3,49,4,37,5,25,6,13,7,4,8,1)</f>
        <v>75</v>
      </c>
      <c r="K2473" t="str" cm="1">
        <f t="array" ref="K2473">IFERROR(_xlfn.SWITCH(L2473,1,_xlfn.XLOOKUP(C2473,[1]AttributeName!$C:$C,[1]AttributeName!$I:$I),2,_xlfn.XLOOKUP(C2473,[1]ModifierDes!$B:$B,[1]ModifierDes!$C:$C),3,_xlfn.XLOOKUP(C2473,[1]StuntDes!$B:$B,[1]StuntDes!$C:$C)),"")</f>
        <v>获得混沌伤害{0}</v>
      </c>
      <c r="L2473">
        <f t="shared" si="188"/>
        <v>1</v>
      </c>
      <c r="M2473" s="10" t="str">
        <f>IFERROR(_xlfn.XLOOKUP(C2473,[1]StuntDes!$B:$B,[1]StuntDes!$A:$A),"")</f>
        <v/>
      </c>
      <c r="N2473" s="10" t="str">
        <f>IFERROR(_xlfn.XLOOKUP(C2473,[1]ModifierDes!$B:$B,[1]ModifierDes!$A:$A),"")</f>
        <v/>
      </c>
      <c r="O2473" s="10">
        <f>IFERROR(_xlfn.XLOOKUP(C2473,[1]AttributeName!$C:$C,[1]AttributeName!$B:$B),"")</f>
        <v>10504</v>
      </c>
      <c r="P2473" s="10"/>
      <c r="Q2473">
        <v>0.25</v>
      </c>
      <c r="R2473">
        <v>0.5</v>
      </c>
      <c r="S2473" cm="1">
        <f t="array" ref="S2473">IFERROR(_xlfn.SWITCH(L2473,1,_xlfn.XLOOKUP(O2473,[1]AttributeName!$B:$B,[1]AttributeName!$D:$D),2,_xlfn.XLOOKUP(C2473,[1]ModifierDes!$B:$B,[1]ModifierDes!$D:$D),3,_xlfn.XLOOKUP(C2473,[1]StuntDes!$B:$B,[1]StuntDes!$D:$D)),0)</f>
        <v>2</v>
      </c>
      <c r="T2473" cm="1">
        <f t="array" ref="T2473">IFERROR(_xlfn.SWITCH(L2473,1,_xlfn.XLOOKUP(O2473,[1]AttributeName!$B:$B,[1]AttributeName!$E:$E),2,_xlfn.XLOOKUP(C2473,[1]ModifierDes!$B:$B,[1]ModifierDes!$E:$E),3,_xlfn.XLOOKUP(C2473,[1]StuntDes!$B:$B,[1]StuntDes!$E:$E)),0)</f>
        <v>2</v>
      </c>
    </row>
    <row r="2474" customFormat="1" spans="1:20">
      <c r="A2474">
        <v>11214</v>
      </c>
      <c r="B2474">
        <v>1</v>
      </c>
      <c r="C2474" t="s">
        <v>465</v>
      </c>
      <c r="D2474" t="s">
        <v>24</v>
      </c>
      <c r="E2474" s="13" t="s">
        <v>462</v>
      </c>
      <c r="G2474">
        <v>3</v>
      </c>
      <c r="H2474">
        <v>1000</v>
      </c>
      <c r="J2474" cm="1">
        <f t="array" ref="J2474">_xlfn.SWITCH(B2474,1,75,2,61,3,49,4,37,5,25,6,13,7,4,8,1)</f>
        <v>75</v>
      </c>
      <c r="K2474" t="str" cm="1">
        <f t="array" ref="K2474">IFERROR(_xlfn.SWITCH(L2474,1,_xlfn.XLOOKUP(C2474,[1]AttributeName!$C:$C,[1]AttributeName!$I:$I),2,_xlfn.XLOOKUP(C2474,[1]ModifierDes!$B:$B,[1]ModifierDes!$C:$C),3,_xlfn.XLOOKUP(C2474,[1]StuntDes!$B:$B,[1]StuntDes!$C:$C)),"")</f>
        <v>基础暴击率增加{0}</v>
      </c>
      <c r="L2474">
        <f t="shared" si="188"/>
        <v>1</v>
      </c>
      <c r="M2474" s="10" t="str">
        <f>IFERROR(_xlfn.XLOOKUP(C2474,[1]StuntDes!$B:$B,[1]StuntDes!$A:$A),"")</f>
        <v/>
      </c>
      <c r="N2474" s="10" t="str">
        <f>IFERROR(_xlfn.XLOOKUP(C2474,[1]ModifierDes!$B:$B,[1]ModifierDes!$A:$A),"")</f>
        <v/>
      </c>
      <c r="O2474" s="10">
        <f>IFERROR(_xlfn.XLOOKUP(C2474,[1]AttributeName!$C:$C,[1]AttributeName!$B:$B),"")</f>
        <v>10100</v>
      </c>
      <c r="P2474" s="10"/>
      <c r="Q2474">
        <v>0.005</v>
      </c>
      <c r="R2474">
        <v>0.01</v>
      </c>
      <c r="S2474" cm="1">
        <f t="array" ref="S2474">IFERROR(_xlfn.SWITCH(L2474,1,_xlfn.XLOOKUP(O2474,[1]AttributeName!$B:$B,[1]AttributeName!$D:$D),2,_xlfn.XLOOKUP(C2474,[1]ModifierDes!$B:$B,[1]ModifierDes!$D:$D),3,_xlfn.XLOOKUP(C2474,[1]StuntDes!$B:$B,[1]StuntDes!$D:$D)),0)</f>
        <v>3</v>
      </c>
      <c r="T2474" cm="1">
        <f t="array" ref="T2474">IFERROR(_xlfn.SWITCH(L2474,1,_xlfn.XLOOKUP(O2474,[1]AttributeName!$B:$B,[1]AttributeName!$E:$E),2,_xlfn.XLOOKUP(C2474,[1]ModifierDes!$B:$B,[1]ModifierDes!$E:$E),3,_xlfn.XLOOKUP(C2474,[1]StuntDes!$B:$B,[1]StuntDes!$E:$E)),0)</f>
        <v>2</v>
      </c>
    </row>
    <row r="2475" customFormat="1" spans="1:20">
      <c r="A2475">
        <v>11215</v>
      </c>
      <c r="B2475">
        <v>1</v>
      </c>
      <c r="C2475" t="s">
        <v>443</v>
      </c>
      <c r="D2475" t="s">
        <v>24</v>
      </c>
      <c r="E2475" s="13" t="s">
        <v>462</v>
      </c>
      <c r="G2475">
        <v>3</v>
      </c>
      <c r="H2475">
        <v>1000</v>
      </c>
      <c r="J2475" cm="1">
        <f t="array" ref="J2475">_xlfn.SWITCH(B2475,1,75,2,61,3,49,4,37,5,25,6,13,7,4,8,1)</f>
        <v>75</v>
      </c>
      <c r="K2475" t="str" cm="1">
        <f t="array" ref="K2475">IFERROR(_xlfn.SWITCH(L2475,1,_xlfn.XLOOKUP(C2475,[1]AttributeName!$C:$C,[1]AttributeName!$I:$I),2,_xlfn.XLOOKUP(C2475,[1]ModifierDes!$B:$B,[1]ModifierDes!$C:$C),3,_xlfn.XLOOKUP(C2475,[1]StuntDes!$B:$B,[1]StuntDes!$C:$C)),"")</f>
        <v>法术暴击伤害增加{0}</v>
      </c>
      <c r="L2475">
        <f t="shared" si="188"/>
        <v>2</v>
      </c>
      <c r="M2475" s="10" t="str">
        <f>IFERROR(_xlfn.XLOOKUP(C2475,[1]StuntDes!$B:$B,[1]StuntDes!$A:$A),"")</f>
        <v/>
      </c>
      <c r="N2475" s="10">
        <f>IFERROR(_xlfn.XLOOKUP(C2475,[1]ModifierDes!$B:$B,[1]ModifierDes!$A:$A),"")</f>
        <v>10061</v>
      </c>
      <c r="O2475" s="10" t="str">
        <f>IFERROR(_xlfn.XLOOKUP(C2475,[1]AttributeName!$C:$C,[1]AttributeName!$B:$B),"")</f>
        <v/>
      </c>
      <c r="P2475" s="10"/>
      <c r="Q2475">
        <v>0.5</v>
      </c>
      <c r="R2475">
        <v>1</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11216</v>
      </c>
      <c r="B2476">
        <v>1</v>
      </c>
      <c r="C2476" t="s">
        <v>467</v>
      </c>
      <c r="D2476" t="s">
        <v>24</v>
      </c>
      <c r="E2476" s="13" t="s">
        <v>462</v>
      </c>
      <c r="G2476">
        <v>3</v>
      </c>
      <c r="H2476">
        <v>1000</v>
      </c>
      <c r="J2476" cm="1">
        <f t="array" ref="J2476">_xlfn.SWITCH(B2476,1,75,2,61,3,49,4,37,5,25,6,13,7,4,8,1)</f>
        <v>75</v>
      </c>
      <c r="K2476" t="str" cm="1">
        <f t="array" ref="K2476">IFERROR(_xlfn.SWITCH(L2476,1,_xlfn.XLOOKUP(C2476,[1]AttributeName!$C:$C,[1]AttributeName!$I:$I),2,_xlfn.XLOOKUP(C2476,[1]ModifierDes!$B:$B,[1]ModifierDes!$C:$C),3,_xlfn.XLOOKUP(C2476,[1]StuntDes!$B:$B,[1]StuntDes!$C:$C)),"")</f>
        <v>法术伤害额外提高{0}</v>
      </c>
      <c r="L2476">
        <f t="shared" si="188"/>
        <v>2</v>
      </c>
      <c r="M2476" s="10" t="str">
        <f>IFERROR(_xlfn.XLOOKUP(C2476,[1]StuntDes!$B:$B,[1]StuntDes!$A:$A),"")</f>
        <v/>
      </c>
      <c r="N2476" s="10">
        <f>IFERROR(_xlfn.XLOOKUP(C2476,[1]ModifierDes!$B:$B,[1]ModifierDes!$A:$A),"")</f>
        <v>10135</v>
      </c>
      <c r="O2476" s="10" t="str">
        <f>IFERROR(_xlfn.XLOOKUP(C2476,[1]AttributeName!$C:$C,[1]AttributeName!$B:$B),"")</f>
        <v/>
      </c>
      <c r="P2476" s="10"/>
      <c r="Q2476">
        <v>0.06</v>
      </c>
      <c r="R2476">
        <v>0.12</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11301</v>
      </c>
      <c r="B2477">
        <v>1</v>
      </c>
      <c r="C2477" t="s">
        <v>407</v>
      </c>
      <c r="D2477" t="s">
        <v>28</v>
      </c>
      <c r="E2477" s="13" t="s">
        <v>462</v>
      </c>
      <c r="G2477">
        <v>3</v>
      </c>
      <c r="H2477">
        <v>1000</v>
      </c>
      <c r="J2477" cm="1">
        <f t="array" ref="J2477">_xlfn.SWITCH(B2477,1,75,2,61,3,49,4,37,5,25,6,13,7,4,8,1)</f>
        <v>75</v>
      </c>
      <c r="K2477" t="str" cm="1">
        <f t="array" ref="K2477">IFERROR(_xlfn.SWITCH(L2477,1,_xlfn.XLOOKUP(C2477,[1]AttributeName!$C:$C,[1]AttributeName!$I:$I),2,_xlfn.XLOOKUP(C2477,[1]ModifierDes!$B:$B,[1]ModifierDes!$C:$C),3,_xlfn.XLOOKUP(C2477,[1]StuntDes!$B:$B,[1]StuntDes!$C:$C)),"")</f>
        <v>基础生命增加{0}</v>
      </c>
      <c r="L2477">
        <f t="shared" si="188"/>
        <v>1</v>
      </c>
      <c r="M2477" s="10" t="str">
        <f>IFERROR(_xlfn.XLOOKUP(C2477,[1]StuntDes!$B:$B,[1]StuntDes!$A:$A),"")</f>
        <v/>
      </c>
      <c r="N2477" s="10" t="str">
        <f>IFERROR(_xlfn.XLOOKUP(C2477,[1]ModifierDes!$B:$B,[1]ModifierDes!$A:$A),"")</f>
        <v/>
      </c>
      <c r="O2477" s="10">
        <f>IFERROR(_xlfn.XLOOKUP(C2477,[1]AttributeName!$C:$C,[1]AttributeName!$B:$B),"")</f>
        <v>10001</v>
      </c>
      <c r="P2477" s="10"/>
      <c r="Q2477">
        <v>355</v>
      </c>
      <c r="R2477">
        <v>405</v>
      </c>
      <c r="S2477" cm="1">
        <f t="array" ref="S2477">IFERROR(_xlfn.SWITCH(L2477,1,_xlfn.XLOOKUP(O2477,[1]AttributeName!$B:$B,[1]AttributeName!$D:$D),2,_xlfn.XLOOKUP(C2477,[1]ModifierDes!$B:$B,[1]ModifierDes!$D:$D),3,_xlfn.XLOOKUP(C2477,[1]StuntDes!$B:$B,[1]StuntDes!$D:$D)),0)</f>
        <v>0</v>
      </c>
      <c r="T2477" cm="1">
        <f t="array" ref="T2477">IFERROR(_xlfn.SWITCH(L2477,1,_xlfn.XLOOKUP(O2477,[1]AttributeName!$B:$B,[1]AttributeName!$E:$E),2,_xlfn.XLOOKUP(C2477,[1]ModifierDes!$B:$B,[1]ModifierDes!$E:$E),3,_xlfn.XLOOKUP(C2477,[1]StuntDes!$B:$B,[1]StuntDes!$E:$E)),0)</f>
        <v>1</v>
      </c>
    </row>
    <row r="2478" customFormat="1" spans="1:20">
      <c r="A2478">
        <v>11302</v>
      </c>
      <c r="B2478">
        <v>1</v>
      </c>
      <c r="C2478" t="s">
        <v>408</v>
      </c>
      <c r="D2478" t="s">
        <v>28</v>
      </c>
      <c r="E2478" s="13" t="s">
        <v>462</v>
      </c>
      <c r="G2478">
        <v>3</v>
      </c>
      <c r="H2478">
        <v>1000</v>
      </c>
      <c r="J2478" cm="1">
        <f t="array" ref="J2478">_xlfn.SWITCH(B2478,1,75,2,61,3,49,4,37,5,25,6,13,7,4,8,1)</f>
        <v>75</v>
      </c>
      <c r="K2478" t="str" cm="1">
        <f t="array" ref="K2478">IFERROR(_xlfn.SWITCH(L2478,1,_xlfn.XLOOKUP(C2478,[1]AttributeName!$C:$C,[1]AttributeName!$I:$I),2,_xlfn.XLOOKUP(C2478,[1]ModifierDes!$B:$B,[1]ModifierDes!$C:$C),3,_xlfn.XLOOKUP(C2478,[1]StuntDes!$B:$B,[1]StuntDes!$C:$C)),"")</f>
        <v>基础魔力增加{0}</v>
      </c>
      <c r="L2478">
        <f t="shared" si="188"/>
        <v>1</v>
      </c>
      <c r="M2478" s="10" t="str">
        <f>IFERROR(_xlfn.XLOOKUP(C2478,[1]StuntDes!$B:$B,[1]StuntDes!$A:$A),"")</f>
        <v/>
      </c>
      <c r="N2478" s="10" t="str">
        <f>IFERROR(_xlfn.XLOOKUP(C2478,[1]ModifierDes!$B:$B,[1]ModifierDes!$A:$A),"")</f>
        <v/>
      </c>
      <c r="O2478" s="10">
        <f>IFERROR(_xlfn.XLOOKUP(C2478,[1]AttributeName!$C:$C,[1]AttributeName!$B:$B),"")</f>
        <v>10002</v>
      </c>
      <c r="P2478" s="10"/>
      <c r="Q2478">
        <v>80</v>
      </c>
      <c r="R2478">
        <v>100</v>
      </c>
      <c r="S2478" cm="1">
        <f t="array" ref="S2478">IFERROR(_xlfn.SWITCH(L2478,1,_xlfn.XLOOKUP(O2478,[1]AttributeName!$B:$B,[1]AttributeName!$D:$D),2,_xlfn.XLOOKUP(C2478,[1]ModifierDes!$B:$B,[1]ModifierDes!$D:$D),3,_xlfn.XLOOKUP(C2478,[1]StuntDes!$B:$B,[1]StuntDes!$D:$D)),0)</f>
        <v>0</v>
      </c>
      <c r="T2478" cm="1">
        <f t="array" ref="T2478">IFERROR(_xlfn.SWITCH(L2478,1,_xlfn.XLOOKUP(O2478,[1]AttributeName!$B:$B,[1]AttributeName!$E:$E),2,_xlfn.XLOOKUP(C2478,[1]ModifierDes!$B:$B,[1]ModifierDes!$E:$E),3,_xlfn.XLOOKUP(C2478,[1]StuntDes!$B:$B,[1]StuntDes!$E:$E)),0)</f>
        <v>1</v>
      </c>
    </row>
    <row r="2479" customFormat="1" spans="1:20">
      <c r="A2479">
        <v>11303</v>
      </c>
      <c r="B2479">
        <v>1</v>
      </c>
      <c r="C2479" t="s">
        <v>463</v>
      </c>
      <c r="D2479" t="s">
        <v>28</v>
      </c>
      <c r="E2479" s="13" t="s">
        <v>462</v>
      </c>
      <c r="G2479">
        <v>3</v>
      </c>
      <c r="H2479">
        <v>1000</v>
      </c>
      <c r="J2479" cm="1">
        <f t="array" ref="J2479">_xlfn.SWITCH(B2479,1,75,2,61,3,49,4,37,5,25,6,13,7,4,8,1)</f>
        <v>75</v>
      </c>
      <c r="K2479" t="str" cm="1">
        <f t="array" ref="K2479">IFERROR(_xlfn.SWITCH(L2479,1,_xlfn.XLOOKUP(C2479,[1]AttributeName!$C:$C,[1]AttributeName!$I:$I),2,_xlfn.XLOOKUP(C2479,[1]ModifierDes!$B:$B,[1]ModifierDes!$C:$C),3,_xlfn.XLOOKUP(C2479,[1]StuntDes!$B:$B,[1]StuntDes!$C:$C)),"")</f>
        <v>生命恢复率增加{0}</v>
      </c>
      <c r="L2479">
        <f t="shared" si="188"/>
        <v>1</v>
      </c>
      <c r="M2479" s="10" t="str">
        <f>IFERROR(_xlfn.XLOOKUP(C2479,[1]StuntDes!$B:$B,[1]StuntDes!$A:$A),"")</f>
        <v/>
      </c>
      <c r="N2479" s="10" t="str">
        <f>IFERROR(_xlfn.XLOOKUP(C2479,[1]ModifierDes!$B:$B,[1]ModifierDes!$A:$A),"")</f>
        <v/>
      </c>
      <c r="O2479" s="10">
        <f>IFERROR(_xlfn.XLOOKUP(C2479,[1]AttributeName!$C:$C,[1]AttributeName!$B:$B),"")</f>
        <v>10004</v>
      </c>
      <c r="P2479" s="10"/>
      <c r="Q2479">
        <v>0.01</v>
      </c>
      <c r="R2479">
        <v>0.014</v>
      </c>
      <c r="S2479" cm="1">
        <f t="array" ref="S2479">IFERROR(_xlfn.SWITCH(L2479,1,_xlfn.XLOOKUP(O2479,[1]AttributeName!$B:$B,[1]AttributeName!$D:$D),2,_xlfn.XLOOKUP(C2479,[1]ModifierDes!$B:$B,[1]ModifierDes!$D:$D),3,_xlfn.XLOOKUP(C2479,[1]StuntDes!$B:$B,[1]StuntDes!$D:$D)),0)</f>
        <v>3</v>
      </c>
      <c r="T2479" cm="1">
        <f t="array" ref="T2479">IFERROR(_xlfn.SWITCH(L2479,1,_xlfn.XLOOKUP(O2479,[1]AttributeName!$B:$B,[1]AttributeName!$E:$E),2,_xlfn.XLOOKUP(C2479,[1]ModifierDes!$B:$B,[1]ModifierDes!$E:$E),3,_xlfn.XLOOKUP(C2479,[1]StuntDes!$B:$B,[1]StuntDes!$E:$E)),0)</f>
        <v>2</v>
      </c>
    </row>
    <row r="2480" customFormat="1" spans="1:20">
      <c r="A2480">
        <v>11304</v>
      </c>
      <c r="B2480">
        <v>1</v>
      </c>
      <c r="C2480" t="s">
        <v>464</v>
      </c>
      <c r="D2480" t="s">
        <v>28</v>
      </c>
      <c r="E2480" s="13" t="s">
        <v>462</v>
      </c>
      <c r="G2480">
        <v>3</v>
      </c>
      <c r="H2480">
        <v>1000</v>
      </c>
      <c r="J2480" cm="1">
        <f t="array" ref="J2480">_xlfn.SWITCH(B2480,1,75,2,61,3,49,4,37,5,25,6,13,7,4,8,1)</f>
        <v>75</v>
      </c>
      <c r="K2480" t="str" cm="1">
        <f t="array" ref="K2480">IFERROR(_xlfn.SWITCH(L2480,1,_xlfn.XLOOKUP(C2480,[1]AttributeName!$C:$C,[1]AttributeName!$I:$I),2,_xlfn.XLOOKUP(C2480,[1]ModifierDes!$B:$B,[1]ModifierDes!$C:$C),3,_xlfn.XLOOKUP(C2480,[1]StuntDes!$B:$B,[1]StuntDes!$C:$C)),"")</f>
        <v>魔力恢复率增加{0}</v>
      </c>
      <c r="L2480">
        <f t="shared" si="188"/>
        <v>1</v>
      </c>
      <c r="M2480" s="10" t="str">
        <f>IFERROR(_xlfn.XLOOKUP(C2480,[1]StuntDes!$B:$B,[1]StuntDes!$A:$A),"")</f>
        <v/>
      </c>
      <c r="N2480" s="10" t="str">
        <f>IFERROR(_xlfn.XLOOKUP(C2480,[1]ModifierDes!$B:$B,[1]ModifierDes!$A:$A),"")</f>
        <v/>
      </c>
      <c r="O2480" s="10">
        <f>IFERROR(_xlfn.XLOOKUP(C2480,[1]AttributeName!$C:$C,[1]AttributeName!$B:$B),"")</f>
        <v>10006</v>
      </c>
      <c r="P2480" s="10"/>
      <c r="Q2480">
        <v>0.01</v>
      </c>
      <c r="R2480">
        <v>0.014</v>
      </c>
      <c r="S2480" cm="1">
        <f t="array" ref="S2480">IFERROR(_xlfn.SWITCH(L2480,1,_xlfn.XLOOKUP(O2480,[1]AttributeName!$B:$B,[1]AttributeName!$D:$D),2,_xlfn.XLOOKUP(C2480,[1]ModifierDes!$B:$B,[1]ModifierDes!$D:$D),3,_xlfn.XLOOKUP(C2480,[1]StuntDes!$B:$B,[1]StuntDes!$D:$D)),0)</f>
        <v>3</v>
      </c>
      <c r="T2480" cm="1">
        <f t="array" ref="T2480">IFERROR(_xlfn.SWITCH(L2480,1,_xlfn.XLOOKUP(O2480,[1]AttributeName!$B:$B,[1]AttributeName!$E:$E),2,_xlfn.XLOOKUP(C2480,[1]ModifierDes!$B:$B,[1]ModifierDes!$E:$E),3,_xlfn.XLOOKUP(C2480,[1]StuntDes!$B:$B,[1]StuntDes!$E:$E)),0)</f>
        <v>2</v>
      </c>
    </row>
    <row r="2481" customFormat="1" spans="1:20">
      <c r="A2481">
        <v>11305</v>
      </c>
      <c r="B2481">
        <v>1</v>
      </c>
      <c r="C2481" t="s">
        <v>404</v>
      </c>
      <c r="D2481" t="s">
        <v>28</v>
      </c>
      <c r="E2481" s="13" t="s">
        <v>462</v>
      </c>
      <c r="G2481">
        <v>3</v>
      </c>
      <c r="H2481">
        <v>1000</v>
      </c>
      <c r="J2481" cm="1">
        <f t="array" ref="J2481">_xlfn.SWITCH(B2481,1,75,2,61,3,49,4,37,5,25,6,13,7,4,8,1)</f>
        <v>75</v>
      </c>
      <c r="K2481" t="str" cm="1">
        <f t="array" ref="K2481">IFERROR(_xlfn.SWITCH(L2481,1,_xlfn.XLOOKUP(C2481,[1]AttributeName!$C:$C,[1]AttributeName!$I:$I),2,_xlfn.XLOOKUP(C2481,[1]ModifierDes!$B:$B,[1]ModifierDes!$C:$C),3,_xlfn.XLOOKUP(C2481,[1]StuntDes!$B:$B,[1]StuntDes!$C:$C)),"")</f>
        <v>物理伤害提高{0}</v>
      </c>
      <c r="L2481">
        <f t="shared" si="188"/>
        <v>1</v>
      </c>
      <c r="M2481" s="10" t="str">
        <f>IFERROR(_xlfn.XLOOKUP(C2481,[1]StuntDes!$B:$B,[1]StuntDes!$A:$A),"")</f>
        <v/>
      </c>
      <c r="N2481" s="10" t="str">
        <f>IFERROR(_xlfn.XLOOKUP(C2481,[1]ModifierDes!$B:$B,[1]ModifierDes!$A:$A),"")</f>
        <v/>
      </c>
      <c r="O2481" s="10">
        <f>IFERROR(_xlfn.XLOOKUP(C2481,[1]AttributeName!$C:$C,[1]AttributeName!$B:$B),"")</f>
        <v>10303</v>
      </c>
      <c r="P2481" s="10"/>
      <c r="Q2481">
        <v>0.5</v>
      </c>
      <c r="R2481">
        <v>1</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11306</v>
      </c>
      <c r="B2482">
        <v>1</v>
      </c>
      <c r="C2482" t="s">
        <v>405</v>
      </c>
      <c r="D2482" t="s">
        <v>28</v>
      </c>
      <c r="E2482" s="13" t="s">
        <v>462</v>
      </c>
      <c r="G2482">
        <v>3</v>
      </c>
      <c r="H2482">
        <v>1000</v>
      </c>
      <c r="J2482" cm="1">
        <f t="array" ref="J2482">_xlfn.SWITCH(B2482,1,75,2,61,3,49,4,37,5,25,6,13,7,4,8,1)</f>
        <v>75</v>
      </c>
      <c r="K2482" t="str" cm="1">
        <f t="array" ref="K2482">IFERROR(_xlfn.SWITCH(L2482,1,_xlfn.XLOOKUP(C2482,[1]AttributeName!$C:$C,[1]AttributeName!$I:$I),2,_xlfn.XLOOKUP(C2482,[1]ModifierDes!$B:$B,[1]ModifierDes!$C:$C),3,_xlfn.XLOOKUP(C2482,[1]StuntDes!$B:$B,[1]StuntDes!$C:$C)),"")</f>
        <v>元素伤害提高{0}</v>
      </c>
      <c r="L2482">
        <f t="shared" si="188"/>
        <v>2</v>
      </c>
      <c r="M2482" s="10" t="str">
        <f>IFERROR(_xlfn.XLOOKUP(C2482,[1]StuntDes!$B:$B,[1]StuntDes!$A:$A),"")</f>
        <v/>
      </c>
      <c r="N2482" s="10">
        <f>IFERROR(_xlfn.XLOOKUP(C2482,[1]ModifierDes!$B:$B,[1]ModifierDes!$A:$A),"")</f>
        <v>10120</v>
      </c>
      <c r="O2482" s="10">
        <f>IFERROR(_xlfn.XLOOKUP(C2482,[1]AttributeName!$C:$C,[1]AttributeName!$B:$B),"")</f>
        <v>10308</v>
      </c>
      <c r="P2482" s="10"/>
      <c r="Q2482">
        <v>0.5</v>
      </c>
      <c r="R2482">
        <v>1</v>
      </c>
      <c r="S2482" cm="1">
        <f t="array" ref="S2482">IFERROR(_xlfn.SWITCH(L2482,1,_xlfn.XLOOKUP(O2482,[1]AttributeName!$B:$B,[1]AttributeName!$D:$D),2,_xlfn.XLOOKUP(C2482,[1]ModifierDes!$B:$B,[1]ModifierDes!$D:$D),3,_xlfn.XLOOKUP(C2482,[1]StuntDes!$B:$B,[1]StuntDes!$D:$D)),0)</f>
        <v>2</v>
      </c>
      <c r="T2482" cm="1">
        <f t="array" ref="T2482">IFERROR(_xlfn.SWITCH(L2482,1,_xlfn.XLOOKUP(O2482,[1]AttributeName!$B:$B,[1]AttributeName!$E:$E),2,_xlfn.XLOOKUP(C2482,[1]ModifierDes!$B:$B,[1]ModifierDes!$E:$E),3,_xlfn.XLOOKUP(C2482,[1]StuntDes!$B:$B,[1]StuntDes!$E:$E)),0)</f>
        <v>2</v>
      </c>
    </row>
    <row r="2483" customFormat="1" spans="1:20">
      <c r="A2483">
        <v>11307</v>
      </c>
      <c r="B2483">
        <v>1</v>
      </c>
      <c r="C2483" t="s">
        <v>406</v>
      </c>
      <c r="D2483" t="s">
        <v>28</v>
      </c>
      <c r="E2483" s="13" t="s">
        <v>462</v>
      </c>
      <c r="G2483">
        <v>3</v>
      </c>
      <c r="H2483">
        <v>1000</v>
      </c>
      <c r="J2483" cm="1">
        <f t="array" ref="J2483">_xlfn.SWITCH(B2483,1,75,2,61,3,49,4,37,5,25,6,13,7,4,8,1)</f>
        <v>75</v>
      </c>
      <c r="K2483" t="str" cm="1">
        <f t="array" ref="K2483">IFERROR(_xlfn.SWITCH(L2483,1,_xlfn.XLOOKUP(C2483,[1]AttributeName!$C:$C,[1]AttributeName!$I:$I),2,_xlfn.XLOOKUP(C2483,[1]ModifierDes!$B:$B,[1]ModifierDes!$C:$C),3,_xlfn.XLOOKUP(C2483,[1]StuntDes!$B:$B,[1]StuntDes!$C:$C)),"")</f>
        <v>混沌伤害提高{0}</v>
      </c>
      <c r="L2483">
        <f t="shared" si="188"/>
        <v>1</v>
      </c>
      <c r="M2483" s="10" t="str">
        <f>IFERROR(_xlfn.XLOOKUP(C2483,[1]StuntDes!$B:$B,[1]StuntDes!$A:$A),"")</f>
        <v/>
      </c>
      <c r="N2483" s="10" t="str">
        <f>IFERROR(_xlfn.XLOOKUP(C2483,[1]ModifierDes!$B:$B,[1]ModifierDes!$A:$A),"")</f>
        <v/>
      </c>
      <c r="O2483" s="10">
        <f>IFERROR(_xlfn.XLOOKUP(C2483,[1]AttributeName!$C:$C,[1]AttributeName!$B:$B),"")</f>
        <v>10307</v>
      </c>
      <c r="P2483" s="10"/>
      <c r="Q2483">
        <v>0.5</v>
      </c>
      <c r="R2483">
        <v>1</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11308</v>
      </c>
      <c r="B2484">
        <v>1</v>
      </c>
      <c r="C2484" t="s">
        <v>448</v>
      </c>
      <c r="D2484" t="s">
        <v>28</v>
      </c>
      <c r="E2484" s="13" t="s">
        <v>462</v>
      </c>
      <c r="G2484">
        <v>3</v>
      </c>
      <c r="H2484">
        <v>1000</v>
      </c>
      <c r="J2484" cm="1">
        <f t="array" ref="J2484">_xlfn.SWITCH(B2484,1,75,2,61,3,49,4,37,5,25,6,13,7,4,8,1)</f>
        <v>75</v>
      </c>
      <c r="K2484" t="str" cm="1">
        <f t="array" ref="K2484">IFERROR(_xlfn.SWITCH(L2484,1,_xlfn.XLOOKUP(C2484,[1]AttributeName!$C:$C,[1]AttributeName!$I:$I),2,_xlfn.XLOOKUP(C2484,[1]ModifierDes!$B:$B,[1]ModifierDes!$C:$C),3,_xlfn.XLOOKUP(C2484,[1]StuntDes!$B:$B,[1]StuntDes!$C:$C)),"")</f>
        <v>施法速度提高{0}</v>
      </c>
      <c r="L2484">
        <f t="shared" si="188"/>
        <v>2</v>
      </c>
      <c r="M2484" s="10" t="str">
        <f>IFERROR(_xlfn.XLOOKUP(C2484,[1]StuntDes!$B:$B,[1]StuntDes!$A:$A),"")</f>
        <v/>
      </c>
      <c r="N2484" s="10">
        <f>IFERROR(_xlfn.XLOOKUP(C2484,[1]ModifierDes!$B:$B,[1]ModifierDes!$A:$A),"")</f>
        <v>10050</v>
      </c>
      <c r="O2484" s="10" t="str">
        <f>IFERROR(_xlfn.XLOOKUP(C2484,[1]AttributeName!$C:$C,[1]AttributeName!$B:$B),"")</f>
        <v/>
      </c>
      <c r="P2484" s="10"/>
      <c r="Q2484">
        <v>0.15</v>
      </c>
      <c r="R2484">
        <v>0.3</v>
      </c>
      <c r="S2484" cm="1">
        <f t="array" ref="S2484">IFERROR(_xlfn.SWITCH(L2484,1,_xlfn.XLOOKUP(O2484,[1]AttributeName!$B:$B,[1]AttributeName!$D:$D),2,_xlfn.XLOOKUP(C2484,[1]ModifierDes!$B:$B,[1]ModifierDes!$D:$D),3,_xlfn.XLOOKUP(C2484,[1]StuntDes!$B:$B,[1]StuntDes!$D:$D)),0)</f>
        <v>2</v>
      </c>
      <c r="T2484" cm="1">
        <f t="array" ref="T2484">IFERROR(_xlfn.SWITCH(L2484,1,_xlfn.XLOOKUP(O2484,[1]AttributeName!$B:$B,[1]AttributeName!$E:$E),2,_xlfn.XLOOKUP(C2484,[1]ModifierDes!$B:$B,[1]ModifierDes!$E:$E),3,_xlfn.XLOOKUP(C2484,[1]StuntDes!$B:$B,[1]StuntDes!$E:$E)),0)</f>
        <v>2</v>
      </c>
    </row>
    <row r="2485" customFormat="1" spans="1:20">
      <c r="A2485">
        <v>11309</v>
      </c>
      <c r="B2485">
        <v>1</v>
      </c>
      <c r="C2485" t="s">
        <v>398</v>
      </c>
      <c r="D2485" t="s">
        <v>28</v>
      </c>
      <c r="E2485" s="13" t="s">
        <v>462</v>
      </c>
      <c r="G2485">
        <v>3</v>
      </c>
      <c r="H2485">
        <v>1000</v>
      </c>
      <c r="J2485" cm="1">
        <f t="array" ref="J2485">_xlfn.SWITCH(B2485,1,75,2,61,3,49,4,37,5,25,6,13,7,4,8,1)</f>
        <v>75</v>
      </c>
      <c r="K2485" t="str" cm="1">
        <f t="array" ref="K2485">IFERROR(_xlfn.SWITCH(L2485,1,_xlfn.XLOOKUP(C2485,[1]AttributeName!$C:$C,[1]AttributeName!$I:$I),2,_xlfn.XLOOKUP(C2485,[1]ModifierDes!$B:$B,[1]ModifierDes!$C:$C),3,_xlfn.XLOOKUP(C2485,[1]StuntDes!$B:$B,[1]StuntDes!$C:$C)),"")</f>
        <v>获得物理伤害{0}</v>
      </c>
      <c r="L2485">
        <f t="shared" si="188"/>
        <v>1</v>
      </c>
      <c r="M2485" s="10" t="str">
        <f>IFERROR(_xlfn.XLOOKUP(C2485,[1]StuntDes!$B:$B,[1]StuntDes!$A:$A),"")</f>
        <v/>
      </c>
      <c r="N2485" s="10" t="str">
        <f>IFERROR(_xlfn.XLOOKUP(C2485,[1]ModifierDes!$B:$B,[1]ModifierDes!$A:$A),"")</f>
        <v/>
      </c>
      <c r="O2485" s="10">
        <f>IFERROR(_xlfn.XLOOKUP(C2485,[1]AttributeName!$C:$C,[1]AttributeName!$B:$B),"")</f>
        <v>10500</v>
      </c>
      <c r="P2485" s="10"/>
      <c r="Q2485">
        <v>0.25</v>
      </c>
      <c r="R2485">
        <v>0.5</v>
      </c>
      <c r="S2485" cm="1">
        <f t="array" ref="S2485">IFERROR(_xlfn.SWITCH(L2485,1,_xlfn.XLOOKUP(O2485,[1]AttributeName!$B:$B,[1]AttributeName!$D:$D),2,_xlfn.XLOOKUP(C2485,[1]ModifierDes!$B:$B,[1]ModifierDes!$D:$D),3,_xlfn.XLOOKUP(C2485,[1]StuntDes!$B:$B,[1]StuntDes!$D:$D)),0)</f>
        <v>2</v>
      </c>
      <c r="T2485" cm="1">
        <f t="array" ref="T2485">IFERROR(_xlfn.SWITCH(L2485,1,_xlfn.XLOOKUP(O2485,[1]AttributeName!$B:$B,[1]AttributeName!$E:$E),2,_xlfn.XLOOKUP(C2485,[1]ModifierDes!$B:$B,[1]ModifierDes!$E:$E),3,_xlfn.XLOOKUP(C2485,[1]StuntDes!$B:$B,[1]StuntDes!$E:$E)),0)</f>
        <v>2</v>
      </c>
    </row>
    <row r="2486" customFormat="1" spans="1:20">
      <c r="A2486">
        <v>11310</v>
      </c>
      <c r="B2486">
        <v>1</v>
      </c>
      <c r="C2486" t="s">
        <v>399</v>
      </c>
      <c r="D2486" t="s">
        <v>28</v>
      </c>
      <c r="E2486" s="13" t="s">
        <v>462</v>
      </c>
      <c r="G2486">
        <v>3</v>
      </c>
      <c r="H2486">
        <v>1000</v>
      </c>
      <c r="J2486" cm="1">
        <f t="array" ref="J2486">_xlfn.SWITCH(B2486,1,75,2,61,3,49,4,37,5,25,6,13,7,4,8,1)</f>
        <v>75</v>
      </c>
      <c r="K2486" t="str" cm="1">
        <f t="array" ref="K2486">IFERROR(_xlfn.SWITCH(L2486,1,_xlfn.XLOOKUP(C2486,[1]AttributeName!$C:$C,[1]AttributeName!$I:$I),2,_xlfn.XLOOKUP(C2486,[1]ModifierDes!$B:$B,[1]ModifierDes!$C:$C),3,_xlfn.XLOOKUP(C2486,[1]StuntDes!$B:$B,[1]StuntDes!$C:$C)),"")</f>
        <v>获得火焰伤害{0}</v>
      </c>
      <c r="L2486">
        <f t="shared" si="188"/>
        <v>1</v>
      </c>
      <c r="M2486" s="10" t="str">
        <f>IFERROR(_xlfn.XLOOKUP(C2486,[1]StuntDes!$B:$B,[1]StuntDes!$A:$A),"")</f>
        <v/>
      </c>
      <c r="N2486" s="10" t="str">
        <f>IFERROR(_xlfn.XLOOKUP(C2486,[1]ModifierDes!$B:$B,[1]ModifierDes!$A:$A),"")</f>
        <v/>
      </c>
      <c r="O2486" s="10">
        <f>IFERROR(_xlfn.XLOOKUP(C2486,[1]AttributeName!$C:$C,[1]AttributeName!$B:$B),"")</f>
        <v>10501</v>
      </c>
      <c r="P2486" s="10"/>
      <c r="Q2486">
        <v>0.25</v>
      </c>
      <c r="R2486">
        <v>0.5</v>
      </c>
      <c r="S2486" cm="1">
        <f t="array" ref="S2486">IFERROR(_xlfn.SWITCH(L2486,1,_xlfn.XLOOKUP(O2486,[1]AttributeName!$B:$B,[1]AttributeName!$D:$D),2,_xlfn.XLOOKUP(C2486,[1]ModifierDes!$B:$B,[1]ModifierDes!$D:$D),3,_xlfn.XLOOKUP(C2486,[1]StuntDes!$B:$B,[1]StuntDes!$D:$D)),0)</f>
        <v>2</v>
      </c>
      <c r="T2486" cm="1">
        <f t="array" ref="T2486">IFERROR(_xlfn.SWITCH(L2486,1,_xlfn.XLOOKUP(O2486,[1]AttributeName!$B:$B,[1]AttributeName!$E:$E),2,_xlfn.XLOOKUP(C2486,[1]ModifierDes!$B:$B,[1]ModifierDes!$E:$E),3,_xlfn.XLOOKUP(C2486,[1]StuntDes!$B:$B,[1]StuntDes!$E:$E)),0)</f>
        <v>2</v>
      </c>
    </row>
    <row r="2487" customFormat="1" spans="1:20">
      <c r="A2487">
        <v>11311</v>
      </c>
      <c r="B2487">
        <v>1</v>
      </c>
      <c r="C2487" t="s">
        <v>400</v>
      </c>
      <c r="D2487" t="s">
        <v>28</v>
      </c>
      <c r="E2487" s="13" t="s">
        <v>462</v>
      </c>
      <c r="G2487">
        <v>3</v>
      </c>
      <c r="H2487">
        <v>1000</v>
      </c>
      <c r="J2487" cm="1">
        <f t="array" ref="J2487">_xlfn.SWITCH(B2487,1,75,2,61,3,49,4,37,5,25,6,13,7,4,8,1)</f>
        <v>75</v>
      </c>
      <c r="K2487" t="str" cm="1">
        <f t="array" ref="K2487">IFERROR(_xlfn.SWITCH(L2487,1,_xlfn.XLOOKUP(C2487,[1]AttributeName!$C:$C,[1]AttributeName!$I:$I),2,_xlfn.XLOOKUP(C2487,[1]ModifierDes!$B:$B,[1]ModifierDes!$C:$C),3,_xlfn.XLOOKUP(C2487,[1]StuntDes!$B:$B,[1]StuntDes!$C:$C)),"")</f>
        <v>获得冰冷伤害{0}</v>
      </c>
      <c r="L2487">
        <f t="shared" si="188"/>
        <v>1</v>
      </c>
      <c r="M2487" s="10" t="str">
        <f>IFERROR(_xlfn.XLOOKUP(C2487,[1]StuntDes!$B:$B,[1]StuntDes!$A:$A),"")</f>
        <v/>
      </c>
      <c r="N2487" s="10" t="str">
        <f>IFERROR(_xlfn.XLOOKUP(C2487,[1]ModifierDes!$B:$B,[1]ModifierDes!$A:$A),"")</f>
        <v/>
      </c>
      <c r="O2487" s="10">
        <f>IFERROR(_xlfn.XLOOKUP(C2487,[1]AttributeName!$C:$C,[1]AttributeName!$B:$B),"")</f>
        <v>10502</v>
      </c>
      <c r="P2487" s="10"/>
      <c r="Q2487">
        <v>0.25</v>
      </c>
      <c r="R2487">
        <v>0.5</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11312</v>
      </c>
      <c r="B2488">
        <v>1</v>
      </c>
      <c r="C2488" t="s">
        <v>401</v>
      </c>
      <c r="D2488" t="s">
        <v>28</v>
      </c>
      <c r="E2488" s="13" t="s">
        <v>462</v>
      </c>
      <c r="G2488">
        <v>3</v>
      </c>
      <c r="H2488">
        <v>1000</v>
      </c>
      <c r="J2488" cm="1">
        <f t="array" ref="J2488">_xlfn.SWITCH(B2488,1,75,2,61,3,49,4,37,5,25,6,13,7,4,8,1)</f>
        <v>75</v>
      </c>
      <c r="K2488" t="str" cm="1">
        <f t="array" ref="K2488">IFERROR(_xlfn.SWITCH(L2488,1,_xlfn.XLOOKUP(C2488,[1]AttributeName!$C:$C,[1]AttributeName!$I:$I),2,_xlfn.XLOOKUP(C2488,[1]ModifierDes!$B:$B,[1]ModifierDes!$C:$C),3,_xlfn.XLOOKUP(C2488,[1]StuntDes!$B:$B,[1]StuntDes!$C:$C)),"")</f>
        <v>获得闪电伤害{0}</v>
      </c>
      <c r="L2488">
        <f t="shared" si="188"/>
        <v>1</v>
      </c>
      <c r="M2488" s="10" t="str">
        <f>IFERROR(_xlfn.XLOOKUP(C2488,[1]StuntDes!$B:$B,[1]StuntDes!$A:$A),"")</f>
        <v/>
      </c>
      <c r="N2488" s="10" t="str">
        <f>IFERROR(_xlfn.XLOOKUP(C2488,[1]ModifierDes!$B:$B,[1]ModifierDes!$A:$A),"")</f>
        <v/>
      </c>
      <c r="O2488" s="10">
        <f>IFERROR(_xlfn.XLOOKUP(C2488,[1]AttributeName!$C:$C,[1]AttributeName!$B:$B),"")</f>
        <v>10503</v>
      </c>
      <c r="P2488" s="10"/>
      <c r="Q2488">
        <v>0.25</v>
      </c>
      <c r="R2488">
        <v>0.5</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11313</v>
      </c>
      <c r="B2489">
        <v>1</v>
      </c>
      <c r="C2489" t="s">
        <v>402</v>
      </c>
      <c r="D2489" t="s">
        <v>28</v>
      </c>
      <c r="E2489" s="13" t="s">
        <v>462</v>
      </c>
      <c r="G2489">
        <v>3</v>
      </c>
      <c r="H2489">
        <v>1000</v>
      </c>
      <c r="J2489" cm="1">
        <f t="array" ref="J2489">_xlfn.SWITCH(B2489,1,75,2,61,3,49,4,37,5,25,6,13,7,4,8,1)</f>
        <v>75</v>
      </c>
      <c r="K2489" t="str" cm="1">
        <f t="array" ref="K2489">IFERROR(_xlfn.SWITCH(L2489,1,_xlfn.XLOOKUP(C2489,[1]AttributeName!$C:$C,[1]AttributeName!$I:$I),2,_xlfn.XLOOKUP(C2489,[1]ModifierDes!$B:$B,[1]ModifierDes!$C:$C),3,_xlfn.XLOOKUP(C2489,[1]StuntDes!$B:$B,[1]StuntDes!$C:$C)),"")</f>
        <v>获得混沌伤害{0}</v>
      </c>
      <c r="L2489">
        <f t="shared" si="188"/>
        <v>1</v>
      </c>
      <c r="M2489" s="10" t="str">
        <f>IFERROR(_xlfn.XLOOKUP(C2489,[1]StuntDes!$B:$B,[1]StuntDes!$A:$A),"")</f>
        <v/>
      </c>
      <c r="N2489" s="10" t="str">
        <f>IFERROR(_xlfn.XLOOKUP(C2489,[1]ModifierDes!$B:$B,[1]ModifierDes!$A:$A),"")</f>
        <v/>
      </c>
      <c r="O2489" s="10">
        <f>IFERROR(_xlfn.XLOOKUP(C2489,[1]AttributeName!$C:$C,[1]AttributeName!$B:$B),"")</f>
        <v>10504</v>
      </c>
      <c r="P2489" s="10"/>
      <c r="Q2489">
        <v>0.25</v>
      </c>
      <c r="R2489">
        <v>0.5</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11314</v>
      </c>
      <c r="B2490">
        <v>1</v>
      </c>
      <c r="C2490" t="s">
        <v>465</v>
      </c>
      <c r="D2490" t="s">
        <v>28</v>
      </c>
      <c r="E2490" s="13" t="s">
        <v>462</v>
      </c>
      <c r="G2490">
        <v>3</v>
      </c>
      <c r="H2490">
        <v>1000</v>
      </c>
      <c r="J2490" cm="1">
        <f t="array" ref="J2490">_xlfn.SWITCH(B2490,1,75,2,61,3,49,4,37,5,25,6,13,7,4,8,1)</f>
        <v>75</v>
      </c>
      <c r="K2490" t="str" cm="1">
        <f t="array" ref="K2490">IFERROR(_xlfn.SWITCH(L2490,1,_xlfn.XLOOKUP(C2490,[1]AttributeName!$C:$C,[1]AttributeName!$I:$I),2,_xlfn.XLOOKUP(C2490,[1]ModifierDes!$B:$B,[1]ModifierDes!$C:$C),3,_xlfn.XLOOKUP(C2490,[1]StuntDes!$B:$B,[1]StuntDes!$C:$C)),"")</f>
        <v>基础暴击率增加{0}</v>
      </c>
      <c r="L2490">
        <f t="shared" si="188"/>
        <v>1</v>
      </c>
      <c r="M2490" s="10" t="str">
        <f>IFERROR(_xlfn.XLOOKUP(C2490,[1]StuntDes!$B:$B,[1]StuntDes!$A:$A),"")</f>
        <v/>
      </c>
      <c r="N2490" s="10" t="str">
        <f>IFERROR(_xlfn.XLOOKUP(C2490,[1]ModifierDes!$B:$B,[1]ModifierDes!$A:$A),"")</f>
        <v/>
      </c>
      <c r="O2490" s="10">
        <f>IFERROR(_xlfn.XLOOKUP(C2490,[1]AttributeName!$C:$C,[1]AttributeName!$B:$B),"")</f>
        <v>10100</v>
      </c>
      <c r="P2490" s="10"/>
      <c r="Q2490">
        <v>0.005</v>
      </c>
      <c r="R2490">
        <v>0.01</v>
      </c>
      <c r="S2490" cm="1">
        <f t="array" ref="S2490">IFERROR(_xlfn.SWITCH(L2490,1,_xlfn.XLOOKUP(O2490,[1]AttributeName!$B:$B,[1]AttributeName!$D:$D),2,_xlfn.XLOOKUP(C2490,[1]ModifierDes!$B:$B,[1]ModifierDes!$D:$D),3,_xlfn.XLOOKUP(C2490,[1]StuntDes!$B:$B,[1]StuntDes!$D:$D)),0)</f>
        <v>3</v>
      </c>
      <c r="T2490" cm="1">
        <f t="array" ref="T2490">IFERROR(_xlfn.SWITCH(L2490,1,_xlfn.XLOOKUP(O2490,[1]AttributeName!$B:$B,[1]AttributeName!$E:$E),2,_xlfn.XLOOKUP(C2490,[1]ModifierDes!$B:$B,[1]ModifierDes!$E:$E),3,_xlfn.XLOOKUP(C2490,[1]StuntDes!$B:$B,[1]StuntDes!$E:$E)),0)</f>
        <v>2</v>
      </c>
    </row>
    <row r="2491" customFormat="1" spans="1:20">
      <c r="A2491">
        <v>11315</v>
      </c>
      <c r="B2491">
        <v>1</v>
      </c>
      <c r="C2491" t="s">
        <v>443</v>
      </c>
      <c r="D2491" t="s">
        <v>28</v>
      </c>
      <c r="E2491" s="13" t="s">
        <v>462</v>
      </c>
      <c r="G2491">
        <v>3</v>
      </c>
      <c r="H2491">
        <v>1000</v>
      </c>
      <c r="J2491" cm="1">
        <f t="array" ref="J2491">_xlfn.SWITCH(B2491,1,75,2,61,3,49,4,37,5,25,6,13,7,4,8,1)</f>
        <v>75</v>
      </c>
      <c r="K2491" t="str" cm="1">
        <f t="array" ref="K2491">IFERROR(_xlfn.SWITCH(L2491,1,_xlfn.XLOOKUP(C2491,[1]AttributeName!$C:$C,[1]AttributeName!$I:$I),2,_xlfn.XLOOKUP(C2491,[1]ModifierDes!$B:$B,[1]ModifierDes!$C:$C),3,_xlfn.XLOOKUP(C2491,[1]StuntDes!$B:$B,[1]StuntDes!$C:$C)),"")</f>
        <v>法术暴击伤害增加{0}</v>
      </c>
      <c r="L2491">
        <f t="shared" si="188"/>
        <v>2</v>
      </c>
      <c r="M2491" s="10" t="str">
        <f>IFERROR(_xlfn.XLOOKUP(C2491,[1]StuntDes!$B:$B,[1]StuntDes!$A:$A),"")</f>
        <v/>
      </c>
      <c r="N2491" s="10">
        <f>IFERROR(_xlfn.XLOOKUP(C2491,[1]ModifierDes!$B:$B,[1]ModifierDes!$A:$A),"")</f>
        <v>10061</v>
      </c>
      <c r="O2491" s="10" t="str">
        <f>IFERROR(_xlfn.XLOOKUP(C2491,[1]AttributeName!$C:$C,[1]AttributeName!$B:$B),"")</f>
        <v/>
      </c>
      <c r="P2491" s="10"/>
      <c r="Q2491">
        <v>0.5</v>
      </c>
      <c r="R2491">
        <v>1</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11316</v>
      </c>
      <c r="B2492">
        <v>1</v>
      </c>
      <c r="C2492" t="s">
        <v>467</v>
      </c>
      <c r="D2492" t="s">
        <v>28</v>
      </c>
      <c r="E2492" s="13" t="s">
        <v>462</v>
      </c>
      <c r="G2492">
        <v>3</v>
      </c>
      <c r="H2492">
        <v>1000</v>
      </c>
      <c r="J2492" cm="1">
        <f t="array" ref="J2492">_xlfn.SWITCH(B2492,1,75,2,61,3,49,4,37,5,25,6,13,7,4,8,1)</f>
        <v>75</v>
      </c>
      <c r="K2492" t="str" cm="1">
        <f t="array" ref="K2492">IFERROR(_xlfn.SWITCH(L2492,1,_xlfn.XLOOKUP(C2492,[1]AttributeName!$C:$C,[1]AttributeName!$I:$I),2,_xlfn.XLOOKUP(C2492,[1]ModifierDes!$B:$B,[1]ModifierDes!$C:$C),3,_xlfn.XLOOKUP(C2492,[1]StuntDes!$B:$B,[1]StuntDes!$C:$C)),"")</f>
        <v>法术伤害额外提高{0}</v>
      </c>
      <c r="L2492">
        <f t="shared" si="188"/>
        <v>2</v>
      </c>
      <c r="M2492" s="10" t="str">
        <f>IFERROR(_xlfn.XLOOKUP(C2492,[1]StuntDes!$B:$B,[1]StuntDes!$A:$A),"")</f>
        <v/>
      </c>
      <c r="N2492" s="10">
        <f>IFERROR(_xlfn.XLOOKUP(C2492,[1]ModifierDes!$B:$B,[1]ModifierDes!$A:$A),"")</f>
        <v>10135</v>
      </c>
      <c r="O2492" s="10" t="str">
        <f>IFERROR(_xlfn.XLOOKUP(C2492,[1]AttributeName!$C:$C,[1]AttributeName!$B:$B),"")</f>
        <v/>
      </c>
      <c r="P2492" s="10"/>
      <c r="Q2492">
        <v>0.06</v>
      </c>
      <c r="R2492">
        <v>0.12</v>
      </c>
      <c r="S2492" cm="1">
        <f t="array" ref="S2492">IFERROR(_xlfn.SWITCH(L2492,1,_xlfn.XLOOKUP(O2492,[1]AttributeName!$B:$B,[1]AttributeName!$D:$D),2,_xlfn.XLOOKUP(C2492,[1]ModifierDes!$B:$B,[1]ModifierDes!$D:$D),3,_xlfn.XLOOKUP(C2492,[1]StuntDes!$B:$B,[1]StuntDes!$D:$D)),0)</f>
        <v>2</v>
      </c>
      <c r="T2492" cm="1">
        <f t="array" ref="T2492">IFERROR(_xlfn.SWITCH(L2492,1,_xlfn.XLOOKUP(O2492,[1]AttributeName!$B:$B,[1]AttributeName!$E:$E),2,_xlfn.XLOOKUP(C2492,[1]ModifierDes!$B:$B,[1]ModifierDes!$E:$E),3,_xlfn.XLOOKUP(C2492,[1]StuntDes!$B:$B,[1]StuntDes!$E:$E)),0)</f>
        <v>2</v>
      </c>
    </row>
    <row r="2493" customFormat="1" spans="1:20">
      <c r="A2493">
        <v>100101</v>
      </c>
      <c r="B2493">
        <v>1</v>
      </c>
      <c r="C2493" t="s">
        <v>398</v>
      </c>
      <c r="D2493" t="s">
        <v>145</v>
      </c>
      <c r="E2493" t="s">
        <v>468</v>
      </c>
      <c r="H2493">
        <v>1000</v>
      </c>
      <c r="J2493">
        <v>1</v>
      </c>
      <c r="K2493" t="str" cm="1">
        <f t="array" ref="K2493">IFERROR(_xlfn.SWITCH(L2493,1,_xlfn.XLOOKUP(C2493,[1]AttributeName!$C:$C,[1]AttributeName!$I:$I),2,_xlfn.XLOOKUP(C2493,[1]ModifierDes!$B:$B,[1]ModifierDes!$C:$C),3,_xlfn.XLOOKUP(C2493,[1]StuntDes!$B:$B,[1]StuntDes!$C:$C)),"")</f>
        <v>获得物理伤害{0}</v>
      </c>
      <c r="L2493">
        <f t="shared" si="188"/>
        <v>1</v>
      </c>
      <c r="M2493" s="10" t="str">
        <f>IFERROR(_xlfn.XLOOKUP(C2493,[1]StuntDes!$B:$B,[1]StuntDes!$A:$A),"")</f>
        <v/>
      </c>
      <c r="N2493" s="10" t="str">
        <f>IFERROR(_xlfn.XLOOKUP(C2493,[1]ModifierDes!$B:$B,[1]ModifierDes!$A:$A),"")</f>
        <v/>
      </c>
      <c r="O2493" s="10">
        <f>IFERROR(_xlfn.XLOOKUP(C2493,[1]AttributeName!$C:$C,[1]AttributeName!$B:$B),"")</f>
        <v>10500</v>
      </c>
      <c r="P2493" s="10"/>
      <c r="Q2493">
        <v>0.65</v>
      </c>
      <c r="R2493">
        <v>0.85</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100102</v>
      </c>
      <c r="B2494">
        <v>1</v>
      </c>
      <c r="C2494" t="s">
        <v>418</v>
      </c>
      <c r="D2494" t="s">
        <v>145</v>
      </c>
      <c r="E2494" t="s">
        <v>468</v>
      </c>
      <c r="H2494">
        <v>1000</v>
      </c>
      <c r="J2494">
        <v>1</v>
      </c>
      <c r="K2494" t="str" cm="1">
        <f t="array" ref="K2494">IFERROR(_xlfn.SWITCH(L2494,1,_xlfn.XLOOKUP(C2494,[1]AttributeName!$C:$C,[1]AttributeName!$I:$I),2,_xlfn.XLOOKUP(C2494,[1]ModifierDes!$B:$B,[1]ModifierDes!$C:$C),3,_xlfn.XLOOKUP(C2494,[1]StuntDes!$B:$B,[1]StuntDes!$C:$C)),"")</f>
        <v>攻击速度提高{0}</v>
      </c>
      <c r="L2494">
        <f t="shared" si="188"/>
        <v>2</v>
      </c>
      <c r="M2494" s="10" t="str">
        <f>IFERROR(_xlfn.XLOOKUP(C2494,[1]StuntDes!$B:$B,[1]StuntDes!$A:$A),"")</f>
        <v/>
      </c>
      <c r="N2494" s="10">
        <f>IFERROR(_xlfn.XLOOKUP(C2494,[1]ModifierDes!$B:$B,[1]ModifierDes!$A:$A),"")</f>
        <v>10031</v>
      </c>
      <c r="O2494" s="10" t="str">
        <f>IFERROR(_xlfn.XLOOKUP(C2494,[1]AttributeName!$C:$C,[1]AttributeName!$B:$B),"")</f>
        <v/>
      </c>
      <c r="P2494" s="10"/>
      <c r="Q2494">
        <v>0.25</v>
      </c>
      <c r="R2494">
        <v>0.35</v>
      </c>
      <c r="S2494" cm="1">
        <f t="array" ref="S2494">IFERROR(_xlfn.SWITCH(L2494,1,_xlfn.XLOOKUP(O2494,[1]AttributeName!$B:$B,[1]AttributeName!$D:$D),2,_xlfn.XLOOKUP(C2494,[1]ModifierDes!$B:$B,[1]ModifierDes!$D:$D),3,_xlfn.XLOOKUP(C2494,[1]StuntDes!$B:$B,[1]StuntDes!$D:$D)),0)</f>
        <v>2</v>
      </c>
      <c r="T2494" cm="1">
        <f t="array" ref="T2494">IFERROR(_xlfn.SWITCH(L2494,1,_xlfn.XLOOKUP(O2494,[1]AttributeName!$B:$B,[1]AttributeName!$E:$E),2,_xlfn.XLOOKUP(C2494,[1]ModifierDes!$B:$B,[1]ModifierDes!$E:$E),3,_xlfn.XLOOKUP(C2494,[1]StuntDes!$B:$B,[1]StuntDes!$E:$E)),0)</f>
        <v>2</v>
      </c>
    </row>
    <row r="2495" customFormat="1" spans="1:20">
      <c r="A2495">
        <v>100103</v>
      </c>
      <c r="B2495">
        <v>1</v>
      </c>
      <c r="C2495" t="s">
        <v>411</v>
      </c>
      <c r="D2495" t="s">
        <v>145</v>
      </c>
      <c r="E2495" t="s">
        <v>468</v>
      </c>
      <c r="H2495">
        <v>1000</v>
      </c>
      <c r="J2495">
        <v>1</v>
      </c>
      <c r="K2495" t="str" cm="1">
        <f t="array" ref="K2495">IFERROR(_xlfn.SWITCH(L2495,1,_xlfn.XLOOKUP(C2495,[1]AttributeName!$C:$C,[1]AttributeName!$I:$I),2,_xlfn.XLOOKUP(C2495,[1]ModifierDes!$B:$B,[1]ModifierDes!$C:$C),3,_xlfn.XLOOKUP(C2495,[1]StuntDes!$B:$B,[1]StuntDes!$C:$C)),"")</f>
        <v>物理技能等级增加{0}</v>
      </c>
      <c r="L2495">
        <f t="shared" si="188"/>
        <v>2</v>
      </c>
      <c r="M2495" s="10" t="str">
        <f>IFERROR(_xlfn.XLOOKUP(C2495,[1]StuntDes!$B:$B,[1]StuntDes!$A:$A),"")</f>
        <v/>
      </c>
      <c r="N2495" s="10">
        <f>IFERROR(_xlfn.XLOOKUP(C2495,[1]ModifierDes!$B:$B,[1]ModifierDes!$A:$A),"")</f>
        <v>10156</v>
      </c>
      <c r="O2495" s="10" t="str">
        <f>IFERROR(_xlfn.XLOOKUP(C2495,[1]AttributeName!$C:$C,[1]AttributeName!$B:$B),"")</f>
        <v/>
      </c>
      <c r="P2495" s="10"/>
      <c r="Q2495">
        <v>1</v>
      </c>
      <c r="R2495">
        <v>2</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0</v>
      </c>
    </row>
    <row r="2496" customFormat="1" spans="1:20">
      <c r="A2496">
        <v>100104</v>
      </c>
      <c r="B2496">
        <v>1</v>
      </c>
      <c r="C2496" t="s">
        <v>416</v>
      </c>
      <c r="D2496" t="s">
        <v>145</v>
      </c>
      <c r="E2496" t="s">
        <v>468</v>
      </c>
      <c r="H2496">
        <v>1000</v>
      </c>
      <c r="J2496">
        <v>1</v>
      </c>
      <c r="K2496" t="str" cm="1">
        <f t="array" ref="K2496">IFERROR(_xlfn.SWITCH(L2496,1,_xlfn.XLOOKUP(C2496,[1]AttributeName!$C:$C,[1]AttributeName!$I:$I),2,_xlfn.XLOOKUP(C2496,[1]ModifierDes!$B:$B,[1]ModifierDes!$C:$C),3,_xlfn.XLOOKUP(C2496,[1]StuntDes!$B:$B,[1]StuntDes!$C:$C)),"")</f>
        <v>攻击暴击率提高{0}</v>
      </c>
      <c r="L2496">
        <f t="shared" si="188"/>
        <v>2</v>
      </c>
      <c r="M2496" s="10" t="str">
        <f>IFERROR(_xlfn.XLOOKUP(C2496,[1]StuntDes!$B:$B,[1]StuntDes!$A:$A),"")</f>
        <v/>
      </c>
      <c r="N2496" s="10">
        <f>IFERROR(_xlfn.XLOOKUP(C2496,[1]ModifierDes!$B:$B,[1]ModifierDes!$A:$A),"")</f>
        <v>10176</v>
      </c>
      <c r="O2496" s="10" t="str">
        <f>IFERROR(_xlfn.XLOOKUP(C2496,[1]AttributeName!$C:$C,[1]AttributeName!$B:$B),"")</f>
        <v/>
      </c>
      <c r="P2496" s="10"/>
      <c r="Q2496">
        <v>1.2</v>
      </c>
      <c r="R2496">
        <v>1.6</v>
      </c>
      <c r="S2496" cm="1">
        <f t="array" ref="S2496">IFERROR(_xlfn.SWITCH(L2496,1,_xlfn.XLOOKUP(O2496,[1]AttributeName!$B:$B,[1]AttributeName!$D:$D),2,_xlfn.XLOOKUP(C2496,[1]ModifierDes!$B:$B,[1]ModifierDes!$D:$D),3,_xlfn.XLOOKUP(C2496,[1]StuntDes!$B:$B,[1]StuntDes!$D:$D)),0)</f>
        <v>2</v>
      </c>
      <c r="T2496" cm="1">
        <f t="array" ref="T2496">IFERROR(_xlfn.SWITCH(L2496,1,_xlfn.XLOOKUP(O2496,[1]AttributeName!$B:$B,[1]AttributeName!$E:$E),2,_xlfn.XLOOKUP(C2496,[1]ModifierDes!$B:$B,[1]ModifierDes!$E:$E),3,_xlfn.XLOOKUP(C2496,[1]StuntDes!$B:$B,[1]StuntDes!$E:$E)),0)</f>
        <v>2</v>
      </c>
    </row>
    <row r="2497" customFormat="1" spans="1:20">
      <c r="A2497">
        <v>100201</v>
      </c>
      <c r="B2497">
        <v>1</v>
      </c>
      <c r="C2497" s="13" t="s">
        <v>469</v>
      </c>
      <c r="D2497" t="s">
        <v>204</v>
      </c>
      <c r="E2497" t="s">
        <v>468</v>
      </c>
      <c r="H2497">
        <v>1000</v>
      </c>
      <c r="J2497">
        <v>1</v>
      </c>
      <c r="K2497" t="str" cm="1">
        <f t="array" ref="K2497">IFERROR(_xlfn.SWITCH(L2497,1,_xlfn.XLOOKUP(C2497,[1]AttributeName!$C:$C,[1]AttributeName!$I:$I),2,_xlfn.XLOOKUP(C2497,[1]ModifierDes!$B:$B,[1]ModifierDes!$C:$C),3,_xlfn.XLOOKUP(C2497,[1]StuntDes!$B:$B,[1]StuntDes!$C:$C)),"")</f>
        <v>全局伤害提高增加{0}</v>
      </c>
      <c r="L2497">
        <f t="shared" si="188"/>
        <v>1</v>
      </c>
      <c r="M2497" s="10" t="str">
        <f>IFERROR(_xlfn.XLOOKUP(C2497,[1]StuntDes!$B:$B,[1]StuntDes!$A:$A),"")</f>
        <v/>
      </c>
      <c r="N2497" s="10" t="str">
        <f>IFERROR(_xlfn.XLOOKUP(C2497,[1]ModifierDes!$B:$B,[1]ModifierDes!$A:$A),"")</f>
        <v/>
      </c>
      <c r="O2497" s="10">
        <f>IFERROR(_xlfn.XLOOKUP(C2497,[1]AttributeName!$C:$C,[1]AttributeName!$B:$B),"")</f>
        <v>10300</v>
      </c>
      <c r="P2497" s="10"/>
      <c r="Q2497">
        <v>1</v>
      </c>
      <c r="R2497">
        <v>1.5</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100202</v>
      </c>
      <c r="B2498">
        <v>1</v>
      </c>
      <c r="C2498" t="s">
        <v>411</v>
      </c>
      <c r="D2498" t="s">
        <v>204</v>
      </c>
      <c r="E2498" t="s">
        <v>468</v>
      </c>
      <c r="H2498">
        <v>1000</v>
      </c>
      <c r="J2498">
        <v>1</v>
      </c>
      <c r="K2498" t="str" cm="1">
        <f t="array" ref="K2498">IFERROR(_xlfn.SWITCH(L2498,1,_xlfn.XLOOKUP(C2498,[1]AttributeName!$C:$C,[1]AttributeName!$I:$I),2,_xlfn.XLOOKUP(C2498,[1]ModifierDes!$B:$B,[1]ModifierDes!$C:$C),3,_xlfn.XLOOKUP(C2498,[1]StuntDes!$B:$B,[1]StuntDes!$C:$C)),"")</f>
        <v>物理技能等级增加{0}</v>
      </c>
      <c r="L2498">
        <f t="shared" si="188"/>
        <v>2</v>
      </c>
      <c r="M2498" s="10" t="str">
        <f>IFERROR(_xlfn.XLOOKUP(C2498,[1]StuntDes!$B:$B,[1]StuntDes!$A:$A),"")</f>
        <v/>
      </c>
      <c r="N2498" s="10">
        <f>IFERROR(_xlfn.XLOOKUP(C2498,[1]ModifierDes!$B:$B,[1]ModifierDes!$A:$A),"")</f>
        <v>10156</v>
      </c>
      <c r="O2498" s="10" t="str">
        <f>IFERROR(_xlfn.XLOOKUP(C2498,[1]AttributeName!$C:$C,[1]AttributeName!$B:$B),"")</f>
        <v/>
      </c>
      <c r="P2498" s="10"/>
      <c r="Q2498">
        <v>1</v>
      </c>
      <c r="R2498">
        <v>2</v>
      </c>
      <c r="S2498" cm="1">
        <f t="array" ref="S2498">IFERROR(_xlfn.SWITCH(L2498,1,_xlfn.XLOOKUP(O2498,[1]AttributeName!$B:$B,[1]AttributeName!$D:$D),2,_xlfn.XLOOKUP(C2498,[1]ModifierDes!$B:$B,[1]ModifierDes!$D:$D),3,_xlfn.XLOOKUP(C2498,[1]StuntDes!$B:$B,[1]StuntDes!$D:$D)),0)</f>
        <v>0</v>
      </c>
      <c r="T2498" cm="1">
        <f t="array" ref="T2498">IFERROR(_xlfn.SWITCH(L2498,1,_xlfn.XLOOKUP(O2498,[1]AttributeName!$B:$B,[1]AttributeName!$E:$E),2,_xlfn.XLOOKUP(C2498,[1]ModifierDes!$B:$B,[1]ModifierDes!$E:$E),3,_xlfn.XLOOKUP(C2498,[1]StuntDes!$B:$B,[1]StuntDes!$E:$E)),0)</f>
        <v>0</v>
      </c>
    </row>
    <row r="2499" customFormat="1" spans="1:20">
      <c r="A2499">
        <v>100203</v>
      </c>
      <c r="B2499">
        <v>1</v>
      </c>
      <c r="C2499" t="s">
        <v>452</v>
      </c>
      <c r="D2499" t="s">
        <v>204</v>
      </c>
      <c r="E2499" t="s">
        <v>468</v>
      </c>
      <c r="H2499">
        <v>1000</v>
      </c>
      <c r="J2499">
        <v>1</v>
      </c>
      <c r="K2499" t="str" cm="1">
        <f t="array" ref="K2499">IFERROR(_xlfn.SWITCH(L2499,1,_xlfn.XLOOKUP(C2499,[1]AttributeName!$C:$C,[1]AttributeName!$I:$I),2,_xlfn.XLOOKUP(C2499,[1]ModifierDes!$B:$B,[1]ModifierDes!$C:$C),3,_xlfn.XLOOKUP(C2499,[1]StuntDes!$B:$B,[1]StuntDes!$C:$C)),"")</f>
        <v>元素抗性增加{0}</v>
      </c>
      <c r="L2499">
        <f t="shared" si="188"/>
        <v>1</v>
      </c>
      <c r="M2499" s="10" t="str">
        <f>IFERROR(_xlfn.XLOOKUP(C2499,[1]StuntDes!$B:$B,[1]StuntDes!$A:$A),"")</f>
        <v/>
      </c>
      <c r="N2499" s="10" t="str">
        <f>IFERROR(_xlfn.XLOOKUP(C2499,[1]ModifierDes!$B:$B,[1]ModifierDes!$A:$A),"")</f>
        <v/>
      </c>
      <c r="O2499" s="10">
        <f>IFERROR(_xlfn.XLOOKUP(C2499,[1]AttributeName!$C:$C,[1]AttributeName!$B:$B),"")</f>
        <v>10316</v>
      </c>
      <c r="P2499" s="10"/>
      <c r="Q2499">
        <v>0.1</v>
      </c>
      <c r="R2499">
        <v>0.14</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100204</v>
      </c>
      <c r="B2500">
        <v>1</v>
      </c>
      <c r="C2500" t="s">
        <v>470</v>
      </c>
      <c r="D2500" t="s">
        <v>204</v>
      </c>
      <c r="E2500" t="s">
        <v>468</v>
      </c>
      <c r="H2500">
        <v>1000</v>
      </c>
      <c r="J2500">
        <v>1</v>
      </c>
      <c r="K2500" t="str" cm="1">
        <f t="array" ref="K2500">IFERROR(_xlfn.SWITCH(L2500,1,_xlfn.XLOOKUP(C2500,[1]AttributeName!$C:$C,[1]AttributeName!$I:$I),2,_xlfn.XLOOKUP(C2500,[1]ModifierDes!$B:$B,[1]ModifierDes!$C:$C),3,_xlfn.XLOOKUP(C2500,[1]StuntDes!$B:$B,[1]StuntDes!$C:$C)),"")</f>
        <v>旋风斩的冷却时间降至0，但伤害额外降低60%</v>
      </c>
      <c r="L2500">
        <f t="shared" si="188"/>
        <v>2</v>
      </c>
      <c r="M2500" s="10" t="str">
        <f>IFERROR(_xlfn.XLOOKUP(C2500,[1]StuntDes!$B:$B,[1]StuntDes!$A:$A),"")</f>
        <v/>
      </c>
      <c r="N2500" s="10">
        <f>IFERROR(_xlfn.XLOOKUP(C2500,[1]ModifierDes!$B:$B,[1]ModifierDes!$A:$A),"")</f>
        <v>10078</v>
      </c>
      <c r="O2500" s="10" t="str">
        <f>IFERROR(_xlfn.XLOOKUP(C2500,[1]AttributeName!$C:$C,[1]AttributeName!$B:$B),"")</f>
        <v/>
      </c>
      <c r="P2500" s="10"/>
      <c r="Q2500">
        <v>0</v>
      </c>
      <c r="R2500">
        <v>0</v>
      </c>
      <c r="S2500" cm="1">
        <f t="array" ref="S2500">IFERROR(_xlfn.SWITCH(L2500,1,_xlfn.XLOOKUP(O2500,[1]AttributeName!$B:$B,[1]AttributeName!$D:$D),2,_xlfn.XLOOKUP(C2500,[1]ModifierDes!$B:$B,[1]ModifierDes!$D:$D),3,_xlfn.XLOOKUP(C2500,[1]StuntDes!$B:$B,[1]StuntDes!$D:$D)),0)</f>
        <v>2</v>
      </c>
      <c r="T2500" cm="1">
        <f t="array" ref="T2500">IFERROR(_xlfn.SWITCH(L2500,1,_xlfn.XLOOKUP(O2500,[1]AttributeName!$B:$B,[1]AttributeName!$E:$E),2,_xlfn.XLOOKUP(C2500,[1]ModifierDes!$B:$B,[1]ModifierDes!$E:$E),3,_xlfn.XLOOKUP(C2500,[1]StuntDes!$B:$B,[1]StuntDes!$E:$E)),0)</f>
        <v>2</v>
      </c>
    </row>
    <row r="2501" customFormat="1" spans="1:20">
      <c r="A2501">
        <v>100205</v>
      </c>
      <c r="B2501">
        <v>1</v>
      </c>
      <c r="C2501" t="s">
        <v>435</v>
      </c>
      <c r="D2501" t="s">
        <v>204</v>
      </c>
      <c r="E2501" t="s">
        <v>468</v>
      </c>
      <c r="H2501">
        <v>1000</v>
      </c>
      <c r="J2501">
        <v>1</v>
      </c>
      <c r="K2501" t="str" cm="1">
        <f t="array" ref="K2501">IFERROR(_xlfn.SWITCH(L2501,1,_xlfn.XLOOKUP(C2501,[1]AttributeName!$C:$C,[1]AttributeName!$I:$I),2,_xlfn.XLOOKUP(C2501,[1]ModifierDes!$B:$B,[1]ModifierDes!$C:$C),3,_xlfn.XLOOKUP(C2501,[1]StuntDes!$B:$B,[1]StuntDes!$C:$C)),"")</f>
        <v>范围效果提高{0}</v>
      </c>
      <c r="L2501">
        <f t="shared" si="188"/>
        <v>2</v>
      </c>
      <c r="M2501" s="10" t="str">
        <f>IFERROR(_xlfn.XLOOKUP(C2501,[1]StuntDes!$B:$B,[1]StuntDes!$A:$A),"")</f>
        <v/>
      </c>
      <c r="N2501" s="10">
        <f>IFERROR(_xlfn.XLOOKUP(C2501,[1]ModifierDes!$B:$B,[1]ModifierDes!$A:$A),"")</f>
        <v>10032</v>
      </c>
      <c r="Q2501">
        <v>0.1</v>
      </c>
      <c r="R2501">
        <v>0.2</v>
      </c>
      <c r="S2501" cm="1">
        <f t="array" ref="S2501">IFERROR(_xlfn.SWITCH(L2501,1,_xlfn.XLOOKUP(O2501,[1]AttributeName!$B:$B,[1]AttributeName!$D:$D),2,_xlfn.XLOOKUP(C2501,[1]ModifierDes!$B:$B,[1]ModifierDes!$D:$D),3,_xlfn.XLOOKUP(C2501,[1]StuntDes!$B:$B,[1]StuntDes!$D:$D)),0)</f>
        <v>2</v>
      </c>
      <c r="T2501" cm="1">
        <f t="array" ref="T2501">IFERROR(_xlfn.SWITCH(L2501,1,_xlfn.XLOOKUP(O2501,[1]AttributeName!$B:$B,[1]AttributeName!$E:$E),2,_xlfn.XLOOKUP(C2501,[1]ModifierDes!$B:$B,[1]ModifierDes!$E:$E),3,_xlfn.XLOOKUP(C2501,[1]StuntDes!$B:$B,[1]StuntDes!$E:$E)),0)</f>
        <v>2</v>
      </c>
    </row>
    <row r="2502" customFormat="1" spans="1:20">
      <c r="A2502">
        <v>100301</v>
      </c>
      <c r="B2502">
        <v>1</v>
      </c>
      <c r="C2502" t="s">
        <v>407</v>
      </c>
      <c r="D2502" t="s">
        <v>160</v>
      </c>
      <c r="E2502" t="s">
        <v>468</v>
      </c>
      <c r="H2502">
        <v>1000</v>
      </c>
      <c r="J2502">
        <v>1</v>
      </c>
      <c r="K2502" t="str" cm="1">
        <f t="array" ref="K2502">IFERROR(_xlfn.SWITCH(L2502,1,_xlfn.XLOOKUP(C2502,[1]AttributeName!$C:$C,[1]AttributeName!$I:$I),2,_xlfn.XLOOKUP(C2502,[1]ModifierDes!$B:$B,[1]ModifierDes!$C:$C),3,_xlfn.XLOOKUP(C2502,[1]StuntDes!$B:$B,[1]StuntDes!$C:$C)),"")</f>
        <v>基础生命增加{0}</v>
      </c>
      <c r="L2502">
        <f t="shared" si="188"/>
        <v>1</v>
      </c>
      <c r="M2502" s="10" t="str">
        <f>IFERROR(_xlfn.XLOOKUP(C2502,[1]StuntDes!$B:$B,[1]StuntDes!$A:$A),"")</f>
        <v/>
      </c>
      <c r="N2502" s="10" t="str">
        <f>IFERROR(_xlfn.XLOOKUP(C2502,[1]ModifierDes!$B:$B,[1]ModifierDes!$A:$A),"")</f>
        <v/>
      </c>
      <c r="O2502" s="10">
        <f>IFERROR(_xlfn.XLOOKUP(C2502,[1]AttributeName!$C:$C,[1]AttributeName!$B:$B),"")</f>
        <v>10001</v>
      </c>
      <c r="P2502" s="10"/>
      <c r="Q2502">
        <v>500</v>
      </c>
      <c r="R2502">
        <v>700</v>
      </c>
      <c r="S2502" cm="1">
        <f t="array" ref="S2502">IFERROR(_xlfn.SWITCH(L2502,1,_xlfn.XLOOKUP(O2502,[1]AttributeName!$B:$B,[1]AttributeName!$D:$D),2,_xlfn.XLOOKUP(C2502,[1]ModifierDes!$B:$B,[1]ModifierDes!$D:$D),3,_xlfn.XLOOKUP(C2502,[1]StuntDes!$B:$B,[1]StuntDes!$D:$D)),0)</f>
        <v>0</v>
      </c>
      <c r="T2502" cm="1">
        <f t="array" ref="T2502">IFERROR(_xlfn.SWITCH(L2502,1,_xlfn.XLOOKUP(O2502,[1]AttributeName!$B:$B,[1]AttributeName!$E:$E),2,_xlfn.XLOOKUP(C2502,[1]ModifierDes!$B:$B,[1]ModifierDes!$E:$E),3,_xlfn.XLOOKUP(C2502,[1]StuntDes!$B:$B,[1]StuntDes!$E:$E)),0)</f>
        <v>1</v>
      </c>
    </row>
    <row r="2503" customFormat="1" spans="1:20">
      <c r="A2503">
        <v>100302</v>
      </c>
      <c r="B2503">
        <v>1</v>
      </c>
      <c r="C2503" t="s">
        <v>452</v>
      </c>
      <c r="D2503" t="s">
        <v>160</v>
      </c>
      <c r="E2503" t="s">
        <v>468</v>
      </c>
      <c r="H2503">
        <v>1000</v>
      </c>
      <c r="J2503">
        <v>1</v>
      </c>
      <c r="K2503" t="str" cm="1">
        <f t="array" ref="K2503">IFERROR(_xlfn.SWITCH(L2503,1,_xlfn.XLOOKUP(C2503,[1]AttributeName!$C:$C,[1]AttributeName!$I:$I),2,_xlfn.XLOOKUP(C2503,[1]ModifierDes!$B:$B,[1]ModifierDes!$C:$C),3,_xlfn.XLOOKUP(C2503,[1]StuntDes!$B:$B,[1]StuntDes!$C:$C)),"")</f>
        <v>元素抗性增加{0}</v>
      </c>
      <c r="L2503">
        <f t="shared" si="188"/>
        <v>1</v>
      </c>
      <c r="M2503" s="10" t="str">
        <f>IFERROR(_xlfn.XLOOKUP(C2503,[1]StuntDes!$B:$B,[1]StuntDes!$A:$A),"")</f>
        <v/>
      </c>
      <c r="N2503" s="10" t="str">
        <f>IFERROR(_xlfn.XLOOKUP(C2503,[1]ModifierDes!$B:$B,[1]ModifierDes!$A:$A),"")</f>
        <v/>
      </c>
      <c r="O2503" s="10">
        <f>IFERROR(_xlfn.XLOOKUP(C2503,[1]AttributeName!$C:$C,[1]AttributeName!$B:$B),"")</f>
        <v>10316</v>
      </c>
      <c r="P2503" s="10"/>
      <c r="Q2503">
        <v>0.12</v>
      </c>
      <c r="R2503">
        <v>0.16</v>
      </c>
      <c r="S2503" cm="1">
        <f t="array" ref="S2503">IFERROR(_xlfn.SWITCH(L2503,1,_xlfn.XLOOKUP(O2503,[1]AttributeName!$B:$B,[1]AttributeName!$D:$D),2,_xlfn.XLOOKUP(C2503,[1]ModifierDes!$B:$B,[1]ModifierDes!$D:$D),3,_xlfn.XLOOKUP(C2503,[1]StuntDes!$B:$B,[1]StuntDes!$D:$D)),0)</f>
        <v>2</v>
      </c>
      <c r="T2503" cm="1">
        <f t="array" ref="T2503">IFERROR(_xlfn.SWITCH(L2503,1,_xlfn.XLOOKUP(O2503,[1]AttributeName!$B:$B,[1]AttributeName!$E:$E),2,_xlfn.XLOOKUP(C2503,[1]ModifierDes!$B:$B,[1]ModifierDes!$E:$E),3,_xlfn.XLOOKUP(C2503,[1]StuntDes!$B:$B,[1]StuntDes!$E:$E)),0)</f>
        <v>2</v>
      </c>
    </row>
    <row r="2504" customFormat="1" spans="1:20">
      <c r="A2504">
        <v>100303</v>
      </c>
      <c r="B2504">
        <v>1</v>
      </c>
      <c r="C2504" s="13" t="s">
        <v>471</v>
      </c>
      <c r="D2504" t="s">
        <v>160</v>
      </c>
      <c r="E2504" t="s">
        <v>468</v>
      </c>
      <c r="H2504">
        <v>1000</v>
      </c>
      <c r="J2504">
        <v>1</v>
      </c>
      <c r="K2504" t="str" cm="1">
        <f t="array" ref="K2504">IFERROR(_xlfn.SWITCH(L2504,1,_xlfn.XLOOKUP(C2504,[1]AttributeName!$C:$C,[1]AttributeName!$I:$I),2,_xlfn.XLOOKUP(C2504,[1]ModifierDes!$B:$B,[1]ModifierDes!$C:$C),3,_xlfn.XLOOKUP(C2504,[1]StuntDes!$B:$B,[1]StuntDes!$C:$C)),"")</f>
        <v>获得闪电之捷</v>
      </c>
      <c r="L2504">
        <f t="shared" si="188"/>
        <v>3</v>
      </c>
      <c r="M2504" s="10">
        <f>IFERROR(_xlfn.XLOOKUP(C2504,[1]StuntDes!$B:$B,[1]StuntDes!$A:$A),"")</f>
        <v>2110000010</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100304</v>
      </c>
      <c r="B2505">
        <v>1</v>
      </c>
      <c r="C2505" t="s">
        <v>472</v>
      </c>
      <c r="D2505" t="s">
        <v>160</v>
      </c>
      <c r="E2505" t="s">
        <v>468</v>
      </c>
      <c r="H2505">
        <v>1000</v>
      </c>
      <c r="J2505">
        <v>1</v>
      </c>
      <c r="K2505" t="str" cm="1">
        <f t="array" ref="K2505">IFERROR(_xlfn.SWITCH(L2505,1,_xlfn.XLOOKUP(C2505,[1]AttributeName!$C:$C,[1]AttributeName!$I:$I),2,_xlfn.XLOOKUP(C2505,[1]ModifierDes!$B:$B,[1]ModifierDes!$C:$C),3,_xlfn.XLOOKUP(C2505,[1]StuntDes!$B:$B,[1]StuntDes!$C:$C)),"")</f>
        <v>获得灰烬之捷</v>
      </c>
      <c r="L2505">
        <f t="shared" si="188"/>
        <v>3</v>
      </c>
      <c r="M2505" s="10">
        <f>IFERROR(_xlfn.XLOOKUP(C2505,[1]StuntDes!$B:$B,[1]StuntDes!$A:$A),"")</f>
        <v>2110000020</v>
      </c>
      <c r="N2505" s="10" t="str">
        <f>IFERROR(_xlfn.XLOOKUP(C2505,[1]ModifierDes!$B:$B,[1]ModifierDes!$A:$A),"")</f>
        <v/>
      </c>
      <c r="O2505" s="10" t="str">
        <f>IFERROR(_xlfn.XLOOKUP(C2505,[1]AttributeName!$C:$C,[1]AttributeName!$B:$B),"")</f>
        <v/>
      </c>
      <c r="P2505" s="10"/>
      <c r="Q2505">
        <v>0</v>
      </c>
      <c r="R2505">
        <v>0</v>
      </c>
      <c r="S2505" cm="1">
        <f t="array" ref="S2505">IFERROR(_xlfn.SWITCH(L2505,1,_xlfn.XLOOKUP(O2505,[1]AttributeName!$B:$B,[1]AttributeName!$D:$D),2,_xlfn.XLOOKUP(C2505,[1]ModifierDes!$B:$B,[1]ModifierDes!$D:$D),3,_xlfn.XLOOKUP(C2505,[1]StuntDes!$B:$B,[1]StuntDes!$D:$D)),0)</f>
        <v>0</v>
      </c>
      <c r="T2505" cm="1">
        <f t="array" ref="T2505">IFERROR(_xlfn.SWITCH(L2505,1,_xlfn.XLOOKUP(O2505,[1]AttributeName!$B:$B,[1]AttributeName!$E:$E),2,_xlfn.XLOOKUP(C2505,[1]ModifierDes!$B:$B,[1]ModifierDes!$E:$E),3,_xlfn.XLOOKUP(C2505,[1]StuntDes!$B:$B,[1]StuntDes!$E:$E)),0)</f>
        <v>0</v>
      </c>
    </row>
    <row r="2506" customFormat="1" spans="1:20">
      <c r="A2506">
        <v>100305</v>
      </c>
      <c r="B2506">
        <v>1</v>
      </c>
      <c r="C2506" t="s">
        <v>473</v>
      </c>
      <c r="D2506" t="s">
        <v>160</v>
      </c>
      <c r="E2506" t="s">
        <v>468</v>
      </c>
      <c r="H2506">
        <v>1000</v>
      </c>
      <c r="J2506">
        <v>1</v>
      </c>
      <c r="K2506" t="str" cm="1">
        <f t="array" ref="K2506">IFERROR(_xlfn.SWITCH(L2506,1,_xlfn.XLOOKUP(C2506,[1]AttributeName!$C:$C,[1]AttributeName!$I:$I),2,_xlfn.XLOOKUP(C2506,[1]ModifierDes!$B:$B,[1]ModifierDes!$C:$C),3,_xlfn.XLOOKUP(C2506,[1]StuntDes!$B:$B,[1]StuntDes!$C:$C)),"")</f>
        <v>获得冰霜之捷</v>
      </c>
      <c r="L2506">
        <f t="shared" si="188"/>
        <v>3</v>
      </c>
      <c r="M2506" s="10">
        <f>IFERROR(_xlfn.XLOOKUP(C2506,[1]StuntDes!$B:$B,[1]StuntDes!$A:$A),"")</f>
        <v>2110000030</v>
      </c>
      <c r="N2506" s="10" t="str">
        <f>IFERROR(_xlfn.XLOOKUP(C2506,[1]ModifierDes!$B:$B,[1]ModifierDes!$A:$A),"")</f>
        <v/>
      </c>
      <c r="O2506" s="10" t="str">
        <f>IFERROR(_xlfn.XLOOKUP(C2506,[1]AttributeName!$C:$C,[1]AttributeName!$B:$B),"")</f>
        <v/>
      </c>
      <c r="P2506" s="10"/>
      <c r="Q2506">
        <v>0</v>
      </c>
      <c r="R2506">
        <v>0</v>
      </c>
      <c r="S2506" cm="1">
        <f t="array" ref="S2506">IFERROR(_xlfn.SWITCH(L2506,1,_xlfn.XLOOKUP(O2506,[1]AttributeName!$B:$B,[1]AttributeName!$D:$D),2,_xlfn.XLOOKUP(C2506,[1]ModifierDes!$B:$B,[1]ModifierDes!$D:$D),3,_xlfn.XLOOKUP(C2506,[1]StuntDes!$B:$B,[1]StuntDes!$D:$D)),0)</f>
        <v>0</v>
      </c>
      <c r="T2506" cm="1">
        <f t="array" ref="T2506">IFERROR(_xlfn.SWITCH(L2506,1,_xlfn.XLOOKUP(O2506,[1]AttributeName!$B:$B,[1]AttributeName!$E:$E),2,_xlfn.XLOOKUP(C2506,[1]ModifierDes!$B:$B,[1]ModifierDes!$E:$E),3,_xlfn.XLOOKUP(C2506,[1]StuntDes!$B:$B,[1]StuntDes!$E:$E)),0)</f>
        <v>0</v>
      </c>
    </row>
    <row r="2507" customFormat="1" spans="1:20">
      <c r="A2507">
        <v>100401</v>
      </c>
      <c r="B2507">
        <v>1</v>
      </c>
      <c r="C2507" s="13" t="s">
        <v>407</v>
      </c>
      <c r="D2507" t="s">
        <v>171</v>
      </c>
      <c r="E2507" t="s">
        <v>468</v>
      </c>
      <c r="H2507">
        <v>1000</v>
      </c>
      <c r="J2507">
        <v>1</v>
      </c>
      <c r="K2507" t="str" cm="1">
        <f t="array" ref="K2507">IFERROR(_xlfn.SWITCH(L2507,1,_xlfn.XLOOKUP(C2507,[1]AttributeName!$C:$C,[1]AttributeName!$I:$I),2,_xlfn.XLOOKUP(C2507,[1]ModifierDes!$B:$B,[1]ModifierDes!$C:$C),3,_xlfn.XLOOKUP(C2507,[1]StuntDes!$B:$B,[1]StuntDes!$C:$C)),"")</f>
        <v>基础生命增加{0}</v>
      </c>
      <c r="L2507">
        <f t="shared" si="188"/>
        <v>1</v>
      </c>
      <c r="M2507" s="10" t="str">
        <f>IFERROR(_xlfn.XLOOKUP(C2507,[1]StuntDes!$B:$B,[1]StuntDes!$A:$A),"")</f>
        <v/>
      </c>
      <c r="N2507" s="10" t="str">
        <f>IFERROR(_xlfn.XLOOKUP(C2507,[1]ModifierDes!$B:$B,[1]ModifierDes!$A:$A),"")</f>
        <v/>
      </c>
      <c r="O2507" s="10">
        <f>IFERROR(_xlfn.XLOOKUP(C2507,[1]AttributeName!$C:$C,[1]AttributeName!$B:$B),"")</f>
        <v>10001</v>
      </c>
      <c r="P2507" s="10"/>
      <c r="Q2507">
        <v>400</v>
      </c>
      <c r="R2507">
        <v>600</v>
      </c>
      <c r="S2507" cm="1">
        <f t="array" ref="S2507">IFERROR(_xlfn.SWITCH(L2507,1,_xlfn.XLOOKUP(O2507,[1]AttributeName!$B:$B,[1]AttributeName!$D:$D),2,_xlfn.XLOOKUP(C2507,[1]ModifierDes!$B:$B,[1]ModifierDes!$D:$D),3,_xlfn.XLOOKUP(C2507,[1]StuntDes!$B:$B,[1]StuntDes!$D:$D)),0)</f>
        <v>0</v>
      </c>
      <c r="T2507" cm="1">
        <f t="array" ref="T2507">IFERROR(_xlfn.SWITCH(L2507,1,_xlfn.XLOOKUP(O2507,[1]AttributeName!$B:$B,[1]AttributeName!$E:$E),2,_xlfn.XLOOKUP(C2507,[1]ModifierDes!$B:$B,[1]ModifierDes!$E:$E),3,_xlfn.XLOOKUP(C2507,[1]StuntDes!$B:$B,[1]StuntDes!$E:$E)),0)</f>
        <v>1</v>
      </c>
    </row>
    <row r="2508" customFormat="1" spans="1:20">
      <c r="A2508">
        <v>100403</v>
      </c>
      <c r="B2508">
        <v>1</v>
      </c>
      <c r="C2508" s="13" t="s">
        <v>447</v>
      </c>
      <c r="D2508" t="s">
        <v>171</v>
      </c>
      <c r="E2508" t="s">
        <v>468</v>
      </c>
      <c r="H2508">
        <v>1000</v>
      </c>
      <c r="J2508">
        <v>1</v>
      </c>
      <c r="K2508" t="str" cm="1">
        <f t="array" ref="K2508">IFERROR(_xlfn.SWITCH(L2508,1,_xlfn.XLOOKUP(C2508,[1]AttributeName!$C:$C,[1]AttributeName!$I:$I),2,_xlfn.XLOOKUP(C2508,[1]ModifierDes!$B:$B,[1]ModifierDes!$C:$C),3,_xlfn.XLOOKUP(C2508,[1]StuntDes!$B:$B,[1]StuntDes!$C:$C)),"")</f>
        <v>移速提高增加{0}</v>
      </c>
      <c r="L2508">
        <f t="shared" si="188"/>
        <v>1</v>
      </c>
      <c r="M2508" s="10" t="str">
        <f>IFERROR(_xlfn.XLOOKUP(C2508,[1]StuntDes!$B:$B,[1]StuntDes!$A:$A),"")</f>
        <v/>
      </c>
      <c r="N2508" s="10" t="str">
        <f>IFERROR(_xlfn.XLOOKUP(C2508,[1]ModifierDes!$B:$B,[1]ModifierDes!$A:$A),"")</f>
        <v/>
      </c>
      <c r="O2508" s="10">
        <f>IFERROR(_xlfn.XLOOKUP(C2508,[1]AttributeName!$C:$C,[1]AttributeName!$B:$B),"")</f>
        <v>10007</v>
      </c>
      <c r="P2508" s="10"/>
      <c r="Q2508">
        <v>0.45</v>
      </c>
      <c r="R2508">
        <v>0.75</v>
      </c>
      <c r="S2508" cm="1">
        <f t="array" ref="S2508">IFERROR(_xlfn.SWITCH(L2508,1,_xlfn.XLOOKUP(O2508,[1]AttributeName!$B:$B,[1]AttributeName!$D:$D),2,_xlfn.XLOOKUP(C2508,[1]ModifierDes!$B:$B,[1]ModifierDes!$D:$D),3,_xlfn.XLOOKUP(C2508,[1]StuntDes!$B:$B,[1]StuntDes!$D:$D)),0)</f>
        <v>2</v>
      </c>
      <c r="T2508" cm="1">
        <f t="array" ref="T2508">IFERROR(_xlfn.SWITCH(L2508,1,_xlfn.XLOOKUP(O2508,[1]AttributeName!$B:$B,[1]AttributeName!$E:$E),2,_xlfn.XLOOKUP(C2508,[1]ModifierDes!$B:$B,[1]ModifierDes!$E:$E),3,_xlfn.XLOOKUP(C2508,[1]StuntDes!$B:$B,[1]StuntDes!$E:$E)),0)</f>
        <v>2</v>
      </c>
    </row>
    <row r="2509" customFormat="1" spans="1:20">
      <c r="A2509">
        <v>100404</v>
      </c>
      <c r="B2509">
        <v>1</v>
      </c>
      <c r="C2509" s="13" t="s">
        <v>441</v>
      </c>
      <c r="D2509" t="s">
        <v>171</v>
      </c>
      <c r="E2509" t="s">
        <v>468</v>
      </c>
      <c r="H2509">
        <v>1000</v>
      </c>
      <c r="J2509">
        <v>1</v>
      </c>
      <c r="K2509" t="str" cm="1">
        <f t="array" ref="K2509">IFERROR(_xlfn.SWITCH(L2509,1,_xlfn.XLOOKUP(C2509,[1]AttributeName!$C:$C,[1]AttributeName!$I:$I),2,_xlfn.XLOOKUP(C2509,[1]ModifierDes!$B:$B,[1]ModifierDes!$C:$C),3,_xlfn.XLOOKUP(C2509,[1]StuntDes!$B:$B,[1]StuntDes!$C:$C)),"")</f>
        <v>混沌抗性增加{0}</v>
      </c>
      <c r="L2509">
        <f t="shared" si="188"/>
        <v>1</v>
      </c>
      <c r="M2509" s="10" t="str">
        <f>IFERROR(_xlfn.XLOOKUP(C2509,[1]StuntDes!$B:$B,[1]StuntDes!$A:$A),"")</f>
        <v/>
      </c>
      <c r="N2509" s="10" t="str">
        <f>IFERROR(_xlfn.XLOOKUP(C2509,[1]ModifierDes!$B:$B,[1]ModifierDes!$A:$A),"")</f>
        <v/>
      </c>
      <c r="O2509" s="10">
        <f>IFERROR(_xlfn.XLOOKUP(C2509,[1]AttributeName!$C:$C,[1]AttributeName!$B:$B),"")</f>
        <v>10315</v>
      </c>
      <c r="P2509" s="10"/>
      <c r="Q2509">
        <v>0.5</v>
      </c>
      <c r="R2509">
        <v>0.15</v>
      </c>
      <c r="S2509" cm="1">
        <f t="array" ref="S2509">IFERROR(_xlfn.SWITCH(L2509,1,_xlfn.XLOOKUP(O2509,[1]AttributeName!$B:$B,[1]AttributeName!$D:$D),2,_xlfn.XLOOKUP(C2509,[1]ModifierDes!$B:$B,[1]ModifierDes!$D:$D),3,_xlfn.XLOOKUP(C2509,[1]StuntDes!$B:$B,[1]StuntDes!$D:$D)),0)</f>
        <v>2</v>
      </c>
      <c r="T2509" cm="1">
        <f t="array" ref="T2509">IFERROR(_xlfn.SWITCH(L2509,1,_xlfn.XLOOKUP(O2509,[1]AttributeName!$B:$B,[1]AttributeName!$E:$E),2,_xlfn.XLOOKUP(C2509,[1]ModifierDes!$B:$B,[1]ModifierDes!$E:$E),3,_xlfn.XLOOKUP(C2509,[1]StuntDes!$B:$B,[1]StuntDes!$E:$E)),0)</f>
        <v>2</v>
      </c>
    </row>
    <row r="2510" customFormat="1" spans="1:20">
      <c r="A2510">
        <v>100501</v>
      </c>
      <c r="B2510">
        <v>1</v>
      </c>
      <c r="C2510" s="13" t="s">
        <v>401</v>
      </c>
      <c r="D2510" t="s">
        <v>180</v>
      </c>
      <c r="E2510" t="s">
        <v>468</v>
      </c>
      <c r="H2510">
        <v>1000</v>
      </c>
      <c r="J2510">
        <v>1</v>
      </c>
      <c r="K2510" t="str" cm="1">
        <f t="array" ref="K2510">IFERROR(_xlfn.SWITCH(L2510,1,_xlfn.XLOOKUP(C2510,[1]AttributeName!$C:$C,[1]AttributeName!$I:$I),2,_xlfn.XLOOKUP(C2510,[1]ModifierDes!$B:$B,[1]ModifierDes!$C:$C),3,_xlfn.XLOOKUP(C2510,[1]StuntDes!$B:$B,[1]StuntDes!$C:$C)),"")</f>
        <v>获得闪电伤害{0}</v>
      </c>
      <c r="L2510">
        <f t="shared" si="188"/>
        <v>1</v>
      </c>
      <c r="M2510" s="10" t="str">
        <f>IFERROR(_xlfn.XLOOKUP(C2510,[1]StuntDes!$B:$B,[1]StuntDes!$A:$A),"")</f>
        <v/>
      </c>
      <c r="N2510" s="10" t="str">
        <f>IFERROR(_xlfn.XLOOKUP(C2510,[1]ModifierDes!$B:$B,[1]ModifierDes!$A:$A),"")</f>
        <v/>
      </c>
      <c r="O2510" s="10">
        <f>IFERROR(_xlfn.XLOOKUP(C2510,[1]AttributeName!$C:$C,[1]AttributeName!$B:$B),"")</f>
        <v>10503</v>
      </c>
      <c r="P2510" s="10"/>
      <c r="Q2510">
        <v>0.15</v>
      </c>
      <c r="R2510">
        <v>0.25</v>
      </c>
      <c r="S2510" cm="1">
        <f t="array" ref="S2510">IFERROR(_xlfn.SWITCH(L2510,1,_xlfn.XLOOKUP(O2510,[1]AttributeName!$B:$B,[1]AttributeName!$D:$D),2,_xlfn.XLOOKUP(C2510,[1]ModifierDes!$B:$B,[1]ModifierDes!$D:$D),3,_xlfn.XLOOKUP(C2510,[1]StuntDes!$B:$B,[1]StuntDes!$D:$D)),0)</f>
        <v>2</v>
      </c>
      <c r="T2510" cm="1">
        <f t="array" ref="T2510">IFERROR(_xlfn.SWITCH(L2510,1,_xlfn.XLOOKUP(O2510,[1]AttributeName!$B:$B,[1]AttributeName!$E:$E),2,_xlfn.XLOOKUP(C2510,[1]ModifierDes!$B:$B,[1]ModifierDes!$E:$E),3,_xlfn.XLOOKUP(C2510,[1]StuntDes!$B:$B,[1]StuntDes!$E:$E)),0)</f>
        <v>2</v>
      </c>
    </row>
    <row r="2511" customFormat="1" spans="1:20">
      <c r="A2511">
        <v>100502</v>
      </c>
      <c r="B2511">
        <v>1</v>
      </c>
      <c r="C2511" t="s">
        <v>418</v>
      </c>
      <c r="D2511" t="s">
        <v>180</v>
      </c>
      <c r="E2511" t="s">
        <v>468</v>
      </c>
      <c r="H2511">
        <v>1000</v>
      </c>
      <c r="J2511">
        <v>1</v>
      </c>
      <c r="K2511" t="str" cm="1">
        <f t="array" ref="K2511">IFERROR(_xlfn.SWITCH(L2511,1,_xlfn.XLOOKUP(C2511,[1]AttributeName!$C:$C,[1]AttributeName!$I:$I),2,_xlfn.XLOOKUP(C2511,[1]ModifierDes!$B:$B,[1]ModifierDes!$C:$C),3,_xlfn.XLOOKUP(C2511,[1]StuntDes!$B:$B,[1]StuntDes!$C:$C)),"")</f>
        <v>攻击速度提高{0}</v>
      </c>
      <c r="L2511">
        <f t="shared" si="188"/>
        <v>2</v>
      </c>
      <c r="M2511" s="10" t="str">
        <f>IFERROR(_xlfn.XLOOKUP(C2511,[1]StuntDes!$B:$B,[1]StuntDes!$A:$A),"")</f>
        <v/>
      </c>
      <c r="N2511" s="10">
        <f>IFERROR(_xlfn.XLOOKUP(C2511,[1]ModifierDes!$B:$B,[1]ModifierDes!$A:$A),"")</f>
        <v>10031</v>
      </c>
      <c r="O2511" s="10"/>
      <c r="P2511" s="10"/>
      <c r="Q2511">
        <v>0.1</v>
      </c>
      <c r="R2511">
        <v>0.2</v>
      </c>
      <c r="S2511" cm="1">
        <f t="array" ref="S2511">IFERROR(_xlfn.SWITCH(L2511,1,_xlfn.XLOOKUP(O2511,[1]AttributeName!$B:$B,[1]AttributeName!$D:$D),2,_xlfn.XLOOKUP(C2511,[1]ModifierDes!$B:$B,[1]ModifierDes!$D:$D),3,_xlfn.XLOOKUP(C2511,[1]StuntDes!$B:$B,[1]StuntDes!$D:$D)),0)</f>
        <v>2</v>
      </c>
      <c r="T2511" cm="1">
        <f t="array" ref="T2511">IFERROR(_xlfn.SWITCH(L2511,1,_xlfn.XLOOKUP(O2511,[1]AttributeName!$B:$B,[1]AttributeName!$E:$E),2,_xlfn.XLOOKUP(C2511,[1]ModifierDes!$B:$B,[1]ModifierDes!$E:$E),3,_xlfn.XLOOKUP(C2511,[1]StuntDes!$B:$B,[1]StuntDes!$E:$E)),0)</f>
        <v>2</v>
      </c>
    </row>
    <row r="2512" customFormat="1" spans="1:20">
      <c r="A2512">
        <v>100503</v>
      </c>
      <c r="B2512">
        <v>1</v>
      </c>
      <c r="C2512" s="13" t="s">
        <v>421</v>
      </c>
      <c r="D2512" t="s">
        <v>180</v>
      </c>
      <c r="E2512" t="s">
        <v>468</v>
      </c>
      <c r="H2512">
        <v>1000</v>
      </c>
      <c r="J2512">
        <v>1</v>
      </c>
      <c r="K2512" t="str" cm="1">
        <f t="array" ref="K2512">IFERROR(_xlfn.SWITCH(L2512,1,_xlfn.XLOOKUP(C2512,[1]AttributeName!$C:$C,[1]AttributeName!$I:$I),2,_xlfn.XLOOKUP(C2512,[1]ModifierDes!$B:$B,[1]ModifierDes!$C:$C),3,_xlfn.XLOOKUP(C2512,[1]StuntDes!$B:$B,[1]StuntDes!$C:$C)),"")</f>
        <v>感电概率提高增加{0}</v>
      </c>
      <c r="L2512">
        <f t="shared" si="188"/>
        <v>1</v>
      </c>
      <c r="M2512" s="10" t="str">
        <f>IFERROR(_xlfn.XLOOKUP(C2512,[1]StuntDes!$B:$B,[1]StuntDes!$A:$A),"")</f>
        <v/>
      </c>
      <c r="N2512" s="10" t="str">
        <f>IFERROR(_xlfn.XLOOKUP(C2512,[1]ModifierDes!$B:$B,[1]ModifierDes!$A:$A),"")</f>
        <v/>
      </c>
      <c r="O2512" s="10">
        <f>IFERROR(_xlfn.XLOOKUP(C2512,[1]AttributeName!$C:$C,[1]AttributeName!$B:$B),"")</f>
        <v>11009</v>
      </c>
      <c r="P2512" s="10"/>
      <c r="Q2512">
        <v>0.2</v>
      </c>
      <c r="R2512">
        <v>0.4</v>
      </c>
      <c r="S2512" cm="1">
        <f t="array" ref="S2512">IFERROR(_xlfn.SWITCH(L2512,1,_xlfn.XLOOKUP(O2512,[1]AttributeName!$B:$B,[1]AttributeName!$D:$D),2,_xlfn.XLOOKUP(C2512,[1]ModifierDes!$B:$B,[1]ModifierDes!$D:$D),3,_xlfn.XLOOKUP(C2512,[1]StuntDes!$B:$B,[1]StuntDes!$D:$D)),0)</f>
        <v>2</v>
      </c>
      <c r="T2512" cm="1">
        <f t="array" ref="T2512">IFERROR(_xlfn.SWITCH(L2512,1,_xlfn.XLOOKUP(O2512,[1]AttributeName!$B:$B,[1]AttributeName!$E:$E),2,_xlfn.XLOOKUP(C2512,[1]ModifierDes!$B:$B,[1]ModifierDes!$E:$E),3,_xlfn.XLOOKUP(C2512,[1]StuntDes!$B:$B,[1]StuntDes!$E:$E)),0)</f>
        <v>2</v>
      </c>
    </row>
    <row r="2513" customFormat="1" spans="1:20">
      <c r="A2513">
        <v>100504</v>
      </c>
      <c r="B2513">
        <v>1</v>
      </c>
      <c r="C2513" s="13" t="s">
        <v>474</v>
      </c>
      <c r="D2513" t="s">
        <v>180</v>
      </c>
      <c r="E2513" t="s">
        <v>468</v>
      </c>
      <c r="H2513">
        <v>1000</v>
      </c>
      <c r="J2513">
        <v>1</v>
      </c>
      <c r="K2513" t="str" cm="1">
        <f t="array" ref="K2513">IFERROR(_xlfn.SWITCH(L2513,1,_xlfn.XLOOKUP(C2513,[1]AttributeName!$C:$C,[1]AttributeName!$I:$I),2,_xlfn.XLOOKUP(C2513,[1]ModifierDes!$B:$B,[1]ModifierDes!$C:$C),3,_xlfn.XLOOKUP(C2513,[1]StuntDes!$B:$B,[1]StuntDes!$C:$C)),"")</f>
        <v>感电效果比例增加{0}</v>
      </c>
      <c r="L2513">
        <f t="shared" si="188"/>
        <v>1</v>
      </c>
      <c r="M2513" s="10" t="str">
        <f>IFERROR(_xlfn.XLOOKUP(C2513,[1]StuntDes!$B:$B,[1]StuntDes!$A:$A),"")</f>
        <v/>
      </c>
      <c r="N2513" s="10" t="str">
        <f>IFERROR(_xlfn.XLOOKUP(C2513,[1]ModifierDes!$B:$B,[1]ModifierDes!$A:$A),"")</f>
        <v/>
      </c>
      <c r="O2513" s="10">
        <f>IFERROR(_xlfn.XLOOKUP(C2513,[1]AttributeName!$C:$C,[1]AttributeName!$B:$B),"")</f>
        <v>11010</v>
      </c>
      <c r="P2513" s="10"/>
      <c r="Q2513">
        <v>0.35</v>
      </c>
      <c r="R2513">
        <v>0.65</v>
      </c>
      <c r="S2513" cm="1">
        <f t="array" ref="S2513">IFERROR(_xlfn.SWITCH(L2513,1,_xlfn.XLOOKUP(O2513,[1]AttributeName!$B:$B,[1]AttributeName!$D:$D),2,_xlfn.XLOOKUP(C2513,[1]ModifierDes!$B:$B,[1]ModifierDes!$D:$D),3,_xlfn.XLOOKUP(C2513,[1]StuntDes!$B:$B,[1]StuntDes!$D:$D)),0)</f>
        <v>2</v>
      </c>
      <c r="T2513" cm="1">
        <f t="array" ref="T2513">IFERROR(_xlfn.SWITCH(L2513,1,_xlfn.XLOOKUP(O2513,[1]AttributeName!$B:$B,[1]AttributeName!$E:$E),2,_xlfn.XLOOKUP(C2513,[1]ModifierDes!$B:$B,[1]ModifierDes!$E:$E),3,_xlfn.XLOOKUP(C2513,[1]StuntDes!$B:$B,[1]StuntDes!$E:$E)),0)</f>
        <v>2</v>
      </c>
    </row>
    <row r="2514" customFormat="1" spans="1:20">
      <c r="A2514">
        <v>100601</v>
      </c>
      <c r="B2514">
        <v>1</v>
      </c>
      <c r="C2514" s="13" t="s">
        <v>398</v>
      </c>
      <c r="D2514" t="s">
        <v>183</v>
      </c>
      <c r="E2514" t="s">
        <v>468</v>
      </c>
      <c r="H2514">
        <v>1000</v>
      </c>
      <c r="J2514">
        <v>1</v>
      </c>
      <c r="K2514" t="str" cm="1">
        <f t="array" ref="K2514">IFERROR(_xlfn.SWITCH(L2514,1,_xlfn.XLOOKUP(C2514,[1]AttributeName!$C:$C,[1]AttributeName!$I:$I),2,_xlfn.XLOOKUP(C2514,[1]ModifierDes!$B:$B,[1]ModifierDes!$C:$C),3,_xlfn.XLOOKUP(C2514,[1]StuntDes!$B:$B,[1]StuntDes!$C:$C)),"")</f>
        <v>获得物理伤害{0}</v>
      </c>
      <c r="L2514">
        <f t="shared" si="188"/>
        <v>1</v>
      </c>
      <c r="M2514" s="10" t="str">
        <f>IFERROR(_xlfn.XLOOKUP(C2514,[1]StuntDes!$B:$B,[1]StuntDes!$A:$A),"")</f>
        <v/>
      </c>
      <c r="N2514" s="10" t="str">
        <f>IFERROR(_xlfn.XLOOKUP(C2514,[1]ModifierDes!$B:$B,[1]ModifierDes!$A:$A),"")</f>
        <v/>
      </c>
      <c r="O2514" s="10">
        <f>IFERROR(_xlfn.XLOOKUP(C2514,[1]AttributeName!$C:$C,[1]AttributeName!$B:$B),"")</f>
        <v>10500</v>
      </c>
      <c r="P2514" s="10"/>
      <c r="Q2514">
        <v>0.25</v>
      </c>
      <c r="R2514">
        <v>0.45</v>
      </c>
      <c r="S2514" cm="1">
        <f t="array" ref="S2514">IFERROR(_xlfn.SWITCH(L2514,1,_xlfn.XLOOKUP(O2514,[1]AttributeName!$B:$B,[1]AttributeName!$D:$D),2,_xlfn.XLOOKUP(C2514,[1]ModifierDes!$B:$B,[1]ModifierDes!$D:$D),3,_xlfn.XLOOKUP(C2514,[1]StuntDes!$B:$B,[1]StuntDes!$D:$D)),0)</f>
        <v>2</v>
      </c>
      <c r="T2514" cm="1">
        <f t="array" ref="T2514">IFERROR(_xlfn.SWITCH(L2514,1,_xlfn.XLOOKUP(O2514,[1]AttributeName!$B:$B,[1]AttributeName!$E:$E),2,_xlfn.XLOOKUP(C2514,[1]ModifierDes!$B:$B,[1]ModifierDes!$E:$E),3,_xlfn.XLOOKUP(C2514,[1]StuntDes!$B:$B,[1]StuntDes!$E:$E)),0)</f>
        <v>2</v>
      </c>
    </row>
    <row r="2515" customFormat="1" spans="1:20">
      <c r="A2515">
        <v>100602</v>
      </c>
      <c r="B2515">
        <v>1</v>
      </c>
      <c r="C2515" t="s">
        <v>404</v>
      </c>
      <c r="D2515" t="s">
        <v>183</v>
      </c>
      <c r="E2515" t="s">
        <v>468</v>
      </c>
      <c r="H2515">
        <v>1000</v>
      </c>
      <c r="J2515">
        <v>1</v>
      </c>
      <c r="K2515" t="str" cm="1">
        <f t="array" ref="K2515">IFERROR(_xlfn.SWITCH(L2515,1,_xlfn.XLOOKUP(C2515,[1]AttributeName!$C:$C,[1]AttributeName!$I:$I),2,_xlfn.XLOOKUP(C2515,[1]ModifierDes!$B:$B,[1]ModifierDes!$C:$C),3,_xlfn.XLOOKUP(C2515,[1]StuntDes!$B:$B,[1]StuntDes!$C:$C)),"")</f>
        <v>物理伤害提高{0}</v>
      </c>
      <c r="L2515">
        <f t="shared" si="188"/>
        <v>1</v>
      </c>
      <c r="M2515" s="10" t="str">
        <f>IFERROR(_xlfn.XLOOKUP(C2515,[1]StuntDes!$B:$B,[1]StuntDes!$A:$A),"")</f>
        <v/>
      </c>
      <c r="N2515" s="10" t="str">
        <f>IFERROR(_xlfn.XLOOKUP(C2515,[1]ModifierDes!$B:$B,[1]ModifierDes!$A:$A),"")</f>
        <v/>
      </c>
      <c r="O2515" s="10">
        <f>IFERROR(_xlfn.XLOOKUP(C2515,[1]AttributeName!$C:$C,[1]AttributeName!$B:$B),"")</f>
        <v>10303</v>
      </c>
      <c r="P2515" s="10"/>
      <c r="Q2515">
        <v>0.65</v>
      </c>
      <c r="R2515">
        <v>1.05</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100603</v>
      </c>
      <c r="B2516">
        <v>1</v>
      </c>
      <c r="C2516" s="13" t="s">
        <v>475</v>
      </c>
      <c r="D2516" t="s">
        <v>183</v>
      </c>
      <c r="E2516" t="s">
        <v>468</v>
      </c>
      <c r="H2516">
        <v>1000</v>
      </c>
      <c r="J2516">
        <v>1</v>
      </c>
      <c r="K2516" t="str" cm="1">
        <f t="array" ref="K2516">IFERROR(_xlfn.SWITCH(L2516,1,_xlfn.XLOOKUP(C2516,[1]AttributeName!$C:$C,[1]AttributeName!$I:$I),2,_xlfn.XLOOKUP(C2516,[1]ModifierDes!$B:$B,[1]ModifierDes!$C:$C),3,_xlfn.XLOOKUP(C2516,[1]StuntDes!$B:$B,[1]StuntDes!$C:$C)),"")</f>
        <v>物理伤害转冰冷伤害增加{0}</v>
      </c>
      <c r="L2516">
        <f t="shared" si="188"/>
        <v>2</v>
      </c>
      <c r="M2516" s="10" t="str">
        <f>IFERROR(_xlfn.XLOOKUP(C2516,[1]StuntDes!$B:$B,[1]StuntDes!$A:$A),"")</f>
        <v/>
      </c>
      <c r="N2516" s="10">
        <f>IFERROR(_xlfn.XLOOKUP(C2516,[1]ModifierDes!$B:$B,[1]ModifierDes!$A:$A),"")</f>
        <v>10070</v>
      </c>
      <c r="O2516" s="10" t="str">
        <f>IFERROR(_xlfn.XLOOKUP(C2516,[1]AttributeName!$C:$C,[1]AttributeName!$B:$B),"")</f>
        <v/>
      </c>
      <c r="P2516" s="10"/>
      <c r="Q2516">
        <v>1</v>
      </c>
      <c r="R2516">
        <v>1</v>
      </c>
      <c r="S2516" cm="1">
        <f t="array" ref="S2516">IFERROR(_xlfn.SWITCH(L2516,1,_xlfn.XLOOKUP(O2516,[1]AttributeName!$B:$B,[1]AttributeName!$D:$D),2,_xlfn.XLOOKUP(C2516,[1]ModifierDes!$B:$B,[1]ModifierDes!$D:$D),3,_xlfn.XLOOKUP(C2516,[1]StuntDes!$B:$B,[1]StuntDes!$D:$D)),0)</f>
        <v>2</v>
      </c>
      <c r="T2516" cm="1">
        <f t="array" ref="T2516">IFERROR(_xlfn.SWITCH(L2516,1,_xlfn.XLOOKUP(O2516,[1]AttributeName!$B:$B,[1]AttributeName!$E:$E),2,_xlfn.XLOOKUP(C2516,[1]ModifierDes!$B:$B,[1]ModifierDes!$E:$E),3,_xlfn.XLOOKUP(C2516,[1]StuntDes!$B:$B,[1]StuntDes!$E:$E)),0)</f>
        <v>2</v>
      </c>
    </row>
    <row r="2517" customFormat="1" spans="1:20">
      <c r="A2517">
        <v>100604</v>
      </c>
      <c r="B2517">
        <v>1</v>
      </c>
      <c r="C2517" s="13" t="s">
        <v>476</v>
      </c>
      <c r="D2517" t="s">
        <v>183</v>
      </c>
      <c r="E2517" t="s">
        <v>468</v>
      </c>
      <c r="H2517">
        <v>1000</v>
      </c>
      <c r="J2517">
        <v>1</v>
      </c>
      <c r="K2517" t="str" cm="1">
        <f t="array" ref="K2517">IFERROR(_xlfn.SWITCH(L2517,1,_xlfn.XLOOKUP(C2517,[1]AttributeName!$C:$C,[1]AttributeName!$I:$I),2,_xlfn.XLOOKUP(C2517,[1]ModifierDes!$B:$B,[1]ModifierDes!$C:$C),3,_xlfn.XLOOKUP(C2517,[1]StuntDes!$B:$B,[1]StuntDes!$C:$C)),"")</f>
        <v>物理伤害转火焰伤害增加{0}</v>
      </c>
      <c r="L2517">
        <f t="shared" si="188"/>
        <v>2</v>
      </c>
      <c r="M2517" s="10" t="str">
        <f>IFERROR(_xlfn.XLOOKUP(C2517,[1]StuntDes!$B:$B,[1]StuntDes!$A:$A),"")</f>
        <v/>
      </c>
      <c r="N2517" s="10">
        <f>IFERROR(_xlfn.XLOOKUP(C2517,[1]ModifierDes!$B:$B,[1]ModifierDes!$A:$A),"")</f>
        <v>10069</v>
      </c>
      <c r="O2517" s="10" t="str">
        <f>IFERROR(_xlfn.XLOOKUP(C2517,[1]AttributeName!$C:$C,[1]AttributeName!$B:$B),"")</f>
        <v/>
      </c>
      <c r="P2517" s="10"/>
      <c r="Q2517">
        <v>1</v>
      </c>
      <c r="R2517">
        <v>1</v>
      </c>
      <c r="S2517" cm="1">
        <f t="array" ref="S2517">IFERROR(_xlfn.SWITCH(L2517,1,_xlfn.XLOOKUP(O2517,[1]AttributeName!$B:$B,[1]AttributeName!$D:$D),2,_xlfn.XLOOKUP(C2517,[1]ModifierDes!$B:$B,[1]ModifierDes!$D:$D),3,_xlfn.XLOOKUP(C2517,[1]StuntDes!$B:$B,[1]StuntDes!$D:$D)),0)</f>
        <v>2</v>
      </c>
      <c r="T2517" cm="1">
        <f t="array" ref="T2517">IFERROR(_xlfn.SWITCH(L2517,1,_xlfn.XLOOKUP(O2517,[1]AttributeName!$B:$B,[1]AttributeName!$E:$E),2,_xlfn.XLOOKUP(C2517,[1]ModifierDes!$B:$B,[1]ModifierDes!$E:$E),3,_xlfn.XLOOKUP(C2517,[1]StuntDes!$B:$B,[1]StuntDes!$E:$E)),0)</f>
        <v>2</v>
      </c>
    </row>
    <row r="2518" customFormat="1" spans="1:20">
      <c r="A2518">
        <v>100605</v>
      </c>
      <c r="B2518">
        <v>1</v>
      </c>
      <c r="C2518" t="s">
        <v>477</v>
      </c>
      <c r="D2518" t="s">
        <v>183</v>
      </c>
      <c r="E2518" t="s">
        <v>468</v>
      </c>
      <c r="H2518">
        <v>1000</v>
      </c>
      <c r="J2518">
        <v>1</v>
      </c>
      <c r="K2518" t="str" cm="1">
        <f t="array" ref="K2518">IFERROR(_xlfn.SWITCH(L2518,1,_xlfn.XLOOKUP(C2518,[1]AttributeName!$C:$C,[1]AttributeName!$I:$I),2,_xlfn.XLOOKUP(C2518,[1]ModifierDes!$B:$B,[1]ModifierDes!$C:$C),3,_xlfn.XLOOKUP(C2518,[1]StuntDes!$B:$B,[1]StuntDes!$C:$C)),"")</f>
        <v>物理伤害转闪电伤害增加{0}</v>
      </c>
      <c r="L2518">
        <f t="shared" si="188"/>
        <v>2</v>
      </c>
      <c r="M2518" s="10" t="str">
        <f>IFERROR(_xlfn.XLOOKUP(C2518,[1]StuntDes!$B:$B,[1]StuntDes!$A:$A),"")</f>
        <v/>
      </c>
      <c r="N2518" s="10">
        <f>IFERROR(_xlfn.XLOOKUP(C2518,[1]ModifierDes!$B:$B,[1]ModifierDes!$A:$A),"")</f>
        <v>10071</v>
      </c>
      <c r="O2518" s="10" t="str">
        <f>IFERROR(_xlfn.XLOOKUP(C2518,[1]AttributeName!$C:$C,[1]AttributeName!$B:$B),"")</f>
        <v/>
      </c>
      <c r="P2518" s="10"/>
      <c r="Q2518">
        <v>1</v>
      </c>
      <c r="R2518">
        <v>1</v>
      </c>
      <c r="S2518" cm="1">
        <f t="array" ref="S2518">IFERROR(_xlfn.SWITCH(L2518,1,_xlfn.XLOOKUP(O2518,[1]AttributeName!$B:$B,[1]AttributeName!$D:$D),2,_xlfn.XLOOKUP(C2518,[1]ModifierDes!$B:$B,[1]ModifierDes!$D:$D),3,_xlfn.XLOOKUP(C2518,[1]StuntDes!$B:$B,[1]StuntDes!$D:$D)),0)</f>
        <v>2</v>
      </c>
      <c r="T2518" cm="1">
        <f t="array" ref="T2518">IFERROR(_xlfn.SWITCH(L2518,1,_xlfn.XLOOKUP(O2518,[1]AttributeName!$B:$B,[1]AttributeName!$E:$E),2,_xlfn.XLOOKUP(C2518,[1]ModifierDes!$B:$B,[1]ModifierDes!$E:$E),3,_xlfn.XLOOKUP(C2518,[1]StuntDes!$B:$B,[1]StuntDes!$E:$E)),0)</f>
        <v>2</v>
      </c>
    </row>
    <row r="2519" customFormat="1" spans="1:20">
      <c r="A2519">
        <v>100701</v>
      </c>
      <c r="B2519">
        <v>1</v>
      </c>
      <c r="C2519" t="s">
        <v>430</v>
      </c>
      <c r="D2519" t="s">
        <v>155</v>
      </c>
      <c r="E2519" t="s">
        <v>468</v>
      </c>
      <c r="H2519">
        <v>1000</v>
      </c>
      <c r="J2519">
        <v>1</v>
      </c>
      <c r="K2519" t="str" cm="1">
        <f t="array" ref="K2519">IFERROR(_xlfn.SWITCH(L2519,1,_xlfn.XLOOKUP(C2519,[1]AttributeName!$C:$C,[1]AttributeName!$I:$I),2,_xlfn.XLOOKUP(C2519,[1]ModifierDes!$B:$B,[1]ModifierDes!$C:$C),3,_xlfn.XLOOKUP(C2519,[1]StuntDes!$B:$B,[1]StuntDes!$C:$C)),"")</f>
        <v>法术格挡率增加{0}</v>
      </c>
      <c r="L2519">
        <f t="shared" si="188"/>
        <v>1</v>
      </c>
      <c r="M2519" s="10" t="str">
        <f>IFERROR(_xlfn.XLOOKUP(C2519,[1]StuntDes!$B:$B,[1]StuntDes!$A:$A),"")</f>
        <v/>
      </c>
      <c r="N2519" s="10" t="str">
        <f>IFERROR(_xlfn.XLOOKUP(C2519,[1]ModifierDes!$B:$B,[1]ModifierDes!$A:$A),"")</f>
        <v/>
      </c>
      <c r="O2519" s="10">
        <f>IFERROR(_xlfn.XLOOKUP(C2519,[1]AttributeName!$C:$C,[1]AttributeName!$B:$B),"")</f>
        <v>10011</v>
      </c>
      <c r="P2519" s="10"/>
      <c r="Q2519">
        <v>0.25</v>
      </c>
      <c r="R2519">
        <v>0.35</v>
      </c>
      <c r="S2519" cm="1">
        <f t="array" ref="S2519">IFERROR(_xlfn.SWITCH(L2519,1,_xlfn.XLOOKUP(O2519,[1]AttributeName!$B:$B,[1]AttributeName!$D:$D),2,_xlfn.XLOOKUP(C2519,[1]ModifierDes!$B:$B,[1]ModifierDes!$D:$D),3,_xlfn.XLOOKUP(C2519,[1]StuntDes!$B:$B,[1]StuntDes!$D:$D)),0)</f>
        <v>2</v>
      </c>
      <c r="T2519" cm="1">
        <f t="array" ref="T2519">IFERROR(_xlfn.SWITCH(L2519,1,_xlfn.XLOOKUP(O2519,[1]AttributeName!$B:$B,[1]AttributeName!$E:$E),2,_xlfn.XLOOKUP(C2519,[1]ModifierDes!$B:$B,[1]ModifierDes!$E:$E),3,_xlfn.XLOOKUP(C2519,[1]StuntDes!$B:$B,[1]StuntDes!$E:$E)),0)</f>
        <v>2</v>
      </c>
    </row>
    <row r="2520" customFormat="1" spans="1:20">
      <c r="A2520">
        <v>100702</v>
      </c>
      <c r="B2520">
        <v>1</v>
      </c>
      <c r="C2520" s="13" t="s">
        <v>450</v>
      </c>
      <c r="D2520" t="s">
        <v>155</v>
      </c>
      <c r="E2520" t="s">
        <v>468</v>
      </c>
      <c r="H2520">
        <v>1000</v>
      </c>
      <c r="J2520">
        <v>1</v>
      </c>
      <c r="K2520" t="str" cm="1">
        <f t="array" ref="K2520">IFERROR(_xlfn.SWITCH(L2520,1,_xlfn.XLOOKUP(C2520,[1]AttributeName!$C:$C,[1]AttributeName!$I:$I),2,_xlfn.XLOOKUP(C2520,[1]ModifierDes!$B:$B,[1]ModifierDes!$C:$C),3,_xlfn.XLOOKUP(C2520,[1]StuntDes!$B:$B,[1]StuntDes!$C:$C)),"")</f>
        <v>冰冷伤害提高{0}</v>
      </c>
      <c r="L2520">
        <f t="shared" si="188"/>
        <v>1</v>
      </c>
      <c r="M2520" s="10" t="str">
        <f>IFERROR(_xlfn.XLOOKUP(C2520,[1]StuntDes!$B:$B,[1]StuntDes!$A:$A),"")</f>
        <v/>
      </c>
      <c r="N2520" s="10" t="str">
        <f>IFERROR(_xlfn.XLOOKUP(C2520,[1]ModifierDes!$B:$B,[1]ModifierDes!$A:$A),"")</f>
        <v/>
      </c>
      <c r="O2520" s="10">
        <f>IFERROR(_xlfn.XLOOKUP(C2520,[1]AttributeName!$C:$C,[1]AttributeName!$B:$B),"")</f>
        <v>10305</v>
      </c>
      <c r="P2520" s="10"/>
      <c r="Q2520">
        <v>0.6</v>
      </c>
      <c r="R2520">
        <v>0.8</v>
      </c>
      <c r="S2520" cm="1">
        <f t="array" ref="S2520">IFERROR(_xlfn.SWITCH(L2520,1,_xlfn.XLOOKUP(O2520,[1]AttributeName!$B:$B,[1]AttributeName!$D:$D),2,_xlfn.XLOOKUP(C2520,[1]ModifierDes!$B:$B,[1]ModifierDes!$D:$D),3,_xlfn.XLOOKUP(C2520,[1]StuntDes!$B:$B,[1]StuntDes!$D:$D)),0)</f>
        <v>2</v>
      </c>
      <c r="T2520" cm="1">
        <f t="array" ref="T2520">IFERROR(_xlfn.SWITCH(L2520,1,_xlfn.XLOOKUP(O2520,[1]AttributeName!$B:$B,[1]AttributeName!$E:$E),2,_xlfn.XLOOKUP(C2520,[1]ModifierDes!$B:$B,[1]ModifierDes!$E:$E),3,_xlfn.XLOOKUP(C2520,[1]StuntDes!$B:$B,[1]StuntDes!$E:$E)),0)</f>
        <v>2</v>
      </c>
    </row>
    <row r="2521" customFormat="1" spans="1:20">
      <c r="A2521">
        <v>100703</v>
      </c>
      <c r="B2521">
        <v>1</v>
      </c>
      <c r="C2521" t="s">
        <v>420</v>
      </c>
      <c r="D2521" t="s">
        <v>155</v>
      </c>
      <c r="E2521" t="s">
        <v>468</v>
      </c>
      <c r="H2521">
        <v>1000</v>
      </c>
      <c r="J2521">
        <v>1</v>
      </c>
      <c r="K2521" t="str" cm="1">
        <f t="array" ref="K2521">IFERROR(_xlfn.SWITCH(L2521,1,_xlfn.XLOOKUP(C2521,[1]AttributeName!$C:$C,[1]AttributeName!$I:$I),2,_xlfn.XLOOKUP(C2521,[1]ModifierDes!$B:$B,[1]ModifierDes!$C:$C),3,_xlfn.XLOOKUP(C2521,[1]StuntDes!$B:$B,[1]StuntDes!$C:$C)),"")</f>
        <v>冻结效果比例增加{0}</v>
      </c>
      <c r="L2521">
        <f t="shared" ref="L2521:L2572" si="189">IF(M2521="",IF(N2521="",1,2),3)</f>
        <v>1</v>
      </c>
      <c r="M2521" s="10" t="str">
        <f>IFERROR(_xlfn.XLOOKUP(C2521,[1]StuntDes!$B:$B,[1]StuntDes!$A:$A),"")</f>
        <v/>
      </c>
      <c r="N2521" s="10" t="str">
        <f>IFERROR(_xlfn.XLOOKUP(C2521,[1]ModifierDes!$B:$B,[1]ModifierDes!$A:$A),"")</f>
        <v/>
      </c>
      <c r="O2521" s="10">
        <f>IFERROR(_xlfn.XLOOKUP(C2521,[1]AttributeName!$C:$C,[1]AttributeName!$B:$B),"")</f>
        <v>11008</v>
      </c>
      <c r="P2521" s="10"/>
      <c r="Q2521">
        <v>0.35</v>
      </c>
      <c r="R2521">
        <v>0.65</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100704</v>
      </c>
      <c r="B2522">
        <v>1</v>
      </c>
      <c r="C2522" s="13" t="s">
        <v>475</v>
      </c>
      <c r="D2522" t="s">
        <v>155</v>
      </c>
      <c r="E2522" t="s">
        <v>468</v>
      </c>
      <c r="H2522">
        <v>1000</v>
      </c>
      <c r="J2522">
        <v>1</v>
      </c>
      <c r="K2522" t="str" cm="1">
        <f t="array" ref="K2522">IFERROR(_xlfn.SWITCH(L2522,1,_xlfn.XLOOKUP(C2522,[1]AttributeName!$C:$C,[1]AttributeName!$I:$I),2,_xlfn.XLOOKUP(C2522,[1]ModifierDes!$B:$B,[1]ModifierDes!$C:$C),3,_xlfn.XLOOKUP(C2522,[1]StuntDes!$B:$B,[1]StuntDes!$C:$C)),"")</f>
        <v>物理伤害转冰冷伤害增加{0}</v>
      </c>
      <c r="L2522">
        <f t="shared" si="189"/>
        <v>2</v>
      </c>
      <c r="M2522" s="10" t="str">
        <f>IFERROR(_xlfn.XLOOKUP(C2522,[1]StuntDes!$B:$B,[1]StuntDes!$A:$A),"")</f>
        <v/>
      </c>
      <c r="N2522" s="10">
        <f>IFERROR(_xlfn.XLOOKUP(C2522,[1]ModifierDes!$B:$B,[1]ModifierDes!$A:$A),"")</f>
        <v>10070</v>
      </c>
      <c r="O2522" s="10" t="str">
        <f>IFERROR(_xlfn.XLOOKUP(C2522,[1]AttributeName!$C:$C,[1]AttributeName!$B:$B),"")</f>
        <v/>
      </c>
      <c r="P2522" s="10"/>
      <c r="Q2522">
        <v>0.75</v>
      </c>
      <c r="R2522">
        <v>1</v>
      </c>
      <c r="S2522" cm="1">
        <f t="array" ref="S2522">IFERROR(_xlfn.SWITCH(L2522,1,_xlfn.XLOOKUP(O2522,[1]AttributeName!$B:$B,[1]AttributeName!$D:$D),2,_xlfn.XLOOKUP(C2522,[1]ModifierDes!$B:$B,[1]ModifierDes!$D:$D),3,_xlfn.XLOOKUP(C2522,[1]StuntDes!$B:$B,[1]StuntDes!$D:$D)),0)</f>
        <v>2</v>
      </c>
      <c r="T2522" cm="1">
        <f t="array" ref="T2522">IFERROR(_xlfn.SWITCH(L2522,1,_xlfn.XLOOKUP(O2522,[1]AttributeName!$B:$B,[1]AttributeName!$E:$E),2,_xlfn.XLOOKUP(C2522,[1]ModifierDes!$B:$B,[1]ModifierDes!$E:$E),3,_xlfn.XLOOKUP(C2522,[1]StuntDes!$B:$B,[1]StuntDes!$E:$E)),0)</f>
        <v>2</v>
      </c>
    </row>
    <row r="2523" customFormat="1" spans="1:20">
      <c r="A2523">
        <v>100705</v>
      </c>
      <c r="B2523">
        <v>1</v>
      </c>
      <c r="C2523" t="s">
        <v>439</v>
      </c>
      <c r="D2523" t="s">
        <v>155</v>
      </c>
      <c r="E2523" t="s">
        <v>468</v>
      </c>
      <c r="H2523">
        <v>1000</v>
      </c>
      <c r="J2523">
        <v>1</v>
      </c>
      <c r="K2523" t="str" cm="1">
        <f t="array" ref="K2523">IFERROR(_xlfn.SWITCH(L2523,1,_xlfn.XLOOKUP(C2523,[1]AttributeName!$C:$C,[1]AttributeName!$I:$I),2,_xlfn.XLOOKUP(C2523,[1]ModifierDes!$B:$B,[1]ModifierDes!$C:$C),3,_xlfn.XLOOKUP(C2523,[1]StuntDes!$B:$B,[1]StuntDes!$C:$C)),"")</f>
        <v>冰冷抗性增加{0}</v>
      </c>
      <c r="L2523">
        <f t="shared" si="189"/>
        <v>1</v>
      </c>
      <c r="M2523" s="10" t="str">
        <f>IFERROR(_xlfn.XLOOKUP(C2523,[1]StuntDes!$B:$B,[1]StuntDes!$A:$A),"")</f>
        <v/>
      </c>
      <c r="N2523" s="10" t="str">
        <f>IFERROR(_xlfn.XLOOKUP(C2523,[1]ModifierDes!$B:$B,[1]ModifierDes!$A:$A),"")</f>
        <v/>
      </c>
      <c r="O2523" s="10">
        <f>IFERROR(_xlfn.XLOOKUP(C2523,[1]AttributeName!$C:$C,[1]AttributeName!$B:$B),"")</f>
        <v>10313</v>
      </c>
      <c r="P2523" s="10"/>
      <c r="Q2523">
        <v>0.2</v>
      </c>
      <c r="R2523">
        <v>0.3</v>
      </c>
      <c r="S2523" cm="1">
        <f t="array" ref="S2523">IFERROR(_xlfn.SWITCH(L2523,1,_xlfn.XLOOKUP(O2523,[1]AttributeName!$B:$B,[1]AttributeName!$D:$D),2,_xlfn.XLOOKUP(C2523,[1]ModifierDes!$B:$B,[1]ModifierDes!$D:$D),3,_xlfn.XLOOKUP(C2523,[1]StuntDes!$B:$B,[1]StuntDes!$D:$D)),0)</f>
        <v>2</v>
      </c>
      <c r="T2523" cm="1">
        <f t="array" ref="T2523">IFERROR(_xlfn.SWITCH(L2523,1,_xlfn.XLOOKUP(O2523,[1]AttributeName!$B:$B,[1]AttributeName!$E:$E),2,_xlfn.XLOOKUP(C2523,[1]ModifierDes!$B:$B,[1]ModifierDes!$E:$E),3,_xlfn.XLOOKUP(C2523,[1]StuntDes!$B:$B,[1]StuntDes!$E:$E)),0)</f>
        <v>2</v>
      </c>
    </row>
    <row r="2524" customFormat="1" spans="1:20">
      <c r="A2524">
        <v>100801</v>
      </c>
      <c r="B2524">
        <v>1</v>
      </c>
      <c r="C2524" s="13" t="s">
        <v>428</v>
      </c>
      <c r="D2524" t="s">
        <v>186</v>
      </c>
      <c r="E2524" t="s">
        <v>468</v>
      </c>
      <c r="H2524">
        <v>1000</v>
      </c>
      <c r="J2524">
        <v>1</v>
      </c>
      <c r="K2524" t="str" cm="1">
        <f t="array" ref="K2524">IFERROR(_xlfn.SWITCH(L2524,1,_xlfn.XLOOKUP(C2524,[1]AttributeName!$C:$C,[1]AttributeName!$I:$I),2,_xlfn.XLOOKUP(C2524,[1]ModifierDes!$B:$B,[1]ModifierDes!$C:$C),3,_xlfn.XLOOKUP(C2524,[1]StuntDes!$B:$B,[1]StuntDes!$C:$C)),"")</f>
        <v>防御力增加{0}</v>
      </c>
      <c r="L2524">
        <f t="shared" si="189"/>
        <v>1</v>
      </c>
      <c r="M2524" s="10" t="str">
        <f>IFERROR(_xlfn.XLOOKUP(C2524,[1]StuntDes!$B:$B,[1]StuntDes!$A:$A),"")</f>
        <v/>
      </c>
      <c r="N2524" s="10" t="str">
        <f>IFERROR(_xlfn.XLOOKUP(C2524,[1]ModifierDes!$B:$B,[1]ModifierDes!$A:$A),"")</f>
        <v/>
      </c>
      <c r="O2524" s="10">
        <f>IFERROR(_xlfn.XLOOKUP(C2524,[1]AttributeName!$C:$C,[1]AttributeName!$B:$B),"")</f>
        <v>10014</v>
      </c>
      <c r="P2524" s="10"/>
      <c r="Q2524">
        <v>160</v>
      </c>
      <c r="R2524">
        <v>240</v>
      </c>
      <c r="S2524" cm="1">
        <f t="array" ref="S2524">IFERROR(_xlfn.SWITCH(L2524,1,_xlfn.XLOOKUP(O2524,[1]AttributeName!$B:$B,[1]AttributeName!$D:$D),2,_xlfn.XLOOKUP(C2524,[1]ModifierDes!$B:$B,[1]ModifierDes!$D:$D),3,_xlfn.XLOOKUP(C2524,[1]StuntDes!$B:$B,[1]StuntDes!$D:$D)),0)</f>
        <v>0</v>
      </c>
      <c r="T2524" cm="1">
        <f t="array" ref="T2524">IFERROR(_xlfn.SWITCH(L2524,1,_xlfn.XLOOKUP(O2524,[1]AttributeName!$B:$B,[1]AttributeName!$E:$E),2,_xlfn.XLOOKUP(C2524,[1]ModifierDes!$B:$B,[1]ModifierDes!$E:$E),3,_xlfn.XLOOKUP(C2524,[1]StuntDes!$B:$B,[1]StuntDes!$E:$E)),0)</f>
        <v>1</v>
      </c>
    </row>
    <row r="2525" customFormat="1" spans="1:20">
      <c r="A2525">
        <v>100802</v>
      </c>
      <c r="B2525">
        <v>1</v>
      </c>
      <c r="C2525" s="13" t="s">
        <v>400</v>
      </c>
      <c r="D2525" t="s">
        <v>186</v>
      </c>
      <c r="E2525" t="s">
        <v>468</v>
      </c>
      <c r="H2525">
        <v>1000</v>
      </c>
      <c r="J2525">
        <v>1</v>
      </c>
      <c r="K2525" t="str" cm="1">
        <f t="array" ref="K2525">IFERROR(_xlfn.SWITCH(L2525,1,_xlfn.XLOOKUP(C2525,[1]AttributeName!$C:$C,[1]AttributeName!$I:$I),2,_xlfn.XLOOKUP(C2525,[1]ModifierDes!$B:$B,[1]ModifierDes!$C:$C),3,_xlfn.XLOOKUP(C2525,[1]StuntDes!$B:$B,[1]StuntDes!$C:$C)),"")</f>
        <v>获得冰冷伤害{0}</v>
      </c>
      <c r="L2525">
        <f t="shared" si="189"/>
        <v>1</v>
      </c>
      <c r="M2525" s="10" t="str">
        <f>IFERROR(_xlfn.XLOOKUP(C2525,[1]StuntDes!$B:$B,[1]StuntDes!$A:$A),"")</f>
        <v/>
      </c>
      <c r="N2525" s="10" t="str">
        <f>IFERROR(_xlfn.XLOOKUP(C2525,[1]ModifierDes!$B:$B,[1]ModifierDes!$A:$A),"")</f>
        <v/>
      </c>
      <c r="O2525" s="10">
        <f>IFERROR(_xlfn.XLOOKUP(C2525,[1]AttributeName!$C:$C,[1]AttributeName!$B:$B),"")</f>
        <v>10502</v>
      </c>
      <c r="P2525" s="10"/>
      <c r="Q2525">
        <v>0.15</v>
      </c>
      <c r="R2525">
        <v>0.25</v>
      </c>
      <c r="S2525" cm="1">
        <f t="array" ref="S2525">IFERROR(_xlfn.SWITCH(L2525,1,_xlfn.XLOOKUP(O2525,[1]AttributeName!$B:$B,[1]AttributeName!$D:$D),2,_xlfn.XLOOKUP(C2525,[1]ModifierDes!$B:$B,[1]ModifierDes!$D:$D),3,_xlfn.XLOOKUP(C2525,[1]StuntDes!$B:$B,[1]StuntDes!$D:$D)),0)</f>
        <v>2</v>
      </c>
      <c r="T2525" cm="1">
        <f t="array" ref="T2525">IFERROR(_xlfn.SWITCH(L2525,1,_xlfn.XLOOKUP(O2525,[1]AttributeName!$B:$B,[1]AttributeName!$E:$E),2,_xlfn.XLOOKUP(C2525,[1]ModifierDes!$B:$B,[1]ModifierDes!$E:$E),3,_xlfn.XLOOKUP(C2525,[1]StuntDes!$B:$B,[1]StuntDes!$E:$E)),0)</f>
        <v>2</v>
      </c>
    </row>
    <row r="2526" customFormat="1" spans="1:20">
      <c r="A2526">
        <v>100803</v>
      </c>
      <c r="B2526">
        <v>1</v>
      </c>
      <c r="C2526" t="s">
        <v>417</v>
      </c>
      <c r="D2526" t="s">
        <v>186</v>
      </c>
      <c r="E2526" t="s">
        <v>468</v>
      </c>
      <c r="H2526">
        <v>1000</v>
      </c>
      <c r="J2526">
        <v>1</v>
      </c>
      <c r="K2526" t="str" cm="1">
        <f t="array" ref="K2526">IFERROR(_xlfn.SWITCH(L2526,1,_xlfn.XLOOKUP(C2526,[1]AttributeName!$C:$C,[1]AttributeName!$I:$I),2,_xlfn.XLOOKUP(C2526,[1]ModifierDes!$B:$B,[1]ModifierDes!$C:$C),3,_xlfn.XLOOKUP(C2526,[1]StuntDes!$B:$B,[1]StuntDes!$C:$C)),"")</f>
        <v>攻击暴击伤害增加{0}</v>
      </c>
      <c r="L2526">
        <f t="shared" si="189"/>
        <v>2</v>
      </c>
      <c r="M2526" s="10" t="str">
        <f>IFERROR(_xlfn.XLOOKUP(C2526,[1]StuntDes!$B:$B,[1]StuntDes!$A:$A),"")</f>
        <v/>
      </c>
      <c r="N2526" s="10">
        <f>IFERROR(_xlfn.XLOOKUP(C2526,[1]ModifierDes!$B:$B,[1]ModifierDes!$A:$A),"")</f>
        <v>10060</v>
      </c>
      <c r="O2526" s="10" t="str">
        <f>IFERROR(_xlfn.XLOOKUP(C2526,[1]AttributeName!$C:$C,[1]AttributeName!$B:$B),"")</f>
        <v/>
      </c>
      <c r="P2526" s="10"/>
      <c r="Q2526">
        <v>0.6</v>
      </c>
      <c r="R2526">
        <v>0.9</v>
      </c>
      <c r="S2526" cm="1">
        <f t="array" ref="S2526">IFERROR(_xlfn.SWITCH(L2526,1,_xlfn.XLOOKUP(O2526,[1]AttributeName!$B:$B,[1]AttributeName!$D:$D),2,_xlfn.XLOOKUP(C2526,[1]ModifierDes!$B:$B,[1]ModifierDes!$D:$D),3,_xlfn.XLOOKUP(C2526,[1]StuntDes!$B:$B,[1]StuntDes!$D:$D)),0)</f>
        <v>2</v>
      </c>
      <c r="T2526" cm="1">
        <f t="array" ref="T2526">IFERROR(_xlfn.SWITCH(L2526,1,_xlfn.XLOOKUP(O2526,[1]AttributeName!$B:$B,[1]AttributeName!$E:$E),2,_xlfn.XLOOKUP(C2526,[1]ModifierDes!$B:$B,[1]ModifierDes!$E:$E),3,_xlfn.XLOOKUP(C2526,[1]StuntDes!$B:$B,[1]StuntDes!$E:$E)),0)</f>
        <v>2</v>
      </c>
    </row>
    <row r="2527" customFormat="1" spans="1:20">
      <c r="A2527">
        <v>100804</v>
      </c>
      <c r="B2527">
        <v>1</v>
      </c>
      <c r="C2527" t="s">
        <v>478</v>
      </c>
      <c r="D2527" t="s">
        <v>186</v>
      </c>
      <c r="E2527" t="s">
        <v>468</v>
      </c>
      <c r="H2527">
        <v>1000</v>
      </c>
      <c r="J2527">
        <v>1</v>
      </c>
      <c r="K2527" t="str" cm="1">
        <f t="array" ref="K2527">IFERROR(_xlfn.SWITCH(L2527,1,_xlfn.XLOOKUP(C2527,[1]AttributeName!$C:$C,[1]AttributeName!$I:$I),2,_xlfn.XLOOKUP(C2527,[1]ModifierDes!$B:$B,[1]ModifierDes!$C:$C),3,_xlfn.XLOOKUP(C2527,[1]StuntDes!$B:$B,[1]StuntDes!$C:$C)),"")</f>
        <v>冰冻时长比例增加{0}</v>
      </c>
      <c r="L2527">
        <f t="shared" si="189"/>
        <v>1</v>
      </c>
      <c r="M2527" s="10" t="str">
        <f>IFERROR(_xlfn.XLOOKUP(C2527,[1]StuntDes!$B:$B,[1]StuntDes!$A:$A),"")</f>
        <v/>
      </c>
      <c r="N2527" s="10" t="str">
        <f>IFERROR(_xlfn.XLOOKUP(C2527,[1]ModifierDes!$B:$B,[1]ModifierDes!$A:$A),"")</f>
        <v/>
      </c>
      <c r="O2527" s="10">
        <f>IFERROR(_xlfn.XLOOKUP(C2527,[1]AttributeName!$C:$C,[1]AttributeName!$B:$B),"")</f>
        <v>11034</v>
      </c>
      <c r="P2527" s="10"/>
      <c r="Q2527">
        <v>0.08</v>
      </c>
      <c r="R2527">
        <v>0.18</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100901</v>
      </c>
      <c r="B2528">
        <v>1</v>
      </c>
      <c r="C2528" s="13" t="s">
        <v>407</v>
      </c>
      <c r="D2528" t="s">
        <v>213</v>
      </c>
      <c r="E2528" t="s">
        <v>468</v>
      </c>
      <c r="H2528">
        <v>1000</v>
      </c>
      <c r="J2528">
        <v>1</v>
      </c>
      <c r="K2528" t="str" cm="1">
        <f t="array" ref="K2528">IFERROR(_xlfn.SWITCH(L2528,1,_xlfn.XLOOKUP(C2528,[1]AttributeName!$C:$C,[1]AttributeName!$I:$I),2,_xlfn.XLOOKUP(C2528,[1]ModifierDes!$B:$B,[1]ModifierDes!$C:$C),3,_xlfn.XLOOKUP(C2528,[1]StuntDes!$B:$B,[1]StuntDes!$C:$C)),"")</f>
        <v>基础生命增加{0}</v>
      </c>
      <c r="L2528">
        <f t="shared" si="189"/>
        <v>1</v>
      </c>
      <c r="M2528" s="10" t="str">
        <f>IFERROR(_xlfn.XLOOKUP(C2528,[1]StuntDes!$B:$B,[1]StuntDes!$A:$A),"")</f>
        <v/>
      </c>
      <c r="N2528" s="10" t="str">
        <f>IFERROR(_xlfn.XLOOKUP(C2528,[1]ModifierDes!$B:$B,[1]ModifierDes!$A:$A),"")</f>
        <v/>
      </c>
      <c r="O2528" s="10">
        <f>IFERROR(_xlfn.XLOOKUP(C2528,[1]AttributeName!$C:$C,[1]AttributeName!$B:$B),"")</f>
        <v>10001</v>
      </c>
      <c r="P2528" s="10"/>
      <c r="Q2528">
        <v>400</v>
      </c>
      <c r="R2528">
        <v>600</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1</v>
      </c>
    </row>
    <row r="2529" customFormat="1" spans="1:20">
      <c r="A2529">
        <v>100902</v>
      </c>
      <c r="B2529">
        <v>1</v>
      </c>
      <c r="C2529" t="s">
        <v>479</v>
      </c>
      <c r="D2529" t="s">
        <v>213</v>
      </c>
      <c r="E2529" t="s">
        <v>468</v>
      </c>
      <c r="H2529">
        <v>1000</v>
      </c>
      <c r="J2529">
        <v>1</v>
      </c>
      <c r="K2529" t="str" cm="1">
        <f t="array" ref="K2529">IFERROR(_xlfn.SWITCH(L2529,1,_xlfn.XLOOKUP(C2529,[1]AttributeName!$C:$C,[1]AttributeName!$I:$I),2,_xlfn.XLOOKUP(C2529,[1]ModifierDes!$B:$B,[1]ModifierDes!$C:$C),3,_xlfn.XLOOKUP(C2529,[1]StuntDes!$B:$B,[1]StuntDes!$C:$C)),"")</f>
        <v>冷却回复效率增加{0}</v>
      </c>
      <c r="L2529">
        <f t="shared" si="189"/>
        <v>1</v>
      </c>
      <c r="M2529" s="10" t="str">
        <f>IFERROR(_xlfn.XLOOKUP(C2529,[1]StuntDes!$B:$B,[1]StuntDes!$A:$A),"")</f>
        <v/>
      </c>
      <c r="N2529" s="10" t="str">
        <f>IFERROR(_xlfn.XLOOKUP(C2529,[1]ModifierDes!$B:$B,[1]ModifierDes!$A:$A),"")</f>
        <v/>
      </c>
      <c r="O2529" s="10">
        <f>IFERROR(_xlfn.XLOOKUP(C2529,[1]AttributeName!$C:$C,[1]AttributeName!$B:$B),"")</f>
        <v>11037</v>
      </c>
      <c r="P2529" s="10"/>
      <c r="Q2529">
        <v>0.15</v>
      </c>
      <c r="R2529">
        <v>0.25</v>
      </c>
      <c r="S2529" cm="1">
        <f t="array" ref="S2529">IFERROR(_xlfn.SWITCH(L2529,1,_xlfn.XLOOKUP(O2529,[1]AttributeName!$B:$B,[1]AttributeName!$D:$D),2,_xlfn.XLOOKUP(C2529,[1]ModifierDes!$B:$B,[1]ModifierDes!$D:$D),3,_xlfn.XLOOKUP(C2529,[1]StuntDes!$B:$B,[1]StuntDes!$D:$D)),0)</f>
        <v>2</v>
      </c>
      <c r="T2529" cm="1">
        <f t="array" ref="T2529">IFERROR(_xlfn.SWITCH(L2529,1,_xlfn.XLOOKUP(O2529,[1]AttributeName!$B:$B,[1]AttributeName!$E:$E),2,_xlfn.XLOOKUP(C2529,[1]ModifierDes!$B:$B,[1]ModifierDes!$E:$E),3,_xlfn.XLOOKUP(C2529,[1]StuntDes!$B:$B,[1]StuntDes!$E:$E)),0)</f>
        <v>2</v>
      </c>
    </row>
    <row r="2530" customFormat="1" spans="1:20">
      <c r="A2530">
        <v>100903</v>
      </c>
      <c r="B2530">
        <v>1</v>
      </c>
      <c r="C2530" t="s">
        <v>416</v>
      </c>
      <c r="D2530" t="s">
        <v>213</v>
      </c>
      <c r="E2530" t="s">
        <v>468</v>
      </c>
      <c r="H2530">
        <v>1000</v>
      </c>
      <c r="J2530">
        <v>1</v>
      </c>
      <c r="K2530" t="str" cm="1">
        <f t="array" ref="K2530">IFERROR(_xlfn.SWITCH(L2530,1,_xlfn.XLOOKUP(C2530,[1]AttributeName!$C:$C,[1]AttributeName!$I:$I),2,_xlfn.XLOOKUP(C2530,[1]ModifierDes!$B:$B,[1]ModifierDes!$C:$C),3,_xlfn.XLOOKUP(C2530,[1]StuntDes!$B:$B,[1]StuntDes!$C:$C)),"")</f>
        <v>攻击暴击率提高{0}</v>
      </c>
      <c r="L2530">
        <f t="shared" si="189"/>
        <v>2</v>
      </c>
      <c r="M2530" s="10" t="str">
        <f>IFERROR(_xlfn.XLOOKUP(C2530,[1]StuntDes!$B:$B,[1]StuntDes!$A:$A),"")</f>
        <v/>
      </c>
      <c r="N2530" s="10">
        <f>IFERROR(_xlfn.XLOOKUP(C2530,[1]ModifierDes!$B:$B,[1]ModifierDes!$A:$A),"")</f>
        <v>10176</v>
      </c>
      <c r="O2530" s="10" t="str">
        <f>IFERROR(_xlfn.XLOOKUP(C2530,[1]AttributeName!$C:$C,[1]AttributeName!$B:$B),"")</f>
        <v/>
      </c>
      <c r="P2530" s="10"/>
      <c r="Q2530">
        <v>0.6</v>
      </c>
      <c r="R2530">
        <v>1</v>
      </c>
      <c r="S2530" cm="1">
        <f t="array" ref="S2530">IFERROR(_xlfn.SWITCH(L2530,1,_xlfn.XLOOKUP(O2530,[1]AttributeName!$B:$B,[1]AttributeName!$D:$D),2,_xlfn.XLOOKUP(C2530,[1]ModifierDes!$B:$B,[1]ModifierDes!$D:$D),3,_xlfn.XLOOKUP(C2530,[1]StuntDes!$B:$B,[1]StuntDes!$D:$D)),0)</f>
        <v>2</v>
      </c>
      <c r="T2530" cm="1">
        <f t="array" ref="T2530">IFERROR(_xlfn.SWITCH(L2530,1,_xlfn.XLOOKUP(O2530,[1]AttributeName!$B:$B,[1]AttributeName!$E:$E),2,_xlfn.XLOOKUP(C2530,[1]ModifierDes!$B:$B,[1]ModifierDes!$E:$E),3,_xlfn.XLOOKUP(C2530,[1]StuntDes!$B:$B,[1]StuntDes!$E:$E)),0)</f>
        <v>2</v>
      </c>
    </row>
    <row r="2531" customFormat="1" spans="1:20">
      <c r="A2531">
        <v>100904</v>
      </c>
      <c r="B2531">
        <v>1</v>
      </c>
      <c r="C2531" t="s">
        <v>450</v>
      </c>
      <c r="D2531" t="s">
        <v>213</v>
      </c>
      <c r="E2531" t="s">
        <v>468</v>
      </c>
      <c r="H2531">
        <v>1000</v>
      </c>
      <c r="J2531">
        <v>1</v>
      </c>
      <c r="K2531" t="str" cm="1">
        <f t="array" ref="K2531">IFERROR(_xlfn.SWITCH(L2531,1,_xlfn.XLOOKUP(C2531,[1]AttributeName!$C:$C,[1]AttributeName!$I:$I),2,_xlfn.XLOOKUP(C2531,[1]ModifierDes!$B:$B,[1]ModifierDes!$C:$C),3,_xlfn.XLOOKUP(C2531,[1]StuntDes!$B:$B,[1]StuntDes!$C:$C)),"")</f>
        <v>冰冷伤害提高{0}</v>
      </c>
      <c r="L2531">
        <f t="shared" si="189"/>
        <v>1</v>
      </c>
      <c r="M2531" s="10" t="str">
        <f>IFERROR(_xlfn.XLOOKUP(C2531,[1]StuntDes!$B:$B,[1]StuntDes!$A:$A),"")</f>
        <v/>
      </c>
      <c r="N2531" s="10" t="str">
        <f>IFERROR(_xlfn.XLOOKUP(C2531,[1]ModifierDes!$B:$B,[1]ModifierDes!$A:$A),"")</f>
        <v/>
      </c>
      <c r="O2531" s="10">
        <f>IFERROR(_xlfn.XLOOKUP(C2531,[1]AttributeName!$C:$C,[1]AttributeName!$B:$B),"")</f>
        <v>10305</v>
      </c>
      <c r="P2531" s="10"/>
      <c r="Q2531">
        <v>0.3</v>
      </c>
      <c r="R2531">
        <v>0.5</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101001</v>
      </c>
      <c r="B2532">
        <v>1</v>
      </c>
      <c r="C2532" t="s">
        <v>400</v>
      </c>
      <c r="D2532" t="s">
        <v>149</v>
      </c>
      <c r="E2532" t="s">
        <v>468</v>
      </c>
      <c r="H2532">
        <v>1000</v>
      </c>
      <c r="J2532">
        <v>1</v>
      </c>
      <c r="K2532" t="str" cm="1">
        <f t="array" ref="K2532">IFERROR(_xlfn.SWITCH(L2532,1,_xlfn.XLOOKUP(C2532,[1]AttributeName!$C:$C,[1]AttributeName!$I:$I),2,_xlfn.XLOOKUP(C2532,[1]ModifierDes!$B:$B,[1]ModifierDes!$C:$C),3,_xlfn.XLOOKUP(C2532,[1]StuntDes!$B:$B,[1]StuntDes!$C:$C)),"")</f>
        <v>获得冰冷伤害{0}</v>
      </c>
      <c r="L2532">
        <f t="shared" si="189"/>
        <v>1</v>
      </c>
      <c r="M2532" s="10" t="str">
        <f>IFERROR(_xlfn.XLOOKUP(C2532,[1]StuntDes!$B:$B,[1]StuntDes!$A:$A),"")</f>
        <v/>
      </c>
      <c r="N2532" s="10" t="str">
        <f>IFERROR(_xlfn.XLOOKUP(C2532,[1]ModifierDes!$B:$B,[1]ModifierDes!$A:$A),"")</f>
        <v/>
      </c>
      <c r="O2532" s="10">
        <f>IFERROR(_xlfn.XLOOKUP(C2532,[1]AttributeName!$C:$C,[1]AttributeName!$B:$B),"")</f>
        <v>10502</v>
      </c>
      <c r="P2532" s="10"/>
      <c r="Q2532">
        <v>0.65</v>
      </c>
      <c r="R2532">
        <v>0.95</v>
      </c>
      <c r="S2532" cm="1">
        <f t="array" ref="S2532">IFERROR(_xlfn.SWITCH(L2532,1,_xlfn.XLOOKUP(O2532,[1]AttributeName!$B:$B,[1]AttributeName!$D:$D),2,_xlfn.XLOOKUP(C2532,[1]ModifierDes!$B:$B,[1]ModifierDes!$D:$D),3,_xlfn.XLOOKUP(C2532,[1]StuntDes!$B:$B,[1]StuntDes!$D:$D)),0)</f>
        <v>2</v>
      </c>
      <c r="T2532" cm="1">
        <f t="array" ref="T2532">IFERROR(_xlfn.SWITCH(L2532,1,_xlfn.XLOOKUP(O2532,[1]AttributeName!$B:$B,[1]AttributeName!$E:$E),2,_xlfn.XLOOKUP(C2532,[1]ModifierDes!$B:$B,[1]ModifierDes!$E:$E),3,_xlfn.XLOOKUP(C2532,[1]StuntDes!$B:$B,[1]StuntDes!$E:$E)),0)</f>
        <v>2</v>
      </c>
    </row>
    <row r="2533" customFormat="1" spans="1:20">
      <c r="A2533">
        <v>101002</v>
      </c>
      <c r="B2533">
        <v>1</v>
      </c>
      <c r="C2533" t="s">
        <v>450</v>
      </c>
      <c r="D2533" t="s">
        <v>149</v>
      </c>
      <c r="E2533" t="s">
        <v>468</v>
      </c>
      <c r="H2533">
        <v>1000</v>
      </c>
      <c r="J2533">
        <v>1</v>
      </c>
      <c r="K2533" t="str" cm="1">
        <f t="array" ref="K2533">IFERROR(_xlfn.SWITCH(L2533,1,_xlfn.XLOOKUP(C2533,[1]AttributeName!$C:$C,[1]AttributeName!$I:$I),2,_xlfn.XLOOKUP(C2533,[1]ModifierDes!$B:$B,[1]ModifierDes!$C:$C),3,_xlfn.XLOOKUP(C2533,[1]StuntDes!$B:$B,[1]StuntDes!$C:$C)),"")</f>
        <v>冰冷伤害提高{0}</v>
      </c>
      <c r="L2533">
        <f t="shared" si="189"/>
        <v>1</v>
      </c>
      <c r="M2533" s="10" t="str">
        <f>IFERROR(_xlfn.XLOOKUP(C2533,[1]StuntDes!$B:$B,[1]StuntDes!$A:$A),"")</f>
        <v/>
      </c>
      <c r="N2533" s="10" t="str">
        <f>IFERROR(_xlfn.XLOOKUP(C2533,[1]ModifierDes!$B:$B,[1]ModifierDes!$A:$A),"")</f>
        <v/>
      </c>
      <c r="O2533" s="10">
        <f>IFERROR(_xlfn.XLOOKUP(C2533,[1]AttributeName!$C:$C,[1]AttributeName!$B:$B),"")</f>
        <v>10305</v>
      </c>
      <c r="P2533" s="10"/>
      <c r="Q2533">
        <v>1.1</v>
      </c>
      <c r="R2533">
        <v>1.5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101003</v>
      </c>
      <c r="B2534">
        <v>1</v>
      </c>
      <c r="C2534" t="s">
        <v>475</v>
      </c>
      <c r="D2534" t="s">
        <v>149</v>
      </c>
      <c r="E2534" t="s">
        <v>468</v>
      </c>
      <c r="H2534">
        <v>1000</v>
      </c>
      <c r="J2534">
        <v>1</v>
      </c>
      <c r="K2534" t="str" cm="1">
        <f t="array" ref="K2534">IFERROR(_xlfn.SWITCH(L2534,1,_xlfn.XLOOKUP(C2534,[1]AttributeName!$C:$C,[1]AttributeName!$I:$I),2,_xlfn.XLOOKUP(C2534,[1]ModifierDes!$B:$B,[1]ModifierDes!$C:$C),3,_xlfn.XLOOKUP(C2534,[1]StuntDes!$B:$B,[1]StuntDes!$C:$C)),"")</f>
        <v>物理伤害转冰冷伤害增加{0}</v>
      </c>
      <c r="L2534">
        <f t="shared" si="189"/>
        <v>2</v>
      </c>
      <c r="M2534" s="10" t="str">
        <f>IFERROR(_xlfn.XLOOKUP(C2534,[1]StuntDes!$B:$B,[1]StuntDes!$A:$A),"")</f>
        <v/>
      </c>
      <c r="N2534" s="10">
        <f>IFERROR(_xlfn.XLOOKUP(C2534,[1]ModifierDes!$B:$B,[1]ModifierDes!$A:$A),"")</f>
        <v>10070</v>
      </c>
      <c r="O2534" s="10" t="str">
        <f>IFERROR(_xlfn.XLOOKUP(C2534,[1]AttributeName!$C:$C,[1]AttributeName!$B:$B),"")</f>
        <v/>
      </c>
      <c r="P2534" s="10"/>
      <c r="Q2534">
        <v>0.75</v>
      </c>
      <c r="R2534">
        <v>1</v>
      </c>
      <c r="S2534" cm="1">
        <f t="array" ref="S2534">IFERROR(_xlfn.SWITCH(L2534,1,_xlfn.XLOOKUP(O2534,[1]AttributeName!$B:$B,[1]AttributeName!$D:$D),2,_xlfn.XLOOKUP(C2534,[1]ModifierDes!$B:$B,[1]ModifierDes!$D:$D),3,_xlfn.XLOOKUP(C2534,[1]StuntDes!$B:$B,[1]StuntDes!$D:$D)),0)</f>
        <v>2</v>
      </c>
      <c r="T2534" cm="1">
        <f t="array" ref="T2534">IFERROR(_xlfn.SWITCH(L2534,1,_xlfn.XLOOKUP(O2534,[1]AttributeName!$B:$B,[1]AttributeName!$E:$E),2,_xlfn.XLOOKUP(C2534,[1]ModifierDes!$B:$B,[1]ModifierDes!$E:$E),3,_xlfn.XLOOKUP(C2534,[1]StuntDes!$B:$B,[1]StuntDes!$E:$E)),0)</f>
        <v>2</v>
      </c>
    </row>
    <row r="2535" customFormat="1" spans="1:20">
      <c r="A2535">
        <v>101004</v>
      </c>
      <c r="B2535">
        <v>1</v>
      </c>
      <c r="C2535" t="s">
        <v>413</v>
      </c>
      <c r="D2535" t="s">
        <v>149</v>
      </c>
      <c r="E2535" t="s">
        <v>468</v>
      </c>
      <c r="H2535">
        <v>1000</v>
      </c>
      <c r="J2535">
        <v>1</v>
      </c>
      <c r="K2535" t="str" cm="1">
        <f t="array" ref="K2535">IFERROR(_xlfn.SWITCH(L2535,1,_xlfn.XLOOKUP(C2535,[1]AttributeName!$C:$C,[1]AttributeName!$I:$I),2,_xlfn.XLOOKUP(C2535,[1]ModifierDes!$B:$B,[1]ModifierDes!$C:$C),3,_xlfn.XLOOKUP(C2535,[1]StuntDes!$B:$B,[1]StuntDes!$C:$C)),"")</f>
        <v>冰冷技能等级增加{0}</v>
      </c>
      <c r="L2535">
        <f t="shared" si="189"/>
        <v>2</v>
      </c>
      <c r="M2535" s="10" t="str">
        <f>IFERROR(_xlfn.XLOOKUP(C2535,[1]StuntDes!$B:$B,[1]StuntDes!$A:$A),"")</f>
        <v/>
      </c>
      <c r="N2535" s="10">
        <f>IFERROR(_xlfn.XLOOKUP(C2535,[1]ModifierDes!$B:$B,[1]ModifierDes!$A:$A),"")</f>
        <v>10158</v>
      </c>
      <c r="O2535" s="10" t="str">
        <f>IFERROR(_xlfn.XLOOKUP(C2535,[1]AttributeName!$C:$C,[1]AttributeName!$B:$B),"")</f>
        <v/>
      </c>
      <c r="P2535" s="10"/>
      <c r="Q2535">
        <v>1</v>
      </c>
      <c r="R2535">
        <v>2</v>
      </c>
      <c r="S2535" cm="1">
        <f t="array" ref="S2535">IFERROR(_xlfn.SWITCH(L2535,1,_xlfn.XLOOKUP(O2535,[1]AttributeName!$B:$B,[1]AttributeName!$D:$D),2,_xlfn.XLOOKUP(C2535,[1]ModifierDes!$B:$B,[1]ModifierDes!$D:$D),3,_xlfn.XLOOKUP(C2535,[1]StuntDes!$B:$B,[1]StuntDes!$D:$D)),0)</f>
        <v>0</v>
      </c>
      <c r="T2535" cm="1">
        <f t="array" ref="T2535">IFERROR(_xlfn.SWITCH(L2535,1,_xlfn.XLOOKUP(O2535,[1]AttributeName!$B:$B,[1]AttributeName!$E:$E),2,_xlfn.XLOOKUP(C2535,[1]ModifierDes!$B:$B,[1]ModifierDes!$E:$E),3,_xlfn.XLOOKUP(C2535,[1]StuntDes!$B:$B,[1]StuntDes!$E:$E)),0)</f>
        <v>0</v>
      </c>
    </row>
    <row r="2536" customFormat="1" spans="1:20">
      <c r="A2536">
        <v>101101</v>
      </c>
      <c r="B2536">
        <v>1</v>
      </c>
      <c r="C2536" t="s">
        <v>408</v>
      </c>
      <c r="D2536" t="s">
        <v>158</v>
      </c>
      <c r="E2536" t="s">
        <v>468</v>
      </c>
      <c r="H2536">
        <v>1000</v>
      </c>
      <c r="J2536">
        <v>1</v>
      </c>
      <c r="K2536" t="str" cm="1">
        <f t="array" ref="K2536">IFERROR(_xlfn.SWITCH(L2536,1,_xlfn.XLOOKUP(C2536,[1]AttributeName!$C:$C,[1]AttributeName!$I:$I),2,_xlfn.XLOOKUP(C2536,[1]ModifierDes!$B:$B,[1]ModifierDes!$C:$C),3,_xlfn.XLOOKUP(C2536,[1]StuntDes!$B:$B,[1]StuntDes!$C:$C)),"")</f>
        <v>基础魔力增加{0}</v>
      </c>
      <c r="L2536">
        <f t="shared" si="189"/>
        <v>1</v>
      </c>
      <c r="M2536" s="10" t="str">
        <f>IFERROR(_xlfn.XLOOKUP(C2536,[1]StuntDes!$B:$B,[1]StuntDes!$A:$A),"")</f>
        <v/>
      </c>
      <c r="N2536" s="10" t="str">
        <f>IFERROR(_xlfn.XLOOKUP(C2536,[1]ModifierDes!$B:$B,[1]ModifierDes!$A:$A),"")</f>
        <v/>
      </c>
      <c r="O2536" s="10">
        <f>IFERROR(_xlfn.XLOOKUP(C2536,[1]AttributeName!$C:$C,[1]AttributeName!$B:$B),"")</f>
        <v>10002</v>
      </c>
      <c r="P2536" s="10"/>
      <c r="Q2536">
        <v>160</v>
      </c>
      <c r="R2536">
        <v>240</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1</v>
      </c>
    </row>
    <row r="2537" customFormat="1" spans="1:20">
      <c r="A2537">
        <v>101102</v>
      </c>
      <c r="B2537">
        <v>1</v>
      </c>
      <c r="C2537" t="s">
        <v>480</v>
      </c>
      <c r="D2537" t="s">
        <v>158</v>
      </c>
      <c r="E2537" t="s">
        <v>468</v>
      </c>
      <c r="H2537">
        <v>1000</v>
      </c>
      <c r="J2537">
        <v>1</v>
      </c>
      <c r="K2537" t="str" cm="1">
        <f t="array" ref="K2537">IFERROR(_xlfn.SWITCH(L2537,1,_xlfn.XLOOKUP(C2537,[1]AttributeName!$C:$C,[1]AttributeName!$I:$I),2,_xlfn.XLOOKUP(C2537,[1]ModifierDes!$B:$B,[1]ModifierDes!$C:$C),3,_xlfn.XLOOKUP(C2537,[1]StuntDes!$B:$B,[1]StuntDes!$C:$C)),"")</f>
        <v>攻击暴击率额外提高{0}，攻击暴击伤害额外降低30%</v>
      </c>
      <c r="L2537">
        <f t="shared" si="189"/>
        <v>2</v>
      </c>
      <c r="M2537" s="10" t="str">
        <f>IFERROR(_xlfn.XLOOKUP(C2537,[1]StuntDes!$B:$B,[1]StuntDes!$A:$A),"")</f>
        <v/>
      </c>
      <c r="N2537" s="10">
        <f>IFERROR(_xlfn.XLOOKUP(C2537,[1]ModifierDes!$B:$B,[1]ModifierDes!$A:$A),"")</f>
        <v>10079</v>
      </c>
      <c r="O2537" s="10" t="str">
        <f>IFERROR(_xlfn.XLOOKUP(C2537,[1]AttributeName!$C:$C,[1]AttributeName!$B:$B),"")</f>
        <v/>
      </c>
      <c r="P2537" s="10"/>
      <c r="Q2537">
        <v>0.3</v>
      </c>
      <c r="R2537">
        <v>0.5</v>
      </c>
      <c r="S2537" cm="1">
        <f t="array" ref="S2537">IFERROR(_xlfn.SWITCH(L2537,1,_xlfn.XLOOKUP(O2537,[1]AttributeName!$B:$B,[1]AttributeName!$D:$D),2,_xlfn.XLOOKUP(C2537,[1]ModifierDes!$B:$B,[1]ModifierDes!$D:$D),3,_xlfn.XLOOKUP(C2537,[1]StuntDes!$B:$B,[1]StuntDes!$D:$D)),0)</f>
        <v>2</v>
      </c>
      <c r="T2537" cm="1">
        <f t="array" ref="T2537">IFERROR(_xlfn.SWITCH(L2537,1,_xlfn.XLOOKUP(O2537,[1]AttributeName!$B:$B,[1]AttributeName!$E:$E),2,_xlfn.XLOOKUP(C2537,[1]ModifierDes!$B:$B,[1]ModifierDes!$E:$E),3,_xlfn.XLOOKUP(C2537,[1]StuntDes!$B:$B,[1]StuntDes!$E:$E)),0)</f>
        <v>2</v>
      </c>
    </row>
    <row r="2538" customFormat="1" spans="1:20">
      <c r="A2538">
        <v>101103</v>
      </c>
      <c r="B2538">
        <v>1</v>
      </c>
      <c r="C2538" s="13" t="s">
        <v>438</v>
      </c>
      <c r="D2538" t="s">
        <v>158</v>
      </c>
      <c r="E2538" t="s">
        <v>468</v>
      </c>
      <c r="H2538">
        <v>1000</v>
      </c>
      <c r="J2538">
        <v>1</v>
      </c>
      <c r="K2538" t="str" cm="1">
        <f t="array" ref="K2538">IFERROR(_xlfn.SWITCH(L2538,1,_xlfn.XLOOKUP(C2538,[1]AttributeName!$C:$C,[1]AttributeName!$I:$I),2,_xlfn.XLOOKUP(C2538,[1]ModifierDes!$B:$B,[1]ModifierDes!$C:$C),3,_xlfn.XLOOKUP(C2538,[1]StuntDes!$B:$B,[1]StuntDes!$C:$C)),"")</f>
        <v>火焰抗性增加{0}</v>
      </c>
      <c r="L2538">
        <f t="shared" si="189"/>
        <v>1</v>
      </c>
      <c r="M2538" s="10" t="str">
        <f>IFERROR(_xlfn.XLOOKUP(C2538,[1]StuntDes!$B:$B,[1]StuntDes!$A:$A),"")</f>
        <v/>
      </c>
      <c r="N2538" s="10" t="str">
        <f>IFERROR(_xlfn.XLOOKUP(C2538,[1]ModifierDes!$B:$B,[1]ModifierDes!$A:$A),"")</f>
        <v/>
      </c>
      <c r="O2538" s="10">
        <f>IFERROR(_xlfn.XLOOKUP(C2538,[1]AttributeName!$C:$C,[1]AttributeName!$B:$B),"")</f>
        <v>10312</v>
      </c>
      <c r="P2538" s="10"/>
      <c r="Q2538">
        <v>0.19</v>
      </c>
      <c r="R2538">
        <v>0.25</v>
      </c>
      <c r="S2538" cm="1">
        <f t="array" ref="S2538">IFERROR(_xlfn.SWITCH(L2538,1,_xlfn.XLOOKUP(O2538,[1]AttributeName!$B:$B,[1]AttributeName!$D:$D),2,_xlfn.XLOOKUP(C2538,[1]ModifierDes!$B:$B,[1]ModifierDes!$D:$D),3,_xlfn.XLOOKUP(C2538,[1]StuntDes!$B:$B,[1]StuntDes!$D:$D)),0)</f>
        <v>2</v>
      </c>
      <c r="T2538" cm="1">
        <f t="array" ref="T2538">IFERROR(_xlfn.SWITCH(L2538,1,_xlfn.XLOOKUP(O2538,[1]AttributeName!$B:$B,[1]AttributeName!$E:$E),2,_xlfn.XLOOKUP(C2538,[1]ModifierDes!$B:$B,[1]ModifierDes!$E:$E),3,_xlfn.XLOOKUP(C2538,[1]StuntDes!$B:$B,[1]StuntDes!$E:$E)),0)</f>
        <v>2</v>
      </c>
    </row>
    <row r="2539" customFormat="1" spans="1:20">
      <c r="A2539">
        <v>101201</v>
      </c>
      <c r="B2539">
        <v>1</v>
      </c>
      <c r="C2539" s="13" t="s">
        <v>428</v>
      </c>
      <c r="D2539" t="s">
        <v>189</v>
      </c>
      <c r="E2539" t="s">
        <v>468</v>
      </c>
      <c r="H2539">
        <v>1000</v>
      </c>
      <c r="J2539">
        <v>1</v>
      </c>
      <c r="K2539" t="str" cm="1">
        <f t="array" ref="K2539">IFERROR(_xlfn.SWITCH(L2539,1,_xlfn.XLOOKUP(C2539,[1]AttributeName!$C:$C,[1]AttributeName!$I:$I),2,_xlfn.XLOOKUP(C2539,[1]ModifierDes!$B:$B,[1]ModifierDes!$C:$C),3,_xlfn.XLOOKUP(C2539,[1]StuntDes!$B:$B,[1]StuntDes!$C:$C)),"")</f>
        <v>防御力增加{0}</v>
      </c>
      <c r="L2539">
        <f t="shared" si="189"/>
        <v>1</v>
      </c>
      <c r="M2539" s="10" t="str">
        <f>IFERROR(_xlfn.XLOOKUP(C2539,[1]StuntDes!$B:$B,[1]StuntDes!$A:$A),"")</f>
        <v/>
      </c>
      <c r="N2539" s="10" t="str">
        <f>IFERROR(_xlfn.XLOOKUP(C2539,[1]ModifierDes!$B:$B,[1]ModifierDes!$A:$A),"")</f>
        <v/>
      </c>
      <c r="O2539" s="10">
        <f>IFERROR(_xlfn.XLOOKUP(C2539,[1]AttributeName!$C:$C,[1]AttributeName!$B:$B),"")</f>
        <v>10014</v>
      </c>
      <c r="P2539" s="10"/>
      <c r="Q2539">
        <v>160</v>
      </c>
      <c r="R2539">
        <v>240</v>
      </c>
      <c r="S2539" cm="1">
        <f t="array" ref="S2539">IFERROR(_xlfn.SWITCH(L2539,1,_xlfn.XLOOKUP(O2539,[1]AttributeName!$B:$B,[1]AttributeName!$D:$D),2,_xlfn.XLOOKUP(C2539,[1]ModifierDes!$B:$B,[1]ModifierDes!$D:$D),3,_xlfn.XLOOKUP(C2539,[1]StuntDes!$B:$B,[1]StuntDes!$D:$D)),0)</f>
        <v>0</v>
      </c>
      <c r="T2539" cm="1">
        <f t="array" ref="T2539">IFERROR(_xlfn.SWITCH(L2539,1,_xlfn.XLOOKUP(O2539,[1]AttributeName!$B:$B,[1]AttributeName!$E:$E),2,_xlfn.XLOOKUP(C2539,[1]ModifierDes!$B:$B,[1]ModifierDes!$E:$E),3,_xlfn.XLOOKUP(C2539,[1]StuntDes!$B:$B,[1]StuntDes!$E:$E)),0)</f>
        <v>1</v>
      </c>
    </row>
    <row r="2540" customFormat="1" spans="1:20">
      <c r="A2540">
        <v>101202</v>
      </c>
      <c r="B2540">
        <v>1</v>
      </c>
      <c r="C2540" t="s">
        <v>418</v>
      </c>
      <c r="D2540" t="s">
        <v>189</v>
      </c>
      <c r="E2540" t="s">
        <v>468</v>
      </c>
      <c r="H2540">
        <v>1000</v>
      </c>
      <c r="J2540">
        <v>1</v>
      </c>
      <c r="K2540" t="str" cm="1">
        <f t="array" ref="K2540">IFERROR(_xlfn.SWITCH(L2540,1,_xlfn.XLOOKUP(C2540,[1]AttributeName!$C:$C,[1]AttributeName!$I:$I),2,_xlfn.XLOOKUP(C2540,[1]ModifierDes!$B:$B,[1]ModifierDes!$C:$C),3,_xlfn.XLOOKUP(C2540,[1]StuntDes!$B:$B,[1]StuntDes!$C:$C)),"")</f>
        <v>攻击速度提高{0}</v>
      </c>
      <c r="L2540">
        <f t="shared" si="189"/>
        <v>2</v>
      </c>
      <c r="M2540" s="10" t="str">
        <f>IFERROR(_xlfn.XLOOKUP(C2540,[1]StuntDes!$B:$B,[1]StuntDes!$A:$A),"")</f>
        <v/>
      </c>
      <c r="N2540" s="10">
        <f>IFERROR(_xlfn.XLOOKUP(C2540,[1]ModifierDes!$B:$B,[1]ModifierDes!$A:$A),"")</f>
        <v>10031</v>
      </c>
      <c r="O2540" s="10"/>
      <c r="P2540" s="10"/>
      <c r="Q2540">
        <v>0.07</v>
      </c>
      <c r="R2540">
        <v>0.013</v>
      </c>
      <c r="S2540" cm="1">
        <f t="array" ref="S2540">IFERROR(_xlfn.SWITCH(L2540,1,_xlfn.XLOOKUP(O2540,[1]AttributeName!$B:$B,[1]AttributeName!$D:$D),2,_xlfn.XLOOKUP(C2540,[1]ModifierDes!$B:$B,[1]ModifierDes!$D:$D),3,_xlfn.XLOOKUP(C2540,[1]StuntDes!$B:$B,[1]StuntDes!$D:$D)),0)</f>
        <v>2</v>
      </c>
      <c r="T2540" cm="1">
        <f t="array" ref="T2540">IFERROR(_xlfn.SWITCH(L2540,1,_xlfn.XLOOKUP(O2540,[1]AttributeName!$B:$B,[1]AttributeName!$E:$E),2,_xlfn.XLOOKUP(C2540,[1]ModifierDes!$B:$B,[1]ModifierDes!$E:$E),3,_xlfn.XLOOKUP(C2540,[1]StuntDes!$B:$B,[1]StuntDes!$E:$E)),0)</f>
        <v>2</v>
      </c>
    </row>
    <row r="2541" customFormat="1" spans="1:20">
      <c r="A2541">
        <v>101203</v>
      </c>
      <c r="B2541">
        <v>1</v>
      </c>
      <c r="C2541" t="s">
        <v>481</v>
      </c>
      <c r="D2541" t="s">
        <v>189</v>
      </c>
      <c r="E2541" t="s">
        <v>468</v>
      </c>
      <c r="H2541">
        <v>1000</v>
      </c>
      <c r="J2541">
        <v>1</v>
      </c>
      <c r="K2541" t="str" cm="1">
        <f t="array" ref="K2541">IFERROR(_xlfn.SWITCH(L2541,1,_xlfn.XLOOKUP(C2541,[1]AttributeName!$C:$C,[1]AttributeName!$I:$I),2,_xlfn.XLOOKUP(C2541,[1]ModifierDes!$B:$B,[1]ModifierDes!$C:$C),3,_xlfn.XLOOKUP(C2541,[1]StuntDes!$B:$B,[1]StuntDes!$C:$C)),"")</f>
        <v>冻结效果额外提高{0}</v>
      </c>
      <c r="L2541">
        <f t="shared" si="189"/>
        <v>2</v>
      </c>
      <c r="M2541" s="10" t="str">
        <f>IFERROR(_xlfn.XLOOKUP(C2541,[1]StuntDes!$B:$B,[1]StuntDes!$A:$A),"")</f>
        <v/>
      </c>
      <c r="N2541" s="10">
        <f>IFERROR(_xlfn.XLOOKUP(C2541,[1]ModifierDes!$B:$B,[1]ModifierDes!$A:$A),"")</f>
        <v>10033</v>
      </c>
      <c r="O2541" s="10" t="str">
        <f>IFERROR(_xlfn.XLOOKUP(C2541,[1]AttributeName!$C:$C,[1]AttributeName!$B:$B),"")</f>
        <v/>
      </c>
      <c r="P2541" s="10"/>
      <c r="Q2541">
        <v>1</v>
      </c>
      <c r="R2541">
        <v>1</v>
      </c>
      <c r="S2541" cm="1">
        <f t="array" ref="S2541">IFERROR(_xlfn.SWITCH(L2541,1,_xlfn.XLOOKUP(O2541,[1]AttributeName!$B:$B,[1]AttributeName!$D:$D),2,_xlfn.XLOOKUP(C2541,[1]ModifierDes!$B:$B,[1]ModifierDes!$D:$D),3,_xlfn.XLOOKUP(C2541,[1]StuntDes!$B:$B,[1]StuntDes!$D:$D)),0)</f>
        <v>2</v>
      </c>
      <c r="T2541" cm="1">
        <f t="array" ref="T2541">IFERROR(_xlfn.SWITCH(L2541,1,_xlfn.XLOOKUP(O2541,[1]AttributeName!$B:$B,[1]AttributeName!$E:$E),2,_xlfn.XLOOKUP(C2541,[1]ModifierDes!$B:$B,[1]ModifierDes!$E:$E),3,_xlfn.XLOOKUP(C2541,[1]StuntDes!$B:$B,[1]StuntDes!$E:$E)),0)</f>
        <v>2</v>
      </c>
    </row>
    <row r="2542" customFormat="1" spans="1:20">
      <c r="A2542">
        <v>101204</v>
      </c>
      <c r="B2542">
        <v>1</v>
      </c>
      <c r="C2542" s="13" t="s">
        <v>482</v>
      </c>
      <c r="D2542" t="s">
        <v>189</v>
      </c>
      <c r="E2542" t="s">
        <v>468</v>
      </c>
      <c r="H2542">
        <v>1000</v>
      </c>
      <c r="J2542">
        <v>1</v>
      </c>
      <c r="K2542" t="str" cm="1">
        <f t="array" ref="K2542">IFERROR(_xlfn.SWITCH(L2542,1,_xlfn.XLOOKUP(C2542,[1]AttributeName!$C:$C,[1]AttributeName!$I:$I),2,_xlfn.XLOOKUP(C2542,[1]ModifierDes!$B:$B,[1]ModifierDes!$C:$C),3,_xlfn.XLOOKUP(C2542,[1]StuntDes!$B:$B,[1]StuntDes!$C:$C)),"")</f>
        <v>对处于冻结状态的敌人伤害额外提高{0}</v>
      </c>
      <c r="L2542">
        <f t="shared" si="189"/>
        <v>2</v>
      </c>
      <c r="M2542" s="10" t="str">
        <f>IFERROR(_xlfn.XLOOKUP(C2542,[1]StuntDes!$B:$B,[1]StuntDes!$A:$A),"")</f>
        <v/>
      </c>
      <c r="N2542" s="10">
        <f>IFERROR(_xlfn.XLOOKUP(C2542,[1]ModifierDes!$B:$B,[1]ModifierDes!$A:$A),"")</f>
        <v>10270</v>
      </c>
      <c r="O2542" s="10" t="str">
        <f>IFERROR(_xlfn.XLOOKUP(C2542,[1]AttributeName!$C:$C,[1]AttributeName!$B:$B),"")</f>
        <v/>
      </c>
      <c r="P2542" s="10"/>
      <c r="Q2542">
        <v>0.2</v>
      </c>
      <c r="R2542">
        <v>0.3</v>
      </c>
      <c r="S2542" cm="1">
        <f t="array" ref="S2542">IFERROR(_xlfn.SWITCH(L2542,1,_xlfn.XLOOKUP(O2542,[1]AttributeName!$B:$B,[1]AttributeName!$D:$D),2,_xlfn.XLOOKUP(C2542,[1]ModifierDes!$B:$B,[1]ModifierDes!$D:$D),3,_xlfn.XLOOKUP(C2542,[1]StuntDes!$B:$B,[1]StuntDes!$D:$D)),0)</f>
        <v>2</v>
      </c>
      <c r="T2542" cm="1">
        <f t="array" ref="T2542">IFERROR(_xlfn.SWITCH(L2542,1,_xlfn.XLOOKUP(O2542,[1]AttributeName!$B:$B,[1]AttributeName!$E:$E),2,_xlfn.XLOOKUP(C2542,[1]ModifierDes!$B:$B,[1]ModifierDes!$E:$E),3,_xlfn.XLOOKUP(C2542,[1]StuntDes!$B:$B,[1]StuntDes!$E:$E)),0)</f>
        <v>2</v>
      </c>
    </row>
    <row r="2543" customFormat="1" spans="1:20">
      <c r="A2543">
        <v>101301</v>
      </c>
      <c r="B2543">
        <v>1</v>
      </c>
      <c r="C2543" s="13" t="s">
        <v>483</v>
      </c>
      <c r="D2543" t="s">
        <v>163</v>
      </c>
      <c r="E2543" t="s">
        <v>468</v>
      </c>
      <c r="H2543">
        <v>1000</v>
      </c>
      <c r="J2543">
        <v>1</v>
      </c>
      <c r="K2543" t="str" cm="1">
        <f t="array" ref="K2543">IFERROR(_xlfn.SWITCH(L2543,1,_xlfn.XLOOKUP(C2543,[1]AttributeName!$C:$C,[1]AttributeName!$I:$I),2,_xlfn.XLOOKUP(C2543,[1]ModifierDes!$B:$B,[1]ModifierDes!$C:$C),3,_xlfn.XLOOKUP(C2543,[1]StuntDes!$B:$B,[1]StuntDes!$C:$C)),"")</f>
        <v>当生命大于2000时，中毒伤害提高{0}</v>
      </c>
      <c r="L2543">
        <f t="shared" si="189"/>
        <v>3</v>
      </c>
      <c r="M2543" s="10">
        <f>IFERROR(_xlfn.XLOOKUP(C2543,[1]StuntDes!$B:$B,[1]StuntDes!$A:$A),"")</f>
        <v>2340000020</v>
      </c>
      <c r="N2543" s="10" t="str">
        <f>IFERROR(_xlfn.XLOOKUP(C2543,[1]ModifierDes!$B:$B,[1]ModifierDes!$A:$A),"")</f>
        <v/>
      </c>
      <c r="O2543" s="10" t="str">
        <f>IFERROR(_xlfn.XLOOKUP(C2543,[1]AttributeName!$C:$C,[1]AttributeName!$B:$B),"")</f>
        <v/>
      </c>
      <c r="P2543" s="10"/>
      <c r="Q2543">
        <v>2.1</v>
      </c>
      <c r="R2543">
        <v>3.1</v>
      </c>
      <c r="S2543" cm="1">
        <f t="array" ref="S2543">IFERROR(_xlfn.SWITCH(L2543,1,_xlfn.XLOOKUP(O2543,[1]AttributeName!$B:$B,[1]AttributeName!$D:$D),2,_xlfn.XLOOKUP(C2543,[1]ModifierDes!$B:$B,[1]ModifierDes!$D:$D),3,_xlfn.XLOOKUP(C2543,[1]StuntDes!$B:$B,[1]StuntDes!$D:$D)),0)</f>
        <v>2</v>
      </c>
      <c r="T2543" cm="1">
        <f t="array" ref="T2543">IFERROR(_xlfn.SWITCH(L2543,1,_xlfn.XLOOKUP(O2543,[1]AttributeName!$B:$B,[1]AttributeName!$E:$E),2,_xlfn.XLOOKUP(C2543,[1]ModifierDes!$B:$B,[1]ModifierDes!$E:$E),3,_xlfn.XLOOKUP(C2543,[1]StuntDes!$B:$B,[1]StuntDes!$E:$E)),0)</f>
        <v>2</v>
      </c>
    </row>
    <row r="2544" customFormat="1" spans="1:20">
      <c r="A2544">
        <v>101302</v>
      </c>
      <c r="B2544">
        <v>1</v>
      </c>
      <c r="C2544" t="s">
        <v>484</v>
      </c>
      <c r="D2544" t="s">
        <v>163</v>
      </c>
      <c r="E2544" t="s">
        <v>468</v>
      </c>
      <c r="H2544">
        <v>1000</v>
      </c>
      <c r="J2544">
        <v>1</v>
      </c>
      <c r="K2544" t="str" cm="1">
        <f t="array" ref="K2544">IFERROR(_xlfn.SWITCH(L2544,1,_xlfn.XLOOKUP(C2544,[1]AttributeName!$C:$C,[1]AttributeName!$I:$I),2,_xlfn.XLOOKUP(C2544,[1]ModifierDes!$B:$B,[1]ModifierDes!$C:$C),3,_xlfn.XLOOKUP(C2544,[1]StuntDes!$B:$B,[1]StuntDes!$C:$C)),"")</f>
        <v>当冷却回复效率高于40%时，中毒持续时间增加{0}%</v>
      </c>
      <c r="L2544">
        <f t="shared" si="189"/>
        <v>3</v>
      </c>
      <c r="M2544" s="10">
        <f>IFERROR(_xlfn.XLOOKUP(C2544,[1]StuntDes!$B:$B,[1]StuntDes!$A:$A),"")</f>
        <v>2340000030</v>
      </c>
      <c r="N2544" s="10" t="str">
        <f>IFERROR(_xlfn.XLOOKUP(C2544,[1]ModifierDes!$B:$B,[1]ModifierDes!$A:$A),"")</f>
        <v/>
      </c>
      <c r="O2544" s="10"/>
      <c r="P2544" s="10"/>
      <c r="Q2544">
        <v>0.2</v>
      </c>
      <c r="R2544">
        <v>0.3</v>
      </c>
      <c r="S2544" cm="1">
        <f t="array" ref="S2544">IFERROR(_xlfn.SWITCH(L2544,1,_xlfn.XLOOKUP(O2544,[1]AttributeName!$B:$B,[1]AttributeName!$D:$D),2,_xlfn.XLOOKUP(C2544,[1]ModifierDes!$B:$B,[1]ModifierDes!$D:$D),3,_xlfn.XLOOKUP(C2544,[1]StuntDes!$B:$B,[1]StuntDes!$D:$D)),0)</f>
        <v>2</v>
      </c>
      <c r="T2544" cm="1">
        <f t="array" ref="T2544">IFERROR(_xlfn.SWITCH(L2544,1,_xlfn.XLOOKUP(O2544,[1]AttributeName!$B:$B,[1]AttributeName!$E:$E),2,_xlfn.XLOOKUP(C2544,[1]ModifierDes!$B:$B,[1]ModifierDes!$E:$E),3,_xlfn.XLOOKUP(C2544,[1]StuntDes!$B:$B,[1]StuntDes!$E:$E)),0)</f>
        <v>2</v>
      </c>
    </row>
    <row r="2545" customFormat="1" spans="1:20">
      <c r="A2545">
        <v>101303</v>
      </c>
      <c r="B2545">
        <v>1</v>
      </c>
      <c r="C2545" s="13" t="s">
        <v>441</v>
      </c>
      <c r="D2545" t="s">
        <v>163</v>
      </c>
      <c r="E2545" t="s">
        <v>468</v>
      </c>
      <c r="H2545">
        <v>1000</v>
      </c>
      <c r="J2545">
        <v>1</v>
      </c>
      <c r="K2545" t="str" cm="1">
        <f t="array" ref="K2545">IFERROR(_xlfn.SWITCH(L2545,1,_xlfn.XLOOKUP(C2545,[1]AttributeName!$C:$C,[1]AttributeName!$I:$I),2,_xlfn.XLOOKUP(C2545,[1]ModifierDes!$B:$B,[1]ModifierDes!$C:$C),3,_xlfn.XLOOKUP(C2545,[1]StuntDes!$B:$B,[1]StuntDes!$C:$C)),"")</f>
        <v>混沌抗性增加{0}</v>
      </c>
      <c r="L2545">
        <f t="shared" si="189"/>
        <v>1</v>
      </c>
      <c r="M2545" s="10" t="str">
        <f>IFERROR(_xlfn.XLOOKUP(C2545,[1]StuntDes!$B:$B,[1]StuntDes!$A:$A),"")</f>
        <v/>
      </c>
      <c r="N2545" s="10" t="str">
        <f>IFERROR(_xlfn.XLOOKUP(C2545,[1]ModifierDes!$B:$B,[1]ModifierDes!$A:$A),"")</f>
        <v/>
      </c>
      <c r="O2545" s="10">
        <f>IFERROR(_xlfn.XLOOKUP(C2545,[1]AttributeName!$C:$C,[1]AttributeName!$B:$B),"")</f>
        <v>10315</v>
      </c>
      <c r="P2545" s="10"/>
      <c r="Q2545">
        <v>0.2</v>
      </c>
      <c r="R2545">
        <v>0.3</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101304</v>
      </c>
      <c r="B2546">
        <v>1</v>
      </c>
      <c r="C2546" s="13" t="s">
        <v>407</v>
      </c>
      <c r="D2546" t="s">
        <v>163</v>
      </c>
      <c r="E2546" t="s">
        <v>468</v>
      </c>
      <c r="H2546">
        <v>1000</v>
      </c>
      <c r="J2546">
        <v>1</v>
      </c>
      <c r="K2546" t="str" cm="1">
        <f t="array" ref="K2546">IFERROR(_xlfn.SWITCH(L2546,1,_xlfn.XLOOKUP(C2546,[1]AttributeName!$C:$C,[1]AttributeName!$I:$I),2,_xlfn.XLOOKUP(C2546,[1]ModifierDes!$B:$B,[1]ModifierDes!$C:$C),3,_xlfn.XLOOKUP(C2546,[1]StuntDes!$B:$B,[1]StuntDes!$C:$C)),"")</f>
        <v>基础生命增加{0}</v>
      </c>
      <c r="L2546">
        <f t="shared" si="189"/>
        <v>1</v>
      </c>
      <c r="M2546" s="10" t="str">
        <f>IFERROR(_xlfn.XLOOKUP(C2546,[1]StuntDes!$B:$B,[1]StuntDes!$A:$A),"")</f>
        <v/>
      </c>
      <c r="N2546" s="10" t="str">
        <f>IFERROR(_xlfn.XLOOKUP(C2546,[1]ModifierDes!$B:$B,[1]ModifierDes!$A:$A),"")</f>
        <v/>
      </c>
      <c r="O2546" s="10">
        <f>IFERROR(_xlfn.XLOOKUP(C2546,[1]AttributeName!$C:$C,[1]AttributeName!$B:$B),"")</f>
        <v>10001</v>
      </c>
      <c r="P2546" s="10"/>
      <c r="Q2546">
        <v>350</v>
      </c>
      <c r="R2546">
        <v>450</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1</v>
      </c>
    </row>
    <row r="2547" customFormat="1" spans="1:20">
      <c r="A2547">
        <v>101401</v>
      </c>
      <c r="B2547">
        <v>1</v>
      </c>
      <c r="C2547" s="13" t="s">
        <v>485</v>
      </c>
      <c r="D2547" t="s">
        <v>192</v>
      </c>
      <c r="E2547" t="s">
        <v>468</v>
      </c>
      <c r="H2547">
        <v>1000</v>
      </c>
      <c r="J2547">
        <v>1</v>
      </c>
      <c r="K2547" t="str" cm="1">
        <f t="array" ref="K2547">IFERROR(_xlfn.SWITCH(L2547,1,_xlfn.XLOOKUP(C2547,[1]AttributeName!$C:$C,[1]AttributeName!$I:$I),2,_xlfn.XLOOKUP(C2547,[1]ModifierDes!$B:$B,[1]ModifierDes!$C:$C),3,_xlfn.XLOOKUP(C2547,[1]StuntDes!$B:$B,[1]StuntDes!$C:$C)),"")</f>
        <v>击败冰结的敌人，回复位移技能的15%当前冷却时间</v>
      </c>
      <c r="L2547">
        <f t="shared" si="189"/>
        <v>3</v>
      </c>
      <c r="M2547" s="10">
        <f>IFERROR(_xlfn.XLOOKUP(C2547,[1]StuntDes!$B:$B,[1]StuntDes!$A:$A),"")</f>
        <v>2340000010</v>
      </c>
      <c r="N2547" s="10" t="str">
        <f>IFERROR(_xlfn.XLOOKUP(C2547,[1]ModifierDes!$B:$B,[1]ModifierDes!$A:$A),"")</f>
        <v/>
      </c>
      <c r="O2547" s="10" t="str">
        <f>IFERROR(_xlfn.XLOOKUP(C2547,[1]AttributeName!$C:$C,[1]AttributeName!$B:$B),"")</f>
        <v/>
      </c>
      <c r="P2547" s="10"/>
      <c r="Q2547">
        <v>0</v>
      </c>
      <c r="R2547">
        <v>0</v>
      </c>
      <c r="S2547" cm="1">
        <f t="array" ref="S2547">IFERROR(_xlfn.SWITCH(L2547,1,_xlfn.XLOOKUP(O2547,[1]AttributeName!$B:$B,[1]AttributeName!$D:$D),2,_xlfn.XLOOKUP(C2547,[1]ModifierDes!$B:$B,[1]ModifierDes!$D:$D),3,_xlfn.XLOOKUP(C2547,[1]StuntDes!$B:$B,[1]StuntDes!$D:$D)),0)</f>
        <v>0</v>
      </c>
      <c r="T2547" cm="1">
        <f t="array" ref="T2547">IFERROR(_xlfn.SWITCH(L2547,1,_xlfn.XLOOKUP(O2547,[1]AttributeName!$B:$B,[1]AttributeName!$E:$E),2,_xlfn.XLOOKUP(C2547,[1]ModifierDes!$B:$B,[1]ModifierDes!$E:$E),3,_xlfn.XLOOKUP(C2547,[1]StuntDes!$B:$B,[1]StuntDes!$E:$E)),0)</f>
        <v>0</v>
      </c>
    </row>
    <row r="2548" customFormat="1" spans="1:20">
      <c r="A2548">
        <v>101402</v>
      </c>
      <c r="B2548">
        <v>1</v>
      </c>
      <c r="C2548" t="s">
        <v>428</v>
      </c>
      <c r="D2548" t="s">
        <v>192</v>
      </c>
      <c r="E2548" t="s">
        <v>468</v>
      </c>
      <c r="H2548">
        <v>1000</v>
      </c>
      <c r="J2548">
        <v>1</v>
      </c>
      <c r="K2548" t="str" cm="1">
        <f t="array" ref="K2548">IFERROR(_xlfn.SWITCH(L2548,1,_xlfn.XLOOKUP(C2548,[1]AttributeName!$C:$C,[1]AttributeName!$I:$I),2,_xlfn.XLOOKUP(C2548,[1]ModifierDes!$B:$B,[1]ModifierDes!$C:$C),3,_xlfn.XLOOKUP(C2548,[1]StuntDes!$B:$B,[1]StuntDes!$C:$C)),"")</f>
        <v>防御力增加{0}</v>
      </c>
      <c r="L2548">
        <f t="shared" si="189"/>
        <v>1</v>
      </c>
      <c r="M2548" s="10" t="str">
        <f>IFERROR(_xlfn.XLOOKUP(C2548,[1]StuntDes!$B:$B,[1]StuntDes!$A:$A),"")</f>
        <v/>
      </c>
      <c r="N2548" s="10" t="str">
        <f>IFERROR(_xlfn.XLOOKUP(C2548,[1]ModifierDes!$B:$B,[1]ModifierDes!$A:$A),"")</f>
        <v/>
      </c>
      <c r="O2548" s="10">
        <f>IFERROR(_xlfn.XLOOKUP(C2548,[1]AttributeName!$C:$C,[1]AttributeName!$B:$B),"")</f>
        <v>10014</v>
      </c>
      <c r="P2548" s="10"/>
      <c r="Q2548">
        <v>160</v>
      </c>
      <c r="R2548">
        <v>240</v>
      </c>
      <c r="S2548" cm="1">
        <f t="array" ref="S2548">IFERROR(_xlfn.SWITCH(L2548,1,_xlfn.XLOOKUP(O2548,[1]AttributeName!$B:$B,[1]AttributeName!$D:$D),2,_xlfn.XLOOKUP(C2548,[1]ModifierDes!$B:$B,[1]ModifierDes!$D:$D),3,_xlfn.XLOOKUP(C2548,[1]StuntDes!$B:$B,[1]StuntDes!$D:$D)),0)</f>
        <v>0</v>
      </c>
      <c r="T2548" cm="1">
        <f t="array" ref="T2548">IFERROR(_xlfn.SWITCH(L2548,1,_xlfn.XLOOKUP(O2548,[1]AttributeName!$B:$B,[1]AttributeName!$E:$E),2,_xlfn.XLOOKUP(C2548,[1]ModifierDes!$B:$B,[1]ModifierDes!$E:$E),3,_xlfn.XLOOKUP(C2548,[1]StuntDes!$B:$B,[1]StuntDes!$E:$E)),0)</f>
        <v>1</v>
      </c>
    </row>
    <row r="2549" customFormat="1" spans="1:20">
      <c r="A2549">
        <v>101403</v>
      </c>
      <c r="B2549">
        <v>1</v>
      </c>
      <c r="C2549" s="13" t="s">
        <v>444</v>
      </c>
      <c r="D2549" t="s">
        <v>192</v>
      </c>
      <c r="E2549" t="s">
        <v>468</v>
      </c>
      <c r="H2549">
        <v>1000</v>
      </c>
      <c r="J2549">
        <v>1</v>
      </c>
      <c r="K2549" t="str" cm="1">
        <f t="array" ref="K2549">IFERROR(_xlfn.SWITCH(L2549,1,_xlfn.XLOOKUP(C2549,[1]AttributeName!$C:$C,[1]AttributeName!$I:$I),2,_xlfn.XLOOKUP(C2549,[1]ModifierDes!$B:$B,[1]ModifierDes!$C:$C),3,_xlfn.XLOOKUP(C2549,[1]StuntDes!$B:$B,[1]StuntDes!$C:$C)),"")</f>
        <v>法术伤害提高{0}</v>
      </c>
      <c r="L2549">
        <f t="shared" si="189"/>
        <v>2</v>
      </c>
      <c r="M2549" s="10" t="str">
        <f>IFERROR(_xlfn.XLOOKUP(C2549,[1]StuntDes!$B:$B,[1]StuntDes!$A:$A),"")</f>
        <v/>
      </c>
      <c r="N2549" s="10">
        <f>IFERROR(_xlfn.XLOOKUP(C2549,[1]ModifierDes!$B:$B,[1]ModifierDes!$A:$A),"")</f>
        <v>10067</v>
      </c>
      <c r="O2549" s="10" t="str">
        <f>IFERROR(_xlfn.XLOOKUP(C2549,[1]AttributeName!$C:$C,[1]AttributeName!$B:$B),"")</f>
        <v/>
      </c>
      <c r="P2549" s="10"/>
      <c r="Q2549">
        <v>0.76</v>
      </c>
      <c r="R2549">
        <v>1.2</v>
      </c>
      <c r="S2549" cm="1">
        <f t="array" ref="S2549">IFERROR(_xlfn.SWITCH(L2549,1,_xlfn.XLOOKUP(O2549,[1]AttributeName!$B:$B,[1]AttributeName!$D:$D),2,_xlfn.XLOOKUP(C2549,[1]ModifierDes!$B:$B,[1]ModifierDes!$D:$D),3,_xlfn.XLOOKUP(C2549,[1]StuntDes!$B:$B,[1]StuntDes!$D:$D)),0)</f>
        <v>2</v>
      </c>
      <c r="T2549" cm="1">
        <f t="array" ref="T2549">IFERROR(_xlfn.SWITCH(L2549,1,_xlfn.XLOOKUP(O2549,[1]AttributeName!$B:$B,[1]AttributeName!$E:$E),2,_xlfn.XLOOKUP(C2549,[1]ModifierDes!$B:$B,[1]ModifierDes!$E:$E),3,_xlfn.XLOOKUP(C2549,[1]StuntDes!$B:$B,[1]StuntDes!$E:$E)),0)</f>
        <v>2</v>
      </c>
    </row>
    <row r="2550" customFormat="1" spans="1:20">
      <c r="A2550">
        <v>101404</v>
      </c>
      <c r="B2550">
        <v>1</v>
      </c>
      <c r="C2550" s="13" t="s">
        <v>420</v>
      </c>
      <c r="D2550" t="s">
        <v>192</v>
      </c>
      <c r="E2550" t="s">
        <v>468</v>
      </c>
      <c r="H2550">
        <v>1000</v>
      </c>
      <c r="J2550">
        <v>1</v>
      </c>
      <c r="K2550" t="str" cm="1">
        <f t="array" ref="K2550">IFERROR(_xlfn.SWITCH(L2550,1,_xlfn.XLOOKUP(C2550,[1]AttributeName!$C:$C,[1]AttributeName!$I:$I),2,_xlfn.XLOOKUP(C2550,[1]ModifierDes!$B:$B,[1]ModifierDes!$C:$C),3,_xlfn.XLOOKUP(C2550,[1]StuntDes!$B:$B,[1]StuntDes!$C:$C)),"")</f>
        <v>冻结效果比例增加{0}</v>
      </c>
      <c r="L2550">
        <f t="shared" si="189"/>
        <v>1</v>
      </c>
      <c r="M2550" s="10" t="str">
        <f>IFERROR(_xlfn.XLOOKUP(C2550,[1]StuntDes!$B:$B,[1]StuntDes!$A:$A),"")</f>
        <v/>
      </c>
      <c r="N2550" s="10" t="str">
        <f>IFERROR(_xlfn.XLOOKUP(C2550,[1]ModifierDes!$B:$B,[1]ModifierDes!$A:$A),"")</f>
        <v/>
      </c>
      <c r="O2550" s="10">
        <f>IFERROR(_xlfn.XLOOKUP(C2550,[1]AttributeName!$C:$C,[1]AttributeName!$B:$B),"")</f>
        <v>11008</v>
      </c>
      <c r="P2550" s="10"/>
      <c r="Q2550">
        <v>0.4</v>
      </c>
      <c r="R2550">
        <v>0.6</v>
      </c>
      <c r="S2550" cm="1">
        <f t="array" ref="S2550">IFERROR(_xlfn.SWITCH(L2550,1,_xlfn.XLOOKUP(O2550,[1]AttributeName!$B:$B,[1]AttributeName!$D:$D),2,_xlfn.XLOOKUP(C2550,[1]ModifierDes!$B:$B,[1]ModifierDes!$D:$D),3,_xlfn.XLOOKUP(C2550,[1]StuntDes!$B:$B,[1]StuntDes!$D:$D)),0)</f>
        <v>2</v>
      </c>
      <c r="T2550" cm="1">
        <f t="array" ref="T2550">IFERROR(_xlfn.SWITCH(L2550,1,_xlfn.XLOOKUP(O2550,[1]AttributeName!$B:$B,[1]AttributeName!$E:$E),2,_xlfn.XLOOKUP(C2550,[1]ModifierDes!$B:$B,[1]ModifierDes!$E:$E),3,_xlfn.XLOOKUP(C2550,[1]StuntDes!$B:$B,[1]StuntDes!$E:$E)),0)</f>
        <v>2</v>
      </c>
    </row>
    <row r="2551" customFormat="1" spans="1:20">
      <c r="A2551">
        <v>101501</v>
      </c>
      <c r="B2551">
        <v>1</v>
      </c>
      <c r="C2551" t="s">
        <v>486</v>
      </c>
      <c r="D2551" t="s">
        <v>195</v>
      </c>
      <c r="E2551" t="s">
        <v>468</v>
      </c>
      <c r="H2551">
        <v>1000</v>
      </c>
      <c r="J2551">
        <v>1</v>
      </c>
      <c r="K2551" t="str" cm="1">
        <f t="array" ref="K2551">IFERROR(_xlfn.SWITCH(L2551,1,_xlfn.XLOOKUP(C2551,[1]AttributeName!$C:$C,[1]AttributeName!$I:$I),2,_xlfn.XLOOKUP(C2551,[1]ModifierDes!$B:$B,[1]ModifierDes!$C:$C),3,_xlfn.XLOOKUP(C2551,[1]StuntDes!$B:$B,[1]StuntDes!$C:$C)),"")</f>
        <v>中毒层数上限增加{0}</v>
      </c>
      <c r="L2551">
        <f t="shared" si="189"/>
        <v>2</v>
      </c>
      <c r="M2551" s="10" t="str">
        <f>IFERROR(_xlfn.XLOOKUP(C2551,[1]StuntDes!$B:$B,[1]StuntDes!$A:$A),"")</f>
        <v/>
      </c>
      <c r="N2551" s="10">
        <f>IFERROR(_xlfn.XLOOKUP(C2551,[1]ModifierDes!$B:$B,[1]ModifierDes!$A:$A),"")</f>
        <v>10053</v>
      </c>
      <c r="O2551" s="10">
        <f>IFERROR(_xlfn.XLOOKUP(C2551,[1]AttributeName!$C:$C,[1]AttributeName!$B:$B),"")</f>
        <v>11046</v>
      </c>
      <c r="P2551" s="10"/>
      <c r="Q2551">
        <v>1</v>
      </c>
      <c r="R2551">
        <v>4</v>
      </c>
      <c r="S2551" cm="1">
        <f t="array" ref="S2551">IFERROR(_xlfn.SWITCH(L2551,1,_xlfn.XLOOKUP(O2551,[1]AttributeName!$B:$B,[1]AttributeName!$D:$D),2,_xlfn.XLOOKUP(C2551,[1]ModifierDes!$B:$B,[1]ModifierDes!$D:$D),3,_xlfn.XLOOKUP(C2551,[1]StuntDes!$B:$B,[1]StuntDes!$D:$D)),0)</f>
        <v>0</v>
      </c>
      <c r="T2551" cm="1">
        <f t="array" ref="T2551">IFERROR(_xlfn.SWITCH(L2551,1,_xlfn.XLOOKUP(O2551,[1]AttributeName!$B:$B,[1]AttributeName!$E:$E),2,_xlfn.XLOOKUP(C2551,[1]ModifierDes!$B:$B,[1]ModifierDes!$E:$E),3,_xlfn.XLOOKUP(C2551,[1]StuntDes!$B:$B,[1]StuntDes!$E:$E)),0)</f>
        <v>0</v>
      </c>
    </row>
    <row r="2552" customFormat="1" spans="1:20">
      <c r="A2552">
        <v>101502</v>
      </c>
      <c r="B2552">
        <v>1</v>
      </c>
      <c r="C2552" t="s">
        <v>407</v>
      </c>
      <c r="D2552" t="s">
        <v>195</v>
      </c>
      <c r="E2552" t="s">
        <v>468</v>
      </c>
      <c r="H2552">
        <v>1000</v>
      </c>
      <c r="J2552">
        <v>1</v>
      </c>
      <c r="K2552" t="str" cm="1">
        <f t="array" ref="K2552">IFERROR(_xlfn.SWITCH(L2552,1,_xlfn.XLOOKUP(C2552,[1]AttributeName!$C:$C,[1]AttributeName!$I:$I),2,_xlfn.XLOOKUP(C2552,[1]ModifierDes!$B:$B,[1]ModifierDes!$C:$C),3,_xlfn.XLOOKUP(C2552,[1]StuntDes!$B:$B,[1]StuntDes!$C:$C)),"")</f>
        <v>基础生命增加{0}</v>
      </c>
      <c r="L2552">
        <f t="shared" si="189"/>
        <v>1</v>
      </c>
      <c r="M2552" s="10" t="str">
        <f>IFERROR(_xlfn.XLOOKUP(C2552,[1]StuntDes!$B:$B,[1]StuntDes!$A:$A),"")</f>
        <v/>
      </c>
      <c r="N2552" s="10" t="str">
        <f>IFERROR(_xlfn.XLOOKUP(C2552,[1]ModifierDes!$B:$B,[1]ModifierDes!$A:$A),"")</f>
        <v/>
      </c>
      <c r="O2552" s="10">
        <f>IFERROR(_xlfn.XLOOKUP(C2552,[1]AttributeName!$C:$C,[1]AttributeName!$B:$B),"")</f>
        <v>10001</v>
      </c>
      <c r="P2552" s="10"/>
      <c r="Q2552">
        <v>240</v>
      </c>
      <c r="R2552">
        <v>360</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1</v>
      </c>
    </row>
    <row r="2553" customFormat="1" spans="1:20">
      <c r="A2553">
        <v>101503</v>
      </c>
      <c r="B2553">
        <v>1</v>
      </c>
      <c r="C2553" s="13" t="s">
        <v>444</v>
      </c>
      <c r="D2553" t="s">
        <v>195</v>
      </c>
      <c r="E2553" t="s">
        <v>468</v>
      </c>
      <c r="H2553">
        <v>1000</v>
      </c>
      <c r="J2553">
        <v>1</v>
      </c>
      <c r="K2553" t="str" cm="1">
        <f t="array" ref="K2553">IFERROR(_xlfn.SWITCH(L2553,1,_xlfn.XLOOKUP(C2553,[1]AttributeName!$C:$C,[1]AttributeName!$I:$I),2,_xlfn.XLOOKUP(C2553,[1]ModifierDes!$B:$B,[1]ModifierDes!$C:$C),3,_xlfn.XLOOKUP(C2553,[1]StuntDes!$B:$B,[1]StuntDes!$C:$C)),"")</f>
        <v>法术伤害提高{0}</v>
      </c>
      <c r="L2553">
        <f t="shared" si="189"/>
        <v>2</v>
      </c>
      <c r="M2553" s="10" t="str">
        <f>IFERROR(_xlfn.XLOOKUP(C2553,[1]StuntDes!$B:$B,[1]StuntDes!$A:$A),"")</f>
        <v/>
      </c>
      <c r="N2553" s="10">
        <f>IFERROR(_xlfn.XLOOKUP(C2553,[1]ModifierDes!$B:$B,[1]ModifierDes!$A:$A),"")</f>
        <v>10067</v>
      </c>
      <c r="O2553" s="10" t="str">
        <f>IFERROR(_xlfn.XLOOKUP(C2553,[1]AttributeName!$C:$C,[1]AttributeName!$B:$B),"")</f>
        <v/>
      </c>
      <c r="P2553" s="10"/>
      <c r="Q2553">
        <v>0.55</v>
      </c>
      <c r="R2553">
        <v>0.95</v>
      </c>
      <c r="S2553" cm="1">
        <f t="array" ref="S2553">IFERROR(_xlfn.SWITCH(L2553,1,_xlfn.XLOOKUP(O2553,[1]AttributeName!$B:$B,[1]AttributeName!$D:$D),2,_xlfn.XLOOKUP(C2553,[1]ModifierDes!$B:$B,[1]ModifierDes!$D:$D),3,_xlfn.XLOOKUP(C2553,[1]StuntDes!$B:$B,[1]StuntDes!$D:$D)),0)</f>
        <v>2</v>
      </c>
      <c r="T2553" cm="1">
        <f t="array" ref="T2553">IFERROR(_xlfn.SWITCH(L2553,1,_xlfn.XLOOKUP(O2553,[1]AttributeName!$B:$B,[1]AttributeName!$E:$E),2,_xlfn.XLOOKUP(C2553,[1]ModifierDes!$B:$B,[1]ModifierDes!$E:$E),3,_xlfn.XLOOKUP(C2553,[1]StuntDes!$B:$B,[1]StuntDes!$E:$E)),0)</f>
        <v>2</v>
      </c>
    </row>
    <row r="2554" customFormat="1" spans="1:20">
      <c r="A2554">
        <v>101504</v>
      </c>
      <c r="B2554">
        <v>1</v>
      </c>
      <c r="C2554" s="13" t="s">
        <v>487</v>
      </c>
      <c r="D2554" t="s">
        <v>195</v>
      </c>
      <c r="E2554" t="s">
        <v>468</v>
      </c>
      <c r="H2554">
        <v>1000</v>
      </c>
      <c r="J2554">
        <v>1</v>
      </c>
      <c r="K2554" t="str" cm="1">
        <f t="array" ref="K2554">IFERROR(_xlfn.SWITCH(L2554,1,_xlfn.XLOOKUP(C2554,[1]AttributeName!$C:$C,[1]AttributeName!$I:$I),2,_xlfn.XLOOKUP(C2554,[1]ModifierDes!$B:$B,[1]ModifierDes!$C:$C),3,_xlfn.XLOOKUP(C2554,[1]StuntDes!$B:$B,[1]StuntDes!$C:$C)),"")</f>
        <v>中毒时长比例增加{0}</v>
      </c>
      <c r="L2554">
        <f t="shared" si="189"/>
        <v>1</v>
      </c>
      <c r="M2554" s="10" t="str">
        <f>IFERROR(_xlfn.XLOOKUP(C2554,[1]StuntDes!$B:$B,[1]StuntDes!$A:$A),"")</f>
        <v/>
      </c>
      <c r="N2554" s="10" t="str">
        <f>IFERROR(_xlfn.XLOOKUP(C2554,[1]ModifierDes!$B:$B,[1]ModifierDes!$A:$A),"")</f>
        <v/>
      </c>
      <c r="O2554" s="10">
        <f>IFERROR(_xlfn.XLOOKUP(C2554,[1]AttributeName!$C:$C,[1]AttributeName!$B:$B),"")</f>
        <v>11040</v>
      </c>
      <c r="P2554" s="10"/>
      <c r="Q2554">
        <v>0.2</v>
      </c>
      <c r="R2554">
        <v>0.3</v>
      </c>
      <c r="S2554" cm="1">
        <f t="array" ref="S2554">IFERROR(_xlfn.SWITCH(L2554,1,_xlfn.XLOOKUP(O2554,[1]AttributeName!$B:$B,[1]AttributeName!$D:$D),2,_xlfn.XLOOKUP(C2554,[1]ModifierDes!$B:$B,[1]ModifierDes!$D:$D),3,_xlfn.XLOOKUP(C2554,[1]StuntDes!$B:$B,[1]StuntDes!$D:$D)),0)</f>
        <v>2</v>
      </c>
      <c r="T2554" cm="1">
        <f t="array" ref="T2554">IFERROR(_xlfn.SWITCH(L2554,1,_xlfn.XLOOKUP(O2554,[1]AttributeName!$B:$B,[1]AttributeName!$E:$E),2,_xlfn.XLOOKUP(C2554,[1]ModifierDes!$B:$B,[1]ModifierDes!$E:$E),3,_xlfn.XLOOKUP(C2554,[1]StuntDes!$B:$B,[1]StuntDes!$E:$E)),0)</f>
        <v>2</v>
      </c>
    </row>
    <row r="2555" customFormat="1" spans="1:20">
      <c r="A2555">
        <v>101601</v>
      </c>
      <c r="B2555">
        <v>1</v>
      </c>
      <c r="C2555" t="s">
        <v>488</v>
      </c>
      <c r="D2555" t="s">
        <v>207</v>
      </c>
      <c r="E2555" t="s">
        <v>468</v>
      </c>
      <c r="H2555">
        <v>1000</v>
      </c>
      <c r="J2555">
        <v>1</v>
      </c>
      <c r="K2555" t="str" cm="1">
        <f t="array" ref="K2555">IFERROR(_xlfn.SWITCH(L2555,1,_xlfn.XLOOKUP(C2555,[1]AttributeName!$C:$C,[1]AttributeName!$I:$I),2,_xlfn.XLOOKUP(C2555,[1]ModifierDes!$B:$B,[1]ModifierDes!$C:$C),3,_xlfn.XLOOKUP(C2555,[1]StuntDes!$B:$B,[1]StuntDes!$C:$C)),"")</f>
        <v>幻影数量增加{0}</v>
      </c>
      <c r="L2555">
        <f t="shared" si="189"/>
        <v>2</v>
      </c>
      <c r="M2555" s="10" t="str">
        <f>IFERROR(_xlfn.XLOOKUP(C2555,[1]StuntDes!$B:$B,[1]StuntDes!$A:$A),"")</f>
        <v/>
      </c>
      <c r="N2555" s="10">
        <f>IFERROR(_xlfn.XLOOKUP(C2555,[1]ModifierDes!$B:$B,[1]ModifierDes!$A:$A),"")</f>
        <v>10077</v>
      </c>
      <c r="O2555" s="10" t="str">
        <f>IFERROR(_xlfn.XLOOKUP(C2555,[1]AttributeName!$C:$C,[1]AttributeName!$B:$B),"")</f>
        <v/>
      </c>
      <c r="P2555" s="10"/>
      <c r="Q2555">
        <v>0</v>
      </c>
      <c r="R2555">
        <v>5</v>
      </c>
      <c r="S2555" cm="1">
        <f t="array" ref="S2555">IFERROR(_xlfn.SWITCH(L2555,1,_xlfn.XLOOKUP(O2555,[1]AttributeName!$B:$B,[1]AttributeName!$D:$D),2,_xlfn.XLOOKUP(C2555,[1]ModifierDes!$B:$B,[1]ModifierDes!$D:$D),3,_xlfn.XLOOKUP(C2555,[1]StuntDes!$B:$B,[1]StuntDes!$D:$D)),0)</f>
        <v>0</v>
      </c>
      <c r="T2555" cm="1">
        <f t="array" ref="T2555">IFERROR(_xlfn.SWITCH(L2555,1,_xlfn.XLOOKUP(O2555,[1]AttributeName!$B:$B,[1]AttributeName!$E:$E),2,_xlfn.XLOOKUP(C2555,[1]ModifierDes!$B:$B,[1]ModifierDes!$E:$E),3,_xlfn.XLOOKUP(C2555,[1]StuntDes!$B:$B,[1]StuntDes!$E:$E)),0)</f>
        <v>0</v>
      </c>
    </row>
    <row r="2556" customFormat="1" spans="1:20">
      <c r="A2556">
        <v>101602</v>
      </c>
      <c r="B2556">
        <v>1</v>
      </c>
      <c r="C2556" t="s">
        <v>489</v>
      </c>
      <c r="D2556" t="s">
        <v>207</v>
      </c>
      <c r="E2556" t="s">
        <v>468</v>
      </c>
      <c r="H2556">
        <v>1000</v>
      </c>
      <c r="J2556">
        <v>1</v>
      </c>
      <c r="K2556" t="str" cm="1">
        <f t="array" ref="K2556">IFERROR(_xlfn.SWITCH(L2556,1,_xlfn.XLOOKUP(C2556,[1]AttributeName!$C:$C,[1]AttributeName!$I:$I),2,_xlfn.XLOOKUP(C2556,[1]ModifierDes!$B:$B,[1]ModifierDes!$C:$C),3,_xlfn.XLOOKUP(C2556,[1]StuntDes!$B:$B,[1]StuntDes!$C:$C)),"")</f>
        <v>幻影持续时间提高{0}</v>
      </c>
      <c r="L2556">
        <f t="shared" si="189"/>
        <v>2</v>
      </c>
      <c r="M2556" s="10" t="str">
        <f>IFERROR(_xlfn.XLOOKUP(C2556,[1]StuntDes!$B:$B,[1]StuntDes!$A:$A),"")</f>
        <v/>
      </c>
      <c r="N2556" s="10">
        <f>IFERROR(_xlfn.XLOOKUP(C2556,[1]ModifierDes!$B:$B,[1]ModifierDes!$A:$A),"")</f>
        <v>10123</v>
      </c>
      <c r="O2556" s="10"/>
      <c r="P2556" s="10"/>
      <c r="Q2556">
        <v>0</v>
      </c>
      <c r="R2556">
        <v>1</v>
      </c>
      <c r="S2556" cm="1">
        <f t="array" ref="S2556">IFERROR(_xlfn.SWITCH(L2556,1,_xlfn.XLOOKUP(O2556,[1]AttributeName!$B:$B,[1]AttributeName!$D:$D),2,_xlfn.XLOOKUP(C2556,[1]ModifierDes!$B:$B,[1]ModifierDes!$D:$D),3,_xlfn.XLOOKUP(C2556,[1]StuntDes!$B:$B,[1]StuntDes!$D:$D)),0)</f>
        <v>2</v>
      </c>
      <c r="T2556" cm="1">
        <f t="array" ref="T2556">IFERROR(_xlfn.SWITCH(L2556,1,_xlfn.XLOOKUP(O2556,[1]AttributeName!$B:$B,[1]AttributeName!$E:$E),2,_xlfn.XLOOKUP(C2556,[1]ModifierDes!$B:$B,[1]ModifierDes!$E:$E),3,_xlfn.XLOOKUP(C2556,[1]StuntDes!$B:$B,[1]StuntDes!$E:$E)),0)</f>
        <v>2</v>
      </c>
    </row>
    <row r="2557" customFormat="1" spans="1:20">
      <c r="A2557">
        <v>101603</v>
      </c>
      <c r="B2557">
        <v>1</v>
      </c>
      <c r="C2557" s="13" t="s">
        <v>430</v>
      </c>
      <c r="D2557" t="s">
        <v>207</v>
      </c>
      <c r="E2557" t="s">
        <v>468</v>
      </c>
      <c r="H2557">
        <v>1000</v>
      </c>
      <c r="J2557">
        <v>1</v>
      </c>
      <c r="K2557" t="str" cm="1">
        <f t="array" ref="K2557">IFERROR(_xlfn.SWITCH(L2557,1,_xlfn.XLOOKUP(C2557,[1]AttributeName!$C:$C,[1]AttributeName!$I:$I),2,_xlfn.XLOOKUP(C2557,[1]ModifierDes!$B:$B,[1]ModifierDes!$C:$C),3,_xlfn.XLOOKUP(C2557,[1]StuntDes!$B:$B,[1]StuntDes!$C:$C)),"")</f>
        <v>法术格挡率增加{0}</v>
      </c>
      <c r="L2557">
        <f t="shared" si="189"/>
        <v>1</v>
      </c>
      <c r="M2557" s="10" t="str">
        <f>IFERROR(_xlfn.XLOOKUP(C2557,[1]StuntDes!$B:$B,[1]StuntDes!$A:$A),"")</f>
        <v/>
      </c>
      <c r="N2557" s="10" t="str">
        <f>IFERROR(_xlfn.XLOOKUP(C2557,[1]ModifierDes!$B:$B,[1]ModifierDes!$A:$A),"")</f>
        <v/>
      </c>
      <c r="O2557" s="10">
        <f>IFERROR(_xlfn.XLOOKUP(C2557,[1]AttributeName!$C:$C,[1]AttributeName!$B:$B),"")</f>
        <v>10011</v>
      </c>
      <c r="P2557" s="10"/>
      <c r="Q2557">
        <v>0.12</v>
      </c>
      <c r="R2557">
        <v>0.18</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101604</v>
      </c>
      <c r="B2558">
        <v>1</v>
      </c>
      <c r="C2558" t="s">
        <v>490</v>
      </c>
      <c r="D2558" t="s">
        <v>207</v>
      </c>
      <c r="E2558" t="s">
        <v>468</v>
      </c>
      <c r="H2558">
        <v>1000</v>
      </c>
      <c r="J2558">
        <v>1</v>
      </c>
      <c r="K2558" t="str" cm="1">
        <f t="array" ref="K2558">IFERROR(_xlfn.SWITCH(L2558,1,_xlfn.XLOOKUP(C2558,[1]AttributeName!$C:$C,[1]AttributeName!$I:$I),2,_xlfn.XLOOKUP(C2558,[1]ModifierDes!$B:$B,[1]ModifierDes!$C:$C),3,_xlfn.XLOOKUP(C2558,[1]StuntDes!$B:$B,[1]StuntDes!$C:$C)),"")</f>
        <v>幻影数量上限增加{0}</v>
      </c>
      <c r="L2558">
        <f t="shared" si="189"/>
        <v>2</v>
      </c>
      <c r="M2558" s="10" t="str">
        <f>IFERROR(_xlfn.XLOOKUP(C2558,[1]StuntDes!$B:$B,[1]StuntDes!$A:$A),"")</f>
        <v/>
      </c>
      <c r="N2558" s="10">
        <f>IFERROR(_xlfn.XLOOKUP(C2558,[1]ModifierDes!$B:$B,[1]ModifierDes!$A:$A),"")</f>
        <v>10122</v>
      </c>
      <c r="O2558" s="10" t="str">
        <f>IFERROR(_xlfn.XLOOKUP(C2558,[1]AttributeName!$C:$C,[1]AttributeName!$B:$B),"")</f>
        <v/>
      </c>
      <c r="P2558" s="10"/>
      <c r="Q2558">
        <v>1</v>
      </c>
      <c r="R2558">
        <v>1</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101701</v>
      </c>
      <c r="B2559">
        <v>1</v>
      </c>
      <c r="C2559" t="s">
        <v>401</v>
      </c>
      <c r="D2559" t="s">
        <v>141</v>
      </c>
      <c r="E2559" t="s">
        <v>468</v>
      </c>
      <c r="H2559">
        <v>1000</v>
      </c>
      <c r="J2559">
        <v>1</v>
      </c>
      <c r="K2559" t="str" cm="1">
        <f t="array" ref="K2559">IFERROR(_xlfn.SWITCH(L2559,1,_xlfn.XLOOKUP(C2559,[1]AttributeName!$C:$C,[1]AttributeName!$I:$I),2,_xlfn.XLOOKUP(C2559,[1]ModifierDes!$B:$B,[1]ModifierDes!$C:$C),3,_xlfn.XLOOKUP(C2559,[1]StuntDes!$B:$B,[1]StuntDes!$C:$C)),"")</f>
        <v>获得闪电伤害{0}</v>
      </c>
      <c r="L2559">
        <f t="shared" si="189"/>
        <v>1</v>
      </c>
      <c r="M2559" s="10" t="str">
        <f>IFERROR(_xlfn.XLOOKUP(C2559,[1]StuntDes!$B:$B,[1]StuntDes!$A:$A),"")</f>
        <v/>
      </c>
      <c r="N2559" s="10" t="str">
        <f>IFERROR(_xlfn.XLOOKUP(C2559,[1]ModifierDes!$B:$B,[1]ModifierDes!$A:$A),"")</f>
        <v/>
      </c>
      <c r="O2559" s="10">
        <f>IFERROR(_xlfn.XLOOKUP(C2559,[1]AttributeName!$C:$C,[1]AttributeName!$B:$B),"")</f>
        <v>10503</v>
      </c>
      <c r="P2559" s="10"/>
      <c r="Q2559">
        <v>0.32</v>
      </c>
      <c r="R2559">
        <v>0.48</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101702</v>
      </c>
      <c r="B2560">
        <v>1</v>
      </c>
      <c r="C2560" t="s">
        <v>443</v>
      </c>
      <c r="D2560" t="s">
        <v>141</v>
      </c>
      <c r="E2560" t="s">
        <v>468</v>
      </c>
      <c r="H2560">
        <v>1000</v>
      </c>
      <c r="J2560">
        <v>1</v>
      </c>
      <c r="K2560" t="str" cm="1">
        <f t="array" ref="K2560">IFERROR(_xlfn.SWITCH(L2560,1,_xlfn.XLOOKUP(C2560,[1]AttributeName!$C:$C,[1]AttributeName!$I:$I),2,_xlfn.XLOOKUP(C2560,[1]ModifierDes!$B:$B,[1]ModifierDes!$C:$C),3,_xlfn.XLOOKUP(C2560,[1]StuntDes!$B:$B,[1]StuntDes!$C:$C)),"")</f>
        <v>法术暴击伤害增加{0}</v>
      </c>
      <c r="L2560">
        <f t="shared" si="189"/>
        <v>2</v>
      </c>
      <c r="M2560" s="10" t="str">
        <f>IFERROR(_xlfn.XLOOKUP(C2560,[1]StuntDes!$B:$B,[1]StuntDes!$A:$A),"")</f>
        <v/>
      </c>
      <c r="N2560" s="10">
        <f>IFERROR(_xlfn.XLOOKUP(C2560,[1]ModifierDes!$B:$B,[1]ModifierDes!$A:$A),"")</f>
        <v>10061</v>
      </c>
      <c r="O2560" s="10"/>
      <c r="P2560" s="10"/>
      <c r="Q2560">
        <v>1.2</v>
      </c>
      <c r="R2560">
        <v>1.8</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101703</v>
      </c>
      <c r="B2561">
        <v>1</v>
      </c>
      <c r="C2561" t="s">
        <v>436</v>
      </c>
      <c r="D2561" t="s">
        <v>141</v>
      </c>
      <c r="E2561" t="s">
        <v>468</v>
      </c>
      <c r="H2561">
        <v>1000</v>
      </c>
      <c r="J2561">
        <v>1</v>
      </c>
      <c r="K2561" t="str" cm="1">
        <f t="array" ref="K2561">IFERROR(_xlfn.SWITCH(L2561,1,_xlfn.XLOOKUP(C2561,[1]AttributeName!$C:$C,[1]AttributeName!$I:$I),2,_xlfn.XLOOKUP(C2561,[1]ModifierDes!$B:$B,[1]ModifierDes!$C:$C),3,_xlfn.XLOOKUP(C2561,[1]StuntDes!$B:$B,[1]StuntDes!$C:$C)),"")</f>
        <v>投射物速度提高{0}</v>
      </c>
      <c r="L2561">
        <f t="shared" si="189"/>
        <v>2</v>
      </c>
      <c r="M2561" s="10" t="str">
        <f>IFERROR(_xlfn.XLOOKUP(C2561,[1]StuntDes!$B:$B,[1]StuntDes!$A:$A),"")</f>
        <v/>
      </c>
      <c r="N2561" s="10">
        <f>IFERROR(_xlfn.XLOOKUP(C2561,[1]ModifierDes!$B:$B,[1]ModifierDes!$A:$A),"")</f>
        <v>10049</v>
      </c>
      <c r="O2561" s="10" t="str">
        <f>IFERROR(_xlfn.XLOOKUP(C2561,[1]AttributeName!$C:$C,[1]AttributeName!$B:$B),"")</f>
        <v/>
      </c>
      <c r="P2561" s="10"/>
      <c r="Q2561">
        <v>0.25</v>
      </c>
      <c r="R2561">
        <v>0.35</v>
      </c>
      <c r="S2561" cm="1">
        <f t="array" ref="S2561">IFERROR(_xlfn.SWITCH(L2561,1,_xlfn.XLOOKUP(O2561,[1]AttributeName!$B:$B,[1]AttributeName!$D:$D),2,_xlfn.XLOOKUP(C2561,[1]ModifierDes!$B:$B,[1]ModifierDes!$D:$D),3,_xlfn.XLOOKUP(C2561,[1]StuntDes!$B:$B,[1]StuntDes!$D:$D)),0)</f>
        <v>2</v>
      </c>
      <c r="T2561" cm="1">
        <f t="array" ref="T2561">IFERROR(_xlfn.SWITCH(L2561,1,_xlfn.XLOOKUP(O2561,[1]AttributeName!$B:$B,[1]AttributeName!$E:$E),2,_xlfn.XLOOKUP(C2561,[1]ModifierDes!$B:$B,[1]ModifierDes!$E:$E),3,_xlfn.XLOOKUP(C2561,[1]StuntDes!$B:$B,[1]StuntDes!$E:$E)),0)</f>
        <v>2</v>
      </c>
    </row>
    <row r="2562" customFormat="1" spans="1:20">
      <c r="A2562">
        <v>101704</v>
      </c>
      <c r="B2562">
        <v>1</v>
      </c>
      <c r="C2562" t="s">
        <v>491</v>
      </c>
      <c r="D2562" t="s">
        <v>141</v>
      </c>
      <c r="E2562" t="s">
        <v>468</v>
      </c>
      <c r="H2562">
        <v>1000</v>
      </c>
      <c r="J2562">
        <v>1</v>
      </c>
      <c r="K2562" t="str" cm="1">
        <f t="array" ref="K2562">IFERROR(_xlfn.SWITCH(L2562,1,_xlfn.XLOOKUP(C2562,[1]AttributeName!$C:$C,[1]AttributeName!$I:$I),2,_xlfn.XLOOKUP(C2562,[1]ModifierDes!$B:$B,[1]ModifierDes!$C:$C),3,_xlfn.XLOOKUP(C2562,[1]StuntDes!$B:$B,[1]StuntDes!$C:$C)),"")</f>
        <v>投射物数量增加{0}</v>
      </c>
      <c r="L2562">
        <f t="shared" si="189"/>
        <v>2</v>
      </c>
      <c r="M2562" s="10" t="str">
        <f>IFERROR(_xlfn.XLOOKUP(C2562,[1]StuntDes!$B:$B,[1]StuntDes!$A:$A),"")</f>
        <v/>
      </c>
      <c r="N2562" s="10">
        <f>IFERROR(_xlfn.XLOOKUP(C2562,[1]ModifierDes!$B:$B,[1]ModifierDes!$A:$A),"")</f>
        <v>10038</v>
      </c>
      <c r="O2562" s="10" t="str">
        <f>IFERROR(_xlfn.XLOOKUP(C2562,[1]AttributeName!$C:$C,[1]AttributeName!$B:$B),"")</f>
        <v/>
      </c>
      <c r="P2562" s="10"/>
      <c r="Q2562">
        <v>1</v>
      </c>
      <c r="R2562">
        <v>3</v>
      </c>
      <c r="S2562" cm="1">
        <f t="array" ref="S2562">IFERROR(_xlfn.SWITCH(L2562,1,_xlfn.XLOOKUP(O2562,[1]AttributeName!$B:$B,[1]AttributeName!$D:$D),2,_xlfn.XLOOKUP(C2562,[1]ModifierDes!$B:$B,[1]ModifierDes!$D:$D),3,_xlfn.XLOOKUP(C2562,[1]StuntDes!$B:$B,[1]StuntDes!$D:$D)),0)</f>
        <v>2</v>
      </c>
      <c r="T2562" cm="1">
        <f t="array" ref="T2562">IFERROR(_xlfn.SWITCH(L2562,1,_xlfn.XLOOKUP(O2562,[1]AttributeName!$B:$B,[1]AttributeName!$E:$E),2,_xlfn.XLOOKUP(C2562,[1]ModifierDes!$B:$B,[1]ModifierDes!$E:$E),3,_xlfn.XLOOKUP(C2562,[1]StuntDes!$B:$B,[1]StuntDes!$E:$E)),0)</f>
        <v>2</v>
      </c>
    </row>
    <row r="2563" customFormat="1" spans="1:20">
      <c r="A2563">
        <v>101705</v>
      </c>
      <c r="B2563">
        <v>1</v>
      </c>
      <c r="C2563" t="s">
        <v>492</v>
      </c>
      <c r="D2563" t="s">
        <v>141</v>
      </c>
      <c r="E2563" t="s">
        <v>468</v>
      </c>
      <c r="H2563">
        <v>1000</v>
      </c>
      <c r="J2563">
        <v>1</v>
      </c>
      <c r="K2563" t="str" cm="1">
        <f t="array" ref="K2563">IFERROR(_xlfn.SWITCH(L2563,1,_xlfn.XLOOKUP(C2563,[1]AttributeName!$C:$C,[1]AttributeName!$I:$I),2,_xlfn.XLOOKUP(C2563,[1]ModifierDes!$B:$B,[1]ModifierDes!$C:$C),3,_xlfn.XLOOKUP(C2563,[1]StuntDes!$B:$B,[1]StuntDes!$C:$C)),"")</f>
        <v>法术技能等级增加{0}</v>
      </c>
      <c r="L2563">
        <f t="shared" si="189"/>
        <v>2</v>
      </c>
      <c r="M2563" s="10" t="str">
        <f>IFERROR(_xlfn.XLOOKUP(C2563,[1]StuntDes!$B:$B,[1]StuntDes!$A:$A),"")</f>
        <v/>
      </c>
      <c r="N2563" s="10">
        <f>IFERROR(_xlfn.XLOOKUP(C2563,[1]ModifierDes!$B:$B,[1]ModifierDes!$A:$A),"")</f>
        <v>10162</v>
      </c>
      <c r="O2563" s="10" t="str">
        <f>IFERROR(_xlfn.XLOOKUP(C2563,[1]AttributeName!$C:$C,[1]AttributeName!$B:$B),"")</f>
        <v/>
      </c>
      <c r="P2563" s="10"/>
      <c r="Q2563">
        <v>6</v>
      </c>
      <c r="R2563">
        <v>8</v>
      </c>
      <c r="S2563" cm="1">
        <f t="array" ref="S2563">IFERROR(_xlfn.SWITCH(L2563,1,_xlfn.XLOOKUP(O2563,[1]AttributeName!$B:$B,[1]AttributeName!$D:$D),2,_xlfn.XLOOKUP(C2563,[1]ModifierDes!$B:$B,[1]ModifierDes!$D:$D),3,_xlfn.XLOOKUP(C2563,[1]StuntDes!$B:$B,[1]StuntDes!$D:$D)),0)</f>
        <v>0</v>
      </c>
      <c r="T2563" cm="1">
        <f t="array" ref="T2563">IFERROR(_xlfn.SWITCH(L2563,1,_xlfn.XLOOKUP(O2563,[1]AttributeName!$B:$B,[1]AttributeName!$E:$E),2,_xlfn.XLOOKUP(C2563,[1]ModifierDes!$B:$B,[1]ModifierDes!$E:$E),3,_xlfn.XLOOKUP(C2563,[1]StuntDes!$B:$B,[1]StuntDes!$E:$E)),0)</f>
        <v>0</v>
      </c>
    </row>
    <row r="2564" customFormat="1" spans="1:20">
      <c r="A2564">
        <v>101801</v>
      </c>
      <c r="B2564">
        <v>1</v>
      </c>
      <c r="C2564" t="s">
        <v>408</v>
      </c>
      <c r="D2564" t="s">
        <v>166</v>
      </c>
      <c r="E2564" t="s">
        <v>468</v>
      </c>
      <c r="H2564">
        <v>1000</v>
      </c>
      <c r="J2564">
        <v>1</v>
      </c>
      <c r="K2564" t="str" cm="1">
        <f t="array" ref="K2564">IFERROR(_xlfn.SWITCH(L2564,1,_xlfn.XLOOKUP(C2564,[1]AttributeName!$C:$C,[1]AttributeName!$I:$I),2,_xlfn.XLOOKUP(C2564,[1]ModifierDes!$B:$B,[1]ModifierDes!$C:$C),3,_xlfn.XLOOKUP(C2564,[1]StuntDes!$B:$B,[1]StuntDes!$C:$C)),"")</f>
        <v>基础魔力增加{0}</v>
      </c>
      <c r="L2564">
        <f t="shared" si="189"/>
        <v>1</v>
      </c>
      <c r="M2564" s="10" t="str">
        <f>IFERROR(_xlfn.XLOOKUP(C2564,[1]StuntDes!$B:$B,[1]StuntDes!$A:$A),"")</f>
        <v/>
      </c>
      <c r="N2564" s="10" t="str">
        <f>IFERROR(_xlfn.XLOOKUP(C2564,[1]ModifierDes!$B:$B,[1]ModifierDes!$A:$A),"")</f>
        <v/>
      </c>
      <c r="O2564" s="10">
        <f>IFERROR(_xlfn.XLOOKUP(C2564,[1]AttributeName!$C:$C,[1]AttributeName!$B:$B),"")</f>
        <v>10002</v>
      </c>
      <c r="P2564" s="10"/>
      <c r="Q2564">
        <v>400</v>
      </c>
      <c r="R2564">
        <v>600</v>
      </c>
      <c r="S2564" cm="1">
        <f t="array" ref="S2564">IFERROR(_xlfn.SWITCH(L2564,1,_xlfn.XLOOKUP(O2564,[1]AttributeName!$B:$B,[1]AttributeName!$D:$D),2,_xlfn.XLOOKUP(C2564,[1]ModifierDes!$B:$B,[1]ModifierDes!$D:$D),3,_xlfn.XLOOKUP(C2564,[1]StuntDes!$B:$B,[1]StuntDes!$D:$D)),0)</f>
        <v>0</v>
      </c>
      <c r="T2564" cm="1">
        <f t="array" ref="T2564">IFERROR(_xlfn.SWITCH(L2564,1,_xlfn.XLOOKUP(O2564,[1]AttributeName!$B:$B,[1]AttributeName!$E:$E),2,_xlfn.XLOOKUP(C2564,[1]ModifierDes!$B:$B,[1]ModifierDes!$E:$E),3,_xlfn.XLOOKUP(C2564,[1]StuntDes!$B:$B,[1]StuntDes!$E:$E)),0)</f>
        <v>1</v>
      </c>
    </row>
    <row r="2565" customFormat="1" spans="1:20">
      <c r="A2565">
        <v>101802</v>
      </c>
      <c r="B2565">
        <v>1</v>
      </c>
      <c r="C2565" t="s">
        <v>444</v>
      </c>
      <c r="D2565" t="s">
        <v>166</v>
      </c>
      <c r="E2565" t="s">
        <v>468</v>
      </c>
      <c r="H2565">
        <v>1000</v>
      </c>
      <c r="J2565">
        <v>1</v>
      </c>
      <c r="K2565" t="str" cm="1">
        <f t="array" ref="K2565">IFERROR(_xlfn.SWITCH(L2565,1,_xlfn.XLOOKUP(C2565,[1]AttributeName!$C:$C,[1]AttributeName!$I:$I),2,_xlfn.XLOOKUP(C2565,[1]ModifierDes!$B:$B,[1]ModifierDes!$C:$C),3,_xlfn.XLOOKUP(C2565,[1]StuntDes!$B:$B,[1]StuntDes!$C:$C)),"")</f>
        <v>法术伤害提高{0}</v>
      </c>
      <c r="L2565">
        <f t="shared" si="189"/>
        <v>2</v>
      </c>
      <c r="M2565" s="10" t="str">
        <f>IFERROR(_xlfn.XLOOKUP(C2565,[1]StuntDes!$B:$B,[1]StuntDes!$A:$A),"")</f>
        <v/>
      </c>
      <c r="N2565" s="10">
        <f>IFERROR(_xlfn.XLOOKUP(C2565,[1]ModifierDes!$B:$B,[1]ModifierDes!$A:$A),"")</f>
        <v>10067</v>
      </c>
      <c r="O2565" s="10"/>
      <c r="P2565" s="10"/>
      <c r="Q2565">
        <v>0.8</v>
      </c>
      <c r="R2565">
        <v>1.2</v>
      </c>
      <c r="S2565" cm="1">
        <f t="array" ref="S2565">IFERROR(_xlfn.SWITCH(L2565,1,_xlfn.XLOOKUP(O2565,[1]AttributeName!$B:$B,[1]AttributeName!$D:$D),2,_xlfn.XLOOKUP(C2565,[1]ModifierDes!$B:$B,[1]ModifierDes!$D:$D),3,_xlfn.XLOOKUP(C2565,[1]StuntDes!$B:$B,[1]StuntDes!$D:$D)),0)</f>
        <v>2</v>
      </c>
      <c r="T2565" cm="1">
        <f t="array" ref="T2565">IFERROR(_xlfn.SWITCH(L2565,1,_xlfn.XLOOKUP(O2565,[1]AttributeName!$B:$B,[1]AttributeName!$E:$E),2,_xlfn.XLOOKUP(C2565,[1]ModifierDes!$B:$B,[1]ModifierDes!$E:$E),3,_xlfn.XLOOKUP(C2565,[1]StuntDes!$B:$B,[1]StuntDes!$E:$E)),0)</f>
        <v>2</v>
      </c>
    </row>
    <row r="2566" customFormat="1" spans="1:20">
      <c r="A2566">
        <v>101803</v>
      </c>
      <c r="B2566">
        <v>1</v>
      </c>
      <c r="C2566" t="s">
        <v>493</v>
      </c>
      <c r="D2566" t="s">
        <v>166</v>
      </c>
      <c r="E2566" t="s">
        <v>468</v>
      </c>
      <c r="H2566">
        <v>1000</v>
      </c>
      <c r="J2566">
        <v>1</v>
      </c>
      <c r="K2566" t="str" cm="1">
        <f t="array" ref="K2566">IFERROR(_xlfn.SWITCH(L2566,1,_xlfn.XLOOKUP(C2566,[1]AttributeName!$C:$C,[1]AttributeName!$I:$I),2,_xlfn.XLOOKUP(C2566,[1]ModifierDes!$B:$B,[1]ModifierDes!$C:$C),3,_xlfn.XLOOKUP(C2566,[1]StuntDes!$B:$B,[1]StuntDes!$C:$C)),"")</f>
        <v>魔力回复率额外提高{0}</v>
      </c>
      <c r="L2566">
        <f t="shared" si="189"/>
        <v>2</v>
      </c>
      <c r="M2566" s="10" t="str">
        <f>IFERROR(_xlfn.XLOOKUP(C2566,[1]StuntDes!$B:$B,[1]StuntDes!$A:$A),"")</f>
        <v/>
      </c>
      <c r="N2566" s="10">
        <f>IFERROR(_xlfn.XLOOKUP(C2566,[1]ModifierDes!$B:$B,[1]ModifierDes!$A:$A),"")</f>
        <v>10108</v>
      </c>
      <c r="O2566" s="10" t="str">
        <f>IFERROR(_xlfn.XLOOKUP(C2566,[1]AttributeName!$C:$C,[1]AttributeName!$B:$B),"")</f>
        <v/>
      </c>
      <c r="P2566" s="10"/>
      <c r="Q2566">
        <v>0.1</v>
      </c>
      <c r="R2566">
        <v>0.3</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101804</v>
      </c>
      <c r="B2567">
        <v>1</v>
      </c>
      <c r="C2567" t="s">
        <v>494</v>
      </c>
      <c r="D2567" t="s">
        <v>166</v>
      </c>
      <c r="E2567" t="s">
        <v>468</v>
      </c>
      <c r="H2567">
        <v>1000</v>
      </c>
      <c r="J2567">
        <v>1</v>
      </c>
      <c r="K2567" t="str" cm="1">
        <f t="array" ref="K2567">IFERROR(_xlfn.SWITCH(L2567,1,_xlfn.XLOOKUP(C2567,[1]AttributeName!$C:$C,[1]AttributeName!$I:$I),2,_xlfn.XLOOKUP(C2567,[1]ModifierDes!$B:$B,[1]ModifierDes!$C:$C),3,_xlfn.XLOOKUP(C2567,[1]StuntDes!$B:$B,[1]StuntDes!$C:$C)),"")</f>
        <v>魔力每秒恢复增加{0}</v>
      </c>
      <c r="L2567">
        <f t="shared" si="189"/>
        <v>2</v>
      </c>
      <c r="M2567" s="10" t="str">
        <f>IFERROR(_xlfn.XLOOKUP(C2567,[1]StuntDes!$B:$B,[1]StuntDes!$A:$A),"")</f>
        <v/>
      </c>
      <c r="N2567" s="10">
        <f>IFERROR(_xlfn.XLOOKUP(C2567,[1]ModifierDes!$B:$B,[1]ModifierDes!$A:$A),"")</f>
        <v>10117</v>
      </c>
      <c r="O2567" s="10" t="str">
        <f>IFERROR(_xlfn.XLOOKUP(C2567,[1]AttributeName!$C:$C,[1]AttributeName!$B:$B),"")</f>
        <v/>
      </c>
      <c r="P2567" s="10"/>
      <c r="Q2567">
        <v>10</v>
      </c>
      <c r="R2567">
        <v>20</v>
      </c>
      <c r="S2567" cm="1">
        <f t="array" ref="S2567">IFERROR(_xlfn.SWITCH(L2567,1,_xlfn.XLOOKUP(O2567,[1]AttributeName!$B:$B,[1]AttributeName!$D:$D),2,_xlfn.XLOOKUP(C2567,[1]ModifierDes!$B:$B,[1]ModifierDes!$D:$D),3,_xlfn.XLOOKUP(C2567,[1]StuntDes!$B:$B,[1]StuntDes!$D:$D)),0)</f>
        <v>0</v>
      </c>
      <c r="T2567" cm="1">
        <f t="array" ref="T2567">IFERROR(_xlfn.SWITCH(L2567,1,_xlfn.XLOOKUP(O2567,[1]AttributeName!$B:$B,[1]AttributeName!$E:$E),2,_xlfn.XLOOKUP(C2567,[1]ModifierDes!$B:$B,[1]ModifierDes!$E:$E),3,_xlfn.XLOOKUP(C2567,[1]StuntDes!$B:$B,[1]StuntDes!$E:$E)),0)</f>
        <v>0</v>
      </c>
    </row>
    <row r="2568" customFormat="1" spans="1:20">
      <c r="A2568">
        <v>101805</v>
      </c>
      <c r="B2568">
        <v>1</v>
      </c>
      <c r="C2568" t="s">
        <v>495</v>
      </c>
      <c r="D2568" t="s">
        <v>166</v>
      </c>
      <c r="E2568" t="s">
        <v>468</v>
      </c>
      <c r="H2568">
        <v>1000</v>
      </c>
      <c r="J2568">
        <v>1</v>
      </c>
      <c r="K2568" t="str" cm="1">
        <f t="array" ref="K2568">IFERROR(_xlfn.SWITCH(L2568,1,_xlfn.XLOOKUP(C2568,[1]AttributeName!$C:$C,[1]AttributeName!$I:$I),2,_xlfn.XLOOKUP(C2568,[1]ModifierDes!$B:$B,[1]ModifierDes!$C:$C),3,_xlfn.XLOOKUP(C2568,[1]StuntDes!$B:$B,[1]StuntDes!$C:$C)),"")</f>
        <v>注能持续时间提高{0}</v>
      </c>
      <c r="L2568">
        <f t="shared" si="189"/>
        <v>2</v>
      </c>
      <c r="M2568" s="10" t="str">
        <f>IFERROR(_xlfn.XLOOKUP(C2568,[1]StuntDes!$B:$B,[1]StuntDes!$A:$A),"")</f>
        <v/>
      </c>
      <c r="N2568" s="10">
        <f>IFERROR(_xlfn.XLOOKUP(C2568,[1]ModifierDes!$B:$B,[1]ModifierDes!$A:$A),"")</f>
        <v>10142</v>
      </c>
      <c r="O2568" s="10" t="str">
        <f>IFERROR(_xlfn.XLOOKUP(C2568,[1]AttributeName!$C:$C,[1]AttributeName!$B:$B),"")</f>
        <v/>
      </c>
      <c r="P2568" s="10"/>
      <c r="Q2568">
        <v>0.5</v>
      </c>
      <c r="R2568">
        <v>1</v>
      </c>
      <c r="S2568" cm="1">
        <f t="array" ref="S2568">IFERROR(_xlfn.SWITCH(L2568,1,_xlfn.XLOOKUP(O2568,[1]AttributeName!$B:$B,[1]AttributeName!$D:$D),2,_xlfn.XLOOKUP(C2568,[1]ModifierDes!$B:$B,[1]ModifierDes!$D:$D),3,_xlfn.XLOOKUP(C2568,[1]StuntDes!$B:$B,[1]StuntDes!$D:$D)),0)</f>
        <v>2</v>
      </c>
      <c r="T2568" cm="1">
        <f t="array" ref="T2568">IFERROR(_xlfn.SWITCH(L2568,1,_xlfn.XLOOKUP(O2568,[1]AttributeName!$B:$B,[1]AttributeName!$E:$E),2,_xlfn.XLOOKUP(C2568,[1]ModifierDes!$B:$B,[1]ModifierDes!$E:$E),3,_xlfn.XLOOKUP(C2568,[1]StuntDes!$B:$B,[1]StuntDes!$E:$E)),0)</f>
        <v>2</v>
      </c>
    </row>
    <row r="2569" customFormat="1" spans="1:20">
      <c r="A2569">
        <v>101901</v>
      </c>
      <c r="B2569">
        <v>1</v>
      </c>
      <c r="C2569" t="s">
        <v>447</v>
      </c>
      <c r="D2569" t="s">
        <v>174</v>
      </c>
      <c r="E2569" t="s">
        <v>468</v>
      </c>
      <c r="H2569">
        <v>1000</v>
      </c>
      <c r="J2569">
        <v>1</v>
      </c>
      <c r="K2569" t="str" cm="1">
        <f t="array" ref="K2569">IFERROR(_xlfn.SWITCH(L2569,1,_xlfn.XLOOKUP(C2569,[1]AttributeName!$C:$C,[1]AttributeName!$I:$I),2,_xlfn.XLOOKUP(C2569,[1]ModifierDes!$B:$B,[1]ModifierDes!$C:$C),3,_xlfn.XLOOKUP(C2569,[1]StuntDes!$B:$B,[1]StuntDes!$C:$C)),"")</f>
        <v>移速提高增加{0}</v>
      </c>
      <c r="L2569">
        <f t="shared" si="189"/>
        <v>1</v>
      </c>
      <c r="M2569" s="10" t="str">
        <f>IFERROR(_xlfn.XLOOKUP(C2569,[1]StuntDes!$B:$B,[1]StuntDes!$A:$A),"")</f>
        <v/>
      </c>
      <c r="N2569" s="10" t="str">
        <f>IFERROR(_xlfn.XLOOKUP(C2569,[1]ModifierDes!$B:$B,[1]ModifierDes!$A:$A),"")</f>
        <v/>
      </c>
      <c r="O2569" s="10">
        <f>IFERROR(_xlfn.XLOOKUP(C2569,[1]AttributeName!$C:$C,[1]AttributeName!$B:$B),"")</f>
        <v>10007</v>
      </c>
      <c r="P2569" s="10"/>
      <c r="Q2569">
        <v>0.12</v>
      </c>
      <c r="R2569">
        <v>0.18</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101902</v>
      </c>
      <c r="B2570">
        <v>1</v>
      </c>
      <c r="C2570" t="s">
        <v>449</v>
      </c>
      <c r="D2570" t="s">
        <v>174</v>
      </c>
      <c r="E2570" t="s">
        <v>468</v>
      </c>
      <c r="H2570">
        <v>1000</v>
      </c>
      <c r="J2570">
        <v>1</v>
      </c>
      <c r="K2570" t="str" cm="1">
        <f t="array" ref="K2570">IFERROR(_xlfn.SWITCH(L2570,1,_xlfn.XLOOKUP(C2570,[1]AttributeName!$C:$C,[1]AttributeName!$I:$I),2,_xlfn.XLOOKUP(C2570,[1]ModifierDes!$B:$B,[1]ModifierDes!$C:$C),3,_xlfn.XLOOKUP(C2570,[1]StuntDes!$B:$B,[1]StuntDes!$C:$C)),"")</f>
        <v>火焰伤害提高{0}</v>
      </c>
      <c r="L2570">
        <f t="shared" si="189"/>
        <v>1</v>
      </c>
      <c r="M2570" s="10" t="str">
        <f>IFERROR(_xlfn.XLOOKUP(C2570,[1]StuntDes!$B:$B,[1]StuntDes!$A:$A),"")</f>
        <v/>
      </c>
      <c r="N2570" s="10" t="str">
        <f>IFERROR(_xlfn.XLOOKUP(C2570,[1]ModifierDes!$B:$B,[1]ModifierDes!$A:$A),"")</f>
        <v/>
      </c>
      <c r="O2570" s="10">
        <f>IFERROR(_xlfn.XLOOKUP(C2570,[1]AttributeName!$C:$C,[1]AttributeName!$B:$B),"")</f>
        <v>10304</v>
      </c>
      <c r="P2570" s="10"/>
      <c r="Q2570">
        <v>0.45</v>
      </c>
      <c r="R2570">
        <v>0.75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101903</v>
      </c>
      <c r="B2571">
        <v>1</v>
      </c>
      <c r="C2571" t="s">
        <v>438</v>
      </c>
      <c r="D2571" t="s">
        <v>174</v>
      </c>
      <c r="E2571" t="s">
        <v>468</v>
      </c>
      <c r="H2571">
        <v>1000</v>
      </c>
      <c r="J2571">
        <v>1</v>
      </c>
      <c r="K2571" t="str" cm="1">
        <f t="array" ref="K2571">IFERROR(_xlfn.SWITCH(L2571,1,_xlfn.XLOOKUP(C2571,[1]AttributeName!$C:$C,[1]AttributeName!$I:$I),2,_xlfn.XLOOKUP(C2571,[1]ModifierDes!$B:$B,[1]ModifierDes!$C:$C),3,_xlfn.XLOOKUP(C2571,[1]StuntDes!$B:$B,[1]StuntDes!$C:$C)),"")</f>
        <v>火焰抗性增加{0}</v>
      </c>
      <c r="L2571">
        <f t="shared" si="189"/>
        <v>1</v>
      </c>
      <c r="M2571" s="10" t="str">
        <f>IFERROR(_xlfn.XLOOKUP(C2571,[1]StuntDes!$B:$B,[1]StuntDes!$A:$A),"")</f>
        <v/>
      </c>
      <c r="N2571" s="10" t="str">
        <f>IFERROR(_xlfn.XLOOKUP(C2571,[1]ModifierDes!$B:$B,[1]ModifierDes!$A:$A),"")</f>
        <v/>
      </c>
      <c r="O2571" s="10">
        <f>IFERROR(_xlfn.XLOOKUP(C2571,[1]AttributeName!$C:$C,[1]AttributeName!$B:$B),"")</f>
        <v>10312</v>
      </c>
      <c r="P2571" s="10"/>
      <c r="Q2571">
        <v>0.1</v>
      </c>
      <c r="R2571">
        <v>0.2</v>
      </c>
      <c r="S2571" cm="1">
        <f t="array" ref="S2571">IFERROR(_xlfn.SWITCH(L2571,1,_xlfn.XLOOKUP(O2571,[1]AttributeName!$B:$B,[1]AttributeName!$D:$D),2,_xlfn.XLOOKUP(C2571,[1]ModifierDes!$B:$B,[1]ModifierDes!$D:$D),3,_xlfn.XLOOKUP(C2571,[1]StuntDes!$B:$B,[1]StuntDes!$D:$D)),0)</f>
        <v>2</v>
      </c>
      <c r="T2571" cm="1">
        <f t="array" ref="T2571">IFERROR(_xlfn.SWITCH(L2571,1,_xlfn.XLOOKUP(O2571,[1]AttributeName!$B:$B,[1]AttributeName!$E:$E),2,_xlfn.XLOOKUP(C2571,[1]ModifierDes!$B:$B,[1]ModifierDes!$E:$E),3,_xlfn.XLOOKUP(C2571,[1]StuntDes!$B:$B,[1]StuntDes!$E:$E)),0)</f>
        <v>2</v>
      </c>
    </row>
    <row r="2572" customFormat="1" spans="1:20">
      <c r="A2572">
        <v>101904</v>
      </c>
      <c r="B2572">
        <v>1</v>
      </c>
      <c r="C2572" t="s">
        <v>496</v>
      </c>
      <c r="D2572" t="s">
        <v>174</v>
      </c>
      <c r="E2572" t="s">
        <v>468</v>
      </c>
      <c r="H2572">
        <v>1000</v>
      </c>
      <c r="J2572">
        <v>1</v>
      </c>
      <c r="K2572" t="str" cm="1">
        <f t="array" ref="K2572">IFERROR(_xlfn.SWITCH(L2572,1,_xlfn.XLOOKUP(C2572,[1]AttributeName!$C:$C,[1]AttributeName!$I:$I),2,_xlfn.XLOOKUP(C2572,[1]ModifierDes!$B:$B,[1]ModifierDes!$C:$C),3,_xlfn.XLOOKUP(C2572,[1]StuntDes!$B:$B,[1]StuntDes!$C:$C)),"")</f>
        <v>每隔5秒在脚下生成一片火焰地面，造成相当于20%攻击力的点燃伤害</v>
      </c>
      <c r="L2572">
        <f t="shared" si="189"/>
        <v>3</v>
      </c>
      <c r="M2572" s="10">
        <f>IFERROR(_xlfn.XLOOKUP(C2572,[1]StuntDes!$B:$B,[1]StuntDes!$A:$A),"")</f>
        <v>2340000040</v>
      </c>
      <c r="N2572" s="10" t="str">
        <f>IFERROR(_xlfn.XLOOKUP(C2572,[1]ModifierDes!$B:$B,[1]ModifierDes!$A:$A),"")</f>
        <v/>
      </c>
      <c r="O2572" s="10" t="str">
        <f>IFERROR(_xlfn.XLOOKUP(C2572,[1]AttributeName!$C:$C,[1]AttributeName!$B:$B),"")</f>
        <v/>
      </c>
      <c r="P2572" s="10"/>
      <c r="Q2572">
        <v>0</v>
      </c>
      <c r="R2572">
        <v>0</v>
      </c>
      <c r="S2572" cm="1">
        <f t="array" ref="S2572">IFERROR(_xlfn.SWITCH(L2572,1,_xlfn.XLOOKUP(O2572,[1]AttributeName!$B:$B,[1]AttributeName!$D:$D),2,_xlfn.XLOOKUP(C2572,[1]ModifierDes!$B:$B,[1]ModifierDes!$D:$D),3,_xlfn.XLOOKUP(C2572,[1]StuntDes!$B:$B,[1]StuntDes!$D:$D)),0)</f>
        <v>0</v>
      </c>
      <c r="T2572" cm="1">
        <f t="array" ref="T2572">IFERROR(_xlfn.SWITCH(L2572,1,_xlfn.XLOOKUP(O2572,[1]AttributeName!$B:$B,[1]AttributeName!$E:$E),2,_xlfn.XLOOKUP(C2572,[1]ModifierDes!$B:$B,[1]ModifierDes!$E:$E),3,_xlfn.XLOOKUP(C2572,[1]StuntDes!$B:$B,[1]StuntDes!$E:$E)),0)</f>
        <v>0</v>
      </c>
    </row>
    <row r="2573" customFormat="1" spans="1:20">
      <c r="A2573">
        <v>102001</v>
      </c>
      <c r="B2573">
        <v>1</v>
      </c>
      <c r="C2573" t="s">
        <v>447</v>
      </c>
      <c r="D2573" t="s">
        <v>177</v>
      </c>
      <c r="E2573" t="s">
        <v>468</v>
      </c>
      <c r="H2573">
        <v>1000</v>
      </c>
      <c r="J2573">
        <v>1</v>
      </c>
      <c r="K2573" t="str" cm="1">
        <f t="array" ref="K2573">IFERROR(_xlfn.SWITCH(L2573,1,_xlfn.XLOOKUP(C2573,[1]AttributeName!$C:$C,[1]AttributeName!$I:$I),2,_xlfn.XLOOKUP(C2573,[1]ModifierDes!$B:$B,[1]ModifierDes!$C:$C),3,_xlfn.XLOOKUP(C2573,[1]StuntDes!$B:$B,[1]StuntDes!$C:$C)),"")</f>
        <v>移速提高增加{0}</v>
      </c>
      <c r="L2573">
        <f t="shared" ref="L2573:L2588" si="190">IF(M2573="",IF(N2573="",1,2),3)</f>
        <v>1</v>
      </c>
      <c r="M2573" s="10" t="str">
        <f>IFERROR(_xlfn.XLOOKUP(C2573,[1]StuntDes!$B:$B,[1]StuntDes!$A:$A),"")</f>
        <v/>
      </c>
      <c r="N2573" s="10" t="str">
        <f>IFERROR(_xlfn.XLOOKUP(C2573,[1]ModifierDes!$B:$B,[1]ModifierDes!$A:$A),"")</f>
        <v/>
      </c>
      <c r="O2573" s="10">
        <f>IFERROR(_xlfn.XLOOKUP(C2573,[1]AttributeName!$C:$C,[1]AttributeName!$B:$B),"")</f>
        <v>10007</v>
      </c>
      <c r="P2573" s="10"/>
      <c r="Q2573">
        <v>0.12</v>
      </c>
      <c r="R2573">
        <v>0.18</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102002</v>
      </c>
      <c r="B2574">
        <v>1</v>
      </c>
      <c r="C2574" t="s">
        <v>469</v>
      </c>
      <c r="D2574" t="s">
        <v>177</v>
      </c>
      <c r="E2574" t="s">
        <v>468</v>
      </c>
      <c r="H2574">
        <v>1000</v>
      </c>
      <c r="J2574">
        <v>1</v>
      </c>
      <c r="K2574" t="str" cm="1">
        <f t="array" ref="K2574">IFERROR(_xlfn.SWITCH(L2574,1,_xlfn.XLOOKUP(C2574,[1]AttributeName!$C:$C,[1]AttributeName!$I:$I),2,_xlfn.XLOOKUP(C2574,[1]ModifierDes!$B:$B,[1]ModifierDes!$C:$C),3,_xlfn.XLOOKUP(C2574,[1]StuntDes!$B:$B,[1]StuntDes!$C:$C)),"")</f>
        <v>全局伤害提高增加{0}</v>
      </c>
      <c r="L2574">
        <f t="shared" si="190"/>
        <v>1</v>
      </c>
      <c r="M2574" s="10" t="str">
        <f>IFERROR(_xlfn.XLOOKUP(C2574,[1]StuntDes!$B:$B,[1]StuntDes!$A:$A),"")</f>
        <v/>
      </c>
      <c r="N2574" s="10" t="str">
        <f>IFERROR(_xlfn.XLOOKUP(C2574,[1]ModifierDes!$B:$B,[1]ModifierDes!$A:$A),"")</f>
        <v/>
      </c>
      <c r="O2574" s="10">
        <f>IFERROR(_xlfn.XLOOKUP(C2574,[1]AttributeName!$C:$C,[1]AttributeName!$B:$B),"")</f>
        <v>10300</v>
      </c>
      <c r="P2574" s="10"/>
      <c r="Q2574">
        <v>0.3</v>
      </c>
      <c r="R2574">
        <v>0.5</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102003</v>
      </c>
      <c r="B2575">
        <v>1</v>
      </c>
      <c r="C2575" t="s">
        <v>439</v>
      </c>
      <c r="D2575" t="s">
        <v>177</v>
      </c>
      <c r="E2575" t="s">
        <v>468</v>
      </c>
      <c r="H2575">
        <v>1000</v>
      </c>
      <c r="J2575">
        <v>1</v>
      </c>
      <c r="K2575" t="str" cm="1">
        <f t="array" ref="K2575">IFERROR(_xlfn.SWITCH(L2575,1,_xlfn.XLOOKUP(C2575,[1]AttributeName!$C:$C,[1]AttributeName!$I:$I),2,_xlfn.XLOOKUP(C2575,[1]ModifierDes!$B:$B,[1]ModifierDes!$C:$C),3,_xlfn.XLOOKUP(C2575,[1]StuntDes!$B:$B,[1]StuntDes!$C:$C)),"")</f>
        <v>冰冷抗性增加{0}</v>
      </c>
      <c r="L2575">
        <f t="shared" si="190"/>
        <v>1</v>
      </c>
      <c r="M2575" s="10" t="str">
        <f>IFERROR(_xlfn.XLOOKUP(C2575,[1]StuntDes!$B:$B,[1]StuntDes!$A:$A),"")</f>
        <v/>
      </c>
      <c r="N2575" s="10" t="str">
        <f>IFERROR(_xlfn.XLOOKUP(C2575,[1]ModifierDes!$B:$B,[1]ModifierDes!$A:$A),"")</f>
        <v/>
      </c>
      <c r="O2575" s="10">
        <f>IFERROR(_xlfn.XLOOKUP(C2575,[1]AttributeName!$C:$C,[1]AttributeName!$B:$B),"")</f>
        <v>10313</v>
      </c>
      <c r="P2575" s="10"/>
      <c r="Q2575">
        <v>0.1</v>
      </c>
      <c r="R2575">
        <v>0.2</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102004</v>
      </c>
      <c r="B2576">
        <v>1</v>
      </c>
      <c r="C2576" t="s">
        <v>497</v>
      </c>
      <c r="D2576" t="s">
        <v>177</v>
      </c>
      <c r="E2576" t="s">
        <v>468</v>
      </c>
      <c r="H2576">
        <v>1000</v>
      </c>
      <c r="J2576">
        <v>1</v>
      </c>
      <c r="K2576" t="str" cm="1">
        <f t="array" ref="K2576">IFERROR(_xlfn.SWITCH(L2576,1,_xlfn.XLOOKUP(C2576,[1]AttributeName!$C:$C,[1]AttributeName!$I:$I),2,_xlfn.XLOOKUP(C2576,[1]ModifierDes!$B:$B,[1]ModifierDes!$C:$C),3,_xlfn.XLOOKUP(C2576,[1]StuntDes!$B:$B,[1]StuntDes!$C:$C)),"")</f>
        <v>每移动20米可以获得一层毁灭注能</v>
      </c>
      <c r="L2576">
        <f t="shared" si="190"/>
        <v>3</v>
      </c>
      <c r="M2576" s="10">
        <f>IFERROR(_xlfn.XLOOKUP(C2576,[1]StuntDes!$B:$B,[1]StuntDes!$A:$A),"")</f>
        <v>2340000050</v>
      </c>
      <c r="N2576" s="10" t="str">
        <f>IFERROR(_xlfn.XLOOKUP(C2576,[1]ModifierDes!$B:$B,[1]ModifierDes!$A:$A),"")</f>
        <v/>
      </c>
      <c r="O2576" s="10" t="str">
        <f>IFERROR(_xlfn.XLOOKUP(C2576,[1]AttributeName!$C:$C,[1]AttributeName!$B:$B),"")</f>
        <v/>
      </c>
      <c r="P2576" s="10"/>
      <c r="Q2576">
        <v>0</v>
      </c>
      <c r="R2576">
        <v>0</v>
      </c>
      <c r="S2576" cm="1">
        <f t="array" ref="S2576">IFERROR(_xlfn.SWITCH(L2576,1,_xlfn.XLOOKUP(O2576,[1]AttributeName!$B:$B,[1]AttributeName!$D:$D),2,_xlfn.XLOOKUP(C2576,[1]ModifierDes!$B:$B,[1]ModifierDes!$D:$D),3,_xlfn.XLOOKUP(C2576,[1]StuntDes!$B:$B,[1]StuntDes!$D:$D)),0)</f>
        <v>0</v>
      </c>
      <c r="T2576" cm="1">
        <f t="array" ref="T2576">IFERROR(_xlfn.SWITCH(L2576,1,_xlfn.XLOOKUP(O2576,[1]AttributeName!$B:$B,[1]AttributeName!$E:$E),2,_xlfn.XLOOKUP(C2576,[1]ModifierDes!$B:$B,[1]ModifierDes!$E:$E),3,_xlfn.XLOOKUP(C2576,[1]StuntDes!$B:$B,[1]StuntDes!$E:$E)),0)</f>
        <v>0</v>
      </c>
    </row>
    <row r="2577" customFormat="1" spans="1:20">
      <c r="A2577">
        <v>102101</v>
      </c>
      <c r="B2577">
        <v>1</v>
      </c>
      <c r="C2577" t="s">
        <v>401</v>
      </c>
      <c r="D2577" t="s">
        <v>210</v>
      </c>
      <c r="E2577" t="s">
        <v>468</v>
      </c>
      <c r="H2577">
        <v>1000</v>
      </c>
      <c r="J2577">
        <v>1</v>
      </c>
      <c r="K2577" t="str" cm="1">
        <f t="array" ref="K2577">IFERROR(_xlfn.SWITCH(L2577,1,_xlfn.XLOOKUP(C2577,[1]AttributeName!$C:$C,[1]AttributeName!$I:$I),2,_xlfn.XLOOKUP(C2577,[1]ModifierDes!$B:$B,[1]ModifierDes!$C:$C),3,_xlfn.XLOOKUP(C2577,[1]StuntDes!$B:$B,[1]StuntDes!$C:$C)),"")</f>
        <v>获得闪电伤害{0}</v>
      </c>
      <c r="L2577">
        <f t="shared" si="190"/>
        <v>1</v>
      </c>
      <c r="M2577" s="10" t="str">
        <f>IFERROR(_xlfn.XLOOKUP(C2577,[1]StuntDes!$B:$B,[1]StuntDes!$A:$A),"")</f>
        <v/>
      </c>
      <c r="N2577" s="10" t="str">
        <f>IFERROR(_xlfn.XLOOKUP(C2577,[1]ModifierDes!$B:$B,[1]ModifierDes!$A:$A),"")</f>
        <v/>
      </c>
      <c r="O2577" s="10">
        <f>IFERROR(_xlfn.XLOOKUP(C2577,[1]AttributeName!$C:$C,[1]AttributeName!$B:$B),"")</f>
        <v>10503</v>
      </c>
      <c r="P2577" s="10"/>
      <c r="Q2577">
        <v>0.35</v>
      </c>
      <c r="R2577">
        <v>0.65</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102102</v>
      </c>
      <c r="B2578">
        <v>1</v>
      </c>
      <c r="C2578" t="s">
        <v>414</v>
      </c>
      <c r="D2578" t="s">
        <v>210</v>
      </c>
      <c r="E2578" t="s">
        <v>468</v>
      </c>
      <c r="H2578">
        <v>1000</v>
      </c>
      <c r="J2578">
        <v>1</v>
      </c>
      <c r="K2578" t="str" cm="1">
        <f t="array" ref="K2578">IFERROR(_xlfn.SWITCH(L2578,1,_xlfn.XLOOKUP(C2578,[1]AttributeName!$C:$C,[1]AttributeName!$I:$I),2,_xlfn.XLOOKUP(C2578,[1]ModifierDes!$B:$B,[1]ModifierDes!$C:$C),3,_xlfn.XLOOKUP(C2578,[1]StuntDes!$B:$B,[1]StuntDes!$C:$C)),"")</f>
        <v>闪电技能等级增加{0}</v>
      </c>
      <c r="L2578">
        <f t="shared" si="190"/>
        <v>2</v>
      </c>
      <c r="M2578" s="10" t="str">
        <f>IFERROR(_xlfn.XLOOKUP(C2578,[1]StuntDes!$B:$B,[1]StuntDes!$A:$A),"")</f>
        <v/>
      </c>
      <c r="N2578" s="10">
        <f>IFERROR(_xlfn.XLOOKUP(C2578,[1]ModifierDes!$B:$B,[1]ModifierDes!$A:$A),"")</f>
        <v>10159</v>
      </c>
      <c r="O2578" s="10" t="str">
        <f>IFERROR(_xlfn.XLOOKUP(C2578,[1]AttributeName!$C:$C,[1]AttributeName!$B:$B),"")</f>
        <v/>
      </c>
      <c r="P2578" s="10"/>
      <c r="Q2578">
        <v>1</v>
      </c>
      <c r="R2578">
        <v>3</v>
      </c>
      <c r="S2578" cm="1">
        <f t="array" ref="S2578">IFERROR(_xlfn.SWITCH(L2578,1,_xlfn.XLOOKUP(O2578,[1]AttributeName!$B:$B,[1]AttributeName!$D:$D),2,_xlfn.XLOOKUP(C2578,[1]ModifierDes!$B:$B,[1]ModifierDes!$D:$D),3,_xlfn.XLOOKUP(C2578,[1]StuntDes!$B:$B,[1]StuntDes!$D:$D)),0)</f>
        <v>0</v>
      </c>
      <c r="T2578" cm="1">
        <f t="array" ref="T2578">IFERROR(_xlfn.SWITCH(L2578,1,_xlfn.XLOOKUP(O2578,[1]AttributeName!$B:$B,[1]AttributeName!$E:$E),2,_xlfn.XLOOKUP(C2578,[1]ModifierDes!$B:$B,[1]ModifierDes!$E:$E),3,_xlfn.XLOOKUP(C2578,[1]StuntDes!$B:$B,[1]StuntDes!$E:$E)),0)</f>
        <v>0</v>
      </c>
    </row>
    <row r="2579" customFormat="1" spans="1:20">
      <c r="A2579">
        <v>102103</v>
      </c>
      <c r="B2579">
        <v>1</v>
      </c>
      <c r="C2579" t="s">
        <v>440</v>
      </c>
      <c r="D2579" t="s">
        <v>210</v>
      </c>
      <c r="E2579" t="s">
        <v>468</v>
      </c>
      <c r="H2579">
        <v>1000</v>
      </c>
      <c r="J2579">
        <v>1</v>
      </c>
      <c r="K2579" t="str" cm="1">
        <f t="array" ref="K2579">IFERROR(_xlfn.SWITCH(L2579,1,_xlfn.XLOOKUP(C2579,[1]AttributeName!$C:$C,[1]AttributeName!$I:$I),2,_xlfn.XLOOKUP(C2579,[1]ModifierDes!$B:$B,[1]ModifierDes!$C:$C),3,_xlfn.XLOOKUP(C2579,[1]StuntDes!$B:$B,[1]StuntDes!$C:$C)),"")</f>
        <v>闪电抗性增加{0}</v>
      </c>
      <c r="L2579">
        <f t="shared" si="190"/>
        <v>1</v>
      </c>
      <c r="M2579" s="10" t="str">
        <f>IFERROR(_xlfn.XLOOKUP(C2579,[1]StuntDes!$B:$B,[1]StuntDes!$A:$A),"")</f>
        <v/>
      </c>
      <c r="N2579" s="10" t="str">
        <f>IFERROR(_xlfn.XLOOKUP(C2579,[1]ModifierDes!$B:$B,[1]ModifierDes!$A:$A),"")</f>
        <v/>
      </c>
      <c r="O2579" s="10">
        <f>IFERROR(_xlfn.XLOOKUP(C2579,[1]AttributeName!$C:$C,[1]AttributeName!$B:$B),"")</f>
        <v>10314</v>
      </c>
      <c r="P2579" s="10"/>
      <c r="Q2579">
        <v>0.1</v>
      </c>
      <c r="R2579">
        <v>0.2</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102104</v>
      </c>
      <c r="B2580">
        <v>1</v>
      </c>
      <c r="C2580" t="s">
        <v>498</v>
      </c>
      <c r="D2580" t="s">
        <v>210</v>
      </c>
      <c r="E2580" t="s">
        <v>468</v>
      </c>
      <c r="H2580">
        <v>1000</v>
      </c>
      <c r="J2580">
        <v>1</v>
      </c>
      <c r="K2580" t="str" cm="1">
        <f t="array" ref="K2580">IFERROR(_xlfn.SWITCH(L2580,1,_xlfn.XLOOKUP(C2580,[1]AttributeName!$C:$C,[1]AttributeName!$I:$I),2,_xlfn.XLOOKUP(C2580,[1]ModifierDes!$B:$B,[1]ModifierDes!$C:$C),3,_xlfn.XLOOKUP(C2580,[1]StuntDes!$B:$B,[1]StuntDes!$C:$C)),"")</f>
        <v>旋风技能视为被闪电浸染</v>
      </c>
      <c r="L2580">
        <f t="shared" si="190"/>
        <v>2</v>
      </c>
      <c r="M2580" s="10" t="str">
        <f>IFERROR(_xlfn.XLOOKUP(C2580,[1]StuntDes!$B:$B,[1]StuntDes!$A:$A),"")</f>
        <v/>
      </c>
      <c r="N2580" s="10">
        <f>IFERROR(_xlfn.XLOOKUP(C2580,[1]ModifierDes!$B:$B,[1]ModifierDes!$A:$A),"")</f>
        <v>10148</v>
      </c>
      <c r="O2580" s="10" t="str">
        <f>IFERROR(_xlfn.XLOOKUP(C2580,[1]AttributeName!$C:$C,[1]AttributeName!$B:$B),"")</f>
        <v/>
      </c>
      <c r="P2580" s="10"/>
      <c r="Q2580">
        <v>0</v>
      </c>
      <c r="R2580">
        <v>0</v>
      </c>
      <c r="S2580" cm="1">
        <f t="array" ref="S2580">IFERROR(_xlfn.SWITCH(L2580,1,_xlfn.XLOOKUP(O2580,[1]AttributeName!$B:$B,[1]AttributeName!$D:$D),2,_xlfn.XLOOKUP(C2580,[1]ModifierDes!$B:$B,[1]ModifierDes!$D:$D),3,_xlfn.XLOOKUP(C2580,[1]StuntDes!$B:$B,[1]StuntDes!$D:$D)),0)</f>
        <v>0</v>
      </c>
      <c r="T2580" cm="1">
        <f t="array" ref="T2580">IFERROR(_xlfn.SWITCH(L2580,1,_xlfn.XLOOKUP(O2580,[1]AttributeName!$B:$B,[1]AttributeName!$E:$E),2,_xlfn.XLOOKUP(C2580,[1]ModifierDes!$B:$B,[1]ModifierDes!$E:$E),3,_xlfn.XLOOKUP(C2580,[1]StuntDes!$B:$B,[1]StuntDes!$E:$E)),0)</f>
        <v>0</v>
      </c>
    </row>
    <row r="2581" customFormat="1" spans="1:20">
      <c r="A2581">
        <v>102201</v>
      </c>
      <c r="B2581">
        <v>1</v>
      </c>
      <c r="C2581" t="s">
        <v>407</v>
      </c>
      <c r="D2581" t="s">
        <v>216</v>
      </c>
      <c r="E2581" t="s">
        <v>468</v>
      </c>
      <c r="H2581">
        <v>1000</v>
      </c>
      <c r="J2581">
        <v>1</v>
      </c>
      <c r="K2581" t="str" cm="1">
        <f t="array" ref="K2581">IFERROR(_xlfn.SWITCH(L2581,1,_xlfn.XLOOKUP(C2581,[1]AttributeName!$C:$C,[1]AttributeName!$I:$I),2,_xlfn.XLOOKUP(C2581,[1]ModifierDes!$B:$B,[1]ModifierDes!$C:$C),3,_xlfn.XLOOKUP(C2581,[1]StuntDes!$B:$B,[1]StuntDes!$C:$C)),"")</f>
        <v>基础生命增加{0}</v>
      </c>
      <c r="L2581">
        <f t="shared" si="190"/>
        <v>1</v>
      </c>
      <c r="M2581" s="10" t="str">
        <f>IFERROR(_xlfn.XLOOKUP(C2581,[1]StuntDes!$B:$B,[1]StuntDes!$A:$A),"")</f>
        <v/>
      </c>
      <c r="N2581" s="10" t="str">
        <f>IFERROR(_xlfn.XLOOKUP(C2581,[1]ModifierDes!$B:$B,[1]ModifierDes!$A:$A),"")</f>
        <v/>
      </c>
      <c r="O2581" s="10">
        <f>IFERROR(_xlfn.XLOOKUP(C2581,[1]AttributeName!$C:$C,[1]AttributeName!$B:$B),"")</f>
        <v>10001</v>
      </c>
      <c r="P2581" s="10"/>
      <c r="Q2581">
        <v>240</v>
      </c>
      <c r="R2581">
        <v>360</v>
      </c>
      <c r="S2581" cm="1">
        <f t="array" ref="S2581">IFERROR(_xlfn.SWITCH(L2581,1,_xlfn.XLOOKUP(O2581,[1]AttributeName!$B:$B,[1]AttributeName!$D:$D),2,_xlfn.XLOOKUP(C2581,[1]ModifierDes!$B:$B,[1]ModifierDes!$D:$D),3,_xlfn.XLOOKUP(C2581,[1]StuntDes!$B:$B,[1]StuntDes!$D:$D)),0)</f>
        <v>0</v>
      </c>
      <c r="T2581" cm="1">
        <f t="array" ref="T2581">IFERROR(_xlfn.SWITCH(L2581,1,_xlfn.XLOOKUP(O2581,[1]AttributeName!$B:$B,[1]AttributeName!$E:$E),2,_xlfn.XLOOKUP(C2581,[1]ModifierDes!$B:$B,[1]ModifierDes!$E:$E),3,_xlfn.XLOOKUP(C2581,[1]StuntDes!$B:$B,[1]StuntDes!$E:$E)),0)</f>
        <v>1</v>
      </c>
    </row>
    <row r="2582" customFormat="1" spans="1:20">
      <c r="A2582">
        <v>102202</v>
      </c>
      <c r="B2582">
        <v>1</v>
      </c>
      <c r="C2582" t="s">
        <v>448</v>
      </c>
      <c r="D2582" t="s">
        <v>216</v>
      </c>
      <c r="E2582" t="s">
        <v>468</v>
      </c>
      <c r="H2582">
        <v>1000</v>
      </c>
      <c r="J2582">
        <v>1</v>
      </c>
      <c r="K2582" t="str" cm="1">
        <f t="array" ref="K2582">IFERROR(_xlfn.SWITCH(L2582,1,_xlfn.XLOOKUP(C2582,[1]AttributeName!$C:$C,[1]AttributeName!$I:$I),2,_xlfn.XLOOKUP(C2582,[1]ModifierDes!$B:$B,[1]ModifierDes!$C:$C),3,_xlfn.XLOOKUP(C2582,[1]StuntDes!$B:$B,[1]StuntDes!$C:$C)),"")</f>
        <v>施法速度提高{0}</v>
      </c>
      <c r="L2582">
        <f t="shared" si="190"/>
        <v>2</v>
      </c>
      <c r="M2582" s="10" t="str">
        <f>IFERROR(_xlfn.XLOOKUP(C2582,[1]StuntDes!$B:$B,[1]StuntDes!$A:$A),"")</f>
        <v/>
      </c>
      <c r="N2582" s="10">
        <f>IFERROR(_xlfn.XLOOKUP(C2582,[1]ModifierDes!$B:$B,[1]ModifierDes!$A:$A),"")</f>
        <v>10050</v>
      </c>
      <c r="O2582" s="10" t="str">
        <f>IFERROR(_xlfn.XLOOKUP(C2582,[1]AttributeName!$C:$C,[1]AttributeName!$B:$B),"")</f>
        <v/>
      </c>
      <c r="P2582" s="10"/>
      <c r="Q2582">
        <v>0.1</v>
      </c>
      <c r="R2582">
        <v>0.2</v>
      </c>
      <c r="S2582" cm="1">
        <f t="array" ref="S2582">IFERROR(_xlfn.SWITCH(L2582,1,_xlfn.XLOOKUP(O2582,[1]AttributeName!$B:$B,[1]AttributeName!$D:$D),2,_xlfn.XLOOKUP(C2582,[1]ModifierDes!$B:$B,[1]ModifierDes!$D:$D),3,_xlfn.XLOOKUP(C2582,[1]StuntDes!$B:$B,[1]StuntDes!$D:$D)),0)</f>
        <v>2</v>
      </c>
      <c r="T2582" cm="1">
        <f t="array" ref="T2582">IFERROR(_xlfn.SWITCH(L2582,1,_xlfn.XLOOKUP(O2582,[1]AttributeName!$B:$B,[1]AttributeName!$E:$E),2,_xlfn.XLOOKUP(C2582,[1]ModifierDes!$B:$B,[1]ModifierDes!$E:$E),3,_xlfn.XLOOKUP(C2582,[1]StuntDes!$B:$B,[1]StuntDes!$E:$E)),0)</f>
        <v>2</v>
      </c>
    </row>
    <row r="2583" customFormat="1" spans="1:20">
      <c r="A2583">
        <v>102203</v>
      </c>
      <c r="B2583">
        <v>1</v>
      </c>
      <c r="C2583" t="s">
        <v>499</v>
      </c>
      <c r="D2583" t="s">
        <v>216</v>
      </c>
      <c r="E2583" t="s">
        <v>468</v>
      </c>
      <c r="H2583">
        <v>1000</v>
      </c>
      <c r="J2583">
        <v>1</v>
      </c>
      <c r="K2583" t="str" cm="1">
        <f t="array" ref="K2583">IFERROR(_xlfn.SWITCH(L2583,1,_xlfn.XLOOKUP(C2583,[1]AttributeName!$C:$C,[1]AttributeName!$I:$I),2,_xlfn.XLOOKUP(C2583,[1]ModifierDes!$B:$B,[1]ModifierDes!$C:$C),3,_xlfn.XLOOKUP(C2583,[1]StuntDes!$B:$B,[1]StuntDes!$C:$C)),"")</f>
        <v>范围伤害提高{0}</v>
      </c>
      <c r="L2583">
        <f t="shared" si="190"/>
        <v>2</v>
      </c>
      <c r="M2583" s="10" t="str">
        <f>IFERROR(_xlfn.XLOOKUP(C2583,[1]StuntDes!$B:$B,[1]StuntDes!$A:$A),"")</f>
        <v/>
      </c>
      <c r="N2583" s="10">
        <f>IFERROR(_xlfn.XLOOKUP(C2583,[1]ModifierDes!$B:$B,[1]ModifierDes!$A:$A),"")</f>
        <v>10062</v>
      </c>
      <c r="O2583" s="10" t="str">
        <f>IFERROR(_xlfn.XLOOKUP(C2583,[1]AttributeName!$C:$C,[1]AttributeName!$B:$B),"")</f>
        <v/>
      </c>
      <c r="P2583" s="10"/>
      <c r="Q2583">
        <v>0.35</v>
      </c>
      <c r="R2583">
        <v>0.65</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102204</v>
      </c>
      <c r="B2584">
        <v>1</v>
      </c>
      <c r="C2584" t="s">
        <v>456</v>
      </c>
      <c r="D2584" t="s">
        <v>216</v>
      </c>
      <c r="E2584" t="s">
        <v>468</v>
      </c>
      <c r="H2584">
        <v>1000</v>
      </c>
      <c r="J2584">
        <v>1</v>
      </c>
      <c r="K2584" t="str" cm="1">
        <f t="array" ref="K2584">IFERROR(_xlfn.SWITCH(L2584,1,_xlfn.XLOOKUP(C2584,[1]AttributeName!$C:$C,[1]AttributeName!$I:$I),2,_xlfn.XLOOKUP(C2584,[1]ModifierDes!$B:$B,[1]ModifierDes!$C:$C),3,_xlfn.XLOOKUP(C2584,[1]StuntDes!$B:$B,[1]StuntDes!$C:$C)),"")</f>
        <v>毁灭注能层数上限增加{0}</v>
      </c>
      <c r="L2584">
        <f t="shared" si="190"/>
        <v>2</v>
      </c>
      <c r="M2584" s="10" t="str">
        <f>IFERROR(_xlfn.XLOOKUP(C2584,[1]StuntDes!$B:$B,[1]StuntDes!$A:$A),"")</f>
        <v/>
      </c>
      <c r="N2584" s="10">
        <f>IFERROR(_xlfn.XLOOKUP(C2584,[1]ModifierDes!$B:$B,[1]ModifierDes!$A:$A),"")</f>
        <v>10149</v>
      </c>
      <c r="O2584" s="10" t="str">
        <f>IFERROR(_xlfn.XLOOKUP(C2584,[1]AttributeName!$C:$C,[1]AttributeName!$B:$B),"")</f>
        <v/>
      </c>
      <c r="P2584" s="10"/>
      <c r="Q2584">
        <v>1</v>
      </c>
      <c r="R2584">
        <v>1</v>
      </c>
      <c r="S2584" cm="1">
        <f t="array" ref="S2584">IFERROR(_xlfn.SWITCH(L2584,1,_xlfn.XLOOKUP(O2584,[1]AttributeName!$B:$B,[1]AttributeName!$D:$D),2,_xlfn.XLOOKUP(C2584,[1]ModifierDes!$B:$B,[1]ModifierDes!$D:$D),3,_xlfn.XLOOKUP(C2584,[1]StuntDes!$B:$B,[1]StuntDes!$D:$D)),0)</f>
        <v>0</v>
      </c>
      <c r="T2584" cm="1">
        <f t="array" ref="T2584">IFERROR(_xlfn.SWITCH(L2584,1,_xlfn.XLOOKUP(O2584,[1]AttributeName!$B:$B,[1]AttributeName!$E:$E),2,_xlfn.XLOOKUP(C2584,[1]ModifierDes!$B:$B,[1]ModifierDes!$E:$E),3,_xlfn.XLOOKUP(C2584,[1]StuntDes!$B:$B,[1]StuntDes!$E:$E)),0)</f>
        <v>0</v>
      </c>
    </row>
    <row r="2585" customFormat="1" spans="1:20">
      <c r="A2585">
        <v>102301</v>
      </c>
      <c r="B2585">
        <v>1</v>
      </c>
      <c r="C2585" t="s">
        <v>400</v>
      </c>
      <c r="D2585" t="s">
        <v>219</v>
      </c>
      <c r="E2585" t="s">
        <v>468</v>
      </c>
      <c r="H2585">
        <v>1000</v>
      </c>
      <c r="J2585">
        <v>1</v>
      </c>
      <c r="K2585" t="str" cm="1">
        <f t="array" ref="K2585">IFERROR(_xlfn.SWITCH(L2585,1,_xlfn.XLOOKUP(C2585,[1]AttributeName!$C:$C,[1]AttributeName!$I:$I),2,_xlfn.XLOOKUP(C2585,[1]ModifierDes!$B:$B,[1]ModifierDes!$C:$C),3,_xlfn.XLOOKUP(C2585,[1]StuntDes!$B:$B,[1]StuntDes!$C:$C)),"")</f>
        <v>获得冰冷伤害{0}</v>
      </c>
      <c r="L2585">
        <f t="shared" si="190"/>
        <v>1</v>
      </c>
      <c r="M2585" s="10" t="str">
        <f>IFERROR(_xlfn.XLOOKUP(C2585,[1]StuntDes!$B:$B,[1]StuntDes!$A:$A),"")</f>
        <v/>
      </c>
      <c r="N2585" s="10" t="str">
        <f>IFERROR(_xlfn.XLOOKUP(C2585,[1]ModifierDes!$B:$B,[1]ModifierDes!$A:$A),"")</f>
        <v/>
      </c>
      <c r="O2585" s="10">
        <f>IFERROR(_xlfn.XLOOKUP(C2585,[1]AttributeName!$C:$C,[1]AttributeName!$B:$B),"")</f>
        <v>10502</v>
      </c>
      <c r="P2585" s="10"/>
      <c r="Q2585">
        <v>0.25</v>
      </c>
      <c r="R2585">
        <v>0.35</v>
      </c>
      <c r="S2585" cm="1">
        <f t="array" ref="S2585">IFERROR(_xlfn.SWITCH(L2585,1,_xlfn.XLOOKUP(O2585,[1]AttributeName!$B:$B,[1]AttributeName!$D:$D),2,_xlfn.XLOOKUP(C2585,[1]ModifierDes!$B:$B,[1]ModifierDes!$D:$D),3,_xlfn.XLOOKUP(C2585,[1]StuntDes!$B:$B,[1]StuntDes!$D:$D)),0)</f>
        <v>2</v>
      </c>
      <c r="T2585" cm="1">
        <f t="array" ref="T2585">IFERROR(_xlfn.SWITCH(L2585,1,_xlfn.XLOOKUP(O2585,[1]AttributeName!$B:$B,[1]AttributeName!$E:$E),2,_xlfn.XLOOKUP(C2585,[1]ModifierDes!$B:$B,[1]ModifierDes!$E:$E),3,_xlfn.XLOOKUP(C2585,[1]StuntDes!$B:$B,[1]StuntDes!$E:$E)),0)</f>
        <v>2</v>
      </c>
    </row>
    <row r="2586" customFormat="1" spans="1:20">
      <c r="A2586">
        <v>102302</v>
      </c>
      <c r="B2586">
        <v>1</v>
      </c>
      <c r="C2586" t="s">
        <v>450</v>
      </c>
      <c r="D2586" t="s">
        <v>219</v>
      </c>
      <c r="E2586" t="s">
        <v>468</v>
      </c>
      <c r="H2586">
        <v>1000</v>
      </c>
      <c r="J2586">
        <v>1</v>
      </c>
      <c r="K2586" t="str" cm="1">
        <f t="array" ref="K2586">IFERROR(_xlfn.SWITCH(L2586,1,_xlfn.XLOOKUP(C2586,[1]AttributeName!$C:$C,[1]AttributeName!$I:$I),2,_xlfn.XLOOKUP(C2586,[1]ModifierDes!$B:$B,[1]ModifierDes!$C:$C),3,_xlfn.XLOOKUP(C2586,[1]StuntDes!$B:$B,[1]StuntDes!$C:$C)),"")</f>
        <v>冰冷伤害提高{0}</v>
      </c>
      <c r="L2586">
        <f t="shared" si="190"/>
        <v>1</v>
      </c>
      <c r="M2586" s="10" t="str">
        <f>IFERROR(_xlfn.XLOOKUP(C2586,[1]StuntDes!$B:$B,[1]StuntDes!$A:$A),"")</f>
        <v/>
      </c>
      <c r="N2586" s="10" t="str">
        <f>IFERROR(_xlfn.XLOOKUP(C2586,[1]ModifierDes!$B:$B,[1]ModifierDes!$A:$A),"")</f>
        <v/>
      </c>
      <c r="O2586" s="10">
        <f>IFERROR(_xlfn.XLOOKUP(C2586,[1]AttributeName!$C:$C,[1]AttributeName!$B:$B),"")</f>
        <v>10305</v>
      </c>
      <c r="P2586" s="10"/>
      <c r="Q2586">
        <v>0.3</v>
      </c>
      <c r="R2586">
        <v>0.5</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102303</v>
      </c>
      <c r="B2587">
        <v>1</v>
      </c>
      <c r="C2587" t="s">
        <v>475</v>
      </c>
      <c r="D2587" t="s">
        <v>219</v>
      </c>
      <c r="E2587" t="s">
        <v>468</v>
      </c>
      <c r="H2587">
        <v>1000</v>
      </c>
      <c r="J2587">
        <v>1</v>
      </c>
      <c r="K2587" t="str" cm="1">
        <f t="array" ref="K2587">IFERROR(_xlfn.SWITCH(L2587,1,_xlfn.XLOOKUP(C2587,[1]AttributeName!$C:$C,[1]AttributeName!$I:$I),2,_xlfn.XLOOKUP(C2587,[1]ModifierDes!$B:$B,[1]ModifierDes!$C:$C),3,_xlfn.XLOOKUP(C2587,[1]StuntDes!$B:$B,[1]StuntDes!$C:$C)),"")</f>
        <v>物理伤害转冰冷伤害增加{0}</v>
      </c>
      <c r="L2587">
        <f t="shared" si="190"/>
        <v>2</v>
      </c>
      <c r="M2587" s="10" t="str">
        <f>IFERROR(_xlfn.XLOOKUP(C2587,[1]StuntDes!$B:$B,[1]StuntDes!$A:$A),"")</f>
        <v/>
      </c>
      <c r="N2587" s="10">
        <f>IFERROR(_xlfn.XLOOKUP(C2587,[1]ModifierDes!$B:$B,[1]ModifierDes!$A:$A),"")</f>
        <v>10070</v>
      </c>
      <c r="O2587" s="10" t="str">
        <f>IFERROR(_xlfn.XLOOKUP(C2587,[1]AttributeName!$C:$C,[1]AttributeName!$B:$B),"")</f>
        <v/>
      </c>
      <c r="P2587" s="10"/>
      <c r="Q2587">
        <v>0.8</v>
      </c>
      <c r="R2587">
        <v>1.1</v>
      </c>
      <c r="S2587" cm="1">
        <f t="array" ref="S2587">IFERROR(_xlfn.SWITCH(L2587,1,_xlfn.XLOOKUP(O2587,[1]AttributeName!$B:$B,[1]AttributeName!$D:$D),2,_xlfn.XLOOKUP(C2587,[1]ModifierDes!$B:$B,[1]ModifierDes!$D:$D),3,_xlfn.XLOOKUP(C2587,[1]StuntDes!$B:$B,[1]StuntDes!$D:$D)),0)</f>
        <v>2</v>
      </c>
      <c r="T2587" cm="1">
        <f t="array" ref="T2587">IFERROR(_xlfn.SWITCH(L2587,1,_xlfn.XLOOKUP(O2587,[1]AttributeName!$B:$B,[1]AttributeName!$E:$E),2,_xlfn.XLOOKUP(C2587,[1]ModifierDes!$B:$B,[1]ModifierDes!$E:$E),3,_xlfn.XLOOKUP(C2587,[1]StuntDes!$B:$B,[1]StuntDes!$E:$E)),0)</f>
        <v>2</v>
      </c>
    </row>
    <row r="2588" customFormat="1" spans="1:20">
      <c r="A2588">
        <v>102304</v>
      </c>
      <c r="B2588">
        <v>1</v>
      </c>
      <c r="C2588" t="s">
        <v>481</v>
      </c>
      <c r="D2588" t="s">
        <v>219</v>
      </c>
      <c r="E2588" t="s">
        <v>468</v>
      </c>
      <c r="H2588">
        <v>1000</v>
      </c>
      <c r="J2588">
        <v>1</v>
      </c>
      <c r="K2588" t="str" cm="1">
        <f t="array" ref="K2588">IFERROR(_xlfn.SWITCH(L2588,1,_xlfn.XLOOKUP(C2588,[1]AttributeName!$C:$C,[1]AttributeName!$I:$I),2,_xlfn.XLOOKUP(C2588,[1]ModifierDes!$B:$B,[1]ModifierDes!$C:$C),3,_xlfn.XLOOKUP(C2588,[1]StuntDes!$B:$B,[1]StuntDes!$C:$C)),"")</f>
        <v>冻结效果额外提高{0}</v>
      </c>
      <c r="L2588">
        <f t="shared" si="190"/>
        <v>2</v>
      </c>
      <c r="M2588" s="10" t="str">
        <f>IFERROR(_xlfn.XLOOKUP(C2588,[1]StuntDes!$B:$B,[1]StuntDes!$A:$A),"")</f>
        <v/>
      </c>
      <c r="N2588" s="10">
        <f>IFERROR(_xlfn.XLOOKUP(C2588,[1]ModifierDes!$B:$B,[1]ModifierDes!$A:$A),"")</f>
        <v>10033</v>
      </c>
      <c r="O2588" s="10" t="str">
        <f>IFERROR(_xlfn.XLOOKUP(C2588,[1]AttributeName!$C:$C,[1]AttributeName!$B:$B),"")</f>
        <v/>
      </c>
      <c r="P2588" s="10"/>
      <c r="Q2588">
        <v>0.45</v>
      </c>
      <c r="R2588">
        <v>0.95</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customFormat="1" spans="1:20">
      <c r="A2589">
        <v>102401</v>
      </c>
      <c r="B2589">
        <v>1</v>
      </c>
      <c r="C2589" t="s">
        <v>418</v>
      </c>
      <c r="D2589" t="s">
        <v>198</v>
      </c>
      <c r="E2589" t="s">
        <v>468</v>
      </c>
      <c r="H2589">
        <v>1000</v>
      </c>
      <c r="J2589">
        <v>1</v>
      </c>
      <c r="K2589" t="str" cm="1">
        <f t="array" ref="K2589">IFERROR(_xlfn.SWITCH(L2589,1,_xlfn.XLOOKUP(C2589,[1]AttributeName!$C:$C,[1]AttributeName!$I:$I),2,_xlfn.XLOOKUP(C2589,[1]ModifierDes!$B:$B,[1]ModifierDes!$C:$C),3,_xlfn.XLOOKUP(C2589,[1]StuntDes!$B:$B,[1]StuntDes!$C:$C)),"")</f>
        <v>攻击速度提高{0}</v>
      </c>
      <c r="L2589">
        <f t="shared" ref="L2589:L2606" si="191">IF(M2589="",IF(N2589="",1,2),3)</f>
        <v>2</v>
      </c>
      <c r="M2589" s="10" t="str">
        <f>IFERROR(_xlfn.XLOOKUP(C2589,[1]StuntDes!$B:$B,[1]StuntDes!$A:$A),"")</f>
        <v/>
      </c>
      <c r="N2589" s="10">
        <f>IFERROR(_xlfn.XLOOKUP(C2589,[1]ModifierDes!$B:$B,[1]ModifierDes!$A:$A),"")</f>
        <v>10031</v>
      </c>
      <c r="O2589" s="10" t="str">
        <f>IFERROR(_xlfn.XLOOKUP(C2589,[1]AttributeName!$C:$C,[1]AttributeName!$B:$B),"")</f>
        <v/>
      </c>
      <c r="P2589" s="10"/>
      <c r="Q2589">
        <v>0.4</v>
      </c>
      <c r="R2589">
        <v>0.6</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customFormat="1" spans="1:20">
      <c r="A2590">
        <v>102402</v>
      </c>
      <c r="B2590">
        <v>1</v>
      </c>
      <c r="C2590" t="s">
        <v>448</v>
      </c>
      <c r="D2590" t="s">
        <v>198</v>
      </c>
      <c r="E2590" t="s">
        <v>468</v>
      </c>
      <c r="H2590">
        <v>1000</v>
      </c>
      <c r="J2590">
        <v>1</v>
      </c>
      <c r="K2590" t="str" cm="1">
        <f t="array" ref="K2590">IFERROR(_xlfn.SWITCH(L2590,1,_xlfn.XLOOKUP(C2590,[1]AttributeName!$C:$C,[1]AttributeName!$I:$I),2,_xlfn.XLOOKUP(C2590,[1]ModifierDes!$B:$B,[1]ModifierDes!$C:$C),3,_xlfn.XLOOKUP(C2590,[1]StuntDes!$B:$B,[1]StuntDes!$C:$C)),"")</f>
        <v>施法速度提高{0}</v>
      </c>
      <c r="L2590">
        <f t="shared" si="191"/>
        <v>2</v>
      </c>
      <c r="M2590" s="10" t="str">
        <f>IFERROR(_xlfn.XLOOKUP(C2590,[1]StuntDes!$B:$B,[1]StuntDes!$A:$A),"")</f>
        <v/>
      </c>
      <c r="N2590" s="10">
        <f>IFERROR(_xlfn.XLOOKUP(C2590,[1]ModifierDes!$B:$B,[1]ModifierDes!$A:$A),"")</f>
        <v>10050</v>
      </c>
      <c r="O2590" s="10" t="str">
        <f>IFERROR(_xlfn.XLOOKUP(C2590,[1]AttributeName!$C:$C,[1]AttributeName!$B:$B),"")</f>
        <v/>
      </c>
      <c r="P2590" s="10"/>
      <c r="Q2590">
        <v>0.4</v>
      </c>
      <c r="R2590">
        <v>0.6</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102403</v>
      </c>
      <c r="B2591">
        <v>1</v>
      </c>
      <c r="C2591" t="s">
        <v>500</v>
      </c>
      <c r="D2591" t="s">
        <v>198</v>
      </c>
      <c r="E2591" t="s">
        <v>468</v>
      </c>
      <c r="H2591">
        <v>1000</v>
      </c>
      <c r="J2591">
        <v>1</v>
      </c>
      <c r="K2591" t="str" cm="1">
        <f t="array" ref="K2591">IFERROR(_xlfn.SWITCH(L2591,1,_xlfn.XLOOKUP(C2591,[1]AttributeName!$C:$C,[1]AttributeName!$I:$I),2,_xlfn.XLOOKUP(C2591,[1]ModifierDes!$B:$B,[1]ModifierDes!$C:$C),3,_xlfn.XLOOKUP(C2591,[1]StuntDes!$B:$B,[1]StuntDes!$C:$C)),"")</f>
        <v>暴击率提高{0}</v>
      </c>
      <c r="L2591">
        <f t="shared" si="191"/>
        <v>2</v>
      </c>
      <c r="M2591" s="10" t="str">
        <f>IFERROR(_xlfn.XLOOKUP(C2591,[1]StuntDes!$B:$B,[1]StuntDes!$A:$A),"")</f>
        <v/>
      </c>
      <c r="N2591" s="10">
        <f>IFERROR(_xlfn.XLOOKUP(C2591,[1]ModifierDes!$B:$B,[1]ModifierDes!$A:$A),"")</f>
        <v>10039</v>
      </c>
      <c r="O2591" s="10" t="str">
        <f>IFERROR(_xlfn.XLOOKUP(C2591,[1]AttributeName!$C:$C,[1]AttributeName!$B:$B),"")</f>
        <v/>
      </c>
      <c r="P2591" s="10"/>
      <c r="Q2591">
        <v>2.4</v>
      </c>
      <c r="R2591">
        <v>3.6</v>
      </c>
      <c r="S2591" cm="1">
        <f t="array" ref="S2591">IFERROR(_xlfn.SWITCH(L2591,1,_xlfn.XLOOKUP(O2591,[1]AttributeName!$B:$B,[1]AttributeName!$D:$D),2,_xlfn.XLOOKUP(C2591,[1]ModifierDes!$B:$B,[1]ModifierDes!$D:$D),3,_xlfn.XLOOKUP(C2591,[1]StuntDes!$B:$B,[1]StuntDes!$D:$D)),0)</f>
        <v>2</v>
      </c>
      <c r="T2591" cm="1">
        <f t="array" ref="T2591">IFERROR(_xlfn.SWITCH(L2591,1,_xlfn.XLOOKUP(O2591,[1]AttributeName!$B:$B,[1]AttributeName!$E:$E),2,_xlfn.XLOOKUP(C2591,[1]ModifierDes!$B:$B,[1]ModifierDes!$E:$E),3,_xlfn.XLOOKUP(C2591,[1]StuntDes!$B:$B,[1]StuntDes!$E:$E)),0)</f>
        <v>2</v>
      </c>
    </row>
    <row r="2592" customFormat="1" spans="1:20">
      <c r="A2592">
        <v>102404</v>
      </c>
      <c r="B2592">
        <v>1</v>
      </c>
      <c r="C2592" t="s">
        <v>115</v>
      </c>
      <c r="D2592" t="s">
        <v>198</v>
      </c>
      <c r="E2592" t="s">
        <v>468</v>
      </c>
      <c r="H2592">
        <v>1000</v>
      </c>
      <c r="J2592">
        <v>1</v>
      </c>
      <c r="K2592" t="str" cm="1">
        <f t="array" ref="K2592">IFERROR(_xlfn.SWITCH(L2592,1,_xlfn.XLOOKUP(C2592,[1]AttributeName!$C:$C,[1]AttributeName!$I:$I),2,_xlfn.XLOOKUP(C2592,[1]ModifierDes!$B:$B,[1]ModifierDes!$C:$C),3,_xlfn.XLOOKUP(C2592,[1]StuntDes!$B:$B,[1]StuntDes!$C:$C)),"")</f>
        <v>暴击伤害增加{0}</v>
      </c>
      <c r="L2592">
        <f t="shared" si="191"/>
        <v>1</v>
      </c>
      <c r="M2592" s="10" t="str">
        <f>IFERROR(_xlfn.XLOOKUP(C2592,[1]StuntDes!$B:$B,[1]StuntDes!$A:$A),"")</f>
        <v/>
      </c>
      <c r="N2592" s="10" t="str">
        <f>IFERROR(_xlfn.XLOOKUP(C2592,[1]ModifierDes!$B:$B,[1]ModifierDes!$A:$A),"")</f>
        <v/>
      </c>
      <c r="O2592" s="10">
        <f>IFERROR(_xlfn.XLOOKUP(C2592,[1]AttributeName!$C:$C,[1]AttributeName!$B:$B),"")</f>
        <v>10200</v>
      </c>
      <c r="P2592" s="10"/>
      <c r="Q2592">
        <v>1.2</v>
      </c>
      <c r="R2592">
        <v>1.8</v>
      </c>
      <c r="S2592" cm="1">
        <f t="array" ref="S2592">IFERROR(_xlfn.SWITCH(L2592,1,_xlfn.XLOOKUP(O2592,[1]AttributeName!$B:$B,[1]AttributeName!$D:$D),2,_xlfn.XLOOKUP(C2592,[1]ModifierDes!$B:$B,[1]ModifierDes!$D:$D),3,_xlfn.XLOOKUP(C2592,[1]StuntDes!$B:$B,[1]StuntDes!$D:$D)),0)</f>
        <v>2</v>
      </c>
      <c r="T2592" cm="1">
        <f t="array" ref="T2592">IFERROR(_xlfn.SWITCH(L2592,1,_xlfn.XLOOKUP(O2592,[1]AttributeName!$B:$B,[1]AttributeName!$E:$E),2,_xlfn.XLOOKUP(C2592,[1]ModifierDes!$B:$B,[1]ModifierDes!$E:$E),3,_xlfn.XLOOKUP(C2592,[1]StuntDes!$B:$B,[1]StuntDes!$E:$E)),0)</f>
        <v>2</v>
      </c>
    </row>
    <row r="2593" customFormat="1" spans="1:20">
      <c r="A2593">
        <v>102405</v>
      </c>
      <c r="B2593">
        <v>1</v>
      </c>
      <c r="C2593" t="s">
        <v>398</v>
      </c>
      <c r="D2593" t="s">
        <v>198</v>
      </c>
      <c r="E2593" t="s">
        <v>468</v>
      </c>
      <c r="H2593">
        <v>1000</v>
      </c>
      <c r="J2593">
        <v>1</v>
      </c>
      <c r="K2593" t="str" cm="1">
        <f t="array" ref="K2593">IFERROR(_xlfn.SWITCH(L2593,1,_xlfn.XLOOKUP(C2593,[1]AttributeName!$C:$C,[1]AttributeName!$I:$I),2,_xlfn.XLOOKUP(C2593,[1]ModifierDes!$B:$B,[1]ModifierDes!$C:$C),3,_xlfn.XLOOKUP(C2593,[1]StuntDes!$B:$B,[1]StuntDes!$C:$C)),"")</f>
        <v>获得物理伤害{0}</v>
      </c>
      <c r="L2593">
        <f t="shared" si="191"/>
        <v>1</v>
      </c>
      <c r="M2593" s="10" t="str">
        <f>IFERROR(_xlfn.XLOOKUP(C2593,[1]StuntDes!$B:$B,[1]StuntDes!$A:$A),"")</f>
        <v/>
      </c>
      <c r="N2593" s="10" t="str">
        <f>IFERROR(_xlfn.XLOOKUP(C2593,[1]ModifierDes!$B:$B,[1]ModifierDes!$A:$A),"")</f>
        <v/>
      </c>
      <c r="O2593" s="10">
        <f>IFERROR(_xlfn.XLOOKUP(C2593,[1]AttributeName!$C:$C,[1]AttributeName!$B:$B),"")</f>
        <v>10500</v>
      </c>
      <c r="P2593" s="10"/>
      <c r="Q2593">
        <v>0.6</v>
      </c>
      <c r="R2593">
        <v>0.9</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customFormat="1" spans="1:20">
      <c r="A2594">
        <v>102406</v>
      </c>
      <c r="B2594">
        <v>1</v>
      </c>
      <c r="C2594" t="s">
        <v>399</v>
      </c>
      <c r="D2594" t="s">
        <v>198</v>
      </c>
      <c r="E2594" t="s">
        <v>468</v>
      </c>
      <c r="H2594">
        <v>1000</v>
      </c>
      <c r="J2594">
        <v>1</v>
      </c>
      <c r="K2594" t="str" cm="1">
        <f t="array" ref="K2594">IFERROR(_xlfn.SWITCH(L2594,1,_xlfn.XLOOKUP(C2594,[1]AttributeName!$C:$C,[1]AttributeName!$I:$I),2,_xlfn.XLOOKUP(C2594,[1]ModifierDes!$B:$B,[1]ModifierDes!$C:$C),3,_xlfn.XLOOKUP(C2594,[1]StuntDes!$B:$B,[1]StuntDes!$C:$C)),"")</f>
        <v>获得火焰伤害{0}</v>
      </c>
      <c r="L2594">
        <f t="shared" si="191"/>
        <v>1</v>
      </c>
      <c r="M2594" s="10" t="str">
        <f>IFERROR(_xlfn.XLOOKUP(C2594,[1]StuntDes!$B:$B,[1]StuntDes!$A:$A),"")</f>
        <v/>
      </c>
      <c r="N2594" s="10" t="str">
        <f>IFERROR(_xlfn.XLOOKUP(C2594,[1]ModifierDes!$B:$B,[1]ModifierDes!$A:$A),"")</f>
        <v/>
      </c>
      <c r="O2594" s="10">
        <f>IFERROR(_xlfn.XLOOKUP(C2594,[1]AttributeName!$C:$C,[1]AttributeName!$B:$B),"")</f>
        <v>10501</v>
      </c>
      <c r="P2594" s="10"/>
      <c r="Q2594">
        <v>0.6</v>
      </c>
      <c r="R2594">
        <v>0.9</v>
      </c>
      <c r="S2594" cm="1">
        <f t="array" ref="S2594">IFERROR(_xlfn.SWITCH(L2594,1,_xlfn.XLOOKUP(O2594,[1]AttributeName!$B:$B,[1]AttributeName!$D:$D),2,_xlfn.XLOOKUP(C2594,[1]ModifierDes!$B:$B,[1]ModifierDes!$D:$D),3,_xlfn.XLOOKUP(C2594,[1]StuntDes!$B:$B,[1]StuntDes!$D:$D)),0)</f>
        <v>2</v>
      </c>
      <c r="T2594" cm="1">
        <f t="array" ref="T2594">IFERROR(_xlfn.SWITCH(L2594,1,_xlfn.XLOOKUP(O2594,[1]AttributeName!$B:$B,[1]AttributeName!$E:$E),2,_xlfn.XLOOKUP(C2594,[1]ModifierDes!$B:$B,[1]ModifierDes!$E:$E),3,_xlfn.XLOOKUP(C2594,[1]StuntDes!$B:$B,[1]StuntDes!$E:$E)),0)</f>
        <v>2</v>
      </c>
    </row>
    <row r="2595" customFormat="1" spans="1:20">
      <c r="A2595">
        <v>102407</v>
      </c>
      <c r="B2595">
        <v>1</v>
      </c>
      <c r="C2595" t="s">
        <v>400</v>
      </c>
      <c r="D2595" t="s">
        <v>198</v>
      </c>
      <c r="E2595" t="s">
        <v>468</v>
      </c>
      <c r="H2595">
        <v>1000</v>
      </c>
      <c r="J2595">
        <v>1</v>
      </c>
      <c r="K2595" t="str" cm="1">
        <f t="array" ref="K2595">IFERROR(_xlfn.SWITCH(L2595,1,_xlfn.XLOOKUP(C2595,[1]AttributeName!$C:$C,[1]AttributeName!$I:$I),2,_xlfn.XLOOKUP(C2595,[1]ModifierDes!$B:$B,[1]ModifierDes!$C:$C),3,_xlfn.XLOOKUP(C2595,[1]StuntDes!$B:$B,[1]StuntDes!$C:$C)),"")</f>
        <v>获得冰冷伤害{0}</v>
      </c>
      <c r="L2595">
        <f t="shared" si="191"/>
        <v>1</v>
      </c>
      <c r="M2595" s="10" t="str">
        <f>IFERROR(_xlfn.XLOOKUP(C2595,[1]StuntDes!$B:$B,[1]StuntDes!$A:$A),"")</f>
        <v/>
      </c>
      <c r="N2595" s="10" t="str">
        <f>IFERROR(_xlfn.XLOOKUP(C2595,[1]ModifierDes!$B:$B,[1]ModifierDes!$A:$A),"")</f>
        <v/>
      </c>
      <c r="O2595" s="10">
        <f>IFERROR(_xlfn.XLOOKUP(C2595,[1]AttributeName!$C:$C,[1]AttributeName!$B:$B),"")</f>
        <v>10502</v>
      </c>
      <c r="P2595" s="10"/>
      <c r="Q2595">
        <v>0.6</v>
      </c>
      <c r="R2595">
        <v>0.9</v>
      </c>
      <c r="S2595" cm="1">
        <f t="array" ref="S2595">IFERROR(_xlfn.SWITCH(L2595,1,_xlfn.XLOOKUP(O2595,[1]AttributeName!$B:$B,[1]AttributeName!$D:$D),2,_xlfn.XLOOKUP(C2595,[1]ModifierDes!$B:$B,[1]ModifierDes!$D:$D),3,_xlfn.XLOOKUP(C2595,[1]StuntDes!$B:$B,[1]StuntDes!$D:$D)),0)</f>
        <v>2</v>
      </c>
      <c r="T2595" cm="1">
        <f t="array" ref="T2595">IFERROR(_xlfn.SWITCH(L2595,1,_xlfn.XLOOKUP(O2595,[1]AttributeName!$B:$B,[1]AttributeName!$E:$E),2,_xlfn.XLOOKUP(C2595,[1]ModifierDes!$B:$B,[1]ModifierDes!$E:$E),3,_xlfn.XLOOKUP(C2595,[1]StuntDes!$B:$B,[1]StuntDes!$E:$E)),0)</f>
        <v>2</v>
      </c>
    </row>
    <row r="2596" customFormat="1" spans="1:20">
      <c r="A2596">
        <v>102408</v>
      </c>
      <c r="B2596">
        <v>1</v>
      </c>
      <c r="C2596" t="s">
        <v>401</v>
      </c>
      <c r="D2596" t="s">
        <v>198</v>
      </c>
      <c r="E2596" t="s">
        <v>468</v>
      </c>
      <c r="H2596">
        <v>1000</v>
      </c>
      <c r="J2596">
        <v>1</v>
      </c>
      <c r="K2596" t="str" cm="1">
        <f t="array" ref="K2596">IFERROR(_xlfn.SWITCH(L2596,1,_xlfn.XLOOKUP(C2596,[1]AttributeName!$C:$C,[1]AttributeName!$I:$I),2,_xlfn.XLOOKUP(C2596,[1]ModifierDes!$B:$B,[1]ModifierDes!$C:$C),3,_xlfn.XLOOKUP(C2596,[1]StuntDes!$B:$B,[1]StuntDes!$C:$C)),"")</f>
        <v>获得闪电伤害{0}</v>
      </c>
      <c r="L2596">
        <f t="shared" si="191"/>
        <v>1</v>
      </c>
      <c r="M2596" s="10" t="str">
        <f>IFERROR(_xlfn.XLOOKUP(C2596,[1]StuntDes!$B:$B,[1]StuntDes!$A:$A),"")</f>
        <v/>
      </c>
      <c r="N2596" s="10" t="str">
        <f>IFERROR(_xlfn.XLOOKUP(C2596,[1]ModifierDes!$B:$B,[1]ModifierDes!$A:$A),"")</f>
        <v/>
      </c>
      <c r="O2596" s="10">
        <f>IFERROR(_xlfn.XLOOKUP(C2596,[1]AttributeName!$C:$C,[1]AttributeName!$B:$B),"")</f>
        <v>10503</v>
      </c>
      <c r="P2596" s="10"/>
      <c r="Q2596">
        <v>0.6</v>
      </c>
      <c r="R2596">
        <v>0.9</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customFormat="1" spans="1:20">
      <c r="A2597">
        <v>102409</v>
      </c>
      <c r="B2597">
        <v>1</v>
      </c>
      <c r="C2597" t="s">
        <v>402</v>
      </c>
      <c r="D2597" t="s">
        <v>198</v>
      </c>
      <c r="E2597" t="s">
        <v>468</v>
      </c>
      <c r="H2597">
        <v>1000</v>
      </c>
      <c r="J2597">
        <v>1</v>
      </c>
      <c r="K2597" t="str" cm="1">
        <f t="array" ref="K2597">IFERROR(_xlfn.SWITCH(L2597,1,_xlfn.XLOOKUP(C2597,[1]AttributeName!$C:$C,[1]AttributeName!$I:$I),2,_xlfn.XLOOKUP(C2597,[1]ModifierDes!$B:$B,[1]ModifierDes!$C:$C),3,_xlfn.XLOOKUP(C2597,[1]StuntDes!$B:$B,[1]StuntDes!$C:$C)),"")</f>
        <v>获得混沌伤害{0}</v>
      </c>
      <c r="L2597">
        <f t="shared" si="191"/>
        <v>1</v>
      </c>
      <c r="M2597" s="10" t="str">
        <f>IFERROR(_xlfn.XLOOKUP(C2597,[1]StuntDes!$B:$B,[1]StuntDes!$A:$A),"")</f>
        <v/>
      </c>
      <c r="N2597" s="10" t="str">
        <f>IFERROR(_xlfn.XLOOKUP(C2597,[1]ModifierDes!$B:$B,[1]ModifierDes!$A:$A),"")</f>
        <v/>
      </c>
      <c r="O2597" s="10">
        <f>IFERROR(_xlfn.XLOOKUP(C2597,[1]AttributeName!$C:$C,[1]AttributeName!$B:$B),"")</f>
        <v>10504</v>
      </c>
      <c r="P2597" s="10"/>
      <c r="Q2597">
        <v>0.6</v>
      </c>
      <c r="R2597">
        <v>0.9</v>
      </c>
      <c r="S2597" cm="1">
        <f t="array" ref="S2597">IFERROR(_xlfn.SWITCH(L2597,1,_xlfn.XLOOKUP(O2597,[1]AttributeName!$B:$B,[1]AttributeName!$D:$D),2,_xlfn.XLOOKUP(C2597,[1]ModifierDes!$B:$B,[1]ModifierDes!$D:$D),3,_xlfn.XLOOKUP(C2597,[1]StuntDes!$B:$B,[1]StuntDes!$D:$D)),0)</f>
        <v>2</v>
      </c>
      <c r="T2597" cm="1">
        <f t="array" ref="T2597">IFERROR(_xlfn.SWITCH(L2597,1,_xlfn.XLOOKUP(O2597,[1]AttributeName!$B:$B,[1]AttributeName!$E:$E),2,_xlfn.XLOOKUP(C2597,[1]ModifierDes!$B:$B,[1]ModifierDes!$E:$E),3,_xlfn.XLOOKUP(C2597,[1]StuntDes!$B:$B,[1]StuntDes!$E:$E)),0)</f>
        <v>2</v>
      </c>
    </row>
    <row r="2598" customFormat="1" spans="1:20">
      <c r="A2598">
        <v>102410</v>
      </c>
      <c r="B2598">
        <v>1</v>
      </c>
      <c r="C2598" t="s">
        <v>499</v>
      </c>
      <c r="D2598" t="s">
        <v>198</v>
      </c>
      <c r="E2598" t="s">
        <v>468</v>
      </c>
      <c r="H2598">
        <v>1000</v>
      </c>
      <c r="J2598">
        <v>1</v>
      </c>
      <c r="K2598" t="str" cm="1">
        <f t="array" ref="K2598">IFERROR(_xlfn.SWITCH(L2598,1,_xlfn.XLOOKUP(C2598,[1]AttributeName!$C:$C,[1]AttributeName!$I:$I),2,_xlfn.XLOOKUP(C2598,[1]ModifierDes!$B:$B,[1]ModifierDes!$C:$C),3,_xlfn.XLOOKUP(C2598,[1]StuntDes!$B:$B,[1]StuntDes!$C:$C)),"")</f>
        <v>范围伤害提高{0}</v>
      </c>
      <c r="L2598">
        <f t="shared" si="191"/>
        <v>2</v>
      </c>
      <c r="M2598" s="10" t="str">
        <f>IFERROR(_xlfn.XLOOKUP(C2598,[1]StuntDes!$B:$B,[1]StuntDes!$A:$A),"")</f>
        <v/>
      </c>
      <c r="N2598" s="10">
        <f>IFERROR(_xlfn.XLOOKUP(C2598,[1]ModifierDes!$B:$B,[1]ModifierDes!$A:$A),"")</f>
        <v>10062</v>
      </c>
      <c r="O2598" s="10" t="str">
        <f>IFERROR(_xlfn.XLOOKUP(C2598,[1]AttributeName!$C:$C,[1]AttributeName!$B:$B),"")</f>
        <v/>
      </c>
      <c r="P2598" s="10"/>
      <c r="Q2598">
        <v>1</v>
      </c>
      <c r="R2598">
        <v>1.6</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customFormat="1" spans="1:20">
      <c r="A2599">
        <v>102411</v>
      </c>
      <c r="B2599">
        <v>1</v>
      </c>
      <c r="C2599" t="s">
        <v>453</v>
      </c>
      <c r="D2599" t="s">
        <v>198</v>
      </c>
      <c r="E2599" t="s">
        <v>468</v>
      </c>
      <c r="H2599">
        <v>1000</v>
      </c>
      <c r="J2599">
        <v>1</v>
      </c>
      <c r="K2599" t="str" cm="1">
        <f t="array" ref="K2599">IFERROR(_xlfn.SWITCH(L2599,1,_xlfn.XLOOKUP(C2599,[1]AttributeName!$C:$C,[1]AttributeName!$I:$I),2,_xlfn.XLOOKUP(C2599,[1]ModifierDes!$B:$B,[1]ModifierDes!$C:$C),3,_xlfn.XLOOKUP(C2599,[1]StuntDes!$B:$B,[1]StuntDes!$C:$C)),"")</f>
        <v>近战伤害提高{0}</v>
      </c>
      <c r="L2599">
        <f t="shared" si="191"/>
        <v>2</v>
      </c>
      <c r="M2599" s="10" t="str">
        <f>IFERROR(_xlfn.XLOOKUP(C2599,[1]StuntDes!$B:$B,[1]StuntDes!$A:$A),"")</f>
        <v/>
      </c>
      <c r="N2599" s="10">
        <f>IFERROR(_xlfn.XLOOKUP(C2599,[1]ModifierDes!$B:$B,[1]ModifierDes!$A:$A),"")</f>
        <v>10063</v>
      </c>
      <c r="O2599" s="10" t="str">
        <f>IFERROR(_xlfn.XLOOKUP(C2599,[1]AttributeName!$C:$C,[1]AttributeName!$B:$B),"")</f>
        <v/>
      </c>
      <c r="P2599" s="10"/>
      <c r="Q2599">
        <v>1</v>
      </c>
      <c r="R2599">
        <v>1.6</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customFormat="1" spans="1:20">
      <c r="A2600">
        <v>102412</v>
      </c>
      <c r="B2600">
        <v>1</v>
      </c>
      <c r="C2600" t="s">
        <v>454</v>
      </c>
      <c r="D2600" t="s">
        <v>198</v>
      </c>
      <c r="E2600" t="s">
        <v>468</v>
      </c>
      <c r="H2600">
        <v>1000</v>
      </c>
      <c r="J2600">
        <v>1</v>
      </c>
      <c r="K2600" t="str" cm="1">
        <f t="array" ref="K2600">IFERROR(_xlfn.SWITCH(L2600,1,_xlfn.XLOOKUP(C2600,[1]AttributeName!$C:$C,[1]AttributeName!$I:$I),2,_xlfn.XLOOKUP(C2600,[1]ModifierDes!$B:$B,[1]ModifierDes!$C:$C),3,_xlfn.XLOOKUP(C2600,[1]StuntDes!$B:$B,[1]StuntDes!$C:$C)),"")</f>
        <v>投射物伤害提高{0}</v>
      </c>
      <c r="L2600">
        <f t="shared" si="191"/>
        <v>2</v>
      </c>
      <c r="M2600" s="10" t="str">
        <f>IFERROR(_xlfn.XLOOKUP(C2600,[1]StuntDes!$B:$B,[1]StuntDes!$A:$A),"")</f>
        <v/>
      </c>
      <c r="N2600" s="10">
        <f>IFERROR(_xlfn.XLOOKUP(C2600,[1]ModifierDes!$B:$B,[1]ModifierDes!$A:$A),"")</f>
        <v>10064</v>
      </c>
      <c r="O2600" s="10" t="str">
        <f>IFERROR(_xlfn.XLOOKUP(C2600,[1]AttributeName!$C:$C,[1]AttributeName!$B:$B),"")</f>
        <v/>
      </c>
      <c r="P2600" s="10"/>
      <c r="Q2600">
        <v>1</v>
      </c>
      <c r="R2600">
        <v>1.6</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customFormat="1" spans="1:20">
      <c r="A2601">
        <v>102413</v>
      </c>
      <c r="B2601">
        <v>1</v>
      </c>
      <c r="C2601" t="s">
        <v>447</v>
      </c>
      <c r="D2601" t="s">
        <v>198</v>
      </c>
      <c r="E2601" t="s">
        <v>468</v>
      </c>
      <c r="H2601">
        <v>1000</v>
      </c>
      <c r="J2601">
        <v>1</v>
      </c>
      <c r="K2601" t="str" cm="1">
        <f t="array" ref="K2601">IFERROR(_xlfn.SWITCH(L2601,1,_xlfn.XLOOKUP(C2601,[1]AttributeName!$C:$C,[1]AttributeName!$I:$I),2,_xlfn.XLOOKUP(C2601,[1]ModifierDes!$B:$B,[1]ModifierDes!$C:$C),3,_xlfn.XLOOKUP(C2601,[1]StuntDes!$B:$B,[1]StuntDes!$C:$C)),"")</f>
        <v>移速提高增加{0}</v>
      </c>
      <c r="L2601">
        <f t="shared" si="191"/>
        <v>1</v>
      </c>
      <c r="M2601" s="10" t="str">
        <f>IFERROR(_xlfn.XLOOKUP(C2601,[1]StuntDes!$B:$B,[1]StuntDes!$A:$A),"")</f>
        <v/>
      </c>
      <c r="N2601" s="10" t="str">
        <f>IFERROR(_xlfn.XLOOKUP(C2601,[1]ModifierDes!$B:$B,[1]ModifierDes!$A:$A),"")</f>
        <v/>
      </c>
      <c r="O2601" s="10">
        <f>IFERROR(_xlfn.XLOOKUP(C2601,[1]AttributeName!$C:$C,[1]AttributeName!$B:$B),"")</f>
        <v>10007</v>
      </c>
      <c r="P2601" s="10"/>
      <c r="Q2601">
        <v>0.25</v>
      </c>
      <c r="R2601">
        <v>0.35</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customFormat="1" spans="1:20">
      <c r="A2602">
        <v>102414</v>
      </c>
      <c r="B2602">
        <v>1</v>
      </c>
      <c r="C2602" t="s">
        <v>437</v>
      </c>
      <c r="D2602" t="s">
        <v>198</v>
      </c>
      <c r="E2602" t="s">
        <v>468</v>
      </c>
      <c r="H2602">
        <v>1000</v>
      </c>
      <c r="J2602">
        <v>1</v>
      </c>
      <c r="K2602" t="str" cm="1">
        <f t="array" ref="K2602">IFERROR(_xlfn.SWITCH(L2602,1,_xlfn.XLOOKUP(C2602,[1]AttributeName!$C:$C,[1]AttributeName!$I:$I),2,_xlfn.XLOOKUP(C2602,[1]ModifierDes!$B:$B,[1]ModifierDes!$C:$C),3,_xlfn.XLOOKUP(C2602,[1]StuntDes!$B:$B,[1]StuntDes!$C:$C)),"")</f>
        <v>物理抗性增加{0}</v>
      </c>
      <c r="L2602">
        <f t="shared" si="191"/>
        <v>1</v>
      </c>
      <c r="M2602" s="10" t="str">
        <f>IFERROR(_xlfn.XLOOKUP(C2602,[1]StuntDes!$B:$B,[1]StuntDes!$A:$A),"")</f>
        <v/>
      </c>
      <c r="N2602" s="10" t="str">
        <f>IFERROR(_xlfn.XLOOKUP(C2602,[1]ModifierDes!$B:$B,[1]ModifierDes!$A:$A),"")</f>
        <v/>
      </c>
      <c r="O2602" s="10">
        <f>IFERROR(_xlfn.XLOOKUP(C2602,[1]AttributeName!$C:$C,[1]AttributeName!$B:$B),"")</f>
        <v>10311</v>
      </c>
      <c r="P2602" s="10"/>
      <c r="Q2602">
        <v>0.5</v>
      </c>
      <c r="R2602">
        <v>0.75</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102415</v>
      </c>
      <c r="B2603">
        <v>1</v>
      </c>
      <c r="C2603" t="s">
        <v>438</v>
      </c>
      <c r="D2603" t="s">
        <v>198</v>
      </c>
      <c r="E2603" t="s">
        <v>468</v>
      </c>
      <c r="H2603">
        <v>1000</v>
      </c>
      <c r="J2603">
        <v>1</v>
      </c>
      <c r="K2603" t="str" cm="1">
        <f t="array" ref="K2603">IFERROR(_xlfn.SWITCH(L2603,1,_xlfn.XLOOKUP(C2603,[1]AttributeName!$C:$C,[1]AttributeName!$I:$I),2,_xlfn.XLOOKUP(C2603,[1]ModifierDes!$B:$B,[1]ModifierDes!$C:$C),3,_xlfn.XLOOKUP(C2603,[1]StuntDes!$B:$B,[1]StuntDes!$C:$C)),"")</f>
        <v>火焰抗性增加{0}</v>
      </c>
      <c r="L2603">
        <f t="shared" si="191"/>
        <v>1</v>
      </c>
      <c r="M2603" s="10" t="str">
        <f>IFERROR(_xlfn.XLOOKUP(C2603,[1]StuntDes!$B:$B,[1]StuntDes!$A:$A),"")</f>
        <v/>
      </c>
      <c r="N2603" s="10" t="str">
        <f>IFERROR(_xlfn.XLOOKUP(C2603,[1]ModifierDes!$B:$B,[1]ModifierDes!$A:$A),"")</f>
        <v/>
      </c>
      <c r="O2603" s="10">
        <f>IFERROR(_xlfn.XLOOKUP(C2603,[1]AttributeName!$C:$C,[1]AttributeName!$B:$B),"")</f>
        <v>10312</v>
      </c>
      <c r="P2603" s="10"/>
      <c r="Q2603">
        <v>0.5</v>
      </c>
      <c r="R2603">
        <v>0.75</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customFormat="1" spans="1:20">
      <c r="A2604">
        <v>102416</v>
      </c>
      <c r="B2604">
        <v>1</v>
      </c>
      <c r="C2604" t="s">
        <v>439</v>
      </c>
      <c r="D2604" t="s">
        <v>198</v>
      </c>
      <c r="E2604" t="s">
        <v>468</v>
      </c>
      <c r="H2604">
        <v>1000</v>
      </c>
      <c r="J2604">
        <v>1</v>
      </c>
      <c r="K2604" t="str" cm="1">
        <f t="array" ref="K2604">IFERROR(_xlfn.SWITCH(L2604,1,_xlfn.XLOOKUP(C2604,[1]AttributeName!$C:$C,[1]AttributeName!$I:$I),2,_xlfn.XLOOKUP(C2604,[1]ModifierDes!$B:$B,[1]ModifierDes!$C:$C),3,_xlfn.XLOOKUP(C2604,[1]StuntDes!$B:$B,[1]StuntDes!$C:$C)),"")</f>
        <v>冰冷抗性增加{0}</v>
      </c>
      <c r="L2604">
        <f t="shared" si="191"/>
        <v>1</v>
      </c>
      <c r="M2604" s="10" t="str">
        <f>IFERROR(_xlfn.XLOOKUP(C2604,[1]StuntDes!$B:$B,[1]StuntDes!$A:$A),"")</f>
        <v/>
      </c>
      <c r="N2604" s="10" t="str">
        <f>IFERROR(_xlfn.XLOOKUP(C2604,[1]ModifierDes!$B:$B,[1]ModifierDes!$A:$A),"")</f>
        <v/>
      </c>
      <c r="O2604" s="10">
        <f>IFERROR(_xlfn.XLOOKUP(C2604,[1]AttributeName!$C:$C,[1]AttributeName!$B:$B),"")</f>
        <v>10313</v>
      </c>
      <c r="P2604" s="10"/>
      <c r="Q2604">
        <v>0.5</v>
      </c>
      <c r="R2604">
        <v>0.75</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customFormat="1" spans="1:20">
      <c r="A2605">
        <v>102417</v>
      </c>
      <c r="B2605">
        <v>1</v>
      </c>
      <c r="C2605" t="s">
        <v>440</v>
      </c>
      <c r="D2605" t="s">
        <v>198</v>
      </c>
      <c r="E2605" t="s">
        <v>468</v>
      </c>
      <c r="H2605">
        <v>1000</v>
      </c>
      <c r="J2605">
        <v>1</v>
      </c>
      <c r="K2605" t="str" cm="1">
        <f t="array" ref="K2605">IFERROR(_xlfn.SWITCH(L2605,1,_xlfn.XLOOKUP(C2605,[1]AttributeName!$C:$C,[1]AttributeName!$I:$I),2,_xlfn.XLOOKUP(C2605,[1]ModifierDes!$B:$B,[1]ModifierDes!$C:$C),3,_xlfn.XLOOKUP(C2605,[1]StuntDes!$B:$B,[1]StuntDes!$C:$C)),"")</f>
        <v>闪电抗性增加{0}</v>
      </c>
      <c r="L2605">
        <f t="shared" si="191"/>
        <v>1</v>
      </c>
      <c r="M2605" s="10" t="str">
        <f>IFERROR(_xlfn.XLOOKUP(C2605,[1]StuntDes!$B:$B,[1]StuntDes!$A:$A),"")</f>
        <v/>
      </c>
      <c r="N2605" s="10" t="str">
        <f>IFERROR(_xlfn.XLOOKUP(C2605,[1]ModifierDes!$B:$B,[1]ModifierDes!$A:$A),"")</f>
        <v/>
      </c>
      <c r="O2605" s="10">
        <f>IFERROR(_xlfn.XLOOKUP(C2605,[1]AttributeName!$C:$C,[1]AttributeName!$B:$B),"")</f>
        <v>10314</v>
      </c>
      <c r="P2605" s="10"/>
      <c r="Q2605">
        <v>0.5</v>
      </c>
      <c r="R2605">
        <v>0.75</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customFormat="1" spans="1:20">
      <c r="A2606">
        <v>102418</v>
      </c>
      <c r="B2606">
        <v>1</v>
      </c>
      <c r="C2606" t="s">
        <v>441</v>
      </c>
      <c r="D2606" t="s">
        <v>198</v>
      </c>
      <c r="E2606" t="s">
        <v>468</v>
      </c>
      <c r="H2606">
        <v>1000</v>
      </c>
      <c r="J2606">
        <v>1</v>
      </c>
      <c r="K2606" t="str" cm="1">
        <f t="array" ref="K2606">IFERROR(_xlfn.SWITCH(L2606,1,_xlfn.XLOOKUP(C2606,[1]AttributeName!$C:$C,[1]AttributeName!$I:$I),2,_xlfn.XLOOKUP(C2606,[1]ModifierDes!$B:$B,[1]ModifierDes!$C:$C),3,_xlfn.XLOOKUP(C2606,[1]StuntDes!$B:$B,[1]StuntDes!$C:$C)),"")</f>
        <v>混沌抗性增加{0}</v>
      </c>
      <c r="L2606">
        <f t="shared" si="191"/>
        <v>1</v>
      </c>
      <c r="M2606" s="10" t="str">
        <f>IFERROR(_xlfn.XLOOKUP(C2606,[1]StuntDes!$B:$B,[1]StuntDes!$A:$A),"")</f>
        <v/>
      </c>
      <c r="N2606" s="10" t="str">
        <f>IFERROR(_xlfn.XLOOKUP(C2606,[1]ModifierDes!$B:$B,[1]ModifierDes!$A:$A),"")</f>
        <v/>
      </c>
      <c r="O2606" s="10">
        <f>IFERROR(_xlfn.XLOOKUP(C2606,[1]AttributeName!$C:$C,[1]AttributeName!$B:$B),"")</f>
        <v>10315</v>
      </c>
      <c r="P2606" s="10"/>
      <c r="Q2606">
        <v>0.3</v>
      </c>
      <c r="R2606">
        <v>0.45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customFormat="1" spans="1:20">
      <c r="A2607">
        <v>102419</v>
      </c>
      <c r="B2607">
        <v>1</v>
      </c>
      <c r="C2607" t="s">
        <v>452</v>
      </c>
      <c r="D2607" t="s">
        <v>198</v>
      </c>
      <c r="E2607" t="s">
        <v>468</v>
      </c>
      <c r="H2607">
        <v>1000</v>
      </c>
      <c r="J2607">
        <v>1</v>
      </c>
      <c r="K2607" t="str" cm="1">
        <f t="array" ref="K2607">IFERROR(_xlfn.SWITCH(L2607,1,_xlfn.XLOOKUP(C2607,[1]AttributeName!$C:$C,[1]AttributeName!$I:$I),2,_xlfn.XLOOKUP(C2607,[1]ModifierDes!$B:$B,[1]ModifierDes!$C:$C),3,_xlfn.XLOOKUP(C2607,[1]StuntDes!$B:$B,[1]StuntDes!$C:$C)),"")</f>
        <v>元素抗性增加{0}</v>
      </c>
      <c r="L2607">
        <f t="shared" ref="L2607:L2628" si="192">IF(M2607="",IF(N2607="",1,2),3)</f>
        <v>1</v>
      </c>
      <c r="M2607" s="10" t="str">
        <f>IFERROR(_xlfn.XLOOKUP(C2607,[1]StuntDes!$B:$B,[1]StuntDes!$A:$A),"")</f>
        <v/>
      </c>
      <c r="N2607" s="10" t="str">
        <f>IFERROR(_xlfn.XLOOKUP(C2607,[1]ModifierDes!$B:$B,[1]ModifierDes!$A:$A),"")</f>
        <v/>
      </c>
      <c r="O2607" s="10">
        <f>IFERROR(_xlfn.XLOOKUP(C2607,[1]AttributeName!$C:$C,[1]AttributeName!$B:$B),"")</f>
        <v>10316</v>
      </c>
      <c r="P2607" s="10"/>
      <c r="Q2607">
        <v>0.2</v>
      </c>
      <c r="R2607">
        <v>0.3</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customFormat="1" spans="1:20">
      <c r="A2608">
        <v>102420</v>
      </c>
      <c r="B2608">
        <v>1</v>
      </c>
      <c r="C2608" t="s">
        <v>407</v>
      </c>
      <c r="D2608" t="s">
        <v>198</v>
      </c>
      <c r="E2608" t="s">
        <v>468</v>
      </c>
      <c r="H2608">
        <v>1000</v>
      </c>
      <c r="J2608">
        <v>1</v>
      </c>
      <c r="K2608" t="str" cm="1">
        <f t="array" ref="K2608">IFERROR(_xlfn.SWITCH(L2608,1,_xlfn.XLOOKUP(C2608,[1]AttributeName!$C:$C,[1]AttributeName!$I:$I),2,_xlfn.XLOOKUP(C2608,[1]ModifierDes!$B:$B,[1]ModifierDes!$C:$C),3,_xlfn.XLOOKUP(C2608,[1]StuntDes!$B:$B,[1]StuntDes!$C:$C)),"")</f>
        <v>基础生命增加{0}</v>
      </c>
      <c r="L2608">
        <f t="shared" si="192"/>
        <v>1</v>
      </c>
      <c r="M2608" s="10" t="str">
        <f>IFERROR(_xlfn.XLOOKUP(C2608,[1]StuntDes!$B:$B,[1]StuntDes!$A:$A),"")</f>
        <v/>
      </c>
      <c r="N2608" s="10" t="str">
        <f>IFERROR(_xlfn.XLOOKUP(C2608,[1]ModifierDes!$B:$B,[1]ModifierDes!$A:$A),"")</f>
        <v/>
      </c>
      <c r="O2608" s="10">
        <f>IFERROR(_xlfn.XLOOKUP(C2608,[1]AttributeName!$C:$C,[1]AttributeName!$B:$B),"")</f>
        <v>10001</v>
      </c>
      <c r="P2608" s="10"/>
      <c r="Q2608">
        <v>2700</v>
      </c>
      <c r="R2608">
        <v>4000</v>
      </c>
      <c r="S2608" cm="1">
        <f t="array" ref="S2608">IFERROR(_xlfn.SWITCH(L2608,1,_xlfn.XLOOKUP(O2608,[1]AttributeName!$B:$B,[1]AttributeName!$D:$D),2,_xlfn.XLOOKUP(C2608,[1]ModifierDes!$B:$B,[1]ModifierDes!$D:$D),3,_xlfn.XLOOKUP(C2608,[1]StuntDes!$B:$B,[1]StuntDes!$D:$D)),0)</f>
        <v>0</v>
      </c>
      <c r="T2608" cm="1">
        <f t="array" ref="T2608">IFERROR(_xlfn.SWITCH(L2608,1,_xlfn.XLOOKUP(O2608,[1]AttributeName!$B:$B,[1]AttributeName!$E:$E),2,_xlfn.XLOOKUP(C2608,[1]ModifierDes!$B:$B,[1]ModifierDes!$E:$E),3,_xlfn.XLOOKUP(C2608,[1]StuntDes!$B:$B,[1]StuntDes!$E:$E)),0)</f>
        <v>1</v>
      </c>
    </row>
    <row r="2609" customFormat="1" spans="1:20">
      <c r="A2609">
        <v>102421</v>
      </c>
      <c r="B2609">
        <v>1</v>
      </c>
      <c r="C2609" t="s">
        <v>428</v>
      </c>
      <c r="D2609" t="s">
        <v>198</v>
      </c>
      <c r="E2609" t="s">
        <v>468</v>
      </c>
      <c r="H2609">
        <v>1000</v>
      </c>
      <c r="J2609">
        <v>1</v>
      </c>
      <c r="K2609" t="str" cm="1">
        <f t="array" ref="K2609">IFERROR(_xlfn.SWITCH(L2609,1,_xlfn.XLOOKUP(C2609,[1]AttributeName!$C:$C,[1]AttributeName!$I:$I),2,_xlfn.XLOOKUP(C2609,[1]ModifierDes!$B:$B,[1]ModifierDes!$C:$C),3,_xlfn.XLOOKUP(C2609,[1]StuntDes!$B:$B,[1]StuntDes!$C:$C)),"")</f>
        <v>防御力增加{0}</v>
      </c>
      <c r="L2609">
        <f t="shared" si="192"/>
        <v>1</v>
      </c>
      <c r="M2609" s="10" t="str">
        <f>IFERROR(_xlfn.XLOOKUP(C2609,[1]StuntDes!$B:$B,[1]StuntDes!$A:$A),"")</f>
        <v/>
      </c>
      <c r="N2609" s="10" t="str">
        <f>IFERROR(_xlfn.XLOOKUP(C2609,[1]ModifierDes!$B:$B,[1]ModifierDes!$A:$A),"")</f>
        <v/>
      </c>
      <c r="O2609" s="10">
        <f>IFERROR(_xlfn.XLOOKUP(C2609,[1]AttributeName!$C:$C,[1]AttributeName!$B:$B),"")</f>
        <v>10014</v>
      </c>
      <c r="P2609" s="10"/>
      <c r="Q2609">
        <v>1300</v>
      </c>
      <c r="R2609">
        <v>2000</v>
      </c>
      <c r="S2609" cm="1">
        <f t="array" ref="S2609">IFERROR(_xlfn.SWITCH(L2609,1,_xlfn.XLOOKUP(O2609,[1]AttributeName!$B:$B,[1]AttributeName!$D:$D),2,_xlfn.XLOOKUP(C2609,[1]ModifierDes!$B:$B,[1]ModifierDes!$D:$D),3,_xlfn.XLOOKUP(C2609,[1]StuntDes!$B:$B,[1]StuntDes!$D:$D)),0)</f>
        <v>0</v>
      </c>
      <c r="T2609" cm="1">
        <f t="array" ref="T2609">IFERROR(_xlfn.SWITCH(L2609,1,_xlfn.XLOOKUP(O2609,[1]AttributeName!$B:$B,[1]AttributeName!$E:$E),2,_xlfn.XLOOKUP(C2609,[1]ModifierDes!$B:$B,[1]ModifierDes!$E:$E),3,_xlfn.XLOOKUP(C2609,[1]StuntDes!$B:$B,[1]StuntDes!$E:$E)),0)</f>
        <v>1</v>
      </c>
    </row>
    <row r="2610" customFormat="1" spans="1:20">
      <c r="A2610">
        <v>102422</v>
      </c>
      <c r="B2610">
        <v>1</v>
      </c>
      <c r="C2610" t="s">
        <v>429</v>
      </c>
      <c r="D2610" t="s">
        <v>198</v>
      </c>
      <c r="E2610" t="s">
        <v>468</v>
      </c>
      <c r="H2610">
        <v>1000</v>
      </c>
      <c r="J2610">
        <v>1</v>
      </c>
      <c r="K2610" t="str" cm="1">
        <f t="array" ref="K2610">IFERROR(_xlfn.SWITCH(L2610,1,_xlfn.XLOOKUP(C2610,[1]AttributeName!$C:$C,[1]AttributeName!$I:$I),2,_xlfn.XLOOKUP(C2610,[1]ModifierDes!$B:$B,[1]ModifierDes!$C:$C),3,_xlfn.XLOOKUP(C2610,[1]StuntDes!$B:$B,[1]StuntDes!$C:$C)),"")</f>
        <v>攻击格挡率增加{0}</v>
      </c>
      <c r="L2610">
        <f t="shared" si="192"/>
        <v>1</v>
      </c>
      <c r="M2610" s="10" t="str">
        <f>IFERROR(_xlfn.XLOOKUP(C2610,[1]StuntDes!$B:$B,[1]StuntDes!$A:$A),"")</f>
        <v/>
      </c>
      <c r="N2610" s="10" t="str">
        <f>IFERROR(_xlfn.XLOOKUP(C2610,[1]ModifierDes!$B:$B,[1]ModifierDes!$A:$A),"")</f>
        <v/>
      </c>
      <c r="O2610" s="10">
        <f>IFERROR(_xlfn.XLOOKUP(C2610,[1]AttributeName!$C:$C,[1]AttributeName!$B:$B),"")</f>
        <v>10013</v>
      </c>
      <c r="P2610" s="10"/>
      <c r="Q2610">
        <v>1</v>
      </c>
      <c r="R2610">
        <v>1</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customFormat="1" spans="1:20">
      <c r="A2611">
        <v>102423</v>
      </c>
      <c r="B2611">
        <v>1</v>
      </c>
      <c r="C2611" t="s">
        <v>430</v>
      </c>
      <c r="D2611" t="s">
        <v>198</v>
      </c>
      <c r="E2611" t="s">
        <v>468</v>
      </c>
      <c r="H2611">
        <v>1000</v>
      </c>
      <c r="J2611">
        <v>1</v>
      </c>
      <c r="K2611" t="str" cm="1">
        <f t="array" ref="K2611">IFERROR(_xlfn.SWITCH(L2611,1,_xlfn.XLOOKUP(C2611,[1]AttributeName!$C:$C,[1]AttributeName!$I:$I),2,_xlfn.XLOOKUP(C2611,[1]ModifierDes!$B:$B,[1]ModifierDes!$C:$C),3,_xlfn.XLOOKUP(C2611,[1]StuntDes!$B:$B,[1]StuntDes!$C:$C)),"")</f>
        <v>法术格挡率增加{0}</v>
      </c>
      <c r="L2611">
        <f t="shared" si="192"/>
        <v>1</v>
      </c>
      <c r="M2611" s="10" t="str">
        <f>IFERROR(_xlfn.XLOOKUP(C2611,[1]StuntDes!$B:$B,[1]StuntDes!$A:$A),"")</f>
        <v/>
      </c>
      <c r="N2611" s="10" t="str">
        <f>IFERROR(_xlfn.XLOOKUP(C2611,[1]ModifierDes!$B:$B,[1]ModifierDes!$A:$A),"")</f>
        <v/>
      </c>
      <c r="O2611" s="10">
        <f>IFERROR(_xlfn.XLOOKUP(C2611,[1]AttributeName!$C:$C,[1]AttributeName!$B:$B),"")</f>
        <v>10011</v>
      </c>
      <c r="P2611" s="10"/>
      <c r="Q2611">
        <v>1</v>
      </c>
      <c r="R2611">
        <v>1</v>
      </c>
      <c r="S2611" cm="1">
        <f t="array" ref="S2611">IFERROR(_xlfn.SWITCH(L2611,1,_xlfn.XLOOKUP(O2611,[1]AttributeName!$B:$B,[1]AttributeName!$D:$D),2,_xlfn.XLOOKUP(C2611,[1]ModifierDes!$B:$B,[1]ModifierDes!$D:$D),3,_xlfn.XLOOKUP(C2611,[1]StuntDes!$B:$B,[1]StuntDes!$D:$D)),0)</f>
        <v>2</v>
      </c>
      <c r="T2611" cm="1">
        <f t="array" ref="T2611">IFERROR(_xlfn.SWITCH(L2611,1,_xlfn.XLOOKUP(O2611,[1]AttributeName!$B:$B,[1]AttributeName!$E:$E),2,_xlfn.XLOOKUP(C2611,[1]ModifierDes!$B:$B,[1]ModifierDes!$E:$E),3,_xlfn.XLOOKUP(C2611,[1]StuntDes!$B:$B,[1]StuntDes!$E:$E)),0)</f>
        <v>2</v>
      </c>
    </row>
    <row r="2612" customFormat="1" spans="1:20">
      <c r="A2612">
        <v>102424</v>
      </c>
      <c r="B2612">
        <v>1</v>
      </c>
      <c r="C2612" t="s">
        <v>455</v>
      </c>
      <c r="D2612" t="s">
        <v>198</v>
      </c>
      <c r="E2612" t="s">
        <v>468</v>
      </c>
      <c r="H2612">
        <v>1000</v>
      </c>
      <c r="J2612">
        <v>1</v>
      </c>
      <c r="K2612" t="str" cm="1">
        <f t="array" ref="K2612">IFERROR(_xlfn.SWITCH(L2612,1,_xlfn.XLOOKUP(C2612,[1]AttributeName!$C:$C,[1]AttributeName!$I:$I),2,_xlfn.XLOOKUP(C2612,[1]ModifierDes!$B:$B,[1]ModifierDes!$C:$C),3,_xlfn.XLOOKUP(C2612,[1]StuntDes!$B:$B,[1]StuntDes!$C:$C)),"")</f>
        <v>格挡减伤率增加{0}</v>
      </c>
      <c r="L2612">
        <f t="shared" si="192"/>
        <v>1</v>
      </c>
      <c r="M2612" s="10" t="str">
        <f>IFERROR(_xlfn.XLOOKUP(C2612,[1]StuntDes!$B:$B,[1]StuntDes!$A:$A),"")</f>
        <v/>
      </c>
      <c r="N2612" s="10" t="str">
        <f>IFERROR(_xlfn.XLOOKUP(C2612,[1]ModifierDes!$B:$B,[1]ModifierDes!$A:$A),"")</f>
        <v/>
      </c>
      <c r="O2612" s="10">
        <f>IFERROR(_xlfn.XLOOKUP(C2612,[1]AttributeName!$C:$C,[1]AttributeName!$B:$B),"")</f>
        <v>10012</v>
      </c>
      <c r="P2612" s="10"/>
      <c r="Q2612">
        <v>0.15</v>
      </c>
      <c r="R2612">
        <v>0.25</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customFormat="1" spans="1:20">
      <c r="A2613">
        <v>102501</v>
      </c>
      <c r="B2613">
        <v>1</v>
      </c>
      <c r="C2613" t="s">
        <v>449</v>
      </c>
      <c r="D2613" t="s">
        <v>152</v>
      </c>
      <c r="E2613" t="s">
        <v>468</v>
      </c>
      <c r="H2613">
        <v>1000</v>
      </c>
      <c r="J2613">
        <v>1</v>
      </c>
      <c r="K2613" t="str" cm="1">
        <f t="array" ref="K2613">IFERROR(_xlfn.SWITCH(L2613,1,_xlfn.XLOOKUP(C2613,[1]AttributeName!$C:$C,[1]AttributeName!$I:$I),2,_xlfn.XLOOKUP(C2613,[1]ModifierDes!$B:$B,[1]ModifierDes!$C:$C),3,_xlfn.XLOOKUP(C2613,[1]StuntDes!$B:$B,[1]StuntDes!$C:$C)),"")</f>
        <v>火焰伤害提高{0}</v>
      </c>
      <c r="L2613">
        <f t="shared" si="192"/>
        <v>1</v>
      </c>
      <c r="M2613" s="10" t="str">
        <f>IFERROR(_xlfn.XLOOKUP(C2613,[1]StuntDes!$B:$B,[1]StuntDes!$A:$A),"")</f>
        <v/>
      </c>
      <c r="N2613" s="10" t="str">
        <f>IFERROR(_xlfn.XLOOKUP(C2613,[1]ModifierDes!$B:$B,[1]ModifierDes!$A:$A),"")</f>
        <v/>
      </c>
      <c r="O2613" s="10">
        <f>IFERROR(_xlfn.XLOOKUP(C2613,[1]AttributeName!$C:$C,[1]AttributeName!$B:$B),"")</f>
        <v>10304</v>
      </c>
      <c r="P2613" s="10"/>
      <c r="Q2613">
        <v>1.05</v>
      </c>
      <c r="R2613">
        <v>1.65</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customFormat="1" spans="1:20">
      <c r="A2614">
        <v>102502</v>
      </c>
      <c r="B2614">
        <v>1</v>
      </c>
      <c r="C2614" t="s">
        <v>463</v>
      </c>
      <c r="D2614" t="s">
        <v>152</v>
      </c>
      <c r="E2614" t="s">
        <v>468</v>
      </c>
      <c r="H2614">
        <v>1000</v>
      </c>
      <c r="J2614">
        <v>1</v>
      </c>
      <c r="K2614" t="str" cm="1">
        <f t="array" ref="K2614">IFERROR(_xlfn.SWITCH(L2614,1,_xlfn.XLOOKUP(C2614,[1]AttributeName!$C:$C,[1]AttributeName!$I:$I),2,_xlfn.XLOOKUP(C2614,[1]ModifierDes!$B:$B,[1]ModifierDes!$C:$C),3,_xlfn.XLOOKUP(C2614,[1]StuntDes!$B:$B,[1]StuntDes!$C:$C)),"")</f>
        <v>生命恢复率增加{0}</v>
      </c>
      <c r="L2614">
        <f t="shared" si="192"/>
        <v>1</v>
      </c>
      <c r="M2614" s="10" t="str">
        <f>IFERROR(_xlfn.XLOOKUP(C2614,[1]StuntDes!$B:$B,[1]StuntDes!$A:$A),"")</f>
        <v/>
      </c>
      <c r="N2614" s="10" t="str">
        <f>IFERROR(_xlfn.XLOOKUP(C2614,[1]ModifierDes!$B:$B,[1]ModifierDes!$A:$A),"")</f>
        <v/>
      </c>
      <c r="O2614" s="10">
        <f>IFERROR(_xlfn.XLOOKUP(C2614,[1]AttributeName!$C:$C,[1]AttributeName!$B:$B),"")</f>
        <v>10004</v>
      </c>
      <c r="P2614" s="10"/>
      <c r="Q2614">
        <v>0.01</v>
      </c>
      <c r="R2614">
        <v>0.03</v>
      </c>
      <c r="S2614" cm="1">
        <f t="array" ref="S2614">IFERROR(_xlfn.SWITCH(L2614,1,_xlfn.XLOOKUP(O2614,[1]AttributeName!$B:$B,[1]AttributeName!$D:$D),2,_xlfn.XLOOKUP(C2614,[1]ModifierDes!$B:$B,[1]ModifierDes!$D:$D),3,_xlfn.XLOOKUP(C2614,[1]StuntDes!$B:$B,[1]StuntDes!$D:$D)),0)</f>
        <v>3</v>
      </c>
      <c r="T2614" cm="1">
        <f t="array" ref="T2614">IFERROR(_xlfn.SWITCH(L2614,1,_xlfn.XLOOKUP(O2614,[1]AttributeName!$B:$B,[1]AttributeName!$E:$E),2,_xlfn.XLOOKUP(C2614,[1]ModifierDes!$B:$B,[1]ModifierDes!$E:$E),3,_xlfn.XLOOKUP(C2614,[1]StuntDes!$B:$B,[1]StuntDes!$E:$E)),0)</f>
        <v>2</v>
      </c>
    </row>
    <row r="2615" customFormat="1" spans="1:20">
      <c r="A2615">
        <v>102503</v>
      </c>
      <c r="B2615">
        <v>1</v>
      </c>
      <c r="C2615" t="s">
        <v>501</v>
      </c>
      <c r="D2615" t="s">
        <v>152</v>
      </c>
      <c r="E2615" t="s">
        <v>468</v>
      </c>
      <c r="H2615">
        <v>1000</v>
      </c>
      <c r="J2615">
        <v>1</v>
      </c>
      <c r="K2615" t="str" cm="1">
        <f t="array" ref="K2615">IFERROR(_xlfn.SWITCH(L2615,1,_xlfn.XLOOKUP(C2615,[1]AttributeName!$C:$C,[1]AttributeName!$I:$I),2,_xlfn.XLOOKUP(C2615,[1]ModifierDes!$B:$B,[1]ModifierDes!$C:$C),3,_xlfn.XLOOKUP(C2615,[1]StuntDes!$B:$B,[1]StuntDes!$C:$C)),"")</f>
        <v>周围敌人受到生命值上限1%的点燃强度的点燃</v>
      </c>
      <c r="L2615">
        <f t="shared" si="192"/>
        <v>3</v>
      </c>
      <c r="M2615" s="10">
        <f>IFERROR(_xlfn.XLOOKUP(C2615,[1]StuntDes!$B:$B,[1]StuntDes!$A:$A),"")</f>
        <v>2340000080</v>
      </c>
      <c r="N2615" s="10" t="str">
        <f>IFERROR(_xlfn.XLOOKUP(C2615,[1]ModifierDes!$B:$B,[1]ModifierDes!$A:$A),"")</f>
        <v/>
      </c>
      <c r="O2615" s="10" t="str">
        <f>IFERROR(_xlfn.XLOOKUP(C2615,[1]AttributeName!$C:$C,[1]AttributeName!$B:$B),"")</f>
        <v/>
      </c>
      <c r="P2615" s="10"/>
      <c r="Q2615">
        <v>0.01</v>
      </c>
      <c r="R2615">
        <v>0.01</v>
      </c>
      <c r="S2615" cm="1">
        <f t="array" ref="S2615">IFERROR(_xlfn.SWITCH(L2615,1,_xlfn.XLOOKUP(O2615,[1]AttributeName!$B:$B,[1]AttributeName!$D:$D),2,_xlfn.XLOOKUP(C2615,[1]ModifierDes!$B:$B,[1]ModifierDes!$D:$D),3,_xlfn.XLOOKUP(C2615,[1]StuntDes!$B:$B,[1]StuntDes!$D:$D)),0)</f>
        <v>0</v>
      </c>
      <c r="T2615" cm="1">
        <f t="array" ref="T2615">IFERROR(_xlfn.SWITCH(L2615,1,_xlfn.XLOOKUP(O2615,[1]AttributeName!$B:$B,[1]AttributeName!$E:$E),2,_xlfn.XLOOKUP(C2615,[1]ModifierDes!$B:$B,[1]ModifierDes!$E:$E),3,_xlfn.XLOOKUP(C2615,[1]StuntDes!$B:$B,[1]StuntDes!$E:$E)),0)</f>
        <v>0</v>
      </c>
    </row>
    <row r="2616" customFormat="1" spans="1:20">
      <c r="A2616">
        <v>102504</v>
      </c>
      <c r="B2616">
        <v>1</v>
      </c>
      <c r="C2616" t="s">
        <v>438</v>
      </c>
      <c r="D2616" t="s">
        <v>152</v>
      </c>
      <c r="E2616" t="s">
        <v>468</v>
      </c>
      <c r="H2616">
        <v>1000</v>
      </c>
      <c r="J2616">
        <v>1</v>
      </c>
      <c r="K2616" t="str" cm="1">
        <f t="array" ref="K2616">IFERROR(_xlfn.SWITCH(L2616,1,_xlfn.XLOOKUP(C2616,[1]AttributeName!$C:$C,[1]AttributeName!$I:$I),2,_xlfn.XLOOKUP(C2616,[1]ModifierDes!$B:$B,[1]ModifierDes!$C:$C),3,_xlfn.XLOOKUP(C2616,[1]StuntDes!$B:$B,[1]StuntDes!$C:$C)),"")</f>
        <v>火焰抗性增加{0}</v>
      </c>
      <c r="L2616">
        <f t="shared" si="192"/>
        <v>1</v>
      </c>
      <c r="M2616" s="10" t="str">
        <f>IFERROR(_xlfn.XLOOKUP(C2616,[1]StuntDes!$B:$B,[1]StuntDes!$A:$A),"")</f>
        <v/>
      </c>
      <c r="N2616" s="10" t="str">
        <f>IFERROR(_xlfn.XLOOKUP(C2616,[1]ModifierDes!$B:$B,[1]ModifierDes!$A:$A),"")</f>
        <v/>
      </c>
      <c r="O2616" s="10">
        <f>IFERROR(_xlfn.XLOOKUP(C2616,[1]AttributeName!$C:$C,[1]AttributeName!$B:$B),"")</f>
        <v>10312</v>
      </c>
      <c r="P2616" s="10"/>
      <c r="Q2616">
        <v>0.27</v>
      </c>
      <c r="R2616">
        <v>0.4</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102601</v>
      </c>
      <c r="B2617">
        <v>1</v>
      </c>
      <c r="C2617" t="s">
        <v>502</v>
      </c>
      <c r="D2617" t="s">
        <v>168</v>
      </c>
      <c r="E2617" t="s">
        <v>468</v>
      </c>
      <c r="F2617"/>
      <c r="H2617">
        <v>1000</v>
      </c>
      <c r="J2617">
        <v>1</v>
      </c>
      <c r="K2617" t="str" cm="1">
        <f t="array" ref="K2617">IFERROR(_xlfn.SWITCH(L2617,1,_xlfn.XLOOKUP(C2617,[1]AttributeName!$C:$C,[1]AttributeName!$I:$I),2,_xlfn.XLOOKUP(C2617,[1]ModifierDes!$B:$B,[1]ModifierDes!$C:$C),3,_xlfn.XLOOKUP(C2617,[1]StuntDes!$B:$B,[1]StuntDes!$C:$C)),"")</f>
        <v>毁灭注能-物理额外伤害提高{0}</v>
      </c>
      <c r="L2617">
        <f t="shared" si="192"/>
        <v>2</v>
      </c>
      <c r="M2617" s="10" t="str">
        <f>IFERROR(_xlfn.XLOOKUP(C2617,[1]StuntDes!$B:$B,[1]StuntDes!$A:$A),"")</f>
        <v/>
      </c>
      <c r="N2617" s="10">
        <f>IFERROR(_xlfn.XLOOKUP(C2617,[1]ModifierDes!$B:$B,[1]ModifierDes!$A:$A),"")</f>
        <v>10255</v>
      </c>
      <c r="O2617" s="10" t="str">
        <f>IFERROR(_xlfn.XLOOKUP(C2617,[1]AttributeName!$C:$C,[1]AttributeName!$B:$B),"")</f>
        <v/>
      </c>
      <c r="P2617" s="10"/>
      <c r="Q2617">
        <v>0.3</v>
      </c>
      <c r="R2617">
        <v>0.6</v>
      </c>
      <c r="S2617" cm="1">
        <f t="array" ref="S2617">IFERROR(_xlfn.SWITCH(L2617,1,_xlfn.XLOOKUP(O2617,[1]AttributeName!$B:$B,[1]AttributeName!$D:$D),2,_xlfn.XLOOKUP(C2617,[1]ModifierDes!$B:$B,[1]ModifierDes!$D:$D),3,_xlfn.XLOOKUP(C2617,[1]StuntDes!$B:$B,[1]StuntDes!$D:$D)),0)</f>
        <v>3</v>
      </c>
      <c r="T2617" cm="1">
        <f t="array" ref="T2617">IFERROR(_xlfn.SWITCH(L2617,1,_xlfn.XLOOKUP(O2617,[1]AttributeName!$B:$B,[1]AttributeName!$E:$E),2,_xlfn.XLOOKUP(C2617,[1]ModifierDes!$B:$B,[1]ModifierDes!$E:$E),3,_xlfn.XLOOKUP(C2617,[1]StuntDes!$B:$B,[1]StuntDes!$E:$E)),0)</f>
        <v>2</v>
      </c>
    </row>
    <row r="2618" customFormat="1" spans="1:20">
      <c r="A2618">
        <v>102602</v>
      </c>
      <c r="B2618">
        <v>1</v>
      </c>
      <c r="C2618" t="s">
        <v>503</v>
      </c>
      <c r="D2618" t="s">
        <v>168</v>
      </c>
      <c r="E2618" t="s">
        <v>468</v>
      </c>
      <c r="F2618"/>
      <c r="H2618">
        <v>1000</v>
      </c>
      <c r="J2618">
        <v>1</v>
      </c>
      <c r="K2618" t="str" cm="1">
        <f t="array" ref="K2618">IFERROR(_xlfn.SWITCH(L2618,1,_xlfn.XLOOKUP(C2618,[1]AttributeName!$C:$C,[1]AttributeName!$I:$I),2,_xlfn.XLOOKUP(C2618,[1]ModifierDes!$B:$B,[1]ModifierDes!$C:$C),3,_xlfn.XLOOKUP(C2618,[1]StuntDes!$B:$B,[1]StuntDes!$C:$C)),"")</f>
        <v>洞察注能-冰冷额外伤害提高{0}</v>
      </c>
      <c r="L2618">
        <f t="shared" si="192"/>
        <v>2</v>
      </c>
      <c r="M2618" s="10" t="str">
        <f>IFERROR(_xlfn.XLOOKUP(C2618,[1]StuntDes!$B:$B,[1]StuntDes!$A:$A),"")</f>
        <v/>
      </c>
      <c r="N2618" s="10">
        <f>IFERROR(_xlfn.XLOOKUP(C2618,[1]ModifierDes!$B:$B,[1]ModifierDes!$A:$A),"")</f>
        <v>10256</v>
      </c>
      <c r="O2618" s="10" t="str">
        <f>IFERROR(_xlfn.XLOOKUP(C2618,[1]AttributeName!$C:$C,[1]AttributeName!$B:$B),"")</f>
        <v/>
      </c>
      <c r="P2618" s="10"/>
      <c r="Q2618">
        <v>0.3</v>
      </c>
      <c r="R2618">
        <v>0.6</v>
      </c>
      <c r="S2618" cm="1">
        <f t="array" ref="S2618">IFERROR(_xlfn.SWITCH(L2618,1,_xlfn.XLOOKUP(O2618,[1]AttributeName!$B:$B,[1]AttributeName!$D:$D),2,_xlfn.XLOOKUP(C2618,[1]ModifierDes!$B:$B,[1]ModifierDes!$D:$D),3,_xlfn.XLOOKUP(C2618,[1]StuntDes!$B:$B,[1]StuntDes!$D:$D)),0)</f>
        <v>3</v>
      </c>
      <c r="T2618" cm="1">
        <f t="array" ref="T2618">IFERROR(_xlfn.SWITCH(L2618,1,_xlfn.XLOOKUP(O2618,[1]AttributeName!$B:$B,[1]AttributeName!$E:$E),2,_xlfn.XLOOKUP(C2618,[1]ModifierDes!$B:$B,[1]ModifierDes!$E:$E),3,_xlfn.XLOOKUP(C2618,[1]StuntDes!$B:$B,[1]StuntDes!$E:$E)),0)</f>
        <v>2</v>
      </c>
    </row>
    <row r="2619" customFormat="1" spans="1:20">
      <c r="A2619">
        <v>102603</v>
      </c>
      <c r="B2619">
        <v>1</v>
      </c>
      <c r="C2619" t="s">
        <v>504</v>
      </c>
      <c r="D2619" t="s">
        <v>168</v>
      </c>
      <c r="E2619" t="s">
        <v>468</v>
      </c>
      <c r="F2619"/>
      <c r="H2619">
        <v>1000</v>
      </c>
      <c r="J2619">
        <v>1</v>
      </c>
      <c r="K2619" t="str" cm="1">
        <f t="array" ref="K2619">IFERROR(_xlfn.SWITCH(L2619,1,_xlfn.XLOOKUP(C2619,[1]AttributeName!$C:$C,[1]AttributeName!$I:$I),2,_xlfn.XLOOKUP(C2619,[1]ModifierDes!$B:$B,[1]ModifierDes!$C:$C),3,_xlfn.XLOOKUP(C2619,[1]StuntDes!$B:$B,[1]StuntDes!$C:$C)),"")</f>
        <v>穿透注能-火焰额外伤害提高{0}</v>
      </c>
      <c r="L2619">
        <f t="shared" si="192"/>
        <v>2</v>
      </c>
      <c r="M2619" s="10" t="str">
        <f>IFERROR(_xlfn.XLOOKUP(C2619,[1]StuntDes!$B:$B,[1]StuntDes!$A:$A),"")</f>
        <v/>
      </c>
      <c r="N2619" s="10">
        <f>IFERROR(_xlfn.XLOOKUP(C2619,[1]ModifierDes!$B:$B,[1]ModifierDes!$A:$A),"")</f>
        <v>10257</v>
      </c>
      <c r="O2619" s="10" t="str">
        <f>IFERROR(_xlfn.XLOOKUP(C2619,[1]AttributeName!$C:$C,[1]AttributeName!$B:$B),"")</f>
        <v/>
      </c>
      <c r="P2619" s="10"/>
      <c r="Q2619">
        <v>0.3</v>
      </c>
      <c r="R2619">
        <v>0.6</v>
      </c>
      <c r="S2619" cm="1">
        <f t="array" ref="S2619">IFERROR(_xlfn.SWITCH(L2619,1,_xlfn.XLOOKUP(O2619,[1]AttributeName!$B:$B,[1]AttributeName!$D:$D),2,_xlfn.XLOOKUP(C2619,[1]ModifierDes!$B:$B,[1]ModifierDes!$D:$D),3,_xlfn.XLOOKUP(C2619,[1]StuntDes!$B:$B,[1]StuntDes!$D:$D)),0)</f>
        <v>3</v>
      </c>
      <c r="T2619" cm="1">
        <f t="array" ref="T2619">IFERROR(_xlfn.SWITCH(L2619,1,_xlfn.XLOOKUP(O2619,[1]AttributeName!$B:$B,[1]AttributeName!$E:$E),2,_xlfn.XLOOKUP(C2619,[1]ModifierDes!$B:$B,[1]ModifierDes!$E:$E),3,_xlfn.XLOOKUP(C2619,[1]StuntDes!$B:$B,[1]StuntDes!$E:$E)),0)</f>
        <v>2</v>
      </c>
    </row>
    <row r="2620" customFormat="1" spans="1:20">
      <c r="A2620">
        <v>102604</v>
      </c>
      <c r="B2620">
        <v>1</v>
      </c>
      <c r="C2620" t="s">
        <v>505</v>
      </c>
      <c r="D2620" t="s">
        <v>168</v>
      </c>
      <c r="E2620" t="s">
        <v>468</v>
      </c>
      <c r="H2620">
        <v>1000</v>
      </c>
      <c r="J2620">
        <v>1</v>
      </c>
      <c r="K2620" t="str" cm="1">
        <f t="array" ref="K2620">IFERROR(_xlfn.SWITCH(L2620,1,_xlfn.XLOOKUP(C2620,[1]AttributeName!$C:$C,[1]AttributeName!$I:$I),2,_xlfn.XLOOKUP(C2620,[1]ModifierDes!$B:$B,[1]ModifierDes!$C:$C),3,_xlfn.XLOOKUP(C2620,[1]StuntDes!$B:$B,[1]StuntDes!$C:$C)),"")</f>
        <v>混乱注能-混沌额外伤害提高{0}</v>
      </c>
      <c r="L2620">
        <f t="shared" si="192"/>
        <v>2</v>
      </c>
      <c r="M2620" s="10" t="str">
        <f>IFERROR(_xlfn.XLOOKUP(C2620,[1]StuntDes!$B:$B,[1]StuntDes!$A:$A),"")</f>
        <v/>
      </c>
      <c r="N2620" s="10">
        <f>IFERROR(_xlfn.XLOOKUP(C2620,[1]ModifierDes!$B:$B,[1]ModifierDes!$A:$A),"")</f>
        <v>10258</v>
      </c>
      <c r="O2620" s="10" t="str">
        <f>IFERROR(_xlfn.XLOOKUP(C2620,[1]AttributeName!$C:$C,[1]AttributeName!$B:$B),"")</f>
        <v/>
      </c>
      <c r="P2620" s="10"/>
      <c r="Q2620">
        <v>0.3</v>
      </c>
      <c r="R2620">
        <v>0.6</v>
      </c>
      <c r="S2620" cm="1">
        <f t="array" ref="S2620">IFERROR(_xlfn.SWITCH(L2620,1,_xlfn.XLOOKUP(O2620,[1]AttributeName!$B:$B,[1]AttributeName!$D:$D),2,_xlfn.XLOOKUP(C2620,[1]ModifierDes!$B:$B,[1]ModifierDes!$D:$D),3,_xlfn.XLOOKUP(C2620,[1]StuntDes!$B:$B,[1]StuntDes!$D:$D)),0)</f>
        <v>3</v>
      </c>
      <c r="T2620" cm="1">
        <f t="array" ref="T2620">IFERROR(_xlfn.SWITCH(L2620,1,_xlfn.XLOOKUP(O2620,[1]AttributeName!$B:$B,[1]AttributeName!$E:$E),2,_xlfn.XLOOKUP(C2620,[1]ModifierDes!$B:$B,[1]ModifierDes!$E:$E),3,_xlfn.XLOOKUP(C2620,[1]StuntDes!$B:$B,[1]StuntDes!$E:$E)),0)</f>
        <v>2</v>
      </c>
    </row>
    <row r="2621" customFormat="1" spans="1:20">
      <c r="A2621">
        <v>102605</v>
      </c>
      <c r="B2621">
        <v>1</v>
      </c>
      <c r="C2621" t="s">
        <v>506</v>
      </c>
      <c r="D2621" t="s">
        <v>168</v>
      </c>
      <c r="E2621" t="s">
        <v>468</v>
      </c>
      <c r="H2621">
        <v>1000</v>
      </c>
      <c r="J2621">
        <v>1</v>
      </c>
      <c r="K2621" t="str" cm="1">
        <f t="array" ref="K2621">IFERROR(_xlfn.SWITCH(L2621,1,_xlfn.XLOOKUP(C2621,[1]AttributeName!$C:$C,[1]AttributeName!$I:$I),2,_xlfn.XLOOKUP(C2621,[1]ModifierDes!$B:$B,[1]ModifierDes!$C:$C),3,_xlfn.XLOOKUP(C2621,[1]StuntDes!$B:$B,[1]StuntDes!$C:$C)),"")</f>
        <v>迅捷注能-闪电额外伤害提高{0}</v>
      </c>
      <c r="L2621">
        <f t="shared" si="192"/>
        <v>2</v>
      </c>
      <c r="M2621" s="10" t="str">
        <f>IFERROR(_xlfn.XLOOKUP(C2621,[1]StuntDes!$B:$B,[1]StuntDes!$A:$A),"")</f>
        <v/>
      </c>
      <c r="N2621" s="10">
        <f>IFERROR(_xlfn.XLOOKUP(C2621,[1]ModifierDes!$B:$B,[1]ModifierDes!$A:$A),"")</f>
        <v>10259</v>
      </c>
      <c r="O2621" s="10" t="str">
        <f>IFERROR(_xlfn.XLOOKUP(C2621,[1]AttributeName!$C:$C,[1]AttributeName!$B:$B),"")</f>
        <v/>
      </c>
      <c r="P2621" s="10"/>
      <c r="Q2621">
        <v>0.3</v>
      </c>
      <c r="R2621">
        <v>0.6</v>
      </c>
      <c r="S2621" cm="1">
        <f t="array" ref="S2621">IFERROR(_xlfn.SWITCH(L2621,1,_xlfn.XLOOKUP(O2621,[1]AttributeName!$B:$B,[1]AttributeName!$D:$D),2,_xlfn.XLOOKUP(C2621,[1]ModifierDes!$B:$B,[1]ModifierDes!$D:$D),3,_xlfn.XLOOKUP(C2621,[1]StuntDes!$B:$B,[1]StuntDes!$D:$D)),0)</f>
        <v>3</v>
      </c>
      <c r="T2621" cm="1">
        <f t="array" ref="T2621">IFERROR(_xlfn.SWITCH(L2621,1,_xlfn.XLOOKUP(O2621,[1]AttributeName!$B:$B,[1]AttributeName!$E:$E),2,_xlfn.XLOOKUP(C2621,[1]ModifierDes!$B:$B,[1]ModifierDes!$E:$E),3,_xlfn.XLOOKUP(C2621,[1]StuntDes!$B:$B,[1]StuntDes!$E:$E)),0)</f>
        <v>2</v>
      </c>
    </row>
    <row r="2622" customFormat="1" spans="1:20">
      <c r="A2622">
        <v>102606</v>
      </c>
      <c r="B2622">
        <v>1</v>
      </c>
      <c r="C2622" t="s">
        <v>456</v>
      </c>
      <c r="D2622" t="s">
        <v>168</v>
      </c>
      <c r="E2622" t="s">
        <v>468</v>
      </c>
      <c r="H2622">
        <v>1000</v>
      </c>
      <c r="J2622">
        <v>1</v>
      </c>
      <c r="K2622" t="str" cm="1">
        <f t="array" ref="K2622">IFERROR(_xlfn.SWITCH(L2622,1,_xlfn.XLOOKUP(C2622,[1]AttributeName!$C:$C,[1]AttributeName!$I:$I),2,_xlfn.XLOOKUP(C2622,[1]ModifierDes!$B:$B,[1]ModifierDes!$C:$C),3,_xlfn.XLOOKUP(C2622,[1]StuntDes!$B:$B,[1]StuntDes!$C:$C)),"")</f>
        <v>毁灭注能层数上限增加{0}</v>
      </c>
      <c r="L2622">
        <f t="shared" si="192"/>
        <v>2</v>
      </c>
      <c r="M2622" s="10" t="str">
        <f>IFERROR(_xlfn.XLOOKUP(C2622,[1]StuntDes!$B:$B,[1]StuntDes!$A:$A),"")</f>
        <v/>
      </c>
      <c r="N2622" s="10">
        <f>IFERROR(_xlfn.XLOOKUP(C2622,[1]ModifierDes!$B:$B,[1]ModifierDes!$A:$A),"")</f>
        <v>10149</v>
      </c>
      <c r="O2622" s="10" t="str">
        <f>IFERROR(_xlfn.XLOOKUP(C2622,[1]AttributeName!$C:$C,[1]AttributeName!$B:$B),"")</f>
        <v/>
      </c>
      <c r="P2622" s="10"/>
      <c r="Q2622">
        <v>1</v>
      </c>
      <c r="R2622">
        <v>1</v>
      </c>
      <c r="S2622" cm="1">
        <f t="array" ref="S2622">IFERROR(_xlfn.SWITCH(L2622,1,_xlfn.XLOOKUP(O2622,[1]AttributeName!$B:$B,[1]AttributeName!$D:$D),2,_xlfn.XLOOKUP(C2622,[1]ModifierDes!$B:$B,[1]ModifierDes!$D:$D),3,_xlfn.XLOOKUP(C2622,[1]StuntDes!$B:$B,[1]StuntDes!$D:$D)),0)</f>
        <v>0</v>
      </c>
      <c r="T2622" cm="1">
        <f t="array" ref="T2622">IFERROR(_xlfn.SWITCH(L2622,1,_xlfn.XLOOKUP(O2622,[1]AttributeName!$B:$B,[1]AttributeName!$E:$E),2,_xlfn.XLOOKUP(C2622,[1]ModifierDes!$B:$B,[1]ModifierDes!$E:$E),3,_xlfn.XLOOKUP(C2622,[1]StuntDes!$B:$B,[1]StuntDes!$E:$E)),0)</f>
        <v>0</v>
      </c>
    </row>
    <row r="2623" customFormat="1" spans="1:20">
      <c r="A2623">
        <v>102607</v>
      </c>
      <c r="B2623">
        <v>1</v>
      </c>
      <c r="C2623" t="s">
        <v>457</v>
      </c>
      <c r="D2623" t="s">
        <v>168</v>
      </c>
      <c r="E2623" t="s">
        <v>468</v>
      </c>
      <c r="H2623">
        <v>1000</v>
      </c>
      <c r="J2623">
        <v>1</v>
      </c>
      <c r="K2623" t="str" cm="1">
        <f t="array" ref="K2623">IFERROR(_xlfn.SWITCH(L2623,1,_xlfn.XLOOKUP(C2623,[1]AttributeName!$C:$C,[1]AttributeName!$I:$I),2,_xlfn.XLOOKUP(C2623,[1]ModifierDes!$B:$B,[1]ModifierDes!$C:$C),3,_xlfn.XLOOKUP(C2623,[1]StuntDes!$B:$B,[1]StuntDes!$C:$C)),"")</f>
        <v>洞察注能层数上限增加{0}</v>
      </c>
      <c r="L2623">
        <f t="shared" si="192"/>
        <v>2</v>
      </c>
      <c r="M2623" s="10" t="str">
        <f>IFERROR(_xlfn.XLOOKUP(C2623,[1]StuntDes!$B:$B,[1]StuntDes!$A:$A),"")</f>
        <v/>
      </c>
      <c r="N2623" s="10">
        <f>IFERROR(_xlfn.XLOOKUP(C2623,[1]ModifierDes!$B:$B,[1]ModifierDes!$A:$A),"")</f>
        <v>10150</v>
      </c>
      <c r="O2623" s="10" t="str">
        <f>IFERROR(_xlfn.XLOOKUP(C2623,[1]AttributeName!$C:$C,[1]AttributeName!$B:$B),"")</f>
        <v/>
      </c>
      <c r="P2623" s="10"/>
      <c r="Q2623">
        <v>1</v>
      </c>
      <c r="R2623">
        <v>1</v>
      </c>
      <c r="S2623" cm="1">
        <f t="array" ref="S2623">IFERROR(_xlfn.SWITCH(L2623,1,_xlfn.XLOOKUP(O2623,[1]AttributeName!$B:$B,[1]AttributeName!$D:$D),2,_xlfn.XLOOKUP(C2623,[1]ModifierDes!$B:$B,[1]ModifierDes!$D:$D),3,_xlfn.XLOOKUP(C2623,[1]StuntDes!$B:$B,[1]StuntDes!$D:$D)),0)</f>
        <v>0</v>
      </c>
      <c r="T2623" cm="1">
        <f t="array" ref="T2623">IFERROR(_xlfn.SWITCH(L2623,1,_xlfn.XLOOKUP(O2623,[1]AttributeName!$B:$B,[1]AttributeName!$E:$E),2,_xlfn.XLOOKUP(C2623,[1]ModifierDes!$B:$B,[1]ModifierDes!$E:$E),3,_xlfn.XLOOKUP(C2623,[1]StuntDes!$B:$B,[1]StuntDes!$E:$E)),0)</f>
        <v>0</v>
      </c>
    </row>
    <row r="2624" customFormat="1" spans="1:20">
      <c r="A2624">
        <v>102608</v>
      </c>
      <c r="B2624">
        <v>1</v>
      </c>
      <c r="C2624" t="s">
        <v>458</v>
      </c>
      <c r="D2624" t="s">
        <v>168</v>
      </c>
      <c r="E2624" t="s">
        <v>468</v>
      </c>
      <c r="H2624">
        <v>1000</v>
      </c>
      <c r="J2624">
        <v>1</v>
      </c>
      <c r="K2624" t="str" cm="1">
        <f t="array" ref="K2624">IFERROR(_xlfn.SWITCH(L2624,1,_xlfn.XLOOKUP(C2624,[1]AttributeName!$C:$C,[1]AttributeName!$I:$I),2,_xlfn.XLOOKUP(C2624,[1]ModifierDes!$B:$B,[1]ModifierDes!$C:$C),3,_xlfn.XLOOKUP(C2624,[1]StuntDes!$B:$B,[1]StuntDes!$C:$C)),"")</f>
        <v>穿透注能层数上限增加{0}</v>
      </c>
      <c r="L2624">
        <f t="shared" si="192"/>
        <v>2</v>
      </c>
      <c r="M2624" s="10" t="str">
        <f>IFERROR(_xlfn.XLOOKUP(C2624,[1]StuntDes!$B:$B,[1]StuntDes!$A:$A),"")</f>
        <v/>
      </c>
      <c r="N2624" s="10">
        <f>IFERROR(_xlfn.XLOOKUP(C2624,[1]ModifierDes!$B:$B,[1]ModifierDes!$A:$A),"")</f>
        <v>10151</v>
      </c>
      <c r="O2624" s="10" t="str">
        <f>IFERROR(_xlfn.XLOOKUP(C2624,[1]AttributeName!$C:$C,[1]AttributeName!$B:$B),"")</f>
        <v/>
      </c>
      <c r="P2624" s="10"/>
      <c r="Q2624">
        <v>1</v>
      </c>
      <c r="R2624">
        <v>1</v>
      </c>
      <c r="S2624" cm="1">
        <f t="array" ref="S2624">IFERROR(_xlfn.SWITCH(L2624,1,_xlfn.XLOOKUP(O2624,[1]AttributeName!$B:$B,[1]AttributeName!$D:$D),2,_xlfn.XLOOKUP(C2624,[1]ModifierDes!$B:$B,[1]ModifierDes!$D:$D),3,_xlfn.XLOOKUP(C2624,[1]StuntDes!$B:$B,[1]StuntDes!$D:$D)),0)</f>
        <v>0</v>
      </c>
      <c r="T2624" cm="1">
        <f t="array" ref="T2624">IFERROR(_xlfn.SWITCH(L2624,1,_xlfn.XLOOKUP(O2624,[1]AttributeName!$B:$B,[1]AttributeName!$E:$E),2,_xlfn.XLOOKUP(C2624,[1]ModifierDes!$B:$B,[1]ModifierDes!$E:$E),3,_xlfn.XLOOKUP(C2624,[1]StuntDes!$B:$B,[1]StuntDes!$E:$E)),0)</f>
        <v>0</v>
      </c>
    </row>
    <row r="2625" customFormat="1" spans="1:20">
      <c r="A2625">
        <v>102609</v>
      </c>
      <c r="B2625">
        <v>1</v>
      </c>
      <c r="C2625" t="s">
        <v>459</v>
      </c>
      <c r="D2625" t="s">
        <v>168</v>
      </c>
      <c r="E2625" t="s">
        <v>468</v>
      </c>
      <c r="H2625">
        <v>1000</v>
      </c>
      <c r="J2625">
        <v>1</v>
      </c>
      <c r="K2625" t="str" cm="1">
        <f t="array" ref="K2625">IFERROR(_xlfn.SWITCH(L2625,1,_xlfn.XLOOKUP(C2625,[1]AttributeName!$C:$C,[1]AttributeName!$I:$I),2,_xlfn.XLOOKUP(C2625,[1]ModifierDes!$B:$B,[1]ModifierDes!$C:$C),3,_xlfn.XLOOKUP(C2625,[1]StuntDes!$B:$B,[1]StuntDes!$C:$C)),"")</f>
        <v>混乱注能层数上限增加{0}</v>
      </c>
      <c r="L2625">
        <f t="shared" si="192"/>
        <v>2</v>
      </c>
      <c r="M2625" s="10" t="str">
        <f>IFERROR(_xlfn.XLOOKUP(C2625,[1]StuntDes!$B:$B,[1]StuntDes!$A:$A),"")</f>
        <v/>
      </c>
      <c r="N2625" s="10">
        <f>IFERROR(_xlfn.XLOOKUP(C2625,[1]ModifierDes!$B:$B,[1]ModifierDes!$A:$A),"")</f>
        <v>10152</v>
      </c>
      <c r="O2625" s="10" t="str">
        <f>IFERROR(_xlfn.XLOOKUP(C2625,[1]AttributeName!$C:$C,[1]AttributeName!$B:$B),"")</f>
        <v/>
      </c>
      <c r="P2625" s="10"/>
      <c r="Q2625">
        <v>1</v>
      </c>
      <c r="R2625">
        <v>1</v>
      </c>
      <c r="S2625" cm="1">
        <f t="array" ref="S2625">IFERROR(_xlfn.SWITCH(L2625,1,_xlfn.XLOOKUP(O2625,[1]AttributeName!$B:$B,[1]AttributeName!$D:$D),2,_xlfn.XLOOKUP(C2625,[1]ModifierDes!$B:$B,[1]ModifierDes!$D:$D),3,_xlfn.XLOOKUP(C2625,[1]StuntDes!$B:$B,[1]StuntDes!$D:$D)),0)</f>
        <v>0</v>
      </c>
      <c r="T2625" cm="1">
        <f t="array" ref="T2625">IFERROR(_xlfn.SWITCH(L2625,1,_xlfn.XLOOKUP(O2625,[1]AttributeName!$B:$B,[1]AttributeName!$E:$E),2,_xlfn.XLOOKUP(C2625,[1]ModifierDes!$B:$B,[1]ModifierDes!$E:$E),3,_xlfn.XLOOKUP(C2625,[1]StuntDes!$B:$B,[1]StuntDes!$E:$E)),0)</f>
        <v>0</v>
      </c>
    </row>
    <row r="2626" customFormat="1" spans="1:20">
      <c r="A2626">
        <v>102610</v>
      </c>
      <c r="B2626">
        <v>1</v>
      </c>
      <c r="C2626" t="s">
        <v>460</v>
      </c>
      <c r="D2626" t="s">
        <v>168</v>
      </c>
      <c r="E2626" t="s">
        <v>468</v>
      </c>
      <c r="H2626">
        <v>1000</v>
      </c>
      <c r="J2626">
        <v>1</v>
      </c>
      <c r="K2626" t="str" cm="1">
        <f t="array" ref="K2626">IFERROR(_xlfn.SWITCH(L2626,1,_xlfn.XLOOKUP(C2626,[1]AttributeName!$C:$C,[1]AttributeName!$I:$I),2,_xlfn.XLOOKUP(C2626,[1]ModifierDes!$B:$B,[1]ModifierDes!$C:$C),3,_xlfn.XLOOKUP(C2626,[1]StuntDes!$B:$B,[1]StuntDes!$C:$C)),"")</f>
        <v>迅捷注能层数上限增加{0}</v>
      </c>
      <c r="L2626">
        <f t="shared" si="192"/>
        <v>2</v>
      </c>
      <c r="M2626" s="10" t="str">
        <f>IFERROR(_xlfn.XLOOKUP(C2626,[1]StuntDes!$B:$B,[1]StuntDes!$A:$A),"")</f>
        <v/>
      </c>
      <c r="N2626" s="10">
        <f>IFERROR(_xlfn.XLOOKUP(C2626,[1]ModifierDes!$B:$B,[1]ModifierDes!$A:$A),"")</f>
        <v>10153</v>
      </c>
      <c r="O2626" s="10" t="str">
        <f>IFERROR(_xlfn.XLOOKUP(C2626,[1]AttributeName!$C:$C,[1]AttributeName!$B:$B),"")</f>
        <v/>
      </c>
      <c r="P2626" s="10"/>
      <c r="Q2626">
        <v>1</v>
      </c>
      <c r="R2626">
        <v>1</v>
      </c>
      <c r="S2626" cm="1">
        <f t="array" ref="S2626">IFERROR(_xlfn.SWITCH(L2626,1,_xlfn.XLOOKUP(O2626,[1]AttributeName!$B:$B,[1]AttributeName!$D:$D),2,_xlfn.XLOOKUP(C2626,[1]ModifierDes!$B:$B,[1]ModifierDes!$D:$D),3,_xlfn.XLOOKUP(C2626,[1]StuntDes!$B:$B,[1]StuntDes!$D:$D)),0)</f>
        <v>0</v>
      </c>
      <c r="T2626" cm="1">
        <f t="array" ref="T2626">IFERROR(_xlfn.SWITCH(L2626,1,_xlfn.XLOOKUP(O2626,[1]AttributeName!$B:$B,[1]AttributeName!$E:$E),2,_xlfn.XLOOKUP(C2626,[1]ModifierDes!$B:$B,[1]ModifierDes!$E:$E),3,_xlfn.XLOOKUP(C2626,[1]StuntDes!$B:$B,[1]StuntDes!$E:$E)),0)</f>
        <v>0</v>
      </c>
    </row>
    <row r="2627" customFormat="1" spans="1:20">
      <c r="A2627">
        <v>102611</v>
      </c>
      <c r="B2627">
        <v>1</v>
      </c>
      <c r="C2627" t="s">
        <v>495</v>
      </c>
      <c r="D2627" t="s">
        <v>168</v>
      </c>
      <c r="E2627" t="s">
        <v>468</v>
      </c>
      <c r="H2627">
        <v>1000</v>
      </c>
      <c r="J2627">
        <v>1</v>
      </c>
      <c r="K2627" t="str" cm="1">
        <f t="array" ref="K2627">IFERROR(_xlfn.SWITCH(L2627,1,_xlfn.XLOOKUP(C2627,[1]AttributeName!$C:$C,[1]AttributeName!$I:$I),2,_xlfn.XLOOKUP(C2627,[1]ModifierDes!$B:$B,[1]ModifierDes!$C:$C),3,_xlfn.XLOOKUP(C2627,[1]StuntDes!$B:$B,[1]StuntDes!$C:$C)),"")</f>
        <v>注能持续时间提高{0}</v>
      </c>
      <c r="L2627">
        <f t="shared" ref="L2627:L2640" si="193">IF(M2627="",IF(N2627="",1,2),3)</f>
        <v>2</v>
      </c>
      <c r="M2627" s="10" t="str">
        <f>IFERROR(_xlfn.XLOOKUP(C2627,[1]StuntDes!$B:$B,[1]StuntDes!$A:$A),"")</f>
        <v/>
      </c>
      <c r="N2627" s="10">
        <f>IFERROR(_xlfn.XLOOKUP(C2627,[1]ModifierDes!$B:$B,[1]ModifierDes!$A:$A),"")</f>
        <v>10142</v>
      </c>
      <c r="O2627" s="10" t="str">
        <f>IFERROR(_xlfn.XLOOKUP(C2627,[1]AttributeName!$C:$C,[1]AttributeName!$B:$B),"")</f>
        <v/>
      </c>
      <c r="P2627" s="10"/>
      <c r="Q2627">
        <v>0.2</v>
      </c>
      <c r="R2627">
        <v>0.4</v>
      </c>
      <c r="S2627" cm="1">
        <f t="array" ref="S2627">IFERROR(_xlfn.SWITCH(L2627,1,_xlfn.XLOOKUP(O2627,[1]AttributeName!$B:$B,[1]AttributeName!$D:$D),2,_xlfn.XLOOKUP(C2627,[1]ModifierDes!$B:$B,[1]ModifierDes!$D:$D),3,_xlfn.XLOOKUP(C2627,[1]StuntDes!$B:$B,[1]StuntDes!$D:$D)),0)</f>
        <v>2</v>
      </c>
      <c r="T2627" cm="1">
        <f t="array" ref="T2627">IFERROR(_xlfn.SWITCH(L2627,1,_xlfn.XLOOKUP(O2627,[1]AttributeName!$B:$B,[1]AttributeName!$E:$E),2,_xlfn.XLOOKUP(C2627,[1]ModifierDes!$B:$B,[1]ModifierDes!$E:$E),3,_xlfn.XLOOKUP(C2627,[1]StuntDes!$B:$B,[1]StuntDes!$E:$E)),0)</f>
        <v>2</v>
      </c>
    </row>
    <row r="2628" customFormat="1" spans="1:20">
      <c r="A2628">
        <v>102612</v>
      </c>
      <c r="B2628">
        <v>1</v>
      </c>
      <c r="C2628" t="s">
        <v>407</v>
      </c>
      <c r="D2628" t="s">
        <v>168</v>
      </c>
      <c r="E2628" t="s">
        <v>468</v>
      </c>
      <c r="H2628">
        <v>1000</v>
      </c>
      <c r="J2628">
        <v>1</v>
      </c>
      <c r="K2628" t="str" cm="1">
        <f t="array" ref="K2628">IFERROR(_xlfn.SWITCH(L2628,1,_xlfn.XLOOKUP(C2628,[1]AttributeName!$C:$C,[1]AttributeName!$I:$I),2,_xlfn.XLOOKUP(C2628,[1]ModifierDes!$B:$B,[1]ModifierDes!$C:$C),3,_xlfn.XLOOKUP(C2628,[1]StuntDes!$B:$B,[1]StuntDes!$C:$C)),"")</f>
        <v>基础生命增加{0}</v>
      </c>
      <c r="L2628">
        <f t="shared" si="193"/>
        <v>1</v>
      </c>
      <c r="M2628" s="10" t="str">
        <f>IFERROR(_xlfn.XLOOKUP(C2628,[1]StuntDes!$B:$B,[1]StuntDes!$A:$A),"")</f>
        <v/>
      </c>
      <c r="N2628" s="10" t="str">
        <f>IFERROR(_xlfn.XLOOKUP(C2628,[1]ModifierDes!$B:$B,[1]ModifierDes!$A:$A),"")</f>
        <v/>
      </c>
      <c r="O2628" s="10">
        <f>IFERROR(_xlfn.XLOOKUP(C2628,[1]AttributeName!$C:$C,[1]AttributeName!$B:$B),"")</f>
        <v>10001</v>
      </c>
      <c r="P2628" s="10"/>
      <c r="Q2628">
        <v>600</v>
      </c>
      <c r="R2628">
        <v>1000</v>
      </c>
      <c r="S2628" cm="1">
        <f t="array" ref="S2628">IFERROR(_xlfn.SWITCH(L2628,1,_xlfn.XLOOKUP(O2628,[1]AttributeName!$B:$B,[1]AttributeName!$D:$D),2,_xlfn.XLOOKUP(C2628,[1]ModifierDes!$B:$B,[1]ModifierDes!$D:$D),3,_xlfn.XLOOKUP(C2628,[1]StuntDes!$B:$B,[1]StuntDes!$D:$D)),0)</f>
        <v>0</v>
      </c>
      <c r="T2628" cm="1">
        <f t="array" ref="T2628">IFERROR(_xlfn.SWITCH(L2628,1,_xlfn.XLOOKUP(O2628,[1]AttributeName!$B:$B,[1]AttributeName!$E:$E),2,_xlfn.XLOOKUP(C2628,[1]ModifierDes!$B:$B,[1]ModifierDes!$E:$E),3,_xlfn.XLOOKUP(C2628,[1]StuntDes!$B:$B,[1]StuntDes!$E:$E)),0)</f>
        <v>1</v>
      </c>
    </row>
    <row r="2629" customFormat="1" spans="1:20">
      <c r="A2629">
        <v>102701</v>
      </c>
      <c r="B2629">
        <v>1</v>
      </c>
      <c r="C2629" t="s">
        <v>507</v>
      </c>
      <c r="D2629" t="s">
        <v>201</v>
      </c>
      <c r="E2629" t="s">
        <v>468</v>
      </c>
      <c r="H2629">
        <v>1000</v>
      </c>
      <c r="J2629">
        <v>1</v>
      </c>
      <c r="K2629" t="str" cm="1">
        <f t="array" ref="K2629">IFERROR(_xlfn.SWITCH(L2629,1,_xlfn.XLOOKUP(C2629,[1]AttributeName!$C:$C,[1]AttributeName!$I:$I),2,_xlfn.XLOOKUP(C2629,[1]ModifierDes!$B:$B,[1]ModifierDes!$C:$C),3,_xlfn.XLOOKUP(C2629,[1]StuntDes!$B:$B,[1]StuntDes!$C:$C)),"")</f>
        <v>拥有满层毁灭注能</v>
      </c>
      <c r="L2629">
        <f t="shared" si="193"/>
        <v>3</v>
      </c>
      <c r="M2629" s="10">
        <f>IFERROR(_xlfn.XLOOKUP(C2629,[1]StuntDes!$B:$B,[1]StuntDes!$A:$A),"")</f>
        <v>2150000470</v>
      </c>
      <c r="N2629" s="10" t="str">
        <f>IFERROR(_xlfn.XLOOKUP(C2629,[1]ModifierDes!$B:$B,[1]ModifierDes!$A:$A),"")</f>
        <v/>
      </c>
      <c r="O2629" s="10" t="str">
        <f>IFERROR(_xlfn.XLOOKUP(C2629,[1]AttributeName!$C:$C,[1]AttributeName!$B:$B),"")</f>
        <v/>
      </c>
      <c r="P2629" s="10"/>
      <c r="Q2629">
        <v>0</v>
      </c>
      <c r="R2629">
        <v>0</v>
      </c>
      <c r="S2629" cm="1">
        <f t="array" ref="S2629">IFERROR(_xlfn.SWITCH(L2629,1,_xlfn.XLOOKUP(O2629,[1]AttributeName!$B:$B,[1]AttributeName!$D:$D),2,_xlfn.XLOOKUP(C2629,[1]ModifierDes!$B:$B,[1]ModifierDes!$D:$D),3,_xlfn.XLOOKUP(C2629,[1]StuntDes!$B:$B,[1]StuntDes!$D:$D)),0)</f>
        <v>0</v>
      </c>
      <c r="T2629" cm="1">
        <f t="array" ref="T2629">IFERROR(_xlfn.SWITCH(L2629,1,_xlfn.XLOOKUP(O2629,[1]AttributeName!$B:$B,[1]AttributeName!$E:$E),2,_xlfn.XLOOKUP(C2629,[1]ModifierDes!$B:$B,[1]ModifierDes!$E:$E),3,_xlfn.XLOOKUP(C2629,[1]StuntDes!$B:$B,[1]StuntDes!$E:$E)),0)</f>
        <v>0</v>
      </c>
    </row>
    <row r="2630" customFormat="1" spans="1:20">
      <c r="A2630">
        <v>102702</v>
      </c>
      <c r="B2630">
        <v>1</v>
      </c>
      <c r="C2630" t="s">
        <v>508</v>
      </c>
      <c r="D2630" t="s">
        <v>201</v>
      </c>
      <c r="E2630" t="s">
        <v>468</v>
      </c>
      <c r="H2630">
        <v>1000</v>
      </c>
      <c r="J2630">
        <v>1</v>
      </c>
      <c r="K2630" t="str" cm="1">
        <f t="array" ref="K2630">IFERROR(_xlfn.SWITCH(L2630,1,_xlfn.XLOOKUP(C2630,[1]AttributeName!$C:$C,[1]AttributeName!$I:$I),2,_xlfn.XLOOKUP(C2630,[1]ModifierDes!$B:$B,[1]ModifierDes!$C:$C),3,_xlfn.XLOOKUP(C2630,[1]StuntDes!$B:$B,[1]StuntDes!$C:$C)),"")</f>
        <v>拥有满层洞察注能</v>
      </c>
      <c r="L2630">
        <f t="shared" si="193"/>
        <v>3</v>
      </c>
      <c r="M2630" s="10">
        <f>IFERROR(_xlfn.XLOOKUP(C2630,[1]StuntDes!$B:$B,[1]StuntDes!$A:$A),"")</f>
        <v>2150000480</v>
      </c>
      <c r="N2630" s="10" t="str">
        <f>IFERROR(_xlfn.XLOOKUP(C2630,[1]ModifierDes!$B:$B,[1]ModifierDes!$A:$A),"")</f>
        <v/>
      </c>
      <c r="O2630" s="10" t="str">
        <f>IFERROR(_xlfn.XLOOKUP(C2630,[1]AttributeName!$C:$C,[1]AttributeName!$B:$B),"")</f>
        <v/>
      </c>
      <c r="P2630" s="10"/>
      <c r="Q2630">
        <v>0</v>
      </c>
      <c r="R2630">
        <v>0</v>
      </c>
      <c r="S2630" cm="1">
        <f t="array" ref="S2630">IFERROR(_xlfn.SWITCH(L2630,1,_xlfn.XLOOKUP(O2630,[1]AttributeName!$B:$B,[1]AttributeName!$D:$D),2,_xlfn.XLOOKUP(C2630,[1]ModifierDes!$B:$B,[1]ModifierDes!$D:$D),3,_xlfn.XLOOKUP(C2630,[1]StuntDes!$B:$B,[1]StuntDes!$D:$D)),0)</f>
        <v>0</v>
      </c>
      <c r="T2630" cm="1">
        <f t="array" ref="T2630">IFERROR(_xlfn.SWITCH(L2630,1,_xlfn.XLOOKUP(O2630,[1]AttributeName!$B:$B,[1]AttributeName!$E:$E),2,_xlfn.XLOOKUP(C2630,[1]ModifierDes!$B:$B,[1]ModifierDes!$E:$E),3,_xlfn.XLOOKUP(C2630,[1]StuntDes!$B:$B,[1]StuntDes!$E:$E)),0)</f>
        <v>0</v>
      </c>
    </row>
    <row r="2631" customFormat="1" spans="1:20">
      <c r="A2631">
        <v>102703</v>
      </c>
      <c r="B2631">
        <v>1</v>
      </c>
      <c r="C2631" t="s">
        <v>509</v>
      </c>
      <c r="D2631" t="s">
        <v>201</v>
      </c>
      <c r="E2631" t="s">
        <v>468</v>
      </c>
      <c r="H2631">
        <v>1000</v>
      </c>
      <c r="J2631">
        <v>1</v>
      </c>
      <c r="K2631" t="str" cm="1">
        <f t="array" ref="K2631">IFERROR(_xlfn.SWITCH(L2631,1,_xlfn.XLOOKUP(C2631,[1]AttributeName!$C:$C,[1]AttributeName!$I:$I),2,_xlfn.XLOOKUP(C2631,[1]ModifierDes!$B:$B,[1]ModifierDes!$C:$C),3,_xlfn.XLOOKUP(C2631,[1]StuntDes!$B:$B,[1]StuntDes!$C:$C)),"")</f>
        <v>拥有满层穿透注能</v>
      </c>
      <c r="L2631">
        <f t="shared" si="193"/>
        <v>3</v>
      </c>
      <c r="M2631" s="10">
        <f>IFERROR(_xlfn.XLOOKUP(C2631,[1]StuntDes!$B:$B,[1]StuntDes!$A:$A),"")</f>
        <v>2150000490</v>
      </c>
      <c r="N2631" s="10" t="str">
        <f>IFERROR(_xlfn.XLOOKUP(C2631,[1]ModifierDes!$B:$B,[1]ModifierDes!$A:$A),"")</f>
        <v/>
      </c>
      <c r="O2631" s="10" t="str">
        <f>IFERROR(_xlfn.XLOOKUP(C2631,[1]AttributeName!$C:$C,[1]AttributeName!$B:$B),"")</f>
        <v/>
      </c>
      <c r="P2631" s="10"/>
      <c r="Q2631">
        <v>0</v>
      </c>
      <c r="R2631">
        <v>0</v>
      </c>
      <c r="S2631" cm="1">
        <f t="array" ref="S2631">IFERROR(_xlfn.SWITCH(L2631,1,_xlfn.XLOOKUP(O2631,[1]AttributeName!$B:$B,[1]AttributeName!$D:$D),2,_xlfn.XLOOKUP(C2631,[1]ModifierDes!$B:$B,[1]ModifierDes!$D:$D),3,_xlfn.XLOOKUP(C2631,[1]StuntDes!$B:$B,[1]StuntDes!$D:$D)),0)</f>
        <v>0</v>
      </c>
      <c r="T2631" cm="1">
        <f t="array" ref="T2631">IFERROR(_xlfn.SWITCH(L2631,1,_xlfn.XLOOKUP(O2631,[1]AttributeName!$B:$B,[1]AttributeName!$E:$E),2,_xlfn.XLOOKUP(C2631,[1]ModifierDes!$B:$B,[1]ModifierDes!$E:$E),3,_xlfn.XLOOKUP(C2631,[1]StuntDes!$B:$B,[1]StuntDes!$E:$E)),0)</f>
        <v>0</v>
      </c>
    </row>
    <row r="2632" customFormat="1" spans="1:20">
      <c r="A2632">
        <v>102704</v>
      </c>
      <c r="B2632">
        <v>1</v>
      </c>
      <c r="C2632" t="s">
        <v>510</v>
      </c>
      <c r="D2632" t="s">
        <v>201</v>
      </c>
      <c r="E2632" t="s">
        <v>468</v>
      </c>
      <c r="H2632">
        <v>1000</v>
      </c>
      <c r="J2632">
        <v>1</v>
      </c>
      <c r="K2632" t="str" cm="1">
        <f t="array" ref="K2632">IFERROR(_xlfn.SWITCH(L2632,1,_xlfn.XLOOKUP(C2632,[1]AttributeName!$C:$C,[1]AttributeName!$I:$I),2,_xlfn.XLOOKUP(C2632,[1]ModifierDes!$B:$B,[1]ModifierDes!$C:$C),3,_xlfn.XLOOKUP(C2632,[1]StuntDes!$B:$B,[1]StuntDes!$C:$C)),"")</f>
        <v>拥有满层混乱注能</v>
      </c>
      <c r="L2632">
        <f t="shared" si="193"/>
        <v>3</v>
      </c>
      <c r="M2632" s="10">
        <f>IFERROR(_xlfn.XLOOKUP(C2632,[1]StuntDes!$B:$B,[1]StuntDes!$A:$A),"")</f>
        <v>2150000500</v>
      </c>
      <c r="N2632" s="10" t="str">
        <f>IFERROR(_xlfn.XLOOKUP(C2632,[1]ModifierDes!$B:$B,[1]ModifierDes!$A:$A),"")</f>
        <v/>
      </c>
      <c r="O2632" s="10" t="str">
        <f>IFERROR(_xlfn.XLOOKUP(C2632,[1]AttributeName!$C:$C,[1]AttributeName!$B:$B),"")</f>
        <v/>
      </c>
      <c r="P2632" s="10"/>
      <c r="Q2632">
        <v>0</v>
      </c>
      <c r="R2632">
        <v>0</v>
      </c>
      <c r="S2632" cm="1">
        <f t="array" ref="S2632">IFERROR(_xlfn.SWITCH(L2632,1,_xlfn.XLOOKUP(O2632,[1]AttributeName!$B:$B,[1]AttributeName!$D:$D),2,_xlfn.XLOOKUP(C2632,[1]ModifierDes!$B:$B,[1]ModifierDes!$D:$D),3,_xlfn.XLOOKUP(C2632,[1]StuntDes!$B:$B,[1]StuntDes!$D:$D)),0)</f>
        <v>0</v>
      </c>
      <c r="T2632" cm="1">
        <f t="array" ref="T2632">IFERROR(_xlfn.SWITCH(L2632,1,_xlfn.XLOOKUP(O2632,[1]AttributeName!$B:$B,[1]AttributeName!$E:$E),2,_xlfn.XLOOKUP(C2632,[1]ModifierDes!$B:$B,[1]ModifierDes!$E:$E),3,_xlfn.XLOOKUP(C2632,[1]StuntDes!$B:$B,[1]StuntDes!$E:$E)),0)</f>
        <v>0</v>
      </c>
    </row>
    <row r="2633" customFormat="1" spans="1:20">
      <c r="A2633">
        <v>102705</v>
      </c>
      <c r="B2633">
        <v>1</v>
      </c>
      <c r="C2633" t="s">
        <v>511</v>
      </c>
      <c r="D2633" t="s">
        <v>201</v>
      </c>
      <c r="E2633" t="s">
        <v>468</v>
      </c>
      <c r="H2633">
        <v>1000</v>
      </c>
      <c r="J2633">
        <v>1</v>
      </c>
      <c r="K2633" t="str" cm="1">
        <f t="array" ref="K2633">IFERROR(_xlfn.SWITCH(L2633,1,_xlfn.XLOOKUP(C2633,[1]AttributeName!$C:$C,[1]AttributeName!$I:$I),2,_xlfn.XLOOKUP(C2633,[1]ModifierDes!$B:$B,[1]ModifierDes!$C:$C),3,_xlfn.XLOOKUP(C2633,[1]StuntDes!$B:$B,[1]StuntDes!$C:$C)),"")</f>
        <v>拥有满层迅捷注能</v>
      </c>
      <c r="L2633">
        <f t="shared" si="193"/>
        <v>3</v>
      </c>
      <c r="M2633" s="10">
        <f>IFERROR(_xlfn.XLOOKUP(C2633,[1]StuntDes!$B:$B,[1]StuntDes!$A:$A),"")</f>
        <v>2150000510</v>
      </c>
      <c r="N2633" s="10" t="str">
        <f>IFERROR(_xlfn.XLOOKUP(C2633,[1]ModifierDes!$B:$B,[1]ModifierDes!$A:$A),"")</f>
        <v/>
      </c>
      <c r="O2633" s="10" t="str">
        <f>IFERROR(_xlfn.XLOOKUP(C2633,[1]AttributeName!$C:$C,[1]AttributeName!$B:$B),"")</f>
        <v/>
      </c>
      <c r="P2633" s="10"/>
      <c r="Q2633">
        <v>0</v>
      </c>
      <c r="R2633">
        <v>0</v>
      </c>
      <c r="S2633" cm="1">
        <f t="array" ref="S2633">IFERROR(_xlfn.SWITCH(L2633,1,_xlfn.XLOOKUP(O2633,[1]AttributeName!$B:$B,[1]AttributeName!$D:$D),2,_xlfn.XLOOKUP(C2633,[1]ModifierDes!$B:$B,[1]ModifierDes!$D:$D),3,_xlfn.XLOOKUP(C2633,[1]StuntDes!$B:$B,[1]StuntDes!$D:$D)),0)</f>
        <v>0</v>
      </c>
      <c r="T2633" cm="1">
        <f t="array" ref="T2633">IFERROR(_xlfn.SWITCH(L2633,1,_xlfn.XLOOKUP(O2633,[1]AttributeName!$B:$B,[1]AttributeName!$E:$E),2,_xlfn.XLOOKUP(C2633,[1]ModifierDes!$B:$B,[1]ModifierDes!$E:$E),3,_xlfn.XLOOKUP(C2633,[1]StuntDes!$B:$B,[1]StuntDes!$E:$E)),0)</f>
        <v>0</v>
      </c>
    </row>
    <row r="2634" customFormat="1" spans="1:20">
      <c r="A2634">
        <v>102706</v>
      </c>
      <c r="B2634">
        <v>1</v>
      </c>
      <c r="C2634" t="s">
        <v>456</v>
      </c>
      <c r="D2634" t="s">
        <v>201</v>
      </c>
      <c r="E2634" t="s">
        <v>468</v>
      </c>
      <c r="H2634">
        <v>1000</v>
      </c>
      <c r="J2634">
        <v>1</v>
      </c>
      <c r="K2634" t="str" cm="1">
        <f t="array" ref="K2634">IFERROR(_xlfn.SWITCH(L2634,1,_xlfn.XLOOKUP(C2634,[1]AttributeName!$C:$C,[1]AttributeName!$I:$I),2,_xlfn.XLOOKUP(C2634,[1]ModifierDes!$B:$B,[1]ModifierDes!$C:$C),3,_xlfn.XLOOKUP(C2634,[1]StuntDes!$B:$B,[1]StuntDes!$C:$C)),"")</f>
        <v>毁灭注能层数上限增加{0}</v>
      </c>
      <c r="L2634">
        <f t="shared" si="193"/>
        <v>2</v>
      </c>
      <c r="M2634" s="10" t="str">
        <f>IFERROR(_xlfn.XLOOKUP(C2634,[1]StuntDes!$B:$B,[1]StuntDes!$A:$A),"")</f>
        <v/>
      </c>
      <c r="N2634" s="10">
        <f>IFERROR(_xlfn.XLOOKUP(C2634,[1]ModifierDes!$B:$B,[1]ModifierDes!$A:$A),"")</f>
        <v>10149</v>
      </c>
      <c r="O2634" s="10" t="str">
        <f>IFERROR(_xlfn.XLOOKUP(C2634,[1]AttributeName!$C:$C,[1]AttributeName!$B:$B),"")</f>
        <v/>
      </c>
      <c r="P2634" s="10"/>
      <c r="Q2634">
        <v>1</v>
      </c>
      <c r="R2634">
        <v>1</v>
      </c>
      <c r="S2634" cm="1">
        <f t="array" ref="S2634">IFERROR(_xlfn.SWITCH(L2634,1,_xlfn.XLOOKUP(O2634,[1]AttributeName!$B:$B,[1]AttributeName!$D:$D),2,_xlfn.XLOOKUP(C2634,[1]ModifierDes!$B:$B,[1]ModifierDes!$D:$D),3,_xlfn.XLOOKUP(C2634,[1]StuntDes!$B:$B,[1]StuntDes!$D:$D)),0)</f>
        <v>0</v>
      </c>
      <c r="T2634" cm="1">
        <f t="array" ref="T2634">IFERROR(_xlfn.SWITCH(L2634,1,_xlfn.XLOOKUP(O2634,[1]AttributeName!$B:$B,[1]AttributeName!$E:$E),2,_xlfn.XLOOKUP(C2634,[1]ModifierDes!$B:$B,[1]ModifierDes!$E:$E),3,_xlfn.XLOOKUP(C2634,[1]StuntDes!$B:$B,[1]StuntDes!$E:$E)),0)</f>
        <v>0</v>
      </c>
    </row>
    <row r="2635" customFormat="1" spans="1:20">
      <c r="A2635">
        <v>102707</v>
      </c>
      <c r="B2635">
        <v>1</v>
      </c>
      <c r="C2635" t="s">
        <v>457</v>
      </c>
      <c r="D2635" t="s">
        <v>201</v>
      </c>
      <c r="E2635" t="s">
        <v>468</v>
      </c>
      <c r="H2635">
        <v>1000</v>
      </c>
      <c r="J2635">
        <v>1</v>
      </c>
      <c r="K2635" t="str" cm="1">
        <f t="array" ref="K2635">IFERROR(_xlfn.SWITCH(L2635,1,_xlfn.XLOOKUP(C2635,[1]AttributeName!$C:$C,[1]AttributeName!$I:$I),2,_xlfn.XLOOKUP(C2635,[1]ModifierDes!$B:$B,[1]ModifierDes!$C:$C),3,_xlfn.XLOOKUP(C2635,[1]StuntDes!$B:$B,[1]StuntDes!$C:$C)),"")</f>
        <v>洞察注能层数上限增加{0}</v>
      </c>
      <c r="L2635">
        <f t="shared" si="193"/>
        <v>2</v>
      </c>
      <c r="M2635" s="10" t="str">
        <f>IFERROR(_xlfn.XLOOKUP(C2635,[1]StuntDes!$B:$B,[1]StuntDes!$A:$A),"")</f>
        <v/>
      </c>
      <c r="N2635" s="10">
        <f>IFERROR(_xlfn.XLOOKUP(C2635,[1]ModifierDes!$B:$B,[1]ModifierDes!$A:$A),"")</f>
        <v>10150</v>
      </c>
      <c r="O2635" s="10" t="str">
        <f>IFERROR(_xlfn.XLOOKUP(C2635,[1]AttributeName!$C:$C,[1]AttributeName!$B:$B),"")</f>
        <v/>
      </c>
      <c r="P2635" s="10"/>
      <c r="Q2635">
        <v>1</v>
      </c>
      <c r="R2635">
        <v>1</v>
      </c>
      <c r="S2635" cm="1">
        <f t="array" ref="S2635">IFERROR(_xlfn.SWITCH(L2635,1,_xlfn.XLOOKUP(O2635,[1]AttributeName!$B:$B,[1]AttributeName!$D:$D),2,_xlfn.XLOOKUP(C2635,[1]ModifierDes!$B:$B,[1]ModifierDes!$D:$D),3,_xlfn.XLOOKUP(C2635,[1]StuntDes!$B:$B,[1]StuntDes!$D:$D)),0)</f>
        <v>0</v>
      </c>
      <c r="T2635" cm="1">
        <f t="array" ref="T2635">IFERROR(_xlfn.SWITCH(L2635,1,_xlfn.XLOOKUP(O2635,[1]AttributeName!$B:$B,[1]AttributeName!$E:$E),2,_xlfn.XLOOKUP(C2635,[1]ModifierDes!$B:$B,[1]ModifierDes!$E:$E),3,_xlfn.XLOOKUP(C2635,[1]StuntDes!$B:$B,[1]StuntDes!$E:$E)),0)</f>
        <v>0</v>
      </c>
    </row>
    <row r="2636" customFormat="1" spans="1:20">
      <c r="A2636">
        <v>102708</v>
      </c>
      <c r="B2636">
        <v>1</v>
      </c>
      <c r="C2636" t="s">
        <v>458</v>
      </c>
      <c r="D2636" t="s">
        <v>201</v>
      </c>
      <c r="E2636" t="s">
        <v>468</v>
      </c>
      <c r="H2636">
        <v>1000</v>
      </c>
      <c r="J2636">
        <v>1</v>
      </c>
      <c r="K2636" t="str" cm="1">
        <f t="array" ref="K2636">IFERROR(_xlfn.SWITCH(L2636,1,_xlfn.XLOOKUP(C2636,[1]AttributeName!$C:$C,[1]AttributeName!$I:$I),2,_xlfn.XLOOKUP(C2636,[1]ModifierDes!$B:$B,[1]ModifierDes!$C:$C),3,_xlfn.XLOOKUP(C2636,[1]StuntDes!$B:$B,[1]StuntDes!$C:$C)),"")</f>
        <v>穿透注能层数上限增加{0}</v>
      </c>
      <c r="L2636">
        <f t="shared" si="193"/>
        <v>2</v>
      </c>
      <c r="M2636" s="10" t="str">
        <f>IFERROR(_xlfn.XLOOKUP(C2636,[1]StuntDes!$B:$B,[1]StuntDes!$A:$A),"")</f>
        <v/>
      </c>
      <c r="N2636" s="10">
        <f>IFERROR(_xlfn.XLOOKUP(C2636,[1]ModifierDes!$B:$B,[1]ModifierDes!$A:$A),"")</f>
        <v>10151</v>
      </c>
      <c r="O2636" s="10" t="str">
        <f>IFERROR(_xlfn.XLOOKUP(C2636,[1]AttributeName!$C:$C,[1]AttributeName!$B:$B),"")</f>
        <v/>
      </c>
      <c r="P2636" s="10"/>
      <c r="Q2636">
        <v>1</v>
      </c>
      <c r="R2636">
        <v>1</v>
      </c>
      <c r="S2636" cm="1">
        <f t="array" ref="S2636">IFERROR(_xlfn.SWITCH(L2636,1,_xlfn.XLOOKUP(O2636,[1]AttributeName!$B:$B,[1]AttributeName!$D:$D),2,_xlfn.XLOOKUP(C2636,[1]ModifierDes!$B:$B,[1]ModifierDes!$D:$D),3,_xlfn.XLOOKUP(C2636,[1]StuntDes!$B:$B,[1]StuntDes!$D:$D)),0)</f>
        <v>0</v>
      </c>
      <c r="T2636" cm="1">
        <f t="array" ref="T2636">IFERROR(_xlfn.SWITCH(L2636,1,_xlfn.XLOOKUP(O2636,[1]AttributeName!$B:$B,[1]AttributeName!$E:$E),2,_xlfn.XLOOKUP(C2636,[1]ModifierDes!$B:$B,[1]ModifierDes!$E:$E),3,_xlfn.XLOOKUP(C2636,[1]StuntDes!$B:$B,[1]StuntDes!$E:$E)),0)</f>
        <v>0</v>
      </c>
    </row>
    <row r="2637" customFormat="1" spans="1:20">
      <c r="A2637">
        <v>102709</v>
      </c>
      <c r="B2637">
        <v>1</v>
      </c>
      <c r="C2637" t="s">
        <v>459</v>
      </c>
      <c r="D2637" t="s">
        <v>201</v>
      </c>
      <c r="E2637" t="s">
        <v>468</v>
      </c>
      <c r="H2637">
        <v>1000</v>
      </c>
      <c r="J2637">
        <v>1</v>
      </c>
      <c r="K2637" t="str" cm="1">
        <f t="array" ref="K2637">IFERROR(_xlfn.SWITCH(L2637,1,_xlfn.XLOOKUP(C2637,[1]AttributeName!$C:$C,[1]AttributeName!$I:$I),2,_xlfn.XLOOKUP(C2637,[1]ModifierDes!$B:$B,[1]ModifierDes!$C:$C),3,_xlfn.XLOOKUP(C2637,[1]StuntDes!$B:$B,[1]StuntDes!$C:$C)),"")</f>
        <v>混乱注能层数上限增加{0}</v>
      </c>
      <c r="L2637">
        <f t="shared" si="193"/>
        <v>2</v>
      </c>
      <c r="M2637" s="10" t="str">
        <f>IFERROR(_xlfn.XLOOKUP(C2637,[1]StuntDes!$B:$B,[1]StuntDes!$A:$A),"")</f>
        <v/>
      </c>
      <c r="N2637" s="10">
        <f>IFERROR(_xlfn.XLOOKUP(C2637,[1]ModifierDes!$B:$B,[1]ModifierDes!$A:$A),"")</f>
        <v>10152</v>
      </c>
      <c r="O2637" s="10" t="str">
        <f>IFERROR(_xlfn.XLOOKUP(C2637,[1]AttributeName!$C:$C,[1]AttributeName!$B:$B),"")</f>
        <v/>
      </c>
      <c r="P2637" s="10"/>
      <c r="Q2637">
        <v>1</v>
      </c>
      <c r="R2637">
        <v>1</v>
      </c>
      <c r="S2637" cm="1">
        <f t="array" ref="S2637">IFERROR(_xlfn.SWITCH(L2637,1,_xlfn.XLOOKUP(O2637,[1]AttributeName!$B:$B,[1]AttributeName!$D:$D),2,_xlfn.XLOOKUP(C2637,[1]ModifierDes!$B:$B,[1]ModifierDes!$D:$D),3,_xlfn.XLOOKUP(C2637,[1]StuntDes!$B:$B,[1]StuntDes!$D:$D)),0)</f>
        <v>0</v>
      </c>
      <c r="T2637" cm="1">
        <f t="array" ref="T2637">IFERROR(_xlfn.SWITCH(L2637,1,_xlfn.XLOOKUP(O2637,[1]AttributeName!$B:$B,[1]AttributeName!$E:$E),2,_xlfn.XLOOKUP(C2637,[1]ModifierDes!$B:$B,[1]ModifierDes!$E:$E),3,_xlfn.XLOOKUP(C2637,[1]StuntDes!$B:$B,[1]StuntDes!$E:$E)),0)</f>
        <v>0</v>
      </c>
    </row>
    <row r="2638" customFormat="1" spans="1:20">
      <c r="A2638">
        <v>102710</v>
      </c>
      <c r="B2638">
        <v>1</v>
      </c>
      <c r="C2638" t="s">
        <v>460</v>
      </c>
      <c r="D2638" t="s">
        <v>201</v>
      </c>
      <c r="E2638" t="s">
        <v>468</v>
      </c>
      <c r="H2638">
        <v>1000</v>
      </c>
      <c r="J2638">
        <v>1</v>
      </c>
      <c r="K2638" t="str" cm="1">
        <f t="array" ref="K2638">IFERROR(_xlfn.SWITCH(L2638,1,_xlfn.XLOOKUP(C2638,[1]AttributeName!$C:$C,[1]AttributeName!$I:$I),2,_xlfn.XLOOKUP(C2638,[1]ModifierDes!$B:$B,[1]ModifierDes!$C:$C),3,_xlfn.XLOOKUP(C2638,[1]StuntDes!$B:$B,[1]StuntDes!$C:$C)),"")</f>
        <v>迅捷注能层数上限增加{0}</v>
      </c>
      <c r="L2638">
        <f t="shared" si="193"/>
        <v>2</v>
      </c>
      <c r="M2638" s="10" t="str">
        <f>IFERROR(_xlfn.XLOOKUP(C2638,[1]StuntDes!$B:$B,[1]StuntDes!$A:$A),"")</f>
        <v/>
      </c>
      <c r="N2638" s="10">
        <f>IFERROR(_xlfn.XLOOKUP(C2638,[1]ModifierDes!$B:$B,[1]ModifierDes!$A:$A),"")</f>
        <v>10153</v>
      </c>
      <c r="O2638" s="10" t="str">
        <f>IFERROR(_xlfn.XLOOKUP(C2638,[1]AttributeName!$C:$C,[1]AttributeName!$B:$B),"")</f>
        <v/>
      </c>
      <c r="P2638" s="10"/>
      <c r="Q2638">
        <v>1</v>
      </c>
      <c r="R2638">
        <v>1</v>
      </c>
      <c r="S2638" cm="1">
        <f t="array" ref="S2638">IFERROR(_xlfn.SWITCH(L2638,1,_xlfn.XLOOKUP(O2638,[1]AttributeName!$B:$B,[1]AttributeName!$D:$D),2,_xlfn.XLOOKUP(C2638,[1]ModifierDes!$B:$B,[1]ModifierDes!$D:$D),3,_xlfn.XLOOKUP(C2638,[1]StuntDes!$B:$B,[1]StuntDes!$D:$D)),0)</f>
        <v>0</v>
      </c>
      <c r="T2638" cm="1">
        <f t="array" ref="T2638">IFERROR(_xlfn.SWITCH(L2638,1,_xlfn.XLOOKUP(O2638,[1]AttributeName!$B:$B,[1]AttributeName!$E:$E),2,_xlfn.XLOOKUP(C2638,[1]ModifierDes!$B:$B,[1]ModifierDes!$E:$E),3,_xlfn.XLOOKUP(C2638,[1]StuntDes!$B:$B,[1]StuntDes!$E:$E)),0)</f>
        <v>0</v>
      </c>
    </row>
    <row r="2639" customFormat="1" spans="1:20">
      <c r="A2639">
        <v>102711</v>
      </c>
      <c r="B2639">
        <v>1</v>
      </c>
      <c r="C2639" t="s">
        <v>447</v>
      </c>
      <c r="D2639" t="s">
        <v>201</v>
      </c>
      <c r="E2639" t="s">
        <v>468</v>
      </c>
      <c r="H2639">
        <v>1000</v>
      </c>
      <c r="J2639">
        <v>1</v>
      </c>
      <c r="K2639" t="str" cm="1">
        <f t="array" ref="K2639">IFERROR(_xlfn.SWITCH(L2639,1,_xlfn.XLOOKUP(C2639,[1]AttributeName!$C:$C,[1]AttributeName!$I:$I),2,_xlfn.XLOOKUP(C2639,[1]ModifierDes!$B:$B,[1]ModifierDes!$C:$C),3,_xlfn.XLOOKUP(C2639,[1]StuntDes!$B:$B,[1]StuntDes!$C:$C)),"")</f>
        <v>移速提高增加{0}</v>
      </c>
      <c r="L2639">
        <f t="shared" si="193"/>
        <v>1</v>
      </c>
      <c r="M2639" s="10" t="str">
        <f>IFERROR(_xlfn.XLOOKUP(C2639,[1]StuntDes!$B:$B,[1]StuntDes!$A:$A),"")</f>
        <v/>
      </c>
      <c r="N2639" s="10" t="str">
        <f>IFERROR(_xlfn.XLOOKUP(C2639,[1]ModifierDes!$B:$B,[1]ModifierDes!$A:$A),"")</f>
        <v/>
      </c>
      <c r="O2639" s="10">
        <f>IFERROR(_xlfn.XLOOKUP(C2639,[1]AttributeName!$C:$C,[1]AttributeName!$B:$B),"")</f>
        <v>10007</v>
      </c>
      <c r="P2639" s="10"/>
      <c r="Q2639">
        <v>0.06</v>
      </c>
      <c r="R2639">
        <v>0.1</v>
      </c>
      <c r="S2639" cm="1">
        <f t="array" ref="S2639">IFERROR(_xlfn.SWITCH(L2639,1,_xlfn.XLOOKUP(O2639,[1]AttributeName!$B:$B,[1]AttributeName!$D:$D),2,_xlfn.XLOOKUP(C2639,[1]ModifierDes!$B:$B,[1]ModifierDes!$D:$D),3,_xlfn.XLOOKUP(C2639,[1]StuntDes!$B:$B,[1]StuntDes!$D:$D)),0)</f>
        <v>2</v>
      </c>
      <c r="T2639" cm="1">
        <f t="array" ref="T2639">IFERROR(_xlfn.SWITCH(L2639,1,_xlfn.XLOOKUP(O2639,[1]AttributeName!$B:$B,[1]AttributeName!$E:$E),2,_xlfn.XLOOKUP(C2639,[1]ModifierDes!$B:$B,[1]ModifierDes!$E:$E),3,_xlfn.XLOOKUP(C2639,[1]StuntDes!$B:$B,[1]StuntDes!$E:$E)),0)</f>
        <v>2</v>
      </c>
    </row>
    <row r="2640" customFormat="1" spans="1:20">
      <c r="A2640">
        <v>102712</v>
      </c>
      <c r="B2640">
        <v>1</v>
      </c>
      <c r="C2640" t="s">
        <v>452</v>
      </c>
      <c r="D2640" t="s">
        <v>201</v>
      </c>
      <c r="E2640" t="s">
        <v>468</v>
      </c>
      <c r="H2640">
        <v>1000</v>
      </c>
      <c r="J2640">
        <v>1</v>
      </c>
      <c r="K2640" t="str" cm="1">
        <f t="array" ref="K2640">IFERROR(_xlfn.SWITCH(L2640,1,_xlfn.XLOOKUP(C2640,[1]AttributeName!$C:$C,[1]AttributeName!$I:$I),2,_xlfn.XLOOKUP(C2640,[1]ModifierDes!$B:$B,[1]ModifierDes!$C:$C),3,_xlfn.XLOOKUP(C2640,[1]StuntDes!$B:$B,[1]StuntDes!$C:$C)),"")</f>
        <v>元素抗性增加{0}</v>
      </c>
      <c r="L2640">
        <f t="shared" si="193"/>
        <v>1</v>
      </c>
      <c r="M2640" s="10" t="str">
        <f>IFERROR(_xlfn.XLOOKUP(C2640,[1]StuntDes!$B:$B,[1]StuntDes!$A:$A),"")</f>
        <v/>
      </c>
      <c r="N2640" s="10" t="str">
        <f>IFERROR(_xlfn.XLOOKUP(C2640,[1]ModifierDes!$B:$B,[1]ModifierDes!$A:$A),"")</f>
        <v/>
      </c>
      <c r="O2640" s="10">
        <f>IFERROR(_xlfn.XLOOKUP(C2640,[1]AttributeName!$C:$C,[1]AttributeName!$B:$B),"")</f>
        <v>10316</v>
      </c>
      <c r="P2640" s="10"/>
      <c r="Q2640">
        <v>0.09</v>
      </c>
      <c r="R2640">
        <v>0.15</v>
      </c>
      <c r="S2640" cm="1">
        <f t="array" ref="S2640">IFERROR(_xlfn.SWITCH(L2640,1,_xlfn.XLOOKUP(O2640,[1]AttributeName!$B:$B,[1]AttributeName!$D:$D),2,_xlfn.XLOOKUP(C2640,[1]ModifierDes!$B:$B,[1]ModifierDes!$D:$D),3,_xlfn.XLOOKUP(C2640,[1]StuntDes!$B:$B,[1]StuntDes!$D:$D)),0)</f>
        <v>2</v>
      </c>
      <c r="T2640" cm="1">
        <f t="array" ref="T2640">IFERROR(_xlfn.SWITCH(L2640,1,_xlfn.XLOOKUP(O2640,[1]AttributeName!$B:$B,[1]AttributeName!$E:$E),2,_xlfn.XLOOKUP(C2640,[1]ModifierDes!$B:$B,[1]ModifierDes!$E:$E),3,_xlfn.XLOOKUP(C2640,[1]StuntDes!$B:$B,[1]StuntDes!$E:$E)),0)</f>
        <v>2</v>
      </c>
    </row>
    <row r="2641" spans="1:20">
      <c r="A2641">
        <v>1100101</v>
      </c>
      <c r="B2641">
        <v>1</v>
      </c>
      <c r="C2641" t="s">
        <v>398</v>
      </c>
      <c r="D2641" t="s">
        <v>59</v>
      </c>
      <c r="K2641" t="s">
        <v>512</v>
      </c>
      <c r="L2641">
        <f t="shared" ref="L2641:L2645" si="194">IF(M2641="",IF(N2641="",1,2),3)</f>
        <v>1</v>
      </c>
      <c r="M2641" s="10" t="str">
        <f>IFERROR(_xlfn.XLOOKUP(C2641,[1]StuntDes!$B:$B,[1]StuntDes!$A:$A),"")</f>
        <v/>
      </c>
      <c r="N2641" s="10" t="str">
        <f>IFERROR(_xlfn.XLOOKUP(C2641,[1]ModifierDes!$B:$B,[1]ModifierDes!$A:$A),"")</f>
        <v/>
      </c>
      <c r="O2641" s="10">
        <f>IFERROR(_xlfn.XLOOKUP(C2641,[1]AttributeName!$C:$C,[1]AttributeName!$B:$B),"")</f>
        <v>10500</v>
      </c>
      <c r="P2641" s="10"/>
      <c r="Q2641">
        <v>0.15</v>
      </c>
      <c r="R2641">
        <v>0.15</v>
      </c>
      <c r="S2641" cm="1">
        <f t="array" ref="S2641">IFERROR(_xlfn.SWITCH(L2641,1,_xlfn.XLOOKUP(O2641,[1]AttributeName!$B:$B,[1]AttributeName!$D:$D),2,_xlfn.XLOOKUP(C2641,[1]ModifierDes!$B:$B,[1]ModifierDes!$D:$D),3,_xlfn.XLOOKUP(C2641,[1]StuntDes!$B:$B,[1]StuntDes!$D:$D)),0)</f>
        <v>2</v>
      </c>
      <c r="T2641" cm="1">
        <f t="array" ref="T2641">IFERROR(_xlfn.SWITCH(L2641,1,_xlfn.XLOOKUP(O2641,[1]AttributeName!$B:$B,[1]AttributeName!$E:$E),2,_xlfn.XLOOKUP(C2641,[1]ModifierDes!$B:$B,[1]ModifierDes!$E:$E),3,_xlfn.XLOOKUP(C2641,[1]StuntDes!$B:$B,[1]StuntDes!$E:$E)),0)</f>
        <v>2</v>
      </c>
    </row>
    <row r="2642" spans="1:20">
      <c r="A2642">
        <v>1100102</v>
      </c>
      <c r="B2642">
        <v>1</v>
      </c>
      <c r="C2642" t="s">
        <v>399</v>
      </c>
      <c r="D2642" t="s">
        <v>60</v>
      </c>
      <c r="K2642" t="s">
        <v>513</v>
      </c>
      <c r="L2642">
        <f t="shared" si="194"/>
        <v>1</v>
      </c>
      <c r="M2642" s="10" t="str">
        <f>IFERROR(_xlfn.XLOOKUP(C2642,[1]StuntDes!$B:$B,[1]StuntDes!$A:$A),"")</f>
        <v/>
      </c>
      <c r="N2642" s="10" t="str">
        <f>IFERROR(_xlfn.XLOOKUP(C2642,[1]ModifierDes!$B:$B,[1]ModifierDes!$A:$A),"")</f>
        <v/>
      </c>
      <c r="O2642" s="10">
        <f>IFERROR(_xlfn.XLOOKUP(C2642,[1]AttributeName!$C:$C,[1]AttributeName!$B:$B),"")</f>
        <v>10501</v>
      </c>
      <c r="P2642" s="10"/>
      <c r="Q2642">
        <v>0.15</v>
      </c>
      <c r="R2642">
        <v>0.15</v>
      </c>
      <c r="S2642" cm="1">
        <f t="array" ref="S2642">IFERROR(_xlfn.SWITCH(L2642,1,_xlfn.XLOOKUP(O2642,[1]AttributeName!$B:$B,[1]AttributeName!$D:$D),2,_xlfn.XLOOKUP(C2642,[1]ModifierDes!$B:$B,[1]ModifierDes!$D:$D),3,_xlfn.XLOOKUP(C2642,[1]StuntDes!$B:$B,[1]StuntDes!$D:$D)),0)</f>
        <v>2</v>
      </c>
      <c r="T2642" cm="1">
        <f t="array" ref="T2642">IFERROR(_xlfn.SWITCH(L2642,1,_xlfn.XLOOKUP(O2642,[1]AttributeName!$B:$B,[1]AttributeName!$E:$E),2,_xlfn.XLOOKUP(C2642,[1]ModifierDes!$B:$B,[1]ModifierDes!$E:$E),3,_xlfn.XLOOKUP(C2642,[1]StuntDes!$B:$B,[1]StuntDes!$E:$E)),0)</f>
        <v>2</v>
      </c>
    </row>
    <row r="2643" spans="1:20">
      <c r="A2643">
        <v>1100103</v>
      </c>
      <c r="B2643">
        <v>1</v>
      </c>
      <c r="C2643" t="s">
        <v>400</v>
      </c>
      <c r="D2643" t="s">
        <v>61</v>
      </c>
      <c r="K2643" t="s">
        <v>514</v>
      </c>
      <c r="L2643">
        <f t="shared" si="194"/>
        <v>1</v>
      </c>
      <c r="M2643" s="10" t="str">
        <f>IFERROR(_xlfn.XLOOKUP(C2643,[1]StuntDes!$B:$B,[1]StuntDes!$A:$A),"")</f>
        <v/>
      </c>
      <c r="N2643" s="10" t="str">
        <f>IFERROR(_xlfn.XLOOKUP(C2643,[1]ModifierDes!$B:$B,[1]ModifierDes!$A:$A),"")</f>
        <v/>
      </c>
      <c r="O2643" s="10">
        <f>IFERROR(_xlfn.XLOOKUP(C2643,[1]AttributeName!$C:$C,[1]AttributeName!$B:$B),"")</f>
        <v>10502</v>
      </c>
      <c r="P2643" s="10"/>
      <c r="Q2643">
        <v>0.15</v>
      </c>
      <c r="R2643">
        <v>0.15</v>
      </c>
      <c r="S2643" cm="1">
        <f t="array" ref="S2643">IFERROR(_xlfn.SWITCH(L2643,1,_xlfn.XLOOKUP(O2643,[1]AttributeName!$B:$B,[1]AttributeName!$D:$D),2,_xlfn.XLOOKUP(C2643,[1]ModifierDes!$B:$B,[1]ModifierDes!$D:$D),3,_xlfn.XLOOKUP(C2643,[1]StuntDes!$B:$B,[1]StuntDes!$D:$D)),0)</f>
        <v>2</v>
      </c>
      <c r="T2643" cm="1">
        <f t="array" ref="T2643">IFERROR(_xlfn.SWITCH(L2643,1,_xlfn.XLOOKUP(O2643,[1]AttributeName!$B:$B,[1]AttributeName!$E:$E),2,_xlfn.XLOOKUP(C2643,[1]ModifierDes!$B:$B,[1]ModifierDes!$E:$E),3,_xlfn.XLOOKUP(C2643,[1]StuntDes!$B:$B,[1]StuntDes!$E:$E)),0)</f>
        <v>2</v>
      </c>
    </row>
    <row r="2644" customFormat="1" spans="1:20">
      <c r="A2644">
        <v>1100104</v>
      </c>
      <c r="B2644">
        <v>1</v>
      </c>
      <c r="C2644" t="s">
        <v>401</v>
      </c>
      <c r="D2644" t="s">
        <v>62</v>
      </c>
      <c r="K2644" t="s">
        <v>515</v>
      </c>
      <c r="L2644">
        <f t="shared" si="194"/>
        <v>1</v>
      </c>
      <c r="M2644" s="10" t="str">
        <f>IFERROR(_xlfn.XLOOKUP(C2644,[1]StuntDes!$B:$B,[1]StuntDes!$A:$A),"")</f>
        <v/>
      </c>
      <c r="N2644" s="10" t="str">
        <f>IFERROR(_xlfn.XLOOKUP(C2644,[1]ModifierDes!$B:$B,[1]ModifierDes!$A:$A),"")</f>
        <v/>
      </c>
      <c r="O2644" s="10">
        <f>IFERROR(_xlfn.XLOOKUP(C2644,[1]AttributeName!$C:$C,[1]AttributeName!$B:$B),"")</f>
        <v>10503</v>
      </c>
      <c r="P2644" s="10"/>
      <c r="Q2644">
        <v>0.15</v>
      </c>
      <c r="R2644">
        <v>0.15</v>
      </c>
      <c r="S2644" cm="1">
        <f t="array" ref="S2644">IFERROR(_xlfn.SWITCH(L2644,1,_xlfn.XLOOKUP(O2644,[1]AttributeName!$B:$B,[1]AttributeName!$D:$D),2,_xlfn.XLOOKUP(C2644,[1]ModifierDes!$B:$B,[1]ModifierDes!$D:$D),3,_xlfn.XLOOKUP(C2644,[1]StuntDes!$B:$B,[1]StuntDes!$D:$D)),0)</f>
        <v>2</v>
      </c>
      <c r="T2644" cm="1">
        <f t="array" ref="T2644">IFERROR(_xlfn.SWITCH(L2644,1,_xlfn.XLOOKUP(O2644,[1]AttributeName!$B:$B,[1]AttributeName!$E:$E),2,_xlfn.XLOOKUP(C2644,[1]ModifierDes!$B:$B,[1]ModifierDes!$E:$E),3,_xlfn.XLOOKUP(C2644,[1]StuntDes!$B:$B,[1]StuntDes!$E:$E)),0)</f>
        <v>2</v>
      </c>
    </row>
    <row r="2645" customFormat="1" spans="1:20">
      <c r="A2645">
        <v>1100105</v>
      </c>
      <c r="B2645">
        <v>1</v>
      </c>
      <c r="C2645" t="s">
        <v>402</v>
      </c>
      <c r="D2645" t="s">
        <v>63</v>
      </c>
      <c r="K2645" t="s">
        <v>516</v>
      </c>
      <c r="L2645">
        <f t="shared" si="194"/>
        <v>1</v>
      </c>
      <c r="M2645" s="10" t="str">
        <f>IFERROR(_xlfn.XLOOKUP(C2645,[1]StuntDes!$B:$B,[1]StuntDes!$A:$A),"")</f>
        <v/>
      </c>
      <c r="N2645" s="10" t="str">
        <f>IFERROR(_xlfn.XLOOKUP(C2645,[1]ModifierDes!$B:$B,[1]ModifierDes!$A:$A),"")</f>
        <v/>
      </c>
      <c r="O2645" s="10">
        <f>IFERROR(_xlfn.XLOOKUP(C2645,[1]AttributeName!$C:$C,[1]AttributeName!$B:$B),"")</f>
        <v>10504</v>
      </c>
      <c r="P2645" s="10"/>
      <c r="Q2645">
        <v>0.15</v>
      </c>
      <c r="R2645">
        <v>0.15</v>
      </c>
      <c r="S2645" cm="1">
        <f t="array" ref="S2645">IFERROR(_xlfn.SWITCH(L2645,1,_xlfn.XLOOKUP(O2645,[1]AttributeName!$B:$B,[1]AttributeName!$D:$D),2,_xlfn.XLOOKUP(C2645,[1]ModifierDes!$B:$B,[1]ModifierDes!$D:$D),3,_xlfn.XLOOKUP(C2645,[1]StuntDes!$B:$B,[1]StuntDes!$D:$D)),0)</f>
        <v>2</v>
      </c>
      <c r="T2645" cm="1">
        <f t="array" ref="T2645">IFERROR(_xlfn.SWITCH(L2645,1,_xlfn.XLOOKUP(O2645,[1]AttributeName!$B:$B,[1]AttributeName!$E:$E),2,_xlfn.XLOOKUP(C2645,[1]ModifierDes!$B:$B,[1]ModifierDes!$E:$E),3,_xlfn.XLOOKUP(C2645,[1]StuntDes!$B:$B,[1]StuntDes!$E:$E)),0)</f>
        <v>2</v>
      </c>
    </row>
    <row r="2646" customFormat="1" spans="1:20">
      <c r="A2646">
        <v>1100201</v>
      </c>
      <c r="B2646">
        <v>1</v>
      </c>
      <c r="C2646" t="s">
        <v>398</v>
      </c>
      <c r="D2646" t="s">
        <v>64</v>
      </c>
      <c r="K2646" t="s">
        <v>512</v>
      </c>
      <c r="L2646">
        <f t="shared" ref="L2646:L2650" si="195">IF(M2646="",IF(N2646="",1,2),3)</f>
        <v>1</v>
      </c>
      <c r="M2646" s="10" t="str">
        <f>IFERROR(_xlfn.XLOOKUP(C2646,[1]StuntDes!$B:$B,[1]StuntDes!$A:$A),"")</f>
        <v/>
      </c>
      <c r="N2646" s="10" t="str">
        <f>IFERROR(_xlfn.XLOOKUP(C2646,[1]ModifierDes!$B:$B,[1]ModifierDes!$A:$A),"")</f>
        <v/>
      </c>
      <c r="O2646" s="10">
        <f>IFERROR(_xlfn.XLOOKUP(C2646,[1]AttributeName!$C:$C,[1]AttributeName!$B:$B),"")</f>
        <v>10500</v>
      </c>
      <c r="P2646" s="10"/>
      <c r="Q2646">
        <v>0.15</v>
      </c>
      <c r="R2646">
        <v>0.15</v>
      </c>
      <c r="S2646" cm="1">
        <f t="array" ref="S2646">IFERROR(_xlfn.SWITCH(L2646,1,_xlfn.XLOOKUP(O2646,[1]AttributeName!$B:$B,[1]AttributeName!$D:$D),2,_xlfn.XLOOKUP(C2646,[1]ModifierDes!$B:$B,[1]ModifierDes!$D:$D),3,_xlfn.XLOOKUP(C2646,[1]StuntDes!$B:$B,[1]StuntDes!$D:$D)),0)</f>
        <v>2</v>
      </c>
      <c r="T2646" cm="1">
        <f t="array" ref="T2646">IFERROR(_xlfn.SWITCH(L2646,1,_xlfn.XLOOKUP(O2646,[1]AttributeName!$B:$B,[1]AttributeName!$E:$E),2,_xlfn.XLOOKUP(C2646,[1]ModifierDes!$B:$B,[1]ModifierDes!$E:$E),3,_xlfn.XLOOKUP(C2646,[1]StuntDes!$B:$B,[1]StuntDes!$E:$E)),0)</f>
        <v>2</v>
      </c>
    </row>
    <row r="2647" spans="1:20">
      <c r="A2647">
        <v>1100202</v>
      </c>
      <c r="B2647">
        <v>1</v>
      </c>
      <c r="C2647" t="s">
        <v>399</v>
      </c>
      <c r="D2647" t="s">
        <v>65</v>
      </c>
      <c r="K2647" t="s">
        <v>513</v>
      </c>
      <c r="L2647">
        <f t="shared" si="195"/>
        <v>1</v>
      </c>
      <c r="M2647" s="10" t="str">
        <f>IFERROR(_xlfn.XLOOKUP(C2647,[1]StuntDes!$B:$B,[1]StuntDes!$A:$A),"")</f>
        <v/>
      </c>
      <c r="N2647" s="10" t="str">
        <f>IFERROR(_xlfn.XLOOKUP(C2647,[1]ModifierDes!$B:$B,[1]ModifierDes!$A:$A),"")</f>
        <v/>
      </c>
      <c r="O2647" s="10">
        <f>IFERROR(_xlfn.XLOOKUP(C2647,[1]AttributeName!$C:$C,[1]AttributeName!$B:$B),"")</f>
        <v>10501</v>
      </c>
      <c r="P2647" s="10"/>
      <c r="Q2647">
        <v>0.15</v>
      </c>
      <c r="R2647">
        <v>0.15</v>
      </c>
      <c r="S2647" cm="1">
        <f t="array" ref="S2647">IFERROR(_xlfn.SWITCH(L2647,1,_xlfn.XLOOKUP(O2647,[1]AttributeName!$B:$B,[1]AttributeName!$D:$D),2,_xlfn.XLOOKUP(C2647,[1]ModifierDes!$B:$B,[1]ModifierDes!$D:$D),3,_xlfn.XLOOKUP(C2647,[1]StuntDes!$B:$B,[1]StuntDes!$D:$D)),0)</f>
        <v>2</v>
      </c>
      <c r="T2647" cm="1">
        <f t="array" ref="T2647">IFERROR(_xlfn.SWITCH(L2647,1,_xlfn.XLOOKUP(O2647,[1]AttributeName!$B:$B,[1]AttributeName!$E:$E),2,_xlfn.XLOOKUP(C2647,[1]ModifierDes!$B:$B,[1]ModifierDes!$E:$E),3,_xlfn.XLOOKUP(C2647,[1]StuntDes!$B:$B,[1]StuntDes!$E:$E)),0)</f>
        <v>2</v>
      </c>
    </row>
    <row r="2648" customFormat="1" spans="1:20">
      <c r="A2648">
        <v>1100203</v>
      </c>
      <c r="B2648">
        <v>1</v>
      </c>
      <c r="C2648" t="s">
        <v>400</v>
      </c>
      <c r="D2648" t="s">
        <v>66</v>
      </c>
      <c r="K2648" t="s">
        <v>514</v>
      </c>
      <c r="L2648">
        <f t="shared" si="195"/>
        <v>1</v>
      </c>
      <c r="M2648" s="10" t="str">
        <f>IFERROR(_xlfn.XLOOKUP(C2648,[1]StuntDes!$B:$B,[1]StuntDes!$A:$A),"")</f>
        <v/>
      </c>
      <c r="N2648" s="10" t="str">
        <f>IFERROR(_xlfn.XLOOKUP(C2648,[1]ModifierDes!$B:$B,[1]ModifierDes!$A:$A),"")</f>
        <v/>
      </c>
      <c r="O2648" s="10">
        <f>IFERROR(_xlfn.XLOOKUP(C2648,[1]AttributeName!$C:$C,[1]AttributeName!$B:$B),"")</f>
        <v>10502</v>
      </c>
      <c r="P2648" s="10"/>
      <c r="Q2648">
        <v>0.15</v>
      </c>
      <c r="R2648">
        <v>0.15</v>
      </c>
      <c r="S2648" cm="1">
        <f t="array" ref="S2648">IFERROR(_xlfn.SWITCH(L2648,1,_xlfn.XLOOKUP(O2648,[1]AttributeName!$B:$B,[1]AttributeName!$D:$D),2,_xlfn.XLOOKUP(C2648,[1]ModifierDes!$B:$B,[1]ModifierDes!$D:$D),3,_xlfn.XLOOKUP(C2648,[1]StuntDes!$B:$B,[1]StuntDes!$D:$D)),0)</f>
        <v>2</v>
      </c>
      <c r="T2648" cm="1">
        <f t="array" ref="T2648">IFERROR(_xlfn.SWITCH(L2648,1,_xlfn.XLOOKUP(O2648,[1]AttributeName!$B:$B,[1]AttributeName!$E:$E),2,_xlfn.XLOOKUP(C2648,[1]ModifierDes!$B:$B,[1]ModifierDes!$E:$E),3,_xlfn.XLOOKUP(C2648,[1]StuntDes!$B:$B,[1]StuntDes!$E:$E)),0)</f>
        <v>2</v>
      </c>
    </row>
    <row r="2649" customFormat="1" spans="1:20">
      <c r="A2649">
        <v>1100204</v>
      </c>
      <c r="B2649">
        <v>1</v>
      </c>
      <c r="C2649" t="s">
        <v>401</v>
      </c>
      <c r="D2649" t="s">
        <v>67</v>
      </c>
      <c r="K2649" t="s">
        <v>515</v>
      </c>
      <c r="L2649">
        <f t="shared" si="195"/>
        <v>1</v>
      </c>
      <c r="M2649" s="10" t="str">
        <f>IFERROR(_xlfn.XLOOKUP(C2649,[1]StuntDes!$B:$B,[1]StuntDes!$A:$A),"")</f>
        <v/>
      </c>
      <c r="N2649" s="10" t="str">
        <f>IFERROR(_xlfn.XLOOKUP(C2649,[1]ModifierDes!$B:$B,[1]ModifierDes!$A:$A),"")</f>
        <v/>
      </c>
      <c r="O2649" s="10">
        <f>IFERROR(_xlfn.XLOOKUP(C2649,[1]AttributeName!$C:$C,[1]AttributeName!$B:$B),"")</f>
        <v>10503</v>
      </c>
      <c r="P2649" s="10"/>
      <c r="Q2649">
        <v>0.15</v>
      </c>
      <c r="R2649">
        <v>0.15</v>
      </c>
      <c r="S2649" cm="1">
        <f t="array" ref="S2649">IFERROR(_xlfn.SWITCH(L2649,1,_xlfn.XLOOKUP(O2649,[1]AttributeName!$B:$B,[1]AttributeName!$D:$D),2,_xlfn.XLOOKUP(C2649,[1]ModifierDes!$B:$B,[1]ModifierDes!$D:$D),3,_xlfn.XLOOKUP(C2649,[1]StuntDes!$B:$B,[1]StuntDes!$D:$D)),0)</f>
        <v>2</v>
      </c>
      <c r="T2649" cm="1">
        <f t="array" ref="T2649">IFERROR(_xlfn.SWITCH(L2649,1,_xlfn.XLOOKUP(O2649,[1]AttributeName!$B:$B,[1]AttributeName!$E:$E),2,_xlfn.XLOOKUP(C2649,[1]ModifierDes!$B:$B,[1]ModifierDes!$E:$E),3,_xlfn.XLOOKUP(C2649,[1]StuntDes!$B:$B,[1]StuntDes!$E:$E)),0)</f>
        <v>2</v>
      </c>
    </row>
    <row r="2650" customFormat="1" spans="1:20">
      <c r="A2650">
        <v>1100205</v>
      </c>
      <c r="B2650">
        <v>1</v>
      </c>
      <c r="C2650" t="s">
        <v>402</v>
      </c>
      <c r="D2650" t="s">
        <v>68</v>
      </c>
      <c r="K2650" t="s">
        <v>516</v>
      </c>
      <c r="L2650">
        <f t="shared" si="195"/>
        <v>1</v>
      </c>
      <c r="M2650" s="10" t="str">
        <f>IFERROR(_xlfn.XLOOKUP(C2650,[1]StuntDes!$B:$B,[1]StuntDes!$A:$A),"")</f>
        <v/>
      </c>
      <c r="N2650" s="10" t="str">
        <f>IFERROR(_xlfn.XLOOKUP(C2650,[1]ModifierDes!$B:$B,[1]ModifierDes!$A:$A),"")</f>
        <v/>
      </c>
      <c r="O2650" s="10">
        <f>IFERROR(_xlfn.XLOOKUP(C2650,[1]AttributeName!$C:$C,[1]AttributeName!$B:$B),"")</f>
        <v>10504</v>
      </c>
      <c r="P2650" s="10"/>
      <c r="Q2650">
        <v>0.15</v>
      </c>
      <c r="R2650">
        <v>0.15</v>
      </c>
      <c r="S2650" cm="1">
        <f t="array" ref="S2650">IFERROR(_xlfn.SWITCH(L2650,1,_xlfn.XLOOKUP(O2650,[1]AttributeName!$B:$B,[1]AttributeName!$D:$D),2,_xlfn.XLOOKUP(C2650,[1]ModifierDes!$B:$B,[1]ModifierDes!$D:$D),3,_xlfn.XLOOKUP(C2650,[1]StuntDes!$B:$B,[1]StuntDes!$D:$D)),0)</f>
        <v>2</v>
      </c>
      <c r="T2650" cm="1">
        <f t="array" ref="T2650">IFERROR(_xlfn.SWITCH(L2650,1,_xlfn.XLOOKUP(O2650,[1]AttributeName!$B:$B,[1]AttributeName!$E:$E),2,_xlfn.XLOOKUP(C2650,[1]ModifierDes!$B:$B,[1]ModifierDes!$E:$E),3,_xlfn.XLOOKUP(C2650,[1]StuntDes!$B:$B,[1]StuntDes!$E:$E)),0)</f>
        <v>2</v>
      </c>
    </row>
    <row r="2651" spans="1:20">
      <c r="A2651">
        <v>1100301</v>
      </c>
      <c r="B2651">
        <v>1</v>
      </c>
      <c r="C2651" t="s">
        <v>398</v>
      </c>
      <c r="D2651" t="s">
        <v>69</v>
      </c>
      <c r="K2651" t="s">
        <v>512</v>
      </c>
      <c r="L2651">
        <f t="shared" ref="L2651:L2675" si="196">IF(M2651="",IF(N2651="",1,2),3)</f>
        <v>1</v>
      </c>
      <c r="M2651" s="10" t="str">
        <f>IFERROR(_xlfn.XLOOKUP(C2651,[1]StuntDes!$B:$B,[1]StuntDes!$A:$A),"")</f>
        <v/>
      </c>
      <c r="N2651" s="10" t="str">
        <f>IFERROR(_xlfn.XLOOKUP(C2651,[1]ModifierDes!$B:$B,[1]ModifierDes!$A:$A),"")</f>
        <v/>
      </c>
      <c r="O2651" s="10">
        <f>IFERROR(_xlfn.XLOOKUP(C2651,[1]AttributeName!$C:$C,[1]AttributeName!$B:$B),"")</f>
        <v>10500</v>
      </c>
      <c r="P2651" s="10"/>
      <c r="Q2651">
        <v>0.15</v>
      </c>
      <c r="R2651">
        <v>0.15</v>
      </c>
      <c r="S2651" cm="1">
        <f t="array" ref="S2651">IFERROR(_xlfn.SWITCH(L2651,1,_xlfn.XLOOKUP(O2651,[1]AttributeName!$B:$B,[1]AttributeName!$D:$D),2,_xlfn.XLOOKUP(C2651,[1]ModifierDes!$B:$B,[1]ModifierDes!$D:$D),3,_xlfn.XLOOKUP(C2651,[1]StuntDes!$B:$B,[1]StuntDes!$D:$D)),0)</f>
        <v>2</v>
      </c>
      <c r="T2651" cm="1">
        <f t="array" ref="T2651">IFERROR(_xlfn.SWITCH(L2651,1,_xlfn.XLOOKUP(O2651,[1]AttributeName!$B:$B,[1]AttributeName!$E:$E),2,_xlfn.XLOOKUP(C2651,[1]ModifierDes!$B:$B,[1]ModifierDes!$E:$E),3,_xlfn.XLOOKUP(C2651,[1]StuntDes!$B:$B,[1]StuntDes!$E:$E)),0)</f>
        <v>2</v>
      </c>
    </row>
    <row r="2652" spans="1:20">
      <c r="A2652">
        <v>1100302</v>
      </c>
      <c r="B2652">
        <v>1</v>
      </c>
      <c r="C2652" t="s">
        <v>399</v>
      </c>
      <c r="D2652" t="s">
        <v>70</v>
      </c>
      <c r="K2652" t="s">
        <v>513</v>
      </c>
      <c r="L2652">
        <f t="shared" si="196"/>
        <v>1</v>
      </c>
      <c r="M2652" s="10" t="str">
        <f>IFERROR(_xlfn.XLOOKUP(C2652,[1]StuntDes!$B:$B,[1]StuntDes!$A:$A),"")</f>
        <v/>
      </c>
      <c r="N2652" s="10" t="str">
        <f>IFERROR(_xlfn.XLOOKUP(C2652,[1]ModifierDes!$B:$B,[1]ModifierDes!$A:$A),"")</f>
        <v/>
      </c>
      <c r="O2652" s="10">
        <f>IFERROR(_xlfn.XLOOKUP(C2652,[1]AttributeName!$C:$C,[1]AttributeName!$B:$B),"")</f>
        <v>10501</v>
      </c>
      <c r="P2652" s="10"/>
      <c r="Q2652">
        <v>0.15</v>
      </c>
      <c r="R2652">
        <v>0.15</v>
      </c>
      <c r="S2652" cm="1">
        <f t="array" ref="S2652">IFERROR(_xlfn.SWITCH(L2652,1,_xlfn.XLOOKUP(O2652,[1]AttributeName!$B:$B,[1]AttributeName!$D:$D),2,_xlfn.XLOOKUP(C2652,[1]ModifierDes!$B:$B,[1]ModifierDes!$D:$D),3,_xlfn.XLOOKUP(C2652,[1]StuntDes!$B:$B,[1]StuntDes!$D:$D)),0)</f>
        <v>2</v>
      </c>
      <c r="T2652" cm="1">
        <f t="array" ref="T2652">IFERROR(_xlfn.SWITCH(L2652,1,_xlfn.XLOOKUP(O2652,[1]AttributeName!$B:$B,[1]AttributeName!$E:$E),2,_xlfn.XLOOKUP(C2652,[1]ModifierDes!$B:$B,[1]ModifierDes!$E:$E),3,_xlfn.XLOOKUP(C2652,[1]StuntDes!$B:$B,[1]StuntDes!$E:$E)),0)</f>
        <v>2</v>
      </c>
    </row>
    <row r="2653" spans="1:20">
      <c r="A2653">
        <v>1100303</v>
      </c>
      <c r="B2653">
        <v>1</v>
      </c>
      <c r="C2653" t="s">
        <v>400</v>
      </c>
      <c r="D2653" t="s">
        <v>71</v>
      </c>
      <c r="K2653" t="s">
        <v>514</v>
      </c>
      <c r="L2653">
        <f t="shared" si="196"/>
        <v>1</v>
      </c>
      <c r="M2653" s="10" t="str">
        <f>IFERROR(_xlfn.XLOOKUP(C2653,[1]StuntDes!$B:$B,[1]StuntDes!$A:$A),"")</f>
        <v/>
      </c>
      <c r="N2653" s="10" t="str">
        <f>IFERROR(_xlfn.XLOOKUP(C2653,[1]ModifierDes!$B:$B,[1]ModifierDes!$A:$A),"")</f>
        <v/>
      </c>
      <c r="O2653" s="10">
        <f>IFERROR(_xlfn.XLOOKUP(C2653,[1]AttributeName!$C:$C,[1]AttributeName!$B:$B),"")</f>
        <v>10502</v>
      </c>
      <c r="P2653" s="10"/>
      <c r="Q2653">
        <v>0.15</v>
      </c>
      <c r="R2653">
        <v>0.15</v>
      </c>
      <c r="S2653" cm="1">
        <f t="array" ref="S2653">IFERROR(_xlfn.SWITCH(L2653,1,_xlfn.XLOOKUP(O2653,[1]AttributeName!$B:$B,[1]AttributeName!$D:$D),2,_xlfn.XLOOKUP(C2653,[1]ModifierDes!$B:$B,[1]ModifierDes!$D:$D),3,_xlfn.XLOOKUP(C2653,[1]StuntDes!$B:$B,[1]StuntDes!$D:$D)),0)</f>
        <v>2</v>
      </c>
      <c r="T2653" cm="1">
        <f t="array" ref="T2653">IFERROR(_xlfn.SWITCH(L2653,1,_xlfn.XLOOKUP(O2653,[1]AttributeName!$B:$B,[1]AttributeName!$E:$E),2,_xlfn.XLOOKUP(C2653,[1]ModifierDes!$B:$B,[1]ModifierDes!$E:$E),3,_xlfn.XLOOKUP(C2653,[1]StuntDes!$B:$B,[1]StuntDes!$E:$E)),0)</f>
        <v>2</v>
      </c>
    </row>
    <row r="2654" customFormat="1" spans="1:20">
      <c r="A2654">
        <v>1100304</v>
      </c>
      <c r="B2654">
        <v>1</v>
      </c>
      <c r="C2654" t="s">
        <v>401</v>
      </c>
      <c r="D2654" t="s">
        <v>72</v>
      </c>
      <c r="K2654" t="s">
        <v>515</v>
      </c>
      <c r="L2654">
        <f t="shared" si="196"/>
        <v>1</v>
      </c>
      <c r="M2654" s="10" t="str">
        <f>IFERROR(_xlfn.XLOOKUP(C2654,[1]StuntDes!$B:$B,[1]StuntDes!$A:$A),"")</f>
        <v/>
      </c>
      <c r="N2654" s="10" t="str">
        <f>IFERROR(_xlfn.XLOOKUP(C2654,[1]ModifierDes!$B:$B,[1]ModifierDes!$A:$A),"")</f>
        <v/>
      </c>
      <c r="O2654" s="10">
        <f>IFERROR(_xlfn.XLOOKUP(C2654,[1]AttributeName!$C:$C,[1]AttributeName!$B:$B),"")</f>
        <v>10503</v>
      </c>
      <c r="P2654" s="10"/>
      <c r="Q2654">
        <v>0.15</v>
      </c>
      <c r="R2654">
        <v>0.15</v>
      </c>
      <c r="S2654" cm="1">
        <f t="array" ref="S2654">IFERROR(_xlfn.SWITCH(L2654,1,_xlfn.XLOOKUP(O2654,[1]AttributeName!$B:$B,[1]AttributeName!$D:$D),2,_xlfn.XLOOKUP(C2654,[1]ModifierDes!$B:$B,[1]ModifierDes!$D:$D),3,_xlfn.XLOOKUP(C2654,[1]StuntDes!$B:$B,[1]StuntDes!$D:$D)),0)</f>
        <v>2</v>
      </c>
      <c r="T2654" cm="1">
        <f t="array" ref="T2654">IFERROR(_xlfn.SWITCH(L2654,1,_xlfn.XLOOKUP(O2654,[1]AttributeName!$B:$B,[1]AttributeName!$E:$E),2,_xlfn.XLOOKUP(C2654,[1]ModifierDes!$B:$B,[1]ModifierDes!$E:$E),3,_xlfn.XLOOKUP(C2654,[1]StuntDes!$B:$B,[1]StuntDes!$E:$E)),0)</f>
        <v>2</v>
      </c>
    </row>
    <row r="2655" customFormat="1" spans="1:20">
      <c r="A2655">
        <v>1100305</v>
      </c>
      <c r="B2655">
        <v>1</v>
      </c>
      <c r="C2655" t="s">
        <v>402</v>
      </c>
      <c r="D2655" t="s">
        <v>73</v>
      </c>
      <c r="K2655" t="s">
        <v>516</v>
      </c>
      <c r="L2655">
        <f t="shared" si="196"/>
        <v>1</v>
      </c>
      <c r="M2655" s="10" t="str">
        <f>IFERROR(_xlfn.XLOOKUP(C2655,[1]StuntDes!$B:$B,[1]StuntDes!$A:$A),"")</f>
        <v/>
      </c>
      <c r="N2655" s="10" t="str">
        <f>IFERROR(_xlfn.XLOOKUP(C2655,[1]ModifierDes!$B:$B,[1]ModifierDes!$A:$A),"")</f>
        <v/>
      </c>
      <c r="O2655" s="10">
        <f>IFERROR(_xlfn.XLOOKUP(C2655,[1]AttributeName!$C:$C,[1]AttributeName!$B:$B),"")</f>
        <v>10504</v>
      </c>
      <c r="P2655" s="10"/>
      <c r="Q2655">
        <v>0.15</v>
      </c>
      <c r="R2655">
        <v>0.15</v>
      </c>
      <c r="S2655" cm="1">
        <f t="array" ref="S2655">IFERROR(_xlfn.SWITCH(L2655,1,_xlfn.XLOOKUP(O2655,[1]AttributeName!$B:$B,[1]AttributeName!$D:$D),2,_xlfn.XLOOKUP(C2655,[1]ModifierDes!$B:$B,[1]ModifierDes!$D:$D),3,_xlfn.XLOOKUP(C2655,[1]StuntDes!$B:$B,[1]StuntDes!$D:$D)),0)</f>
        <v>2</v>
      </c>
      <c r="T2655" cm="1">
        <f t="array" ref="T2655">IFERROR(_xlfn.SWITCH(L2655,1,_xlfn.XLOOKUP(O2655,[1]AttributeName!$B:$B,[1]AttributeName!$E:$E),2,_xlfn.XLOOKUP(C2655,[1]ModifierDes!$B:$B,[1]ModifierDes!$E:$E),3,_xlfn.XLOOKUP(C2655,[1]StuntDes!$B:$B,[1]StuntDes!$E:$E)),0)</f>
        <v>2</v>
      </c>
    </row>
    <row r="2656" spans="1:20">
      <c r="A2656">
        <v>1200101</v>
      </c>
      <c r="B2656">
        <v>1</v>
      </c>
      <c r="C2656" t="s">
        <v>429</v>
      </c>
      <c r="D2656" t="s">
        <v>74</v>
      </c>
      <c r="K2656" t="s">
        <v>517</v>
      </c>
      <c r="L2656">
        <f t="shared" si="196"/>
        <v>1</v>
      </c>
      <c r="M2656" s="10" t="str">
        <f>IFERROR(_xlfn.XLOOKUP(C2656,[1]StuntDes!$B:$B,[1]StuntDes!$A:$A),"")</f>
        <v/>
      </c>
      <c r="N2656" s="10" t="str">
        <f>IFERROR(_xlfn.XLOOKUP(C2656,[1]ModifierDes!$B:$B,[1]ModifierDes!$A:$A),"")</f>
        <v/>
      </c>
      <c r="O2656" s="10">
        <f>IFERROR(_xlfn.XLOOKUP(C2656,[1]AttributeName!$C:$C,[1]AttributeName!$B:$B),"")</f>
        <v>10013</v>
      </c>
      <c r="P2656" s="10"/>
      <c r="Q2656">
        <v>0.15</v>
      </c>
      <c r="R2656">
        <v>0.15</v>
      </c>
      <c r="S2656" cm="1">
        <f t="array" ref="S2656">IFERROR(_xlfn.SWITCH(L2656,1,_xlfn.XLOOKUP(O2656,[1]AttributeName!$B:$B,[1]AttributeName!$D:$D),2,_xlfn.XLOOKUP(C2656,[1]ModifierDes!$B:$B,[1]ModifierDes!$D:$D),3,_xlfn.XLOOKUP(C2656,[1]StuntDes!$B:$B,[1]StuntDes!$D:$D)),0)</f>
        <v>2</v>
      </c>
      <c r="T2656" cm="1">
        <f t="array" ref="T2656">IFERROR(_xlfn.SWITCH(L2656,1,_xlfn.XLOOKUP(O2656,[1]AttributeName!$B:$B,[1]AttributeName!$E:$E),2,_xlfn.XLOOKUP(C2656,[1]ModifierDes!$B:$B,[1]ModifierDes!$E:$E),3,_xlfn.XLOOKUP(C2656,[1]StuntDes!$B:$B,[1]StuntDes!$E:$E)),0)</f>
        <v>2</v>
      </c>
    </row>
    <row r="2657" spans="1:20">
      <c r="A2657">
        <v>1200102</v>
      </c>
      <c r="B2657">
        <v>1</v>
      </c>
      <c r="C2657" t="s">
        <v>430</v>
      </c>
      <c r="D2657" t="s">
        <v>77</v>
      </c>
      <c r="K2657" t="s">
        <v>518</v>
      </c>
      <c r="L2657">
        <f t="shared" si="196"/>
        <v>1</v>
      </c>
      <c r="M2657" s="10" t="str">
        <f>IFERROR(_xlfn.XLOOKUP(C2657,[1]StuntDes!$B:$B,[1]StuntDes!$A:$A),"")</f>
        <v/>
      </c>
      <c r="N2657" s="10" t="str">
        <f>IFERROR(_xlfn.XLOOKUP(C2657,[1]ModifierDes!$B:$B,[1]ModifierDes!$A:$A),"")</f>
        <v/>
      </c>
      <c r="O2657" s="10">
        <f>IFERROR(_xlfn.XLOOKUP(C2657,[1]AttributeName!$C:$C,[1]AttributeName!$B:$B),"")</f>
        <v>10011</v>
      </c>
      <c r="P2657" s="10"/>
      <c r="Q2657">
        <v>0.15</v>
      </c>
      <c r="R2657">
        <v>0.15</v>
      </c>
      <c r="S2657" cm="1">
        <f t="array" ref="S2657">IFERROR(_xlfn.SWITCH(L2657,1,_xlfn.XLOOKUP(O2657,[1]AttributeName!$B:$B,[1]AttributeName!$D:$D),2,_xlfn.XLOOKUP(C2657,[1]ModifierDes!$B:$B,[1]ModifierDes!$D:$D),3,_xlfn.XLOOKUP(C2657,[1]StuntDes!$B:$B,[1]StuntDes!$D:$D)),0)</f>
        <v>2</v>
      </c>
      <c r="T2657" cm="1">
        <f t="array" ref="T2657">IFERROR(_xlfn.SWITCH(L2657,1,_xlfn.XLOOKUP(O2657,[1]AttributeName!$B:$B,[1]AttributeName!$E:$E),2,_xlfn.XLOOKUP(C2657,[1]ModifierDes!$B:$B,[1]ModifierDes!$E:$E),3,_xlfn.XLOOKUP(C2657,[1]StuntDes!$B:$B,[1]StuntDes!$E:$E)),0)</f>
        <v>2</v>
      </c>
    </row>
    <row r="2658" spans="1:20">
      <c r="A2658">
        <v>1300101</v>
      </c>
      <c r="B2658">
        <v>1</v>
      </c>
      <c r="C2658" t="s">
        <v>438</v>
      </c>
      <c r="D2658" t="s">
        <v>79</v>
      </c>
      <c r="K2658" t="s">
        <v>519</v>
      </c>
      <c r="L2658">
        <f t="shared" si="196"/>
        <v>1</v>
      </c>
      <c r="M2658" s="10" t="str">
        <f>IFERROR(_xlfn.XLOOKUP(C2658,[1]StuntDes!$B:$B,[1]StuntDes!$A:$A),"")</f>
        <v/>
      </c>
      <c r="N2658" s="10" t="str">
        <f>IFERROR(_xlfn.XLOOKUP(C2658,[1]ModifierDes!$B:$B,[1]ModifierDes!$A:$A),"")</f>
        <v/>
      </c>
      <c r="O2658" s="10">
        <f>IFERROR(_xlfn.XLOOKUP(C2658,[1]AttributeName!$C:$C,[1]AttributeName!$B:$B),"")</f>
        <v>10312</v>
      </c>
      <c r="P2658" s="10"/>
      <c r="Q2658">
        <v>0.2</v>
      </c>
      <c r="R2658">
        <v>0.2</v>
      </c>
      <c r="S2658" cm="1">
        <f t="array" ref="S2658">IFERROR(_xlfn.SWITCH(L2658,1,_xlfn.XLOOKUP(O2658,[1]AttributeName!$B:$B,[1]AttributeName!$D:$D),2,_xlfn.XLOOKUP(C2658,[1]ModifierDes!$B:$B,[1]ModifierDes!$D:$D),3,_xlfn.XLOOKUP(C2658,[1]StuntDes!$B:$B,[1]StuntDes!$D:$D)),0)</f>
        <v>2</v>
      </c>
      <c r="T2658" cm="1">
        <f t="array" ref="T2658">IFERROR(_xlfn.SWITCH(L2658,1,_xlfn.XLOOKUP(O2658,[1]AttributeName!$B:$B,[1]AttributeName!$E:$E),2,_xlfn.XLOOKUP(C2658,[1]ModifierDes!$B:$B,[1]ModifierDes!$E:$E),3,_xlfn.XLOOKUP(C2658,[1]StuntDes!$B:$B,[1]StuntDes!$E:$E)),0)</f>
        <v>2</v>
      </c>
    </row>
    <row r="2659" spans="1:20">
      <c r="A2659">
        <v>1300102</v>
      </c>
      <c r="B2659">
        <v>1</v>
      </c>
      <c r="C2659" t="s">
        <v>439</v>
      </c>
      <c r="D2659" t="s">
        <v>81</v>
      </c>
      <c r="K2659" t="s">
        <v>520</v>
      </c>
      <c r="L2659">
        <f t="shared" si="196"/>
        <v>1</v>
      </c>
      <c r="M2659" s="10" t="str">
        <f>IFERROR(_xlfn.XLOOKUP(C2659,[1]StuntDes!$B:$B,[1]StuntDes!$A:$A),"")</f>
        <v/>
      </c>
      <c r="N2659" s="10" t="str">
        <f>IFERROR(_xlfn.XLOOKUP(C2659,[1]ModifierDes!$B:$B,[1]ModifierDes!$A:$A),"")</f>
        <v/>
      </c>
      <c r="O2659" s="10">
        <f>IFERROR(_xlfn.XLOOKUP(C2659,[1]AttributeName!$C:$C,[1]AttributeName!$B:$B),"")</f>
        <v>10313</v>
      </c>
      <c r="P2659" s="10"/>
      <c r="Q2659">
        <v>0.2</v>
      </c>
      <c r="R2659">
        <v>0.2</v>
      </c>
      <c r="S2659" cm="1">
        <f t="array" ref="S2659">IFERROR(_xlfn.SWITCH(L2659,1,_xlfn.XLOOKUP(O2659,[1]AttributeName!$B:$B,[1]AttributeName!$D:$D),2,_xlfn.XLOOKUP(C2659,[1]ModifierDes!$B:$B,[1]ModifierDes!$D:$D),3,_xlfn.XLOOKUP(C2659,[1]StuntDes!$B:$B,[1]StuntDes!$D:$D)),0)</f>
        <v>2</v>
      </c>
      <c r="T2659" cm="1">
        <f t="array" ref="T2659">IFERROR(_xlfn.SWITCH(L2659,1,_xlfn.XLOOKUP(O2659,[1]AttributeName!$B:$B,[1]AttributeName!$E:$E),2,_xlfn.XLOOKUP(C2659,[1]ModifierDes!$B:$B,[1]ModifierDes!$E:$E),3,_xlfn.XLOOKUP(C2659,[1]StuntDes!$B:$B,[1]StuntDes!$E:$E)),0)</f>
        <v>2</v>
      </c>
    </row>
    <row r="2660" customFormat="1" spans="1:20">
      <c r="A2660">
        <v>1300103</v>
      </c>
      <c r="B2660">
        <v>1</v>
      </c>
      <c r="C2660" t="s">
        <v>440</v>
      </c>
      <c r="D2660" t="s">
        <v>83</v>
      </c>
      <c r="K2660" t="s">
        <v>521</v>
      </c>
      <c r="L2660">
        <f t="shared" si="196"/>
        <v>1</v>
      </c>
      <c r="M2660" s="10" t="str">
        <f>IFERROR(_xlfn.XLOOKUP(C2660,[1]StuntDes!$B:$B,[1]StuntDes!$A:$A),"")</f>
        <v/>
      </c>
      <c r="N2660" s="10" t="str">
        <f>IFERROR(_xlfn.XLOOKUP(C2660,[1]ModifierDes!$B:$B,[1]ModifierDes!$A:$A),"")</f>
        <v/>
      </c>
      <c r="O2660" s="10">
        <f>IFERROR(_xlfn.XLOOKUP(C2660,[1]AttributeName!$C:$C,[1]AttributeName!$B:$B),"")</f>
        <v>10314</v>
      </c>
      <c r="P2660" s="10"/>
      <c r="Q2660">
        <v>0.2</v>
      </c>
      <c r="R2660">
        <v>0.2</v>
      </c>
      <c r="S2660" cm="1">
        <f t="array" ref="S2660">IFERROR(_xlfn.SWITCH(L2660,1,_xlfn.XLOOKUP(O2660,[1]AttributeName!$B:$B,[1]AttributeName!$D:$D),2,_xlfn.XLOOKUP(C2660,[1]ModifierDes!$B:$B,[1]ModifierDes!$D:$D),3,_xlfn.XLOOKUP(C2660,[1]StuntDes!$B:$B,[1]StuntDes!$D:$D)),0)</f>
        <v>2</v>
      </c>
      <c r="T2660" cm="1">
        <f t="array" ref="T2660">IFERROR(_xlfn.SWITCH(L2660,1,_xlfn.XLOOKUP(O2660,[1]AttributeName!$B:$B,[1]AttributeName!$E:$E),2,_xlfn.XLOOKUP(C2660,[1]ModifierDes!$B:$B,[1]ModifierDes!$E:$E),3,_xlfn.XLOOKUP(C2660,[1]StuntDes!$B:$B,[1]StuntDes!$E:$E)),0)</f>
        <v>2</v>
      </c>
    </row>
    <row r="2661" customFormat="1" spans="1:20">
      <c r="A2661">
        <v>1400101</v>
      </c>
      <c r="B2661">
        <v>1</v>
      </c>
      <c r="C2661" t="s">
        <v>437</v>
      </c>
      <c r="D2661" t="s">
        <v>85</v>
      </c>
      <c r="K2661" t="s">
        <v>522</v>
      </c>
      <c r="L2661">
        <f t="shared" si="196"/>
        <v>1</v>
      </c>
      <c r="M2661" s="10" t="str">
        <f>IFERROR(_xlfn.XLOOKUP(C2661,[1]StuntDes!$B:$B,[1]StuntDes!$A:$A),"")</f>
        <v/>
      </c>
      <c r="N2661" s="10" t="str">
        <f>IFERROR(_xlfn.XLOOKUP(C2661,[1]ModifierDes!$B:$B,[1]ModifierDes!$A:$A),"")</f>
        <v/>
      </c>
      <c r="O2661" s="10">
        <f>IFERROR(_xlfn.XLOOKUP(C2661,[1]AttributeName!$C:$C,[1]AttributeName!$B:$B),"")</f>
        <v>10311</v>
      </c>
      <c r="P2661" s="10"/>
      <c r="Q2661">
        <v>0.2</v>
      </c>
      <c r="R2661">
        <v>0.2</v>
      </c>
      <c r="S2661" cm="1">
        <f t="array" ref="S2661">IFERROR(_xlfn.SWITCH(L2661,1,_xlfn.XLOOKUP(O2661,[1]AttributeName!$B:$B,[1]AttributeName!$D:$D),2,_xlfn.XLOOKUP(C2661,[1]ModifierDes!$B:$B,[1]ModifierDes!$D:$D),3,_xlfn.XLOOKUP(C2661,[1]StuntDes!$B:$B,[1]StuntDes!$D:$D)),0)</f>
        <v>2</v>
      </c>
      <c r="T2661" cm="1">
        <f t="array" ref="T2661">IFERROR(_xlfn.SWITCH(L2661,1,_xlfn.XLOOKUP(O2661,[1]AttributeName!$B:$B,[1]AttributeName!$E:$E),2,_xlfn.XLOOKUP(C2661,[1]ModifierDes!$B:$B,[1]ModifierDes!$E:$E),3,_xlfn.XLOOKUP(C2661,[1]StuntDes!$B:$B,[1]StuntDes!$E:$E)),0)</f>
        <v>2</v>
      </c>
    </row>
    <row r="2662" spans="1:20">
      <c r="A2662">
        <v>1400102</v>
      </c>
      <c r="B2662">
        <v>1</v>
      </c>
      <c r="C2662" t="s">
        <v>441</v>
      </c>
      <c r="D2662" t="s">
        <v>87</v>
      </c>
      <c r="K2662" t="s">
        <v>523</v>
      </c>
      <c r="L2662">
        <f t="shared" si="196"/>
        <v>1</v>
      </c>
      <c r="M2662" s="10" t="str">
        <f>IFERROR(_xlfn.XLOOKUP(C2662,[1]StuntDes!$B:$B,[1]StuntDes!$A:$A),"")</f>
        <v/>
      </c>
      <c r="N2662" s="10" t="str">
        <f>IFERROR(_xlfn.XLOOKUP(C2662,[1]ModifierDes!$B:$B,[1]ModifierDes!$A:$A),"")</f>
        <v/>
      </c>
      <c r="O2662" s="10">
        <f>IFERROR(_xlfn.XLOOKUP(C2662,[1]AttributeName!$C:$C,[1]AttributeName!$B:$B),"")</f>
        <v>10315</v>
      </c>
      <c r="P2662" s="10"/>
      <c r="Q2662">
        <v>0.1</v>
      </c>
      <c r="R2662">
        <v>0.1</v>
      </c>
      <c r="S2662" cm="1">
        <f t="array" ref="S2662">IFERROR(_xlfn.SWITCH(L2662,1,_xlfn.XLOOKUP(O2662,[1]AttributeName!$B:$B,[1]AttributeName!$D:$D),2,_xlfn.XLOOKUP(C2662,[1]ModifierDes!$B:$B,[1]ModifierDes!$D:$D),3,_xlfn.XLOOKUP(C2662,[1]StuntDes!$B:$B,[1]StuntDes!$D:$D)),0)</f>
        <v>2</v>
      </c>
      <c r="T2662" cm="1">
        <f t="array" ref="T2662">IFERROR(_xlfn.SWITCH(L2662,1,_xlfn.XLOOKUP(O2662,[1]AttributeName!$B:$B,[1]AttributeName!$E:$E),2,_xlfn.XLOOKUP(C2662,[1]ModifierDes!$B:$B,[1]ModifierDes!$E:$E),3,_xlfn.XLOOKUP(C2662,[1]StuntDes!$B:$B,[1]StuntDes!$E:$E)),0)</f>
        <v>2</v>
      </c>
    </row>
    <row r="2663" customFormat="1" spans="1:20">
      <c r="A2663">
        <v>1500101</v>
      </c>
      <c r="B2663">
        <v>1</v>
      </c>
      <c r="C2663" t="s">
        <v>428</v>
      </c>
      <c r="D2663" t="s">
        <v>89</v>
      </c>
      <c r="K2663" t="s">
        <v>524</v>
      </c>
      <c r="L2663">
        <f t="shared" si="196"/>
        <v>1</v>
      </c>
      <c r="M2663" s="10" t="str">
        <f>IFERROR(_xlfn.XLOOKUP(C2663,[1]StuntDes!$B:$B,[1]StuntDes!$A:$A),"")</f>
        <v/>
      </c>
      <c r="N2663" s="10" t="str">
        <f>IFERROR(_xlfn.XLOOKUP(C2663,[1]ModifierDes!$B:$B,[1]ModifierDes!$A:$A),"")</f>
        <v/>
      </c>
      <c r="O2663" s="10">
        <f>IFERROR(_xlfn.XLOOKUP(C2663,[1]AttributeName!$C:$C,[1]AttributeName!$B:$B),"")</f>
        <v>10014</v>
      </c>
      <c r="P2663" s="10"/>
      <c r="Q2663">
        <v>100</v>
      </c>
      <c r="R2663">
        <v>100</v>
      </c>
      <c r="S2663" cm="1">
        <f t="array" ref="S2663">IFERROR(_xlfn.SWITCH(L2663,1,_xlfn.XLOOKUP(O2663,[1]AttributeName!$B:$B,[1]AttributeName!$D:$D),2,_xlfn.XLOOKUP(C2663,[1]ModifierDes!$B:$B,[1]ModifierDes!$D:$D),3,_xlfn.XLOOKUP(C2663,[1]StuntDes!$B:$B,[1]StuntDes!$D:$D)),0)</f>
        <v>0</v>
      </c>
      <c r="T2663" cm="1">
        <f t="array" ref="T2663">IFERROR(_xlfn.SWITCH(L2663,1,_xlfn.XLOOKUP(O2663,[1]AttributeName!$B:$B,[1]AttributeName!$E:$E),2,_xlfn.XLOOKUP(C2663,[1]ModifierDes!$B:$B,[1]ModifierDes!$E:$E),3,_xlfn.XLOOKUP(C2663,[1]StuntDes!$B:$B,[1]StuntDes!$E:$E)),0)</f>
        <v>1</v>
      </c>
    </row>
    <row r="2664" customFormat="1" spans="1:20">
      <c r="A2664">
        <v>1500102</v>
      </c>
      <c r="B2664">
        <v>1</v>
      </c>
      <c r="C2664" t="s">
        <v>408</v>
      </c>
      <c r="D2664" t="s">
        <v>91</v>
      </c>
      <c r="K2664" t="s">
        <v>525</v>
      </c>
      <c r="L2664">
        <f t="shared" si="196"/>
        <v>1</v>
      </c>
      <c r="M2664" s="10" t="str">
        <f>IFERROR(_xlfn.XLOOKUP(C2664,[1]StuntDes!$B:$B,[1]StuntDes!$A:$A),"")</f>
        <v/>
      </c>
      <c r="N2664" s="10" t="str">
        <f>IFERROR(_xlfn.XLOOKUP(C2664,[1]ModifierDes!$B:$B,[1]ModifierDes!$A:$A),"")</f>
        <v/>
      </c>
      <c r="O2664" s="10">
        <f>IFERROR(_xlfn.XLOOKUP(C2664,[1]AttributeName!$C:$C,[1]AttributeName!$B:$B),"")</f>
        <v>10002</v>
      </c>
      <c r="P2664" s="10"/>
      <c r="Q2664">
        <v>50</v>
      </c>
      <c r="R2664">
        <v>50</v>
      </c>
      <c r="S2664" cm="1">
        <f t="array" ref="S2664">IFERROR(_xlfn.SWITCH(L2664,1,_xlfn.XLOOKUP(O2664,[1]AttributeName!$B:$B,[1]AttributeName!$D:$D),2,_xlfn.XLOOKUP(C2664,[1]ModifierDes!$B:$B,[1]ModifierDes!$D:$D),3,_xlfn.XLOOKUP(C2664,[1]StuntDes!$B:$B,[1]StuntDes!$D:$D)),0)</f>
        <v>0</v>
      </c>
      <c r="T2664" cm="1">
        <f t="array" ref="T2664">IFERROR(_xlfn.SWITCH(L2664,1,_xlfn.XLOOKUP(O2664,[1]AttributeName!$B:$B,[1]AttributeName!$E:$E),2,_xlfn.XLOOKUP(C2664,[1]ModifierDes!$B:$B,[1]ModifierDes!$E:$E),3,_xlfn.XLOOKUP(C2664,[1]StuntDes!$B:$B,[1]StuntDes!$E:$E)),0)</f>
        <v>1</v>
      </c>
    </row>
    <row r="2665" customFormat="1" spans="1:20">
      <c r="A2665">
        <v>1500103</v>
      </c>
      <c r="B2665">
        <v>1</v>
      </c>
      <c r="C2665" t="s">
        <v>94</v>
      </c>
      <c r="D2665" t="s">
        <v>93</v>
      </c>
      <c r="K2665" t="s">
        <v>526</v>
      </c>
      <c r="L2665">
        <f t="shared" si="196"/>
        <v>1</v>
      </c>
      <c r="M2665" s="10" t="str">
        <f>IFERROR(_xlfn.XLOOKUP(C2665,[1]StuntDes!$B:$B,[1]StuntDes!$A:$A),"")</f>
        <v/>
      </c>
      <c r="N2665" s="10" t="str">
        <f>IFERROR(_xlfn.XLOOKUP(C2665,[1]ModifierDes!$B:$B,[1]ModifierDes!$A:$A),"")</f>
        <v/>
      </c>
      <c r="O2665" s="10">
        <f>IFERROR(_xlfn.XLOOKUP(C2665,[1]AttributeName!$C:$C,[1]AttributeName!$B:$B),"")</f>
        <v>10700</v>
      </c>
      <c r="P2665" s="10"/>
      <c r="Q2665">
        <v>0.15</v>
      </c>
      <c r="R2665">
        <v>0.15</v>
      </c>
      <c r="S2665" cm="1">
        <f t="array" ref="S2665">IFERROR(_xlfn.SWITCH(L2665,1,_xlfn.XLOOKUP(O2665,[1]AttributeName!$B:$B,[1]AttributeName!$D:$D),2,_xlfn.XLOOKUP(C2665,[1]ModifierDes!$B:$B,[1]ModifierDes!$D:$D),3,_xlfn.XLOOKUP(C2665,[1]StuntDes!$B:$B,[1]StuntDes!$D:$D)),0)</f>
        <v>2</v>
      </c>
      <c r="T2665" cm="1">
        <f t="array" ref="T2665">IFERROR(_xlfn.SWITCH(L2665,1,_xlfn.XLOOKUP(O2665,[1]AttributeName!$B:$B,[1]AttributeName!$E:$E),2,_xlfn.XLOOKUP(C2665,[1]ModifierDes!$B:$B,[1]ModifierDes!$E:$E),3,_xlfn.XLOOKUP(C2665,[1]StuntDes!$B:$B,[1]StuntDes!$E:$E)),0)</f>
        <v>2</v>
      </c>
    </row>
    <row r="2666" customFormat="1" spans="1:20">
      <c r="A2666">
        <v>1600101</v>
      </c>
      <c r="B2666">
        <v>1</v>
      </c>
      <c r="C2666" t="s">
        <v>418</v>
      </c>
      <c r="D2666" t="s">
        <v>95</v>
      </c>
      <c r="K2666" t="s">
        <v>527</v>
      </c>
      <c r="L2666">
        <f t="shared" si="196"/>
        <v>2</v>
      </c>
      <c r="M2666" s="10" t="str">
        <f>IFERROR(_xlfn.XLOOKUP(C2666,[1]StuntDes!$B:$B,[1]StuntDes!$A:$A),"")</f>
        <v/>
      </c>
      <c r="N2666" s="10">
        <f>IFERROR(_xlfn.XLOOKUP(C2666,[1]ModifierDes!$B:$B,[1]ModifierDes!$A:$A),"")</f>
        <v>10031</v>
      </c>
      <c r="O2666" s="10" t="str">
        <f>IFERROR(_xlfn.XLOOKUP(C2666,[1]AttributeName!$C:$C,[1]AttributeName!$B:$B),"")</f>
        <v/>
      </c>
      <c r="P2666" s="10"/>
      <c r="Q2666">
        <v>0.1</v>
      </c>
      <c r="R2666">
        <v>0.1</v>
      </c>
      <c r="S2666" cm="1">
        <f t="array" ref="S2666">IFERROR(_xlfn.SWITCH(L2666,1,_xlfn.XLOOKUP(O2666,[1]AttributeName!$B:$B,[1]AttributeName!$D:$D),2,_xlfn.XLOOKUP(C2666,[1]ModifierDes!$B:$B,[1]ModifierDes!$D:$D),3,_xlfn.XLOOKUP(C2666,[1]StuntDes!$B:$B,[1]StuntDes!$D:$D)),0)</f>
        <v>2</v>
      </c>
      <c r="T2666" cm="1">
        <f t="array" ref="T2666">IFERROR(_xlfn.SWITCH(L2666,1,_xlfn.XLOOKUP(O2666,[1]AttributeName!$B:$B,[1]AttributeName!$E:$E),2,_xlfn.XLOOKUP(C2666,[1]ModifierDes!$B:$B,[1]ModifierDes!$E:$E),3,_xlfn.XLOOKUP(C2666,[1]StuntDes!$B:$B,[1]StuntDes!$E:$E)),0)</f>
        <v>2</v>
      </c>
    </row>
    <row r="2667" customFormat="1" spans="1:20">
      <c r="A2667">
        <v>1600102</v>
      </c>
      <c r="B2667">
        <v>1</v>
      </c>
      <c r="C2667" t="s">
        <v>448</v>
      </c>
      <c r="D2667" t="s">
        <v>97</v>
      </c>
      <c r="K2667" t="s">
        <v>528</v>
      </c>
      <c r="L2667">
        <f t="shared" si="196"/>
        <v>2</v>
      </c>
      <c r="M2667" s="10" t="str">
        <f>IFERROR(_xlfn.XLOOKUP(C2667,[1]StuntDes!$B:$B,[1]StuntDes!$A:$A),"")</f>
        <v/>
      </c>
      <c r="N2667" s="10">
        <f>IFERROR(_xlfn.XLOOKUP(C2667,[1]ModifierDes!$B:$B,[1]ModifierDes!$A:$A),"")</f>
        <v>10050</v>
      </c>
      <c r="O2667" s="10" t="str">
        <f>IFERROR(_xlfn.XLOOKUP(C2667,[1]AttributeName!$C:$C,[1]AttributeName!$B:$B),"")</f>
        <v/>
      </c>
      <c r="P2667" s="10"/>
      <c r="Q2667">
        <v>0.1</v>
      </c>
      <c r="R2667">
        <v>0.1</v>
      </c>
      <c r="S2667" cm="1">
        <f t="array" ref="S2667">IFERROR(_xlfn.SWITCH(L2667,1,_xlfn.XLOOKUP(O2667,[1]AttributeName!$B:$B,[1]AttributeName!$D:$D),2,_xlfn.XLOOKUP(C2667,[1]ModifierDes!$B:$B,[1]ModifierDes!$D:$D),3,_xlfn.XLOOKUP(C2667,[1]StuntDes!$B:$B,[1]StuntDes!$D:$D)),0)</f>
        <v>2</v>
      </c>
      <c r="T2667" cm="1">
        <f t="array" ref="T2667">IFERROR(_xlfn.SWITCH(L2667,1,_xlfn.XLOOKUP(O2667,[1]AttributeName!$B:$B,[1]AttributeName!$E:$E),2,_xlfn.XLOOKUP(C2667,[1]ModifierDes!$B:$B,[1]ModifierDes!$E:$E),3,_xlfn.XLOOKUP(C2667,[1]StuntDes!$B:$B,[1]StuntDes!$E:$E)),0)</f>
        <v>2</v>
      </c>
    </row>
    <row r="2668" spans="1:20">
      <c r="A2668">
        <v>1600103</v>
      </c>
      <c r="B2668">
        <v>1</v>
      </c>
      <c r="C2668" t="s">
        <v>479</v>
      </c>
      <c r="D2668" t="s">
        <v>99</v>
      </c>
      <c r="K2668" t="s">
        <v>529</v>
      </c>
      <c r="L2668">
        <f t="shared" si="196"/>
        <v>1</v>
      </c>
      <c r="M2668" s="10" t="str">
        <f>IFERROR(_xlfn.XLOOKUP(C2668,[1]StuntDes!$B:$B,[1]StuntDes!$A:$A),"")</f>
        <v/>
      </c>
      <c r="N2668" s="10" t="str">
        <f>IFERROR(_xlfn.XLOOKUP(C2668,[1]ModifierDes!$B:$B,[1]ModifierDes!$A:$A),"")</f>
        <v/>
      </c>
      <c r="O2668" s="10">
        <f>IFERROR(_xlfn.XLOOKUP(C2668,[1]AttributeName!$C:$C,[1]AttributeName!$B:$B),"")</f>
        <v>11037</v>
      </c>
      <c r="P2668" s="10"/>
      <c r="Q2668">
        <v>0.1</v>
      </c>
      <c r="R2668">
        <v>0.1</v>
      </c>
      <c r="S2668" cm="1">
        <f t="array" ref="S2668">IFERROR(_xlfn.SWITCH(L2668,1,_xlfn.XLOOKUP(O2668,[1]AttributeName!$B:$B,[1]AttributeName!$D:$D),2,_xlfn.XLOOKUP(C2668,[1]ModifierDes!$B:$B,[1]ModifierDes!$D:$D),3,_xlfn.XLOOKUP(C2668,[1]StuntDes!$B:$B,[1]StuntDes!$D:$D)),0)</f>
        <v>2</v>
      </c>
      <c r="T2668" cm="1">
        <f t="array" ref="T2668">IFERROR(_xlfn.SWITCH(L2668,1,_xlfn.XLOOKUP(O2668,[1]AttributeName!$B:$B,[1]AttributeName!$E:$E),2,_xlfn.XLOOKUP(C2668,[1]ModifierDes!$B:$B,[1]ModifierDes!$E:$E),3,_xlfn.XLOOKUP(C2668,[1]StuntDes!$B:$B,[1]StuntDes!$E:$E)),0)</f>
        <v>2</v>
      </c>
    </row>
    <row r="2669" spans="1:20">
      <c r="A2669">
        <v>1700101</v>
      </c>
      <c r="B2669">
        <v>1</v>
      </c>
      <c r="C2669" t="s">
        <v>404</v>
      </c>
      <c r="D2669" t="s">
        <v>102</v>
      </c>
      <c r="K2669" t="s">
        <v>530</v>
      </c>
      <c r="L2669">
        <f t="shared" si="196"/>
        <v>1</v>
      </c>
      <c r="M2669" s="10" t="str">
        <f>IFERROR(_xlfn.XLOOKUP(C2669,[1]StuntDes!$B:$B,[1]StuntDes!$A:$A),"")</f>
        <v/>
      </c>
      <c r="N2669" s="10" t="str">
        <f>IFERROR(_xlfn.XLOOKUP(C2669,[1]ModifierDes!$B:$B,[1]ModifierDes!$A:$A),"")</f>
        <v/>
      </c>
      <c r="O2669" s="10">
        <f>IFERROR(_xlfn.XLOOKUP(C2669,[1]AttributeName!$C:$C,[1]AttributeName!$B:$B),"")</f>
        <v>10303</v>
      </c>
      <c r="P2669" s="10"/>
      <c r="Q2669">
        <v>0.2</v>
      </c>
      <c r="R2669">
        <v>0.2</v>
      </c>
      <c r="S2669" cm="1">
        <f t="array" ref="S2669">IFERROR(_xlfn.SWITCH(L2669,1,_xlfn.XLOOKUP(O2669,[1]AttributeName!$B:$B,[1]AttributeName!$D:$D),2,_xlfn.XLOOKUP(C2669,[1]ModifierDes!$B:$B,[1]ModifierDes!$D:$D),3,_xlfn.XLOOKUP(C2669,[1]StuntDes!$B:$B,[1]StuntDes!$D:$D)),0)</f>
        <v>2</v>
      </c>
      <c r="T2669" cm="1">
        <f t="array" ref="T2669">IFERROR(_xlfn.SWITCH(L2669,1,_xlfn.XLOOKUP(O2669,[1]AttributeName!$B:$B,[1]AttributeName!$E:$E),2,_xlfn.XLOOKUP(C2669,[1]ModifierDes!$B:$B,[1]ModifierDes!$E:$E),3,_xlfn.XLOOKUP(C2669,[1]StuntDes!$B:$B,[1]StuntDes!$E:$E)),0)</f>
        <v>2</v>
      </c>
    </row>
    <row r="2670" spans="1:20">
      <c r="A2670">
        <v>1700102</v>
      </c>
      <c r="B2670">
        <v>1</v>
      </c>
      <c r="C2670" t="s">
        <v>405</v>
      </c>
      <c r="D2670" t="s">
        <v>104</v>
      </c>
      <c r="K2670" t="s">
        <v>531</v>
      </c>
      <c r="L2670">
        <f t="shared" si="196"/>
        <v>2</v>
      </c>
      <c r="M2670" s="10" t="str">
        <f>IFERROR(_xlfn.XLOOKUP(C2670,[1]StuntDes!$B:$B,[1]StuntDes!$A:$A),"")</f>
        <v/>
      </c>
      <c r="N2670" s="10">
        <f>IFERROR(_xlfn.XLOOKUP(C2670,[1]ModifierDes!$B:$B,[1]ModifierDes!$A:$A),"")</f>
        <v>10120</v>
      </c>
      <c r="O2670" s="10">
        <f>IFERROR(_xlfn.XLOOKUP(C2670,[1]AttributeName!$C:$C,[1]AttributeName!$B:$B),"")</f>
        <v>10308</v>
      </c>
      <c r="P2670" s="10"/>
      <c r="Q2670">
        <v>0.15</v>
      </c>
      <c r="R2670">
        <v>0.15</v>
      </c>
      <c r="S2670" cm="1">
        <f t="array" ref="S2670">IFERROR(_xlfn.SWITCH(L2670,1,_xlfn.XLOOKUP(O2670,[1]AttributeName!$B:$B,[1]AttributeName!$D:$D),2,_xlfn.XLOOKUP(C2670,[1]ModifierDes!$B:$B,[1]ModifierDes!$D:$D),3,_xlfn.XLOOKUP(C2670,[1]StuntDes!$B:$B,[1]StuntDes!$D:$D)),0)</f>
        <v>2</v>
      </c>
      <c r="T2670" cm="1">
        <f t="array" ref="T2670">IFERROR(_xlfn.SWITCH(L2670,1,_xlfn.XLOOKUP(O2670,[1]AttributeName!$B:$B,[1]AttributeName!$E:$E),2,_xlfn.XLOOKUP(C2670,[1]ModifierDes!$B:$B,[1]ModifierDes!$E:$E),3,_xlfn.XLOOKUP(C2670,[1]StuntDes!$B:$B,[1]StuntDes!$E:$E)),0)</f>
        <v>2</v>
      </c>
    </row>
    <row r="2671" spans="1:20">
      <c r="A2671">
        <v>1700103</v>
      </c>
      <c r="B2671">
        <v>1</v>
      </c>
      <c r="C2671" t="s">
        <v>406</v>
      </c>
      <c r="D2671" t="s">
        <v>106</v>
      </c>
      <c r="K2671" t="s">
        <v>532</v>
      </c>
      <c r="L2671">
        <f t="shared" si="196"/>
        <v>1</v>
      </c>
      <c r="M2671" s="10" t="str">
        <f>IFERROR(_xlfn.XLOOKUP(C2671,[1]StuntDes!$B:$B,[1]StuntDes!$A:$A),"")</f>
        <v/>
      </c>
      <c r="N2671" s="10" t="str">
        <f>IFERROR(_xlfn.XLOOKUP(C2671,[1]ModifierDes!$B:$B,[1]ModifierDes!$A:$A),"")</f>
        <v/>
      </c>
      <c r="O2671" s="10">
        <f>IFERROR(_xlfn.XLOOKUP(C2671,[1]AttributeName!$C:$C,[1]AttributeName!$B:$B),"")</f>
        <v>10307</v>
      </c>
      <c r="P2671" s="10"/>
      <c r="Q2671">
        <v>0.2</v>
      </c>
      <c r="R2671">
        <v>0.2</v>
      </c>
      <c r="S2671" cm="1">
        <f t="array" ref="S2671">IFERROR(_xlfn.SWITCH(L2671,1,_xlfn.XLOOKUP(O2671,[1]AttributeName!$B:$B,[1]AttributeName!$D:$D),2,_xlfn.XLOOKUP(C2671,[1]ModifierDes!$B:$B,[1]ModifierDes!$D:$D),3,_xlfn.XLOOKUP(C2671,[1]StuntDes!$B:$B,[1]StuntDes!$D:$D)),0)</f>
        <v>2</v>
      </c>
      <c r="T2671" cm="1">
        <f t="array" ref="T2671">IFERROR(_xlfn.SWITCH(L2671,1,_xlfn.XLOOKUP(O2671,[1]AttributeName!$B:$B,[1]AttributeName!$E:$E),2,_xlfn.XLOOKUP(C2671,[1]ModifierDes!$B:$B,[1]ModifierDes!$E:$E),3,_xlfn.XLOOKUP(C2671,[1]StuntDes!$B:$B,[1]StuntDes!$E:$E)),0)</f>
        <v>2</v>
      </c>
    </row>
    <row r="2672" spans="1:20">
      <c r="A2672">
        <v>1700104</v>
      </c>
      <c r="B2672">
        <v>1</v>
      </c>
      <c r="C2672" t="s">
        <v>469</v>
      </c>
      <c r="D2672" t="s">
        <v>108</v>
      </c>
      <c r="K2672" t="s">
        <v>533</v>
      </c>
      <c r="L2672">
        <f t="shared" si="196"/>
        <v>1</v>
      </c>
      <c r="M2672" s="10" t="str">
        <f>IFERROR(_xlfn.XLOOKUP(C2672,[1]StuntDes!$B:$B,[1]StuntDes!$A:$A),"")</f>
        <v/>
      </c>
      <c r="N2672" s="10" t="str">
        <f>IFERROR(_xlfn.XLOOKUP(C2672,[1]ModifierDes!$B:$B,[1]ModifierDes!$A:$A),"")</f>
        <v/>
      </c>
      <c r="O2672" s="10">
        <f>IFERROR(_xlfn.XLOOKUP(C2672,[1]AttributeName!$C:$C,[1]AttributeName!$B:$B),"")</f>
        <v>10300</v>
      </c>
      <c r="P2672" s="10"/>
      <c r="Q2672">
        <v>0.12</v>
      </c>
      <c r="R2672">
        <v>0.12</v>
      </c>
      <c r="S2672" cm="1">
        <f t="array" ref="S2672">IFERROR(_xlfn.SWITCH(L2672,1,_xlfn.XLOOKUP(O2672,[1]AttributeName!$B:$B,[1]AttributeName!$D:$D),2,_xlfn.XLOOKUP(C2672,[1]ModifierDes!$B:$B,[1]ModifierDes!$D:$D),3,_xlfn.XLOOKUP(C2672,[1]StuntDes!$B:$B,[1]StuntDes!$D:$D)),0)</f>
        <v>2</v>
      </c>
      <c r="T2672" cm="1">
        <f t="array" ref="T2672">IFERROR(_xlfn.SWITCH(L2672,1,_xlfn.XLOOKUP(O2672,[1]AttributeName!$B:$B,[1]AttributeName!$E:$E),2,_xlfn.XLOOKUP(C2672,[1]ModifierDes!$B:$B,[1]ModifierDes!$E:$E),3,_xlfn.XLOOKUP(C2672,[1]StuntDes!$B:$B,[1]StuntDes!$E:$E)),0)</f>
        <v>2</v>
      </c>
    </row>
    <row r="2673" spans="1:20">
      <c r="A2673">
        <v>1800101</v>
      </c>
      <c r="B2673">
        <v>1</v>
      </c>
      <c r="C2673" t="s">
        <v>416</v>
      </c>
      <c r="D2673" t="s">
        <v>110</v>
      </c>
      <c r="K2673" t="s">
        <v>534</v>
      </c>
      <c r="L2673">
        <f t="shared" si="196"/>
        <v>2</v>
      </c>
      <c r="M2673" s="10" t="str">
        <f>IFERROR(_xlfn.XLOOKUP(C2673,[1]StuntDes!$B:$B,[1]StuntDes!$A:$A),"")</f>
        <v/>
      </c>
      <c r="N2673" s="10">
        <f>IFERROR(_xlfn.XLOOKUP(C2673,[1]ModifierDes!$B:$B,[1]ModifierDes!$A:$A),"")</f>
        <v>10176</v>
      </c>
      <c r="O2673" s="10" t="str">
        <f>IFERROR(_xlfn.XLOOKUP(C2673,[1]AttributeName!$C:$C,[1]AttributeName!$B:$B),"")</f>
        <v/>
      </c>
      <c r="P2673" s="10"/>
      <c r="Q2673">
        <v>0.2</v>
      </c>
      <c r="R2673">
        <v>0.2</v>
      </c>
      <c r="S2673" cm="1">
        <f t="array" ref="S2673">IFERROR(_xlfn.SWITCH(L2673,1,_xlfn.XLOOKUP(O2673,[1]AttributeName!$B:$B,[1]AttributeName!$D:$D),2,_xlfn.XLOOKUP(C2673,[1]ModifierDes!$B:$B,[1]ModifierDes!$D:$D),3,_xlfn.XLOOKUP(C2673,[1]StuntDes!$B:$B,[1]StuntDes!$D:$D)),0)</f>
        <v>2</v>
      </c>
      <c r="T2673" cm="1">
        <f t="array" ref="T2673">IFERROR(_xlfn.SWITCH(L2673,1,_xlfn.XLOOKUP(O2673,[1]AttributeName!$B:$B,[1]AttributeName!$E:$E),2,_xlfn.XLOOKUP(C2673,[1]ModifierDes!$B:$B,[1]ModifierDes!$E:$E),3,_xlfn.XLOOKUP(C2673,[1]StuntDes!$B:$B,[1]StuntDes!$E:$E)),0)</f>
        <v>2</v>
      </c>
    </row>
    <row r="2674" spans="1:20">
      <c r="A2674">
        <v>1800102</v>
      </c>
      <c r="B2674">
        <v>1</v>
      </c>
      <c r="C2674" t="s">
        <v>442</v>
      </c>
      <c r="D2674" t="s">
        <v>112</v>
      </c>
      <c r="K2674" t="s">
        <v>535</v>
      </c>
      <c r="L2674">
        <f t="shared" si="196"/>
        <v>2</v>
      </c>
      <c r="M2674" s="10" t="str">
        <f>IFERROR(_xlfn.XLOOKUP(C2674,[1]StuntDes!$B:$B,[1]StuntDes!$A:$A),"")</f>
        <v/>
      </c>
      <c r="N2674" s="10">
        <f>IFERROR(_xlfn.XLOOKUP(C2674,[1]ModifierDes!$B:$B,[1]ModifierDes!$A:$A),"")</f>
        <v>10170</v>
      </c>
      <c r="O2674" s="10" t="str">
        <f>IFERROR(_xlfn.XLOOKUP(C2674,[1]AttributeName!$C:$C,[1]AttributeName!$B:$B),"")</f>
        <v/>
      </c>
      <c r="P2674" s="10"/>
      <c r="Q2674">
        <v>0.2</v>
      </c>
      <c r="R2674">
        <v>0.2</v>
      </c>
      <c r="S2674" cm="1">
        <f t="array" ref="S2674">IFERROR(_xlfn.SWITCH(L2674,1,_xlfn.XLOOKUP(O2674,[1]AttributeName!$B:$B,[1]AttributeName!$D:$D),2,_xlfn.XLOOKUP(C2674,[1]ModifierDes!$B:$B,[1]ModifierDes!$D:$D),3,_xlfn.XLOOKUP(C2674,[1]StuntDes!$B:$B,[1]StuntDes!$D:$D)),0)</f>
        <v>2</v>
      </c>
      <c r="T2674" cm="1">
        <f t="array" ref="T2674">IFERROR(_xlfn.SWITCH(L2674,1,_xlfn.XLOOKUP(O2674,[1]AttributeName!$B:$B,[1]AttributeName!$E:$E),2,_xlfn.XLOOKUP(C2674,[1]ModifierDes!$B:$B,[1]ModifierDes!$E:$E),3,_xlfn.XLOOKUP(C2674,[1]StuntDes!$B:$B,[1]StuntDes!$E:$E)),0)</f>
        <v>2</v>
      </c>
    </row>
    <row r="2675" spans="1:20">
      <c r="A2675">
        <v>1800103</v>
      </c>
      <c r="B2675">
        <v>1</v>
      </c>
      <c r="C2675" t="s">
        <v>115</v>
      </c>
      <c r="D2675" t="s">
        <v>114</v>
      </c>
      <c r="K2675" t="str" cm="1">
        <f t="array" ref="K2675">IFERROR(_xlfn.SWITCH(L2675,1,_xlfn.XLOOKUP(C2675,[1]AttributeName!$C:$C,[1]AttributeName!$I:$I),2,_xlfn.XLOOKUP(C2675,[1]ModifierDes!$B:$B,[1]ModifierDes!$C:$C),3,_xlfn.XLOOKUP(C2675,[1]StuntDes!$B:$B,[1]StuntDes!$C:$C)),"")</f>
        <v>暴击伤害增加{0}</v>
      </c>
      <c r="L2675">
        <f t="shared" si="196"/>
        <v>1</v>
      </c>
      <c r="M2675" s="10" t="str">
        <f>IFERROR(_xlfn.XLOOKUP(C2675,[1]StuntDes!$B:$B,[1]StuntDes!$A:$A),"")</f>
        <v/>
      </c>
      <c r="N2675" s="10" t="str">
        <f>IFERROR(_xlfn.XLOOKUP(C2675,[1]ModifierDes!$B:$B,[1]ModifierDes!$A:$A),"")</f>
        <v/>
      </c>
      <c r="O2675" s="10">
        <f>IFERROR(_xlfn.XLOOKUP(C2675,[1]AttributeName!$C:$C,[1]AttributeName!$B:$B),"")</f>
        <v>10200</v>
      </c>
      <c r="P2675" s="10"/>
      <c r="Q2675">
        <v>0.1</v>
      </c>
      <c r="R2675">
        <v>0.1</v>
      </c>
      <c r="S2675" cm="1">
        <f t="array" ref="S2675">IFERROR(_xlfn.SWITCH(L2675,1,_xlfn.XLOOKUP(O2675,[1]AttributeName!$B:$B,[1]AttributeName!$D:$D),2,_xlfn.XLOOKUP(C2675,[1]ModifierDes!$B:$B,[1]ModifierDes!$D:$D),3,_xlfn.XLOOKUP(C2675,[1]StuntDes!$B:$B,[1]StuntDes!$D:$D)),0)</f>
        <v>2</v>
      </c>
      <c r="T2675" cm="1">
        <f t="array" ref="T2675">IFERROR(_xlfn.SWITCH(L2675,1,_xlfn.XLOOKUP(O2675,[1]AttributeName!$B:$B,[1]AttributeName!$E:$E),2,_xlfn.XLOOKUP(C2675,[1]ModifierDes!$B:$B,[1]ModifierDes!$E:$E),3,_xlfn.XLOOKUP(C2675,[1]StuntDes!$B:$B,[1]StuntDes!$E:$E)),0)</f>
        <v>2</v>
      </c>
    </row>
    <row r="2676" spans="1:20">
      <c r="A2676">
        <v>1900101</v>
      </c>
      <c r="B2676">
        <v>1</v>
      </c>
      <c r="C2676" t="s">
        <v>499</v>
      </c>
      <c r="D2676" t="s">
        <v>116</v>
      </c>
      <c r="K2676" t="s">
        <v>536</v>
      </c>
      <c r="L2676">
        <f t="shared" ref="L2676:L2684" si="197">IF(M2676="",IF(N2676="",1,2),3)</f>
        <v>2</v>
      </c>
      <c r="M2676" s="10" t="str">
        <f>IFERROR(_xlfn.XLOOKUP(C2676,[1]StuntDes!$B:$B,[1]StuntDes!$A:$A),"")</f>
        <v/>
      </c>
      <c r="N2676" s="10">
        <f>IFERROR(_xlfn.XLOOKUP(C2676,[1]ModifierDes!$B:$B,[1]ModifierDes!$A:$A),"")</f>
        <v>10062</v>
      </c>
      <c r="O2676" s="10" t="str">
        <f>IFERROR(_xlfn.XLOOKUP(C2676,[1]AttributeName!$C:$C,[1]AttributeName!$B:$B),"")</f>
        <v/>
      </c>
      <c r="P2676" s="10"/>
      <c r="Q2676">
        <v>0.2</v>
      </c>
      <c r="R2676">
        <v>0.2</v>
      </c>
      <c r="S2676" cm="1">
        <f t="array" ref="S2676">IFERROR(_xlfn.SWITCH(L2676,1,_xlfn.XLOOKUP(O2676,[1]AttributeName!$B:$B,[1]AttributeName!$D:$D),2,_xlfn.XLOOKUP(C2676,[1]ModifierDes!$B:$B,[1]ModifierDes!$D:$D),3,_xlfn.XLOOKUP(C2676,[1]StuntDes!$B:$B,[1]StuntDes!$D:$D)),0)</f>
        <v>2</v>
      </c>
      <c r="T2676" cm="1">
        <f t="array" ref="T2676">IFERROR(_xlfn.SWITCH(L2676,1,_xlfn.XLOOKUP(O2676,[1]AttributeName!$B:$B,[1]AttributeName!$E:$E),2,_xlfn.XLOOKUP(C2676,[1]ModifierDes!$B:$B,[1]ModifierDes!$E:$E),3,_xlfn.XLOOKUP(C2676,[1]StuntDes!$B:$B,[1]StuntDes!$E:$E)),0)</f>
        <v>2</v>
      </c>
    </row>
    <row r="2677" spans="1:20">
      <c r="A2677">
        <v>1900102</v>
      </c>
      <c r="B2677">
        <v>1</v>
      </c>
      <c r="C2677" t="s">
        <v>453</v>
      </c>
      <c r="D2677" t="s">
        <v>118</v>
      </c>
      <c r="K2677" t="s">
        <v>537</v>
      </c>
      <c r="L2677">
        <f t="shared" si="197"/>
        <v>2</v>
      </c>
      <c r="M2677" s="10" t="str">
        <f>IFERROR(_xlfn.XLOOKUP(C2677,[1]StuntDes!$B:$B,[1]StuntDes!$A:$A),"")</f>
        <v/>
      </c>
      <c r="N2677" s="10">
        <f>IFERROR(_xlfn.XLOOKUP(C2677,[1]ModifierDes!$B:$B,[1]ModifierDes!$A:$A),"")</f>
        <v>10063</v>
      </c>
      <c r="O2677" s="10" t="str">
        <f>IFERROR(_xlfn.XLOOKUP(C2677,[1]AttributeName!$C:$C,[1]AttributeName!$B:$B),"")</f>
        <v/>
      </c>
      <c r="P2677" s="10"/>
      <c r="Q2677">
        <v>0.2</v>
      </c>
      <c r="R2677">
        <v>0.2</v>
      </c>
      <c r="S2677" cm="1">
        <f t="array" ref="S2677">IFERROR(_xlfn.SWITCH(L2677,1,_xlfn.XLOOKUP(O2677,[1]AttributeName!$B:$B,[1]AttributeName!$D:$D),2,_xlfn.XLOOKUP(C2677,[1]ModifierDes!$B:$B,[1]ModifierDes!$D:$D),3,_xlfn.XLOOKUP(C2677,[1]StuntDes!$B:$B,[1]StuntDes!$D:$D)),0)</f>
        <v>2</v>
      </c>
      <c r="T2677" cm="1">
        <f t="array" ref="T2677">IFERROR(_xlfn.SWITCH(L2677,1,_xlfn.XLOOKUP(O2677,[1]AttributeName!$B:$B,[1]AttributeName!$E:$E),2,_xlfn.XLOOKUP(C2677,[1]ModifierDes!$B:$B,[1]ModifierDes!$E:$E),3,_xlfn.XLOOKUP(C2677,[1]StuntDes!$B:$B,[1]StuntDes!$E:$E)),0)</f>
        <v>2</v>
      </c>
    </row>
    <row r="2678" spans="1:20">
      <c r="A2678">
        <v>1900103</v>
      </c>
      <c r="B2678">
        <v>1</v>
      </c>
      <c r="C2678" t="s">
        <v>454</v>
      </c>
      <c r="D2678" t="s">
        <v>120</v>
      </c>
      <c r="K2678" t="s">
        <v>538</v>
      </c>
      <c r="L2678">
        <f t="shared" si="197"/>
        <v>2</v>
      </c>
      <c r="M2678" s="10" t="str">
        <f>IFERROR(_xlfn.XLOOKUP(C2678,[1]StuntDes!$B:$B,[1]StuntDes!$A:$A),"")</f>
        <v/>
      </c>
      <c r="N2678" s="10">
        <f>IFERROR(_xlfn.XLOOKUP(C2678,[1]ModifierDes!$B:$B,[1]ModifierDes!$A:$A),"")</f>
        <v>10064</v>
      </c>
      <c r="O2678" s="10" t="str">
        <f>IFERROR(_xlfn.XLOOKUP(C2678,[1]AttributeName!$C:$C,[1]AttributeName!$B:$B),"")</f>
        <v/>
      </c>
      <c r="P2678" s="10"/>
      <c r="Q2678">
        <v>0.2</v>
      </c>
      <c r="R2678">
        <v>0.2</v>
      </c>
      <c r="S2678" cm="1">
        <f t="array" ref="S2678">IFERROR(_xlfn.SWITCH(L2678,1,_xlfn.XLOOKUP(O2678,[1]AttributeName!$B:$B,[1]AttributeName!$D:$D),2,_xlfn.XLOOKUP(C2678,[1]ModifierDes!$B:$B,[1]ModifierDes!$D:$D),3,_xlfn.XLOOKUP(C2678,[1]StuntDes!$B:$B,[1]StuntDes!$D:$D)),0)</f>
        <v>2</v>
      </c>
      <c r="T2678" cm="1">
        <f t="array" ref="T2678">IFERROR(_xlfn.SWITCH(L2678,1,_xlfn.XLOOKUP(O2678,[1]AttributeName!$B:$B,[1]AttributeName!$E:$E),2,_xlfn.XLOOKUP(C2678,[1]ModifierDes!$B:$B,[1]ModifierDes!$E:$E),3,_xlfn.XLOOKUP(C2678,[1]StuntDes!$B:$B,[1]StuntDes!$E:$E)),0)</f>
        <v>2</v>
      </c>
    </row>
    <row r="2679" spans="1:20">
      <c r="A2679">
        <v>2000101</v>
      </c>
      <c r="B2679">
        <v>1</v>
      </c>
      <c r="C2679" t="s">
        <v>403</v>
      </c>
      <c r="D2679" t="s">
        <v>122</v>
      </c>
      <c r="K2679" t="s">
        <v>539</v>
      </c>
      <c r="L2679">
        <f t="shared" si="197"/>
        <v>2</v>
      </c>
      <c r="M2679" s="10" t="str">
        <f>IFERROR(_xlfn.XLOOKUP(C2679,[1]StuntDes!$B:$B,[1]StuntDes!$A:$A),"")</f>
        <v/>
      </c>
      <c r="N2679" s="10">
        <f>IFERROR(_xlfn.XLOOKUP(C2679,[1]ModifierDes!$B:$B,[1]ModifierDes!$A:$A),"")</f>
        <v>10066</v>
      </c>
      <c r="O2679" s="10" t="str">
        <f>IFERROR(_xlfn.XLOOKUP(C2679,[1]AttributeName!$C:$C,[1]AttributeName!$B:$B),"")</f>
        <v/>
      </c>
      <c r="P2679" s="10"/>
      <c r="Q2679">
        <v>0.2</v>
      </c>
      <c r="R2679">
        <v>0.2</v>
      </c>
      <c r="S2679" cm="1">
        <f t="array" ref="S2679">IFERROR(_xlfn.SWITCH(L2679,1,_xlfn.XLOOKUP(O2679,[1]AttributeName!$B:$B,[1]AttributeName!$D:$D),2,_xlfn.XLOOKUP(C2679,[1]ModifierDes!$B:$B,[1]ModifierDes!$D:$D),3,_xlfn.XLOOKUP(C2679,[1]StuntDes!$B:$B,[1]StuntDes!$D:$D)),0)</f>
        <v>2</v>
      </c>
      <c r="T2679" cm="1">
        <f t="array" ref="T2679">IFERROR(_xlfn.SWITCH(L2679,1,_xlfn.XLOOKUP(O2679,[1]AttributeName!$B:$B,[1]AttributeName!$E:$E),2,_xlfn.XLOOKUP(C2679,[1]ModifierDes!$B:$B,[1]ModifierDes!$E:$E),3,_xlfn.XLOOKUP(C2679,[1]StuntDes!$B:$B,[1]StuntDes!$E:$E)),0)</f>
        <v>2</v>
      </c>
    </row>
    <row r="2680" spans="1:20">
      <c r="A2680">
        <v>2000102</v>
      </c>
      <c r="B2680">
        <v>1</v>
      </c>
      <c r="C2680" t="s">
        <v>444</v>
      </c>
      <c r="D2680" t="s">
        <v>124</v>
      </c>
      <c r="K2680" t="s">
        <v>540</v>
      </c>
      <c r="L2680">
        <f t="shared" si="197"/>
        <v>2</v>
      </c>
      <c r="M2680" s="10" t="str">
        <f>IFERROR(_xlfn.XLOOKUP(C2680,[1]StuntDes!$B:$B,[1]StuntDes!$A:$A),"")</f>
        <v/>
      </c>
      <c r="N2680" s="10">
        <f>IFERROR(_xlfn.XLOOKUP(C2680,[1]ModifierDes!$B:$B,[1]ModifierDes!$A:$A),"")</f>
        <v>10067</v>
      </c>
      <c r="O2680" s="10" t="str">
        <f>IFERROR(_xlfn.XLOOKUP(C2680,[1]AttributeName!$C:$C,[1]AttributeName!$B:$B),"")</f>
        <v/>
      </c>
      <c r="P2680" s="10"/>
      <c r="Q2680">
        <v>0.2</v>
      </c>
      <c r="R2680">
        <v>0.2</v>
      </c>
      <c r="S2680" cm="1">
        <f t="array" ref="S2680">IFERROR(_xlfn.SWITCH(L2680,1,_xlfn.XLOOKUP(O2680,[1]AttributeName!$B:$B,[1]AttributeName!$D:$D),2,_xlfn.XLOOKUP(C2680,[1]ModifierDes!$B:$B,[1]ModifierDes!$D:$D),3,_xlfn.XLOOKUP(C2680,[1]StuntDes!$B:$B,[1]StuntDes!$D:$D)),0)</f>
        <v>2</v>
      </c>
      <c r="T2680" cm="1">
        <f t="array" ref="T2680">IFERROR(_xlfn.SWITCH(L2680,1,_xlfn.XLOOKUP(O2680,[1]AttributeName!$B:$B,[1]AttributeName!$E:$E),2,_xlfn.XLOOKUP(C2680,[1]ModifierDes!$B:$B,[1]ModifierDes!$E:$E),3,_xlfn.XLOOKUP(C2680,[1]StuntDes!$B:$B,[1]StuntDes!$E:$E)),0)</f>
        <v>2</v>
      </c>
    </row>
    <row r="2681" spans="1:20">
      <c r="A2681">
        <v>2000103</v>
      </c>
      <c r="B2681">
        <v>1</v>
      </c>
      <c r="C2681" t="s">
        <v>541</v>
      </c>
      <c r="D2681" t="s">
        <v>126</v>
      </c>
      <c r="K2681" t="s">
        <v>542</v>
      </c>
      <c r="L2681">
        <f t="shared" si="197"/>
        <v>1</v>
      </c>
      <c r="M2681" s="10" t="str">
        <f>IFERROR(_xlfn.XLOOKUP(C2681,[1]StuntDes!$B:$B,[1]StuntDes!$A:$A),"")</f>
        <v/>
      </c>
      <c r="N2681" s="10" t="str">
        <f>IFERROR(_xlfn.XLOOKUP(C2681,[1]ModifierDes!$B:$B,[1]ModifierDes!$A:$A),"")</f>
        <v/>
      </c>
      <c r="O2681" s="10" t="str">
        <f>IFERROR(_xlfn.XLOOKUP(C2681,[1]AttributeName!$C:$C,[1]AttributeName!$B:$B),"")</f>
        <v/>
      </c>
      <c r="P2681" s="10"/>
      <c r="Q2681">
        <v>0.2</v>
      </c>
      <c r="R2681">
        <v>0.2</v>
      </c>
      <c r="S2681" cm="1">
        <f t="array" ref="S2681">IFERROR(_xlfn.SWITCH(L2681,1,_xlfn.XLOOKUP(O2681,[1]AttributeName!$B:$B,[1]AttributeName!$D:$D),2,_xlfn.XLOOKUP(C2681,[1]ModifierDes!$B:$B,[1]ModifierDes!$D:$D),3,_xlfn.XLOOKUP(C2681,[1]StuntDes!$B:$B,[1]StuntDes!$D:$D)),0)</f>
        <v>0</v>
      </c>
      <c r="T2681" cm="1">
        <f t="array" ref="T2681">IFERROR(_xlfn.SWITCH(L2681,1,_xlfn.XLOOKUP(O2681,[1]AttributeName!$B:$B,[1]AttributeName!$E:$E),2,_xlfn.XLOOKUP(C2681,[1]ModifierDes!$B:$B,[1]ModifierDes!$E:$E),3,_xlfn.XLOOKUP(C2681,[1]StuntDes!$B:$B,[1]StuntDes!$E:$E)),0)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10"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543</v>
      </c>
      <c r="B1" s="6" t="s">
        <v>544</v>
      </c>
    </row>
    <row r="2" ht="16.5" spans="1:2">
      <c r="A2" s="7" t="s">
        <v>380</v>
      </c>
      <c r="B2" s="8" t="s">
        <v>545</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363</v>
      </c>
      <c r="B1" t="s">
        <v>546</v>
      </c>
      <c r="C1" t="s">
        <v>547</v>
      </c>
      <c r="D1" t="s">
        <v>548</v>
      </c>
    </row>
    <row r="2" spans="1:4">
      <c r="A2" s="2" t="s">
        <v>380</v>
      </c>
      <c r="B2" s="2" t="s">
        <v>549</v>
      </c>
      <c r="C2" s="2" t="s">
        <v>550</v>
      </c>
      <c r="D2" s="2" t="s">
        <v>551</v>
      </c>
    </row>
    <row r="3" spans="1:4">
      <c r="A3" s="3" t="s">
        <v>20</v>
      </c>
      <c r="B3" s="3" t="s">
        <v>21</v>
      </c>
      <c r="C3" s="3" t="s">
        <v>21</v>
      </c>
      <c r="D3" s="3" t="s">
        <v>21</v>
      </c>
    </row>
    <row r="4" spans="1:4">
      <c r="A4">
        <v>0</v>
      </c>
      <c r="B4">
        <v>8</v>
      </c>
      <c r="C4" t="s">
        <v>552</v>
      </c>
      <c r="D4" t="s">
        <v>553</v>
      </c>
    </row>
    <row r="5" spans="1:4">
      <c r="A5">
        <v>1</v>
      </c>
      <c r="B5">
        <v>6</v>
      </c>
      <c r="C5" t="s">
        <v>552</v>
      </c>
      <c r="D5" t="s">
        <v>554</v>
      </c>
    </row>
    <row r="6" spans="1:4">
      <c r="A6">
        <v>2</v>
      </c>
      <c r="B6">
        <f>B5</f>
        <v>6</v>
      </c>
      <c r="C6" t="str">
        <f>C5</f>
        <v>FFF6E4</v>
      </c>
      <c r="D6" t="str">
        <f>D5</f>
        <v>A65310</v>
      </c>
    </row>
    <row r="7" spans="1:4">
      <c r="A7">
        <v>3</v>
      </c>
      <c r="B7">
        <v>5</v>
      </c>
      <c r="C7" t="s">
        <v>555</v>
      </c>
      <c r="D7" t="s">
        <v>556</v>
      </c>
    </row>
    <row r="8" spans="1:4">
      <c r="A8">
        <v>4</v>
      </c>
      <c r="B8">
        <f>B7</f>
        <v>5</v>
      </c>
      <c r="C8" t="str">
        <f>C7</f>
        <v>FEEAEA</v>
      </c>
      <c r="D8" t="str">
        <f>D7</f>
        <v>A95B00</v>
      </c>
    </row>
    <row r="9" spans="1:4">
      <c r="A9">
        <v>5</v>
      </c>
      <c r="B9">
        <v>4</v>
      </c>
      <c r="C9" t="s">
        <v>557</v>
      </c>
      <c r="D9" t="s">
        <v>558</v>
      </c>
    </row>
    <row r="10" spans="1:4">
      <c r="A10">
        <v>6</v>
      </c>
      <c r="B10">
        <v>4</v>
      </c>
      <c r="C10" t="str">
        <f>C9</f>
        <v>FEE9FF</v>
      </c>
      <c r="D10" t="str">
        <f>D9</f>
        <v>8426AC</v>
      </c>
    </row>
    <row r="11" spans="1:4">
      <c r="A11">
        <v>7</v>
      </c>
      <c r="B11">
        <v>3</v>
      </c>
      <c r="C11" t="s">
        <v>559</v>
      </c>
      <c r="D11" t="s">
        <v>560</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364</v>
      </c>
      <c r="B2" t="s">
        <v>26</v>
      </c>
    </row>
    <row r="3" spans="1:4">
      <c r="A3" t="s">
        <v>365</v>
      </c>
      <c r="B3" t="s">
        <v>410</v>
      </c>
    </row>
    <row r="5" spans="1:4">
      <c r="A5" t="s">
        <v>287</v>
      </c>
      <c r="B5" t="s">
        <v>288</v>
      </c>
      <c r="C5" t="s">
        <v>363</v>
      </c>
      <c r="D5" t="s">
        <v>561</v>
      </c>
    </row>
    <row r="6" spans="1:4">
      <c r="A6">
        <v>51</v>
      </c>
      <c r="D6" s="1">
        <v>0.080040020010005</v>
      </c>
    </row>
    <row r="7" spans="1:4">
      <c r="B7" t="s">
        <v>409</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562</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563</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564</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565</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566</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567</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416</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417</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398</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399</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400</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401</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402</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418</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419</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568</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421</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422</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423</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424</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569</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2026-09-28T07:12:59Z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